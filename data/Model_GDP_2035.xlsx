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rove\Desktop\Дурнамо\Дурнамо 2027-2029\Макро SAM-2024\модели посл.вар.карор 2025\модели 2026 посл.вар.-29.04.2026\"/>
    </mc:Choice>
  </mc:AlternateContent>
  <xr:revisionPtr revIDLastSave="0" documentId="13_ncr:1_{43BEBBB6-6B06-496A-9F87-34BA24F1264C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S-1 реалистичный сценарий" sheetId="15" r:id="rId1"/>
    <sheet name="GDP" sheetId="1" r:id="rId2"/>
    <sheet name="Agriculture" sheetId="11" r:id="rId3"/>
    <sheet name="Industry" sheetId="2" r:id="rId4"/>
    <sheet name="Industry-2" sheetId="14" r:id="rId5"/>
    <sheet name="OEA" sheetId="3" r:id="rId6"/>
    <sheet name="Household" sheetId="4" r:id="rId7"/>
    <sheet name="Assumptions" sheetId="5" r:id="rId8"/>
    <sheet name="Trade" sheetId="6" r:id="rId9"/>
    <sheet name="Monetary" sheetId="7" r:id="rId10"/>
    <sheet name="BoP" sheetId="8" r:id="rId11"/>
    <sheet name="Revenue Model" sheetId="9" r:id="rId12"/>
    <sheet name="gateway" sheetId="10" r:id="rId13"/>
    <sheet name="Results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5" i="4" l="1"/>
  <c r="AO18" i="1"/>
  <c r="AO15" i="4"/>
  <c r="AN15" i="4"/>
  <c r="AO6" i="4"/>
  <c r="AP6" i="4"/>
  <c r="AN6" i="4"/>
  <c r="AO25" i="3"/>
  <c r="AP25" i="3"/>
  <c r="AN25" i="3"/>
  <c r="AO23" i="3"/>
  <c r="AP23" i="3"/>
  <c r="AN23" i="3"/>
  <c r="AN21" i="1"/>
  <c r="AM6" i="4"/>
  <c r="AM21" i="4"/>
  <c r="AM12" i="4"/>
  <c r="AM6" i="7"/>
  <c r="AM17" i="1"/>
  <c r="AM16" i="1"/>
  <c r="AL16" i="1"/>
  <c r="AM46" i="6"/>
  <c r="AL46" i="6"/>
  <c r="AM11" i="6"/>
  <c r="AL11" i="6"/>
  <c r="AL10" i="6"/>
  <c r="AL21" i="4"/>
  <c r="AL21" i="2"/>
  <c r="AK46" i="6"/>
  <c r="AK43" i="6" s="1"/>
  <c r="AK16" i="1"/>
  <c r="AK21" i="4"/>
  <c r="AK18" i="1"/>
  <c r="AK21" i="2"/>
  <c r="AJ21" i="4"/>
  <c r="AJ8" i="2"/>
  <c r="AJ5" i="2"/>
  <c r="AI21" i="4"/>
  <c r="AI5" i="4"/>
  <c r="AI18" i="1"/>
  <c r="AH64" i="1"/>
  <c r="AI8" i="2"/>
  <c r="AI5" i="2"/>
  <c r="AH5" i="4"/>
  <c r="AH16" i="1" l="1"/>
  <c r="AH21" i="4"/>
  <c r="AH8" i="2"/>
  <c r="AH6" i="2"/>
  <c r="AG21" i="4"/>
  <c r="AG12" i="4"/>
  <c r="AG5" i="4"/>
  <c r="L12" i="15"/>
  <c r="AG17" i="1"/>
  <c r="AG15" i="2"/>
  <c r="AG8" i="2"/>
  <c r="AG5" i="2"/>
  <c r="AG6" i="2"/>
  <c r="AG230" i="2"/>
  <c r="AG227" i="2"/>
  <c r="AH260" i="2" l="1"/>
  <c r="AI260" i="2"/>
  <c r="AJ260" i="2"/>
  <c r="AG17" i="2" l="1"/>
  <c r="AG21" i="2"/>
  <c r="AG254" i="2" l="1"/>
  <c r="AG255" i="2"/>
  <c r="AG262" i="2" s="1"/>
  <c r="AC260" i="2"/>
  <c r="AD260" i="2"/>
  <c r="AE260" i="2"/>
  <c r="AF260" i="2"/>
  <c r="AG260" i="2" l="1"/>
  <c r="AH254" i="2"/>
  <c r="AH255" i="2" s="1"/>
  <c r="AH262" i="2" s="1"/>
  <c r="AI254" i="2" l="1"/>
  <c r="AI255" i="2" l="1"/>
  <c r="AJ254" i="2" l="1"/>
  <c r="AI262" i="2"/>
  <c r="AJ255" i="2"/>
  <c r="AK254" i="2" l="1"/>
  <c r="AK255" i="2" s="1"/>
  <c r="AL254" i="2" s="1"/>
  <c r="AL255" i="2" s="1"/>
  <c r="AM254" i="2" s="1"/>
  <c r="AM255" i="2" s="1"/>
  <c r="AN254" i="2" s="1"/>
  <c r="AN255" i="2" s="1"/>
  <c r="AO254" i="2" s="1"/>
  <c r="AO255" i="2" s="1"/>
  <c r="AP254" i="2" s="1"/>
  <c r="AP255" i="2" s="1"/>
  <c r="AJ262" i="2"/>
  <c r="AK262" i="2" l="1"/>
  <c r="AK260" i="2"/>
  <c r="AI96" i="4" l="1"/>
  <c r="AG96" i="4"/>
  <c r="AH97" i="4"/>
  <c r="AI97" i="4"/>
  <c r="AG97" i="4"/>
  <c r="AG95" i="4"/>
  <c r="AH96" i="4" s="1"/>
  <c r="AC95" i="4"/>
  <c r="AB98" i="4"/>
  <c r="AC98" i="4"/>
  <c r="AD95" i="4"/>
  <c r="AE95" i="4"/>
  <c r="AF95" i="4"/>
  <c r="AJ96" i="4" l="1"/>
  <c r="AJ97" i="4" l="1"/>
  <c r="AJ95" i="4"/>
  <c r="AK96" i="4"/>
  <c r="AK97" i="4" s="1"/>
  <c r="AK95" i="4" l="1"/>
  <c r="AL96" i="4" s="1"/>
  <c r="AL97" i="4" s="1"/>
  <c r="AL95" i="4" l="1"/>
  <c r="AM96" i="4" s="1"/>
  <c r="AM97" i="4" s="1"/>
  <c r="AM95" i="4" l="1"/>
  <c r="AN96" i="4" s="1"/>
  <c r="AN97" i="4" s="1"/>
  <c r="AN95" i="4" l="1"/>
  <c r="AO96" i="4" s="1"/>
  <c r="AO97" i="4" s="1"/>
  <c r="AO95" i="4" l="1"/>
  <c r="AP96" i="4" s="1"/>
  <c r="AP95" i="4" l="1"/>
  <c r="AP97" i="4"/>
  <c r="AE98" i="4" l="1"/>
  <c r="AF98" i="4"/>
  <c r="AD98" i="4"/>
  <c r="J4" i="15" l="1"/>
  <c r="AM20" i="1"/>
  <c r="AM18" i="1"/>
  <c r="AL20" i="1"/>
  <c r="AL18" i="1"/>
  <c r="AK20" i="1"/>
  <c r="AJ20" i="1"/>
  <c r="AJ18" i="1"/>
  <c r="AI20" i="1"/>
  <c r="AH20" i="1" l="1"/>
  <c r="AH18" i="1"/>
  <c r="AG22" i="1"/>
  <c r="AG21" i="1"/>
  <c r="AH21" i="1" s="1"/>
  <c r="AI21" i="1" s="1"/>
  <c r="AJ21" i="1" s="1"/>
  <c r="AK21" i="1" s="1"/>
  <c r="AL21" i="1" s="1"/>
  <c r="AM21" i="1" s="1"/>
  <c r="AG20" i="1"/>
  <c r="AG18" i="1"/>
  <c r="AJ46" i="6"/>
  <c r="AI46" i="6"/>
  <c r="AH46" i="6"/>
  <c r="AG46" i="6"/>
  <c r="AK6" i="4" l="1"/>
  <c r="AI6" i="4"/>
  <c r="AH6" i="4"/>
  <c r="AH14" i="4"/>
  <c r="AG6" i="4"/>
  <c r="AF13" i="4"/>
  <c r="AB43" i="4" l="1"/>
  <c r="AB58" i="4"/>
  <c r="AD43" i="4"/>
  <c r="AG9" i="4"/>
  <c r="AH22" i="3"/>
  <c r="AH23" i="3"/>
  <c r="AG23" i="3"/>
  <c r="AG14" i="4" l="1"/>
  <c r="AJ13" i="3"/>
  <c r="AI13" i="3"/>
  <c r="AH13" i="3"/>
  <c r="AG13" i="3"/>
  <c r="AF16" i="3"/>
  <c r="AG12" i="3"/>
  <c r="AJ5" i="3"/>
  <c r="AI5" i="3"/>
  <c r="AH5" i="3"/>
  <c r="AG5" i="3"/>
  <c r="AE8" i="3"/>
  <c r="AF8" i="3"/>
  <c r="AF9" i="3"/>
  <c r="AG3" i="3"/>
  <c r="AG7" i="3"/>
  <c r="AF219" i="2" l="1"/>
  <c r="AF217" i="2"/>
  <c r="AG7" i="2"/>
  <c r="AF216" i="2"/>
  <c r="AG216" i="2" l="1"/>
  <c r="AH157" i="11"/>
  <c r="AI157" i="11"/>
  <c r="AJ157" i="11"/>
  <c r="AK157" i="11"/>
  <c r="AL157" i="11"/>
  <c r="AM157" i="11"/>
  <c r="AM158" i="11" s="1"/>
  <c r="AN157" i="11"/>
  <c r="AN158" i="11" s="1"/>
  <c r="AO157" i="11"/>
  <c r="AO158" i="11" s="1"/>
  <c r="AP157" i="11"/>
  <c r="AP158" i="11" s="1"/>
  <c r="AH158" i="11"/>
  <c r="AI158" i="11"/>
  <c r="AJ158" i="11"/>
  <c r="AK158" i="11"/>
  <c r="AL158" i="11"/>
  <c r="AG158" i="11"/>
  <c r="AG157" i="11"/>
  <c r="AP128" i="11"/>
  <c r="AG128" i="11"/>
  <c r="AH128" i="11"/>
  <c r="AI128" i="11"/>
  <c r="AJ128" i="11"/>
  <c r="AK128" i="11"/>
  <c r="AL128" i="11"/>
  <c r="AM128" i="11"/>
  <c r="AN128" i="11"/>
  <c r="AO128" i="11"/>
  <c r="AF128" i="11"/>
  <c r="AG155" i="11"/>
  <c r="AG156" i="11" s="1"/>
  <c r="AE39" i="3"/>
  <c r="H4" i="15" l="1"/>
  <c r="AP21" i="4" l="1"/>
  <c r="AN21" i="4"/>
  <c r="AH22" i="1"/>
  <c r="AI22" i="1" s="1"/>
  <c r="AJ22" i="1" s="1"/>
  <c r="AO12" i="7"/>
  <c r="AN12" i="7"/>
  <c r="AL12" i="7"/>
  <c r="AJ12" i="7"/>
  <c r="AM12" i="7"/>
  <c r="AG12" i="7"/>
  <c r="AI15" i="4" l="1"/>
  <c r="AK20" i="4"/>
  <c r="AK18" i="4"/>
  <c r="AM233" i="2" l="1"/>
  <c r="AL233" i="2"/>
  <c r="AK233" i="2"/>
  <c r="AK230" i="2" s="1"/>
  <c r="AJ233" i="2"/>
  <c r="AI233" i="2"/>
  <c r="AH233" i="2"/>
  <c r="AC232" i="2"/>
  <c r="AD232" i="2"/>
  <c r="AE232" i="2"/>
  <c r="AC233" i="2"/>
  <c r="AD233" i="2"/>
  <c r="AE233" i="2"/>
  <c r="AF233" i="2"/>
  <c r="AF232" i="2"/>
  <c r="AF13" i="6"/>
  <c r="AG18" i="4" l="1"/>
  <c r="AF36" i="3"/>
  <c r="J7" i="15"/>
  <c r="H7" i="15"/>
  <c r="F7" i="15"/>
  <c r="D7" i="15"/>
  <c r="K4" i="15"/>
  <c r="M4" i="15" s="1"/>
  <c r="AG34" i="3"/>
  <c r="AH34" i="3" s="1"/>
  <c r="AI34" i="3" s="1"/>
  <c r="AJ34" i="3" s="1"/>
  <c r="AK34" i="3" s="1"/>
  <c r="AL34" i="3" s="1"/>
  <c r="AM34" i="3" s="1"/>
  <c r="AN34" i="3" s="1"/>
  <c r="AO34" i="3" s="1"/>
  <c r="AP34" i="3" s="1"/>
  <c r="AG20" i="4" l="1"/>
  <c r="AM36" i="10"/>
  <c r="AL9" i="4" l="1"/>
  <c r="AL6" i="4" s="1"/>
  <c r="AL36" i="10"/>
  <c r="AL147" i="1"/>
  <c r="AM147" i="1"/>
  <c r="AN147" i="1"/>
  <c r="AO147" i="1"/>
  <c r="AP147" i="1"/>
  <c r="AK36" i="10" l="1"/>
  <c r="AK249" i="2"/>
  <c r="AJ36" i="10" l="1"/>
  <c r="AI36" i="10"/>
  <c r="AH36" i="10"/>
  <c r="AJ249" i="2" l="1"/>
  <c r="AJ243" i="2"/>
  <c r="AK147" i="1"/>
  <c r="AJ147" i="1"/>
  <c r="AI66" i="4" l="1"/>
  <c r="AJ66" i="4"/>
  <c r="AK66" i="4"/>
  <c r="AH66" i="4"/>
  <c r="AK206" i="2"/>
  <c r="AI249" i="2"/>
  <c r="AH249" i="2"/>
  <c r="AH147" i="1" l="1"/>
  <c r="AI147" i="1"/>
  <c r="AG147" i="1"/>
  <c r="AG36" i="10" l="1"/>
  <c r="AG57" i="5" l="1"/>
  <c r="AH57" i="5"/>
  <c r="AI57" i="5"/>
  <c r="AJ57" i="5"/>
  <c r="AK57" i="5"/>
  <c r="AL57" i="5"/>
  <c r="AM57" i="5"/>
  <c r="AN57" i="5"/>
  <c r="AO57" i="5"/>
  <c r="AP57" i="5"/>
  <c r="AG44" i="5"/>
  <c r="AH44" i="5"/>
  <c r="AI44" i="5"/>
  <c r="AJ44" i="5"/>
  <c r="AK44" i="5"/>
  <c r="AL44" i="5"/>
  <c r="AM44" i="5"/>
  <c r="AN44" i="5"/>
  <c r="AO44" i="5"/>
  <c r="AP44" i="5"/>
  <c r="AG47" i="5"/>
  <c r="AH47" i="5" s="1"/>
  <c r="AI47" i="5" s="1"/>
  <c r="AJ47" i="5" s="1"/>
  <c r="AK47" i="5" s="1"/>
  <c r="AL47" i="5" s="1"/>
  <c r="AM47" i="5" s="1"/>
  <c r="AN47" i="5" s="1"/>
  <c r="AO47" i="5" s="1"/>
  <c r="AP47" i="5" s="1"/>
  <c r="AG42" i="5"/>
  <c r="AH42" i="5" s="1"/>
  <c r="AI42" i="5" s="1"/>
  <c r="AJ42" i="5" s="1"/>
  <c r="AK42" i="5" s="1"/>
  <c r="AL42" i="5" s="1"/>
  <c r="AM42" i="5" s="1"/>
  <c r="AN42" i="5" s="1"/>
  <c r="AO42" i="5" s="1"/>
  <c r="AP42" i="5" s="1"/>
  <c r="AF14" i="4"/>
  <c r="AG25" i="3"/>
  <c r="AH25" i="3" s="1"/>
  <c r="AG21" i="3" l="1"/>
  <c r="AN63" i="5"/>
  <c r="AO63" i="5" s="1"/>
  <c r="AP63" i="5" s="1"/>
  <c r="AG3" i="4"/>
  <c r="AF23" i="10"/>
  <c r="AF21" i="10"/>
  <c r="AF13" i="10"/>
  <c r="AF36" i="9"/>
  <c r="AE36" i="9"/>
  <c r="AF33" i="9"/>
  <c r="AE22" i="9"/>
  <c r="AE17" i="9"/>
  <c r="AH21" i="3" l="1"/>
  <c r="AI23" i="3"/>
  <c r="AE56" i="9"/>
  <c r="AE60" i="9" s="1"/>
  <c r="AD52" i="9"/>
  <c r="AD56" i="9" l="1"/>
  <c r="AJ23" i="3"/>
  <c r="AI30" i="3"/>
  <c r="AF53" i="9"/>
  <c r="AF54" i="9"/>
  <c r="AJ21" i="3" l="1"/>
  <c r="AK23" i="3"/>
  <c r="AL23" i="3" s="1"/>
  <c r="AM23" i="3" s="1"/>
  <c r="AD60" i="9"/>
  <c r="AD65" i="9"/>
  <c r="AF55" i="9"/>
  <c r="AF51" i="9"/>
  <c r="AF56" i="9" s="1"/>
  <c r="AF52" i="9"/>
  <c r="AF71" i="6"/>
  <c r="AF70" i="6"/>
  <c r="AF51" i="6"/>
  <c r="AF42" i="6"/>
  <c r="AF22" i="10" s="1"/>
  <c r="AF17" i="6"/>
  <c r="AF26" i="6" s="1"/>
  <c r="AF4" i="6"/>
  <c r="AF20" i="10" s="1"/>
  <c r="AE50" i="8" l="1"/>
  <c r="AF15" i="8"/>
  <c r="AF14" i="8"/>
  <c r="AE14" i="8"/>
  <c r="AF67" i="5"/>
  <c r="AE67" i="5"/>
  <c r="AE53" i="5" l="1"/>
  <c r="AE52" i="5"/>
  <c r="AF44" i="5"/>
  <c r="AE28" i="6" l="1"/>
  <c r="AC80" i="2"/>
  <c r="AF14" i="2"/>
  <c r="AF47" i="4"/>
  <c r="AE47" i="4"/>
  <c r="AE45" i="4" l="1"/>
  <c r="AG38" i="1" l="1"/>
  <c r="AE29" i="4" l="1"/>
  <c r="AE31" i="4" s="1"/>
  <c r="AD29" i="4"/>
  <c r="AE23" i="4"/>
  <c r="AF23" i="4"/>
  <c r="AF22" i="4"/>
  <c r="AF21" i="4"/>
  <c r="AF17" i="4"/>
  <c r="AF12" i="4"/>
  <c r="AE12" i="4"/>
  <c r="AE8" i="4"/>
  <c r="AG36" i="3"/>
  <c r="AE35" i="3"/>
  <c r="AF35" i="3"/>
  <c r="AD35" i="3"/>
  <c r="AF15" i="3" l="1"/>
  <c r="AF14" i="3"/>
  <c r="AF7" i="3"/>
  <c r="AF6" i="3"/>
  <c r="N38" i="14"/>
  <c r="N41" i="14"/>
  <c r="N42" i="14"/>
  <c r="BE2" i="2"/>
  <c r="AV2" i="2"/>
  <c r="AW2" i="2"/>
  <c r="AX2" i="2"/>
  <c r="AY2" i="2"/>
  <c r="AZ2" i="2"/>
  <c r="BA2" i="2"/>
  <c r="BB2" i="2"/>
  <c r="BC2" i="2"/>
  <c r="BD2" i="2"/>
  <c r="AF206" i="2"/>
  <c r="AF49" i="5"/>
  <c r="AG49" i="5" s="1"/>
  <c r="AH49" i="5" s="1"/>
  <c r="AI49" i="5" s="1"/>
  <c r="AJ49" i="5" s="1"/>
  <c r="AK49" i="5" s="1"/>
  <c r="AL49" i="5" s="1"/>
  <c r="AM49" i="5" s="1"/>
  <c r="AN49" i="5" s="1"/>
  <c r="AO49" i="5" s="1"/>
  <c r="AP49" i="5" s="1"/>
  <c r="AE196" i="2"/>
  <c r="AF75" i="6" l="1"/>
  <c r="AE75" i="6"/>
  <c r="AF24" i="6"/>
  <c r="AE24" i="6"/>
  <c r="AF152" i="2"/>
  <c r="AF149" i="2"/>
  <c r="AF65" i="2" l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G41" i="2"/>
  <c r="AF40" i="2"/>
  <c r="AF39" i="2"/>
  <c r="AF38" i="2"/>
  <c r="AF37" i="2"/>
  <c r="AF36" i="2"/>
  <c r="AF35" i="2"/>
  <c r="AF12" i="2"/>
  <c r="AE206" i="2" l="1"/>
  <c r="AG13" i="5"/>
  <c r="AH13" i="5"/>
  <c r="AF13" i="5"/>
  <c r="AF53" i="5"/>
  <c r="AG53" i="5" s="1"/>
  <c r="AH53" i="5" s="1"/>
  <c r="AI53" i="5" s="1"/>
  <c r="AJ53" i="5" s="1"/>
  <c r="AK53" i="5" s="1"/>
  <c r="AL53" i="5" s="1"/>
  <c r="AM53" i="5" s="1"/>
  <c r="AN53" i="5" s="1"/>
  <c r="AO53" i="5" s="1"/>
  <c r="AP53" i="5" s="1"/>
  <c r="AF52" i="5"/>
  <c r="AG52" i="5" s="1"/>
  <c r="AH21" i="5"/>
  <c r="AI21" i="5" s="1"/>
  <c r="AJ21" i="5" s="1"/>
  <c r="AK21" i="5" s="1"/>
  <c r="AL21" i="5" s="1"/>
  <c r="AM21" i="5" s="1"/>
  <c r="AN21" i="5" s="1"/>
  <c r="AO21" i="5" s="1"/>
  <c r="AP21" i="5" s="1"/>
  <c r="AH52" i="5" l="1"/>
  <c r="AI52" i="5" s="1"/>
  <c r="AJ52" i="5" s="1"/>
  <c r="AK52" i="5" s="1"/>
  <c r="AL52" i="5" s="1"/>
  <c r="AM52" i="5" s="1"/>
  <c r="AN52" i="5" s="1"/>
  <c r="AO52" i="5" s="1"/>
  <c r="AP52" i="5" s="1"/>
  <c r="AG40" i="4"/>
  <c r="AI133" i="11"/>
  <c r="AF13" i="11"/>
  <c r="V12" i="11"/>
  <c r="W12" i="11"/>
  <c r="X12" i="11"/>
  <c r="Y12" i="11"/>
  <c r="Z12" i="11"/>
  <c r="AA12" i="11"/>
  <c r="AB12" i="11"/>
  <c r="AC12" i="11"/>
  <c r="AD12" i="11"/>
  <c r="AE12" i="11"/>
  <c r="AF12" i="11"/>
  <c r="AE13" i="11" l="1"/>
  <c r="AG26" i="11" l="1"/>
  <c r="AG27" i="11" s="1"/>
  <c r="AF27" i="11"/>
  <c r="AE127" i="11"/>
  <c r="AF127" i="11"/>
  <c r="AE68" i="11"/>
  <c r="AF68" i="11"/>
  <c r="AF58" i="11"/>
  <c r="AF52" i="11"/>
  <c r="AG124" i="11"/>
  <c r="AH124" i="11" s="1"/>
  <c r="AI124" i="11" s="1"/>
  <c r="AJ124" i="11" s="1"/>
  <c r="AK124" i="11" s="1"/>
  <c r="AL124" i="11" s="1"/>
  <c r="AM124" i="11" s="1"/>
  <c r="AN124" i="11" s="1"/>
  <c r="AO124" i="11" s="1"/>
  <c r="AP124" i="11" s="1"/>
  <c r="AF129" i="11"/>
  <c r="AG127" i="11"/>
  <c r="AC127" i="11"/>
  <c r="AD127" i="11"/>
  <c r="AF80" i="11"/>
  <c r="AH129" i="11" l="1"/>
  <c r="AG125" i="11"/>
  <c r="AG8" i="11" s="1"/>
  <c r="AH155" i="11" s="1"/>
  <c r="AH156" i="11" s="1"/>
  <c r="AG129" i="11"/>
  <c r="AH127" i="11"/>
  <c r="AI129" i="11" l="1"/>
  <c r="AH125" i="11"/>
  <c r="AH8" i="11" s="1"/>
  <c r="AI155" i="11" s="1"/>
  <c r="AI156" i="11" s="1"/>
  <c r="AI127" i="11"/>
  <c r="AJ127" i="11" s="1"/>
  <c r="AK127" i="11" s="1"/>
  <c r="AL127" i="11" s="1"/>
  <c r="AM127" i="11" s="1"/>
  <c r="AN127" i="11" s="1"/>
  <c r="AO127" i="11" s="1"/>
  <c r="AP127" i="11" s="1"/>
  <c r="AH13" i="11" l="1"/>
  <c r="AJ129" i="11"/>
  <c r="AK125" i="11"/>
  <c r="AI125" i="11"/>
  <c r="AI8" i="11" s="1"/>
  <c r="AJ125" i="11"/>
  <c r="AI13" i="11" l="1"/>
  <c r="AJ155" i="11"/>
  <c r="AJ156" i="11" s="1"/>
  <c r="AJ8" i="11"/>
  <c r="AK155" i="11" s="1"/>
  <c r="AK156" i="11" s="1"/>
  <c r="AL125" i="11"/>
  <c r="AK129" i="11"/>
  <c r="AK8" i="11" l="1"/>
  <c r="AL155" i="11" s="1"/>
  <c r="AL156" i="11" s="1"/>
  <c r="AJ13" i="11"/>
  <c r="AL129" i="11"/>
  <c r="AL8" i="11" l="1"/>
  <c r="AM155" i="11" s="1"/>
  <c r="AM156" i="11" s="1"/>
  <c r="AK13" i="11"/>
  <c r="AO129" i="11"/>
  <c r="AM125" i="11"/>
  <c r="AM129" i="11"/>
  <c r="AM8" i="11" l="1"/>
  <c r="AN155" i="11" s="1"/>
  <c r="AN156" i="11" s="1"/>
  <c r="AO125" i="11"/>
  <c r="AN125" i="11"/>
  <c r="AP125" i="11"/>
  <c r="AN129" i="11"/>
  <c r="AN8" i="11" l="1"/>
  <c r="AO155" i="11" s="1"/>
  <c r="AO156" i="11" s="1"/>
  <c r="AP129" i="11"/>
  <c r="AF7" i="11" l="1"/>
  <c r="AE7" i="11"/>
  <c r="AD7" i="11"/>
  <c r="AF10" i="11" l="1"/>
  <c r="AF126" i="11"/>
  <c r="AG126" i="11" s="1"/>
  <c r="AH126" i="11" s="1"/>
  <c r="AI126" i="11" s="1"/>
  <c r="AJ126" i="11" s="1"/>
  <c r="AK126" i="11" s="1"/>
  <c r="AL126" i="11" s="1"/>
  <c r="AM126" i="11" s="1"/>
  <c r="AN126" i="11" s="1"/>
  <c r="AO126" i="11" s="1"/>
  <c r="AP126" i="11" s="1"/>
  <c r="AF122" i="11"/>
  <c r="AF121" i="11"/>
  <c r="AG123" i="11" s="1"/>
  <c r="AF115" i="11"/>
  <c r="AG117" i="11" s="1"/>
  <c r="AF116" i="11"/>
  <c r="AF111" i="11"/>
  <c r="AG113" i="11" s="1"/>
  <c r="AE111" i="11"/>
  <c r="AF112" i="11"/>
  <c r="AF107" i="11"/>
  <c r="AE107" i="11"/>
  <c r="AG13" i="11" l="1"/>
  <c r="AF83" i="11"/>
  <c r="AF84" i="11" s="1"/>
  <c r="AF82" i="11"/>
  <c r="AE80" i="11"/>
  <c r="AF74" i="11"/>
  <c r="AF70" i="11"/>
  <c r="AE52" i="11"/>
  <c r="AF42" i="11"/>
  <c r="AE42" i="11"/>
  <c r="AE37" i="11" s="1"/>
  <c r="AF29" i="11" l="1"/>
  <c r="AE29" i="11" l="1"/>
  <c r="AM13" i="11" l="1"/>
  <c r="AO10" i="11" l="1"/>
  <c r="AB20" i="11"/>
  <c r="AE2" i="11"/>
  <c r="AD10" i="11"/>
  <c r="AA10" i="11"/>
  <c r="AP10" i="11" l="1"/>
  <c r="AO8" i="11"/>
  <c r="Z27" i="11"/>
  <c r="Y27" i="11"/>
  <c r="Y10" i="11"/>
  <c r="AP8" i="11" l="1"/>
  <c r="AP155" i="11"/>
  <c r="AP156" i="11" s="1"/>
  <c r="AF14" i="1"/>
  <c r="AF12" i="10" s="1"/>
  <c r="AE127" i="1" l="1"/>
  <c r="AE125" i="1" s="1"/>
  <c r="AD127" i="1"/>
  <c r="AD125" i="1"/>
  <c r="AD113" i="1" l="1"/>
  <c r="AD100" i="1"/>
  <c r="AD94" i="1"/>
  <c r="AD108" i="1" s="1"/>
  <c r="AE106" i="1"/>
  <c r="AE33" i="1" l="1"/>
  <c r="AE113" i="1" s="1"/>
  <c r="AE22" i="1"/>
  <c r="AE21" i="1"/>
  <c r="AF38" i="1" l="1"/>
  <c r="AE20" i="1"/>
  <c r="AE17" i="1"/>
  <c r="AE14" i="1"/>
  <c r="AF35" i="4" l="1"/>
  <c r="AE15" i="1"/>
  <c r="AE24" i="1"/>
  <c r="AE13" i="1"/>
  <c r="AM141" i="1"/>
  <c r="AE25" i="1" l="1"/>
  <c r="AL141" i="1"/>
  <c r="AM135" i="11" l="1"/>
  <c r="AK135" i="11" l="1"/>
  <c r="AJ141" i="1" l="1"/>
  <c r="AI141" i="1" l="1"/>
  <c r="AH141" i="1" l="1"/>
  <c r="AG141" i="1"/>
  <c r="AM133" i="11"/>
  <c r="AF141" i="1" l="1"/>
  <c r="AG135" i="11"/>
  <c r="AI135" i="11" l="1"/>
  <c r="AH133" i="11" l="1"/>
  <c r="AH135" i="11"/>
  <c r="AG243" i="2"/>
  <c r="AF243" i="2"/>
  <c r="X243" i="2"/>
  <c r="Y243" i="2"/>
  <c r="Z243" i="2"/>
  <c r="AA243" i="2"/>
  <c r="AB243" i="2"/>
  <c r="AC243" i="2"/>
  <c r="AD243" i="2"/>
  <c r="AE243" i="2"/>
  <c r="AH243" i="2"/>
  <c r="AI243" i="2"/>
  <c r="AK243" i="2"/>
  <c r="AL243" i="2"/>
  <c r="AM243" i="2"/>
  <c r="AN243" i="2"/>
  <c r="AO243" i="2"/>
  <c r="AP243" i="2"/>
  <c r="W243" i="2"/>
  <c r="AD141" i="1" l="1"/>
  <c r="AJ135" i="11" l="1"/>
  <c r="AL135" i="11"/>
  <c r="AN133" i="11"/>
  <c r="AO133" i="11"/>
  <c r="AL133" i="11"/>
  <c r="AK133" i="11"/>
  <c r="AF133" i="11"/>
  <c r="AG133" i="11"/>
  <c r="X133" i="11"/>
  <c r="Y133" i="11"/>
  <c r="Z133" i="11"/>
  <c r="AA133" i="11"/>
  <c r="AB133" i="11"/>
  <c r="AC133" i="11"/>
  <c r="AD133" i="11"/>
  <c r="AE133" i="11"/>
  <c r="AP133" i="11"/>
  <c r="W133" i="11"/>
  <c r="AE141" i="1"/>
  <c r="X141" i="1"/>
  <c r="Y141" i="1"/>
  <c r="Z141" i="1"/>
  <c r="AA141" i="1"/>
  <c r="AB141" i="1"/>
  <c r="AC141" i="1"/>
  <c r="AK141" i="1"/>
  <c r="AN141" i="1"/>
  <c r="AO141" i="1"/>
  <c r="AP141" i="1"/>
  <c r="W141" i="1"/>
  <c r="AD36" i="1"/>
  <c r="AJ133" i="11" l="1"/>
  <c r="AJ9" i="4" l="1"/>
  <c r="AJ6" i="4" s="1"/>
  <c r="AF44" i="3"/>
  <c r="AF46" i="3" s="1"/>
  <c r="AJ14" i="4" l="1"/>
  <c r="Q20" i="15"/>
  <c r="AE227" i="2"/>
  <c r="AF30" i="10"/>
  <c r="AG30" i="10" s="1"/>
  <c r="AH30" i="10" s="1"/>
  <c r="AI30" i="10" s="1"/>
  <c r="AJ30" i="10" s="1"/>
  <c r="AK30" i="10" s="1"/>
  <c r="AE31" i="10"/>
  <c r="AB31" i="10"/>
  <c r="AG19" i="9" l="1"/>
  <c r="AH19" i="9" s="1"/>
  <c r="AI19" i="9" s="1"/>
  <c r="AJ19" i="9" s="1"/>
  <c r="AK19" i="9" s="1"/>
  <c r="AL19" i="9" s="1"/>
  <c r="AM19" i="9" s="1"/>
  <c r="AN19" i="9" s="1"/>
  <c r="AO19" i="9" s="1"/>
  <c r="AP19" i="9" s="1"/>
  <c r="AG20" i="9"/>
  <c r="AH20" i="9" s="1"/>
  <c r="AI20" i="9" s="1"/>
  <c r="AJ20" i="9" s="1"/>
  <c r="AK20" i="9" s="1"/>
  <c r="AL20" i="9" s="1"/>
  <c r="AM20" i="9" s="1"/>
  <c r="AN20" i="9" s="1"/>
  <c r="AO20" i="9" s="1"/>
  <c r="AP20" i="9" s="1"/>
  <c r="AG21" i="9"/>
  <c r="AH21" i="9" s="1"/>
  <c r="AI21" i="9" s="1"/>
  <c r="AJ21" i="9" s="1"/>
  <c r="AK21" i="9" s="1"/>
  <c r="AL21" i="9" s="1"/>
  <c r="AM21" i="9" s="1"/>
  <c r="AN21" i="9" s="1"/>
  <c r="AO21" i="9" s="1"/>
  <c r="AP21" i="9" s="1"/>
  <c r="V44" i="3" l="1"/>
  <c r="AD15" i="15" l="1"/>
  <c r="AB15" i="15"/>
  <c r="Z15" i="15"/>
  <c r="X15" i="15"/>
  <c r="V15" i="15"/>
  <c r="T15" i="15"/>
  <c r="R15" i="15"/>
  <c r="P15" i="15"/>
  <c r="N15" i="15"/>
  <c r="L15" i="15"/>
  <c r="J15" i="15"/>
  <c r="H15" i="15"/>
  <c r="H14" i="15"/>
  <c r="F15" i="15"/>
  <c r="F14" i="15"/>
  <c r="D15" i="15"/>
  <c r="D14" i="15"/>
  <c r="D13" i="15"/>
  <c r="G15" i="15"/>
  <c r="G14" i="15"/>
  <c r="E15" i="15"/>
  <c r="E14" i="15"/>
  <c r="C15" i="15"/>
  <c r="C14" i="15"/>
  <c r="J10" i="15"/>
  <c r="H12" i="15"/>
  <c r="H11" i="15"/>
  <c r="H10" i="15"/>
  <c r="F12" i="15"/>
  <c r="F11" i="15"/>
  <c r="F10" i="15"/>
  <c r="F9" i="15"/>
  <c r="D12" i="15"/>
  <c r="D11" i="15"/>
  <c r="D10" i="15"/>
  <c r="D9" i="15"/>
  <c r="G12" i="15"/>
  <c r="E12" i="15"/>
  <c r="C12" i="15"/>
  <c r="E11" i="15"/>
  <c r="G11" i="15"/>
  <c r="C11" i="15" l="1"/>
  <c r="H9" i="15"/>
  <c r="D32" i="15"/>
  <c r="I28" i="15"/>
  <c r="I22" i="15"/>
  <c r="H22" i="15"/>
  <c r="G22" i="15"/>
  <c r="F22" i="15"/>
  <c r="E22" i="15"/>
  <c r="I21" i="15"/>
  <c r="H21" i="15"/>
  <c r="G21" i="15"/>
  <c r="F21" i="15"/>
  <c r="E21" i="15"/>
  <c r="I20" i="15"/>
  <c r="H20" i="15"/>
  <c r="G20" i="15"/>
  <c r="F20" i="15"/>
  <c r="E20" i="15"/>
  <c r="H19" i="15"/>
  <c r="F19" i="15"/>
  <c r="G18" i="15"/>
  <c r="H18" i="15" s="1"/>
  <c r="F18" i="15"/>
  <c r="I17" i="15"/>
  <c r="G17" i="15"/>
  <c r="E17" i="15"/>
  <c r="F17" i="15" s="1"/>
  <c r="H13" i="15"/>
  <c r="F13" i="15"/>
  <c r="AE8" i="15"/>
  <c r="AP4" i="15"/>
  <c r="AO4" i="15"/>
  <c r="AN4" i="15"/>
  <c r="AM4" i="15"/>
  <c r="AL4" i="15"/>
  <c r="AK4" i="15"/>
  <c r="AJ4" i="15"/>
  <c r="AI4" i="15"/>
  <c r="AG4" i="15"/>
  <c r="AF4" i="15"/>
  <c r="O4" i="15"/>
  <c r="AQ4" i="15" s="1"/>
  <c r="F4" i="15"/>
  <c r="AH4" i="15" s="1"/>
  <c r="J133" i="1"/>
  <c r="K133" i="1"/>
  <c r="L133" i="1"/>
  <c r="M133" i="1"/>
  <c r="N133" i="1"/>
  <c r="O133" i="1"/>
  <c r="P133" i="1"/>
  <c r="Q133" i="1"/>
  <c r="R133" i="1"/>
  <c r="S133" i="1"/>
  <c r="T133" i="1"/>
  <c r="U133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B3" i="12"/>
  <c r="C3" i="12"/>
  <c r="B4" i="12"/>
  <c r="C4" i="12"/>
  <c r="B5" i="12"/>
  <c r="C5" i="12"/>
  <c r="B6" i="12"/>
  <c r="C6" i="12"/>
  <c r="D6" i="12"/>
  <c r="B7" i="12"/>
  <c r="C7" i="12"/>
  <c r="D7" i="12"/>
  <c r="E7" i="12"/>
  <c r="F7" i="12"/>
  <c r="G7" i="12"/>
  <c r="H7" i="12"/>
  <c r="B8" i="12"/>
  <c r="C8" i="12"/>
  <c r="D8" i="12"/>
  <c r="B9" i="12"/>
  <c r="C9" i="12"/>
  <c r="D9" i="12"/>
  <c r="E9" i="12"/>
  <c r="F9" i="12"/>
  <c r="G9" i="12"/>
  <c r="H9" i="12"/>
  <c r="B10" i="12"/>
  <c r="C10" i="12"/>
  <c r="D10" i="12"/>
  <c r="E10" i="12"/>
  <c r="F10" i="12"/>
  <c r="G10" i="12"/>
  <c r="H10" i="12"/>
  <c r="B11" i="12"/>
  <c r="C11" i="12"/>
  <c r="D11" i="12"/>
  <c r="E11" i="12"/>
  <c r="F11" i="12"/>
  <c r="G11" i="12"/>
  <c r="H11" i="12"/>
  <c r="B12" i="12"/>
  <c r="C12" i="12"/>
  <c r="D12" i="12"/>
  <c r="E12" i="12"/>
  <c r="F12" i="12"/>
  <c r="G12" i="12"/>
  <c r="H12" i="12"/>
  <c r="B13" i="12"/>
  <c r="C13" i="12"/>
  <c r="B14" i="12"/>
  <c r="C14" i="12"/>
  <c r="B16" i="12"/>
  <c r="C16" i="12"/>
  <c r="B17" i="12"/>
  <c r="C17" i="12"/>
  <c r="D17" i="12"/>
  <c r="E17" i="12"/>
  <c r="F17" i="12"/>
  <c r="G17" i="12"/>
  <c r="H17" i="12"/>
  <c r="B18" i="12"/>
  <c r="C18" i="12"/>
  <c r="D18" i="12"/>
  <c r="E18" i="12"/>
  <c r="F18" i="12"/>
  <c r="G18" i="12"/>
  <c r="H18" i="12"/>
  <c r="B19" i="12"/>
  <c r="C19" i="12"/>
  <c r="D19" i="12"/>
  <c r="E19" i="12"/>
  <c r="F19" i="12"/>
  <c r="G19" i="12"/>
  <c r="H19" i="12"/>
  <c r="B20" i="12"/>
  <c r="C20" i="12"/>
  <c r="D20" i="12"/>
  <c r="E20" i="12"/>
  <c r="F20" i="12"/>
  <c r="G20" i="12"/>
  <c r="H20" i="12"/>
  <c r="B21" i="12"/>
  <c r="C21" i="12"/>
  <c r="D21" i="12"/>
  <c r="E21" i="12"/>
  <c r="F21" i="12"/>
  <c r="G21" i="12"/>
  <c r="H21" i="12"/>
  <c r="B22" i="12"/>
  <c r="C22" i="12"/>
  <c r="D22" i="12"/>
  <c r="G22" i="12"/>
  <c r="H22" i="12"/>
  <c r="B23" i="12"/>
  <c r="C23" i="12"/>
  <c r="B24" i="12"/>
  <c r="C24" i="12"/>
  <c r="D24" i="12"/>
  <c r="E24" i="12"/>
  <c r="F24" i="12"/>
  <c r="G24" i="12"/>
  <c r="H24" i="12"/>
  <c r="B25" i="12"/>
  <c r="C25" i="12"/>
  <c r="D25" i="12"/>
  <c r="E25" i="12"/>
  <c r="F25" i="12"/>
  <c r="G25" i="12"/>
  <c r="H25" i="12"/>
  <c r="B26" i="12"/>
  <c r="C26" i="12"/>
  <c r="D26" i="12"/>
  <c r="E26" i="12"/>
  <c r="F26" i="12"/>
  <c r="G26" i="12"/>
  <c r="H26" i="12"/>
  <c r="B27" i="12"/>
  <c r="C27" i="12"/>
  <c r="D27" i="12"/>
  <c r="B28" i="12"/>
  <c r="C28" i="12"/>
  <c r="D28" i="12"/>
  <c r="E28" i="12"/>
  <c r="H28" i="12"/>
  <c r="B30" i="12"/>
  <c r="C30" i="12"/>
  <c r="D30" i="12"/>
  <c r="B31" i="12"/>
  <c r="B29" i="12" s="1"/>
  <c r="C31" i="12"/>
  <c r="C29" i="12" s="1"/>
  <c r="D31" i="12"/>
  <c r="D29" i="12" s="1"/>
  <c r="E31" i="12"/>
  <c r="E29" i="12" s="1"/>
  <c r="F31" i="12"/>
  <c r="F29" i="12" s="1"/>
  <c r="G31" i="12"/>
  <c r="G29" i="12" s="1"/>
  <c r="H31" i="12"/>
  <c r="H29" i="12" s="1"/>
  <c r="B32" i="12"/>
  <c r="C32" i="12"/>
  <c r="D32" i="12"/>
  <c r="B33" i="12"/>
  <c r="C33" i="12"/>
  <c r="D33" i="12"/>
  <c r="E33" i="12"/>
  <c r="F33" i="12"/>
  <c r="G33" i="12"/>
  <c r="H33" i="12"/>
  <c r="Z93" i="6"/>
  <c r="H34" i="12"/>
  <c r="F34" i="12"/>
  <c r="V4" i="10"/>
  <c r="W4" i="10"/>
  <c r="X4" i="10"/>
  <c r="Y4" i="10"/>
  <c r="Z4" i="10"/>
  <c r="AA4" i="10"/>
  <c r="V5" i="10"/>
  <c r="W5" i="10"/>
  <c r="X5" i="10"/>
  <c r="Y5" i="10"/>
  <c r="Z5" i="10"/>
  <c r="AA5" i="10"/>
  <c r="V7" i="10"/>
  <c r="W7" i="10"/>
  <c r="X7" i="10"/>
  <c r="Y7" i="10"/>
  <c r="Z7" i="10"/>
  <c r="AA7" i="10"/>
  <c r="V8" i="10"/>
  <c r="W8" i="10"/>
  <c r="X8" i="10"/>
  <c r="Y8" i="10"/>
  <c r="Z8" i="10"/>
  <c r="AA8" i="10"/>
  <c r="V13" i="10"/>
  <c r="W13" i="10"/>
  <c r="X13" i="10"/>
  <c r="Y13" i="10"/>
  <c r="Z13" i="10"/>
  <c r="AA13" i="10"/>
  <c r="V21" i="10"/>
  <c r="W21" i="10"/>
  <c r="X21" i="10"/>
  <c r="Y21" i="10"/>
  <c r="Z21" i="10"/>
  <c r="AA21" i="10"/>
  <c r="V23" i="10"/>
  <c r="W23" i="10"/>
  <c r="X23" i="10"/>
  <c r="Y23" i="10"/>
  <c r="Z23" i="10"/>
  <c r="AA23" i="10"/>
  <c r="V27" i="10"/>
  <c r="I14" i="2"/>
  <c r="G34" i="12" l="1"/>
  <c r="C15" i="12"/>
  <c r="Q4" i="15"/>
  <c r="S4" i="15" s="1"/>
  <c r="U4" i="15" s="1"/>
  <c r="B15" i="12"/>
  <c r="K17" i="15" l="1"/>
  <c r="L17" i="15" s="1"/>
  <c r="W4" i="15"/>
  <c r="AO18" i="4"/>
  <c r="AN18" i="4"/>
  <c r="AM18" i="4"/>
  <c r="AM15" i="4" s="1"/>
  <c r="AJ18" i="4"/>
  <c r="AK9" i="4"/>
  <c r="AJ3" i="4"/>
  <c r="AJ13" i="4" l="1"/>
  <c r="AL14" i="4"/>
  <c r="AK14" i="4"/>
  <c r="W22" i="15"/>
  <c r="AA22" i="15"/>
  <c r="AJ15" i="4"/>
  <c r="Q22" i="15"/>
  <c r="Y22" i="15"/>
  <c r="S20" i="15"/>
  <c r="Q19" i="15"/>
  <c r="Y4" i="15"/>
  <c r="Y21" i="15" l="1"/>
  <c r="AA21" i="15"/>
  <c r="W21" i="15"/>
  <c r="Q21" i="15"/>
  <c r="AA4" i="15"/>
  <c r="AJ206" i="2"/>
  <c r="AL206" i="2"/>
  <c r="AM206" i="2"/>
  <c r="AN206" i="2"/>
  <c r="AO206" i="2"/>
  <c r="AP206" i="2"/>
  <c r="AL42" i="2"/>
  <c r="AM42" i="2"/>
  <c r="AN42" i="2"/>
  <c r="AO42" i="2"/>
  <c r="AP42" i="2"/>
  <c r="AK42" i="2"/>
  <c r="AJ42" i="2"/>
  <c r="AL41" i="2"/>
  <c r="AM41" i="2"/>
  <c r="AN41" i="2"/>
  <c r="AO41" i="2"/>
  <c r="AP41" i="2"/>
  <c r="AK41" i="2"/>
  <c r="AJ41" i="2"/>
  <c r="AK23" i="4" l="1"/>
  <c r="S22" i="15"/>
  <c r="AC4" i="15"/>
  <c r="AK3" i="4"/>
  <c r="AK79" i="4" l="1"/>
  <c r="AK13" i="4"/>
  <c r="S19" i="15"/>
  <c r="AO21" i="4" l="1"/>
  <c r="AL18" i="4"/>
  <c r="AL15" i="4" s="1"/>
  <c r="AP18" i="4"/>
  <c r="AK15" i="4"/>
  <c r="AM9" i="4"/>
  <c r="AN9" i="4"/>
  <c r="AO9" i="4"/>
  <c r="AP9" i="4"/>
  <c r="AJ2" i="4"/>
  <c r="AK2" i="4"/>
  <c r="AL2" i="4"/>
  <c r="AM2" i="4"/>
  <c r="AN2" i="4"/>
  <c r="AO2" i="4"/>
  <c r="AP2" i="4"/>
  <c r="AI9" i="4"/>
  <c r="AI14" i="4" l="1"/>
  <c r="AI3" i="4"/>
  <c r="AM14" i="4"/>
  <c r="S21" i="15"/>
  <c r="O20" i="15"/>
  <c r="AC20" i="15"/>
  <c r="AC22" i="15"/>
  <c r="U20" i="15"/>
  <c r="AA20" i="15"/>
  <c r="Y20" i="15"/>
  <c r="W20" i="15"/>
  <c r="U22" i="15"/>
  <c r="AN20" i="4"/>
  <c r="AL20" i="4"/>
  <c r="AP3" i="4"/>
  <c r="AK96" i="1"/>
  <c r="AO3" i="4"/>
  <c r="AO20" i="1" s="1"/>
  <c r="AM3" i="4"/>
  <c r="AL3" i="4"/>
  <c r="AO14" i="4"/>
  <c r="AM23" i="4"/>
  <c r="AN3" i="4"/>
  <c r="AN20" i="1" s="1"/>
  <c r="AL23" i="4"/>
  <c r="AP14" i="4"/>
  <c r="AP23" i="4"/>
  <c r="AO23" i="4"/>
  <c r="AN23" i="4"/>
  <c r="AP20" i="4"/>
  <c r="AN14" i="4"/>
  <c r="AO20" i="4"/>
  <c r="AM20" i="4"/>
  <c r="AK16" i="4"/>
  <c r="AK22" i="4"/>
  <c r="R12" i="12"/>
  <c r="S12" i="12"/>
  <c r="T12" i="12"/>
  <c r="U12" i="12"/>
  <c r="V12" i="12"/>
  <c r="W12" i="12"/>
  <c r="X12" i="12"/>
  <c r="R8" i="12"/>
  <c r="S8" i="12"/>
  <c r="T8" i="12"/>
  <c r="U8" i="12"/>
  <c r="V8" i="12"/>
  <c r="W8" i="12"/>
  <c r="X8" i="12"/>
  <c r="AD50" i="8"/>
  <c r="AK12" i="7"/>
  <c r="AP12" i="7"/>
  <c r="AK11" i="7"/>
  <c r="AL11" i="7"/>
  <c r="AM11" i="7"/>
  <c r="AN11" i="7"/>
  <c r="AO11" i="7"/>
  <c r="AP11" i="7"/>
  <c r="AJ67" i="1"/>
  <c r="AK67" i="1"/>
  <c r="AL67" i="1"/>
  <c r="AM67" i="1"/>
  <c r="AN67" i="1"/>
  <c r="AO67" i="1"/>
  <c r="AP67" i="1"/>
  <c r="AP13" i="4" l="1"/>
  <c r="AL13" i="4"/>
  <c r="Z22" i="15"/>
  <c r="U19" i="15"/>
  <c r="T22" i="15"/>
  <c r="AC21" i="15"/>
  <c r="Y19" i="15"/>
  <c r="AD22" i="15"/>
  <c r="AL22" i="4"/>
  <c r="U21" i="15"/>
  <c r="X22" i="15"/>
  <c r="AC19" i="15"/>
  <c r="AA19" i="15"/>
  <c r="T21" i="15"/>
  <c r="AB22" i="15"/>
  <c r="W19" i="15"/>
  <c r="V22" i="15"/>
  <c r="AL16" i="4"/>
  <c r="AP20" i="1"/>
  <c r="AO22" i="4"/>
  <c r="AO96" i="1"/>
  <c r="AP22" i="4"/>
  <c r="AP16" i="4"/>
  <c r="AN96" i="1"/>
  <c r="AM96" i="1"/>
  <c r="AN16" i="4"/>
  <c r="AO16" i="4"/>
  <c r="AO13" i="4"/>
  <c r="AL96" i="1"/>
  <c r="AP96" i="1"/>
  <c r="AM13" i="4"/>
  <c r="AN13" i="4"/>
  <c r="AM16" i="4"/>
  <c r="AM22" i="4"/>
  <c r="AN22" i="4"/>
  <c r="X21" i="15" l="1"/>
  <c r="AD21" i="15"/>
  <c r="V21" i="15"/>
  <c r="AB21" i="15"/>
  <c r="Z21" i="15"/>
  <c r="AD47" i="4"/>
  <c r="T26" i="12" l="1"/>
  <c r="U26" i="12"/>
  <c r="X24" i="12" l="1"/>
  <c r="S24" i="12"/>
  <c r="V27" i="12"/>
  <c r="V26" i="12"/>
  <c r="V24" i="12"/>
  <c r="U24" i="12"/>
  <c r="T27" i="12"/>
  <c r="X26" i="12"/>
  <c r="U27" i="12"/>
  <c r="R30" i="14"/>
  <c r="S30" i="14"/>
  <c r="T30" i="14"/>
  <c r="U30" i="14"/>
  <c r="V30" i="14"/>
  <c r="W30" i="14"/>
  <c r="X30" i="14"/>
  <c r="R29" i="14"/>
  <c r="S29" i="14"/>
  <c r="T29" i="14"/>
  <c r="U29" i="14"/>
  <c r="V29" i="14"/>
  <c r="W29" i="14"/>
  <c r="X29" i="14"/>
  <c r="R28" i="14"/>
  <c r="S28" i="14"/>
  <c r="T28" i="14"/>
  <c r="U28" i="14"/>
  <c r="V28" i="14"/>
  <c r="W28" i="14"/>
  <c r="X28" i="14"/>
  <c r="R27" i="14"/>
  <c r="S27" i="14"/>
  <c r="T27" i="14"/>
  <c r="U27" i="14"/>
  <c r="V27" i="14"/>
  <c r="W27" i="14"/>
  <c r="X27" i="14"/>
  <c r="R26" i="14"/>
  <c r="S26" i="14"/>
  <c r="T26" i="14"/>
  <c r="U26" i="14"/>
  <c r="V26" i="14"/>
  <c r="W26" i="14"/>
  <c r="X26" i="14"/>
  <c r="R25" i="14"/>
  <c r="S25" i="14"/>
  <c r="T25" i="14"/>
  <c r="U25" i="14"/>
  <c r="V25" i="14"/>
  <c r="W25" i="14"/>
  <c r="X25" i="14"/>
  <c r="R24" i="14"/>
  <c r="S24" i="14"/>
  <c r="T24" i="14"/>
  <c r="U24" i="14"/>
  <c r="V24" i="14"/>
  <c r="W24" i="14"/>
  <c r="X24" i="14"/>
  <c r="R23" i="14"/>
  <c r="S23" i="14"/>
  <c r="T23" i="14"/>
  <c r="U23" i="14"/>
  <c r="V23" i="14"/>
  <c r="W23" i="14"/>
  <c r="X23" i="14"/>
  <c r="R21" i="14"/>
  <c r="S21" i="14"/>
  <c r="T21" i="14"/>
  <c r="U21" i="14"/>
  <c r="V21" i="14"/>
  <c r="W21" i="14"/>
  <c r="X21" i="14"/>
  <c r="R20" i="14"/>
  <c r="S20" i="14"/>
  <c r="T20" i="14"/>
  <c r="U20" i="14"/>
  <c r="V20" i="14"/>
  <c r="W20" i="14"/>
  <c r="X20" i="14"/>
  <c r="U19" i="14"/>
  <c r="T22" i="14"/>
  <c r="U22" i="14"/>
  <c r="V22" i="14"/>
  <c r="W22" i="14"/>
  <c r="X22" i="14"/>
  <c r="R5" i="14"/>
  <c r="R4" i="14" s="1"/>
  <c r="S5" i="14"/>
  <c r="S19" i="14" s="1"/>
  <c r="T5" i="14"/>
  <c r="T19" i="14" s="1"/>
  <c r="U5" i="14"/>
  <c r="U4" i="14" s="1"/>
  <c r="V5" i="14"/>
  <c r="V19" i="14" s="1"/>
  <c r="W5" i="14"/>
  <c r="W4" i="14" s="1"/>
  <c r="X5" i="14"/>
  <c r="X19" i="14" s="1"/>
  <c r="T4" i="14"/>
  <c r="AL230" i="2"/>
  <c r="AM230" i="2"/>
  <c r="AN230" i="2"/>
  <c r="AO230" i="2"/>
  <c r="AP230" i="2"/>
  <c r="S4" i="14" l="1"/>
  <c r="S2" i="14" s="1"/>
  <c r="U18" i="14"/>
  <c r="S22" i="14"/>
  <c r="S18" i="14"/>
  <c r="X4" i="14"/>
  <c r="V4" i="14"/>
  <c r="V18" i="14" s="1"/>
  <c r="T18" i="14"/>
  <c r="W19" i="14"/>
  <c r="AG106" i="11"/>
  <c r="AH106" i="11" s="1"/>
  <c r="AI106" i="11" s="1"/>
  <c r="T24" i="12"/>
  <c r="W27" i="12"/>
  <c r="W26" i="12"/>
  <c r="S27" i="12"/>
  <c r="S26" i="12"/>
  <c r="R24" i="12"/>
  <c r="X27" i="12"/>
  <c r="U2" i="14"/>
  <c r="T2" i="14" l="1"/>
  <c r="W2" i="14"/>
  <c r="V2" i="14"/>
  <c r="X2" i="14"/>
  <c r="X18" i="14"/>
  <c r="W18" i="14"/>
  <c r="W24" i="12"/>
  <c r="AE219" i="2"/>
  <c r="AE218" i="2"/>
  <c r="AE217" i="2"/>
  <c r="AD219" i="2"/>
  <c r="AC219" i="2"/>
  <c r="AC218" i="2"/>
  <c r="AD218" i="2"/>
  <c r="AC217" i="2"/>
  <c r="AD217" i="2"/>
  <c r="AH230" i="2"/>
  <c r="AI230" i="2"/>
  <c r="AJ230" i="2"/>
  <c r="W219" i="2"/>
  <c r="X219" i="2"/>
  <c r="Y219" i="2"/>
  <c r="Z219" i="2"/>
  <c r="AA219" i="2"/>
  <c r="AB219" i="2"/>
  <c r="W218" i="2"/>
  <c r="X218" i="2"/>
  <c r="Y218" i="2"/>
  <c r="Z218" i="2"/>
  <c r="AA218" i="2"/>
  <c r="AB218" i="2"/>
  <c r="W217" i="2"/>
  <c r="X217" i="2"/>
  <c r="Y217" i="2"/>
  <c r="Z217" i="2"/>
  <c r="AA217" i="2"/>
  <c r="AB217" i="2"/>
  <c r="Y106" i="1" l="1"/>
  <c r="L20" i="12" l="1"/>
  <c r="M20" i="12"/>
  <c r="I18" i="15" l="1"/>
  <c r="J18" i="15" s="1"/>
  <c r="AJ35" i="2"/>
  <c r="AG15" i="4" l="1"/>
  <c r="K22" i="15"/>
  <c r="K18" i="15"/>
  <c r="L18" i="15" s="1"/>
  <c r="AN19" i="15" s="1"/>
  <c r="AK35" i="2"/>
  <c r="AF21" i="3"/>
  <c r="AG27" i="3"/>
  <c r="AH27" i="3" s="1"/>
  <c r="AI27" i="3" s="1"/>
  <c r="AJ27" i="3" s="1"/>
  <c r="AH9" i="4"/>
  <c r="AE14" i="4"/>
  <c r="X14" i="4"/>
  <c r="Y14" i="4"/>
  <c r="Z14" i="4"/>
  <c r="AA14" i="4"/>
  <c r="AB14" i="4"/>
  <c r="AC14" i="4"/>
  <c r="AD14" i="4"/>
  <c r="W14" i="4"/>
  <c r="W13" i="4"/>
  <c r="M20" i="15" l="1"/>
  <c r="K21" i="15"/>
  <c r="M18" i="15"/>
  <c r="AL35" i="2"/>
  <c r="AJ28" i="3"/>
  <c r="AK27" i="3"/>
  <c r="AL27" i="3" s="1"/>
  <c r="AM27" i="3" s="1"/>
  <c r="AJ33" i="3"/>
  <c r="AF22" i="3"/>
  <c r="AF49" i="3" l="1"/>
  <c r="AF50" i="3" s="1"/>
  <c r="AO19" i="15"/>
  <c r="N18" i="15"/>
  <c r="O18" i="15"/>
  <c r="P18" i="15" s="1"/>
  <c r="I16" i="15"/>
  <c r="AM35" i="2"/>
  <c r="AK28" i="3"/>
  <c r="AK33" i="3"/>
  <c r="AD22" i="1"/>
  <c r="AD21" i="1"/>
  <c r="AE38" i="1" s="1"/>
  <c r="AD20" i="1"/>
  <c r="AD17" i="1"/>
  <c r="AD15" i="1" s="1"/>
  <c r="AD14" i="1"/>
  <c r="X22" i="4"/>
  <c r="Y22" i="4"/>
  <c r="Z22" i="4"/>
  <c r="AA22" i="4"/>
  <c r="AB22" i="4"/>
  <c r="AC22" i="4"/>
  <c r="AD22" i="4"/>
  <c r="AE22" i="4"/>
  <c r="X23" i="4"/>
  <c r="Y23" i="4"/>
  <c r="Z23" i="4"/>
  <c r="AA23" i="4"/>
  <c r="AB23" i="4"/>
  <c r="AC23" i="4"/>
  <c r="AD23" i="4"/>
  <c r="W23" i="4"/>
  <c r="W22" i="4"/>
  <c r="AE90" i="6"/>
  <c r="AE40" i="6"/>
  <c r="AD40" i="6"/>
  <c r="Q18" i="15" l="1"/>
  <c r="R18" i="15" s="1"/>
  <c r="AJ36" i="3"/>
  <c r="AJ35" i="3"/>
  <c r="AN35" i="2"/>
  <c r="AL33" i="3"/>
  <c r="AL28" i="3"/>
  <c r="AE13" i="6"/>
  <c r="AE15" i="8"/>
  <c r="AE36" i="3"/>
  <c r="AD36" i="3"/>
  <c r="G34" i="15" l="1"/>
  <c r="G33" i="15"/>
  <c r="S18" i="15"/>
  <c r="T18" i="15" s="1"/>
  <c r="AK36" i="3"/>
  <c r="AK35" i="3"/>
  <c r="AP35" i="2"/>
  <c r="AO35" i="2"/>
  <c r="AM33" i="3"/>
  <c r="AN27" i="3"/>
  <c r="AM28" i="3"/>
  <c r="AE37" i="2"/>
  <c r="AE36" i="2"/>
  <c r="AE45" i="5"/>
  <c r="G32" i="15" l="1"/>
  <c r="U18" i="15"/>
  <c r="V18" i="15" s="1"/>
  <c r="AL35" i="3"/>
  <c r="AL36" i="3"/>
  <c r="AO27" i="3"/>
  <c r="AN33" i="3"/>
  <c r="AN28" i="3"/>
  <c r="X40" i="6"/>
  <c r="Y40" i="6"/>
  <c r="Z40" i="6"/>
  <c r="AA40" i="6"/>
  <c r="AB40" i="6"/>
  <c r="AC40" i="6"/>
  <c r="W40" i="6"/>
  <c r="X13" i="6"/>
  <c r="Y13" i="6"/>
  <c r="Z13" i="6"/>
  <c r="AA13" i="6"/>
  <c r="AB13" i="6"/>
  <c r="AC13" i="6"/>
  <c r="AD13" i="6"/>
  <c r="W13" i="6"/>
  <c r="X13" i="4"/>
  <c r="Y13" i="4"/>
  <c r="Z13" i="4"/>
  <c r="AA13" i="4"/>
  <c r="AB13" i="4"/>
  <c r="AE21" i="3"/>
  <c r="X21" i="3"/>
  <c r="Y21" i="3"/>
  <c r="Z21" i="3"/>
  <c r="AA21" i="3"/>
  <c r="AB21" i="3"/>
  <c r="AC21" i="3"/>
  <c r="AD21" i="3"/>
  <c r="W21" i="3"/>
  <c r="Z20" i="3"/>
  <c r="AG40" i="9"/>
  <c r="AH40" i="9" s="1"/>
  <c r="AI40" i="9" s="1"/>
  <c r="AJ40" i="9" s="1"/>
  <c r="AK40" i="9" s="1"/>
  <c r="AL40" i="9" s="1"/>
  <c r="AM40" i="9" s="1"/>
  <c r="AN40" i="9" s="1"/>
  <c r="AO40" i="9" s="1"/>
  <c r="AP40" i="9" s="1"/>
  <c r="AC13" i="11"/>
  <c r="AD13" i="11"/>
  <c r="AB13" i="11"/>
  <c r="W18" i="15" l="1"/>
  <c r="X18" i="15" s="1"/>
  <c r="AM36" i="3"/>
  <c r="AM35" i="3"/>
  <c r="AI25" i="3"/>
  <c r="AJ25" i="3" s="1"/>
  <c r="AK25" i="3" s="1"/>
  <c r="AL25" i="3" s="1"/>
  <c r="AM25" i="3" s="1"/>
  <c r="AP27" i="3"/>
  <c r="AO33" i="3"/>
  <c r="AO28" i="3"/>
  <c r="Y18" i="15" l="1"/>
  <c r="Z18" i="15" s="1"/>
  <c r="AN36" i="3"/>
  <c r="AN35" i="3"/>
  <c r="M17" i="15"/>
  <c r="N17" i="15" s="1"/>
  <c r="AP28" i="3"/>
  <c r="AP33" i="3"/>
  <c r="AE49" i="5"/>
  <c r="AA18" i="15" l="1"/>
  <c r="AB18" i="15" s="1"/>
  <c r="AO36" i="3"/>
  <c r="AO35" i="3"/>
  <c r="AJ31" i="3"/>
  <c r="O17" i="15"/>
  <c r="P17" i="15" s="1"/>
  <c r="AD107" i="11"/>
  <c r="AE75" i="11"/>
  <c r="AE74" i="11"/>
  <c r="AE69" i="11" s="1"/>
  <c r="AE63" i="11"/>
  <c r="AE43" i="11"/>
  <c r="AE47" i="11"/>
  <c r="AE45" i="11" s="1"/>
  <c r="AE44" i="11" s="1"/>
  <c r="AC46" i="11" s="1"/>
  <c r="AD47" i="11"/>
  <c r="AD45" i="11" s="1"/>
  <c r="AD44" i="11" s="1"/>
  <c r="AC47" i="11" s="1"/>
  <c r="AE24" i="11"/>
  <c r="AC18" i="15" l="1"/>
  <c r="AD18" i="15" s="1"/>
  <c r="AP36" i="3"/>
  <c r="AP35" i="3"/>
  <c r="AK31" i="3"/>
  <c r="Q17" i="15"/>
  <c r="R17" i="15" s="1"/>
  <c r="AJ30" i="3"/>
  <c r="AE30" i="11"/>
  <c r="AE36" i="11"/>
  <c r="AL31" i="3" l="1"/>
  <c r="S17" i="15"/>
  <c r="T17" i="15" s="1"/>
  <c r="AK21" i="3"/>
  <c r="AK30" i="3"/>
  <c r="AE15" i="3"/>
  <c r="AD15" i="3"/>
  <c r="AC15" i="3"/>
  <c r="AM31" i="3" l="1"/>
  <c r="U17" i="15"/>
  <c r="V17" i="15" s="1"/>
  <c r="AL30" i="3"/>
  <c r="AL21" i="3"/>
  <c r="AN31" i="3" l="1"/>
  <c r="W17" i="15"/>
  <c r="AM21" i="3"/>
  <c r="AM30" i="3"/>
  <c r="AO31" i="3" l="1"/>
  <c r="AP31" i="3"/>
  <c r="Y17" i="15"/>
  <c r="Z17" i="15" s="1"/>
  <c r="AN30" i="3"/>
  <c r="AN21" i="3"/>
  <c r="X17" i="15"/>
  <c r="AA17" i="15" l="1"/>
  <c r="AB17" i="15" s="1"/>
  <c r="AO30" i="3"/>
  <c r="AO21" i="3"/>
  <c r="AE44" i="3"/>
  <c r="AC17" i="15" l="1"/>
  <c r="AD17" i="15" s="1"/>
  <c r="AP21" i="3"/>
  <c r="AP30" i="3"/>
  <c r="AE194" i="2"/>
  <c r="AE195" i="2" l="1"/>
  <c r="AE208" i="2"/>
  <c r="AE211" i="2"/>
  <c r="AE213" i="2"/>
  <c r="AE150" i="2"/>
  <c r="AD150" i="2"/>
  <c r="AC150" i="2"/>
  <c r="AB150" i="2"/>
  <c r="AA150" i="2"/>
  <c r="Z150" i="2"/>
  <c r="Y150" i="2"/>
  <c r="X150" i="2"/>
  <c r="W150" i="2"/>
  <c r="V150" i="2"/>
  <c r="AE149" i="2"/>
  <c r="AE201" i="2" l="1"/>
  <c r="AE48" i="5" s="1"/>
  <c r="AE197" i="2"/>
  <c r="AE27" i="11"/>
  <c r="AI36" i="3" l="1"/>
  <c r="AI35" i="3"/>
  <c r="AH36" i="3"/>
  <c r="AH35" i="3"/>
  <c r="AG35" i="3"/>
  <c r="AE14" i="3"/>
  <c r="AE6" i="3"/>
  <c r="Z64" i="9" l="1"/>
  <c r="Z63" i="9"/>
  <c r="Z62" i="9"/>
  <c r="Z61" i="9"/>
  <c r="Z60" i="9"/>
  <c r="W56" i="9"/>
  <c r="W60" i="9" s="1"/>
  <c r="V52" i="9"/>
  <c r="AD36" i="9"/>
  <c r="AC36" i="9"/>
  <c r="AE33" i="9"/>
  <c r="AD33" i="9"/>
  <c r="AE26" i="9"/>
  <c r="AE25" i="9" s="1"/>
  <c r="AE24" i="9" s="1"/>
  <c r="AD25" i="9"/>
  <c r="AC25" i="9"/>
  <c r="AD22" i="9"/>
  <c r="AE71" i="6"/>
  <c r="AE70" i="6"/>
  <c r="AE27" i="6"/>
  <c r="AE17" i="4"/>
  <c r="AD24" i="9" l="1"/>
  <c r="V56" i="9"/>
  <c r="AE42" i="6"/>
  <c r="AE4" i="6"/>
  <c r="V60" i="9" l="1"/>
  <c r="X53" i="9"/>
  <c r="V65" i="9"/>
  <c r="Z65" i="9" s="1"/>
  <c r="X54" i="9"/>
  <c r="X51" i="9"/>
  <c r="X55" i="9"/>
  <c r="X52" i="9"/>
  <c r="X56" i="9" l="1"/>
  <c r="AD17" i="4"/>
  <c r="AD49" i="5"/>
  <c r="O30" i="14"/>
  <c r="P30" i="14"/>
  <c r="Q30" i="14"/>
  <c r="M28" i="14"/>
  <c r="M14" i="14"/>
  <c r="N28" i="14" s="1"/>
  <c r="M12" i="14"/>
  <c r="M5" i="14"/>
  <c r="M4" i="14"/>
  <c r="AE14" i="2"/>
  <c r="AE12" i="2"/>
  <c r="AE5" i="2"/>
  <c r="AE10" i="11"/>
  <c r="AE231" i="2" l="1"/>
  <c r="AE230" i="2" s="1"/>
  <c r="G10" i="15"/>
  <c r="AF41" i="2"/>
  <c r="AF28" i="2"/>
  <c r="AF43" i="2" s="1"/>
  <c r="I15" i="15"/>
  <c r="AE4" i="2"/>
  <c r="G9" i="15" s="1"/>
  <c r="AE221" i="2"/>
  <c r="AE234" i="2" s="1"/>
  <c r="AE223" i="2" l="1"/>
  <c r="AE222" i="2"/>
  <c r="AE235" i="2" s="1"/>
  <c r="AE224" i="2"/>
  <c r="AE237" i="2" s="1"/>
  <c r="W14" i="8"/>
  <c r="X14" i="8"/>
  <c r="Y14" i="8"/>
  <c r="Z14" i="8"/>
  <c r="AA14" i="8"/>
  <c r="AB14" i="8"/>
  <c r="AC14" i="8"/>
  <c r="C33" i="15" s="1"/>
  <c r="AD14" i="8"/>
  <c r="E33" i="15" s="1"/>
  <c r="W15" i="8"/>
  <c r="X15" i="8"/>
  <c r="Y15" i="8"/>
  <c r="Z15" i="8"/>
  <c r="AA15" i="8"/>
  <c r="AB15" i="8"/>
  <c r="AC15" i="8"/>
  <c r="AD15" i="8"/>
  <c r="V15" i="8"/>
  <c r="V14" i="8"/>
  <c r="V6" i="8"/>
  <c r="AE65" i="5"/>
  <c r="F33" i="15" l="1"/>
  <c r="H33" i="15"/>
  <c r="E34" i="15"/>
  <c r="C34" i="15"/>
  <c r="C32" i="15" s="1"/>
  <c r="AE236" i="2"/>
  <c r="AE225" i="2"/>
  <c r="AE238" i="2" s="1"/>
  <c r="W16" i="5"/>
  <c r="E32" i="15" l="1"/>
  <c r="F34" i="15"/>
  <c r="F32" i="15" s="1"/>
  <c r="H34" i="15"/>
  <c r="H32" i="15" s="1"/>
  <c r="W4" i="3"/>
  <c r="X4" i="3" s="1"/>
  <c r="Y4" i="3" s="1"/>
  <c r="Z4" i="3" s="1"/>
  <c r="AA4" i="3" s="1"/>
  <c r="AB4" i="3" s="1"/>
  <c r="O20" i="14" l="1"/>
  <c r="P20" i="14"/>
  <c r="Q20" i="14"/>
  <c r="O21" i="14"/>
  <c r="P21" i="14"/>
  <c r="Q21" i="14"/>
  <c r="O23" i="14"/>
  <c r="P23" i="14"/>
  <c r="Q23" i="14"/>
  <c r="O24" i="14"/>
  <c r="P24" i="14"/>
  <c r="Q24" i="14"/>
  <c r="O25" i="14"/>
  <c r="P25" i="14"/>
  <c r="Q25" i="14"/>
  <c r="O26" i="14"/>
  <c r="P26" i="14"/>
  <c r="Q26" i="14"/>
  <c r="O27" i="14"/>
  <c r="P27" i="14"/>
  <c r="Q27" i="14"/>
  <c r="O28" i="14"/>
  <c r="P28" i="14"/>
  <c r="Q28" i="14"/>
  <c r="O29" i="14"/>
  <c r="P29" i="14"/>
  <c r="Q29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L196" i="14"/>
  <c r="K196" i="14"/>
  <c r="J196" i="14"/>
  <c r="I196" i="14"/>
  <c r="H196" i="14"/>
  <c r="G196" i="14"/>
  <c r="F196" i="14"/>
  <c r="E196" i="14"/>
  <c r="D196" i="14"/>
  <c r="M194" i="14"/>
  <c r="M208" i="14" s="1"/>
  <c r="L194" i="14"/>
  <c r="L211" i="14" s="1"/>
  <c r="K194" i="14"/>
  <c r="K208" i="14" s="1"/>
  <c r="J194" i="14"/>
  <c r="J211" i="14" s="1"/>
  <c r="I194" i="14"/>
  <c r="H194" i="14"/>
  <c r="H211" i="14" s="1"/>
  <c r="G194" i="14"/>
  <c r="G208" i="14" s="1"/>
  <c r="F194" i="14"/>
  <c r="F211" i="14" s="1"/>
  <c r="E194" i="14"/>
  <c r="E208" i="14" s="1"/>
  <c r="D194" i="14"/>
  <c r="D195" i="14" s="1"/>
  <c r="D201" i="14" s="1"/>
  <c r="D192" i="14"/>
  <c r="E191" i="14"/>
  <c r="H188" i="14"/>
  <c r="I188" i="14" s="1"/>
  <c r="J188" i="14" s="1"/>
  <c r="K188" i="14" s="1"/>
  <c r="L188" i="14" s="1"/>
  <c r="M188" i="14" s="1"/>
  <c r="N188" i="14" s="1"/>
  <c r="O188" i="14" s="1"/>
  <c r="P188" i="14" s="1"/>
  <c r="Q188" i="14" s="1"/>
  <c r="E188" i="14"/>
  <c r="F188" i="14" s="1"/>
  <c r="D188" i="14"/>
  <c r="K187" i="14"/>
  <c r="L187" i="14" s="1"/>
  <c r="M187" i="14" s="1"/>
  <c r="N187" i="14" s="1"/>
  <c r="O187" i="14" s="1"/>
  <c r="P187" i="14" s="1"/>
  <c r="Q187" i="14" s="1"/>
  <c r="I187" i="14"/>
  <c r="E187" i="14"/>
  <c r="F187" i="14" s="1"/>
  <c r="F191" i="14" s="1"/>
  <c r="D187" i="14"/>
  <c r="D191" i="14" s="1"/>
  <c r="L186" i="14"/>
  <c r="K186" i="14"/>
  <c r="K66" i="14" s="1"/>
  <c r="J186" i="14"/>
  <c r="J190" i="14" s="1"/>
  <c r="I186" i="14"/>
  <c r="I190" i="14" s="1"/>
  <c r="H186" i="14"/>
  <c r="H190" i="14" s="1"/>
  <c r="G186" i="14"/>
  <c r="F186" i="14"/>
  <c r="F66" i="14" s="1"/>
  <c r="E186" i="14"/>
  <c r="E66" i="14" s="1"/>
  <c r="D186" i="14"/>
  <c r="D190" i="14" s="1"/>
  <c r="M185" i="14"/>
  <c r="L185" i="14"/>
  <c r="K185" i="14"/>
  <c r="J185" i="14"/>
  <c r="I185" i="14"/>
  <c r="H185" i="14"/>
  <c r="M168" i="14"/>
  <c r="L168" i="14"/>
  <c r="K168" i="14"/>
  <c r="K169" i="14" s="1"/>
  <c r="K170" i="14" s="1"/>
  <c r="J168" i="14"/>
  <c r="J169" i="14" s="1"/>
  <c r="J170" i="14" s="1"/>
  <c r="I168" i="14"/>
  <c r="I169" i="14" s="1"/>
  <c r="I170" i="14" s="1"/>
  <c r="I167" i="14" s="1"/>
  <c r="H168" i="14"/>
  <c r="H169" i="14" s="1"/>
  <c r="H170" i="14" s="1"/>
  <c r="G168" i="14"/>
  <c r="F168" i="14"/>
  <c r="F169" i="14" s="1"/>
  <c r="F170" i="14" s="1"/>
  <c r="E168" i="14"/>
  <c r="E169" i="14" s="1"/>
  <c r="E170" i="14" s="1"/>
  <c r="D168" i="14"/>
  <c r="D169" i="14" s="1"/>
  <c r="D170" i="14" s="1"/>
  <c r="D165" i="14"/>
  <c r="L156" i="14"/>
  <c r="K156" i="14"/>
  <c r="J156" i="14"/>
  <c r="I156" i="14"/>
  <c r="H156" i="14"/>
  <c r="G156" i="14"/>
  <c r="F156" i="14"/>
  <c r="E156" i="14"/>
  <c r="D156" i="14"/>
  <c r="D153" i="14"/>
  <c r="D158" i="14" s="1"/>
  <c r="M152" i="14"/>
  <c r="L152" i="14"/>
  <c r="K152" i="14"/>
  <c r="J152" i="14"/>
  <c r="I152" i="14"/>
  <c r="H152" i="14"/>
  <c r="G152" i="14"/>
  <c r="F152" i="14"/>
  <c r="E152" i="14"/>
  <c r="D152" i="14"/>
  <c r="L150" i="14"/>
  <c r="K150" i="14"/>
  <c r="J150" i="14"/>
  <c r="I150" i="14"/>
  <c r="H150" i="14"/>
  <c r="G150" i="14"/>
  <c r="F150" i="14"/>
  <c r="E150" i="14"/>
  <c r="D150" i="14"/>
  <c r="L149" i="14"/>
  <c r="K149" i="14"/>
  <c r="K147" i="14" s="1"/>
  <c r="J149" i="14"/>
  <c r="I149" i="14"/>
  <c r="I147" i="14" s="1"/>
  <c r="H149" i="14"/>
  <c r="H147" i="14" s="1"/>
  <c r="G149" i="14"/>
  <c r="F149" i="14"/>
  <c r="F147" i="14" s="1"/>
  <c r="E149" i="14"/>
  <c r="E147" i="14" s="1"/>
  <c r="D149" i="14"/>
  <c r="M146" i="14"/>
  <c r="L146" i="14"/>
  <c r="K146" i="14"/>
  <c r="J146" i="14"/>
  <c r="I146" i="14"/>
  <c r="H146" i="14"/>
  <c r="G146" i="14"/>
  <c r="F146" i="14"/>
  <c r="E146" i="14"/>
  <c r="D146" i="14"/>
  <c r="M143" i="14"/>
  <c r="N143" i="14" s="1"/>
  <c r="N140" i="14" s="1"/>
  <c r="M142" i="14"/>
  <c r="N142" i="14" s="1"/>
  <c r="L140" i="14"/>
  <c r="K140" i="14"/>
  <c r="J140" i="14"/>
  <c r="I140" i="14"/>
  <c r="H140" i="14"/>
  <c r="G140" i="14"/>
  <c r="F140" i="14"/>
  <c r="M139" i="14"/>
  <c r="L139" i="14"/>
  <c r="K139" i="14"/>
  <c r="J139" i="14"/>
  <c r="I139" i="14"/>
  <c r="H139" i="14"/>
  <c r="G139" i="14"/>
  <c r="F139" i="14"/>
  <c r="I137" i="14"/>
  <c r="H137" i="14"/>
  <c r="G137" i="14"/>
  <c r="F137" i="14"/>
  <c r="E137" i="14"/>
  <c r="D137" i="14"/>
  <c r="D138" i="14" s="1"/>
  <c r="E130" i="14"/>
  <c r="F130" i="14" s="1"/>
  <c r="G130" i="14" s="1"/>
  <c r="H130" i="14" s="1"/>
  <c r="I130" i="14" s="1"/>
  <c r="J130" i="14" s="1"/>
  <c r="K130" i="14" s="1"/>
  <c r="L130" i="14" s="1"/>
  <c r="M130" i="14" s="1"/>
  <c r="N130" i="14" s="1"/>
  <c r="O130" i="14" s="1"/>
  <c r="P130" i="14" s="1"/>
  <c r="Q130" i="14" s="1"/>
  <c r="F123" i="14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E118" i="14"/>
  <c r="F118" i="14" s="1"/>
  <c r="E111" i="14"/>
  <c r="F111" i="14" s="1"/>
  <c r="G111" i="14" s="1"/>
  <c r="D107" i="14"/>
  <c r="D110" i="14" s="1"/>
  <c r="D102" i="14"/>
  <c r="J95" i="14"/>
  <c r="I95" i="14"/>
  <c r="D95" i="14"/>
  <c r="J94" i="14"/>
  <c r="I94" i="14"/>
  <c r="H94" i="14"/>
  <c r="H95" i="14" s="1"/>
  <c r="G94" i="14"/>
  <c r="G95" i="14" s="1"/>
  <c r="F94" i="14"/>
  <c r="F95" i="14" s="1"/>
  <c r="E94" i="14"/>
  <c r="E95" i="14" s="1"/>
  <c r="D94" i="14"/>
  <c r="K93" i="14"/>
  <c r="K94" i="14" s="1"/>
  <c r="K95" i="14" s="1"/>
  <c r="M89" i="14"/>
  <c r="L89" i="14"/>
  <c r="K89" i="14"/>
  <c r="J89" i="14"/>
  <c r="I89" i="14"/>
  <c r="H89" i="14"/>
  <c r="G89" i="14"/>
  <c r="F89" i="14"/>
  <c r="E89" i="14"/>
  <c r="D89" i="14"/>
  <c r="K80" i="14"/>
  <c r="L80" i="14" s="1"/>
  <c r="M80" i="14" s="1"/>
  <c r="N80" i="14" s="1"/>
  <c r="O80" i="14" s="1"/>
  <c r="P80" i="14" s="1"/>
  <c r="Q80" i="14" s="1"/>
  <c r="M73" i="14"/>
  <c r="L73" i="14"/>
  <c r="K73" i="14"/>
  <c r="J73" i="14"/>
  <c r="J87" i="14" s="1"/>
  <c r="I73" i="14"/>
  <c r="H73" i="14"/>
  <c r="G73" i="14"/>
  <c r="F73" i="14"/>
  <c r="E73" i="14"/>
  <c r="D73" i="14"/>
  <c r="D87" i="14" s="1"/>
  <c r="L71" i="14"/>
  <c r="L72" i="14" s="1"/>
  <c r="K71" i="14"/>
  <c r="K72" i="14" s="1"/>
  <c r="J71" i="14"/>
  <c r="I71" i="14"/>
  <c r="H71" i="14"/>
  <c r="G71" i="14"/>
  <c r="F71" i="14"/>
  <c r="E71" i="14"/>
  <c r="D71" i="14"/>
  <c r="N70" i="14"/>
  <c r="O70" i="14" s="1"/>
  <c r="M70" i="14"/>
  <c r="M65" i="14"/>
  <c r="L65" i="14"/>
  <c r="K65" i="14"/>
  <c r="J65" i="14"/>
  <c r="I65" i="14"/>
  <c r="H65" i="14"/>
  <c r="G65" i="14"/>
  <c r="F65" i="14"/>
  <c r="E65" i="14"/>
  <c r="D65" i="14"/>
  <c r="M60" i="14"/>
  <c r="L60" i="14"/>
  <c r="K60" i="14"/>
  <c r="J60" i="14"/>
  <c r="I60" i="14"/>
  <c r="H60" i="14"/>
  <c r="G60" i="14"/>
  <c r="F60" i="14"/>
  <c r="E60" i="14"/>
  <c r="D60" i="14"/>
  <c r="M58" i="14"/>
  <c r="L58" i="14"/>
  <c r="K58" i="14"/>
  <c r="J58" i="14"/>
  <c r="I58" i="14"/>
  <c r="H58" i="14"/>
  <c r="G58" i="14"/>
  <c r="F58" i="14"/>
  <c r="E58" i="14"/>
  <c r="D58" i="14"/>
  <c r="M57" i="14"/>
  <c r="L57" i="14"/>
  <c r="E54" i="14"/>
  <c r="F54" i="14" s="1"/>
  <c r="G54" i="14" s="1"/>
  <c r="H54" i="14" s="1"/>
  <c r="I54" i="14" s="1"/>
  <c r="J54" i="14" s="1"/>
  <c r="K54" i="14" s="1"/>
  <c r="L54" i="14" s="1"/>
  <c r="M54" i="14" s="1"/>
  <c r="E53" i="14"/>
  <c r="F53" i="14" s="1"/>
  <c r="G53" i="14" s="1"/>
  <c r="H53" i="14" s="1"/>
  <c r="I53" i="14" s="1"/>
  <c r="J53" i="14" s="1"/>
  <c r="K53" i="14" s="1"/>
  <c r="L53" i="14" s="1"/>
  <c r="M53" i="14" s="1"/>
  <c r="E52" i="14"/>
  <c r="E51" i="14"/>
  <c r="F51" i="14" s="1"/>
  <c r="G51" i="14" s="1"/>
  <c r="H51" i="14" s="1"/>
  <c r="I51" i="14" s="1"/>
  <c r="J51" i="14" s="1"/>
  <c r="K51" i="14" s="1"/>
  <c r="E50" i="14"/>
  <c r="F50" i="14" s="1"/>
  <c r="G50" i="14" s="1"/>
  <c r="H50" i="14" s="1"/>
  <c r="I50" i="14" s="1"/>
  <c r="J50" i="14" s="1"/>
  <c r="K50" i="14" s="1"/>
  <c r="L50" i="14" s="1"/>
  <c r="M50" i="14" s="1"/>
  <c r="N50" i="14" s="1"/>
  <c r="O50" i="14" s="1"/>
  <c r="E49" i="14"/>
  <c r="F49" i="14" s="1"/>
  <c r="G49" i="14" s="1"/>
  <c r="H49" i="14" s="1"/>
  <c r="I49" i="14" s="1"/>
  <c r="J49" i="14" s="1"/>
  <c r="K49" i="14" s="1"/>
  <c r="L49" i="14" s="1"/>
  <c r="M49" i="14" s="1"/>
  <c r="L44" i="14"/>
  <c r="K44" i="14"/>
  <c r="J44" i="14"/>
  <c r="M43" i="14"/>
  <c r="J43" i="14"/>
  <c r="I43" i="14"/>
  <c r="H43" i="14"/>
  <c r="G43" i="14"/>
  <c r="F43" i="14"/>
  <c r="E43" i="14"/>
  <c r="M42" i="14"/>
  <c r="L42" i="14"/>
  <c r="K42" i="14"/>
  <c r="J42" i="14"/>
  <c r="I42" i="14"/>
  <c r="H42" i="14"/>
  <c r="G42" i="14"/>
  <c r="F42" i="14"/>
  <c r="E42" i="14"/>
  <c r="M41" i="14"/>
  <c r="M40" i="14"/>
  <c r="L40" i="14"/>
  <c r="K40" i="14"/>
  <c r="J40" i="14"/>
  <c r="M39" i="14"/>
  <c r="L39" i="14"/>
  <c r="K39" i="14"/>
  <c r="J39" i="14"/>
  <c r="M38" i="14"/>
  <c r="L38" i="14"/>
  <c r="M37" i="14"/>
  <c r="L37" i="14"/>
  <c r="K37" i="14"/>
  <c r="J37" i="14"/>
  <c r="K36" i="14"/>
  <c r="J36" i="14"/>
  <c r="M35" i="14"/>
  <c r="L35" i="14"/>
  <c r="K35" i="14"/>
  <c r="J35" i="14"/>
  <c r="L34" i="14"/>
  <c r="K34" i="14"/>
  <c r="M44" i="14"/>
  <c r="L28" i="14"/>
  <c r="L43" i="14" s="1"/>
  <c r="K28" i="14"/>
  <c r="K43" i="14" s="1"/>
  <c r="L12" i="14"/>
  <c r="K12" i="14"/>
  <c r="J12" i="14"/>
  <c r="I12" i="14"/>
  <c r="H12" i="14"/>
  <c r="G12" i="14"/>
  <c r="F12" i="14"/>
  <c r="E12" i="14"/>
  <c r="E41" i="14" s="1"/>
  <c r="D12" i="14"/>
  <c r="L5" i="14"/>
  <c r="L4" i="14" s="1"/>
  <c r="K5" i="14"/>
  <c r="K4" i="14" s="1"/>
  <c r="J5" i="14"/>
  <c r="I5" i="14"/>
  <c r="H5" i="14"/>
  <c r="H4" i="14" s="1"/>
  <c r="G5" i="14"/>
  <c r="G4" i="14" s="1"/>
  <c r="F5" i="14"/>
  <c r="F4" i="14" s="1"/>
  <c r="F2" i="14" s="1"/>
  <c r="E5" i="14"/>
  <c r="E4" i="14" s="1"/>
  <c r="D5" i="14"/>
  <c r="J4" i="14"/>
  <c r="I4" i="14"/>
  <c r="D4" i="14"/>
  <c r="I41" i="14" l="1"/>
  <c r="J41" i="14"/>
  <c r="L93" i="14"/>
  <c r="E2" i="14"/>
  <c r="L66" i="14"/>
  <c r="I16" i="14"/>
  <c r="I2" i="14"/>
  <c r="J2" i="14"/>
  <c r="K2" i="14"/>
  <c r="D66" i="14"/>
  <c r="J34" i="14"/>
  <c r="L2" i="14"/>
  <c r="M16" i="14"/>
  <c r="M2" i="14"/>
  <c r="G2" i="14"/>
  <c r="H41" i="14"/>
  <c r="K41" i="14"/>
  <c r="H2" i="14"/>
  <c r="H66" i="14"/>
  <c r="J96" i="14"/>
  <c r="J66" i="14"/>
  <c r="G195" i="14"/>
  <c r="G197" i="14" s="1"/>
  <c r="F161" i="14"/>
  <c r="F195" i="14"/>
  <c r="K211" i="14"/>
  <c r="L213" i="14"/>
  <c r="E213" i="14"/>
  <c r="J195" i="14"/>
  <c r="J201" i="14" s="1"/>
  <c r="F213" i="14"/>
  <c r="H167" i="14"/>
  <c r="K195" i="14"/>
  <c r="K201" i="14" s="1"/>
  <c r="L201" i="14" s="1"/>
  <c r="H208" i="14"/>
  <c r="G213" i="14"/>
  <c r="L161" i="14"/>
  <c r="I161" i="14"/>
  <c r="J167" i="14"/>
  <c r="L195" i="14"/>
  <c r="L197" i="14" s="1"/>
  <c r="E211" i="14"/>
  <c r="J213" i="14"/>
  <c r="K167" i="14"/>
  <c r="E195" i="14"/>
  <c r="E201" i="14" s="1"/>
  <c r="G211" i="14"/>
  <c r="K213" i="14"/>
  <c r="G96" i="14"/>
  <c r="G190" i="14"/>
  <c r="D96" i="14"/>
  <c r="I66" i="14"/>
  <c r="G72" i="14"/>
  <c r="G74" i="14" s="1"/>
  <c r="H96" i="14"/>
  <c r="H72" i="14"/>
  <c r="H74" i="14" s="1"/>
  <c r="M149" i="14"/>
  <c r="N149" i="14" s="1"/>
  <c r="E96" i="14"/>
  <c r="L147" i="14"/>
  <c r="AI21" i="3"/>
  <c r="K96" i="14"/>
  <c r="M213" i="14"/>
  <c r="M195" i="14"/>
  <c r="M211" i="14"/>
  <c r="K33" i="14"/>
  <c r="K16" i="14"/>
  <c r="L33" i="14"/>
  <c r="L16" i="14"/>
  <c r="M34" i="14"/>
  <c r="J33" i="14"/>
  <c r="H16" i="14"/>
  <c r="K109" i="14"/>
  <c r="L51" i="14"/>
  <c r="Q60" i="14"/>
  <c r="L84" i="14"/>
  <c r="L83" i="14"/>
  <c r="L74" i="14"/>
  <c r="F96" i="14"/>
  <c r="F87" i="14"/>
  <c r="L87" i="14"/>
  <c r="I213" i="14"/>
  <c r="I195" i="14"/>
  <c r="I211" i="14"/>
  <c r="I208" i="14"/>
  <c r="G201" i="14"/>
  <c r="G41" i="14"/>
  <c r="K87" i="14"/>
  <c r="N139" i="14"/>
  <c r="O142" i="14"/>
  <c r="K84" i="14"/>
  <c r="K83" i="14"/>
  <c r="K74" i="14"/>
  <c r="E87" i="14"/>
  <c r="J16" i="14"/>
  <c r="N53" i="14"/>
  <c r="P70" i="14"/>
  <c r="P50" i="14" s="1"/>
  <c r="G161" i="14"/>
  <c r="G147" i="14"/>
  <c r="L41" i="14"/>
  <c r="E116" i="14"/>
  <c r="F52" i="14"/>
  <c r="G52" i="14" s="1"/>
  <c r="H52" i="14" s="1"/>
  <c r="I52" i="14" s="1"/>
  <c r="J52" i="14" s="1"/>
  <c r="K52" i="14" s="1"/>
  <c r="L52" i="14" s="1"/>
  <c r="M52" i="14" s="1"/>
  <c r="M59" i="14"/>
  <c r="I72" i="14"/>
  <c r="I74" i="14" s="1"/>
  <c r="E109" i="14"/>
  <c r="H111" i="14"/>
  <c r="G109" i="14"/>
  <c r="F41" i="14"/>
  <c r="D72" i="14"/>
  <c r="D74" i="14" s="1"/>
  <c r="J72" i="14"/>
  <c r="J74" i="14" s="1"/>
  <c r="F109" i="14"/>
  <c r="E154" i="14"/>
  <c r="E153" i="14"/>
  <c r="E190" i="14"/>
  <c r="K190" i="14"/>
  <c r="M140" i="14"/>
  <c r="F190" i="14"/>
  <c r="G191" i="14" s="1"/>
  <c r="H191" i="14" s="1"/>
  <c r="I191" i="14" s="1"/>
  <c r="J191" i="14" s="1"/>
  <c r="L190" i="14"/>
  <c r="E192" i="14"/>
  <c r="G87" i="14"/>
  <c r="M87" i="14"/>
  <c r="G118" i="14"/>
  <c r="D147" i="14"/>
  <c r="D161" i="14"/>
  <c r="J147" i="14"/>
  <c r="J161" i="14"/>
  <c r="G188" i="14"/>
  <c r="G66" i="14" s="1"/>
  <c r="F192" i="14"/>
  <c r="E72" i="14"/>
  <c r="E74" i="14" s="1"/>
  <c r="I96" i="14"/>
  <c r="H87" i="14"/>
  <c r="O143" i="14"/>
  <c r="E161" i="14"/>
  <c r="K161" i="14"/>
  <c r="H161" i="14"/>
  <c r="L169" i="14"/>
  <c r="L170" i="14" s="1"/>
  <c r="L167" i="14" s="1"/>
  <c r="F72" i="14"/>
  <c r="F74" i="14" s="1"/>
  <c r="E86" i="14"/>
  <c r="F86" i="14" s="1"/>
  <c r="G86" i="14" s="1"/>
  <c r="H86" i="14" s="1"/>
  <c r="I86" i="14" s="1"/>
  <c r="J86" i="14" s="1"/>
  <c r="K86" i="14" s="1"/>
  <c r="L86" i="14" s="1"/>
  <c r="I87" i="14"/>
  <c r="G169" i="14"/>
  <c r="G170" i="14" s="1"/>
  <c r="G167" i="14" s="1"/>
  <c r="M169" i="14"/>
  <c r="M170" i="14" s="1"/>
  <c r="M167" i="14" s="1"/>
  <c r="H213" i="14"/>
  <c r="H195" i="14"/>
  <c r="D197" i="14"/>
  <c r="J208" i="14"/>
  <c r="F208" i="14"/>
  <c r="L208" i="14"/>
  <c r="L94" i="14" l="1"/>
  <c r="L95" i="14" s="1"/>
  <c r="L96" i="14" s="1"/>
  <c r="M93" i="14"/>
  <c r="M161" i="14"/>
  <c r="K191" i="14"/>
  <c r="G192" i="14"/>
  <c r="H192" i="14" s="1"/>
  <c r="I192" i="14" s="1"/>
  <c r="J192" i="14" s="1"/>
  <c r="K192" i="14" s="1"/>
  <c r="L192" i="14" s="1"/>
  <c r="M147" i="14"/>
  <c r="K197" i="14"/>
  <c r="E197" i="14"/>
  <c r="J197" i="14"/>
  <c r="F197" i="14"/>
  <c r="F201" i="14"/>
  <c r="L191" i="14"/>
  <c r="O53" i="14"/>
  <c r="P53" i="14" s="1"/>
  <c r="Q53" i="14" s="1"/>
  <c r="O60" i="14"/>
  <c r="F116" i="14"/>
  <c r="F102" i="14" s="1"/>
  <c r="F101" i="14" s="1"/>
  <c r="G107" i="14"/>
  <c r="G110" i="14" s="1"/>
  <c r="G102" i="14"/>
  <c r="N147" i="14"/>
  <c r="O149" i="14"/>
  <c r="P142" i="14"/>
  <c r="O139" i="14"/>
  <c r="H118" i="14"/>
  <c r="G116" i="14"/>
  <c r="I111" i="14"/>
  <c r="H109" i="14"/>
  <c r="I201" i="14"/>
  <c r="I197" i="14"/>
  <c r="P60" i="14"/>
  <c r="Q70" i="14"/>
  <c r="Q50" i="14" s="1"/>
  <c r="E165" i="14"/>
  <c r="F154" i="14"/>
  <c r="N60" i="14"/>
  <c r="L109" i="14"/>
  <c r="M51" i="14"/>
  <c r="M33" i="14"/>
  <c r="P143" i="14"/>
  <c r="O140" i="14"/>
  <c r="H201" i="14"/>
  <c r="H197" i="14"/>
  <c r="F107" i="14"/>
  <c r="F110" i="14" s="1"/>
  <c r="E102" i="14"/>
  <c r="E101" i="14" s="1"/>
  <c r="E107" i="14"/>
  <c r="E110" i="14" s="1"/>
  <c r="K107" i="14"/>
  <c r="K110" i="14" s="1"/>
  <c r="N93" i="14" l="1"/>
  <c r="M94" i="14"/>
  <c r="M95" i="14" s="1"/>
  <c r="M109" i="14"/>
  <c r="L107" i="14"/>
  <c r="L110" i="14" s="1"/>
  <c r="H107" i="14"/>
  <c r="H110" i="14" s="1"/>
  <c r="Q142" i="14"/>
  <c r="Q139" i="14" s="1"/>
  <c r="P139" i="14"/>
  <c r="Q143" i="14"/>
  <c r="Q140" i="14" s="1"/>
  <c r="P140" i="14"/>
  <c r="I109" i="14"/>
  <c r="J111" i="14"/>
  <c r="J109" i="14" s="1"/>
  <c r="G101" i="14"/>
  <c r="F165" i="14"/>
  <c r="G154" i="14"/>
  <c r="F153" i="14"/>
  <c r="H116" i="14"/>
  <c r="H102" i="14" s="1"/>
  <c r="H101" i="14" s="1"/>
  <c r="I118" i="14"/>
  <c r="P149" i="14"/>
  <c r="O147" i="14"/>
  <c r="O93" i="14" l="1"/>
  <c r="N94" i="14"/>
  <c r="N95" i="14" s="1"/>
  <c r="I116" i="14"/>
  <c r="J118" i="14"/>
  <c r="H154" i="14"/>
  <c r="G165" i="14"/>
  <c r="G153" i="14"/>
  <c r="P147" i="14"/>
  <c r="Q149" i="14"/>
  <c r="J107" i="14"/>
  <c r="J110" i="14" s="1"/>
  <c r="I107" i="14"/>
  <c r="I110" i="14" s="1"/>
  <c r="I102" i="14"/>
  <c r="I101" i="14" s="1"/>
  <c r="M107" i="14"/>
  <c r="M110" i="14" s="1"/>
  <c r="P93" i="14" l="1"/>
  <c r="O94" i="14"/>
  <c r="O95" i="14" s="1"/>
  <c r="K118" i="14"/>
  <c r="J116" i="14"/>
  <c r="J102" i="14" s="1"/>
  <c r="J101" i="14" s="1"/>
  <c r="I154" i="14"/>
  <c r="H165" i="14"/>
  <c r="H153" i="14"/>
  <c r="Q147" i="14"/>
  <c r="Q93" i="14" l="1"/>
  <c r="Q94" i="14" s="1"/>
  <c r="Q95" i="14" s="1"/>
  <c r="P94" i="14"/>
  <c r="P95" i="14" s="1"/>
  <c r="O185" i="14"/>
  <c r="I165" i="14"/>
  <c r="J154" i="14"/>
  <c r="I153" i="14"/>
  <c r="K116" i="14"/>
  <c r="K102" i="14" s="1"/>
  <c r="L118" i="14"/>
  <c r="M118" i="14" l="1"/>
  <c r="L116" i="14"/>
  <c r="L102" i="14" s="1"/>
  <c r="L101" i="14" s="1"/>
  <c r="K76" i="14"/>
  <c r="K101" i="14"/>
  <c r="J165" i="14"/>
  <c r="K154" i="14"/>
  <c r="J153" i="14"/>
  <c r="P185" i="14" l="1"/>
  <c r="L76" i="14"/>
  <c r="K165" i="14"/>
  <c r="L154" i="14"/>
  <c r="K153" i="14"/>
  <c r="M116" i="14"/>
  <c r="M102" i="14" s="1"/>
  <c r="M101" i="14" s="1"/>
  <c r="N118" i="14"/>
  <c r="O118" i="14" l="1"/>
  <c r="M76" i="14"/>
  <c r="L165" i="14"/>
  <c r="M154" i="14"/>
  <c r="M26" i="14" s="1"/>
  <c r="L26" i="14"/>
  <c r="L153" i="14"/>
  <c r="N154" i="14" l="1"/>
  <c r="M165" i="14"/>
  <c r="M153" i="14"/>
  <c r="Q185" i="14"/>
  <c r="P118" i="14"/>
  <c r="N165" i="14" l="1"/>
  <c r="O154" i="14"/>
  <c r="Q118" i="14"/>
  <c r="O165" i="14" l="1"/>
  <c r="P154" i="14"/>
  <c r="P165" i="14" l="1"/>
  <c r="Q154" i="14"/>
  <c r="Q165" i="14" l="1"/>
  <c r="J33" i="12" l="1"/>
  <c r="K33" i="12"/>
  <c r="L33" i="12"/>
  <c r="AA93" i="6"/>
  <c r="I34" i="12" s="1"/>
  <c r="AB93" i="6"/>
  <c r="J34" i="12" s="1"/>
  <c r="AC93" i="6"/>
  <c r="AD93" i="6"/>
  <c r="W90" i="6"/>
  <c r="X90" i="6"/>
  <c r="Y90" i="6"/>
  <c r="Z90" i="6"/>
  <c r="AA90" i="6"/>
  <c r="AB90" i="6"/>
  <c r="AC90" i="6"/>
  <c r="AD90" i="6"/>
  <c r="V90" i="6"/>
  <c r="I33" i="12"/>
  <c r="J31" i="12"/>
  <c r="J29" i="12" s="1"/>
  <c r="K31" i="12"/>
  <c r="L31" i="12"/>
  <c r="M31" i="12"/>
  <c r="G24" i="15" s="1"/>
  <c r="AA12" i="6"/>
  <c r="I32" i="12" s="1"/>
  <c r="AB12" i="6"/>
  <c r="J32" i="12" s="1"/>
  <c r="I31" i="12"/>
  <c r="J28" i="12"/>
  <c r="K28" i="12"/>
  <c r="L28" i="12"/>
  <c r="I28" i="12"/>
  <c r="J27" i="12"/>
  <c r="K27" i="12"/>
  <c r="L27" i="12"/>
  <c r="I27" i="12"/>
  <c r="J26" i="12"/>
  <c r="K26" i="12"/>
  <c r="L26" i="12"/>
  <c r="M26" i="12"/>
  <c r="I26" i="12"/>
  <c r="J25" i="12"/>
  <c r="K25" i="12"/>
  <c r="L25" i="12"/>
  <c r="M25" i="12"/>
  <c r="I25" i="12"/>
  <c r="J24" i="12"/>
  <c r="I24" i="12"/>
  <c r="J23" i="12"/>
  <c r="J21" i="12"/>
  <c r="K21" i="12"/>
  <c r="L21" i="12"/>
  <c r="I21" i="12"/>
  <c r="J20" i="12"/>
  <c r="K20" i="12"/>
  <c r="I20" i="12"/>
  <c r="J19" i="12"/>
  <c r="K19" i="12"/>
  <c r="L19" i="12"/>
  <c r="M19" i="12"/>
  <c r="I19" i="12"/>
  <c r="M16" i="12"/>
  <c r="J17" i="12"/>
  <c r="K17" i="12"/>
  <c r="L17" i="12"/>
  <c r="M17" i="12"/>
  <c r="I17" i="12"/>
  <c r="J18" i="12"/>
  <c r="K18" i="12"/>
  <c r="L18" i="12"/>
  <c r="M18" i="12"/>
  <c r="I18" i="12"/>
  <c r="L14" i="12"/>
  <c r="M13" i="12"/>
  <c r="J12" i="12"/>
  <c r="K12" i="12"/>
  <c r="L12" i="12"/>
  <c r="M12" i="12"/>
  <c r="N12" i="12"/>
  <c r="O12" i="12"/>
  <c r="P12" i="12"/>
  <c r="Q12" i="12"/>
  <c r="I12" i="12"/>
  <c r="J11" i="12"/>
  <c r="K11" i="12"/>
  <c r="L11" i="12"/>
  <c r="M11" i="12"/>
  <c r="I11" i="12"/>
  <c r="J10" i="12"/>
  <c r="K10" i="12"/>
  <c r="L10" i="12"/>
  <c r="M10" i="12"/>
  <c r="I10" i="12"/>
  <c r="J9" i="12"/>
  <c r="K9" i="12"/>
  <c r="L9" i="12"/>
  <c r="M9" i="12"/>
  <c r="I9" i="12"/>
  <c r="O8" i="12"/>
  <c r="P8" i="12"/>
  <c r="Q8" i="12"/>
  <c r="J7" i="12"/>
  <c r="K7" i="12"/>
  <c r="L7" i="12"/>
  <c r="M7" i="12"/>
  <c r="I7" i="12"/>
  <c r="B39" i="12"/>
  <c r="AB23" i="10"/>
  <c r="AC23" i="10"/>
  <c r="AD23" i="10"/>
  <c r="AB21" i="10"/>
  <c r="AC21" i="10"/>
  <c r="AD21" i="10"/>
  <c r="AE21" i="10"/>
  <c r="AE20" i="10"/>
  <c r="AB13" i="10"/>
  <c r="AC13" i="10"/>
  <c r="AD13" i="10"/>
  <c r="AE13" i="10"/>
  <c r="AC12" i="10"/>
  <c r="AD12" i="10"/>
  <c r="AE12" i="10"/>
  <c r="W11" i="9"/>
  <c r="X11" i="9"/>
  <c r="Y11" i="9"/>
  <c r="Z11" i="9"/>
  <c r="AB8" i="10"/>
  <c r="AB11" i="9" s="1"/>
  <c r="AC8" i="10"/>
  <c r="AC11" i="9" s="1"/>
  <c r="AD8" i="10"/>
  <c r="AD11" i="9" s="1"/>
  <c r="V11" i="9"/>
  <c r="X10" i="9"/>
  <c r="Y10" i="9"/>
  <c r="AB7" i="10"/>
  <c r="AB10" i="9" s="1"/>
  <c r="AC7" i="10"/>
  <c r="AD7" i="10"/>
  <c r="AD10" i="9" s="1"/>
  <c r="V10" i="9"/>
  <c r="W8" i="9"/>
  <c r="X8" i="9"/>
  <c r="Y8" i="9"/>
  <c r="AA8" i="9"/>
  <c r="AB5" i="10"/>
  <c r="AB8" i="9" s="1"/>
  <c r="AC5" i="10"/>
  <c r="AC8" i="9" s="1"/>
  <c r="AD5" i="10"/>
  <c r="AD8" i="9" s="1"/>
  <c r="V8" i="9"/>
  <c r="W7" i="9"/>
  <c r="X7" i="9"/>
  <c r="Y7" i="9"/>
  <c r="Z7" i="9"/>
  <c r="AA7" i="9"/>
  <c r="AB4" i="10"/>
  <c r="AB7" i="9" s="1"/>
  <c r="AC4" i="10"/>
  <c r="AC7" i="9" s="1"/>
  <c r="AD4" i="10"/>
  <c r="AD7" i="9" s="1"/>
  <c r="V7" i="9"/>
  <c r="AG36" i="9"/>
  <c r="AH36" i="9" s="1"/>
  <c r="AI36" i="9" s="1"/>
  <c r="AJ36" i="9" s="1"/>
  <c r="AK36" i="9" s="1"/>
  <c r="AL36" i="9" s="1"/>
  <c r="AM36" i="9" s="1"/>
  <c r="AN36" i="9" s="1"/>
  <c r="AO36" i="9" s="1"/>
  <c r="AP36" i="9" s="1"/>
  <c r="AG37" i="9"/>
  <c r="AH37" i="9" s="1"/>
  <c r="AI37" i="9" s="1"/>
  <c r="AJ37" i="9" s="1"/>
  <c r="AK37" i="9" s="1"/>
  <c r="AL37" i="9" s="1"/>
  <c r="AM37" i="9" s="1"/>
  <c r="AN37" i="9" s="1"/>
  <c r="AO37" i="9" s="1"/>
  <c r="AP37" i="9" s="1"/>
  <c r="AG39" i="9"/>
  <c r="AH39" i="9" s="1"/>
  <c r="AI39" i="9" s="1"/>
  <c r="AJ39" i="9" s="1"/>
  <c r="AK39" i="9" s="1"/>
  <c r="AL39" i="9" s="1"/>
  <c r="AM39" i="9" s="1"/>
  <c r="AN39" i="9" s="1"/>
  <c r="AO39" i="9" s="1"/>
  <c r="AP39" i="9" s="1"/>
  <c r="AG34" i="9"/>
  <c r="AH34" i="9" s="1"/>
  <c r="AI34" i="9" s="1"/>
  <c r="AJ34" i="9" s="1"/>
  <c r="AK34" i="9" s="1"/>
  <c r="AL34" i="9" s="1"/>
  <c r="AM34" i="9" s="1"/>
  <c r="AN34" i="9" s="1"/>
  <c r="AO34" i="9" s="1"/>
  <c r="AP34" i="9" s="1"/>
  <c r="AG35" i="9"/>
  <c r="AH35" i="9" s="1"/>
  <c r="AI35" i="9" s="1"/>
  <c r="AJ35" i="9" s="1"/>
  <c r="AK35" i="9" s="1"/>
  <c r="AL35" i="9" s="1"/>
  <c r="AM35" i="9" s="1"/>
  <c r="AN35" i="9" s="1"/>
  <c r="AO35" i="9" s="1"/>
  <c r="AP35" i="9" s="1"/>
  <c r="AG32" i="9"/>
  <c r="AH32" i="9" s="1"/>
  <c r="AI32" i="9" s="1"/>
  <c r="AJ32" i="9" s="1"/>
  <c r="AK32" i="9" s="1"/>
  <c r="AL32" i="9" s="1"/>
  <c r="AM32" i="9" s="1"/>
  <c r="AN32" i="9" s="1"/>
  <c r="AO32" i="9" s="1"/>
  <c r="AP32" i="9" s="1"/>
  <c r="AG31" i="9"/>
  <c r="AH31" i="9" s="1"/>
  <c r="AI31" i="9" s="1"/>
  <c r="AJ31" i="9" s="1"/>
  <c r="AK31" i="9" s="1"/>
  <c r="AL31" i="9" s="1"/>
  <c r="AM31" i="9" s="1"/>
  <c r="AN31" i="9" s="1"/>
  <c r="AO31" i="9" s="1"/>
  <c r="AP31" i="9" s="1"/>
  <c r="AG30" i="9"/>
  <c r="AH30" i="9" s="1"/>
  <c r="AI30" i="9" s="1"/>
  <c r="AJ30" i="9" s="1"/>
  <c r="AK30" i="9" s="1"/>
  <c r="AL30" i="9" s="1"/>
  <c r="AM30" i="9" s="1"/>
  <c r="AN30" i="9" s="1"/>
  <c r="AO30" i="9" s="1"/>
  <c r="AP30" i="9" s="1"/>
  <c r="AG29" i="9"/>
  <c r="AH29" i="9" s="1"/>
  <c r="AI29" i="9" s="1"/>
  <c r="AJ29" i="9" s="1"/>
  <c r="AK29" i="9" s="1"/>
  <c r="AL29" i="9" s="1"/>
  <c r="AM29" i="9" s="1"/>
  <c r="AN29" i="9" s="1"/>
  <c r="AO29" i="9" s="1"/>
  <c r="AP29" i="9" s="1"/>
  <c r="AG28" i="9"/>
  <c r="AH28" i="9" s="1"/>
  <c r="AI28" i="9" s="1"/>
  <c r="AJ28" i="9" s="1"/>
  <c r="AG27" i="9"/>
  <c r="AH27" i="9" s="1"/>
  <c r="AI27" i="9" s="1"/>
  <c r="AJ27" i="9" s="1"/>
  <c r="AK27" i="9" s="1"/>
  <c r="AL27" i="9" s="1"/>
  <c r="AM27" i="9" s="1"/>
  <c r="AN27" i="9" s="1"/>
  <c r="AO27" i="9" s="1"/>
  <c r="AP27" i="9" s="1"/>
  <c r="AG26" i="9"/>
  <c r="AH26" i="9" s="1"/>
  <c r="AI26" i="9" s="1"/>
  <c r="AJ26" i="9" s="1"/>
  <c r="AK26" i="9" s="1"/>
  <c r="AL26" i="9" s="1"/>
  <c r="AM26" i="9" s="1"/>
  <c r="AN26" i="9" s="1"/>
  <c r="AO26" i="9" s="1"/>
  <c r="AP26" i="9" s="1"/>
  <c r="AF22" i="9"/>
  <c r="AG22" i="9" s="1"/>
  <c r="AH22" i="9" s="1"/>
  <c r="AI22" i="9" s="1"/>
  <c r="AJ22" i="9" s="1"/>
  <c r="AK22" i="9" s="1"/>
  <c r="AL22" i="9" s="1"/>
  <c r="AM22" i="9" s="1"/>
  <c r="AN22" i="9" s="1"/>
  <c r="AO22" i="9" s="1"/>
  <c r="AP22" i="9" s="1"/>
  <c r="W10" i="9"/>
  <c r="AC10" i="9"/>
  <c r="AA11" i="9"/>
  <c r="Z8" i="9"/>
  <c r="X118" i="8"/>
  <c r="V106" i="8"/>
  <c r="W105" i="8"/>
  <c r="X105" i="8"/>
  <c r="Y105" i="8"/>
  <c r="Z105" i="8"/>
  <c r="AA105" i="8"/>
  <c r="AB105" i="8"/>
  <c r="AC105" i="8"/>
  <c r="AD105" i="8"/>
  <c r="V105" i="8"/>
  <c r="W93" i="8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AH93" i="8" s="1"/>
  <c r="AI93" i="8" s="1"/>
  <c r="AJ93" i="8" s="1"/>
  <c r="AK93" i="8" s="1"/>
  <c r="AL93" i="8" s="1"/>
  <c r="AM93" i="8" s="1"/>
  <c r="AN93" i="8" s="1"/>
  <c r="AO93" i="8" s="1"/>
  <c r="AP93" i="8" s="1"/>
  <c r="W90" i="8"/>
  <c r="W84" i="8" s="1"/>
  <c r="W78" i="8"/>
  <c r="X78" i="8" s="1"/>
  <c r="Y78" i="8" s="1"/>
  <c r="W72" i="8"/>
  <c r="W71" i="8" s="1"/>
  <c r="W69" i="8"/>
  <c r="X69" i="8" s="1"/>
  <c r="Y69" i="8" s="1"/>
  <c r="V67" i="8"/>
  <c r="W62" i="8"/>
  <c r="W64" i="8" s="1"/>
  <c r="X62" i="8"/>
  <c r="X64" i="8" s="1"/>
  <c r="Y62" i="8"/>
  <c r="Y64" i="8" s="1"/>
  <c r="Z62" i="8"/>
  <c r="Z64" i="8" s="1"/>
  <c r="AA62" i="8"/>
  <c r="AA64" i="8" s="1"/>
  <c r="AB62" i="8"/>
  <c r="AB64" i="8" s="1"/>
  <c r="AC62" i="8"/>
  <c r="AC64" i="8" s="1"/>
  <c r="AD62" i="8"/>
  <c r="AD64" i="8" s="1"/>
  <c r="Z60" i="8"/>
  <c r="Z59" i="8" s="1"/>
  <c r="X59" i="8"/>
  <c r="Y59" i="8"/>
  <c r="W59" i="8"/>
  <c r="W57" i="8"/>
  <c r="X57" i="8" s="1"/>
  <c r="V56" i="8"/>
  <c r="AF50" i="8"/>
  <c r="AG50" i="8" s="1"/>
  <c r="AH50" i="8" s="1"/>
  <c r="AI50" i="8" s="1"/>
  <c r="AJ50" i="8" s="1"/>
  <c r="AK50" i="8" s="1"/>
  <c r="AL50" i="8" s="1"/>
  <c r="AM50" i="8" s="1"/>
  <c r="AN50" i="8" s="1"/>
  <c r="AO50" i="8" s="1"/>
  <c r="AP50" i="8" s="1"/>
  <c r="W50" i="8"/>
  <c r="X50" i="8"/>
  <c r="Y50" i="8"/>
  <c r="Z50" i="8"/>
  <c r="AA50" i="8"/>
  <c r="AB50" i="8"/>
  <c r="AC50" i="8"/>
  <c r="V50" i="8"/>
  <c r="W44" i="8"/>
  <c r="AG43" i="8"/>
  <c r="AH43" i="8" s="1"/>
  <c r="AI43" i="8" s="1"/>
  <c r="AJ43" i="8" s="1"/>
  <c r="AK43" i="8" s="1"/>
  <c r="AL43" i="8" s="1"/>
  <c r="AM43" i="8" s="1"/>
  <c r="AN43" i="8" s="1"/>
  <c r="AO43" i="8" s="1"/>
  <c r="AP43" i="8" s="1"/>
  <c r="W40" i="8"/>
  <c r="X40" i="8" s="1"/>
  <c r="Y40" i="8" s="1"/>
  <c r="Z40" i="8" s="1"/>
  <c r="AA40" i="8" s="1"/>
  <c r="AB40" i="8" s="1"/>
  <c r="AC40" i="8" s="1"/>
  <c r="AD40" i="8" s="1"/>
  <c r="V34" i="8"/>
  <c r="V38" i="8"/>
  <c r="AK28" i="9" l="1"/>
  <c r="AL28" i="9" s="1"/>
  <c r="AM28" i="9" s="1"/>
  <c r="AN28" i="9" s="1"/>
  <c r="AO28" i="9" s="1"/>
  <c r="AP28" i="9" s="1"/>
  <c r="AJ25" i="9"/>
  <c r="W106" i="8"/>
  <c r="AD91" i="6"/>
  <c r="X91" i="6"/>
  <c r="F30" i="12" s="1"/>
  <c r="W91" i="6"/>
  <c r="E30" i="12" s="1"/>
  <c r="Y92" i="6"/>
  <c r="Z92" i="6"/>
  <c r="W56" i="8"/>
  <c r="Y57" i="8"/>
  <c r="Z57" i="8" s="1"/>
  <c r="X56" i="8"/>
  <c r="X72" i="8"/>
  <c r="Y72" i="8" s="1"/>
  <c r="Z72" i="8" s="1"/>
  <c r="AA60" i="8"/>
  <c r="AB60" i="8" s="1"/>
  <c r="AB59" i="8" s="1"/>
  <c r="X90" i="8"/>
  <c r="Y90" i="8" s="1"/>
  <c r="Y84" i="8" s="1"/>
  <c r="Y106" i="8" s="1"/>
  <c r="W55" i="8"/>
  <c r="W54" i="8" s="1"/>
  <c r="Y118" i="8"/>
  <c r="Y91" i="6"/>
  <c r="G30" i="12" s="1"/>
  <c r="Z91" i="6"/>
  <c r="H30" i="12" s="1"/>
  <c r="L29" i="12"/>
  <c r="K32" i="12"/>
  <c r="AC91" i="6"/>
  <c r="W92" i="6"/>
  <c r="K34" i="12"/>
  <c r="I29" i="12"/>
  <c r="AA92" i="6"/>
  <c r="AB92" i="6"/>
  <c r="L32" i="12"/>
  <c r="AB91" i="6"/>
  <c r="J30" i="12" s="1"/>
  <c r="L34" i="12"/>
  <c r="K29" i="12"/>
  <c r="AD92" i="6"/>
  <c r="AE92" i="6"/>
  <c r="X92" i="6"/>
  <c r="AA91" i="6"/>
  <c r="I30" i="12" s="1"/>
  <c r="I41" i="12"/>
  <c r="AC92" i="6"/>
  <c r="M32" i="12"/>
  <c r="H39" i="12"/>
  <c r="D34" i="12"/>
  <c r="E39" i="12"/>
  <c r="D39" i="12"/>
  <c r="C34" i="12"/>
  <c r="H41" i="12"/>
  <c r="C39" i="12"/>
  <c r="I39" i="12"/>
  <c r="F41" i="12"/>
  <c r="E41" i="12"/>
  <c r="F39" i="12"/>
  <c r="G41" i="12"/>
  <c r="E34" i="12"/>
  <c r="G39" i="12"/>
  <c r="AH33" i="9"/>
  <c r="AG33" i="9"/>
  <c r="AI25" i="9"/>
  <c r="AH25" i="9"/>
  <c r="AH24" i="9" s="1"/>
  <c r="AF25" i="9"/>
  <c r="AF24" i="9" s="1"/>
  <c r="AG25" i="9"/>
  <c r="AG24" i="9" s="1"/>
  <c r="AG12" i="10" s="1"/>
  <c r="AF17" i="9"/>
  <c r="AG18" i="9"/>
  <c r="AG17" i="9" s="1"/>
  <c r="Z78" i="8"/>
  <c r="Z69" i="8"/>
  <c r="Y68" i="8"/>
  <c r="X68" i="8"/>
  <c r="W68" i="8"/>
  <c r="W67" i="8" s="1"/>
  <c r="W39" i="8"/>
  <c r="W27" i="10" s="1"/>
  <c r="X44" i="8"/>
  <c r="Y44" i="8" s="1"/>
  <c r="Z44" i="8" s="1"/>
  <c r="AA44" i="8" s="1"/>
  <c r="AB44" i="8" s="1"/>
  <c r="AC44" i="8" s="1"/>
  <c r="AG14" i="1" l="1"/>
  <c r="AH12" i="10"/>
  <c r="AI24" i="9"/>
  <c r="AJ24" i="9"/>
  <c r="AI18" i="9"/>
  <c r="AI17" i="9" s="1"/>
  <c r="AJ33" i="9"/>
  <c r="AH18" i="9"/>
  <c r="AH17" i="9" s="1"/>
  <c r="AH15" i="9" s="1"/>
  <c r="AI33" i="9"/>
  <c r="AK25" i="9"/>
  <c r="AK24" i="9" s="1"/>
  <c r="AK33" i="9"/>
  <c r="AL25" i="9"/>
  <c r="AL24" i="9" s="1"/>
  <c r="AJ18" i="9"/>
  <c r="AJ17" i="9" s="1"/>
  <c r="Y56" i="8"/>
  <c r="Y55" i="8" s="1"/>
  <c r="Y54" i="8" s="1"/>
  <c r="X71" i="8"/>
  <c r="X67" i="8" s="1"/>
  <c r="X55" i="8"/>
  <c r="X54" i="8" s="1"/>
  <c r="Z90" i="8"/>
  <c r="AA90" i="8" s="1"/>
  <c r="AC60" i="8"/>
  <c r="AC59" i="8" s="1"/>
  <c r="Y71" i="8"/>
  <c r="Y67" i="8" s="1"/>
  <c r="AA59" i="8"/>
  <c r="X84" i="8"/>
  <c r="X106" i="8" s="1"/>
  <c r="W38" i="8"/>
  <c r="Z118" i="8"/>
  <c r="AA72" i="8"/>
  <c r="Z71" i="8"/>
  <c r="K30" i="12"/>
  <c r="L30" i="12"/>
  <c r="AG16" i="9"/>
  <c r="AF15" i="9"/>
  <c r="AF65" i="5" s="1"/>
  <c r="AG65" i="5" s="1"/>
  <c r="AH65" i="5" s="1"/>
  <c r="AI65" i="5" s="1"/>
  <c r="AJ65" i="5" s="1"/>
  <c r="AK65" i="5" s="1"/>
  <c r="AL65" i="5" s="1"/>
  <c r="AM65" i="5" s="1"/>
  <c r="AN65" i="5" s="1"/>
  <c r="AO65" i="5" s="1"/>
  <c r="AP65" i="5" s="1"/>
  <c r="AA78" i="8"/>
  <c r="Z68" i="8"/>
  <c r="AA69" i="8"/>
  <c r="Z56" i="8"/>
  <c r="AA57" i="8"/>
  <c r="X39" i="8"/>
  <c r="Y39" i="8" l="1"/>
  <c r="Y27" i="10" s="1"/>
  <c r="X27" i="10"/>
  <c r="AI12" i="10"/>
  <c r="AJ12" i="10" s="1"/>
  <c r="AK12" i="10" s="1"/>
  <c r="AL12" i="10" s="1"/>
  <c r="AI16" i="9"/>
  <c r="AM25" i="9"/>
  <c r="AJ15" i="9"/>
  <c r="AJ16" i="9"/>
  <c r="AL33" i="9"/>
  <c r="AN25" i="9"/>
  <c r="AK18" i="9"/>
  <c r="AK17" i="9" s="1"/>
  <c r="AD60" i="8"/>
  <c r="AD59" i="8" s="1"/>
  <c r="Z55" i="8"/>
  <c r="Z54" i="8" s="1"/>
  <c r="Z84" i="8"/>
  <c r="Z106" i="8" s="1"/>
  <c r="Z67" i="8"/>
  <c r="AA118" i="8"/>
  <c r="X38" i="8"/>
  <c r="AA71" i="8"/>
  <c r="AB72" i="8"/>
  <c r="AH16" i="9"/>
  <c r="AG15" i="9"/>
  <c r="AI15" i="9"/>
  <c r="AB90" i="8"/>
  <c r="AA84" i="8"/>
  <c r="AA106" i="8" s="1"/>
  <c r="AB78" i="8"/>
  <c r="AA68" i="8"/>
  <c r="AB69" i="8"/>
  <c r="AB57" i="8"/>
  <c r="AA56" i="8"/>
  <c r="AA55" i="8" s="1"/>
  <c r="AA54" i="8" s="1"/>
  <c r="Y38" i="8"/>
  <c r="Z39" i="8"/>
  <c r="Z27" i="10" s="1"/>
  <c r="AN24" i="9" l="1"/>
  <c r="AM24" i="9"/>
  <c r="AM12" i="10" s="1"/>
  <c r="AO25" i="9"/>
  <c r="AP25" i="9"/>
  <c r="AM33" i="9"/>
  <c r="AK15" i="9"/>
  <c r="AK16" i="9"/>
  <c r="AL18" i="9"/>
  <c r="AL17" i="9" s="1"/>
  <c r="AJ14" i="1"/>
  <c r="AA67" i="8"/>
  <c r="AC72" i="8"/>
  <c r="AB71" i="8"/>
  <c r="AB118" i="8"/>
  <c r="AC90" i="8"/>
  <c r="AB84" i="8"/>
  <c r="AB106" i="8" s="1"/>
  <c r="AC78" i="8"/>
  <c r="AB68" i="8"/>
  <c r="AC69" i="8"/>
  <c r="AC57" i="8"/>
  <c r="AB56" i="8"/>
  <c r="AB55" i="8" s="1"/>
  <c r="AB54" i="8" s="1"/>
  <c r="Z38" i="8"/>
  <c r="AA39" i="8"/>
  <c r="AA27" i="10" s="1"/>
  <c r="AO24" i="9" l="1"/>
  <c r="AN33" i="9"/>
  <c r="AL16" i="9"/>
  <c r="AL15" i="9"/>
  <c r="AM18" i="9"/>
  <c r="AM17" i="9" s="1"/>
  <c r="AK14" i="1"/>
  <c r="AB67" i="8"/>
  <c r="AC118" i="8"/>
  <c r="AD72" i="8"/>
  <c r="AD71" i="8" s="1"/>
  <c r="AC71" i="8"/>
  <c r="AD90" i="8"/>
  <c r="AC84" i="8"/>
  <c r="AC106" i="8" s="1"/>
  <c r="AD78" i="8"/>
  <c r="AC68" i="8"/>
  <c r="AD69" i="8"/>
  <c r="AD57" i="8"/>
  <c r="AC56" i="8"/>
  <c r="AC55" i="8" s="1"/>
  <c r="AC54" i="8" s="1"/>
  <c r="AA38" i="8"/>
  <c r="AB39" i="8"/>
  <c r="AB27" i="10" s="1"/>
  <c r="AN18" i="9" l="1"/>
  <c r="AN17" i="9" s="1"/>
  <c r="AM15" i="9"/>
  <c r="AM16" i="9"/>
  <c r="AP24" i="9"/>
  <c r="AO33" i="9"/>
  <c r="AL14" i="1"/>
  <c r="AC67" i="8"/>
  <c r="AD118" i="8"/>
  <c r="AE118" i="8" s="1"/>
  <c r="AF118" i="8" s="1"/>
  <c r="AG118" i="8" s="1"/>
  <c r="AE90" i="8"/>
  <c r="AD84" i="8"/>
  <c r="AD106" i="8" s="1"/>
  <c r="AE78" i="8"/>
  <c r="AD68" i="8"/>
  <c r="AD67" i="8" s="1"/>
  <c r="AD56" i="8"/>
  <c r="AD55" i="8" s="1"/>
  <c r="AD54" i="8" s="1"/>
  <c r="AE57" i="8"/>
  <c r="AB38" i="8"/>
  <c r="AC39" i="8"/>
  <c r="AC27" i="10" s="1"/>
  <c r="AP33" i="9" l="1"/>
  <c r="AN16" i="9"/>
  <c r="AN15" i="9"/>
  <c r="AP18" i="9"/>
  <c r="AP17" i="9" s="1"/>
  <c r="AO18" i="9"/>
  <c r="AO17" i="9" s="1"/>
  <c r="AM14" i="1"/>
  <c r="AN12" i="10"/>
  <c r="AH118" i="8"/>
  <c r="AF90" i="8"/>
  <c r="AF78" i="8"/>
  <c r="AF57" i="8"/>
  <c r="AD39" i="8"/>
  <c r="AC38" i="8"/>
  <c r="AO15" i="9" l="1"/>
  <c r="AO16" i="9"/>
  <c r="AP15" i="9"/>
  <c r="AP16" i="9"/>
  <c r="AO12" i="10"/>
  <c r="AN14" i="1"/>
  <c r="AE39" i="8"/>
  <c r="AE27" i="10" s="1"/>
  <c r="AD27" i="10"/>
  <c r="AI118" i="8"/>
  <c r="AJ118" i="8" s="1"/>
  <c r="AK118" i="8" s="1"/>
  <c r="AL118" i="8" s="1"/>
  <c r="AM118" i="8" s="1"/>
  <c r="AN118" i="8" s="1"/>
  <c r="AO118" i="8" s="1"/>
  <c r="AP118" i="8" s="1"/>
  <c r="AG90" i="8"/>
  <c r="AG78" i="8"/>
  <c r="AG57" i="8"/>
  <c r="AD38" i="8"/>
  <c r="AP12" i="10" l="1"/>
  <c r="AP14" i="1" s="1"/>
  <c r="AO14" i="1"/>
  <c r="AH90" i="8"/>
  <c r="AH78" i="8"/>
  <c r="AH57" i="8"/>
  <c r="AI90" i="8" l="1"/>
  <c r="AJ90" i="8" s="1"/>
  <c r="AK90" i="8" s="1"/>
  <c r="AL90" i="8" s="1"/>
  <c r="AM90" i="8" s="1"/>
  <c r="AN90" i="8" s="1"/>
  <c r="AO90" i="8" s="1"/>
  <c r="AP90" i="8" s="1"/>
  <c r="AI78" i="8"/>
  <c r="AJ78" i="8" s="1"/>
  <c r="AK78" i="8" s="1"/>
  <c r="AL78" i="8" s="1"/>
  <c r="AM78" i="8" s="1"/>
  <c r="AN78" i="8" s="1"/>
  <c r="AO78" i="8" s="1"/>
  <c r="AP78" i="8" s="1"/>
  <c r="AI57" i="8"/>
  <c r="AJ57" i="8" s="1"/>
  <c r="AK57" i="8" s="1"/>
  <c r="AL57" i="8" s="1"/>
  <c r="AM57" i="8" s="1"/>
  <c r="AN57" i="8" s="1"/>
  <c r="AO57" i="8" s="1"/>
  <c r="AP57" i="8" s="1"/>
  <c r="W36" i="8" l="1"/>
  <c r="X36" i="8" s="1"/>
  <c r="Y36" i="8" s="1"/>
  <c r="Z36" i="8" s="1"/>
  <c r="AA36" i="8" s="1"/>
  <c r="AB36" i="8" s="1"/>
  <c r="AC36" i="8" s="1"/>
  <c r="AD36" i="8" s="1"/>
  <c r="W34" i="8"/>
  <c r="W33" i="8" s="1"/>
  <c r="W37" i="8" s="1"/>
  <c r="X34" i="8"/>
  <c r="X33" i="8" s="1"/>
  <c r="X37" i="8" s="1"/>
  <c r="Y34" i="8"/>
  <c r="Y33" i="8" s="1"/>
  <c r="Y37" i="8" s="1"/>
  <c r="Z34" i="8"/>
  <c r="Z33" i="8" s="1"/>
  <c r="Z37" i="8" s="1"/>
  <c r="AA34" i="8"/>
  <c r="AA33" i="8" s="1"/>
  <c r="AA37" i="8" s="1"/>
  <c r="AB34" i="8"/>
  <c r="AB33" i="8" s="1"/>
  <c r="AB37" i="8" s="1"/>
  <c r="AC34" i="8"/>
  <c r="AC33" i="8" s="1"/>
  <c r="AC37" i="8" s="1"/>
  <c r="AD34" i="8"/>
  <c r="AD33" i="8" s="1"/>
  <c r="AD37" i="8" s="1"/>
  <c r="V29" i="8"/>
  <c r="W22" i="8"/>
  <c r="X22" i="8"/>
  <c r="Y22" i="8"/>
  <c r="Z22" i="8"/>
  <c r="AA22" i="8"/>
  <c r="AB22" i="8"/>
  <c r="AC22" i="8"/>
  <c r="AD22" i="8"/>
  <c r="V22" i="8"/>
  <c r="W21" i="8"/>
  <c r="X21" i="8"/>
  <c r="Y21" i="8"/>
  <c r="Z21" i="8"/>
  <c r="AA21" i="8"/>
  <c r="AB21" i="8"/>
  <c r="AC21" i="8"/>
  <c r="AD21" i="8"/>
  <c r="W19" i="8"/>
  <c r="X19" i="8"/>
  <c r="Y19" i="8"/>
  <c r="Z19" i="8"/>
  <c r="AA19" i="8"/>
  <c r="AB19" i="8"/>
  <c r="AC19" i="8"/>
  <c r="AD19" i="8"/>
  <c r="V19" i="8"/>
  <c r="AC18" i="8"/>
  <c r="AD18" i="8" s="1"/>
  <c r="AE18" i="8" s="1"/>
  <c r="W18" i="8"/>
  <c r="X18" i="8" s="1"/>
  <c r="Y18" i="8" s="1"/>
  <c r="Z18" i="8" s="1"/>
  <c r="AA18" i="8" s="1"/>
  <c r="AG13" i="8"/>
  <c r="AH13" i="8" s="1"/>
  <c r="AI13" i="8" s="1"/>
  <c r="AJ13" i="8" s="1"/>
  <c r="AK13" i="8" s="1"/>
  <c r="AL13" i="8" s="1"/>
  <c r="AM13" i="8" s="1"/>
  <c r="AN13" i="8" s="1"/>
  <c r="AO13" i="8" s="1"/>
  <c r="AP13" i="8" s="1"/>
  <c r="AG12" i="8"/>
  <c r="AH12" i="8" s="1"/>
  <c r="AI12" i="8" s="1"/>
  <c r="AJ12" i="8" s="1"/>
  <c r="AK12" i="8" s="1"/>
  <c r="AL12" i="8" s="1"/>
  <c r="AM12" i="8" s="1"/>
  <c r="AN12" i="8" s="1"/>
  <c r="AO12" i="8" s="1"/>
  <c r="AP12" i="8" s="1"/>
  <c r="W9" i="8"/>
  <c r="X9" i="8"/>
  <c r="Y9" i="8"/>
  <c r="Z9" i="8"/>
  <c r="AA9" i="8"/>
  <c r="AB9" i="8"/>
  <c r="AC9" i="8"/>
  <c r="AD9" i="8"/>
  <c r="V9" i="8"/>
  <c r="V5" i="8" s="1"/>
  <c r="V4" i="8" s="1"/>
  <c r="W6" i="8"/>
  <c r="X6" i="8"/>
  <c r="Y6" i="8"/>
  <c r="Z6" i="8"/>
  <c r="AA6" i="8"/>
  <c r="AB6" i="8"/>
  <c r="AC6" i="8"/>
  <c r="AD6" i="8"/>
  <c r="X35" i="7"/>
  <c r="Y35" i="7" s="1"/>
  <c r="W34" i="7"/>
  <c r="X34" i="7" s="1"/>
  <c r="X33" i="7" s="1"/>
  <c r="V34" i="7"/>
  <c r="V32" i="7"/>
  <c r="AH12" i="7"/>
  <c r="AI12" i="7"/>
  <c r="AD10" i="7"/>
  <c r="AC10" i="7"/>
  <c r="AB10" i="7"/>
  <c r="AA10" i="7"/>
  <c r="Z10" i="7"/>
  <c r="Y10" i="7"/>
  <c r="X10" i="7"/>
  <c r="W10" i="7"/>
  <c r="X84" i="6"/>
  <c r="Y84" i="6"/>
  <c r="Z84" i="6"/>
  <c r="AA84" i="6"/>
  <c r="AB84" i="6"/>
  <c r="AC84" i="6"/>
  <c r="AD84" i="6"/>
  <c r="W84" i="6"/>
  <c r="W76" i="6"/>
  <c r="X76" i="6"/>
  <c r="Y76" i="6"/>
  <c r="Z76" i="6"/>
  <c r="AA76" i="6"/>
  <c r="AB76" i="6"/>
  <c r="AD76" i="6"/>
  <c r="AE76" i="6"/>
  <c r="V76" i="6"/>
  <c r="W73" i="6"/>
  <c r="X73" i="6"/>
  <c r="Y73" i="6"/>
  <c r="Z73" i="6"/>
  <c r="AA73" i="6"/>
  <c r="AB73" i="6"/>
  <c r="AC73" i="6"/>
  <c r="AD73" i="6"/>
  <c r="V73" i="6"/>
  <c r="W72" i="6"/>
  <c r="X72" i="6"/>
  <c r="Y72" i="6"/>
  <c r="Z72" i="6"/>
  <c r="AA72" i="6"/>
  <c r="AB72" i="6"/>
  <c r="AC72" i="6"/>
  <c r="AD72" i="6"/>
  <c r="AE72" i="6"/>
  <c r="V72" i="6"/>
  <c r="W71" i="6"/>
  <c r="X71" i="6"/>
  <c r="Y71" i="6"/>
  <c r="Z71" i="6"/>
  <c r="AA71" i="6"/>
  <c r="AB71" i="6"/>
  <c r="AC71" i="6"/>
  <c r="AD71" i="6"/>
  <c r="AG71" i="6" s="1"/>
  <c r="AH71" i="6" s="1"/>
  <c r="AI71" i="6" s="1"/>
  <c r="AJ71" i="6" s="1"/>
  <c r="V71" i="6"/>
  <c r="W70" i="6"/>
  <c r="X70" i="6"/>
  <c r="Y70" i="6"/>
  <c r="Z70" i="6"/>
  <c r="AA70" i="6"/>
  <c r="AB70" i="6"/>
  <c r="AC70" i="6"/>
  <c r="AD70" i="6"/>
  <c r="V70" i="6"/>
  <c r="AG70" i="6"/>
  <c r="AH70" i="6" s="1"/>
  <c r="AI70" i="6" s="1"/>
  <c r="AJ70" i="6" s="1"/>
  <c r="AG63" i="6"/>
  <c r="AH63" i="6" s="1"/>
  <c r="AI63" i="6" s="1"/>
  <c r="AJ63" i="6" s="1"/>
  <c r="AK63" i="6" s="1"/>
  <c r="AL63" i="6" s="1"/>
  <c r="AM63" i="6" s="1"/>
  <c r="AN63" i="6" s="1"/>
  <c r="AO63" i="6" s="1"/>
  <c r="AP63" i="6" s="1"/>
  <c r="AG58" i="6"/>
  <c r="AH58" i="6" s="1"/>
  <c r="AI58" i="6" s="1"/>
  <c r="AJ58" i="6" s="1"/>
  <c r="AK58" i="6" s="1"/>
  <c r="AL58" i="6" s="1"/>
  <c r="AM58" i="6" s="1"/>
  <c r="AN58" i="6" s="1"/>
  <c r="AO58" i="6" s="1"/>
  <c r="AP58" i="6" s="1"/>
  <c r="AG57" i="6"/>
  <c r="W55" i="6"/>
  <c r="W52" i="6" s="1"/>
  <c r="X55" i="6"/>
  <c r="X52" i="6" s="1"/>
  <c r="Y55" i="6"/>
  <c r="Z55" i="6"/>
  <c r="Z52" i="6" s="1"/>
  <c r="AA55" i="6"/>
  <c r="AA52" i="6" s="1"/>
  <c r="AB55" i="6"/>
  <c r="AB52" i="6" s="1"/>
  <c r="AC55" i="6"/>
  <c r="AC52" i="6" s="1"/>
  <c r="AD55" i="6"/>
  <c r="AD52" i="6" s="1"/>
  <c r="V54" i="6"/>
  <c r="W54" i="6"/>
  <c r="X54" i="6"/>
  <c r="Y54" i="6"/>
  <c r="Z54" i="6"/>
  <c r="AA54" i="6"/>
  <c r="AB54" i="6"/>
  <c r="AC54" i="6"/>
  <c r="AD54" i="6"/>
  <c r="W53" i="6"/>
  <c r="X53" i="6"/>
  <c r="Y53" i="6"/>
  <c r="Z53" i="6"/>
  <c r="AA53" i="6"/>
  <c r="AB53" i="6"/>
  <c r="AC53" i="6"/>
  <c r="AD53" i="6"/>
  <c r="V52" i="6"/>
  <c r="Y52" i="6"/>
  <c r="W51" i="6"/>
  <c r="X51" i="6"/>
  <c r="Y51" i="6"/>
  <c r="Z51" i="6"/>
  <c r="AA51" i="6"/>
  <c r="AB51" i="6"/>
  <c r="AD51" i="6"/>
  <c r="V51" i="6"/>
  <c r="AC50" i="6"/>
  <c r="AC76" i="6" s="1"/>
  <c r="AG48" i="6"/>
  <c r="AH48" i="6" s="1"/>
  <c r="AI48" i="6" s="1"/>
  <c r="AJ48" i="6" s="1"/>
  <c r="AK48" i="6" s="1"/>
  <c r="AL48" i="6" s="1"/>
  <c r="AM48" i="6" s="1"/>
  <c r="AN48" i="6" s="1"/>
  <c r="AO48" i="6" s="1"/>
  <c r="AP48" i="6" s="1"/>
  <c r="W42" i="6"/>
  <c r="W22" i="10" s="1"/>
  <c r="X42" i="6"/>
  <c r="X22" i="10" s="1"/>
  <c r="Y42" i="6"/>
  <c r="Y22" i="10" s="1"/>
  <c r="Z42" i="6"/>
  <c r="Z22" i="10" s="1"/>
  <c r="AA42" i="6"/>
  <c r="AA22" i="10" s="1"/>
  <c r="AB42" i="6"/>
  <c r="AB22" i="10" s="1"/>
  <c r="AC42" i="6"/>
  <c r="AC22" i="10" s="1"/>
  <c r="AD42" i="6"/>
  <c r="E25" i="15" s="1"/>
  <c r="V42" i="6"/>
  <c r="V22" i="10" s="1"/>
  <c r="V33" i="6"/>
  <c r="W28" i="6"/>
  <c r="X28" i="6"/>
  <c r="Y28" i="6"/>
  <c r="Z28" i="6"/>
  <c r="AA28" i="6"/>
  <c r="AB28" i="6"/>
  <c r="AC28" i="6"/>
  <c r="AD28" i="6"/>
  <c r="V28" i="6"/>
  <c r="W27" i="6"/>
  <c r="X27" i="6"/>
  <c r="Y27" i="6"/>
  <c r="Z27" i="6"/>
  <c r="AA27" i="6"/>
  <c r="AB27" i="6"/>
  <c r="AC27" i="6"/>
  <c r="AD27" i="6"/>
  <c r="V27" i="6"/>
  <c r="AE152" i="2"/>
  <c r="X12" i="6"/>
  <c r="F32" i="12" s="1"/>
  <c r="Y12" i="6"/>
  <c r="G32" i="12" s="1"/>
  <c r="Z12" i="6"/>
  <c r="H32" i="12" s="1"/>
  <c r="AC12" i="6"/>
  <c r="AD12" i="6"/>
  <c r="AE12" i="6"/>
  <c r="W12" i="6"/>
  <c r="E32" i="12" s="1"/>
  <c r="W4" i="6"/>
  <c r="W20" i="10" s="1"/>
  <c r="X4" i="6"/>
  <c r="X20" i="10" s="1"/>
  <c r="Y4" i="6"/>
  <c r="Y20" i="10" s="1"/>
  <c r="Z4" i="6"/>
  <c r="Z20" i="10" s="1"/>
  <c r="AA4" i="6"/>
  <c r="AA20" i="10" s="1"/>
  <c r="AB4" i="6"/>
  <c r="AC4" i="6"/>
  <c r="AD4" i="6"/>
  <c r="E24" i="15" s="1"/>
  <c r="V4" i="6"/>
  <c r="V20" i="10" s="1"/>
  <c r="AF53" i="4"/>
  <c r="AG53" i="4" s="1"/>
  <c r="AH53" i="4" s="1"/>
  <c r="AI53" i="4" s="1"/>
  <c r="AJ53" i="4" s="1"/>
  <c r="AK53" i="4" s="1"/>
  <c r="AL53" i="4" s="1"/>
  <c r="AM53" i="4" s="1"/>
  <c r="AN53" i="4" s="1"/>
  <c r="AO53" i="4" s="1"/>
  <c r="AP53" i="4" s="1"/>
  <c r="E23" i="15" l="1"/>
  <c r="F24" i="15"/>
  <c r="H24" i="15"/>
  <c r="F25" i="15"/>
  <c r="E30" i="15"/>
  <c r="W5" i="8"/>
  <c r="W4" i="8" s="1"/>
  <c r="V41" i="6"/>
  <c r="AK70" i="6"/>
  <c r="AK71" i="6"/>
  <c r="AJ45" i="6"/>
  <c r="Y5" i="8"/>
  <c r="Y4" i="8" s="1"/>
  <c r="AD5" i="8"/>
  <c r="AD4" i="8" s="1"/>
  <c r="AC5" i="8"/>
  <c r="AC4" i="8" s="1"/>
  <c r="AB5" i="8"/>
  <c r="AB4" i="8" s="1"/>
  <c r="AA5" i="8"/>
  <c r="AA4" i="8" s="1"/>
  <c r="X5" i="8"/>
  <c r="X4" i="8" s="1"/>
  <c r="Z5" i="8"/>
  <c r="Z4" i="8" s="1"/>
  <c r="X15" i="7"/>
  <c r="F28" i="12" s="1"/>
  <c r="V39" i="7"/>
  <c r="AC3" i="6"/>
  <c r="AC20" i="10"/>
  <c r="X41" i="6"/>
  <c r="Z3" i="6"/>
  <c r="AA41" i="6"/>
  <c r="AD3" i="6"/>
  <c r="AD20" i="10"/>
  <c r="X3" i="6"/>
  <c r="Y41" i="6"/>
  <c r="AG44" i="6"/>
  <c r="AB3" i="6"/>
  <c r="AB20" i="10"/>
  <c r="W41" i="6"/>
  <c r="AF72" i="6"/>
  <c r="AA3" i="6"/>
  <c r="AC51" i="6"/>
  <c r="W3" i="6"/>
  <c r="V3" i="6"/>
  <c r="Y3" i="6"/>
  <c r="AB41" i="6"/>
  <c r="Z41" i="6"/>
  <c r="AF76" i="6"/>
  <c r="AG59" i="6"/>
  <c r="AG50" i="6"/>
  <c r="AD41" i="6"/>
  <c r="AD22" i="10"/>
  <c r="AC41" i="6"/>
  <c r="AE62" i="8"/>
  <c r="AE64" i="8" s="1"/>
  <c r="AE40" i="8"/>
  <c r="AE38" i="8" s="1"/>
  <c r="AE56" i="8"/>
  <c r="AE55" i="8" s="1"/>
  <c r="W39" i="7"/>
  <c r="Z35" i="7"/>
  <c r="AA35" i="7" s="1"/>
  <c r="AB35" i="7" s="1"/>
  <c r="AC35" i="7" s="1"/>
  <c r="AD35" i="7" s="1"/>
  <c r="X16" i="7"/>
  <c r="Y34" i="7"/>
  <c r="AE72" i="8"/>
  <c r="AG45" i="6"/>
  <c r="AH57" i="6"/>
  <c r="AF18" i="6"/>
  <c r="AF27" i="6" l="1"/>
  <c r="AF58" i="5"/>
  <c r="Z86" i="6"/>
  <c r="E29" i="15"/>
  <c r="F23" i="15"/>
  <c r="W86" i="6"/>
  <c r="Y86" i="6"/>
  <c r="AL71" i="6"/>
  <c r="AK45" i="6"/>
  <c r="AL70" i="6"/>
  <c r="AB86" i="6"/>
  <c r="AD2" i="6"/>
  <c r="AB2" i="6"/>
  <c r="W2" i="6"/>
  <c r="AC86" i="6"/>
  <c r="Y2" i="6"/>
  <c r="Z2" i="6"/>
  <c r="AA2" i="6"/>
  <c r="X86" i="6"/>
  <c r="X2" i="6"/>
  <c r="AD86" i="6"/>
  <c r="AA86" i="6"/>
  <c r="AC2" i="6"/>
  <c r="AH59" i="6"/>
  <c r="AG72" i="6"/>
  <c r="AH50" i="6"/>
  <c r="AG76" i="6"/>
  <c r="Y33" i="7"/>
  <c r="Z34" i="7"/>
  <c r="AE71" i="8"/>
  <c r="AH45" i="6"/>
  <c r="AI45" i="6"/>
  <c r="AH44" i="6"/>
  <c r="AI57" i="6"/>
  <c r="AG18" i="6"/>
  <c r="AG58" i="5" s="1"/>
  <c r="AI44" i="6" l="1"/>
  <c r="AJ57" i="6"/>
  <c r="AM70" i="6"/>
  <c r="AM71" i="6"/>
  <c r="AL45" i="6"/>
  <c r="AI59" i="6"/>
  <c r="AH72" i="6"/>
  <c r="AI50" i="6"/>
  <c r="AH76" i="6"/>
  <c r="Z33" i="7"/>
  <c r="AA34" i="7"/>
  <c r="AB34" i="7" s="1"/>
  <c r="AC34" i="7" s="1"/>
  <c r="AD34" i="7" s="1"/>
  <c r="AH18" i="6"/>
  <c r="AH58" i="5" s="1"/>
  <c r="AE34" i="7" l="1"/>
  <c r="AE39" i="7"/>
  <c r="AI76" i="6"/>
  <c r="AJ50" i="6"/>
  <c r="AN46" i="6"/>
  <c r="AK57" i="6"/>
  <c r="AJ44" i="6"/>
  <c r="AI72" i="6"/>
  <c r="AJ59" i="6"/>
  <c r="AN71" i="6"/>
  <c r="AM45" i="6"/>
  <c r="AN70" i="6"/>
  <c r="AD39" i="7"/>
  <c r="AA33" i="7"/>
  <c r="AI18" i="6"/>
  <c r="AJ18" i="6" l="1"/>
  <c r="AJ58" i="5" s="1"/>
  <c r="AI58" i="5"/>
  <c r="AF39" i="7"/>
  <c r="AF34" i="7"/>
  <c r="AK18" i="6"/>
  <c r="AK58" i="5" s="1"/>
  <c r="AL57" i="6"/>
  <c r="AK44" i="6"/>
  <c r="AK59" i="6"/>
  <c r="AJ72" i="6"/>
  <c r="AO46" i="6"/>
  <c r="AK50" i="6"/>
  <c r="AJ76" i="6"/>
  <c r="AO70" i="6"/>
  <c r="AO71" i="6"/>
  <c r="AN45" i="6"/>
  <c r="AB33" i="7"/>
  <c r="W65" i="5"/>
  <c r="X65" i="5"/>
  <c r="Y65" i="5"/>
  <c r="Z65" i="5"/>
  <c r="AA65" i="5"/>
  <c r="AB65" i="5"/>
  <c r="AC65" i="5"/>
  <c r="AD65" i="5"/>
  <c r="V65" i="5"/>
  <c r="W58" i="5"/>
  <c r="X58" i="5"/>
  <c r="Y58" i="5"/>
  <c r="Z58" i="5"/>
  <c r="AA58" i="5"/>
  <c r="AB58" i="5"/>
  <c r="AC58" i="5"/>
  <c r="AD58" i="5"/>
  <c r="AE58" i="5"/>
  <c r="V58" i="5"/>
  <c r="W53" i="5"/>
  <c r="X53" i="5"/>
  <c r="Y53" i="5"/>
  <c r="Z53" i="5"/>
  <c r="AA53" i="5"/>
  <c r="AB53" i="5"/>
  <c r="AC53" i="5"/>
  <c r="AD53" i="5"/>
  <c r="V53" i="5"/>
  <c r="W52" i="5"/>
  <c r="X52" i="5"/>
  <c r="Y52" i="5"/>
  <c r="Z52" i="5"/>
  <c r="AA52" i="5"/>
  <c r="AB52" i="5"/>
  <c r="AC52" i="5"/>
  <c r="AD52" i="5"/>
  <c r="V52" i="5"/>
  <c r="W50" i="5"/>
  <c r="X50" i="5" s="1"/>
  <c r="Y50" i="5" s="1"/>
  <c r="Z50" i="5" s="1"/>
  <c r="AA50" i="5" s="1"/>
  <c r="AB50" i="5" s="1"/>
  <c r="AC50" i="5" s="1"/>
  <c r="AD50" i="5" s="1"/>
  <c r="AE50" i="5" s="1"/>
  <c r="AF50" i="5" s="1"/>
  <c r="AG50" i="5" s="1"/>
  <c r="AH50" i="5" s="1"/>
  <c r="AI50" i="5" s="1"/>
  <c r="AJ50" i="5" s="1"/>
  <c r="AK50" i="5" s="1"/>
  <c r="AL50" i="5" s="1"/>
  <c r="AM50" i="5" s="1"/>
  <c r="AN50" i="5" s="1"/>
  <c r="AO50" i="5" s="1"/>
  <c r="AP50" i="5" s="1"/>
  <c r="W49" i="5"/>
  <c r="X49" i="5"/>
  <c r="Y49" i="5"/>
  <c r="Z49" i="5"/>
  <c r="AA49" i="5"/>
  <c r="AB49" i="5"/>
  <c r="AC49" i="5"/>
  <c r="V49" i="5"/>
  <c r="W45" i="5"/>
  <c r="X45" i="5"/>
  <c r="Y45" i="5"/>
  <c r="Z45" i="5"/>
  <c r="AA45" i="5"/>
  <c r="AB45" i="5"/>
  <c r="AC45" i="5"/>
  <c r="AD45" i="5"/>
  <c r="V45" i="5"/>
  <c r="W44" i="5"/>
  <c r="X44" i="5"/>
  <c r="Y44" i="5"/>
  <c r="Z44" i="5"/>
  <c r="AA44" i="5"/>
  <c r="AB44" i="5"/>
  <c r="AC44" i="5"/>
  <c r="AD44" i="5"/>
  <c r="AE44" i="5"/>
  <c r="V44" i="5"/>
  <c r="W40" i="5"/>
  <c r="X40" i="5" s="1"/>
  <c r="Y40" i="5" s="1"/>
  <c r="Z40" i="5" s="1"/>
  <c r="AA40" i="5" s="1"/>
  <c r="AB40" i="5" s="1"/>
  <c r="AC40" i="5" s="1"/>
  <c r="AD40" i="5" s="1"/>
  <c r="AE40" i="5" s="1"/>
  <c r="AF40" i="5" s="1"/>
  <c r="AG40" i="5" s="1"/>
  <c r="AH40" i="5" s="1"/>
  <c r="AI40" i="5" s="1"/>
  <c r="AJ40" i="5" s="1"/>
  <c r="AK40" i="5" s="1"/>
  <c r="AL40" i="5" s="1"/>
  <c r="AM40" i="5" s="1"/>
  <c r="AN40" i="5" s="1"/>
  <c r="AO40" i="5" s="1"/>
  <c r="AP40" i="5" s="1"/>
  <c r="V36" i="5"/>
  <c r="W35" i="5"/>
  <c r="X35" i="5" s="1"/>
  <c r="Y35" i="5" s="1"/>
  <c r="Z35" i="5" s="1"/>
  <c r="AA35" i="5" s="1"/>
  <c r="AB35" i="5" s="1"/>
  <c r="AC35" i="5" s="1"/>
  <c r="AD35" i="5" s="1"/>
  <c r="W33" i="5"/>
  <c r="X33" i="5"/>
  <c r="Y33" i="5"/>
  <c r="Z33" i="5"/>
  <c r="AA33" i="5"/>
  <c r="AB33" i="5"/>
  <c r="AC33" i="5"/>
  <c r="AD33" i="5"/>
  <c r="V33" i="5"/>
  <c r="AB31" i="5"/>
  <c r="W31" i="5"/>
  <c r="X31" i="5"/>
  <c r="Y31" i="5"/>
  <c r="Z31" i="5"/>
  <c r="AA31" i="5"/>
  <c r="V31" i="5"/>
  <c r="AA30" i="5"/>
  <c r="AB30" i="5"/>
  <c r="W30" i="5"/>
  <c r="X30" i="5"/>
  <c r="Y30" i="5"/>
  <c r="Z30" i="5"/>
  <c r="V30" i="5"/>
  <c r="W29" i="5"/>
  <c r="X29" i="5"/>
  <c r="Y29" i="5"/>
  <c r="Z29" i="5"/>
  <c r="AA29" i="5"/>
  <c r="AB29" i="5"/>
  <c r="V29" i="5"/>
  <c r="AE65" i="2"/>
  <c r="AE25" i="5" s="1"/>
  <c r="W20" i="5"/>
  <c r="X20" i="5" s="1"/>
  <c r="Y20" i="5" s="1"/>
  <c r="Z20" i="5" s="1"/>
  <c r="AA20" i="5" s="1"/>
  <c r="AB20" i="5" s="1"/>
  <c r="AC20" i="5" s="1"/>
  <c r="X16" i="5"/>
  <c r="Y16" i="5"/>
  <c r="Z16" i="5"/>
  <c r="AA16" i="5"/>
  <c r="AB16" i="5"/>
  <c r="AC16" i="5"/>
  <c r="V16" i="5"/>
  <c r="W14" i="5"/>
  <c r="X14" i="5" s="1"/>
  <c r="Y14" i="5" s="1"/>
  <c r="Z14" i="5" s="1"/>
  <c r="AA14" i="5" s="1"/>
  <c r="AB14" i="5" s="1"/>
  <c r="AC14" i="5" s="1"/>
  <c r="W13" i="5"/>
  <c r="X13" i="5"/>
  <c r="Y13" i="5"/>
  <c r="Z13" i="5"/>
  <c r="AA13" i="5"/>
  <c r="AB13" i="5"/>
  <c r="AC13" i="5"/>
  <c r="V13" i="5"/>
  <c r="AE10" i="7"/>
  <c r="AL59" i="6" l="1"/>
  <c r="AK72" i="6"/>
  <c r="AL50" i="6"/>
  <c r="AK76" i="6"/>
  <c r="AM57" i="6"/>
  <c r="AL44" i="6"/>
  <c r="AL18" i="6"/>
  <c r="AL58" i="5" s="1"/>
  <c r="AP46" i="6"/>
  <c r="AP71" i="6"/>
  <c r="AP45" i="6" s="1"/>
  <c r="AO45" i="6"/>
  <c r="AE35" i="5"/>
  <c r="AF35" i="5" s="1"/>
  <c r="AG35" i="5" s="1"/>
  <c r="AH35" i="5" s="1"/>
  <c r="AI35" i="5" s="1"/>
  <c r="AJ35" i="5" s="1"/>
  <c r="AK35" i="5" s="1"/>
  <c r="AL35" i="5" s="1"/>
  <c r="AM35" i="5" s="1"/>
  <c r="AN35" i="5" s="1"/>
  <c r="AO35" i="5" s="1"/>
  <c r="AP35" i="5" s="1"/>
  <c r="AP70" i="6"/>
  <c r="AJ34" i="4"/>
  <c r="AJ8" i="10" s="1"/>
  <c r="AJ11" i="9" s="1"/>
  <c r="AC33" i="7"/>
  <c r="AC47" i="4"/>
  <c r="AB47" i="4"/>
  <c r="AA47" i="4"/>
  <c r="Z47" i="4"/>
  <c r="Y47" i="4"/>
  <c r="X47" i="4"/>
  <c r="W47" i="4"/>
  <c r="V47" i="4"/>
  <c r="AF34" i="4"/>
  <c r="AG34" i="4"/>
  <c r="AG8" i="10" s="1"/>
  <c r="AG11" i="9" s="1"/>
  <c r="AH34" i="4"/>
  <c r="AH8" i="10" s="1"/>
  <c r="AH11" i="9" s="1"/>
  <c r="AI34" i="4"/>
  <c r="AI8" i="10" s="1"/>
  <c r="AI11" i="9" s="1"/>
  <c r="AE8" i="10"/>
  <c r="AE11" i="9" s="1"/>
  <c r="W33" i="4"/>
  <c r="X33" i="4"/>
  <c r="Y33" i="4"/>
  <c r="Z33" i="4"/>
  <c r="AA33" i="4"/>
  <c r="AB33" i="4"/>
  <c r="AC33" i="4"/>
  <c r="AD33" i="4"/>
  <c r="V33" i="4"/>
  <c r="Y32" i="4"/>
  <c r="V32" i="4"/>
  <c r="W29" i="4"/>
  <c r="W31" i="4" s="1"/>
  <c r="W32" i="4" s="1"/>
  <c r="X29" i="4"/>
  <c r="X31" i="4" s="1"/>
  <c r="X32" i="4" s="1"/>
  <c r="Y29" i="4"/>
  <c r="Z29" i="4"/>
  <c r="Z31" i="4" s="1"/>
  <c r="Z32" i="4" s="1"/>
  <c r="AA29" i="4"/>
  <c r="AA31" i="4" s="1"/>
  <c r="AA32" i="4" s="1"/>
  <c r="AB29" i="4"/>
  <c r="AB31" i="4" s="1"/>
  <c r="AB32" i="4" s="1"/>
  <c r="AC29" i="4"/>
  <c r="AC31" i="4" s="1"/>
  <c r="AC32" i="4" s="1"/>
  <c r="AD31" i="4"/>
  <c r="AD32" i="4" s="1"/>
  <c r="V29" i="4"/>
  <c r="X21" i="4"/>
  <c r="X17" i="4" s="1"/>
  <c r="Y21" i="4"/>
  <c r="Y16" i="4" s="1"/>
  <c r="G27" i="12" s="1"/>
  <c r="Z21" i="4"/>
  <c r="Z16" i="4" s="1"/>
  <c r="AA21" i="4"/>
  <c r="AB21" i="4"/>
  <c r="AC21" i="4"/>
  <c r="AD21" i="4"/>
  <c r="AE21" i="4"/>
  <c r="W21" i="4"/>
  <c r="W16" i="4" s="1"/>
  <c r="E27" i="12" s="1"/>
  <c r="W19" i="4"/>
  <c r="X19" i="4" s="1"/>
  <c r="Y19" i="4" s="1"/>
  <c r="Z19" i="4" s="1"/>
  <c r="AA19" i="4" s="1"/>
  <c r="AB19" i="4" s="1"/>
  <c r="AC19" i="4" s="1"/>
  <c r="AD19" i="4" s="1"/>
  <c r="AE19" i="4" s="1"/>
  <c r="AF19" i="4" s="1"/>
  <c r="AC17" i="4"/>
  <c r="AB17" i="4"/>
  <c r="AA17" i="4"/>
  <c r="V17" i="4"/>
  <c r="X12" i="4"/>
  <c r="Y12" i="4"/>
  <c r="Y8" i="4" s="1"/>
  <c r="Z12" i="4"/>
  <c r="Z8" i="4" s="1"/>
  <c r="AA12" i="4"/>
  <c r="AA8" i="4" s="1"/>
  <c r="AB12" i="4"/>
  <c r="AB8" i="4" s="1"/>
  <c r="AC12" i="4"/>
  <c r="AC8" i="4" s="1"/>
  <c r="AD12" i="4"/>
  <c r="AD8" i="4" s="1"/>
  <c r="W12" i="4"/>
  <c r="W10" i="4"/>
  <c r="X10" i="4" s="1"/>
  <c r="Y10" i="4" s="1"/>
  <c r="Z10" i="4" s="1"/>
  <c r="AA10" i="4" s="1"/>
  <c r="AB10" i="4" s="1"/>
  <c r="AC10" i="4" s="1"/>
  <c r="AD10" i="4" s="1"/>
  <c r="AE10" i="4" s="1"/>
  <c r="AF10" i="4" s="1"/>
  <c r="W44" i="3"/>
  <c r="X44" i="3"/>
  <c r="Y44" i="3"/>
  <c r="Z44" i="3"/>
  <c r="AA44" i="3"/>
  <c r="AB44" i="3"/>
  <c r="AC44" i="3"/>
  <c r="AD44" i="3"/>
  <c r="W37" i="3"/>
  <c r="X37" i="3"/>
  <c r="Y37" i="3"/>
  <c r="Z37" i="3"/>
  <c r="Z41" i="3" s="1"/>
  <c r="AA37" i="3"/>
  <c r="AB37" i="3"/>
  <c r="AC37" i="3"/>
  <c r="AD37" i="3"/>
  <c r="AE37" i="3"/>
  <c r="V37" i="3"/>
  <c r="V41" i="3" s="1"/>
  <c r="AE33" i="3"/>
  <c r="AD33" i="3"/>
  <c r="AC33" i="3"/>
  <c r="AB33" i="3"/>
  <c r="AA33" i="3"/>
  <c r="Z33" i="3"/>
  <c r="Y33" i="3"/>
  <c r="X33" i="3"/>
  <c r="W33" i="3"/>
  <c r="AE32" i="3"/>
  <c r="AD32" i="3"/>
  <c r="AC32" i="3"/>
  <c r="AB32" i="3"/>
  <c r="AA32" i="3"/>
  <c r="Z32" i="3"/>
  <c r="Y32" i="3"/>
  <c r="X32" i="3"/>
  <c r="W32" i="3"/>
  <c r="AH31" i="3"/>
  <c r="AG31" i="3"/>
  <c r="AF31" i="3"/>
  <c r="AE31" i="3"/>
  <c r="AD31" i="3"/>
  <c r="AC31" i="3"/>
  <c r="AB31" i="3"/>
  <c r="AA31" i="3"/>
  <c r="Z31" i="3"/>
  <c r="Y31" i="3"/>
  <c r="X31" i="3"/>
  <c r="W31" i="3"/>
  <c r="AH30" i="3"/>
  <c r="AG30" i="3"/>
  <c r="AF30" i="3"/>
  <c r="AE30" i="3"/>
  <c r="AD30" i="3"/>
  <c r="AC30" i="3"/>
  <c r="AB30" i="3"/>
  <c r="AA30" i="3"/>
  <c r="Z30" i="3"/>
  <c r="Y30" i="3"/>
  <c r="X30" i="3"/>
  <c r="W30" i="3"/>
  <c r="Z29" i="3"/>
  <c r="AF33" i="3"/>
  <c r="AG26" i="3"/>
  <c r="AD22" i="3"/>
  <c r="E16" i="15" s="1"/>
  <c r="F16" i="15" s="1"/>
  <c r="AC22" i="3"/>
  <c r="AB22" i="3"/>
  <c r="AA22" i="3"/>
  <c r="X22" i="3"/>
  <c r="W22" i="3"/>
  <c r="Y29" i="3" l="1"/>
  <c r="F22" i="12"/>
  <c r="Y17" i="4"/>
  <c r="W20" i="3"/>
  <c r="E22" i="12"/>
  <c r="Z17" i="4"/>
  <c r="H27" i="12"/>
  <c r="AF8" i="10"/>
  <c r="AF11" i="9" s="1"/>
  <c r="AH26" i="3"/>
  <c r="AI26" i="3" s="1"/>
  <c r="AG44" i="3"/>
  <c r="AG46" i="3" s="1"/>
  <c r="AN57" i="6"/>
  <c r="AM44" i="6"/>
  <c r="AM50" i="6"/>
  <c r="AL76" i="6"/>
  <c r="AM18" i="6"/>
  <c r="AM58" i="5" s="1"/>
  <c r="AM59" i="6"/>
  <c r="AL72" i="6"/>
  <c r="AB37" i="4"/>
  <c r="AB41" i="4" s="1"/>
  <c r="V37" i="4"/>
  <c r="V41" i="4" s="1"/>
  <c r="V43" i="4" s="1"/>
  <c r="X37" i="4"/>
  <c r="X41" i="4" s="1"/>
  <c r="W17" i="4"/>
  <c r="Y37" i="4"/>
  <c r="Y41" i="4" s="1"/>
  <c r="X16" i="4"/>
  <c r="F27" i="12" s="1"/>
  <c r="AK34" i="4"/>
  <c r="AK8" i="10" s="1"/>
  <c r="AK11" i="9" s="1"/>
  <c r="W41" i="3"/>
  <c r="X29" i="3"/>
  <c r="AB41" i="3"/>
  <c r="W29" i="3"/>
  <c r="AC41" i="3"/>
  <c r="AD29" i="3"/>
  <c r="X41" i="3"/>
  <c r="Y38" i="3"/>
  <c r="AC37" i="4"/>
  <c r="W37" i="4"/>
  <c r="AA37" i="4"/>
  <c r="Z37" i="4"/>
  <c r="AA38" i="3"/>
  <c r="W38" i="3"/>
  <c r="AB20" i="3"/>
  <c r="J22" i="12"/>
  <c r="AA20" i="3"/>
  <c r="I22" i="12"/>
  <c r="AB29" i="3"/>
  <c r="X38" i="3"/>
  <c r="AA41" i="3"/>
  <c r="AB38" i="3"/>
  <c r="AD20" i="3"/>
  <c r="L22" i="12"/>
  <c r="AD41" i="3"/>
  <c r="AC29" i="3"/>
  <c r="Z38" i="3"/>
  <c r="Y41" i="3"/>
  <c r="AC20" i="3"/>
  <c r="K22" i="12"/>
  <c r="Y20" i="3"/>
  <c r="X20" i="3"/>
  <c r="AA29" i="3"/>
  <c r="AD38" i="3"/>
  <c r="AG32" i="3"/>
  <c r="AD37" i="4"/>
  <c r="M27" i="12"/>
  <c r="AF32" i="3"/>
  <c r="AG13" i="10"/>
  <c r="AD33" i="7"/>
  <c r="AE22" i="3"/>
  <c r="AG14" i="3"/>
  <c r="AH14" i="3" s="1"/>
  <c r="AI14" i="3" s="1"/>
  <c r="AJ14" i="3" s="1"/>
  <c r="AK14" i="3" s="1"/>
  <c r="AL14" i="3" s="1"/>
  <c r="AM14" i="3" s="1"/>
  <c r="AN14" i="3" s="1"/>
  <c r="AO14" i="3" s="1"/>
  <c r="AP14" i="3" s="1"/>
  <c r="AD14" i="3"/>
  <c r="AC14" i="3"/>
  <c r="AB14" i="3"/>
  <c r="AA14" i="3"/>
  <c r="Z14" i="3"/>
  <c r="Y14" i="3"/>
  <c r="X14" i="3"/>
  <c r="W14" i="3"/>
  <c r="V14" i="3"/>
  <c r="Z7" i="3"/>
  <c r="Y7" i="3"/>
  <c r="AG6" i="3"/>
  <c r="AH6" i="3" s="1"/>
  <c r="AI6" i="3" s="1"/>
  <c r="AJ6" i="3" s="1"/>
  <c r="V6" i="3"/>
  <c r="AD6" i="3"/>
  <c r="AC6" i="3"/>
  <c r="AB6" i="3"/>
  <c r="AA6" i="3"/>
  <c r="Z6" i="3"/>
  <c r="Y6" i="3"/>
  <c r="X6" i="3"/>
  <c r="W6" i="3"/>
  <c r="AF108" i="11"/>
  <c r="AG108" i="11" s="1"/>
  <c r="AH108" i="11" s="1"/>
  <c r="AI108" i="11" s="1"/>
  <c r="AE115" i="11"/>
  <c r="AE121" i="11"/>
  <c r="V123" i="11"/>
  <c r="AD121" i="11"/>
  <c r="AC121" i="11"/>
  <c r="AB121" i="11"/>
  <c r="AA121" i="11"/>
  <c r="Z121" i="11"/>
  <c r="Y121" i="11"/>
  <c r="AD115" i="11"/>
  <c r="AC115" i="11"/>
  <c r="AB115" i="11"/>
  <c r="AA115" i="11"/>
  <c r="Z115" i="11"/>
  <c r="Y115" i="11"/>
  <c r="AD111" i="11"/>
  <c r="AC111" i="11"/>
  <c r="AB111" i="11"/>
  <c r="AA111" i="11"/>
  <c r="Z111" i="11"/>
  <c r="Y111" i="11"/>
  <c r="X111" i="11"/>
  <c r="W111" i="11"/>
  <c r="X86" i="11"/>
  <c r="Y86" i="11" s="1"/>
  <c r="AG86" i="11" s="1"/>
  <c r="AH86" i="11" s="1"/>
  <c r="AI86" i="11" s="1"/>
  <c r="AJ86" i="11" s="1"/>
  <c r="AK86" i="11" s="1"/>
  <c r="AL86" i="11" s="1"/>
  <c r="AM86" i="11" s="1"/>
  <c r="AN86" i="11" s="1"/>
  <c r="AO86" i="11" s="1"/>
  <c r="AP86" i="11" s="1"/>
  <c r="AC83" i="11"/>
  <c r="AC84" i="11" s="1"/>
  <c r="AD83" i="11"/>
  <c r="AD84" i="11" s="1"/>
  <c r="V83" i="11"/>
  <c r="V84" i="11" s="1"/>
  <c r="AC82" i="11"/>
  <c r="AD82" i="11"/>
  <c r="V82" i="11"/>
  <c r="W80" i="11"/>
  <c r="X80" i="11"/>
  <c r="Y80" i="11"/>
  <c r="Z80" i="11"/>
  <c r="AA80" i="11"/>
  <c r="AB80" i="11"/>
  <c r="AC80" i="11"/>
  <c r="AD80" i="11"/>
  <c r="V80" i="11"/>
  <c r="AE79" i="11"/>
  <c r="AD79" i="11"/>
  <c r="AC79" i="11"/>
  <c r="Y79" i="11"/>
  <c r="X79" i="11"/>
  <c r="W79" i="11"/>
  <c r="V79" i="11"/>
  <c r="AG77" i="11"/>
  <c r="AH77" i="11" s="1"/>
  <c r="AI77" i="11" s="1"/>
  <c r="AJ77" i="11" s="1"/>
  <c r="AF76" i="11"/>
  <c r="AG76" i="11" s="1"/>
  <c r="AH76" i="11" s="1"/>
  <c r="AI76" i="11" s="1"/>
  <c r="AJ76" i="11" s="1"/>
  <c r="AK76" i="11" s="1"/>
  <c r="AL76" i="11" s="1"/>
  <c r="AM76" i="11" s="1"/>
  <c r="AN76" i="11" s="1"/>
  <c r="AO76" i="11" s="1"/>
  <c r="AP76" i="11" s="1"/>
  <c r="AB79" i="11"/>
  <c r="AC74" i="11"/>
  <c r="AD74" i="11"/>
  <c r="V74" i="11"/>
  <c r="AE73" i="11"/>
  <c r="AD73" i="11"/>
  <c r="AC73" i="11"/>
  <c r="AA73" i="11"/>
  <c r="Z73" i="11"/>
  <c r="Y73" i="11"/>
  <c r="X73" i="11"/>
  <c r="W73" i="11"/>
  <c r="V73" i="11"/>
  <c r="W72" i="11"/>
  <c r="X72" i="11" s="1"/>
  <c r="Y72" i="11" s="1"/>
  <c r="Z72" i="11" s="1"/>
  <c r="AA72" i="11" s="1"/>
  <c r="AB72" i="11" s="1"/>
  <c r="AB83" i="11" s="1"/>
  <c r="AB84" i="11" s="1"/>
  <c r="AG71" i="11"/>
  <c r="AH71" i="11" s="1"/>
  <c r="AI71" i="11" s="1"/>
  <c r="AJ71" i="11" s="1"/>
  <c r="AG70" i="11"/>
  <c r="AH70" i="11" s="1"/>
  <c r="AI70" i="11" s="1"/>
  <c r="AJ70" i="11" s="1"/>
  <c r="AK70" i="11" s="1"/>
  <c r="AL70" i="11" s="1"/>
  <c r="AM70" i="11" s="1"/>
  <c r="AN70" i="11" s="1"/>
  <c r="AO70" i="11" s="1"/>
  <c r="AP70" i="11" s="1"/>
  <c r="AB73" i="11"/>
  <c r="W68" i="11"/>
  <c r="X68" i="11"/>
  <c r="Y68" i="11"/>
  <c r="Z68" i="11"/>
  <c r="AA68" i="11"/>
  <c r="AB68" i="11"/>
  <c r="AC68" i="11"/>
  <c r="AD68" i="11"/>
  <c r="V68" i="11"/>
  <c r="AE67" i="11"/>
  <c r="AD67" i="11"/>
  <c r="AC67" i="11"/>
  <c r="AB67" i="11"/>
  <c r="AA67" i="11"/>
  <c r="Z67" i="11"/>
  <c r="Y67" i="11"/>
  <c r="X67" i="11"/>
  <c r="W67" i="11"/>
  <c r="V67" i="11"/>
  <c r="AG65" i="11"/>
  <c r="AH65" i="11" s="1"/>
  <c r="AI65" i="11" s="1"/>
  <c r="AJ65" i="11" s="1"/>
  <c r="AF64" i="11"/>
  <c r="AG64" i="11" s="1"/>
  <c r="AH64" i="11" s="1"/>
  <c r="AI64" i="11" s="1"/>
  <c r="AJ64" i="11" s="1"/>
  <c r="AK64" i="11" s="1"/>
  <c r="AL64" i="11" s="1"/>
  <c r="AM64" i="11" s="1"/>
  <c r="AN64" i="11" s="1"/>
  <c r="AO64" i="11" s="1"/>
  <c r="AP64" i="11" s="1"/>
  <c r="W58" i="11"/>
  <c r="X58" i="11"/>
  <c r="Y58" i="11"/>
  <c r="Z58" i="11"/>
  <c r="AA58" i="11"/>
  <c r="AB58" i="11"/>
  <c r="AC58" i="11"/>
  <c r="AD58" i="11"/>
  <c r="V58" i="11"/>
  <c r="AE57" i="11"/>
  <c r="AD57" i="11"/>
  <c r="AC57" i="11"/>
  <c r="AB57" i="11"/>
  <c r="AA57" i="11"/>
  <c r="Z57" i="11"/>
  <c r="Y57" i="11"/>
  <c r="X57" i="11"/>
  <c r="AF54" i="11"/>
  <c r="AG54" i="11" s="1"/>
  <c r="AH54" i="11" s="1"/>
  <c r="AI54" i="11" s="1"/>
  <c r="AJ54" i="11" s="1"/>
  <c r="AK54" i="11" s="1"/>
  <c r="AL54" i="11" s="1"/>
  <c r="AM54" i="11" s="1"/>
  <c r="AN54" i="11" s="1"/>
  <c r="AO54" i="11" s="1"/>
  <c r="AP54" i="11" s="1"/>
  <c r="W52" i="11"/>
  <c r="X52" i="11"/>
  <c r="Y52" i="11"/>
  <c r="Z52" i="11"/>
  <c r="AA52" i="11"/>
  <c r="V52" i="11"/>
  <c r="AE51" i="11"/>
  <c r="AD51" i="11"/>
  <c r="AC51" i="11"/>
  <c r="AB51" i="11"/>
  <c r="AA51" i="11"/>
  <c r="Z51" i="11"/>
  <c r="Y51" i="11"/>
  <c r="X51" i="11"/>
  <c r="AG49" i="11"/>
  <c r="AH49" i="11" s="1"/>
  <c r="AI49" i="11" s="1"/>
  <c r="AJ49" i="11" s="1"/>
  <c r="AF48" i="11"/>
  <c r="AG48" i="11" s="1"/>
  <c r="AH48" i="11" s="1"/>
  <c r="AI48" i="11" s="1"/>
  <c r="AJ48" i="11" s="1"/>
  <c r="AK48" i="11" s="1"/>
  <c r="AL48" i="11" s="1"/>
  <c r="AM48" i="11" s="1"/>
  <c r="AN48" i="11" s="1"/>
  <c r="AO48" i="11" s="1"/>
  <c r="AP48" i="11" s="1"/>
  <c r="W42" i="11"/>
  <c r="X42" i="11"/>
  <c r="Y42" i="11"/>
  <c r="Z42" i="11"/>
  <c r="AA42" i="11"/>
  <c r="AB42" i="11"/>
  <c r="AC42" i="11"/>
  <c r="AD42" i="11"/>
  <c r="AG42" i="11"/>
  <c r="AH42" i="11" s="1"/>
  <c r="V42" i="11"/>
  <c r="AD41" i="11"/>
  <c r="AC41" i="11"/>
  <c r="AB41" i="11"/>
  <c r="AA41" i="11"/>
  <c r="Z41" i="11"/>
  <c r="Y41" i="11"/>
  <c r="X41" i="11"/>
  <c r="W41" i="11"/>
  <c r="AE41" i="11"/>
  <c r="AF38" i="11"/>
  <c r="AG38" i="11" s="1"/>
  <c r="AH38" i="11" s="1"/>
  <c r="AI38" i="11" s="1"/>
  <c r="AJ38" i="11" s="1"/>
  <c r="AD36" i="11"/>
  <c r="AC36" i="11"/>
  <c r="AB36" i="11"/>
  <c r="AA36" i="11"/>
  <c r="Y36" i="11"/>
  <c r="X36" i="11"/>
  <c r="W36" i="11"/>
  <c r="V36" i="11"/>
  <c r="AG34" i="11"/>
  <c r="AF33" i="11"/>
  <c r="Z36" i="11"/>
  <c r="AD30" i="11"/>
  <c r="AC30" i="11"/>
  <c r="AB30" i="11"/>
  <c r="AA30" i="11"/>
  <c r="Y30" i="11"/>
  <c r="X30" i="11"/>
  <c r="W29" i="11"/>
  <c r="X29" i="11"/>
  <c r="Y29" i="11"/>
  <c r="Z29" i="11"/>
  <c r="AA29" i="11"/>
  <c r="AB29" i="11"/>
  <c r="AC29" i="11"/>
  <c r="AD29" i="11"/>
  <c r="V29" i="11"/>
  <c r="AD27" i="11"/>
  <c r="AC27" i="11"/>
  <c r="AB27" i="11"/>
  <c r="X27" i="11"/>
  <c r="W27" i="11"/>
  <c r="AF25" i="11"/>
  <c r="AF30" i="11" s="1"/>
  <c r="Z30" i="11"/>
  <c r="AF15" i="11"/>
  <c r="AG15" i="11" s="1"/>
  <c r="AH15" i="11" s="1"/>
  <c r="AI15" i="11" s="1"/>
  <c r="AJ15" i="11" s="1"/>
  <c r="AK15" i="11" s="1"/>
  <c r="AL15" i="11" s="1"/>
  <c r="AM15" i="11" s="1"/>
  <c r="AN15" i="11" s="1"/>
  <c r="AO15" i="11" s="1"/>
  <c r="AP15" i="11" s="1"/>
  <c r="AF16" i="11"/>
  <c r="AG16" i="11" s="1"/>
  <c r="AH16" i="11" s="1"/>
  <c r="AI16" i="11" s="1"/>
  <c r="AJ16" i="11" s="1"/>
  <c r="AK16" i="11" s="1"/>
  <c r="AL16" i="11" s="1"/>
  <c r="AM16" i="11" s="1"/>
  <c r="AN16" i="11" s="1"/>
  <c r="AO16" i="11" s="1"/>
  <c r="AP16" i="11" s="1"/>
  <c r="AF17" i="11"/>
  <c r="AG17" i="11" s="1"/>
  <c r="AH17" i="11" s="1"/>
  <c r="AI17" i="11" s="1"/>
  <c r="AJ17" i="11" s="1"/>
  <c r="AK17" i="11" s="1"/>
  <c r="AL17" i="11" s="1"/>
  <c r="AM17" i="11" s="1"/>
  <c r="AN17" i="11" s="1"/>
  <c r="AO17" i="11" s="1"/>
  <c r="AP17" i="11" s="1"/>
  <c r="AF18" i="11"/>
  <c r="AG18" i="11" s="1"/>
  <c r="AH18" i="11" s="1"/>
  <c r="AI18" i="11" s="1"/>
  <c r="AJ18" i="11" s="1"/>
  <c r="AK18" i="11" s="1"/>
  <c r="AL18" i="11" s="1"/>
  <c r="AM18" i="11" s="1"/>
  <c r="AN18" i="11" s="1"/>
  <c r="AO18" i="11" s="1"/>
  <c r="AP18" i="11" s="1"/>
  <c r="AF19" i="11"/>
  <c r="AG19" i="11" s="1"/>
  <c r="AH19" i="11" s="1"/>
  <c r="AI19" i="11" s="1"/>
  <c r="AJ19" i="11" s="1"/>
  <c r="AK19" i="11" s="1"/>
  <c r="AL19" i="11" s="1"/>
  <c r="AM19" i="11" s="1"/>
  <c r="AN19" i="11" s="1"/>
  <c r="AO19" i="11" s="1"/>
  <c r="AP19" i="11" s="1"/>
  <c r="AF21" i="11"/>
  <c r="AG21" i="11" s="1"/>
  <c r="AH21" i="11" s="1"/>
  <c r="AI21" i="11" s="1"/>
  <c r="AJ21" i="11" s="1"/>
  <c r="AK21" i="11" s="1"/>
  <c r="AL21" i="11" s="1"/>
  <c r="AM21" i="11" s="1"/>
  <c r="AN21" i="11" s="1"/>
  <c r="AO21" i="11" s="1"/>
  <c r="AP21" i="11" s="1"/>
  <c r="AF22" i="11"/>
  <c r="AG22" i="11" s="1"/>
  <c r="AH22" i="11" s="1"/>
  <c r="AI22" i="11" s="1"/>
  <c r="AJ22" i="11" s="1"/>
  <c r="AK22" i="11" s="1"/>
  <c r="AL22" i="11" s="1"/>
  <c r="AM22" i="11" s="1"/>
  <c r="AN22" i="11" s="1"/>
  <c r="AO22" i="11" s="1"/>
  <c r="AP22" i="11" s="1"/>
  <c r="AF20" i="11"/>
  <c r="AG20" i="11" s="1"/>
  <c r="AH20" i="11" s="1"/>
  <c r="AI20" i="11" s="1"/>
  <c r="AJ20" i="11" s="1"/>
  <c r="AK20" i="11" s="1"/>
  <c r="AL20" i="11" s="1"/>
  <c r="AM20" i="11" s="1"/>
  <c r="AN20" i="11" s="1"/>
  <c r="AO20" i="11" s="1"/>
  <c r="AP20" i="11" s="1"/>
  <c r="Y20" i="11"/>
  <c r="Z20" i="11" s="1"/>
  <c r="AC14" i="11"/>
  <c r="AD14" i="11" s="1"/>
  <c r="AE14" i="11" s="1"/>
  <c r="AF14" i="11" s="1"/>
  <c r="AG14" i="11" s="1"/>
  <c r="AH14" i="11" s="1"/>
  <c r="AI14" i="11" s="1"/>
  <c r="AJ14" i="11" s="1"/>
  <c r="AK14" i="11" s="1"/>
  <c r="AL14" i="11" s="1"/>
  <c r="AM14" i="11" s="1"/>
  <c r="AN14" i="11" s="1"/>
  <c r="AO14" i="11" s="1"/>
  <c r="AP14" i="11" s="1"/>
  <c r="Z14" i="11"/>
  <c r="X10" i="11"/>
  <c r="Z10" i="11"/>
  <c r="AB10" i="11"/>
  <c r="AC10" i="11"/>
  <c r="W10" i="11"/>
  <c r="X7" i="11"/>
  <c r="Y7" i="11"/>
  <c r="Z7" i="11"/>
  <c r="AA7" i="11"/>
  <c r="AB7" i="11"/>
  <c r="AC7" i="11"/>
  <c r="W2" i="11"/>
  <c r="W7" i="11"/>
  <c r="G13" i="15"/>
  <c r="AI206" i="2"/>
  <c r="AH206" i="2"/>
  <c r="AG206" i="2"/>
  <c r="AD206" i="2"/>
  <c r="AC206" i="2"/>
  <c r="AB206" i="2"/>
  <c r="AA206" i="2"/>
  <c r="Z206" i="2"/>
  <c r="Y206" i="2"/>
  <c r="X206" i="2"/>
  <c r="AA185" i="2"/>
  <c r="AB185" i="2"/>
  <c r="AC185" i="2"/>
  <c r="AD185" i="2"/>
  <c r="AE185" i="2"/>
  <c r="Z185" i="2"/>
  <c r="X58" i="4" l="1"/>
  <c r="AE49" i="3"/>
  <c r="AE50" i="3" s="1"/>
  <c r="G16" i="15"/>
  <c r="AF20" i="3"/>
  <c r="AH32" i="3"/>
  <c r="V59" i="4"/>
  <c r="AH44" i="3"/>
  <c r="AH46" i="3" s="1"/>
  <c r="W11" i="11"/>
  <c r="E6" i="12"/>
  <c r="AG33" i="11"/>
  <c r="AH33" i="11" s="1"/>
  <c r="AI33" i="11" s="1"/>
  <c r="AJ33" i="11" s="1"/>
  <c r="AK33" i="11" s="1"/>
  <c r="AL33" i="11" s="1"/>
  <c r="AM33" i="11" s="1"/>
  <c r="AN33" i="11" s="1"/>
  <c r="AO33" i="11" s="1"/>
  <c r="AP33" i="11" s="1"/>
  <c r="AF36" i="11"/>
  <c r="AN50" i="6"/>
  <c r="AM76" i="6"/>
  <c r="AN59" i="6"/>
  <c r="AM72" i="6"/>
  <c r="AN18" i="6"/>
  <c r="AN58" i="5" s="1"/>
  <c r="AO57" i="6"/>
  <c r="AN44" i="6"/>
  <c r="V50" i="4"/>
  <c r="V54" i="5" s="1"/>
  <c r="V51" i="4"/>
  <c r="Y58" i="4"/>
  <c r="AL34" i="4"/>
  <c r="AL8" i="10" s="1"/>
  <c r="AL11" i="9" s="1"/>
  <c r="AK6" i="3"/>
  <c r="AL6" i="3" s="1"/>
  <c r="AM6" i="3" s="1"/>
  <c r="AN6" i="3" s="1"/>
  <c r="AO6" i="3" s="1"/>
  <c r="AP6" i="3" s="1"/>
  <c r="AK49" i="11"/>
  <c r="AJ51" i="11"/>
  <c r="AK38" i="11"/>
  <c r="AJ73" i="11"/>
  <c r="AK71" i="11"/>
  <c r="AJ79" i="11"/>
  <c r="AK77" i="11"/>
  <c r="AJ67" i="11"/>
  <c r="AK65" i="11"/>
  <c r="Z58" i="4"/>
  <c r="Z41" i="4"/>
  <c r="AA58" i="4"/>
  <c r="AA41" i="4"/>
  <c r="AC58" i="4"/>
  <c r="AC41" i="4"/>
  <c r="V48" i="4"/>
  <c r="V49" i="4"/>
  <c r="V44" i="4"/>
  <c r="V52" i="4" s="1"/>
  <c r="Y59" i="4"/>
  <c r="Y43" i="4"/>
  <c r="W58" i="4"/>
  <c r="W41" i="4"/>
  <c r="AB59" i="4"/>
  <c r="AD41" i="4"/>
  <c r="AD58" i="4"/>
  <c r="X59" i="4"/>
  <c r="X43" i="4"/>
  <c r="AE20" i="3"/>
  <c r="AF29" i="3"/>
  <c r="Y74" i="11"/>
  <c r="W82" i="11"/>
  <c r="Z83" i="11"/>
  <c r="Z84" i="11" s="1"/>
  <c r="AA74" i="11"/>
  <c r="Z74" i="11"/>
  <c r="Z79" i="11"/>
  <c r="AA79" i="11"/>
  <c r="AB82" i="11"/>
  <c r="AA83" i="11"/>
  <c r="AA84" i="11" s="1"/>
  <c r="AI51" i="11"/>
  <c r="AF51" i="11"/>
  <c r="AI79" i="11"/>
  <c r="AI73" i="11"/>
  <c r="AA82" i="11"/>
  <c r="Y83" i="11"/>
  <c r="Y84" i="11" s="1"/>
  <c r="AF57" i="11"/>
  <c r="X74" i="11"/>
  <c r="Z82" i="11"/>
  <c r="X83" i="11"/>
  <c r="X84" i="11" s="1"/>
  <c r="AG25" i="11"/>
  <c r="AH25" i="11" s="1"/>
  <c r="AI25" i="11" s="1"/>
  <c r="AJ25" i="11" s="1"/>
  <c r="AK25" i="11" s="1"/>
  <c r="AL25" i="11" s="1"/>
  <c r="AM25" i="11" s="1"/>
  <c r="AN25" i="11" s="1"/>
  <c r="AO25" i="11" s="1"/>
  <c r="AP25" i="11" s="1"/>
  <c r="W74" i="11"/>
  <c r="Y82" i="11"/>
  <c r="W83" i="11"/>
  <c r="W84" i="11" s="1"/>
  <c r="AB74" i="11"/>
  <c r="X82" i="11"/>
  <c r="AH51" i="11"/>
  <c r="AG51" i="11"/>
  <c r="AH34" i="11"/>
  <c r="AG27" i="6"/>
  <c r="AG9" i="6" s="1"/>
  <c r="AG33" i="3"/>
  <c r="M6" i="12"/>
  <c r="AF79" i="11"/>
  <c r="AG79" i="11"/>
  <c r="AH79" i="11"/>
  <c r="AH73" i="11"/>
  <c r="AF73" i="11"/>
  <c r="AG73" i="11"/>
  <c r="AI67" i="11"/>
  <c r="AF67" i="11"/>
  <c r="AG67" i="11"/>
  <c r="AH67" i="11"/>
  <c r="AH13" i="10"/>
  <c r="M22" i="12"/>
  <c r="AE41" i="3"/>
  <c r="AE29" i="3"/>
  <c r="N22" i="12"/>
  <c r="AI42" i="11"/>
  <c r="AJ42" i="11" s="1"/>
  <c r="AG22" i="3"/>
  <c r="AG55" i="11"/>
  <c r="AG57" i="11" s="1"/>
  <c r="AG49" i="3" l="1"/>
  <c r="AG50" i="3" s="1"/>
  <c r="AG20" i="3"/>
  <c r="AG36" i="11"/>
  <c r="AG29" i="3"/>
  <c r="AI44" i="3"/>
  <c r="AI46" i="3" s="1"/>
  <c r="AI32" i="3"/>
  <c r="AJ26" i="3"/>
  <c r="AK26" i="3" s="1"/>
  <c r="AL26" i="3" s="1"/>
  <c r="AM26" i="3" s="1"/>
  <c r="AG37" i="3"/>
  <c r="K16" i="15"/>
  <c r="L16" i="15" s="1"/>
  <c r="AO18" i="6"/>
  <c r="AO58" i="5" s="1"/>
  <c r="AO59" i="6"/>
  <c r="AN72" i="6"/>
  <c r="AP57" i="6"/>
  <c r="AP44" i="6" s="1"/>
  <c r="AO44" i="6"/>
  <c r="AO50" i="6"/>
  <c r="AN76" i="6"/>
  <c r="AM34" i="4"/>
  <c r="AM8" i="10" s="1"/>
  <c r="AM11" i="9" s="1"/>
  <c r="AI13" i="10"/>
  <c r="AK73" i="11"/>
  <c r="AL71" i="11"/>
  <c r="AK67" i="11"/>
  <c r="AL65" i="11"/>
  <c r="AL38" i="11"/>
  <c r="AL77" i="11"/>
  <c r="AK79" i="11"/>
  <c r="AK42" i="11"/>
  <c r="AL49" i="11"/>
  <c r="AK51" i="11"/>
  <c r="AB48" i="4"/>
  <c r="AB44" i="4"/>
  <c r="AB52" i="4" s="1"/>
  <c r="AB49" i="4"/>
  <c r="AB51" i="4"/>
  <c r="AB50" i="4"/>
  <c r="AB54" i="5" s="1"/>
  <c r="AC59" i="4"/>
  <c r="AC43" i="4"/>
  <c r="AD59" i="4"/>
  <c r="Z59" i="4"/>
  <c r="Z43" i="4"/>
  <c r="Y49" i="4"/>
  <c r="Y48" i="4"/>
  <c r="Y44" i="4"/>
  <c r="Y52" i="4" s="1"/>
  <c r="Y51" i="4"/>
  <c r="Y50" i="4"/>
  <c r="Y54" i="5" s="1"/>
  <c r="AA59" i="4"/>
  <c r="AA43" i="4"/>
  <c r="X48" i="4"/>
  <c r="X44" i="4"/>
  <c r="X52" i="4" s="1"/>
  <c r="X51" i="4"/>
  <c r="X49" i="4"/>
  <c r="X50" i="4"/>
  <c r="X54" i="5" s="1"/>
  <c r="W59" i="4"/>
  <c r="W43" i="4"/>
  <c r="AI34" i="11"/>
  <c r="AH36" i="11"/>
  <c r="AH26" i="11"/>
  <c r="AH27" i="11" s="1"/>
  <c r="AG30" i="11"/>
  <c r="AH27" i="6"/>
  <c r="AH33" i="3"/>
  <c r="O22" i="12"/>
  <c r="AG15" i="3"/>
  <c r="AH55" i="11"/>
  <c r="AH57" i="11" s="1"/>
  <c r="AH49" i="3" l="1"/>
  <c r="AH50" i="3" s="1"/>
  <c r="AH29" i="3"/>
  <c r="AJ44" i="3"/>
  <c r="AJ46" i="3" s="1"/>
  <c r="AJ32" i="3"/>
  <c r="AJ22" i="3"/>
  <c r="M16" i="15"/>
  <c r="N16" i="15" s="1"/>
  <c r="AP59" i="6"/>
  <c r="AP72" i="6" s="1"/>
  <c r="AO72" i="6"/>
  <c r="AP50" i="6"/>
  <c r="AP76" i="6" s="1"/>
  <c r="AO76" i="6"/>
  <c r="AP18" i="6"/>
  <c r="AP58" i="5" s="1"/>
  <c r="AN34" i="4"/>
  <c r="AN8" i="10" s="1"/>
  <c r="AN11" i="9" s="1"/>
  <c r="AJ13" i="10"/>
  <c r="AM38" i="11"/>
  <c r="AL51" i="11"/>
  <c r="AM49" i="11"/>
  <c r="AM71" i="11"/>
  <c r="AL73" i="11"/>
  <c r="AI36" i="11"/>
  <c r="AJ34" i="11"/>
  <c r="AM65" i="11"/>
  <c r="AL67" i="11"/>
  <c r="AL42" i="11"/>
  <c r="AM77" i="11"/>
  <c r="AL79" i="11"/>
  <c r="Z57" i="4"/>
  <c r="Z49" i="4"/>
  <c r="Z44" i="4"/>
  <c r="Z52" i="4" s="1"/>
  <c r="Z48" i="4"/>
  <c r="Z51" i="4"/>
  <c r="Z50" i="4"/>
  <c r="Z54" i="5" s="1"/>
  <c r="AD49" i="4"/>
  <c r="AD50" i="4"/>
  <c r="AD54" i="5" s="1"/>
  <c r="AD51" i="4"/>
  <c r="AD48" i="4"/>
  <c r="AD44" i="4"/>
  <c r="AD52" i="4" s="1"/>
  <c r="AD57" i="4"/>
  <c r="W57" i="4"/>
  <c r="W48" i="4"/>
  <c r="W44" i="4"/>
  <c r="W52" i="4" s="1"/>
  <c r="W49" i="4"/>
  <c r="W50" i="4"/>
  <c r="W54" i="5" s="1"/>
  <c r="W51" i="4"/>
  <c r="X57" i="4"/>
  <c r="AC57" i="4"/>
  <c r="AC48" i="4"/>
  <c r="AC49" i="4"/>
  <c r="AC44" i="4"/>
  <c r="AC52" i="4" s="1"/>
  <c r="AC50" i="4"/>
  <c r="AC54" i="5" s="1"/>
  <c r="AC51" i="4"/>
  <c r="AA57" i="4"/>
  <c r="AA44" i="4"/>
  <c r="AA52" i="4" s="1"/>
  <c r="AA49" i="4"/>
  <c r="AA48" i="4"/>
  <c r="AA51" i="4"/>
  <c r="AA50" i="4"/>
  <c r="AA54" i="5" s="1"/>
  <c r="AB57" i="4"/>
  <c r="AH20" i="3"/>
  <c r="AI26" i="11"/>
  <c r="AJ26" i="11" s="1"/>
  <c r="AH30" i="11"/>
  <c r="AI27" i="6"/>
  <c r="AH9" i="6"/>
  <c r="AI33" i="3"/>
  <c r="AI22" i="3"/>
  <c r="AI31" i="3"/>
  <c r="P22" i="12"/>
  <c r="AH12" i="3"/>
  <c r="AH15" i="3" s="1"/>
  <c r="AH3" i="3"/>
  <c r="AH7" i="3" s="1"/>
  <c r="AI55" i="11"/>
  <c r="AJ49" i="3" l="1"/>
  <c r="AJ50" i="3" s="1"/>
  <c r="AJ20" i="3"/>
  <c r="AJ37" i="3"/>
  <c r="AJ41" i="3" s="1"/>
  <c r="AI49" i="3"/>
  <c r="AI50" i="3" s="1"/>
  <c r="AI29" i="3"/>
  <c r="R22" i="12"/>
  <c r="Q16" i="15"/>
  <c r="AK44" i="3"/>
  <c r="AK46" i="3" s="1"/>
  <c r="AK32" i="3"/>
  <c r="AK22" i="3"/>
  <c r="O16" i="15"/>
  <c r="AI9" i="6"/>
  <c r="AJ27" i="6"/>
  <c r="AP34" i="4"/>
  <c r="AP8" i="10" s="1"/>
  <c r="AP11" i="9" s="1"/>
  <c r="AO34" i="4"/>
  <c r="AO8" i="10" s="1"/>
  <c r="AO11" i="9" s="1"/>
  <c r="AI3" i="3"/>
  <c r="AI7" i="3" s="1"/>
  <c r="AI12" i="3"/>
  <c r="AI15" i="3" s="1"/>
  <c r="AK13" i="10"/>
  <c r="AK26" i="11"/>
  <c r="AJ27" i="11"/>
  <c r="AJ30" i="11"/>
  <c r="AN38" i="11"/>
  <c r="AN71" i="11"/>
  <c r="AM73" i="11"/>
  <c r="AN77" i="11"/>
  <c r="AM79" i="11"/>
  <c r="AM42" i="11"/>
  <c r="AM51" i="11"/>
  <c r="AN49" i="11"/>
  <c r="AN65" i="11"/>
  <c r="AM67" i="11"/>
  <c r="AI57" i="11"/>
  <c r="AJ55" i="11"/>
  <c r="AK34" i="11"/>
  <c r="AJ36" i="11"/>
  <c r="AJ29" i="3"/>
  <c r="AI20" i="3"/>
  <c r="AI27" i="11"/>
  <c r="AI30" i="11"/>
  <c r="Q22" i="12"/>
  <c r="W168" i="2"/>
  <c r="X168" i="2"/>
  <c r="Y168" i="2"/>
  <c r="Z168" i="2"/>
  <c r="AA168" i="2"/>
  <c r="AB168" i="2"/>
  <c r="AC168" i="2"/>
  <c r="AD168" i="2"/>
  <c r="AE168" i="2"/>
  <c r="V168" i="2"/>
  <c r="V169" i="2" s="1"/>
  <c r="V170" i="2" s="1"/>
  <c r="Y139" i="2"/>
  <c r="Z139" i="2"/>
  <c r="AA139" i="2"/>
  <c r="AB139" i="2"/>
  <c r="AC139" i="2"/>
  <c r="AD139" i="2"/>
  <c r="Y140" i="2"/>
  <c r="Z140" i="2"/>
  <c r="AA140" i="2"/>
  <c r="AB140" i="2"/>
  <c r="AC140" i="2"/>
  <c r="AD140" i="2"/>
  <c r="X140" i="2"/>
  <c r="X139" i="2"/>
  <c r="W137" i="2"/>
  <c r="X137" i="2"/>
  <c r="Y137" i="2"/>
  <c r="Z137" i="2"/>
  <c r="AA137" i="2"/>
  <c r="V137" i="2"/>
  <c r="V138" i="2" s="1"/>
  <c r="W38" i="5"/>
  <c r="X38" i="5" s="1"/>
  <c r="Y38" i="5" s="1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W37" i="5"/>
  <c r="E125" i="14" s="1"/>
  <c r="V107" i="2"/>
  <c r="V110" i="2" s="1"/>
  <c r="V102" i="2"/>
  <c r="V94" i="2"/>
  <c r="V95" i="2" s="1"/>
  <c r="W94" i="2"/>
  <c r="W95" i="2" s="1"/>
  <c r="X94" i="2"/>
  <c r="X95" i="2" s="1"/>
  <c r="Y94" i="2"/>
  <c r="Y95" i="2" s="1"/>
  <c r="Z94" i="2"/>
  <c r="Z95" i="2" s="1"/>
  <c r="AA94" i="2"/>
  <c r="AA95" i="2" s="1"/>
  <c r="AB94" i="2"/>
  <c r="AB95" i="2" s="1"/>
  <c r="AC93" i="2"/>
  <c r="AC31" i="5" s="1"/>
  <c r="W89" i="2"/>
  <c r="X89" i="2"/>
  <c r="Y89" i="2"/>
  <c r="Z89" i="2"/>
  <c r="AA89" i="2"/>
  <c r="AB89" i="2"/>
  <c r="AC89" i="2"/>
  <c r="AD89" i="2"/>
  <c r="AE89" i="2"/>
  <c r="V89" i="2"/>
  <c r="AC29" i="5"/>
  <c r="W112" i="1"/>
  <c r="X112" i="1"/>
  <c r="Y112" i="1"/>
  <c r="Z112" i="1"/>
  <c r="AA112" i="1"/>
  <c r="AB112" i="1"/>
  <c r="AC112" i="1"/>
  <c r="AD112" i="1"/>
  <c r="AE112" i="1"/>
  <c r="AD106" i="1"/>
  <c r="AC106" i="1"/>
  <c r="AB106" i="1"/>
  <c r="AA106" i="1"/>
  <c r="Z106" i="1"/>
  <c r="X106" i="1"/>
  <c r="W106" i="1"/>
  <c r="V106" i="1"/>
  <c r="W100" i="1"/>
  <c r="X100" i="1"/>
  <c r="Y100" i="1"/>
  <c r="Z100" i="1"/>
  <c r="AA100" i="1"/>
  <c r="AB100" i="1"/>
  <c r="AC100" i="1"/>
  <c r="V100" i="1"/>
  <c r="W96" i="1"/>
  <c r="W97" i="1" s="1"/>
  <c r="X96" i="1"/>
  <c r="X97" i="1" s="1"/>
  <c r="Y96" i="1"/>
  <c r="Y97" i="1" s="1"/>
  <c r="Z96" i="1"/>
  <c r="AA96" i="1"/>
  <c r="AA97" i="1" s="1"/>
  <c r="AB96" i="1"/>
  <c r="V96" i="1"/>
  <c r="V97" i="1" s="1"/>
  <c r="W94" i="1"/>
  <c r="X94" i="1"/>
  <c r="Y94" i="1"/>
  <c r="Z94" i="1"/>
  <c r="AA94" i="1"/>
  <c r="AB94" i="1"/>
  <c r="AB6" i="10" s="1"/>
  <c r="AB9" i="9" s="1"/>
  <c r="AC94" i="1"/>
  <c r="AD6" i="10"/>
  <c r="AD9" i="9" s="1"/>
  <c r="V94" i="1"/>
  <c r="AE73" i="1"/>
  <c r="Y72" i="1"/>
  <c r="Z72" i="1"/>
  <c r="AA72" i="1"/>
  <c r="AE35" i="1"/>
  <c r="V57" i="5"/>
  <c r="W59" i="1"/>
  <c r="X59" i="1" s="1"/>
  <c r="W58" i="1"/>
  <c r="X58" i="1" s="1"/>
  <c r="W56" i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W54" i="1"/>
  <c r="X54" i="1" s="1"/>
  <c r="Y54" i="1" s="1"/>
  <c r="Z54" i="1" s="1"/>
  <c r="AA54" i="1" s="1"/>
  <c r="AB54" i="1" s="1"/>
  <c r="W49" i="1"/>
  <c r="X49" i="1" s="1"/>
  <c r="W48" i="1"/>
  <c r="X48" i="1" s="1"/>
  <c r="Y48" i="1" s="1"/>
  <c r="Z48" i="1" s="1"/>
  <c r="AA48" i="1" s="1"/>
  <c r="AB48" i="1" s="1"/>
  <c r="AC48" i="1" s="1"/>
  <c r="AK29" i="3" l="1"/>
  <c r="V6" i="10"/>
  <c r="V9" i="9" s="1"/>
  <c r="AK20" i="3"/>
  <c r="AK49" i="3"/>
  <c r="AK50" i="3" s="1"/>
  <c r="AK37" i="3"/>
  <c r="AK39" i="3" s="1"/>
  <c r="AK35" i="1" s="1"/>
  <c r="AA6" i="10"/>
  <c r="AA9" i="9" s="1"/>
  <c r="Y6" i="10"/>
  <c r="Y9" i="9" s="1"/>
  <c r="X6" i="10"/>
  <c r="X9" i="9" s="1"/>
  <c r="Z6" i="10"/>
  <c r="Z9" i="9" s="1"/>
  <c r="W6" i="10"/>
  <c r="W9" i="9" s="1"/>
  <c r="AL44" i="3"/>
  <c r="AL22" i="3"/>
  <c r="AL32" i="3"/>
  <c r="S22" i="12"/>
  <c r="S16" i="15"/>
  <c r="T16" i="15" s="1"/>
  <c r="P16" i="15"/>
  <c r="R16" i="15"/>
  <c r="X37" i="5"/>
  <c r="W125" i="2"/>
  <c r="AJ9" i="6"/>
  <c r="AK27" i="6"/>
  <c r="AK5" i="3"/>
  <c r="AJ3" i="3"/>
  <c r="AJ7" i="3" s="1"/>
  <c r="AL13" i="10"/>
  <c r="AK13" i="3"/>
  <c r="AJ12" i="3"/>
  <c r="AJ15" i="3" s="1"/>
  <c r="AL34" i="11"/>
  <c r="AK36" i="11"/>
  <c r="AO71" i="11"/>
  <c r="AN73" i="11"/>
  <c r="AN42" i="11"/>
  <c r="AO38" i="11"/>
  <c r="AO65" i="11"/>
  <c r="AN67" i="11"/>
  <c r="AO77" i="11"/>
  <c r="AN79" i="11"/>
  <c r="AK55" i="11"/>
  <c r="AJ57" i="11"/>
  <c r="AO49" i="11"/>
  <c r="AN51" i="11"/>
  <c r="AL26" i="11"/>
  <c r="AK30" i="11"/>
  <c r="AK27" i="11"/>
  <c r="AD93" i="2"/>
  <c r="AD94" i="2" s="1"/>
  <c r="AD95" i="2" s="1"/>
  <c r="AC94" i="2"/>
  <c r="AC95" i="2" s="1"/>
  <c r="AD80" i="2"/>
  <c r="W169" i="2"/>
  <c r="W170" i="2" s="1"/>
  <c r="W172" i="2" s="1"/>
  <c r="W173" i="2" s="1"/>
  <c r="X169" i="2"/>
  <c r="X170" i="2" s="1"/>
  <c r="X172" i="2" s="1"/>
  <c r="AC119" i="1"/>
  <c r="AB97" i="1"/>
  <c r="AC108" i="1"/>
  <c r="AC6" i="10"/>
  <c r="AC9" i="9" s="1"/>
  <c r="AA119" i="1"/>
  <c r="AE69" i="1"/>
  <c r="M23" i="12"/>
  <c r="AG10" i="6"/>
  <c r="AH10" i="6" s="1"/>
  <c r="P89" i="14" s="1"/>
  <c r="N89" i="14"/>
  <c r="AF89" i="2"/>
  <c r="N150" i="14"/>
  <c r="Y169" i="2"/>
  <c r="Y170" i="2" s="1"/>
  <c r="Y167" i="2" s="1"/>
  <c r="AE33" i="4"/>
  <c r="AB119" i="1"/>
  <c r="Z97" i="1"/>
  <c r="Z119" i="1"/>
  <c r="Y119" i="1"/>
  <c r="X119" i="1"/>
  <c r="W119" i="1"/>
  <c r="Z169" i="2"/>
  <c r="Z170" i="2" s="1"/>
  <c r="Z167" i="2" s="1"/>
  <c r="AA169" i="2"/>
  <c r="AA170" i="2" s="1"/>
  <c r="AB169" i="2" s="1"/>
  <c r="AB170" i="2" s="1"/>
  <c r="AC169" i="2" s="1"/>
  <c r="AC170" i="2" s="1"/>
  <c r="AD169" i="2" s="1"/>
  <c r="AD170" i="2" s="1"/>
  <c r="AE169" i="2" s="1"/>
  <c r="AE170" i="2" s="1"/>
  <c r="AL49" i="3" l="1"/>
  <c r="AL50" i="3" s="1"/>
  <c r="AL37" i="3"/>
  <c r="AL39" i="3" s="1"/>
  <c r="AL35" i="1" s="1"/>
  <c r="AK41" i="3"/>
  <c r="AN26" i="3"/>
  <c r="AM32" i="3"/>
  <c r="AM44" i="3"/>
  <c r="AM22" i="3"/>
  <c r="U16" i="15"/>
  <c r="V16" i="15" s="1"/>
  <c r="AL20" i="3"/>
  <c r="AL29" i="3"/>
  <c r="T22" i="12"/>
  <c r="AK9" i="6"/>
  <c r="AL27" i="6"/>
  <c r="F125" i="14"/>
  <c r="Y37" i="5"/>
  <c r="X125" i="2"/>
  <c r="AL5" i="3"/>
  <c r="AK3" i="3"/>
  <c r="AK7" i="3" s="1"/>
  <c r="S23" i="12"/>
  <c r="AK69" i="1"/>
  <c r="AM13" i="10"/>
  <c r="AL13" i="3"/>
  <c r="AK12" i="3"/>
  <c r="AK15" i="3" s="1"/>
  <c r="AL55" i="11"/>
  <c r="AK57" i="11"/>
  <c r="AL36" i="11"/>
  <c r="AM34" i="11"/>
  <c r="AO42" i="11"/>
  <c r="AP77" i="11"/>
  <c r="AP79" i="11" s="1"/>
  <c r="AO79" i="11"/>
  <c r="AP65" i="11"/>
  <c r="AP67" i="11" s="1"/>
  <c r="AO67" i="11"/>
  <c r="AP71" i="11"/>
  <c r="AP73" i="11" s="1"/>
  <c r="AO73" i="11"/>
  <c r="AP38" i="11"/>
  <c r="AL27" i="11"/>
  <c r="AM26" i="11"/>
  <c r="AL30" i="11"/>
  <c r="AP49" i="11"/>
  <c r="AP51" i="11" s="1"/>
  <c r="AO51" i="11"/>
  <c r="AA172" i="2"/>
  <c r="AD29" i="5"/>
  <c r="AE80" i="2"/>
  <c r="AD31" i="5"/>
  <c r="AE93" i="2"/>
  <c r="AB172" i="2"/>
  <c r="AA167" i="2"/>
  <c r="Y172" i="2"/>
  <c r="Y173" i="2" s="1"/>
  <c r="X173" i="2"/>
  <c r="AB167" i="2"/>
  <c r="AD172" i="2"/>
  <c r="Z172" i="2"/>
  <c r="AA173" i="2" s="1"/>
  <c r="AC172" i="2"/>
  <c r="AE172" i="2"/>
  <c r="AE51" i="6"/>
  <c r="M150" i="14"/>
  <c r="AG89" i="2"/>
  <c r="O89" i="14"/>
  <c r="AD167" i="2"/>
  <c r="AG47" i="6"/>
  <c r="AI10" i="6"/>
  <c r="AH89" i="2"/>
  <c r="AE167" i="2"/>
  <c r="AC167" i="2"/>
  <c r="O150" i="14" l="1"/>
  <c r="AM49" i="3"/>
  <c r="AM50" i="3" s="1"/>
  <c r="AM37" i="3"/>
  <c r="AM39" i="3" s="1"/>
  <c r="AM35" i="1" s="1"/>
  <c r="AL41" i="3"/>
  <c r="W16" i="15"/>
  <c r="X16" i="15" s="1"/>
  <c r="AM20" i="3"/>
  <c r="AM29" i="3"/>
  <c r="U22" i="12"/>
  <c r="AN44" i="3"/>
  <c r="AN22" i="3"/>
  <c r="AN18" i="1" s="1"/>
  <c r="AO26" i="3"/>
  <c r="AN32" i="3"/>
  <c r="Q89" i="14"/>
  <c r="AJ10" i="6"/>
  <c r="G125" i="14"/>
  <c r="Y125" i="2"/>
  <c r="Z37" i="5"/>
  <c r="AL9" i="6"/>
  <c r="AM27" i="6"/>
  <c r="T23" i="12"/>
  <c r="AL69" i="1"/>
  <c r="AM5" i="3"/>
  <c r="AL3" i="3"/>
  <c r="AL7" i="3" s="1"/>
  <c r="AN13" i="10"/>
  <c r="AL12" i="3"/>
  <c r="AL15" i="3" s="1"/>
  <c r="AM13" i="3"/>
  <c r="AB173" i="2"/>
  <c r="AP42" i="11"/>
  <c r="AM30" i="11"/>
  <c r="AM27" i="11"/>
  <c r="AN26" i="11"/>
  <c r="AM36" i="11"/>
  <c r="AN34" i="11"/>
  <c r="AL57" i="11"/>
  <c r="AM55" i="11"/>
  <c r="AE31" i="5"/>
  <c r="AE94" i="2"/>
  <c r="AE95" i="2" s="1"/>
  <c r="AF93" i="2"/>
  <c r="AE173" i="2"/>
  <c r="AF80" i="2"/>
  <c r="AE29" i="5"/>
  <c r="AD173" i="2"/>
  <c r="AC173" i="2"/>
  <c r="Z173" i="2"/>
  <c r="AI89" i="2"/>
  <c r="AH47" i="6"/>
  <c r="P150" i="14" s="1"/>
  <c r="AG93" i="2" l="1"/>
  <c r="AH93" i="2" s="1"/>
  <c r="AI93" i="2" s="1"/>
  <c r="AJ93" i="2" s="1"/>
  <c r="AK93" i="2" s="1"/>
  <c r="AL93" i="2" s="1"/>
  <c r="AM93" i="2" s="1"/>
  <c r="AN93" i="2" s="1"/>
  <c r="AO93" i="2" s="1"/>
  <c r="AP93" i="2" s="1"/>
  <c r="AF31" i="5"/>
  <c r="AG31" i="5" s="1"/>
  <c r="AH31" i="5" s="1"/>
  <c r="AI31" i="5" s="1"/>
  <c r="AJ31" i="5" s="1"/>
  <c r="AK31" i="5" s="1"/>
  <c r="AL31" i="5" s="1"/>
  <c r="AM31" i="5" s="1"/>
  <c r="AN31" i="5" s="1"/>
  <c r="AO31" i="5" s="1"/>
  <c r="AP31" i="5" s="1"/>
  <c r="AG80" i="2"/>
  <c r="AH80" i="2" s="1"/>
  <c r="AI80" i="2" s="1"/>
  <c r="AJ80" i="2" s="1"/>
  <c r="AK80" i="2" s="1"/>
  <c r="AL80" i="2" s="1"/>
  <c r="AM80" i="2" s="1"/>
  <c r="AN80" i="2" s="1"/>
  <c r="AO80" i="2" s="1"/>
  <c r="AP80" i="2" s="1"/>
  <c r="AF29" i="5"/>
  <c r="AG29" i="5" s="1"/>
  <c r="AH29" i="5" s="1"/>
  <c r="AI29" i="5" s="1"/>
  <c r="AJ29" i="5" s="1"/>
  <c r="AK29" i="5" s="1"/>
  <c r="AL29" i="5" s="1"/>
  <c r="AM29" i="5" s="1"/>
  <c r="AN29" i="5" s="1"/>
  <c r="AO29" i="5" s="1"/>
  <c r="AP29" i="5" s="1"/>
  <c r="AM41" i="3"/>
  <c r="AO22" i="3"/>
  <c r="AP26" i="3"/>
  <c r="AO32" i="3"/>
  <c r="AO44" i="3"/>
  <c r="Y16" i="15"/>
  <c r="Z16" i="15" s="1"/>
  <c r="AN37" i="3"/>
  <c r="AN41" i="3" s="1"/>
  <c r="AN29" i="3"/>
  <c r="AN20" i="3"/>
  <c r="V22" i="12"/>
  <c r="AK10" i="6"/>
  <c r="AJ89" i="2"/>
  <c r="AM9" i="6"/>
  <c r="AN27" i="6"/>
  <c r="H125" i="14"/>
  <c r="Z125" i="2"/>
  <c r="AA37" i="5"/>
  <c r="AP13" i="10"/>
  <c r="AO13" i="10"/>
  <c r="AM12" i="3"/>
  <c r="AM15" i="3" s="1"/>
  <c r="AN13" i="3"/>
  <c r="AN5" i="3"/>
  <c r="AM3" i="3"/>
  <c r="AM7" i="3" s="1"/>
  <c r="U23" i="12"/>
  <c r="AM69" i="1"/>
  <c r="AO34" i="11"/>
  <c r="AN36" i="11"/>
  <c r="AO26" i="11"/>
  <c r="AN30" i="11"/>
  <c r="AN27" i="11"/>
  <c r="AM57" i="11"/>
  <c r="AN55" i="11"/>
  <c r="AI47" i="6"/>
  <c r="AJ47" i="6" s="1"/>
  <c r="AN39" i="3" l="1"/>
  <c r="AN35" i="1" s="1"/>
  <c r="AN69" i="1" s="1"/>
  <c r="AP32" i="3"/>
  <c r="AP44" i="3"/>
  <c r="AP22" i="3"/>
  <c r="AP18" i="1" s="1"/>
  <c r="AA16" i="15"/>
  <c r="AB16" i="15" s="1"/>
  <c r="AO29" i="3"/>
  <c r="AO37" i="3"/>
  <c r="AO39" i="3" s="1"/>
  <c r="AO35" i="1" s="1"/>
  <c r="AO20" i="3"/>
  <c r="W22" i="12"/>
  <c r="AK47" i="6"/>
  <c r="AK89" i="2"/>
  <c r="AO27" i="6"/>
  <c r="AN9" i="6"/>
  <c r="I125" i="14"/>
  <c r="AA125" i="2"/>
  <c r="AB37" i="5"/>
  <c r="AO5" i="3"/>
  <c r="AN3" i="3"/>
  <c r="AN7" i="3" s="1"/>
  <c r="AO13" i="3"/>
  <c r="AN12" i="3"/>
  <c r="AN15" i="3" s="1"/>
  <c r="AO55" i="11"/>
  <c r="AN57" i="11"/>
  <c r="AP26" i="11"/>
  <c r="AO30" i="11"/>
  <c r="AO27" i="11"/>
  <c r="AP34" i="11"/>
  <c r="AP36" i="11" s="1"/>
  <c r="AO36" i="11"/>
  <c r="Q150" i="14"/>
  <c r="V23" i="12" l="1"/>
  <c r="AO41" i="3"/>
  <c r="AC16" i="15"/>
  <c r="AD16" i="15" s="1"/>
  <c r="AP29" i="3"/>
  <c r="AP20" i="3"/>
  <c r="AP37" i="3"/>
  <c r="AP39" i="3" s="1"/>
  <c r="AP35" i="1" s="1"/>
  <c r="X22" i="12"/>
  <c r="AL47" i="6"/>
  <c r="AM10" i="6"/>
  <c r="AL89" i="2"/>
  <c r="AC37" i="5"/>
  <c r="J125" i="14"/>
  <c r="AB125" i="2"/>
  <c r="AP27" i="6"/>
  <c r="AP9" i="6" s="1"/>
  <c r="AO9" i="6"/>
  <c r="AO12" i="3"/>
  <c r="AO15" i="3" s="1"/>
  <c r="AP13" i="3"/>
  <c r="AP12" i="3" s="1"/>
  <c r="AP15" i="3" s="1"/>
  <c r="AO3" i="3"/>
  <c r="AO7" i="3" s="1"/>
  <c r="AP5" i="3"/>
  <c r="AP3" i="3" s="1"/>
  <c r="W23" i="12"/>
  <c r="AO69" i="1"/>
  <c r="AP30" i="11"/>
  <c r="AP27" i="11"/>
  <c r="AP55" i="11"/>
  <c r="AP57" i="11" s="1"/>
  <c r="AO57" i="11"/>
  <c r="AP41" i="3" l="1"/>
  <c r="AM47" i="6"/>
  <c r="AN10" i="6"/>
  <c r="AM89" i="2"/>
  <c r="K125" i="14"/>
  <c r="AD37" i="5"/>
  <c r="AC125" i="2"/>
  <c r="AP7" i="3"/>
  <c r="X23" i="12"/>
  <c r="AP69" i="1"/>
  <c r="X38" i="1"/>
  <c r="X72" i="1" s="1"/>
  <c r="W38" i="1"/>
  <c r="AC37" i="1"/>
  <c r="AC54" i="1" s="1"/>
  <c r="AD54" i="1" s="1"/>
  <c r="AE37" i="1"/>
  <c r="W35" i="1"/>
  <c r="X35" i="1"/>
  <c r="Y35" i="1"/>
  <c r="Z35" i="1"/>
  <c r="AA35" i="1"/>
  <c r="AB69" i="1"/>
  <c r="AD35" i="1"/>
  <c r="V35" i="1"/>
  <c r="D23" i="12" s="1"/>
  <c r="W33" i="1"/>
  <c r="X33" i="1"/>
  <c r="Y33" i="1"/>
  <c r="Z33" i="1"/>
  <c r="AA33" i="1"/>
  <c r="AB33" i="1"/>
  <c r="AC33" i="1"/>
  <c r="AE56" i="5"/>
  <c r="V33" i="1"/>
  <c r="AD2" i="11"/>
  <c r="AC2" i="11"/>
  <c r="C13" i="15" s="1"/>
  <c r="AB2" i="11"/>
  <c r="AA2" i="11"/>
  <c r="Z2" i="11"/>
  <c r="H6" i="12" s="1"/>
  <c r="Y2" i="11"/>
  <c r="G6" i="12" s="1"/>
  <c r="X2" i="11"/>
  <c r="W4" i="11"/>
  <c r="V3" i="1"/>
  <c r="D4" i="12" s="1"/>
  <c r="AD24" i="1"/>
  <c r="AD25" i="1" s="1"/>
  <c r="AC22" i="1"/>
  <c r="AB22" i="1"/>
  <c r="AA22" i="1"/>
  <c r="Z22" i="1"/>
  <c r="Y22" i="1"/>
  <c r="X22" i="1"/>
  <c r="W22" i="1"/>
  <c r="V22" i="1"/>
  <c r="AC21" i="1"/>
  <c r="AB21" i="1"/>
  <c r="AC20" i="1"/>
  <c r="AB20" i="1"/>
  <c r="AA20" i="1"/>
  <c r="Z20" i="1"/>
  <c r="Y20" i="1"/>
  <c r="X20" i="1"/>
  <c r="W20" i="1"/>
  <c r="V20" i="1"/>
  <c r="AH37" i="3"/>
  <c r="AI37" i="3"/>
  <c r="X16" i="1"/>
  <c r="W16" i="1"/>
  <c r="AB14" i="1"/>
  <c r="AA14" i="1"/>
  <c r="AA12" i="10" s="1"/>
  <c r="Z14" i="1"/>
  <c r="Z12" i="10" s="1"/>
  <c r="Y14" i="1"/>
  <c r="Y12" i="10" s="1"/>
  <c r="X14" i="1"/>
  <c r="X12" i="10" s="1"/>
  <c r="W14" i="1"/>
  <c r="W12" i="10" s="1"/>
  <c r="V14" i="1"/>
  <c r="V12" i="10" s="1"/>
  <c r="W8" i="1"/>
  <c r="X8" i="1"/>
  <c r="Z8" i="1"/>
  <c r="AA8" i="1"/>
  <c r="AB8" i="1"/>
  <c r="AC8" i="1"/>
  <c r="AD8" i="1"/>
  <c r="V8" i="1"/>
  <c r="AA6" i="1"/>
  <c r="W6" i="1"/>
  <c r="X6" i="1"/>
  <c r="Y6" i="1"/>
  <c r="Z6" i="1"/>
  <c r="AB6" i="1"/>
  <c r="AC6" i="1"/>
  <c r="V6" i="1"/>
  <c r="V5" i="1"/>
  <c r="V4" i="1"/>
  <c r="D5" i="12" s="1"/>
  <c r="W130" i="2"/>
  <c r="X130" i="2" s="1"/>
  <c r="Y130" i="2" s="1"/>
  <c r="Z130" i="2" s="1"/>
  <c r="AA130" i="2" s="1"/>
  <c r="AB130" i="2" s="1"/>
  <c r="AC130" i="2" s="1"/>
  <c r="AD130" i="2" s="1"/>
  <c r="AE130" i="2" s="1"/>
  <c r="AF130" i="2" s="1"/>
  <c r="AG130" i="2" s="1"/>
  <c r="AH130" i="2" s="1"/>
  <c r="X123" i="2"/>
  <c r="Y123" i="2" s="1"/>
  <c r="Z123" i="2" s="1"/>
  <c r="AA123" i="2" s="1"/>
  <c r="AB123" i="2" s="1"/>
  <c r="AC123" i="2" s="1"/>
  <c r="AD123" i="2" s="1"/>
  <c r="AE123" i="2" s="1"/>
  <c r="AF123" i="2" s="1"/>
  <c r="W118" i="2"/>
  <c r="W36" i="5" s="1"/>
  <c r="W111" i="2"/>
  <c r="W73" i="2"/>
  <c r="X73" i="2"/>
  <c r="Y73" i="2"/>
  <c r="Z73" i="2"/>
  <c r="AA73" i="2"/>
  <c r="AB73" i="2"/>
  <c r="AC73" i="2"/>
  <c r="AD73" i="2"/>
  <c r="V73" i="2"/>
  <c r="AF19" i="6"/>
  <c r="AF28" i="6" s="1"/>
  <c r="AF33" i="5" s="1"/>
  <c r="AG33" i="5" s="1"/>
  <c r="AH33" i="5" s="1"/>
  <c r="AI33" i="5" s="1"/>
  <c r="AJ33" i="5" s="1"/>
  <c r="AK33" i="5" s="1"/>
  <c r="AL33" i="5" s="1"/>
  <c r="AM33" i="5" s="1"/>
  <c r="AN33" i="5" s="1"/>
  <c r="AO33" i="5" s="1"/>
  <c r="AP33" i="5" s="1"/>
  <c r="AE33" i="5"/>
  <c r="W71" i="2"/>
  <c r="X71" i="2"/>
  <c r="X72" i="2" s="1"/>
  <c r="Y71" i="2"/>
  <c r="Y72" i="2" s="1"/>
  <c r="Z71" i="2"/>
  <c r="Z72" i="2" s="1"/>
  <c r="AA71" i="2"/>
  <c r="AA72" i="2" s="1"/>
  <c r="AB71" i="2"/>
  <c r="AB72" i="2" s="1"/>
  <c r="V71" i="2"/>
  <c r="V72" i="2" s="1"/>
  <c r="V60" i="2"/>
  <c r="W60" i="2"/>
  <c r="X60" i="2"/>
  <c r="Y60" i="2"/>
  <c r="Z60" i="2"/>
  <c r="AA60" i="2"/>
  <c r="AB60" i="2"/>
  <c r="AC60" i="2"/>
  <c r="AD60" i="2"/>
  <c r="AE60" i="2"/>
  <c r="V58" i="2"/>
  <c r="V34" i="1" s="1"/>
  <c r="W58" i="2"/>
  <c r="W34" i="1" s="1"/>
  <c r="E14" i="12" s="1"/>
  <c r="X58" i="2"/>
  <c r="X34" i="1" s="1"/>
  <c r="Y58" i="2"/>
  <c r="Y34" i="1" s="1"/>
  <c r="G14" i="12" s="1"/>
  <c r="Z58" i="2"/>
  <c r="Z34" i="1" s="1"/>
  <c r="H14" i="12" s="1"/>
  <c r="AA58" i="2"/>
  <c r="AA34" i="1" s="1"/>
  <c r="AA36" i="1" s="1"/>
  <c r="AB58" i="2"/>
  <c r="AB34" i="1" s="1"/>
  <c r="AB36" i="1" s="1"/>
  <c r="AC58" i="2"/>
  <c r="AC34" i="1" s="1"/>
  <c r="AC36" i="1" s="1"/>
  <c r="AD58" i="2"/>
  <c r="AE58" i="2"/>
  <c r="AD57" i="2"/>
  <c r="AE57" i="2"/>
  <c r="AE63" i="2" s="1"/>
  <c r="AC17" i="1"/>
  <c r="AC24" i="1" s="1"/>
  <c r="AB17" i="1"/>
  <c r="AB24" i="1" s="1"/>
  <c r="AA17" i="1"/>
  <c r="Z17" i="1"/>
  <c r="Z24" i="1" s="1"/>
  <c r="Y17" i="1"/>
  <c r="X17" i="1"/>
  <c r="X57" i="2" s="1"/>
  <c r="W17" i="1"/>
  <c r="W57" i="2" s="1"/>
  <c r="V17" i="1"/>
  <c r="V24" i="1" s="1"/>
  <c r="W54" i="2"/>
  <c r="X54" i="2" s="1"/>
  <c r="Y54" i="2" s="1"/>
  <c r="Z54" i="2" s="1"/>
  <c r="AA54" i="2" s="1"/>
  <c r="AB54" i="2" s="1"/>
  <c r="W53" i="2"/>
  <c r="X53" i="2" s="1"/>
  <c r="Y53" i="2" s="1"/>
  <c r="Z53" i="2" s="1"/>
  <c r="AA53" i="2" s="1"/>
  <c r="AB53" i="2" s="1"/>
  <c r="AC53" i="2" s="1"/>
  <c r="AD53" i="2" s="1"/>
  <c r="AE53" i="2" s="1"/>
  <c r="AF53" i="2" s="1"/>
  <c r="W52" i="2"/>
  <c r="X52" i="2" s="1"/>
  <c r="Y52" i="2" s="1"/>
  <c r="Z52" i="2" s="1"/>
  <c r="AA52" i="2" s="1"/>
  <c r="AB52" i="2" s="1"/>
  <c r="AC52" i="2" s="1"/>
  <c r="AD52" i="2" s="1"/>
  <c r="AE52" i="2" s="1"/>
  <c r="AF52" i="2" s="1"/>
  <c r="W51" i="2"/>
  <c r="X51" i="2" s="1"/>
  <c r="Y51" i="2" s="1"/>
  <c r="Z51" i="2" s="1"/>
  <c r="AA51" i="2" s="1"/>
  <c r="AB51" i="2" s="1"/>
  <c r="AC51" i="2" s="1"/>
  <c r="AD51" i="2" s="1"/>
  <c r="AE51" i="2" s="1"/>
  <c r="W50" i="2"/>
  <c r="X50" i="2" s="1"/>
  <c r="Y50" i="2" s="1"/>
  <c r="Z50" i="2" s="1"/>
  <c r="AA50" i="2" s="1"/>
  <c r="AB50" i="2" s="1"/>
  <c r="AC50" i="2" s="1"/>
  <c r="AD50" i="2" s="1"/>
  <c r="AE50" i="2" s="1"/>
  <c r="AF50" i="2" s="1"/>
  <c r="AF94" i="2"/>
  <c r="AF95" i="2" s="1"/>
  <c r="W49" i="2"/>
  <c r="X49" i="2" s="1"/>
  <c r="Y49" i="2" s="1"/>
  <c r="Z49" i="2" s="1"/>
  <c r="AA49" i="2" s="1"/>
  <c r="AB49" i="2" s="1"/>
  <c r="AC49" i="2" s="1"/>
  <c r="AD49" i="2" s="1"/>
  <c r="AE49" i="2" s="1"/>
  <c r="AF49" i="2" s="1"/>
  <c r="AB40" i="2"/>
  <c r="AC40" i="2"/>
  <c r="AD40" i="2"/>
  <c r="AE40" i="2"/>
  <c r="AB39" i="2"/>
  <c r="AC39" i="2"/>
  <c r="AD39" i="2"/>
  <c r="AE39" i="2"/>
  <c r="AE38" i="2"/>
  <c r="AD38" i="2"/>
  <c r="AB37" i="2"/>
  <c r="AC37" i="2"/>
  <c r="AD37" i="2"/>
  <c r="X69" i="1" l="1"/>
  <c r="F23" i="12"/>
  <c r="Z69" i="1"/>
  <c r="H23" i="12"/>
  <c r="W69" i="1"/>
  <c r="E23" i="12"/>
  <c r="AE109" i="2"/>
  <c r="AE107" i="2" s="1"/>
  <c r="AE110" i="2" s="1"/>
  <c r="AF51" i="2"/>
  <c r="X36" i="1"/>
  <c r="F14" i="12"/>
  <c r="Y69" i="1"/>
  <c r="G23" i="12"/>
  <c r="V36" i="1"/>
  <c r="D14" i="12"/>
  <c r="W57" i="5"/>
  <c r="E8" i="12"/>
  <c r="X11" i="11"/>
  <c r="F6" i="12"/>
  <c r="E13" i="15"/>
  <c r="AE11" i="11"/>
  <c r="AE4" i="11"/>
  <c r="AO10" i="6"/>
  <c r="AN89" i="2"/>
  <c r="AN47" i="6"/>
  <c r="L125" i="14"/>
  <c r="AE37" i="5"/>
  <c r="AF37" i="5" s="1"/>
  <c r="AG37" i="5" s="1"/>
  <c r="AH37" i="5" s="1"/>
  <c r="AI37" i="5" s="1"/>
  <c r="AJ37" i="5" s="1"/>
  <c r="AK37" i="5" s="1"/>
  <c r="AL37" i="5" s="1"/>
  <c r="AM37" i="5" s="1"/>
  <c r="AN37" i="5" s="1"/>
  <c r="AO37" i="5" s="1"/>
  <c r="AP37" i="5" s="1"/>
  <c r="AD125" i="2"/>
  <c r="X74" i="2"/>
  <c r="X118" i="2"/>
  <c r="X36" i="5" s="1"/>
  <c r="AD11" i="11"/>
  <c r="AA15" i="1"/>
  <c r="AA13" i="1" s="1"/>
  <c r="AA84" i="1" s="1"/>
  <c r="W52" i="1"/>
  <c r="Y68" i="1"/>
  <c r="AA57" i="2"/>
  <c r="AG70" i="2"/>
  <c r="AG94" i="2" s="1"/>
  <c r="AG95" i="2" s="1"/>
  <c r="W109" i="2"/>
  <c r="W107" i="2" s="1"/>
  <c r="W110" i="2" s="1"/>
  <c r="Z74" i="2"/>
  <c r="W116" i="2"/>
  <c r="X111" i="2"/>
  <c r="Y118" i="2"/>
  <c r="X59" i="2"/>
  <c r="AD109" i="2"/>
  <c r="AC109" i="2"/>
  <c r="X15" i="1"/>
  <c r="X13" i="1" s="1"/>
  <c r="X85" i="1" s="1"/>
  <c r="V57" i="2"/>
  <c r="W59" i="2" s="1"/>
  <c r="AA24" i="1"/>
  <c r="AA83" i="1"/>
  <c r="G57" i="14"/>
  <c r="Y57" i="2"/>
  <c r="Z71" i="1"/>
  <c r="AB73" i="1"/>
  <c r="Z68" i="1"/>
  <c r="H57" i="14"/>
  <c r="I57" i="14"/>
  <c r="AA82" i="1"/>
  <c r="AC57" i="2"/>
  <c r="AD59" i="2" s="1"/>
  <c r="V25" i="1"/>
  <c r="AB15" i="1"/>
  <c r="AB71" i="1"/>
  <c r="X73" i="1"/>
  <c r="X68" i="1"/>
  <c r="Z15" i="1"/>
  <c r="Z25" i="1" s="1"/>
  <c r="AA71" i="1"/>
  <c r="D57" i="14"/>
  <c r="J57" i="14"/>
  <c r="AB57" i="2"/>
  <c r="AB12" i="10"/>
  <c r="AB65" i="1"/>
  <c r="AC65" i="1"/>
  <c r="W25" i="1"/>
  <c r="W76" i="1" s="1"/>
  <c r="W71" i="1"/>
  <c r="AC71" i="1"/>
  <c r="AD71" i="1"/>
  <c r="Y73" i="1"/>
  <c r="W24" i="1"/>
  <c r="W75" i="1" s="1"/>
  <c r="AD73" i="1"/>
  <c r="AC73" i="1"/>
  <c r="E57" i="14"/>
  <c r="K57" i="14"/>
  <c r="AD68" i="1"/>
  <c r="W65" i="1"/>
  <c r="X25" i="1"/>
  <c r="X71" i="1"/>
  <c r="AB72" i="1"/>
  <c r="Z73" i="1"/>
  <c r="X24" i="1"/>
  <c r="X75" i="1" s="1"/>
  <c r="W72" i="1"/>
  <c r="W55" i="1"/>
  <c r="X55" i="1" s="1"/>
  <c r="Y55" i="1" s="1"/>
  <c r="Z55" i="1" s="1"/>
  <c r="AA55" i="1" s="1"/>
  <c r="AB55" i="1" s="1"/>
  <c r="AC55" i="1" s="1"/>
  <c r="AA42" i="1"/>
  <c r="W15" i="1"/>
  <c r="W73" i="1"/>
  <c r="F57" i="14"/>
  <c r="Z57" i="2"/>
  <c r="X65" i="1"/>
  <c r="AI41" i="3"/>
  <c r="AJ39" i="3"/>
  <c r="AJ35" i="1" s="1"/>
  <c r="Y15" i="1"/>
  <c r="Y13" i="1" s="1"/>
  <c r="Y79" i="1" s="1"/>
  <c r="Y71" i="1"/>
  <c r="AC15" i="1"/>
  <c r="AC13" i="1" s="1"/>
  <c r="AC82" i="1" s="1"/>
  <c r="AT82" i="1" s="1"/>
  <c r="AD72" i="1"/>
  <c r="AC72" i="1"/>
  <c r="AA73" i="1"/>
  <c r="Y24" i="1"/>
  <c r="Y74" i="2"/>
  <c r="X56" i="5"/>
  <c r="X67" i="1"/>
  <c r="X113" i="1"/>
  <c r="AA4" i="11"/>
  <c r="I8" i="12" s="1"/>
  <c r="AA11" i="11"/>
  <c r="I6" i="12"/>
  <c r="E136" i="14"/>
  <c r="W56" i="5"/>
  <c r="W50" i="1"/>
  <c r="X50" i="1" s="1"/>
  <c r="Y50" i="1" s="1"/>
  <c r="Z50" i="1" s="1"/>
  <c r="AA50" i="1" s="1"/>
  <c r="AB50" i="1" s="1"/>
  <c r="AC50" i="1" s="1"/>
  <c r="AD50" i="1" s="1"/>
  <c r="AE50" i="1" s="1"/>
  <c r="W113" i="1"/>
  <c r="W67" i="1"/>
  <c r="W136" i="2"/>
  <c r="AB4" i="11"/>
  <c r="AB57" i="5" s="1"/>
  <c r="AB11" i="11"/>
  <c r="J6" i="12"/>
  <c r="AC11" i="11"/>
  <c r="K6" i="12"/>
  <c r="Z4" i="11"/>
  <c r="Z11" i="11"/>
  <c r="AB32" i="1"/>
  <c r="AB30" i="1" s="1"/>
  <c r="AC113" i="1"/>
  <c r="AC56" i="5"/>
  <c r="AC67" i="1"/>
  <c r="L6" i="12"/>
  <c r="Z56" i="5"/>
  <c r="Z67" i="1"/>
  <c r="Z113" i="1"/>
  <c r="Y11" i="11"/>
  <c r="V56" i="5"/>
  <c r="V113" i="1"/>
  <c r="W51" i="1"/>
  <c r="X51" i="1" s="1"/>
  <c r="Y51" i="1" s="1"/>
  <c r="Z51" i="1" s="1"/>
  <c r="AA51" i="1" s="1"/>
  <c r="AB51" i="1" s="1"/>
  <c r="AC51" i="1" s="1"/>
  <c r="AD51" i="1" s="1"/>
  <c r="W68" i="1"/>
  <c r="W36" i="1"/>
  <c r="K14" i="12"/>
  <c r="AC68" i="1"/>
  <c r="I14" i="12"/>
  <c r="AA68" i="1"/>
  <c r="Z36" i="1"/>
  <c r="Z41" i="1" s="1"/>
  <c r="J14" i="12"/>
  <c r="AB68" i="1"/>
  <c r="Y36" i="1"/>
  <c r="Y32" i="1" s="1"/>
  <c r="AD13" i="1"/>
  <c r="AD69" i="1"/>
  <c r="L23" i="12"/>
  <c r="AE72" i="1"/>
  <c r="AE59" i="2"/>
  <c r="N73" i="14"/>
  <c r="N87" i="14" s="1"/>
  <c r="M71" i="14"/>
  <c r="AE73" i="6"/>
  <c r="AE34" i="1"/>
  <c r="AD56" i="5"/>
  <c r="AD67" i="1"/>
  <c r="AE71" i="1"/>
  <c r="AE54" i="1"/>
  <c r="AF37" i="3"/>
  <c r="AH39" i="3"/>
  <c r="AH35" i="1" s="1"/>
  <c r="P23" i="12" s="1"/>
  <c r="AH41" i="3"/>
  <c r="AG41" i="3"/>
  <c r="AB56" i="5"/>
  <c r="AB113" i="1"/>
  <c r="AB67" i="1"/>
  <c r="AA69" i="1"/>
  <c r="I23" i="12"/>
  <c r="AA56" i="5"/>
  <c r="AA67" i="1"/>
  <c r="AA113" i="1"/>
  <c r="Y56" i="5"/>
  <c r="Y113" i="1"/>
  <c r="Y67" i="1"/>
  <c r="AE73" i="2"/>
  <c r="AE87" i="2" s="1"/>
  <c r="V74" i="2"/>
  <c r="AF73" i="2"/>
  <c r="AF87" i="2" s="1"/>
  <c r="AB74" i="2"/>
  <c r="AA74" i="2"/>
  <c r="AG19" i="6"/>
  <c r="AE71" i="2"/>
  <c r="AE72" i="2" s="1"/>
  <c r="AE83" i="2" s="1"/>
  <c r="Z96" i="2"/>
  <c r="Z87" i="2"/>
  <c r="AD71" i="2"/>
  <c r="AD72" i="2" s="1"/>
  <c r="Y96" i="2"/>
  <c r="Y87" i="2"/>
  <c r="W86" i="2"/>
  <c r="X86" i="2" s="1"/>
  <c r="Y86" i="2" s="1"/>
  <c r="Z86" i="2" s="1"/>
  <c r="AA86" i="2" s="1"/>
  <c r="AB86" i="2" s="1"/>
  <c r="V87" i="2"/>
  <c r="V96" i="2"/>
  <c r="AD87" i="2"/>
  <c r="X87" i="2"/>
  <c r="X96" i="2"/>
  <c r="AC71" i="2"/>
  <c r="AC72" i="2" s="1"/>
  <c r="AC84" i="2" s="1"/>
  <c r="W72" i="2"/>
  <c r="W74" i="2" s="1"/>
  <c r="AC87" i="2"/>
  <c r="W87" i="2"/>
  <c r="W96" i="2"/>
  <c r="AB87" i="2"/>
  <c r="AB96" i="2"/>
  <c r="AA96" i="2"/>
  <c r="AA87" i="2"/>
  <c r="AB41" i="1"/>
  <c r="AB75" i="1" s="1"/>
  <c r="AA41" i="1"/>
  <c r="AA75" i="1" s="1"/>
  <c r="AD41" i="1"/>
  <c r="AD75" i="1" s="1"/>
  <c r="AC4" i="11"/>
  <c r="X4" i="11"/>
  <c r="AD4" i="11"/>
  <c r="Y4" i="11"/>
  <c r="AE67" i="1"/>
  <c r="AD32" i="1"/>
  <c r="X52" i="1"/>
  <c r="Y52" i="1" s="1"/>
  <c r="Z52" i="1" s="1"/>
  <c r="AA52" i="1" s="1"/>
  <c r="AB52" i="1" s="1"/>
  <c r="AA32" i="1"/>
  <c r="AB13" i="1"/>
  <c r="AB87" i="1" s="1"/>
  <c r="AS87" i="1" s="1"/>
  <c r="AB25" i="1"/>
  <c r="AC42" i="1" s="1"/>
  <c r="Y25" i="1"/>
  <c r="Z42" i="1" s="1"/>
  <c r="V15" i="1"/>
  <c r="V13" i="1" s="1"/>
  <c r="AI130" i="2"/>
  <c r="AJ130" i="2" s="1"/>
  <c r="AK130" i="2" s="1"/>
  <c r="AL130" i="2" s="1"/>
  <c r="AM130" i="2" s="1"/>
  <c r="AN130" i="2" s="1"/>
  <c r="AO130" i="2" s="1"/>
  <c r="AP130" i="2" s="1"/>
  <c r="AG123" i="2"/>
  <c r="AH123" i="2" s="1"/>
  <c r="AI123" i="2" s="1"/>
  <c r="AJ123" i="2" s="1"/>
  <c r="AK123" i="2" s="1"/>
  <c r="AL123" i="2" s="1"/>
  <c r="AM123" i="2" s="1"/>
  <c r="AN123" i="2" s="1"/>
  <c r="AO123" i="2" s="1"/>
  <c r="AP123" i="2" s="1"/>
  <c r="AA86" i="1" l="1"/>
  <c r="AA87" i="1"/>
  <c r="AF41" i="3"/>
  <c r="AF39" i="3"/>
  <c r="AA85" i="1"/>
  <c r="AA81" i="1"/>
  <c r="AA80" i="1" s="1"/>
  <c r="AA78" i="1" s="1"/>
  <c r="X116" i="2"/>
  <c r="AD93" i="1"/>
  <c r="AD133" i="1" s="1"/>
  <c r="AE27" i="1"/>
  <c r="AA93" i="1"/>
  <c r="AA3" i="10" s="1"/>
  <c r="AA29" i="10" s="1"/>
  <c r="AA25" i="1"/>
  <c r="AB42" i="1" s="1"/>
  <c r="AA2" i="1"/>
  <c r="AA24" i="10" s="1"/>
  <c r="AA79" i="1"/>
  <c r="AG50" i="2"/>
  <c r="X57" i="5"/>
  <c r="F8" i="12"/>
  <c r="Z57" i="5"/>
  <c r="H8" i="12"/>
  <c r="Y57" i="5"/>
  <c r="G8" i="12"/>
  <c r="AE93" i="1"/>
  <c r="AO47" i="6"/>
  <c r="AP10" i="6"/>
  <c r="AO89" i="2"/>
  <c r="M125" i="14"/>
  <c r="AE125" i="2"/>
  <c r="AH70" i="2"/>
  <c r="AI70" i="2" s="1"/>
  <c r="W102" i="2"/>
  <c r="W101" i="2" s="1"/>
  <c r="AA57" i="5"/>
  <c r="J8" i="12"/>
  <c r="Z32" i="1"/>
  <c r="Z30" i="1" s="1"/>
  <c r="Y30" i="1"/>
  <c r="Y3" i="1" s="1"/>
  <c r="G4" i="12" s="1"/>
  <c r="AC25" i="1"/>
  <c r="AC76" i="1" s="1"/>
  <c r="Z13" i="1"/>
  <c r="Z85" i="1" s="1"/>
  <c r="X66" i="1"/>
  <c r="Z76" i="1"/>
  <c r="AD79" i="1"/>
  <c r="AU79" i="1" s="1"/>
  <c r="AB76" i="1"/>
  <c r="Z75" i="1"/>
  <c r="AC107" i="2"/>
  <c r="AC110" i="2" s="1"/>
  <c r="Z118" i="2"/>
  <c r="Y36" i="5"/>
  <c r="Y116" i="2"/>
  <c r="Y111" i="2"/>
  <c r="X109" i="2"/>
  <c r="AD107" i="2"/>
  <c r="AD110" i="2" s="1"/>
  <c r="AH94" i="2"/>
  <c r="AH95" i="2" s="1"/>
  <c r="R23" i="12"/>
  <c r="AJ69" i="1"/>
  <c r="X79" i="1"/>
  <c r="X81" i="1"/>
  <c r="X87" i="1"/>
  <c r="AD2" i="1"/>
  <c r="X82" i="1"/>
  <c r="AA90" i="1"/>
  <c r="V86" i="1"/>
  <c r="V83" i="1"/>
  <c r="V81" i="1"/>
  <c r="V93" i="1"/>
  <c r="V3" i="10" s="1"/>
  <c r="V84" i="1"/>
  <c r="AC86" i="1"/>
  <c r="AT86" i="1" s="1"/>
  <c r="Z59" i="2"/>
  <c r="X76" i="1"/>
  <c r="Y42" i="1"/>
  <c r="Y59" i="1" s="1"/>
  <c r="Z59" i="1" s="1"/>
  <c r="AA59" i="1" s="1"/>
  <c r="AC85" i="1"/>
  <c r="G59" i="14"/>
  <c r="G61" i="14"/>
  <c r="AB59" i="2"/>
  <c r="AB85" i="1"/>
  <c r="H61" i="14"/>
  <c r="H59" i="14"/>
  <c r="AA6" i="9"/>
  <c r="AA134" i="1"/>
  <c r="AA135" i="1"/>
  <c r="AA133" i="1"/>
  <c r="F59" i="14"/>
  <c r="F61" i="14"/>
  <c r="L59" i="14"/>
  <c r="K59" i="14"/>
  <c r="K61" i="14"/>
  <c r="AB79" i="1"/>
  <c r="AS79" i="1" s="1"/>
  <c r="AB82" i="1"/>
  <c r="AS82" i="1" s="1"/>
  <c r="X2" i="1"/>
  <c r="X84" i="1"/>
  <c r="X86" i="1"/>
  <c r="X83" i="1"/>
  <c r="X93" i="1"/>
  <c r="X3" i="10" s="1"/>
  <c r="AD55" i="1"/>
  <c r="K79" i="14"/>
  <c r="AC79" i="2"/>
  <c r="AB86" i="1"/>
  <c r="AS86" i="1" s="1"/>
  <c r="J59" i="14"/>
  <c r="J61" i="14"/>
  <c r="AC59" i="2"/>
  <c r="W30" i="1"/>
  <c r="AC93" i="1"/>
  <c r="AC84" i="1"/>
  <c r="AC81" i="1"/>
  <c r="AC83" i="1"/>
  <c r="AT83" i="1" s="1"/>
  <c r="AC79" i="1"/>
  <c r="AT79" i="1" s="1"/>
  <c r="Y93" i="1"/>
  <c r="Y3" i="10" s="1"/>
  <c r="Y86" i="1"/>
  <c r="Y83" i="1"/>
  <c r="Y84" i="1"/>
  <c r="Y81" i="1"/>
  <c r="AB83" i="1"/>
  <c r="AS83" i="1" s="1"/>
  <c r="AB93" i="1"/>
  <c r="AB84" i="1"/>
  <c r="AB81" i="1"/>
  <c r="AD107" i="1"/>
  <c r="AD135" i="1"/>
  <c r="Y85" i="1"/>
  <c r="E61" i="14"/>
  <c r="E59" i="14"/>
  <c r="Y87" i="1"/>
  <c r="V82" i="1"/>
  <c r="V85" i="1"/>
  <c r="Y59" i="2"/>
  <c r="W13" i="1"/>
  <c r="W66" i="1"/>
  <c r="X30" i="1"/>
  <c r="X3" i="1" s="1"/>
  <c r="F4" i="12" s="1"/>
  <c r="AA59" i="2"/>
  <c r="AC87" i="1"/>
  <c r="AT87" i="1" s="1"/>
  <c r="V79" i="1"/>
  <c r="I59" i="14"/>
  <c r="I61" i="14"/>
  <c r="V87" i="1"/>
  <c r="Y82" i="1"/>
  <c r="AD42" i="1"/>
  <c r="AD76" i="1" s="1"/>
  <c r="AB66" i="1"/>
  <c r="W138" i="2"/>
  <c r="X136" i="2"/>
  <c r="AC57" i="5"/>
  <c r="K8" i="12"/>
  <c r="E138" i="14"/>
  <c r="F136" i="14"/>
  <c r="Y41" i="1"/>
  <c r="Y75" i="1" s="1"/>
  <c r="AD82" i="1"/>
  <c r="AU82" i="1" s="1"/>
  <c r="AD27" i="1"/>
  <c r="AD86" i="1"/>
  <c r="AU86" i="1" s="1"/>
  <c r="AD81" i="1"/>
  <c r="AD83" i="1"/>
  <c r="AU83" i="1" s="1"/>
  <c r="AD85" i="1"/>
  <c r="AU85" i="1" s="1"/>
  <c r="AD87" i="1"/>
  <c r="AU87" i="1" s="1"/>
  <c r="AD84" i="1"/>
  <c r="AG39" i="3"/>
  <c r="AG35" i="1" s="1"/>
  <c r="O23" i="12" s="1"/>
  <c r="AF35" i="1"/>
  <c r="AD30" i="1"/>
  <c r="AD64" i="1" s="1"/>
  <c r="AD65" i="1"/>
  <c r="AD48" i="1"/>
  <c r="AD3" i="10"/>
  <c r="AD134" i="1"/>
  <c r="AE42" i="1"/>
  <c r="AE76" i="1" s="1"/>
  <c r="AE86" i="1"/>
  <c r="AV86" i="1" s="1"/>
  <c r="AE83" i="1"/>
  <c r="AV83" i="1" s="1"/>
  <c r="AE79" i="1"/>
  <c r="AV79" i="1" s="1"/>
  <c r="AE87" i="1"/>
  <c r="AV87" i="1" s="1"/>
  <c r="AE84" i="1"/>
  <c r="AE81" i="1"/>
  <c r="AE82" i="1"/>
  <c r="AV82" i="1" s="1"/>
  <c r="AE85" i="1"/>
  <c r="AH19" i="6"/>
  <c r="P73" i="14" s="1"/>
  <c r="P87" i="14" s="1"/>
  <c r="O73" i="14"/>
  <c r="O87" i="14" s="1"/>
  <c r="N71" i="14"/>
  <c r="AF73" i="6"/>
  <c r="AE74" i="2"/>
  <c r="M72" i="14"/>
  <c r="M74" i="14" s="1"/>
  <c r="M96" i="14"/>
  <c r="M86" i="14"/>
  <c r="M14" i="12"/>
  <c r="AE68" i="1"/>
  <c r="AE51" i="1"/>
  <c r="AE36" i="1"/>
  <c r="AE32" i="1" s="1"/>
  <c r="AE57" i="5"/>
  <c r="AE25" i="4" s="1"/>
  <c r="M8" i="12"/>
  <c r="AD57" i="5"/>
  <c r="L8" i="12"/>
  <c r="AH69" i="1"/>
  <c r="Y66" i="1"/>
  <c r="Y49" i="1"/>
  <c r="AC96" i="2"/>
  <c r="AD96" i="2"/>
  <c r="AG73" i="2"/>
  <c r="AG87" i="2" s="1"/>
  <c r="AG28" i="6"/>
  <c r="AE96" i="2"/>
  <c r="AC83" i="2"/>
  <c r="AC30" i="5" s="1"/>
  <c r="AC74" i="2"/>
  <c r="AD83" i="2"/>
  <c r="AD30" i="5" s="1"/>
  <c r="AD84" i="2"/>
  <c r="AD74" i="2"/>
  <c r="AC86" i="2"/>
  <c r="AD86" i="2" s="1"/>
  <c r="AE86" i="2" s="1"/>
  <c r="AF71" i="2"/>
  <c r="AG60" i="6"/>
  <c r="AD66" i="1"/>
  <c r="AB3" i="1"/>
  <c r="J4" i="12" s="1"/>
  <c r="AB64" i="1"/>
  <c r="AB4" i="1" s="1"/>
  <c r="J5" i="12" s="1"/>
  <c r="AA30" i="1"/>
  <c r="AA66" i="1"/>
  <c r="Y2" i="1"/>
  <c r="Y27" i="1"/>
  <c r="AB2" i="1"/>
  <c r="AB27" i="1"/>
  <c r="V2" i="1"/>
  <c r="AE2" i="1"/>
  <c r="AC2" i="1"/>
  <c r="C5" i="15" s="1"/>
  <c r="C8" i="15" s="1"/>
  <c r="D8" i="15" s="1"/>
  <c r="AC27" i="1"/>
  <c r="Z83" i="1" l="1"/>
  <c r="Y24" i="10"/>
  <c r="G3" i="12"/>
  <c r="AE9" i="1"/>
  <c r="AE7" i="1"/>
  <c r="AE6" i="1" s="1"/>
  <c r="V24" i="10"/>
  <c r="D3" i="12"/>
  <c r="AA89" i="1"/>
  <c r="AA43" i="3"/>
  <c r="AA45" i="3" s="1"/>
  <c r="X24" i="10"/>
  <c r="F3" i="12"/>
  <c r="AH50" i="2"/>
  <c r="AI50" i="2" s="1"/>
  <c r="I3" i="12"/>
  <c r="AB59" i="1"/>
  <c r="AC59" i="1" s="1"/>
  <c r="AD59" i="1" s="1"/>
  <c r="AE59" i="1" s="1"/>
  <c r="AA76" i="1"/>
  <c r="AE31" i="1"/>
  <c r="AE30" i="1" s="1"/>
  <c r="AD43" i="3"/>
  <c r="AD45" i="3" s="1"/>
  <c r="E5" i="15"/>
  <c r="E8" i="15" s="1"/>
  <c r="F8" i="15" s="1"/>
  <c r="AD6" i="9"/>
  <c r="AD29" i="10"/>
  <c r="AF142" i="1"/>
  <c r="G5" i="15"/>
  <c r="G8" i="15" s="1"/>
  <c r="AP89" i="2"/>
  <c r="AP47" i="6"/>
  <c r="N125" i="14"/>
  <c r="AF125" i="2"/>
  <c r="Y64" i="1"/>
  <c r="Y4" i="1" s="1"/>
  <c r="G5" i="12" s="1"/>
  <c r="Z66" i="1"/>
  <c r="AI94" i="2"/>
  <c r="AI95" i="2" s="1"/>
  <c r="AJ70" i="2"/>
  <c r="Z49" i="1"/>
  <c r="AA49" i="1" s="1"/>
  <c r="AB49" i="1" s="1"/>
  <c r="Z84" i="1"/>
  <c r="Z81" i="1"/>
  <c r="Z80" i="1" s="1"/>
  <c r="Z78" i="1" s="1"/>
  <c r="Z82" i="1"/>
  <c r="Z27" i="1"/>
  <c r="Z93" i="1"/>
  <c r="Z2" i="1"/>
  <c r="AA27" i="1"/>
  <c r="Z87" i="1"/>
  <c r="Z86" i="1"/>
  <c r="Z90" i="1" s="1"/>
  <c r="Z79" i="1"/>
  <c r="AD24" i="10"/>
  <c r="L3" i="12"/>
  <c r="X89" i="1"/>
  <c r="AD79" i="2"/>
  <c r="X90" i="1"/>
  <c r="AA118" i="2"/>
  <c r="Z36" i="5"/>
  <c r="Z116" i="2"/>
  <c r="X107" i="2"/>
  <c r="X110" i="2" s="1"/>
  <c r="X102" i="2"/>
  <c r="X101" i="2" s="1"/>
  <c r="Z111" i="2"/>
  <c r="Y109" i="2"/>
  <c r="AD7" i="1"/>
  <c r="AD6" i="1" s="1"/>
  <c r="K3" i="12"/>
  <c r="AC24" i="10"/>
  <c r="AC43" i="3"/>
  <c r="AC45" i="3" s="1"/>
  <c r="Y9" i="1"/>
  <c r="Y43" i="3"/>
  <c r="Y45" i="3" s="1"/>
  <c r="X43" i="3"/>
  <c r="X45" i="3" s="1"/>
  <c r="W64" i="1"/>
  <c r="W4" i="1" s="1"/>
  <c r="E5" i="12" s="1"/>
  <c r="W86" i="1"/>
  <c r="W83" i="1"/>
  <c r="W93" i="1"/>
  <c r="W3" i="10" s="1"/>
  <c r="W84" i="1"/>
  <c r="W2" i="1"/>
  <c r="W27" i="1"/>
  <c r="X27" i="1"/>
  <c r="W85" i="1"/>
  <c r="W82" i="1"/>
  <c r="W79" i="1"/>
  <c r="W87" i="1"/>
  <c r="W81" i="1"/>
  <c r="AC89" i="1"/>
  <c r="AT89" i="1" s="1"/>
  <c r="AC80" i="1"/>
  <c r="AC78" i="1" s="1"/>
  <c r="AT81" i="1"/>
  <c r="W3" i="1"/>
  <c r="E4" i="12" s="1"/>
  <c r="W47" i="1"/>
  <c r="X80" i="1"/>
  <c r="X78" i="1" s="1"/>
  <c r="V89" i="1"/>
  <c r="AS81" i="1"/>
  <c r="AB89" i="1"/>
  <c r="AS89" i="1" s="1"/>
  <c r="X6" i="9"/>
  <c r="X134" i="1"/>
  <c r="X135" i="1"/>
  <c r="X133" i="1"/>
  <c r="AC90" i="1"/>
  <c r="AT90" i="1" s="1"/>
  <c r="AT85" i="1"/>
  <c r="AB3" i="10"/>
  <c r="AB135" i="1"/>
  <c r="AB133" i="1"/>
  <c r="AB134" i="1"/>
  <c r="V80" i="1"/>
  <c r="V78" i="1" s="1"/>
  <c r="V43" i="3"/>
  <c r="V45" i="3" s="1"/>
  <c r="AB9" i="1"/>
  <c r="J3" i="12"/>
  <c r="AB24" i="10"/>
  <c r="AB43" i="3"/>
  <c r="AB45" i="3" s="1"/>
  <c r="AC3" i="10"/>
  <c r="AC133" i="1"/>
  <c r="AC135" i="1"/>
  <c r="AC134" i="1"/>
  <c r="L79" i="14"/>
  <c r="AE55" i="1"/>
  <c r="X64" i="1"/>
  <c r="X4" i="1" s="1"/>
  <c r="F5" i="12" s="1"/>
  <c r="Y76" i="1"/>
  <c r="Y89" i="1"/>
  <c r="Y80" i="1"/>
  <c r="Y78" i="1" s="1"/>
  <c r="V6" i="9"/>
  <c r="V133" i="1"/>
  <c r="V134" i="1"/>
  <c r="V135" i="1"/>
  <c r="Y90" i="1"/>
  <c r="V90" i="1"/>
  <c r="Y6" i="9"/>
  <c r="Y135" i="1"/>
  <c r="Y133" i="1"/>
  <c r="Y134" i="1"/>
  <c r="AB80" i="1"/>
  <c r="AB78" i="1" s="1"/>
  <c r="AB90" i="1"/>
  <c r="AS90" i="1" s="1"/>
  <c r="AS85" i="1"/>
  <c r="AH73" i="2"/>
  <c r="AH87" i="2" s="1"/>
  <c r="AH28" i="6"/>
  <c r="AI19" i="6"/>
  <c r="Y58" i="1"/>
  <c r="Z58" i="1" s="1"/>
  <c r="AA58" i="1" s="1"/>
  <c r="AB58" i="1" s="1"/>
  <c r="F138" i="14"/>
  <c r="G136" i="14"/>
  <c r="X138" i="2"/>
  <c r="Y136" i="2"/>
  <c r="AD89" i="1"/>
  <c r="AU89" i="1" s="1"/>
  <c r="AU81" i="1"/>
  <c r="AU80" i="1" s="1"/>
  <c r="AD80" i="1"/>
  <c r="AD78" i="1" s="1"/>
  <c r="AD90" i="1"/>
  <c r="AU90" i="1" s="1"/>
  <c r="N86" i="14"/>
  <c r="AG69" i="1"/>
  <c r="AE90" i="1"/>
  <c r="AV90" i="1" s="1"/>
  <c r="AV85" i="1"/>
  <c r="AE3" i="10"/>
  <c r="AE24" i="10"/>
  <c r="M3" i="12"/>
  <c r="AE43" i="3"/>
  <c r="AE45" i="3" s="1"/>
  <c r="AE89" i="1"/>
  <c r="AV89" i="1" s="1"/>
  <c r="AE80" i="1"/>
  <c r="AE78" i="1" s="1"/>
  <c r="AV81" i="1"/>
  <c r="O71" i="14"/>
  <c r="O86" i="14" s="1"/>
  <c r="AG73" i="6"/>
  <c r="N72" i="14"/>
  <c r="N74" i="14" s="1"/>
  <c r="N96" i="14"/>
  <c r="AE41" i="1"/>
  <c r="AE75" i="1" s="1"/>
  <c r="AE32" i="4"/>
  <c r="N23" i="12"/>
  <c r="AF69" i="1"/>
  <c r="AF86" i="2"/>
  <c r="AG71" i="2"/>
  <c r="AH60" i="6"/>
  <c r="AF72" i="2"/>
  <c r="AF96" i="2"/>
  <c r="AD3" i="1"/>
  <c r="F5" i="15" s="1"/>
  <c r="AD4" i="1"/>
  <c r="F6" i="15" s="1"/>
  <c r="Z3" i="1"/>
  <c r="H4" i="12" s="1"/>
  <c r="Z64" i="1"/>
  <c r="Z4" i="1" s="1"/>
  <c r="H5" i="12" s="1"/>
  <c r="AA3" i="1"/>
  <c r="I4" i="12" s="1"/>
  <c r="AA64" i="1"/>
  <c r="AA4" i="1" s="1"/>
  <c r="I5" i="12" s="1"/>
  <c r="AC9" i="1"/>
  <c r="AD9" i="1"/>
  <c r="Z89" i="1" l="1"/>
  <c r="Z3" i="10"/>
  <c r="Z6" i="9" s="1"/>
  <c r="E3" i="12"/>
  <c r="W24" i="10"/>
  <c r="Z24" i="10"/>
  <c r="H3" i="12"/>
  <c r="AC6" i="9"/>
  <c r="AC29" i="10"/>
  <c r="AB6" i="9"/>
  <c r="AB29" i="10"/>
  <c r="AF74" i="2"/>
  <c r="AF83" i="2"/>
  <c r="AF30" i="5" s="1"/>
  <c r="AG30" i="5" s="1"/>
  <c r="AH30" i="5" s="1"/>
  <c r="AI30" i="5" s="1"/>
  <c r="AJ30" i="5" s="1"/>
  <c r="AK30" i="5" s="1"/>
  <c r="AL30" i="5" s="1"/>
  <c r="AM30" i="5" s="1"/>
  <c r="AN30" i="5" s="1"/>
  <c r="AO30" i="5" s="1"/>
  <c r="AP30" i="5" s="1"/>
  <c r="AF84" i="2"/>
  <c r="H8" i="15"/>
  <c r="F27" i="15" s="1"/>
  <c r="E27" i="15"/>
  <c r="AE6" i="9"/>
  <c r="AE29" i="10"/>
  <c r="Q73" i="14"/>
  <c r="Q87" i="14" s="1"/>
  <c r="AJ19" i="6"/>
  <c r="O125" i="14"/>
  <c r="AG125" i="2"/>
  <c r="AJ50" i="2"/>
  <c r="AK70" i="2"/>
  <c r="AJ94" i="2"/>
  <c r="AJ95" i="2" s="1"/>
  <c r="Z133" i="1"/>
  <c r="AA9" i="1"/>
  <c r="Z9" i="1"/>
  <c r="Z135" i="1"/>
  <c r="Z134" i="1"/>
  <c r="Z43" i="3"/>
  <c r="Z45" i="3" s="1"/>
  <c r="AE79" i="2"/>
  <c r="AU78" i="1"/>
  <c r="AS78" i="1"/>
  <c r="Y107" i="2"/>
  <c r="Y110" i="2" s="1"/>
  <c r="Y102" i="2"/>
  <c r="Y101" i="2" s="1"/>
  <c r="AA111" i="2"/>
  <c r="Z109" i="2"/>
  <c r="AB118" i="2"/>
  <c r="AA36" i="5"/>
  <c r="AA116" i="2"/>
  <c r="W89" i="1"/>
  <c r="W80" i="1"/>
  <c r="W78" i="1" s="1"/>
  <c r="X47" i="1"/>
  <c r="W5" i="1"/>
  <c r="W9" i="1"/>
  <c r="W43" i="3"/>
  <c r="W45" i="3" s="1"/>
  <c r="AS80" i="1"/>
  <c r="AT80" i="1"/>
  <c r="W6" i="9"/>
  <c r="W133" i="1"/>
  <c r="W134" i="1"/>
  <c r="W135" i="1"/>
  <c r="X9" i="1"/>
  <c r="M79" i="14"/>
  <c r="W90" i="1"/>
  <c r="AT78" i="1"/>
  <c r="AV78" i="1"/>
  <c r="AI73" i="2"/>
  <c r="AI87" i="2" s="1"/>
  <c r="AG86" i="2"/>
  <c r="AI28" i="6"/>
  <c r="Z136" i="2"/>
  <c r="Y138" i="2"/>
  <c r="H136" i="14"/>
  <c r="G138" i="14"/>
  <c r="AV80" i="1"/>
  <c r="P71" i="14"/>
  <c r="AH73" i="6"/>
  <c r="O96" i="14"/>
  <c r="O72" i="14"/>
  <c r="O74" i="14" s="1"/>
  <c r="AE66" i="1"/>
  <c r="AE37" i="4"/>
  <c r="AE58" i="4" s="1"/>
  <c r="L5" i="12"/>
  <c r="L4" i="12"/>
  <c r="AI60" i="6"/>
  <c r="AJ60" i="6" s="1"/>
  <c r="AH71" i="2"/>
  <c r="AG72" i="2"/>
  <c r="AG96" i="2"/>
  <c r="AK50" i="2" l="1"/>
  <c r="AG74" i="2"/>
  <c r="AG84" i="2"/>
  <c r="AJ71" i="2"/>
  <c r="AJ72" i="2" s="1"/>
  <c r="AK60" i="6"/>
  <c r="AJ73" i="6"/>
  <c r="AJ73" i="2"/>
  <c r="AJ87" i="2" s="1"/>
  <c r="AK19" i="6"/>
  <c r="AJ28" i="6"/>
  <c r="P125" i="14"/>
  <c r="AH125" i="2"/>
  <c r="AK94" i="2"/>
  <c r="AK95" i="2" s="1"/>
  <c r="AL70" i="2"/>
  <c r="AC118" i="2"/>
  <c r="AB36" i="5"/>
  <c r="AB116" i="2"/>
  <c r="AB111" i="2"/>
  <c r="AB109" i="2" s="1"/>
  <c r="AA109" i="2"/>
  <c r="Z107" i="2"/>
  <c r="Z110" i="2" s="1"/>
  <c r="Z102" i="2"/>
  <c r="Z101" i="2" s="1"/>
  <c r="X5" i="1"/>
  <c r="Y47" i="1"/>
  <c r="H138" i="14"/>
  <c r="I136" i="14"/>
  <c r="AA136" i="2"/>
  <c r="Z138" i="2"/>
  <c r="P72" i="14"/>
  <c r="P74" i="14" s="1"/>
  <c r="P96" i="14"/>
  <c r="AI71" i="2"/>
  <c r="AI72" i="2" s="1"/>
  <c r="AI74" i="2" s="1"/>
  <c r="Q71" i="14"/>
  <c r="AI73" i="6"/>
  <c r="P86" i="14"/>
  <c r="AE48" i="1"/>
  <c r="AE65" i="1"/>
  <c r="AH72" i="2"/>
  <c r="AH74" i="2" s="1"/>
  <c r="AH96" i="2"/>
  <c r="AH86" i="2"/>
  <c r="AK71" i="2" l="1"/>
  <c r="AK72" i="2" s="1"/>
  <c r="AL60" i="6"/>
  <c r="AK73" i="6"/>
  <c r="AK73" i="2"/>
  <c r="AK87" i="2" s="1"/>
  <c r="AL19" i="6"/>
  <c r="AK28" i="6"/>
  <c r="AJ96" i="2"/>
  <c r="AJ74" i="2"/>
  <c r="AI125" i="2"/>
  <c r="Q125" i="14"/>
  <c r="AM70" i="2"/>
  <c r="AL94" i="2"/>
  <c r="AL95" i="2" s="1"/>
  <c r="AL50" i="2"/>
  <c r="AA107" i="2"/>
  <c r="AA110" i="2" s="1"/>
  <c r="AA102" i="2"/>
  <c r="AA101" i="2" s="1"/>
  <c r="AB107" i="2"/>
  <c r="AB110" i="2" s="1"/>
  <c r="AB102" i="2"/>
  <c r="AD118" i="2"/>
  <c r="AC36" i="5"/>
  <c r="AC116" i="2"/>
  <c r="AC102" i="2" s="1"/>
  <c r="Y5" i="1"/>
  <c r="Z47" i="1"/>
  <c r="AB136" i="2"/>
  <c r="AA138" i="2"/>
  <c r="J136" i="14"/>
  <c r="I138" i="14"/>
  <c r="AI86" i="2"/>
  <c r="AJ86" i="2" s="1"/>
  <c r="AK86" i="2" s="1"/>
  <c r="AI96" i="2"/>
  <c r="Q72" i="14"/>
  <c r="Q74" i="14" s="1"/>
  <c r="Q96" i="14"/>
  <c r="Q86" i="14"/>
  <c r="AE3" i="1"/>
  <c r="AE64" i="1"/>
  <c r="AE4" i="1" s="1"/>
  <c r="AB44" i="2"/>
  <c r="AC44" i="2"/>
  <c r="AD44" i="2"/>
  <c r="X43" i="2"/>
  <c r="Y43" i="2"/>
  <c r="Z43" i="2"/>
  <c r="AA43" i="2"/>
  <c r="AB43" i="2"/>
  <c r="W43" i="2"/>
  <c r="M21" i="12"/>
  <c r="AE28" i="2"/>
  <c r="AE43" i="2" s="1"/>
  <c r="AC28" i="2"/>
  <c r="AC43" i="2" s="1"/>
  <c r="AD28" i="2"/>
  <c r="AD43" i="2" s="1"/>
  <c r="V165" i="2"/>
  <c r="V160" i="2" s="1"/>
  <c r="W75" i="6"/>
  <c r="X75" i="6"/>
  <c r="Y75" i="6"/>
  <c r="Y163" i="2" s="1"/>
  <c r="Z75" i="6"/>
  <c r="AA75" i="6"/>
  <c r="AA163" i="2" s="1"/>
  <c r="AB75" i="6"/>
  <c r="AC75" i="6"/>
  <c r="AD75" i="6"/>
  <c r="V75" i="6"/>
  <c r="AE142" i="2"/>
  <c r="AE139" i="2" s="1"/>
  <c r="AE143" i="2"/>
  <c r="AE140" i="2" s="1"/>
  <c r="AF142" i="2"/>
  <c r="AF139" i="2" s="1"/>
  <c r="W2" i="4"/>
  <c r="X2" i="4"/>
  <c r="Y2" i="4"/>
  <c r="Z2" i="4"/>
  <c r="AA2" i="4"/>
  <c r="AB2" i="4"/>
  <c r="AC2" i="4"/>
  <c r="K203" i="14" s="1"/>
  <c r="AD2" i="4"/>
  <c r="AD28" i="3" s="1"/>
  <c r="AE2" i="4"/>
  <c r="AE28" i="3" s="1"/>
  <c r="AF2" i="4"/>
  <c r="AF28" i="3" s="1"/>
  <c r="AG2" i="4"/>
  <c r="AG28" i="3" s="1"/>
  <c r="AH2" i="4"/>
  <c r="AH28" i="3" s="1"/>
  <c r="AI2" i="4"/>
  <c r="V2" i="4"/>
  <c r="Z188" i="2"/>
  <c r="AA188" i="2" s="1"/>
  <c r="AB188" i="2" s="1"/>
  <c r="AC188" i="2" s="1"/>
  <c r="AD188" i="2" s="1"/>
  <c r="W188" i="2"/>
  <c r="W192" i="2" s="1"/>
  <c r="V188" i="2"/>
  <c r="V192" i="2" s="1"/>
  <c r="Z5" i="4"/>
  <c r="AA5" i="4"/>
  <c r="AB5" i="4"/>
  <c r="Y5" i="4"/>
  <c r="W42" i="2"/>
  <c r="X42" i="2"/>
  <c r="Y42" i="2"/>
  <c r="Z42" i="2"/>
  <c r="AA42" i="2"/>
  <c r="AB42" i="2"/>
  <c r="AC42" i="2"/>
  <c r="AD42" i="2"/>
  <c r="AH41" i="2"/>
  <c r="AI41" i="2"/>
  <c r="AF42" i="2"/>
  <c r="AG42" i="2"/>
  <c r="AH42" i="2"/>
  <c r="AI42" i="2"/>
  <c r="AE42" i="2"/>
  <c r="W149" i="2"/>
  <c r="W147" i="2" s="1"/>
  <c r="X149" i="2"/>
  <c r="X147" i="2" s="1"/>
  <c r="Y149" i="2"/>
  <c r="Y147" i="2" s="1"/>
  <c r="Z149" i="2"/>
  <c r="Z147" i="2" s="1"/>
  <c r="AA149" i="2"/>
  <c r="AA147" i="2" s="1"/>
  <c r="AB149" i="2"/>
  <c r="AB147" i="2" s="1"/>
  <c r="AC149" i="2"/>
  <c r="AC147" i="2" s="1"/>
  <c r="AD149" i="2"/>
  <c r="AD147" i="2" s="1"/>
  <c r="V149" i="2"/>
  <c r="V147" i="2" s="1"/>
  <c r="V24" i="6"/>
  <c r="W24" i="6"/>
  <c r="X24" i="6"/>
  <c r="Y24" i="6"/>
  <c r="Z24" i="6"/>
  <c r="AA24" i="6"/>
  <c r="AB24" i="6"/>
  <c r="AC24" i="6"/>
  <c r="AD24" i="6"/>
  <c r="L162" i="14" s="1"/>
  <c r="W156" i="2"/>
  <c r="X156" i="2"/>
  <c r="Y156" i="2"/>
  <c r="Z156" i="2"/>
  <c r="AA156" i="2"/>
  <c r="AB156" i="2"/>
  <c r="AC156" i="2"/>
  <c r="AD156" i="2"/>
  <c r="V156" i="2"/>
  <c r="V12" i="2"/>
  <c r="W12" i="2"/>
  <c r="X12" i="2"/>
  <c r="Y12" i="2"/>
  <c r="Z12" i="2"/>
  <c r="AA12" i="2"/>
  <c r="AB12" i="2"/>
  <c r="AC12" i="2"/>
  <c r="AD12" i="2"/>
  <c r="AE41" i="2" s="1"/>
  <c r="AB152" i="2"/>
  <c r="AA152" i="2"/>
  <c r="Z152" i="2"/>
  <c r="Y152" i="2"/>
  <c r="X152" i="2"/>
  <c r="W152" i="2"/>
  <c r="V152" i="2"/>
  <c r="AC152" i="2"/>
  <c r="AD152" i="2"/>
  <c r="W146" i="2"/>
  <c r="X146" i="2"/>
  <c r="Y146" i="2"/>
  <c r="Z146" i="2"/>
  <c r="AA146" i="2"/>
  <c r="AB146" i="2"/>
  <c r="AC146" i="2"/>
  <c r="AD146" i="2"/>
  <c r="AE146" i="2"/>
  <c r="V146" i="2"/>
  <c r="V153" i="2" s="1"/>
  <c r="W186" i="2"/>
  <c r="W190" i="2" s="1"/>
  <c r="X186" i="2"/>
  <c r="X190" i="2" s="1"/>
  <c r="Y186" i="2"/>
  <c r="Y190" i="2" s="1"/>
  <c r="Z186" i="2"/>
  <c r="Z190" i="2" s="1"/>
  <c r="AA186" i="2"/>
  <c r="AA190" i="2" s="1"/>
  <c r="AB186" i="2"/>
  <c r="AB190" i="2" s="1"/>
  <c r="AC186" i="2"/>
  <c r="AC190" i="2" s="1"/>
  <c r="AD186" i="2"/>
  <c r="AD190" i="2" s="1"/>
  <c r="V186" i="2"/>
  <c r="V190" i="2" s="1"/>
  <c r="V17" i="6"/>
  <c r="V26" i="6" s="1"/>
  <c r="W17" i="6"/>
  <c r="W26" i="6" s="1"/>
  <c r="X17" i="6"/>
  <c r="X26" i="6" s="1"/>
  <c r="Y17" i="6"/>
  <c r="Y26" i="6" s="1"/>
  <c r="Z17" i="6"/>
  <c r="Z26" i="6" s="1"/>
  <c r="AA17" i="6"/>
  <c r="AA26" i="6" s="1"/>
  <c r="AB17" i="6"/>
  <c r="AB26" i="6" s="1"/>
  <c r="AC17" i="6"/>
  <c r="AC26" i="6" s="1"/>
  <c r="AD17" i="6"/>
  <c r="AD26" i="6" s="1"/>
  <c r="AC187" i="2"/>
  <c r="AD187" i="2" s="1"/>
  <c r="AE187" i="2" s="1"/>
  <c r="AF187" i="2" s="1"/>
  <c r="AG187" i="2" s="1"/>
  <c r="AH187" i="2" s="1"/>
  <c r="AI187" i="2" s="1"/>
  <c r="AJ187" i="2" s="1"/>
  <c r="AK187" i="2" s="1"/>
  <c r="AL187" i="2" s="1"/>
  <c r="AM187" i="2" s="1"/>
  <c r="AN187" i="2" s="1"/>
  <c r="AO187" i="2" s="1"/>
  <c r="AP187" i="2" s="1"/>
  <c r="AA187" i="2"/>
  <c r="W187" i="2"/>
  <c r="V187" i="2"/>
  <c r="V191" i="2" s="1"/>
  <c r="W196" i="2"/>
  <c r="X196" i="2"/>
  <c r="Y196" i="2"/>
  <c r="Z196" i="2"/>
  <c r="AA196" i="2"/>
  <c r="AB196" i="2"/>
  <c r="AC196" i="2"/>
  <c r="AD196" i="2"/>
  <c r="V196" i="2"/>
  <c r="W194" i="2"/>
  <c r="X194" i="2"/>
  <c r="Y194" i="2"/>
  <c r="Y195" i="2" s="1"/>
  <c r="Z194" i="2"/>
  <c r="AA194" i="2"/>
  <c r="AB194" i="2"/>
  <c r="AC194" i="2"/>
  <c r="AD194" i="2"/>
  <c r="V194" i="2"/>
  <c r="V195" i="2" s="1"/>
  <c r="AF194" i="2"/>
  <c r="AD3" i="4"/>
  <c r="E19" i="15" s="1"/>
  <c r="AE3" i="4"/>
  <c r="AC3" i="4"/>
  <c r="V65" i="2"/>
  <c r="V25" i="5" s="1"/>
  <c r="W65" i="2"/>
  <c r="W25" i="5" s="1"/>
  <c r="X65" i="2"/>
  <c r="X25" i="5" s="1"/>
  <c r="Y65" i="2"/>
  <c r="Y25" i="5" s="1"/>
  <c r="Z65" i="2"/>
  <c r="Z25" i="5" s="1"/>
  <c r="AA65" i="2"/>
  <c r="AA25" i="5" s="1"/>
  <c r="AB65" i="2"/>
  <c r="AB25" i="5" s="1"/>
  <c r="AC65" i="2"/>
  <c r="AC25" i="5" s="1"/>
  <c r="AD65" i="2"/>
  <c r="AD25" i="5" s="1"/>
  <c r="V5" i="2"/>
  <c r="D16" i="12" s="1"/>
  <c r="W5" i="2"/>
  <c r="X5" i="2"/>
  <c r="F16" i="12" s="1"/>
  <c r="Y5" i="2"/>
  <c r="G16" i="12" s="1"/>
  <c r="Z5" i="2"/>
  <c r="H16" i="12" s="1"/>
  <c r="AA5" i="2"/>
  <c r="AB5" i="2"/>
  <c r="AC5" i="2"/>
  <c r="AD5" i="2"/>
  <c r="AB36" i="2"/>
  <c r="AC36" i="2"/>
  <c r="N17" i="12"/>
  <c r="AB35" i="2"/>
  <c r="AC35" i="2"/>
  <c r="AD35" i="2"/>
  <c r="AE35" i="2"/>
  <c r="AG35" i="2"/>
  <c r="AH35" i="2"/>
  <c r="AI35" i="2"/>
  <c r="AF211" i="2" l="1"/>
  <c r="AF208" i="2"/>
  <c r="W4" i="2"/>
  <c r="E13" i="12" s="1"/>
  <c r="E16" i="12"/>
  <c r="AD231" i="2"/>
  <c r="AD230" i="2" s="1"/>
  <c r="E10" i="15"/>
  <c r="AC231" i="2"/>
  <c r="AC230" i="2" s="1"/>
  <c r="C10" i="15"/>
  <c r="H6" i="15"/>
  <c r="AE13" i="4"/>
  <c r="G19" i="15"/>
  <c r="AM50" i="2"/>
  <c r="H5" i="15"/>
  <c r="AL73" i="2"/>
  <c r="AL87" i="2" s="1"/>
  <c r="AM19" i="6"/>
  <c r="AL28" i="6"/>
  <c r="AL71" i="2"/>
  <c r="AL72" i="2" s="1"/>
  <c r="AL74" i="2" s="1"/>
  <c r="AM60" i="6"/>
  <c r="AL73" i="6"/>
  <c r="AK74" i="2"/>
  <c r="AK96" i="2"/>
  <c r="AJ125" i="2"/>
  <c r="AD5" i="4"/>
  <c r="AA41" i="2"/>
  <c r="AG142" i="2"/>
  <c r="AG139" i="2" s="1"/>
  <c r="AC41" i="2"/>
  <c r="W41" i="2"/>
  <c r="Z41" i="2"/>
  <c r="AB101" i="2"/>
  <c r="AB36" i="6"/>
  <c r="AB34" i="6" s="1"/>
  <c r="AB33" i="6" s="1"/>
  <c r="AB35" i="6" s="1"/>
  <c r="AD41" i="2"/>
  <c r="X41" i="2"/>
  <c r="AN70" i="2"/>
  <c r="AM94" i="2"/>
  <c r="AM95" i="2" s="1"/>
  <c r="Y41" i="2"/>
  <c r="AB41" i="2"/>
  <c r="W224" i="2"/>
  <c r="W222" i="2"/>
  <c r="W223" i="2"/>
  <c r="V158" i="2"/>
  <c r="V7" i="6" s="1"/>
  <c r="V16" i="6"/>
  <c r="AF143" i="2"/>
  <c r="AG143" i="2" s="1"/>
  <c r="AE118" i="2"/>
  <c r="AD36" i="5"/>
  <c r="AD116" i="2"/>
  <c r="AD102" i="2" s="1"/>
  <c r="AD101" i="2" s="1"/>
  <c r="V4" i="2"/>
  <c r="X187" i="2"/>
  <c r="X191" i="2" s="1"/>
  <c r="Y191" i="2" s="1"/>
  <c r="Z191" i="2" s="1"/>
  <c r="AA191" i="2" s="1"/>
  <c r="AB191" i="2" s="1"/>
  <c r="AC191" i="2" s="1"/>
  <c r="AD191" i="2" s="1"/>
  <c r="W191" i="2"/>
  <c r="X188" i="2"/>
  <c r="AC4" i="3"/>
  <c r="AD4" i="3" s="1"/>
  <c r="AE4" i="3" s="1"/>
  <c r="AC54" i="2"/>
  <c r="AD54" i="2" s="1"/>
  <c r="AE54" i="2" s="1"/>
  <c r="AF54" i="2" s="1"/>
  <c r="AC216" i="2"/>
  <c r="K16" i="12"/>
  <c r="AC34" i="2"/>
  <c r="Z216" i="2"/>
  <c r="W216" i="2"/>
  <c r="W221" i="2"/>
  <c r="AB4" i="2"/>
  <c r="AB221" i="2" s="1"/>
  <c r="AB216" i="2"/>
  <c r="J16" i="12"/>
  <c r="AB34" i="2"/>
  <c r="AA4" i="2"/>
  <c r="AA221" i="2" s="1"/>
  <c r="AA216" i="2"/>
  <c r="I16" i="12"/>
  <c r="AC4" i="2"/>
  <c r="C9" i="15" s="1"/>
  <c r="Z4" i="2"/>
  <c r="Y216" i="2"/>
  <c r="Y4" i="2"/>
  <c r="AD4" i="2"/>
  <c r="E9" i="15" s="1"/>
  <c r="AD216" i="2"/>
  <c r="AE216" i="2"/>
  <c r="L16" i="12"/>
  <c r="AE34" i="2"/>
  <c r="AD34" i="2"/>
  <c r="X216" i="2"/>
  <c r="X4" i="2"/>
  <c r="F13" i="12" s="1"/>
  <c r="F15" i="12" s="1"/>
  <c r="AC101" i="2"/>
  <c r="AC76" i="2"/>
  <c r="I141" i="14"/>
  <c r="I203" i="14"/>
  <c r="AC13" i="4"/>
  <c r="K24" i="12"/>
  <c r="AC96" i="1"/>
  <c r="H203" i="14"/>
  <c r="H141" i="14"/>
  <c r="AE5" i="4"/>
  <c r="AC5" i="4"/>
  <c r="G141" i="14"/>
  <c r="G203" i="14"/>
  <c r="Y11" i="7"/>
  <c r="J141" i="14"/>
  <c r="J203" i="14"/>
  <c r="AD13" i="4"/>
  <c r="L24" i="12"/>
  <c r="AD96" i="1"/>
  <c r="AE119" i="1" s="1"/>
  <c r="D141" i="14"/>
  <c r="D203" i="14"/>
  <c r="F141" i="14"/>
  <c r="F203" i="14"/>
  <c r="X11" i="7"/>
  <c r="X32" i="7" s="1"/>
  <c r="AI28" i="3"/>
  <c r="AJ11" i="7"/>
  <c r="E141" i="14"/>
  <c r="E203" i="14"/>
  <c r="W11" i="7"/>
  <c r="Z5" i="1"/>
  <c r="AA47" i="1"/>
  <c r="X162" i="2"/>
  <c r="F162" i="14"/>
  <c r="AB163" i="2"/>
  <c r="J163" i="14"/>
  <c r="AB87" i="6"/>
  <c r="AB85" i="6" s="1"/>
  <c r="Z36" i="6"/>
  <c r="Z34" i="6" s="1"/>
  <c r="Z33" i="6" s="1"/>
  <c r="Z35" i="6" s="1"/>
  <c r="AB162" i="2"/>
  <c r="J162" i="14"/>
  <c r="V162" i="2"/>
  <c r="D162" i="14"/>
  <c r="Z163" i="2"/>
  <c r="H163" i="14"/>
  <c r="Z87" i="6"/>
  <c r="Z85" i="6" s="1"/>
  <c r="AA162" i="2"/>
  <c r="I162" i="14"/>
  <c r="V163" i="2"/>
  <c r="D163" i="14"/>
  <c r="G163" i="14"/>
  <c r="Y87" i="6"/>
  <c r="Y85" i="6" s="1"/>
  <c r="AC162" i="2"/>
  <c r="K162" i="14"/>
  <c r="W162" i="2"/>
  <c r="E162" i="14"/>
  <c r="I163" i="14"/>
  <c r="AA87" i="6"/>
  <c r="AA85" i="6" s="1"/>
  <c r="Z162" i="2"/>
  <c r="H162" i="14"/>
  <c r="AD163" i="2"/>
  <c r="L163" i="14"/>
  <c r="AD87" i="6"/>
  <c r="AD85" i="6" s="1"/>
  <c r="X163" i="2"/>
  <c r="F163" i="14"/>
  <c r="X87" i="6"/>
  <c r="X85" i="6" s="1"/>
  <c r="W64" i="6" s="1"/>
  <c r="AC36" i="6"/>
  <c r="AC34" i="6" s="1"/>
  <c r="AC33" i="6" s="1"/>
  <c r="AC35" i="6" s="1"/>
  <c r="W36" i="6"/>
  <c r="W34" i="6" s="1"/>
  <c r="W33" i="6" s="1"/>
  <c r="W35" i="6" s="1"/>
  <c r="Y162" i="2"/>
  <c r="G162" i="14"/>
  <c r="AC163" i="2"/>
  <c r="K163" i="14"/>
  <c r="AC87" i="6"/>
  <c r="AC85" i="6" s="1"/>
  <c r="W163" i="2"/>
  <c r="E163" i="14"/>
  <c r="W87" i="6"/>
  <c r="N146" i="14"/>
  <c r="N168" i="14"/>
  <c r="N169" i="14" s="1"/>
  <c r="N170" i="14" s="1"/>
  <c r="N167" i="14" s="1"/>
  <c r="AF168" i="2"/>
  <c r="AF146" i="2"/>
  <c r="AF161" i="2" s="1"/>
  <c r="AF43" i="5" s="1"/>
  <c r="AH21" i="2"/>
  <c r="AI21" i="2" s="1"/>
  <c r="AJ21" i="2" s="1"/>
  <c r="AM21" i="2" s="1"/>
  <c r="AN21" i="2" s="1"/>
  <c r="AO21" i="2" s="1"/>
  <c r="AP21" i="2" s="1"/>
  <c r="K136" i="14"/>
  <c r="J137" i="14"/>
  <c r="AB137" i="2"/>
  <c r="AC136" i="2"/>
  <c r="AA36" i="6"/>
  <c r="AA34" i="6" s="1"/>
  <c r="AA33" i="6" s="1"/>
  <c r="AA35" i="6" s="1"/>
  <c r="AD36" i="6"/>
  <c r="AD34" i="6" s="1"/>
  <c r="AD33" i="6" s="1"/>
  <c r="AD35" i="6" s="1"/>
  <c r="X36" i="6"/>
  <c r="X34" i="6" s="1"/>
  <c r="X33" i="6" s="1"/>
  <c r="X35" i="6" s="1"/>
  <c r="Y36" i="6"/>
  <c r="Y34" i="6" s="1"/>
  <c r="Y33" i="6" s="1"/>
  <c r="Y35" i="6" s="1"/>
  <c r="AG194" i="2"/>
  <c r="L203" i="14"/>
  <c r="N194" i="14"/>
  <c r="N162" i="14"/>
  <c r="M162" i="14"/>
  <c r="AI11" i="7"/>
  <c r="AH11" i="7"/>
  <c r="AG11" i="7"/>
  <c r="M5" i="12"/>
  <c r="M4" i="12"/>
  <c r="AE44" i="2"/>
  <c r="M24" i="12"/>
  <c r="AE96" i="1"/>
  <c r="AB66" i="2"/>
  <c r="AB27" i="5" s="1"/>
  <c r="V66" i="2"/>
  <c r="V27" i="5" s="1"/>
  <c r="AA66" i="2"/>
  <c r="AA27" i="5" s="1"/>
  <c r="Y161" i="2"/>
  <c r="Y43" i="5" s="1"/>
  <c r="W66" i="2"/>
  <c r="W27" i="5" s="1"/>
  <c r="AC66" i="2"/>
  <c r="AC27" i="5" s="1"/>
  <c r="AD162" i="2"/>
  <c r="Z66" i="2"/>
  <c r="Z27" i="5" s="1"/>
  <c r="AA161" i="2"/>
  <c r="AA43" i="5" s="1"/>
  <c r="Z161" i="2"/>
  <c r="Z43" i="5" s="1"/>
  <c r="AD66" i="2"/>
  <c r="AD27" i="5" s="1"/>
  <c r="AE17" i="6"/>
  <c r="AE26" i="6" s="1"/>
  <c r="AG26" i="6" s="1"/>
  <c r="AH26" i="6" s="1"/>
  <c r="AI26" i="6" s="1"/>
  <c r="AJ26" i="6" s="1"/>
  <c r="Y197" i="2"/>
  <c r="Y201" i="2"/>
  <c r="Y48" i="5" s="1"/>
  <c r="V197" i="2"/>
  <c r="V201" i="2"/>
  <c r="V48" i="5" s="1"/>
  <c r="AD213" i="2"/>
  <c r="AD208" i="2"/>
  <c r="AD211" i="2"/>
  <c r="X213" i="2"/>
  <c r="X211" i="2"/>
  <c r="X208" i="2"/>
  <c r="AC28" i="3"/>
  <c r="AC203" i="2"/>
  <c r="W28" i="3"/>
  <c r="W203" i="2"/>
  <c r="W141" i="2"/>
  <c r="V161" i="2"/>
  <c r="V43" i="5" s="1"/>
  <c r="AD161" i="2"/>
  <c r="AD43" i="5" s="1"/>
  <c r="X161" i="2"/>
  <c r="X43" i="5" s="1"/>
  <c r="AG19" i="2"/>
  <c r="AC213" i="2"/>
  <c r="AC211" i="2"/>
  <c r="AC208" i="2"/>
  <c r="W211" i="2"/>
  <c r="W208" i="2"/>
  <c r="W213" i="2"/>
  <c r="AD195" i="2"/>
  <c r="X195" i="2"/>
  <c r="AB28" i="3"/>
  <c r="AB203" i="2"/>
  <c r="AB141" i="2"/>
  <c r="AC161" i="2"/>
  <c r="AC43" i="5" s="1"/>
  <c r="W161" i="2"/>
  <c r="W43" i="5" s="1"/>
  <c r="AE162" i="2"/>
  <c r="AB208" i="2"/>
  <c r="AB213" i="2"/>
  <c r="AB211" i="2"/>
  <c r="AC195" i="2"/>
  <c r="W195" i="2"/>
  <c r="W154" i="2"/>
  <c r="AA28" i="3"/>
  <c r="AA203" i="2"/>
  <c r="AA141" i="2"/>
  <c r="AB161" i="2"/>
  <c r="AB43" i="5" s="1"/>
  <c r="AA211" i="2"/>
  <c r="AA208" i="2"/>
  <c r="AA213" i="2"/>
  <c r="AB195" i="2"/>
  <c r="Z28" i="3"/>
  <c r="Z203" i="2"/>
  <c r="Z141" i="2"/>
  <c r="AF213" i="2"/>
  <c r="Z213" i="2"/>
  <c r="Z211" i="2"/>
  <c r="Z208" i="2"/>
  <c r="AA195" i="2"/>
  <c r="Y28" i="3"/>
  <c r="Y203" i="2"/>
  <c r="Y141" i="2"/>
  <c r="Y213" i="2"/>
  <c r="Y211" i="2"/>
  <c r="Y208" i="2"/>
  <c r="AF195" i="2"/>
  <c r="AF201" i="2" s="1"/>
  <c r="AF48" i="5" s="1"/>
  <c r="AG48" i="5" s="1"/>
  <c r="AH48" i="5" s="1"/>
  <c r="AI48" i="5" s="1"/>
  <c r="AJ48" i="5" s="1"/>
  <c r="AK48" i="5" s="1"/>
  <c r="AL48" i="5" s="1"/>
  <c r="AM48" i="5" s="1"/>
  <c r="AN48" i="5" s="1"/>
  <c r="AO48" i="5" s="1"/>
  <c r="AP48" i="5" s="1"/>
  <c r="Z195" i="2"/>
  <c r="V28" i="3"/>
  <c r="V203" i="2"/>
  <c r="V141" i="2"/>
  <c r="AD203" i="2"/>
  <c r="X28" i="3"/>
  <c r="X203" i="2"/>
  <c r="X141" i="2"/>
  <c r="AE188" i="2"/>
  <c r="AF188" i="2" s="1"/>
  <c r="AG188" i="2" s="1"/>
  <c r="AH188" i="2" s="1"/>
  <c r="AI188" i="2" s="1"/>
  <c r="AJ188" i="2" s="1"/>
  <c r="AK188" i="2" s="1"/>
  <c r="AL188" i="2" s="1"/>
  <c r="AM188" i="2" s="1"/>
  <c r="AN188" i="2" s="1"/>
  <c r="AO188" i="2" s="1"/>
  <c r="AP188" i="2" s="1"/>
  <c r="AF5" i="2"/>
  <c r="Y221" i="2" l="1"/>
  <c r="G13" i="12"/>
  <c r="G15" i="12" s="1"/>
  <c r="AC221" i="2"/>
  <c r="AC234" i="2" s="1"/>
  <c r="Z221" i="2"/>
  <c r="H13" i="12"/>
  <c r="H15" i="12" s="1"/>
  <c r="AH142" i="2"/>
  <c r="V221" i="2"/>
  <c r="D13" i="12"/>
  <c r="D15" i="12" s="1"/>
  <c r="AF231" i="2"/>
  <c r="AF230" i="2" s="1"/>
  <c r="AF34" i="2"/>
  <c r="W61" i="2"/>
  <c r="AG195" i="2"/>
  <c r="AG208" i="2"/>
  <c r="AG211" i="2"/>
  <c r="I10" i="15"/>
  <c r="O17" i="12"/>
  <c r="L10" i="15"/>
  <c r="E164" i="14"/>
  <c r="E158" i="14" s="1"/>
  <c r="AL96" i="2"/>
  <c r="AM73" i="2"/>
  <c r="AM87" i="2" s="1"/>
  <c r="AN19" i="6"/>
  <c r="AM28" i="6"/>
  <c r="AM71" i="2"/>
  <c r="AM72" i="2" s="1"/>
  <c r="AN60" i="6"/>
  <c r="AM73" i="6"/>
  <c r="AL86" i="2"/>
  <c r="AG213" i="2"/>
  <c r="P194" i="14"/>
  <c r="AG39" i="11"/>
  <c r="AG41" i="11" s="1"/>
  <c r="O194" i="14"/>
  <c r="O208" i="14" s="1"/>
  <c r="AK125" i="2"/>
  <c r="W164" i="2"/>
  <c r="X164" i="2" s="1"/>
  <c r="Y164" i="2" s="1"/>
  <c r="Z164" i="2" s="1"/>
  <c r="AA164" i="2" s="1"/>
  <c r="AB164" i="2" s="1"/>
  <c r="AC164" i="2" s="1"/>
  <c r="AD164" i="2" s="1"/>
  <c r="AE164" i="2" s="1"/>
  <c r="AO70" i="2"/>
  <c r="AN94" i="2"/>
  <c r="AN95" i="2" s="1"/>
  <c r="W153" i="2"/>
  <c r="W16" i="6" s="1"/>
  <c r="W62" i="2"/>
  <c r="X62" i="2" s="1"/>
  <c r="Y62" i="2" s="1"/>
  <c r="Z62" i="2" s="1"/>
  <c r="AA62" i="2" s="1"/>
  <c r="AD76" i="2"/>
  <c r="AN50" i="2"/>
  <c r="AH7" i="2"/>
  <c r="AI7" i="2" s="1"/>
  <c r="AJ7" i="2" s="1"/>
  <c r="AD223" i="2"/>
  <c r="AD236" i="2" s="1"/>
  <c r="AD224" i="2"/>
  <c r="AD222" i="2"/>
  <c r="AD235" i="2" s="1"/>
  <c r="AD2" i="2"/>
  <c r="AE2" i="2"/>
  <c r="L13" i="12"/>
  <c r="AD33" i="2"/>
  <c r="AE33" i="2"/>
  <c r="AD63" i="2"/>
  <c r="V11" i="6"/>
  <c r="V25" i="6"/>
  <c r="AB224" i="2"/>
  <c r="AB222" i="2"/>
  <c r="AB223" i="2"/>
  <c r="AB2" i="2"/>
  <c r="J13" i="12"/>
  <c r="AB33" i="2"/>
  <c r="AB61" i="2"/>
  <c r="AF118" i="2"/>
  <c r="AE36" i="5"/>
  <c r="AE116" i="2"/>
  <c r="AE102" i="2" s="1"/>
  <c r="AE101" i="2" s="1"/>
  <c r="W2" i="2"/>
  <c r="AD201" i="2"/>
  <c r="AD48" i="5" s="1"/>
  <c r="AD197" i="2"/>
  <c r="X223" i="2"/>
  <c r="X224" i="2"/>
  <c r="X222" i="2"/>
  <c r="X2" i="2"/>
  <c r="X61" i="2"/>
  <c r="AA222" i="2"/>
  <c r="AA223" i="2"/>
  <c r="AA224" i="2"/>
  <c r="AA2" i="2"/>
  <c r="I13" i="12"/>
  <c r="I15" i="12" s="1"/>
  <c r="AA61" i="2"/>
  <c r="AF140" i="2"/>
  <c r="Y223" i="2"/>
  <c r="Y222" i="2"/>
  <c r="Y224" i="2"/>
  <c r="Y2" i="2"/>
  <c r="Y61" i="2"/>
  <c r="X192" i="2"/>
  <c r="Y192" i="2" s="1"/>
  <c r="Z192" i="2" s="1"/>
  <c r="AA192" i="2" s="1"/>
  <c r="AB192" i="2" s="1"/>
  <c r="AC192" i="2" s="1"/>
  <c r="AD192" i="2" s="1"/>
  <c r="Y188" i="2"/>
  <c r="Y66" i="2" s="1"/>
  <c r="Y27" i="5" s="1"/>
  <c r="Z223" i="2"/>
  <c r="Z224" i="2"/>
  <c r="Z222" i="2"/>
  <c r="Z2" i="2"/>
  <c r="Z61" i="2"/>
  <c r="AH139" i="2"/>
  <c r="AI142" i="2"/>
  <c r="AC197" i="2"/>
  <c r="AC201" i="2"/>
  <c r="AC48" i="5" s="1"/>
  <c r="X66" i="2"/>
  <c r="X27" i="5" s="1"/>
  <c r="X221" i="2"/>
  <c r="AD221" i="2"/>
  <c r="AD234" i="2" s="1"/>
  <c r="AC224" i="2"/>
  <c r="AC222" i="2"/>
  <c r="AC235" i="2" s="1"/>
  <c r="AC223" i="2"/>
  <c r="AC236" i="2" s="1"/>
  <c r="AC2" i="2"/>
  <c r="K13" i="12"/>
  <c r="AC33" i="2"/>
  <c r="AC61" i="2"/>
  <c r="V223" i="2"/>
  <c r="V224" i="2"/>
  <c r="V222" i="2"/>
  <c r="AK26" i="6"/>
  <c r="Y32" i="7"/>
  <c r="X31" i="7"/>
  <c r="AD119" i="1"/>
  <c r="AC97" i="1"/>
  <c r="AD97" i="1"/>
  <c r="AA5" i="1"/>
  <c r="AB47" i="1"/>
  <c r="AB5" i="1" s="1"/>
  <c r="X64" i="6"/>
  <c r="Y64" i="6" s="1"/>
  <c r="Z64" i="6" s="1"/>
  <c r="AA64" i="6" s="1"/>
  <c r="AB64" i="6" s="1"/>
  <c r="AC64" i="6" s="1"/>
  <c r="E62" i="14"/>
  <c r="F62" i="14" s="1"/>
  <c r="G62" i="14" s="1"/>
  <c r="H62" i="14" s="1"/>
  <c r="I62" i="14" s="1"/>
  <c r="J62" i="14" s="1"/>
  <c r="K62" i="14" s="1"/>
  <c r="L62" i="14" s="1"/>
  <c r="W20" i="6"/>
  <c r="W85" i="6"/>
  <c r="W77" i="6"/>
  <c r="X77" i="6" s="1"/>
  <c r="Y77" i="6" s="1"/>
  <c r="Z77" i="6" s="1"/>
  <c r="AA77" i="6" s="1"/>
  <c r="AB77" i="6" s="1"/>
  <c r="AC77" i="6" s="1"/>
  <c r="AD77" i="6" s="1"/>
  <c r="AF169" i="2"/>
  <c r="AF170" i="2" s="1"/>
  <c r="AF167" i="2" s="1"/>
  <c r="O168" i="14"/>
  <c r="O169" i="14" s="1"/>
  <c r="O170" i="14" s="1"/>
  <c r="O167" i="14" s="1"/>
  <c r="O146" i="14"/>
  <c r="AG168" i="2"/>
  <c r="AG146" i="2"/>
  <c r="N161" i="14"/>
  <c r="N153" i="14"/>
  <c r="N152" i="14" s="1"/>
  <c r="AC137" i="2"/>
  <c r="AC78" i="2" s="1"/>
  <c r="AD136" i="2"/>
  <c r="K137" i="14"/>
  <c r="K78" i="14" s="1"/>
  <c r="L136" i="14"/>
  <c r="AG24" i="6"/>
  <c r="O162" i="14" s="1"/>
  <c r="AF162" i="2"/>
  <c r="N208" i="14"/>
  <c r="N211" i="14"/>
  <c r="N213" i="14"/>
  <c r="N195" i="14"/>
  <c r="AF41" i="11"/>
  <c r="AE186" i="2"/>
  <c r="M186" i="14"/>
  <c r="M156" i="14"/>
  <c r="AE36" i="6"/>
  <c r="AE34" i="6" s="1"/>
  <c r="AE33" i="6" s="1"/>
  <c r="AE22" i="10"/>
  <c r="AE9" i="8" s="1"/>
  <c r="N16" i="12"/>
  <c r="AE147" i="2"/>
  <c r="AE161" i="2"/>
  <c r="AE43" i="5" s="1"/>
  <c r="W197" i="2"/>
  <c r="W201" i="2"/>
  <c r="W48" i="5" s="1"/>
  <c r="X197" i="2"/>
  <c r="X201" i="2"/>
  <c r="X48" i="5" s="1"/>
  <c r="AH19" i="2"/>
  <c r="Z197" i="2"/>
  <c r="Z201" i="2"/>
  <c r="Z48" i="5" s="1"/>
  <c r="AA197" i="2"/>
  <c r="AA201" i="2"/>
  <c r="AA48" i="5" s="1"/>
  <c r="W165" i="2"/>
  <c r="W160" i="2" s="1"/>
  <c r="X154" i="2"/>
  <c r="AB197" i="2"/>
  <c r="AB201" i="2"/>
  <c r="AB48" i="5" s="1"/>
  <c r="AM74" i="2" l="1"/>
  <c r="E15" i="12"/>
  <c r="AG40" i="11"/>
  <c r="F164" i="14"/>
  <c r="AG118" i="2"/>
  <c r="AH118" i="2" s="1"/>
  <c r="AI118" i="2" s="1"/>
  <c r="AJ118" i="2" s="1"/>
  <c r="AK118" i="2" s="1"/>
  <c r="AL118" i="2" s="1"/>
  <c r="AM118" i="2" s="1"/>
  <c r="AN118" i="2" s="1"/>
  <c r="AO118" i="2" s="1"/>
  <c r="AP118" i="2" s="1"/>
  <c r="AF36" i="5"/>
  <c r="AG36" i="5" s="1"/>
  <c r="AH36" i="5" s="1"/>
  <c r="AI36" i="5" s="1"/>
  <c r="AJ36" i="5" s="1"/>
  <c r="AK36" i="5" s="1"/>
  <c r="AL36" i="5" s="1"/>
  <c r="AM36" i="5" s="1"/>
  <c r="AN36" i="5" s="1"/>
  <c r="AO36" i="5" s="1"/>
  <c r="AP36" i="5" s="1"/>
  <c r="N26" i="14"/>
  <c r="AK7" i="2"/>
  <c r="AL7" i="2" s="1"/>
  <c r="AM7" i="2" s="1"/>
  <c r="AN7" i="2" s="1"/>
  <c r="AO7" i="2" s="1"/>
  <c r="AP7" i="2" s="1"/>
  <c r="AO50" i="2"/>
  <c r="AH194" i="2"/>
  <c r="AH211" i="2" s="1"/>
  <c r="K10" i="15"/>
  <c r="P17" i="12"/>
  <c r="N10" i="15"/>
  <c r="AO60" i="6"/>
  <c r="AN71" i="2"/>
  <c r="AN72" i="2" s="1"/>
  <c r="AN73" i="6"/>
  <c r="AM96" i="2"/>
  <c r="AM86" i="2"/>
  <c r="AO19" i="6"/>
  <c r="AN73" i="2"/>
  <c r="AN87" i="2" s="1"/>
  <c r="AN28" i="6"/>
  <c r="AH39" i="11"/>
  <c r="AH41" i="11" s="1"/>
  <c r="O211" i="14"/>
  <c r="O213" i="14"/>
  <c r="O195" i="14"/>
  <c r="O182" i="14" s="1"/>
  <c r="O197" i="14" s="1"/>
  <c r="AL125" i="2"/>
  <c r="AJ194" i="2"/>
  <c r="AJ39" i="11"/>
  <c r="AJ40" i="11" s="1"/>
  <c r="AB62" i="2"/>
  <c r="AC62" i="2" s="1"/>
  <c r="AD62" i="2" s="1"/>
  <c r="W158" i="2"/>
  <c r="W7" i="6" s="1"/>
  <c r="W29" i="6" s="1"/>
  <c r="AP70" i="2"/>
  <c r="AO94" i="2"/>
  <c r="AO95" i="2" s="1"/>
  <c r="AI139" i="2"/>
  <c r="AJ142" i="2"/>
  <c r="AE76" i="2"/>
  <c r="K15" i="12"/>
  <c r="AG140" i="2"/>
  <c r="AH143" i="2"/>
  <c r="J15" i="12"/>
  <c r="L15" i="12"/>
  <c r="M15" i="12"/>
  <c r="AL26" i="6"/>
  <c r="Y15" i="7"/>
  <c r="G28" i="12" s="1"/>
  <c r="Y16" i="7"/>
  <c r="Z32" i="7"/>
  <c r="Y31" i="7"/>
  <c r="G164" i="14"/>
  <c r="F158" i="14"/>
  <c r="AE203" i="2"/>
  <c r="AE66" i="2"/>
  <c r="AE27" i="5" s="1"/>
  <c r="O161" i="14"/>
  <c r="O153" i="14"/>
  <c r="O152" i="14" s="1"/>
  <c r="P168" i="14"/>
  <c r="P146" i="14"/>
  <c r="AH168" i="2"/>
  <c r="AH146" i="2"/>
  <c r="AG169" i="2"/>
  <c r="AG170" i="2" s="1"/>
  <c r="AF172" i="2"/>
  <c r="AF173" i="2" s="1"/>
  <c r="L137" i="14"/>
  <c r="L78" i="14" s="1"/>
  <c r="M136" i="14"/>
  <c r="M137" i="14" s="1"/>
  <c r="M78" i="14" s="1"/>
  <c r="AD137" i="2"/>
  <c r="AD78" i="2" s="1"/>
  <c r="AE136" i="2"/>
  <c r="AE137" i="2" s="1"/>
  <c r="AE78" i="2" s="1"/>
  <c r="M163" i="14"/>
  <c r="M62" i="14" s="1"/>
  <c r="AE87" i="6"/>
  <c r="AE77" i="6" s="1"/>
  <c r="AG162" i="2"/>
  <c r="AH24" i="6"/>
  <c r="P162" i="14" s="1"/>
  <c r="Q194" i="14"/>
  <c r="AI39" i="11"/>
  <c r="AI194" i="2"/>
  <c r="N182" i="14"/>
  <c r="N197" i="14" s="1"/>
  <c r="AH208" i="2"/>
  <c r="AH213" i="2"/>
  <c r="AH195" i="2"/>
  <c r="P211" i="14"/>
  <c r="P213" i="14"/>
  <c r="P195" i="14"/>
  <c r="P208" i="14"/>
  <c r="AF186" i="2"/>
  <c r="AF190" i="2" s="1"/>
  <c r="N186" i="14"/>
  <c r="AE190" i="2"/>
  <c r="AE191" i="2" s="1"/>
  <c r="M203" i="14"/>
  <c r="M28" i="12"/>
  <c r="AE8" i="1"/>
  <c r="AG34" i="2"/>
  <c r="O16" i="12"/>
  <c r="AE163" i="2"/>
  <c r="N163" i="14"/>
  <c r="AF147" i="2"/>
  <c r="AG149" i="2"/>
  <c r="AI19" i="2"/>
  <c r="AI6" i="2"/>
  <c r="AH5" i="2"/>
  <c r="Y154" i="2"/>
  <c r="X165" i="2"/>
  <c r="X160" i="2" s="1"/>
  <c r="X153" i="2"/>
  <c r="AF164" i="2"/>
  <c r="AG164" i="2" s="1"/>
  <c r="AN96" i="2" l="1"/>
  <c r="AN86" i="2"/>
  <c r="AF66" i="2"/>
  <c r="AF27" i="5" s="1"/>
  <c r="AG27" i="5" s="1"/>
  <c r="AH27" i="5" s="1"/>
  <c r="AI27" i="5" s="1"/>
  <c r="AJ27" i="5" s="1"/>
  <c r="AK27" i="5" s="1"/>
  <c r="AL27" i="5" s="1"/>
  <c r="AM27" i="5" s="1"/>
  <c r="AN27" i="5" s="1"/>
  <c r="AO27" i="5" s="1"/>
  <c r="AP27" i="5" s="1"/>
  <c r="AH40" i="11"/>
  <c r="AH216" i="2"/>
  <c r="M10" i="15"/>
  <c r="Q17" i="12"/>
  <c r="P10" i="15"/>
  <c r="AN74" i="2"/>
  <c r="AP19" i="6"/>
  <c r="AO73" i="2"/>
  <c r="AO87" i="2" s="1"/>
  <c r="AO28" i="6"/>
  <c r="AP60" i="6"/>
  <c r="AO71" i="2"/>
  <c r="AO72" i="2" s="1"/>
  <c r="AO73" i="6"/>
  <c r="X20" i="6"/>
  <c r="AJ146" i="2"/>
  <c r="AJ168" i="2"/>
  <c r="AJ41" i="11"/>
  <c r="AJ213" i="2"/>
  <c r="AJ211" i="2"/>
  <c r="AJ208" i="2"/>
  <c r="AJ195" i="2"/>
  <c r="AJ182" i="2" s="1"/>
  <c r="AM125" i="2"/>
  <c r="AK194" i="2"/>
  <c r="AK39" i="11"/>
  <c r="W25" i="6"/>
  <c r="W11" i="6"/>
  <c r="AP94" i="2"/>
  <c r="AP95" i="2" s="1"/>
  <c r="AE62" i="2"/>
  <c r="AI213" i="2"/>
  <c r="AI208" i="2"/>
  <c r="AK142" i="2"/>
  <c r="AL142" i="2" s="1"/>
  <c r="AJ139" i="2"/>
  <c r="AP50" i="2"/>
  <c r="AJ19" i="2"/>
  <c r="AJ6" i="2"/>
  <c r="AK19" i="2" s="1"/>
  <c r="AI143" i="2"/>
  <c r="AH140" i="2"/>
  <c r="X158" i="2"/>
  <c r="X7" i="6" s="1"/>
  <c r="X16" i="6"/>
  <c r="AH169" i="2"/>
  <c r="AH170" i="2" s="1"/>
  <c r="AH172" i="2" s="1"/>
  <c r="AM26" i="6"/>
  <c r="AA32" i="7"/>
  <c r="Z31" i="7"/>
  <c r="Y57" i="4"/>
  <c r="Y8" i="1"/>
  <c r="H164" i="14"/>
  <c r="G158" i="14"/>
  <c r="Q168" i="14"/>
  <c r="Q146" i="14"/>
  <c r="AI168" i="2"/>
  <c r="AI146" i="2"/>
  <c r="P161" i="14"/>
  <c r="P153" i="14"/>
  <c r="P152" i="14" s="1"/>
  <c r="AG167" i="2"/>
  <c r="P169" i="14"/>
  <c r="P170" i="14" s="1"/>
  <c r="P167" i="14" s="1"/>
  <c r="AG172" i="2"/>
  <c r="AG173" i="2" s="1"/>
  <c r="AI24" i="6"/>
  <c r="AH162" i="2"/>
  <c r="AI195" i="2"/>
  <c r="AI211" i="2"/>
  <c r="P182" i="14"/>
  <c r="P197" i="14" s="1"/>
  <c r="AH182" i="2"/>
  <c r="AH17" i="6" s="1"/>
  <c r="AH8" i="6" s="1"/>
  <c r="AI41" i="11"/>
  <c r="AI40" i="11"/>
  <c r="Q208" i="14"/>
  <c r="Q211" i="14"/>
  <c r="Q213" i="14"/>
  <c r="Q195" i="14"/>
  <c r="AF203" i="2"/>
  <c r="AF191" i="2"/>
  <c r="AE192" i="2"/>
  <c r="AF192" i="2" s="1"/>
  <c r="N190" i="14"/>
  <c r="N203" i="14"/>
  <c r="AH34" i="2"/>
  <c r="P16" i="12"/>
  <c r="AG147" i="2"/>
  <c r="AH149" i="2"/>
  <c r="AG62" i="6"/>
  <c r="AG161" i="2"/>
  <c r="AG43" i="5" s="1"/>
  <c r="AG75" i="6"/>
  <c r="AF163" i="2"/>
  <c r="Z154" i="2"/>
  <c r="Y165" i="2"/>
  <c r="Y160" i="2" s="1"/>
  <c r="Y153" i="2"/>
  <c r="O163" i="14" l="1"/>
  <c r="AG163" i="2"/>
  <c r="AO86" i="2"/>
  <c r="R17" i="12"/>
  <c r="R10" i="15"/>
  <c r="AI216" i="2"/>
  <c r="O10" i="15"/>
  <c r="X29" i="6"/>
  <c r="AP71" i="2"/>
  <c r="AP72" i="2" s="1"/>
  <c r="AP73" i="6"/>
  <c r="AP73" i="2"/>
  <c r="AP87" i="2" s="1"/>
  <c r="AP28" i="6"/>
  <c r="AP86" i="2"/>
  <c r="AO74" i="2"/>
  <c r="AO96" i="2"/>
  <c r="X11" i="6"/>
  <c r="AK211" i="2"/>
  <c r="AK195" i="2"/>
  <c r="AK182" i="2" s="1"/>
  <c r="AK208" i="2"/>
  <c r="AK213" i="2"/>
  <c r="AJ169" i="2"/>
  <c r="AJ170" i="2" s="1"/>
  <c r="AJ167" i="2" s="1"/>
  <c r="Q162" i="14"/>
  <c r="AJ24" i="6"/>
  <c r="AK41" i="11"/>
  <c r="AK40" i="11"/>
  <c r="AN125" i="2"/>
  <c r="AJ197" i="2"/>
  <c r="AJ17" i="6"/>
  <c r="AJ8" i="6" s="1"/>
  <c r="AJ186" i="2" s="1"/>
  <c r="AL194" i="2"/>
  <c r="AL39" i="11"/>
  <c r="AK146" i="2"/>
  <c r="AK168" i="2"/>
  <c r="AI169" i="2"/>
  <c r="AI170" i="2" s="1"/>
  <c r="AI172" i="2" s="1"/>
  <c r="X25" i="6"/>
  <c r="AL139" i="2"/>
  <c r="AM142" i="2"/>
  <c r="AK139" i="2"/>
  <c r="AI140" i="2"/>
  <c r="AJ143" i="2"/>
  <c r="AI34" i="2"/>
  <c r="Q16" i="12"/>
  <c r="AH173" i="2"/>
  <c r="AK6" i="2"/>
  <c r="AH167" i="2"/>
  <c r="Y158" i="2"/>
  <c r="Y7" i="6" s="1"/>
  <c r="Y11" i="6" s="1"/>
  <c r="Y16" i="6"/>
  <c r="Y20" i="6"/>
  <c r="AN26" i="6"/>
  <c r="AB32" i="7"/>
  <c r="AA31" i="7"/>
  <c r="AG49" i="6"/>
  <c r="I164" i="14"/>
  <c r="H158" i="14"/>
  <c r="Q169" i="14"/>
  <c r="Q170" i="14" s="1"/>
  <c r="Q167" i="14"/>
  <c r="Q161" i="14"/>
  <c r="Q153" i="14"/>
  <c r="Q152" i="14" s="1"/>
  <c r="AI162" i="2"/>
  <c r="AH197" i="2"/>
  <c r="AI182" i="2"/>
  <c r="AI17" i="6" s="1"/>
  <c r="AI8" i="6" s="1"/>
  <c r="Q182" i="14"/>
  <c r="Q197" i="14" s="1"/>
  <c r="AH186" i="2"/>
  <c r="P186" i="14"/>
  <c r="AH62" i="6"/>
  <c r="AH147" i="2"/>
  <c r="AI149" i="2"/>
  <c r="AJ149" i="2" s="1"/>
  <c r="AH161" i="2"/>
  <c r="AH43" i="5" s="1"/>
  <c r="AH75" i="6"/>
  <c r="P163" i="14" s="1"/>
  <c r="AA154" i="2"/>
  <c r="Z165" i="2"/>
  <c r="Z160" i="2" s="1"/>
  <c r="Z153" i="2"/>
  <c r="AH164" i="2"/>
  <c r="AG87" i="6" l="1"/>
  <c r="S17" i="12"/>
  <c r="T10" i="15"/>
  <c r="AJ216" i="2"/>
  <c r="Q10" i="15"/>
  <c r="AH49" i="6"/>
  <c r="AP96" i="2"/>
  <c r="AP74" i="2"/>
  <c r="AM194" i="2"/>
  <c r="AM39" i="11"/>
  <c r="AL208" i="2"/>
  <c r="AL195" i="2"/>
  <c r="AL182" i="2" s="1"/>
  <c r="AL213" i="2"/>
  <c r="AL211" i="2"/>
  <c r="AL41" i="11"/>
  <c r="AL40" i="11"/>
  <c r="AP125" i="2"/>
  <c r="AO125" i="2"/>
  <c r="AJ203" i="2"/>
  <c r="AJ190" i="2"/>
  <c r="AJ162" i="2"/>
  <c r="AK24" i="6"/>
  <c r="AJ10" i="2"/>
  <c r="AK169" i="2"/>
  <c r="AK170" i="2" s="1"/>
  <c r="AK167" i="2" s="1"/>
  <c r="AK197" i="2"/>
  <c r="AK17" i="6"/>
  <c r="AK8" i="6" s="1"/>
  <c r="AK186" i="2" s="1"/>
  <c r="AL146" i="2"/>
  <c r="AL168" i="2"/>
  <c r="AJ172" i="2"/>
  <c r="AJ173" i="2" s="1"/>
  <c r="AI167" i="2"/>
  <c r="Y25" i="6"/>
  <c r="AN142" i="2"/>
  <c r="AM139" i="2"/>
  <c r="AJ147" i="2"/>
  <c r="AJ161" i="2"/>
  <c r="AJ43" i="5" s="1"/>
  <c r="AK149" i="2"/>
  <c r="AJ62" i="6"/>
  <c r="Y29" i="6"/>
  <c r="AK143" i="2"/>
  <c r="AK140" i="2" s="1"/>
  <c r="AJ140" i="2"/>
  <c r="AL19" i="2"/>
  <c r="AL6" i="2"/>
  <c r="AK5" i="2"/>
  <c r="Z20" i="6"/>
  <c r="AJ34" i="2"/>
  <c r="R16" i="12"/>
  <c r="AG150" i="2"/>
  <c r="AO26" i="6"/>
  <c r="AC32" i="7"/>
  <c r="AB31" i="7"/>
  <c r="J164" i="14"/>
  <c r="I158" i="14"/>
  <c r="AI173" i="2"/>
  <c r="AI197" i="2"/>
  <c r="AH87" i="6"/>
  <c r="AH150" i="2"/>
  <c r="P190" i="14"/>
  <c r="P203" i="14"/>
  <c r="Q186" i="14"/>
  <c r="AI186" i="2"/>
  <c r="AH190" i="2"/>
  <c r="AH203" i="2"/>
  <c r="Z158" i="2"/>
  <c r="Z7" i="6" s="1"/>
  <c r="Z16" i="6"/>
  <c r="AI62" i="6"/>
  <c r="AI147" i="2"/>
  <c r="AI161" i="2"/>
  <c r="AI43" i="5" s="1"/>
  <c r="AH163" i="2"/>
  <c r="AI75" i="6"/>
  <c r="AJ75" i="6" s="1"/>
  <c r="AB154" i="2"/>
  <c r="AA165" i="2"/>
  <c r="AA160" i="2" s="1"/>
  <c r="AA153" i="2"/>
  <c r="AI164" i="2"/>
  <c r="AK216" i="2" l="1"/>
  <c r="S10" i="15"/>
  <c r="T17" i="12"/>
  <c r="V10" i="15"/>
  <c r="AJ49" i="6"/>
  <c r="AJ163" i="2"/>
  <c r="AK75" i="6"/>
  <c r="AJ164" i="2"/>
  <c r="AL197" i="2"/>
  <c r="AL17" i="6"/>
  <c r="AL8" i="6" s="1"/>
  <c r="AL186" i="2" s="1"/>
  <c r="AK203" i="2"/>
  <c r="AK190" i="2"/>
  <c r="AK172" i="2"/>
  <c r="AK173" i="2" s="1"/>
  <c r="AN194" i="2"/>
  <c r="AN39" i="11"/>
  <c r="AM168" i="2"/>
  <c r="AM146" i="2"/>
  <c r="AK162" i="2"/>
  <c r="AL24" i="6"/>
  <c r="AK10" i="2"/>
  <c r="AM41" i="11"/>
  <c r="AM40" i="11"/>
  <c r="AL169" i="2"/>
  <c r="AL170" i="2" s="1"/>
  <c r="AL167" i="2" s="1"/>
  <c r="AM195" i="2"/>
  <c r="AM182" i="2" s="1"/>
  <c r="AM213" i="2"/>
  <c r="AM211" i="2"/>
  <c r="AM208" i="2"/>
  <c r="AL149" i="2"/>
  <c r="AK147" i="2"/>
  <c r="AK161" i="2"/>
  <c r="AK43" i="5" s="1"/>
  <c r="AK62" i="6"/>
  <c r="AK49" i="6" s="1"/>
  <c r="AN139" i="2"/>
  <c r="AO142" i="2"/>
  <c r="AJ87" i="6"/>
  <c r="AJ150" i="2"/>
  <c r="AL143" i="2"/>
  <c r="AM143" i="2" s="1"/>
  <c r="AK34" i="2"/>
  <c r="S16" i="12"/>
  <c r="AM19" i="2"/>
  <c r="AM6" i="2"/>
  <c r="AL5" i="2"/>
  <c r="Z29" i="6"/>
  <c r="Z11" i="6"/>
  <c r="AP26" i="6"/>
  <c r="AC31" i="7"/>
  <c r="AD32" i="7"/>
  <c r="Z25" i="6"/>
  <c r="K164" i="14"/>
  <c r="J158" i="14"/>
  <c r="AA20" i="6"/>
  <c r="AI163" i="2"/>
  <c r="Q163" i="14"/>
  <c r="Q190" i="14"/>
  <c r="Q203" i="14"/>
  <c r="AI203" i="2"/>
  <c r="AI190" i="2"/>
  <c r="AA158" i="2"/>
  <c r="AA7" i="6" s="1"/>
  <c r="AA16" i="6"/>
  <c r="AI49" i="6"/>
  <c r="AC154" i="2"/>
  <c r="AB165" i="2"/>
  <c r="AB160" i="2" s="1"/>
  <c r="AB153" i="2"/>
  <c r="AL216" i="2" l="1"/>
  <c r="U10" i="15"/>
  <c r="U17" i="12"/>
  <c r="X10" i="15"/>
  <c r="AK164" i="2"/>
  <c r="AK163" i="2"/>
  <c r="AL75" i="6"/>
  <c r="AO194" i="2"/>
  <c r="AO39" i="11"/>
  <c r="AN168" i="2"/>
  <c r="AN146" i="2"/>
  <c r="AM197" i="2"/>
  <c r="AM17" i="6"/>
  <c r="AM8" i="6" s="1"/>
  <c r="AM186" i="2" s="1"/>
  <c r="AN41" i="11"/>
  <c r="AN40" i="11"/>
  <c r="AL203" i="2"/>
  <c r="AL190" i="2"/>
  <c r="AM169" i="2"/>
  <c r="AM170" i="2" s="1"/>
  <c r="AM167" i="2" s="1"/>
  <c r="AL172" i="2"/>
  <c r="AL173" i="2" s="1"/>
  <c r="AL162" i="2"/>
  <c r="AL164" i="2" s="1"/>
  <c r="AM24" i="6"/>
  <c r="AN211" i="2"/>
  <c r="AN195" i="2"/>
  <c r="AN182" i="2" s="1"/>
  <c r="AN213" i="2"/>
  <c r="AN208" i="2"/>
  <c r="AL10" i="2"/>
  <c r="AO139" i="2"/>
  <c r="AP142" i="2"/>
  <c r="AP139" i="2" s="1"/>
  <c r="AK87" i="6"/>
  <c r="AK150" i="2"/>
  <c r="AL161" i="2"/>
  <c r="AL43" i="5" s="1"/>
  <c r="AL147" i="2"/>
  <c r="AM149" i="2"/>
  <c r="AL62" i="6"/>
  <c r="AL140" i="2"/>
  <c r="AM140" i="2"/>
  <c r="AN143" i="2"/>
  <c r="AL34" i="2"/>
  <c r="T16" i="12"/>
  <c r="AN19" i="2"/>
  <c r="AN6" i="2"/>
  <c r="AM5" i="2"/>
  <c r="AD31" i="7"/>
  <c r="AE16" i="7" s="1"/>
  <c r="AE32" i="7"/>
  <c r="AF32" i="7" s="1"/>
  <c r="L164" i="14"/>
  <c r="K158" i="14"/>
  <c r="L27" i="14" s="1"/>
  <c r="AA25" i="6"/>
  <c r="AI87" i="6"/>
  <c r="AI150" i="2"/>
  <c r="AB20" i="6"/>
  <c r="AA29" i="6"/>
  <c r="AA11" i="6"/>
  <c r="AB158" i="2"/>
  <c r="AB7" i="6" s="1"/>
  <c r="AB11" i="6" s="1"/>
  <c r="AB16" i="6"/>
  <c r="AD154" i="2"/>
  <c r="AC165" i="2"/>
  <c r="AC160" i="2" s="1"/>
  <c r="AC153" i="2"/>
  <c r="AM216" i="2" l="1"/>
  <c r="W10" i="15"/>
  <c r="V17" i="12"/>
  <c r="Z10" i="15"/>
  <c r="AL163" i="2"/>
  <c r="AM75" i="6"/>
  <c r="AL49" i="6"/>
  <c r="AL87" i="6" s="1"/>
  <c r="AM172" i="2"/>
  <c r="AM173" i="2" s="1"/>
  <c r="AO146" i="2"/>
  <c r="AO168" i="2"/>
  <c r="AN197" i="2"/>
  <c r="AN17" i="6"/>
  <c r="AN8" i="6" s="1"/>
  <c r="AN186" i="2" s="1"/>
  <c r="AM10" i="2"/>
  <c r="AO213" i="2"/>
  <c r="AO208" i="2"/>
  <c r="AO211" i="2"/>
  <c r="AO195" i="2"/>
  <c r="AO182" i="2" s="1"/>
  <c r="AM203" i="2"/>
  <c r="AM190" i="2"/>
  <c r="AO41" i="11"/>
  <c r="AO40" i="11"/>
  <c r="AP194" i="2"/>
  <c r="AP39" i="11"/>
  <c r="AM162" i="2"/>
  <c r="AM164" i="2" s="1"/>
  <c r="AN24" i="6"/>
  <c r="AN169" i="2"/>
  <c r="AN170" i="2" s="1"/>
  <c r="AN167" i="2" s="1"/>
  <c r="AM147" i="2"/>
  <c r="AM161" i="2"/>
  <c r="AM43" i="5" s="1"/>
  <c r="AN149" i="2"/>
  <c r="AM62" i="6"/>
  <c r="AM49" i="6" s="1"/>
  <c r="AO143" i="2"/>
  <c r="AN140" i="2"/>
  <c r="AM34" i="2"/>
  <c r="U16" i="12"/>
  <c r="AN5" i="2"/>
  <c r="AO19" i="2"/>
  <c r="AO6" i="2"/>
  <c r="L158" i="14"/>
  <c r="M27" i="14" s="1"/>
  <c r="M164" i="14"/>
  <c r="AF87" i="6"/>
  <c r="AF77" i="6" s="1"/>
  <c r="AG77" i="6" s="1"/>
  <c r="AH77" i="6" s="1"/>
  <c r="AI77" i="6" s="1"/>
  <c r="AJ77" i="6" s="1"/>
  <c r="AK77" i="6" s="1"/>
  <c r="AF150" i="2"/>
  <c r="AC20" i="6"/>
  <c r="AB29" i="6"/>
  <c r="AB25" i="6"/>
  <c r="AC158" i="2"/>
  <c r="AC7" i="6" s="1"/>
  <c r="AC16" i="6"/>
  <c r="AD26" i="2"/>
  <c r="AD165" i="2"/>
  <c r="AD160" i="2" s="1"/>
  <c r="AE154" i="2"/>
  <c r="AF154" i="2" s="1"/>
  <c r="AD153" i="2"/>
  <c r="AI10" i="2"/>
  <c r="AH10" i="2"/>
  <c r="AG154" i="2" l="1"/>
  <c r="AG165" i="2" s="1"/>
  <c r="AF165" i="2"/>
  <c r="AF160" i="2" s="1"/>
  <c r="AL150" i="2"/>
  <c r="W17" i="12"/>
  <c r="AB10" i="15"/>
  <c r="AN216" i="2"/>
  <c r="Y10" i="15"/>
  <c r="AM163" i="2"/>
  <c r="AN75" i="6"/>
  <c r="AN10" i="2"/>
  <c r="AN172" i="2"/>
  <c r="AN173" i="2" s="1"/>
  <c r="AP41" i="11"/>
  <c r="AP40" i="11"/>
  <c r="AO197" i="2"/>
  <c r="AO17" i="6"/>
  <c r="AO8" i="6" s="1"/>
  <c r="AO186" i="2" s="1"/>
  <c r="AP213" i="2"/>
  <c r="AP208" i="2"/>
  <c r="AP195" i="2"/>
  <c r="AP182" i="2" s="1"/>
  <c r="AP211" i="2"/>
  <c r="AO24" i="6"/>
  <c r="AN162" i="2"/>
  <c r="AN164" i="2" s="1"/>
  <c r="AO169" i="2"/>
  <c r="AO170" i="2" s="1"/>
  <c r="AO167" i="2" s="1"/>
  <c r="AP146" i="2"/>
  <c r="AP168" i="2"/>
  <c r="AN203" i="2"/>
  <c r="AN190" i="2"/>
  <c r="AL77" i="6"/>
  <c r="AO149" i="2"/>
  <c r="AN147" i="2"/>
  <c r="AN161" i="2"/>
  <c r="AN43" i="5" s="1"/>
  <c r="AN62" i="6"/>
  <c r="AM87" i="6"/>
  <c r="AM150" i="2"/>
  <c r="AP143" i="2"/>
  <c r="AP140" i="2" s="1"/>
  <c r="AO140" i="2"/>
  <c r="AP19" i="2"/>
  <c r="AP6" i="2"/>
  <c r="AP5" i="2" s="1"/>
  <c r="AO5" i="2"/>
  <c r="AN34" i="2"/>
  <c r="V16" i="12"/>
  <c r="N164" i="14"/>
  <c r="M158" i="14"/>
  <c r="N27" i="14" s="1"/>
  <c r="AC25" i="6"/>
  <c r="AD20" i="6"/>
  <c r="AC11" i="6"/>
  <c r="AC29" i="6"/>
  <c r="AD158" i="2"/>
  <c r="AD7" i="6" s="1"/>
  <c r="AD16" i="6"/>
  <c r="AE153" i="2"/>
  <c r="AD27" i="2"/>
  <c r="AE16" i="6" l="1"/>
  <c r="AE157" i="2"/>
  <c r="AO216" i="2"/>
  <c r="AA10" i="15"/>
  <c r="AC10" i="15"/>
  <c r="X17" i="12"/>
  <c r="AD10" i="15"/>
  <c r="AN49" i="6"/>
  <c r="AN87" i="6" s="1"/>
  <c r="AO75" i="6"/>
  <c r="AN163" i="2"/>
  <c r="AO10" i="2"/>
  <c r="AO162" i="2"/>
  <c r="AO164" i="2" s="1"/>
  <c r="AP24" i="6"/>
  <c r="AP162" i="2" s="1"/>
  <c r="AP169" i="2"/>
  <c r="AP170" i="2" s="1"/>
  <c r="AP167" i="2" s="1"/>
  <c r="AP197" i="2"/>
  <c r="AP17" i="6"/>
  <c r="AP8" i="6" s="1"/>
  <c r="AP186" i="2" s="1"/>
  <c r="AO172" i="2"/>
  <c r="AO173" i="2" s="1"/>
  <c r="AO203" i="2"/>
  <c r="AO190" i="2"/>
  <c r="AM77" i="6"/>
  <c r="AO161" i="2"/>
  <c r="AO43" i="5" s="1"/>
  <c r="AO147" i="2"/>
  <c r="AP149" i="2"/>
  <c r="AO62" i="6"/>
  <c r="AP216" i="2"/>
  <c r="AO34" i="2"/>
  <c r="W16" i="12"/>
  <c r="AP34" i="2"/>
  <c r="X16" i="12"/>
  <c r="N158" i="14"/>
  <c r="O164" i="14"/>
  <c r="AD25" i="6"/>
  <c r="AD29" i="6"/>
  <c r="AE20" i="6"/>
  <c r="AD11" i="6"/>
  <c r="AE158" i="2"/>
  <c r="AE27" i="2"/>
  <c r="AN150" i="2" l="1"/>
  <c r="AO49" i="6"/>
  <c r="AO163" i="2"/>
  <c r="AP75" i="6"/>
  <c r="AP163" i="2" s="1"/>
  <c r="AP172" i="2"/>
  <c r="AP173" i="2" s="1"/>
  <c r="AP164" i="2"/>
  <c r="AP203" i="2"/>
  <c r="AP190" i="2"/>
  <c r="AP10" i="2"/>
  <c r="AN77" i="6"/>
  <c r="AO87" i="6"/>
  <c r="AO150" i="2"/>
  <c r="AP161" i="2"/>
  <c r="AP43" i="5" s="1"/>
  <c r="AP147" i="2"/>
  <c r="AP62" i="6"/>
  <c r="AP49" i="6" s="1"/>
  <c r="O158" i="14"/>
  <c r="P164" i="14"/>
  <c r="AH154" i="2"/>
  <c r="AG160" i="2"/>
  <c r="AG153" i="2"/>
  <c r="AG16" i="6" l="1"/>
  <c r="AG157" i="2"/>
  <c r="AO77" i="6"/>
  <c r="AP87" i="6"/>
  <c r="AP150" i="2"/>
  <c r="Q164" i="14"/>
  <c r="Q158" i="14" s="1"/>
  <c r="P158" i="14"/>
  <c r="AE156" i="2"/>
  <c r="AF26" i="2" s="1"/>
  <c r="AG152" i="2"/>
  <c r="AG15" i="6" s="1"/>
  <c r="AG6" i="6" s="1"/>
  <c r="AG158" i="2"/>
  <c r="AH165" i="2"/>
  <c r="AH160" i="2" s="1"/>
  <c r="AI154" i="2"/>
  <c r="AH153" i="2"/>
  <c r="AH16" i="6" l="1"/>
  <c r="AH157" i="2"/>
  <c r="AP77" i="6"/>
  <c r="AJ154" i="2"/>
  <c r="AF156" i="2"/>
  <c r="AG26" i="2" s="1"/>
  <c r="O156" i="14"/>
  <c r="N156" i="14"/>
  <c r="AF36" i="6"/>
  <c r="AH27" i="2"/>
  <c r="AG7" i="6"/>
  <c r="AG25" i="6" s="1"/>
  <c r="AI165" i="2"/>
  <c r="AI160" i="2" s="1"/>
  <c r="AI153" i="2"/>
  <c r="AG156" i="2"/>
  <c r="AH152" i="2"/>
  <c r="AH15" i="6" s="1"/>
  <c r="AH6" i="6" s="1"/>
  <c r="AH158" i="2"/>
  <c r="AH7" i="6" s="1"/>
  <c r="AH25" i="6" s="1"/>
  <c r="AI16" i="6" l="1"/>
  <c r="AI157" i="2"/>
  <c r="AJ165" i="2"/>
  <c r="AJ160" i="2" s="1"/>
  <c r="AJ153" i="2"/>
  <c r="AJ157" i="2" s="1"/>
  <c r="AK154" i="2"/>
  <c r="AG42" i="6"/>
  <c r="P156" i="14"/>
  <c r="AH36" i="6"/>
  <c r="AI152" i="2"/>
  <c r="AI15" i="6" s="1"/>
  <c r="AI6" i="6" s="1"/>
  <c r="AI158" i="2"/>
  <c r="AI27" i="2"/>
  <c r="AH156" i="2"/>
  <c r="AH26" i="2"/>
  <c r="AJ27" i="2" l="1"/>
  <c r="AK165" i="2"/>
  <c r="AK160" i="2"/>
  <c r="AL154" i="2"/>
  <c r="AK153" i="2"/>
  <c r="AK157" i="2" s="1"/>
  <c r="AJ152" i="2"/>
  <c r="AJ15" i="6" s="1"/>
  <c r="AJ6" i="6" s="1"/>
  <c r="AJ158" i="2"/>
  <c r="AJ16" i="6"/>
  <c r="AI7" i="6"/>
  <c r="AI25" i="6" s="1"/>
  <c r="AI26" i="2"/>
  <c r="AG22" i="10"/>
  <c r="AG11" i="8" s="1"/>
  <c r="AH42" i="6"/>
  <c r="Q156" i="14"/>
  <c r="AI36" i="6"/>
  <c r="AI156" i="2"/>
  <c r="AJ26" i="2" l="1"/>
  <c r="AK27" i="2"/>
  <c r="AJ7" i="6"/>
  <c r="AJ25" i="6" s="1"/>
  <c r="AL165" i="2"/>
  <c r="AL160" i="2" s="1"/>
  <c r="AM154" i="2"/>
  <c r="AL153" i="2"/>
  <c r="AL157" i="2" s="1"/>
  <c r="AJ156" i="2"/>
  <c r="AJ36" i="6"/>
  <c r="AK152" i="2"/>
  <c r="AK15" i="6" s="1"/>
  <c r="AK6" i="6" s="1"/>
  <c r="AK158" i="2"/>
  <c r="AK7" i="6" s="1"/>
  <c r="AK16" i="6"/>
  <c r="AH22" i="10"/>
  <c r="AH11" i="8" s="1"/>
  <c r="AI42" i="6"/>
  <c r="AN154" i="2" l="1"/>
  <c r="AM165" i="2"/>
  <c r="AM160" i="2" s="1"/>
  <c r="AM153" i="2"/>
  <c r="AM157" i="2" s="1"/>
  <c r="AL27" i="2"/>
  <c r="AL152" i="2"/>
  <c r="AL15" i="6" s="1"/>
  <c r="AL6" i="6" s="1"/>
  <c r="AL158" i="2"/>
  <c r="AM27" i="2" s="1"/>
  <c r="AL16" i="6"/>
  <c r="AK156" i="2"/>
  <c r="AK36" i="6"/>
  <c r="AK26" i="2"/>
  <c r="AK25" i="6"/>
  <c r="AI22" i="10"/>
  <c r="AI11" i="8" s="1"/>
  <c r="AJ42" i="6"/>
  <c r="AI67" i="1"/>
  <c r="AH67" i="1"/>
  <c r="AG67" i="1"/>
  <c r="AM152" i="2" l="1"/>
  <c r="AM15" i="6" s="1"/>
  <c r="AM6" i="6" s="1"/>
  <c r="AM16" i="6"/>
  <c r="AM158" i="2"/>
  <c r="AM7" i="6" s="1"/>
  <c r="AL26" i="2"/>
  <c r="AL156" i="2"/>
  <c r="AM26" i="2" s="1"/>
  <c r="AL36" i="6"/>
  <c r="AL7" i="6"/>
  <c r="AO154" i="2"/>
  <c r="AN165" i="2"/>
  <c r="AN160" i="2" s="1"/>
  <c r="AN153" i="2"/>
  <c r="AN157" i="2" s="1"/>
  <c r="AK42" i="6"/>
  <c r="AJ22" i="10"/>
  <c r="AJ11" i="8" s="1"/>
  <c r="AL25" i="6"/>
  <c r="AB52" i="11"/>
  <c r="AC52" i="11"/>
  <c r="AD52" i="11"/>
  <c r="W109" i="11"/>
  <c r="X109" i="11"/>
  <c r="AG107" i="11"/>
  <c r="AH107" i="11"/>
  <c r="AI107" i="11"/>
  <c r="AN27" i="2" l="1"/>
  <c r="AN152" i="2"/>
  <c r="AN15" i="6" s="1"/>
  <c r="AN6" i="6" s="1"/>
  <c r="AN158" i="2"/>
  <c r="AN16" i="6"/>
  <c r="AO153" i="2"/>
  <c r="AO157" i="2" s="1"/>
  <c r="AP154" i="2"/>
  <c r="AO165" i="2"/>
  <c r="AO160" i="2" s="1"/>
  <c r="AM156" i="2"/>
  <c r="AM36" i="6"/>
  <c r="AL42" i="6"/>
  <c r="AK22" i="10"/>
  <c r="AK11" i="8" s="1"/>
  <c r="AM25" i="6"/>
  <c r="AI39" i="3"/>
  <c r="AI35" i="1" s="1"/>
  <c r="AN26" i="2" l="1"/>
  <c r="AO158" i="2"/>
  <c r="AO7" i="6" s="1"/>
  <c r="AO152" i="2"/>
  <c r="AO15" i="6" s="1"/>
  <c r="AO6" i="6" s="1"/>
  <c r="AO16" i="6"/>
  <c r="AO27" i="2"/>
  <c r="AN7" i="6"/>
  <c r="AN25" i="6" s="1"/>
  <c r="AN156" i="2"/>
  <c r="AN36" i="6"/>
  <c r="AP153" i="2"/>
  <c r="AP157" i="2" s="1"/>
  <c r="AP165" i="2"/>
  <c r="AP160" i="2" s="1"/>
  <c r="AM42" i="6"/>
  <c r="AL22" i="10"/>
  <c r="AL11" i="8" s="1"/>
  <c r="AI69" i="1"/>
  <c r="Q23" i="12"/>
  <c r="AP152" i="2" l="1"/>
  <c r="AP15" i="6" s="1"/>
  <c r="AP6" i="6" s="1"/>
  <c r="AP158" i="2"/>
  <c r="AP7" i="6" s="1"/>
  <c r="AP16" i="6"/>
  <c r="AO156" i="2"/>
  <c r="AO36" i="6"/>
  <c r="AO26" i="2"/>
  <c r="AP27" i="2"/>
  <c r="AN42" i="6"/>
  <c r="AM22" i="10"/>
  <c r="AM11" i="8" s="1"/>
  <c r="AO25" i="6"/>
  <c r="AP25" i="6" l="1"/>
  <c r="AP26" i="2"/>
  <c r="AP156" i="2"/>
  <c r="AP36" i="6"/>
  <c r="AO42" i="6"/>
  <c r="AN22" i="10"/>
  <c r="AN11" i="8" s="1"/>
  <c r="AH3" i="4"/>
  <c r="AI13" i="4" l="1"/>
  <c r="AH13" i="4"/>
  <c r="M19" i="15"/>
  <c r="O19" i="15"/>
  <c r="AP42" i="6"/>
  <c r="AP22" i="10" s="1"/>
  <c r="AP11" i="8" s="1"/>
  <c r="AO22" i="10"/>
  <c r="AO11" i="8" s="1"/>
  <c r="P24" i="12"/>
  <c r="Q24" i="12"/>
  <c r="AH18" i="4" l="1"/>
  <c r="AI18" i="4"/>
  <c r="AK22" i="1" l="1"/>
  <c r="AL22" i="1" s="1"/>
  <c r="AM22" i="1" s="1"/>
  <c r="O22" i="15"/>
  <c r="AH15" i="4"/>
  <c r="M22" i="15"/>
  <c r="AI96" i="1"/>
  <c r="AJ23" i="4"/>
  <c r="AJ20" i="4"/>
  <c r="AI23" i="4"/>
  <c r="AH23" i="4"/>
  <c r="AH20" i="4"/>
  <c r="AI20" i="4"/>
  <c r="AH38" i="1" l="1"/>
  <c r="M21" i="15"/>
  <c r="P22" i="15"/>
  <c r="R22" i="15"/>
  <c r="O21" i="15"/>
  <c r="N22" i="15"/>
  <c r="AJ16" i="4"/>
  <c r="AJ22" i="4"/>
  <c r="AI22" i="4"/>
  <c r="AH22" i="4"/>
  <c r="P26" i="12"/>
  <c r="AH96" i="1"/>
  <c r="O26" i="12"/>
  <c r="AH16" i="4"/>
  <c r="AI16" i="4"/>
  <c r="Q26" i="12"/>
  <c r="AJ38" i="1" l="1"/>
  <c r="N21" i="15"/>
  <c r="P21" i="15"/>
  <c r="R21" i="15"/>
  <c r="P27" i="12"/>
  <c r="Q27" i="12"/>
  <c r="AK38" i="1" l="1"/>
  <c r="AE3" i="6"/>
  <c r="AE5" i="10"/>
  <c r="AE8" i="9" s="1"/>
  <c r="AM38" i="1" l="1"/>
  <c r="AL38" i="1"/>
  <c r="AE35" i="6"/>
  <c r="AE2" i="6"/>
  <c r="M33" i="12" l="1"/>
  <c r="G25" i="15" s="1"/>
  <c r="AE93" i="6"/>
  <c r="AE23" i="10"/>
  <c r="AE91" i="6"/>
  <c r="AE84" i="6"/>
  <c r="AE85" i="6"/>
  <c r="AE53" i="6"/>
  <c r="AE54" i="6"/>
  <c r="AE55" i="6"/>
  <c r="AE52" i="6" s="1"/>
  <c r="AE41" i="6"/>
  <c r="H25" i="15" l="1"/>
  <c r="G23" i="15"/>
  <c r="AD64" i="6"/>
  <c r="AE60" i="8"/>
  <c r="AE59" i="8" s="1"/>
  <c r="AE54" i="8" s="1"/>
  <c r="AE21" i="8" s="1"/>
  <c r="AE69" i="8"/>
  <c r="AE68" i="8" s="1"/>
  <c r="AE67" i="8" s="1"/>
  <c r="AE22" i="8" s="1"/>
  <c r="AE6" i="8"/>
  <c r="AE5" i="8" s="1"/>
  <c r="AE4" i="8" s="1"/>
  <c r="AE36" i="8"/>
  <c r="M34" i="12"/>
  <c r="M29" i="12"/>
  <c r="M30" i="12" s="1"/>
  <c r="AE4" i="10"/>
  <c r="AE7" i="9" s="1"/>
  <c r="AE86" i="6"/>
  <c r="G30" i="15" l="1"/>
  <c r="G29" i="15"/>
  <c r="H23" i="15"/>
  <c r="AE35" i="7"/>
  <c r="AE33" i="7"/>
  <c r="AF33" i="7" s="1"/>
  <c r="AE31" i="7" l="1"/>
  <c r="AF16" i="7" l="1"/>
  <c r="AF8" i="1"/>
  <c r="N28" i="12"/>
  <c r="V33" i="8" l="1"/>
  <c r="V37" i="8" s="1"/>
  <c r="AE19" i="8"/>
  <c r="V62" i="8"/>
  <c r="AD80" i="8"/>
  <c r="Y80" i="8"/>
  <c r="X80" i="8"/>
  <c r="AB80" i="8"/>
  <c r="AC80" i="8"/>
  <c r="AC82" i="8" s="1"/>
  <c r="Z80" i="8"/>
  <c r="Z82" i="8" s="1"/>
  <c r="AA80" i="8"/>
  <c r="W80" i="8"/>
  <c r="W77" i="8" s="1"/>
  <c r="W23" i="8" s="1"/>
  <c r="W20" i="8" s="1"/>
  <c r="W17" i="8" s="1"/>
  <c r="W27" i="8" s="1"/>
  <c r="W28" i="8" s="1"/>
  <c r="AE80" i="8"/>
  <c r="AC77" i="8" l="1"/>
  <c r="AC23" i="8" s="1"/>
  <c r="AC20" i="8" s="1"/>
  <c r="AC17" i="8" s="1"/>
  <c r="AC27" i="8" s="1"/>
  <c r="V54" i="8"/>
  <c r="V21" i="8" s="1"/>
  <c r="V64" i="8"/>
  <c r="W82" i="8"/>
  <c r="W108" i="8"/>
  <c r="Z77" i="8"/>
  <c r="Z23" i="8" s="1"/>
  <c r="Z20" i="8" s="1"/>
  <c r="Z17" i="8" s="1"/>
  <c r="Z27" i="8" s="1"/>
  <c r="AE82" i="8"/>
  <c r="AA77" i="8"/>
  <c r="AA23" i="8" s="1"/>
  <c r="AA20" i="8" s="1"/>
  <c r="AA17" i="8" s="1"/>
  <c r="AA27" i="8" s="1"/>
  <c r="AA82" i="8"/>
  <c r="AB77" i="8"/>
  <c r="AB23" i="8" s="1"/>
  <c r="AB20" i="8" s="1"/>
  <c r="AB17" i="8" s="1"/>
  <c r="AB27" i="8" s="1"/>
  <c r="AB82" i="8"/>
  <c r="X77" i="8"/>
  <c r="X23" i="8" s="1"/>
  <c r="X20" i="8" s="1"/>
  <c r="X17" i="8" s="1"/>
  <c r="X27" i="8" s="1"/>
  <c r="X28" i="8" s="1"/>
  <c r="X82" i="8"/>
  <c r="AE77" i="8"/>
  <c r="AE23" i="8" s="1"/>
  <c r="AE20" i="8" s="1"/>
  <c r="AE17" i="8" s="1"/>
  <c r="AE27" i="8" s="1"/>
  <c r="Y77" i="8"/>
  <c r="Y23" i="8" s="1"/>
  <c r="Y20" i="8" s="1"/>
  <c r="Y17" i="8" s="1"/>
  <c r="Y27" i="8" s="1"/>
  <c r="Y82" i="8"/>
  <c r="AD77" i="8"/>
  <c r="AD23" i="8" s="1"/>
  <c r="AD20" i="8" s="1"/>
  <c r="AD17" i="8" s="1"/>
  <c r="AD27" i="8" s="1"/>
  <c r="AD82" i="8"/>
  <c r="W29" i="8"/>
  <c r="W116" i="8" l="1"/>
  <c r="X108" i="8"/>
  <c r="X116" i="8" s="1"/>
  <c r="AE105" i="8"/>
  <c r="AE84" i="8"/>
  <c r="X29" i="8"/>
  <c r="Y28" i="8"/>
  <c r="Y108" i="8" l="1"/>
  <c r="Y116" i="8" s="1"/>
  <c r="AE106" i="8"/>
  <c r="AE34" i="8"/>
  <c r="AE33" i="8" s="1"/>
  <c r="AE37" i="8" s="1"/>
  <c r="Y29" i="8"/>
  <c r="Z28" i="8"/>
  <c r="Z108" i="8" l="1"/>
  <c r="Z116" i="8" s="1"/>
  <c r="AA28" i="8"/>
  <c r="Z29" i="8"/>
  <c r="AA108" i="8" l="1"/>
  <c r="AA116" i="8" s="1"/>
  <c r="AA29" i="8"/>
  <c r="AB28" i="8"/>
  <c r="AB108" i="8" l="1"/>
  <c r="AB116" i="8" s="1"/>
  <c r="AB29" i="8"/>
  <c r="AC28" i="8"/>
  <c r="AC108" i="8" l="1"/>
  <c r="AC116" i="8" s="1"/>
  <c r="AD28" i="8"/>
  <c r="AC29" i="8"/>
  <c r="AD108" i="8" l="1"/>
  <c r="AE108" i="8" s="1"/>
  <c r="AE116" i="8" s="1"/>
  <c r="AD29" i="8"/>
  <c r="AE28" i="8"/>
  <c r="AD116" i="8" l="1"/>
  <c r="AE29" i="8"/>
  <c r="AH14" i="1" l="1"/>
  <c r="AI14" i="1"/>
  <c r="AI60" i="2" l="1"/>
  <c r="O5" i="14" l="1"/>
  <c r="N5" i="14"/>
  <c r="O22" i="14"/>
  <c r="O4" i="14" l="1"/>
  <c r="N4" i="14"/>
  <c r="O19" i="14"/>
  <c r="P5" i="14"/>
  <c r="Q5" i="14"/>
  <c r="R19" i="14" s="1"/>
  <c r="P22" i="14"/>
  <c r="Q22" i="14" l="1"/>
  <c r="R22" i="14"/>
  <c r="N2" i="14"/>
  <c r="O2" i="14"/>
  <c r="Q4" i="14"/>
  <c r="R18" i="14" s="1"/>
  <c r="P19" i="14"/>
  <c r="P4" i="14"/>
  <c r="P2" i="14" s="1"/>
  <c r="Q19" i="14"/>
  <c r="R2" i="14" l="1"/>
  <c r="Q2" i="14"/>
  <c r="N57" i="14"/>
  <c r="O18" i="14" l="1"/>
  <c r="P18" i="14" l="1"/>
  <c r="O57" i="14"/>
  <c r="O58" i="14" l="1"/>
  <c r="O59" i="14" s="1"/>
  <c r="P57" i="14"/>
  <c r="P58" i="14"/>
  <c r="Q18" i="14"/>
  <c r="P59" i="14" l="1"/>
  <c r="Q58" i="14"/>
  <c r="Q57" i="14"/>
  <c r="Q59" i="14" l="1"/>
  <c r="AE84" i="2" l="1"/>
  <c r="AE30" i="5"/>
  <c r="AF185" i="2" l="1"/>
  <c r="AF196" i="2"/>
  <c r="AF197" i="2" s="1"/>
  <c r="AF116" i="2" l="1"/>
  <c r="M182" i="14" l="1"/>
  <c r="M197" i="14" s="1"/>
  <c r="M183" i="14" s="1"/>
  <c r="M184" i="14" l="1"/>
  <c r="N183" i="14" s="1"/>
  <c r="M190" i="14"/>
  <c r="M196" i="14" l="1"/>
  <c r="N184" i="14"/>
  <c r="N196" i="14" s="1"/>
  <c r="M192" i="14"/>
  <c r="N192" i="14" s="1"/>
  <c r="M191" i="14"/>
  <c r="N191" i="14" s="1"/>
  <c r="O183" i="14" l="1"/>
  <c r="O184" i="14" s="1"/>
  <c r="O196" i="14" s="1"/>
  <c r="P183" i="14" l="1"/>
  <c r="P184" i="14" l="1"/>
  <c r="P196" i="14" s="1"/>
  <c r="Q183" i="14" l="1"/>
  <c r="Q184" i="14" s="1"/>
  <c r="Q196" i="14" s="1"/>
  <c r="AC38" i="3" l="1"/>
  <c r="AC35" i="1"/>
  <c r="AC32" i="1" s="1"/>
  <c r="K23" i="12" l="1"/>
  <c r="AC49" i="1"/>
  <c r="AD49" i="1" s="1"/>
  <c r="AE49" i="1" s="1"/>
  <c r="AC66" i="1"/>
  <c r="AC30" i="1"/>
  <c r="AC41" i="1"/>
  <c r="AC69" i="1"/>
  <c r="AC52" i="1"/>
  <c r="AC58" i="1" l="1"/>
  <c r="AD58" i="1" s="1"/>
  <c r="AE58" i="1" s="1"/>
  <c r="AC75" i="1"/>
  <c r="AD52" i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K77" i="14"/>
  <c r="AC77" i="2"/>
  <c r="AC47" i="1"/>
  <c r="AC3" i="1"/>
  <c r="D5" i="15" s="1"/>
  <c r="AC64" i="1"/>
  <c r="AC4" i="1" s="1"/>
  <c r="D6" i="15" s="1"/>
  <c r="AD47" i="1" l="1"/>
  <c r="AE47" i="1" s="1"/>
  <c r="AC5" i="1"/>
  <c r="K82" i="14"/>
  <c r="K141" i="14" s="1"/>
  <c r="L77" i="14"/>
  <c r="K5" i="12"/>
  <c r="AC82" i="2"/>
  <c r="AC141" i="2" s="1"/>
  <c r="AD77" i="2"/>
  <c r="AD82" i="2" s="1"/>
  <c r="K4" i="12"/>
  <c r="L82" i="14" l="1"/>
  <c r="L141" i="14" s="1"/>
  <c r="M77" i="14"/>
  <c r="AE77" i="2"/>
  <c r="AD141" i="2"/>
  <c r="AD5" i="1"/>
  <c r="AE82" i="2" l="1"/>
  <c r="AE85" i="2" s="1"/>
  <c r="AF77" i="2"/>
  <c r="AE5" i="1"/>
  <c r="M82" i="14"/>
  <c r="N77" i="14"/>
  <c r="M81" i="14" l="1"/>
  <c r="M84" i="14" s="1"/>
  <c r="AE141" i="2"/>
  <c r="M141" i="14"/>
  <c r="AG77" i="2"/>
  <c r="O77" i="14"/>
  <c r="AH77" i="2" l="1"/>
  <c r="P77" i="14"/>
  <c r="Q77" i="14" l="1"/>
  <c r="AI77" i="2"/>
  <c r="AJ77" i="2" s="1"/>
  <c r="AK77" i="2" s="1"/>
  <c r="AL77" i="2" l="1"/>
  <c r="AM77" i="2" s="1"/>
  <c r="AN77" i="2" s="1"/>
  <c r="AO77" i="2" s="1"/>
  <c r="AP77" i="2" s="1"/>
  <c r="AF60" i="2"/>
  <c r="AG60" i="2" l="1"/>
  <c r="AG53" i="2"/>
  <c r="AF40" i="4" l="1"/>
  <c r="AE100" i="1"/>
  <c r="AE41" i="4" l="1"/>
  <c r="AF100" i="1"/>
  <c r="AE134" i="1"/>
  <c r="AE43" i="4" l="1"/>
  <c r="AE59" i="4"/>
  <c r="AE48" i="4" l="1"/>
  <c r="AE49" i="4"/>
  <c r="AE50" i="4"/>
  <c r="AE54" i="5" s="1"/>
  <c r="AF54" i="5" s="1"/>
  <c r="AG54" i="5" s="1"/>
  <c r="AH54" i="5" s="1"/>
  <c r="AI54" i="5" s="1"/>
  <c r="AJ54" i="5" s="1"/>
  <c r="AK54" i="5" s="1"/>
  <c r="AL54" i="5" s="1"/>
  <c r="AM54" i="5" s="1"/>
  <c r="AN54" i="5" s="1"/>
  <c r="AO54" i="5" s="1"/>
  <c r="AP54" i="5" s="1"/>
  <c r="AE51" i="4"/>
  <c r="AE57" i="4"/>
  <c r="AE44" i="4"/>
  <c r="AE52" i="4" s="1"/>
  <c r="AG100" i="1"/>
  <c r="AH40" i="4"/>
  <c r="AI40" i="4" l="1"/>
  <c r="AE7" i="10"/>
  <c r="AE10" i="9" s="1"/>
  <c r="AE133" i="1"/>
  <c r="AE97" i="1"/>
  <c r="AE94" i="1"/>
  <c r="AE108" i="1" s="1"/>
  <c r="AH100" i="1"/>
  <c r="AI100" i="1"/>
  <c r="AJ40" i="4" l="1"/>
  <c r="AJ100" i="1" s="1"/>
  <c r="AE6" i="10"/>
  <c r="AE9" i="9" s="1"/>
  <c r="AK40" i="4" l="1"/>
  <c r="AK100" i="1" s="1"/>
  <c r="AE107" i="1"/>
  <c r="AE135" i="1"/>
  <c r="AL40" i="4" l="1"/>
  <c r="AL100" i="1" s="1"/>
  <c r="AM40" i="4" l="1"/>
  <c r="AM100" i="1" s="1"/>
  <c r="AN40" i="4" l="1"/>
  <c r="AN100" i="1" s="1"/>
  <c r="AP40" i="4" l="1"/>
  <c r="AP100" i="1" s="1"/>
  <c r="AO40" i="4"/>
  <c r="AO100" i="1" s="1"/>
  <c r="AG23" i="4" l="1"/>
  <c r="AF3" i="4"/>
  <c r="AF5" i="4" l="1"/>
  <c r="I19" i="15"/>
  <c r="AF55" i="1"/>
  <c r="AF79" i="2" s="1"/>
  <c r="N24" i="12"/>
  <c r="L22" i="15" l="1"/>
  <c r="J22" i="15"/>
  <c r="N79" i="14"/>
  <c r="AF72" i="1"/>
  <c r="AG22" i="4"/>
  <c r="N26" i="12"/>
  <c r="AF96" i="1"/>
  <c r="AF73" i="1"/>
  <c r="AG19" i="4"/>
  <c r="AH19" i="4" s="1"/>
  <c r="AI19" i="4" s="1"/>
  <c r="AJ19" i="4" s="1"/>
  <c r="AK19" i="4" s="1"/>
  <c r="AL19" i="4" s="1"/>
  <c r="J21" i="15" l="1"/>
  <c r="AM19" i="4"/>
  <c r="AN19" i="4" s="1"/>
  <c r="AO19" i="4" s="1"/>
  <c r="AP19" i="4" s="1"/>
  <c r="AG73" i="1"/>
  <c r="N27" i="12"/>
  <c r="AH73" i="1" l="1"/>
  <c r="AI73" i="1" l="1"/>
  <c r="V80" i="8" l="1"/>
  <c r="V77" i="8" s="1"/>
  <c r="V23" i="8" s="1"/>
  <c r="V20" i="8" s="1"/>
  <c r="V17" i="8" s="1"/>
  <c r="V27" i="8" s="1"/>
  <c r="V82" i="8" l="1"/>
  <c r="R27" i="12"/>
  <c r="R26" i="12"/>
  <c r="AJ96" i="1"/>
  <c r="AK73" i="1" l="1"/>
  <c r="AJ73" i="1"/>
  <c r="AL73" i="1" l="1"/>
  <c r="AM73" i="1" l="1"/>
  <c r="AN22" i="1"/>
  <c r="AN73" i="1" l="1"/>
  <c r="AO22" i="1"/>
  <c r="AP22" i="1" l="1"/>
  <c r="AP73" i="1" s="1"/>
  <c r="AO73" i="1"/>
  <c r="AE7" i="6" l="1"/>
  <c r="AE26" i="2"/>
  <c r="AE165" i="2"/>
  <c r="AE160" i="2" s="1"/>
  <c r="AE29" i="6" l="1"/>
  <c r="AE11" i="6"/>
  <c r="AE25" i="6"/>
  <c r="AF109" i="2" l="1"/>
  <c r="AF107" i="2" l="1"/>
  <c r="AF110" i="2" s="1"/>
  <c r="AF102" i="2"/>
  <c r="AF76" i="2" s="1"/>
  <c r="AF101" i="2" l="1"/>
  <c r="N11" i="12" l="1"/>
  <c r="AF15" i="1" l="1"/>
  <c r="AF24" i="1"/>
  <c r="AF13" i="1" l="1"/>
  <c r="AF25" i="1"/>
  <c r="AF10" i="7"/>
  <c r="AF79" i="1" l="1"/>
  <c r="AF27" i="1"/>
  <c r="AF2" i="1"/>
  <c r="AF84" i="1"/>
  <c r="AF87" i="1"/>
  <c r="AW87" i="1" s="1"/>
  <c r="AF85" i="1"/>
  <c r="AF86" i="1"/>
  <c r="AW86" i="1" s="1"/>
  <c r="AF83" i="1"/>
  <c r="AW83" i="1" s="1"/>
  <c r="AF93" i="1"/>
  <c r="AF3" i="10" s="1"/>
  <c r="AF81" i="1"/>
  <c r="AF89" i="1" s="1"/>
  <c r="AF82" i="1"/>
  <c r="AW82" i="1" s="1"/>
  <c r="AF90" i="1" l="1"/>
  <c r="AF24" i="10"/>
  <c r="AF2" i="8"/>
  <c r="I5" i="15"/>
  <c r="I8" i="15" s="1"/>
  <c r="AW89" i="1"/>
  <c r="AW81" i="1"/>
  <c r="AF80" i="1"/>
  <c r="AF78" i="1" s="1"/>
  <c r="AF44" i="8"/>
  <c r="AF39" i="8" s="1"/>
  <c r="AF27" i="10" s="1"/>
  <c r="AF9" i="1"/>
  <c r="N3" i="12"/>
  <c r="AF7" i="1"/>
  <c r="AF6" i="1" s="1"/>
  <c r="AF43" i="3"/>
  <c r="AF45" i="3" s="1"/>
  <c r="AW90" i="1"/>
  <c r="AW85" i="1"/>
  <c r="AF39" i="4"/>
  <c r="AF38" i="4"/>
  <c r="AF98" i="1"/>
  <c r="AW79" i="1"/>
  <c r="AF6" i="9" l="1"/>
  <c r="AF29" i="10"/>
  <c r="G27" i="15"/>
  <c r="J8" i="15"/>
  <c r="H27" i="15" s="1"/>
  <c r="AW78" i="1"/>
  <c r="AF40" i="8"/>
  <c r="AF38" i="8" s="1"/>
  <c r="AF62" i="8"/>
  <c r="AF64" i="8" s="1"/>
  <c r="AF49" i="8"/>
  <c r="AF19" i="8" s="1"/>
  <c r="AF80" i="8"/>
  <c r="AF82" i="8" s="1"/>
  <c r="AF56" i="8"/>
  <c r="AF55" i="8" s="1"/>
  <c r="AF134" i="1"/>
  <c r="AW80" i="1"/>
  <c r="AF128" i="1"/>
  <c r="AF77" i="8" l="1"/>
  <c r="AF23" i="8" s="1"/>
  <c r="AF36" i="4"/>
  <c r="AF33" i="4" s="1"/>
  <c r="AF84" i="8" l="1"/>
  <c r="AF34" i="8" s="1"/>
  <c r="AF33" i="8" s="1"/>
  <c r="AF105" i="8"/>
  <c r="AF37" i="8" l="1"/>
  <c r="AF106" i="8"/>
  <c r="AF35" i="7" l="1"/>
  <c r="AF31" i="7" s="1"/>
  <c r="AG15" i="7" s="1"/>
  <c r="J19" i="15" l="1"/>
  <c r="AF37" i="1"/>
  <c r="AF71" i="1" s="1"/>
  <c r="N25" i="12"/>
  <c r="AG16" i="7" l="1"/>
  <c r="AF42" i="1"/>
  <c r="AF54" i="1"/>
  <c r="O28" i="12" l="1"/>
  <c r="AG52" i="11"/>
  <c r="AG8" i="1"/>
  <c r="AG68" i="11"/>
  <c r="AG74" i="11"/>
  <c r="AG80" i="11"/>
  <c r="AG29" i="11"/>
  <c r="AG28" i="11" s="1"/>
  <c r="AF59" i="1"/>
  <c r="AF76" i="1"/>
  <c r="AG72" i="11" l="1"/>
  <c r="AG50" i="11"/>
  <c r="AG78" i="11"/>
  <c r="AG66" i="11"/>
  <c r="AH53" i="2" l="1"/>
  <c r="AI53" i="2" s="1"/>
  <c r="AH60" i="2"/>
  <c r="AJ60" i="2" l="1"/>
  <c r="AJ53" i="2"/>
  <c r="AK60" i="2" l="1"/>
  <c r="AK53" i="2"/>
  <c r="AL60" i="2" l="1"/>
  <c r="AL53" i="2"/>
  <c r="AM60" i="2" l="1"/>
  <c r="AM53" i="2"/>
  <c r="AN60" i="2" l="1"/>
  <c r="AN53" i="2"/>
  <c r="AO60" i="2" l="1"/>
  <c r="AO53" i="2"/>
  <c r="AA10" i="9" l="1"/>
  <c r="Z10" i="9"/>
  <c r="AE83" i="11" l="1"/>
  <c r="AE84" i="11" s="1"/>
  <c r="AE82" i="11"/>
  <c r="AG82" i="11" s="1"/>
  <c r="AH82" i="11" s="1"/>
  <c r="AE58" i="11"/>
  <c r="AE53" i="11" s="1"/>
  <c r="AI82" i="11" l="1"/>
  <c r="AJ82" i="11" s="1"/>
  <c r="AG58" i="11"/>
  <c r="AG56" i="11" s="1"/>
  <c r="AG5" i="11" s="1"/>
  <c r="AK82" i="11" l="1"/>
  <c r="AL82" i="11" s="1"/>
  <c r="AM82" i="11" s="1"/>
  <c r="AN82" i="11" s="1"/>
  <c r="AO82" i="11" s="1"/>
  <c r="AP82" i="11" s="1"/>
  <c r="AG12" i="11"/>
  <c r="AG2" i="11"/>
  <c r="AH144" i="11" s="1"/>
  <c r="AG6" i="11"/>
  <c r="AG153" i="11" s="1"/>
  <c r="AG154" i="11" s="1"/>
  <c r="AG83" i="11"/>
  <c r="I14" i="15" l="1"/>
  <c r="AF2" i="11"/>
  <c r="N9" i="12"/>
  <c r="O9" i="12"/>
  <c r="K14" i="15"/>
  <c r="AG84" i="11"/>
  <c r="AG11" i="11" l="1"/>
  <c r="AG144" i="11"/>
  <c r="AG3" i="11"/>
  <c r="AG142" i="11" s="1"/>
  <c r="AG143" i="11" s="1"/>
  <c r="AF11" i="11"/>
  <c r="AF4" i="11"/>
  <c r="AF57" i="5" s="1"/>
  <c r="I13" i="15"/>
  <c r="N6" i="12"/>
  <c r="N10" i="12"/>
  <c r="J14" i="15"/>
  <c r="O10" i="12"/>
  <c r="L14" i="15"/>
  <c r="N8" i="12" l="1"/>
  <c r="AF33" i="1"/>
  <c r="AF56" i="5" s="1"/>
  <c r="N7" i="12"/>
  <c r="J13" i="15"/>
  <c r="AF50" i="1" l="1"/>
  <c r="AF113" i="1"/>
  <c r="AF67" i="1"/>
  <c r="AF26" i="4"/>
  <c r="N136" i="14"/>
  <c r="AF136" i="2"/>
  <c r="N137" i="14" l="1"/>
  <c r="N78" i="14" s="1"/>
  <c r="AF27" i="4"/>
  <c r="AF29" i="4" s="1"/>
  <c r="AF137" i="2"/>
  <c r="AF78" i="2" s="1"/>
  <c r="AF82" i="2" s="1"/>
  <c r="AF85" i="2" s="1"/>
  <c r="AF25" i="4" l="1"/>
  <c r="AF30" i="4"/>
  <c r="AF31" i="4" s="1"/>
  <c r="AF32" i="4" s="1"/>
  <c r="AF37" i="4" l="1"/>
  <c r="AF58" i="4" s="1"/>
  <c r="AF41" i="4" l="1"/>
  <c r="N20" i="12"/>
  <c r="AF44" i="2"/>
  <c r="I12" i="15"/>
  <c r="AF227" i="2"/>
  <c r="AF218" i="2"/>
  <c r="AF43" i="4" l="1"/>
  <c r="AF59" i="4"/>
  <c r="J12" i="15"/>
  <c r="N21" i="12"/>
  <c r="AF49" i="4" l="1"/>
  <c r="AF48" i="4"/>
  <c r="AF50" i="4"/>
  <c r="AG50" i="4" s="1"/>
  <c r="AF95" i="1"/>
  <c r="AF7" i="10" s="1"/>
  <c r="AF57" i="4"/>
  <c r="AF45" i="4"/>
  <c r="AG45" i="4" s="1"/>
  <c r="AH45" i="4" s="1"/>
  <c r="AI45" i="4" s="1"/>
  <c r="AJ45" i="4" s="1"/>
  <c r="AK45" i="4" s="1"/>
  <c r="AL45" i="4" s="1"/>
  <c r="AM45" i="4" s="1"/>
  <c r="AN45" i="4" s="1"/>
  <c r="AO45" i="4" s="1"/>
  <c r="AP45" i="4" s="1"/>
  <c r="AG57" i="4"/>
  <c r="AF44" i="4"/>
  <c r="AF52" i="4" s="1"/>
  <c r="AF51" i="4"/>
  <c r="O7" i="12"/>
  <c r="L13" i="15"/>
  <c r="AG33" i="1"/>
  <c r="AG16" i="1" s="1"/>
  <c r="K13" i="15"/>
  <c r="O6" i="12"/>
  <c r="O11" i="12"/>
  <c r="K15" i="15"/>
  <c r="AG56" i="5" l="1"/>
  <c r="AG26" i="4" s="1"/>
  <c r="AH50" i="4"/>
  <c r="AG47" i="4"/>
  <c r="AF10" i="9"/>
  <c r="AG95" i="1"/>
  <c r="AF97" i="1"/>
  <c r="AF133" i="1"/>
  <c r="AF94" i="1"/>
  <c r="AG113" i="1"/>
  <c r="O136" i="14"/>
  <c r="AG50" i="1"/>
  <c r="AG136" i="2"/>
  <c r="P11" i="12"/>
  <c r="M15" i="15"/>
  <c r="AF6" i="10" l="1"/>
  <c r="AF9" i="9" s="1"/>
  <c r="AH95" i="1"/>
  <c r="AG7" i="10"/>
  <c r="AG10" i="9" s="1"/>
  <c r="AI50" i="4"/>
  <c r="AH47" i="4"/>
  <c r="Q11" i="12"/>
  <c r="O15" i="15"/>
  <c r="O137" i="14"/>
  <c r="O78" i="14" s="1"/>
  <c r="AG27" i="4"/>
  <c r="AG29" i="4" s="1"/>
  <c r="AG137" i="2"/>
  <c r="AG78" i="2" s="1"/>
  <c r="AJ50" i="4" l="1"/>
  <c r="AI47" i="4"/>
  <c r="AH97" i="1"/>
  <c r="AI95" i="1"/>
  <c r="AH7" i="10"/>
  <c r="AH10" i="9" s="1"/>
  <c r="Q15" i="15"/>
  <c r="R11" i="12"/>
  <c r="AG30" i="4"/>
  <c r="AG31" i="4" s="1"/>
  <c r="AG32" i="4" s="1"/>
  <c r="AG25" i="4"/>
  <c r="AJ95" i="1" l="1"/>
  <c r="AK95" i="1" s="1"/>
  <c r="AI7" i="10"/>
  <c r="AI10" i="9" s="1"/>
  <c r="AI97" i="1"/>
  <c r="AK50" i="4"/>
  <c r="AJ47" i="4"/>
  <c r="AG51" i="4"/>
  <c r="AG44" i="4"/>
  <c r="AG52" i="4" s="1"/>
  <c r="S11" i="12"/>
  <c r="S15" i="15"/>
  <c r="AL95" i="1" l="1"/>
  <c r="AM95" i="1" s="1"/>
  <c r="AK97" i="1"/>
  <c r="AL50" i="4"/>
  <c r="AK47" i="4"/>
  <c r="AJ7" i="10"/>
  <c r="AJ10" i="9" s="1"/>
  <c r="AJ97" i="1"/>
  <c r="U15" i="15"/>
  <c r="T11" i="12"/>
  <c r="AL13" i="11"/>
  <c r="AK7" i="10" l="1"/>
  <c r="AK10" i="9" s="1"/>
  <c r="AM50" i="4"/>
  <c r="AL47" i="4"/>
  <c r="W15" i="15"/>
  <c r="U11" i="12"/>
  <c r="AN13" i="11"/>
  <c r="AM47" i="4" l="1"/>
  <c r="AN50" i="4"/>
  <c r="AL97" i="1"/>
  <c r="AL7" i="10"/>
  <c r="AL10" i="9" s="1"/>
  <c r="V11" i="12"/>
  <c r="Y15" i="15"/>
  <c r="AN95" i="1" l="1"/>
  <c r="AM97" i="1"/>
  <c r="AM7" i="10"/>
  <c r="AM10" i="9" s="1"/>
  <c r="AO50" i="4"/>
  <c r="AN47" i="4"/>
  <c r="AA15" i="15"/>
  <c r="W11" i="12"/>
  <c r="AO13" i="11"/>
  <c r="AP50" i="4" l="1"/>
  <c r="AP47" i="4" s="1"/>
  <c r="AO47" i="4"/>
  <c r="AO95" i="1"/>
  <c r="AN97" i="1"/>
  <c r="AN7" i="10"/>
  <c r="AN10" i="9" s="1"/>
  <c r="AC15" i="15"/>
  <c r="AP13" i="11"/>
  <c r="X11" i="12"/>
  <c r="AP95" i="1" l="1"/>
  <c r="AO97" i="1"/>
  <c r="AO7" i="10"/>
  <c r="AO10" i="9" s="1"/>
  <c r="AP97" i="1" l="1"/>
  <c r="AP51" i="6" s="1"/>
  <c r="AP7" i="10"/>
  <c r="AP10" i="9" s="1"/>
  <c r="AF4" i="2" l="1"/>
  <c r="AF222" i="2"/>
  <c r="AF235" i="2" s="1"/>
  <c r="N18" i="12"/>
  <c r="I11" i="15"/>
  <c r="AF2" i="2" l="1"/>
  <c r="AF57" i="2"/>
  <c r="AF33" i="2"/>
  <c r="AF221" i="2"/>
  <c r="AF234" i="2" s="1"/>
  <c r="AF223" i="2"/>
  <c r="AF236" i="2" s="1"/>
  <c r="N13" i="12"/>
  <c r="AF224" i="2"/>
  <c r="I9" i="15"/>
  <c r="AF237" i="2" l="1"/>
  <c r="AF225" i="2"/>
  <c r="AF238" i="2" s="1"/>
  <c r="AF63" i="2"/>
  <c r="AF4" i="3"/>
  <c r="J11" i="15" l="1"/>
  <c r="N19" i="12"/>
  <c r="J9" i="15" l="1"/>
  <c r="AF58" i="2"/>
  <c r="AF62" i="2"/>
  <c r="AF34" i="1" l="1"/>
  <c r="AF59" i="2"/>
  <c r="AF51" i="1" l="1"/>
  <c r="AF68" i="1"/>
  <c r="N14" i="12"/>
  <c r="N15" i="12" s="1"/>
  <c r="AF36" i="1"/>
  <c r="AF41" i="1" s="1"/>
  <c r="AF32" i="1"/>
  <c r="AF75" i="1" l="1"/>
  <c r="AF58" i="1"/>
  <c r="AF66" i="1"/>
  <c r="AF31" i="1"/>
  <c r="AF30" i="1" s="1"/>
  <c r="AF49" i="1"/>
  <c r="AF65" i="1" l="1"/>
  <c r="AF48" i="1"/>
  <c r="AF64" i="1"/>
  <c r="AF3" i="1" l="1"/>
  <c r="AF4" i="1"/>
  <c r="AF47" i="1"/>
  <c r="J6" i="15" l="1"/>
  <c r="N5" i="12"/>
  <c r="J5" i="15"/>
  <c r="N4" i="12"/>
  <c r="AF5" i="1"/>
  <c r="AG12" i="2"/>
  <c r="AH12" i="2" l="1"/>
  <c r="AI12" i="2" l="1"/>
  <c r="AJ12" i="2" l="1"/>
  <c r="AK12" i="2" l="1"/>
  <c r="AL12" i="2" l="1"/>
  <c r="AM12" i="2" l="1"/>
  <c r="AN12" i="2" l="1"/>
  <c r="AO12" i="2" l="1"/>
  <c r="AP12" i="2" l="1"/>
  <c r="AF141" i="2" l="1"/>
  <c r="AH84" i="2" l="1"/>
  <c r="AI84" i="2" l="1"/>
  <c r="AJ84" i="2" l="1"/>
  <c r="AK84" i="2" l="1"/>
  <c r="AL84" i="2" l="1"/>
  <c r="AM84" i="2" l="1"/>
  <c r="AN84" i="2" l="1"/>
  <c r="AO84" i="2" l="1"/>
  <c r="AP84" i="2" l="1"/>
  <c r="N49" i="14" l="1"/>
  <c r="N34" i="14"/>
  <c r="N37" i="14"/>
  <c r="N40" i="14"/>
  <c r="N51" i="14"/>
  <c r="O51" i="14" s="1"/>
  <c r="N54" i="14"/>
  <c r="O54" i="14" s="1"/>
  <c r="P54" i="14" s="1"/>
  <c r="Q54" i="14" s="1"/>
  <c r="N43" i="14"/>
  <c r="N52" i="14"/>
  <c r="O52" i="14" s="1"/>
  <c r="N35" i="14"/>
  <c r="N44" i="14"/>
  <c r="N39" i="14"/>
  <c r="N185" i="14"/>
  <c r="N33" i="14"/>
  <c r="N62" i="14" s="1"/>
  <c r="O62" i="14" s="1"/>
  <c r="P62" i="14" s="1"/>
  <c r="Q62" i="14" s="1"/>
  <c r="N58" i="14"/>
  <c r="N59" i="14" s="1"/>
  <c r="N109" i="14" l="1"/>
  <c r="N107" i="14" s="1"/>
  <c r="O49" i="14"/>
  <c r="P49" i="14" s="1"/>
  <c r="Q49" i="14" s="1"/>
  <c r="O116" i="14"/>
  <c r="P52" i="14"/>
  <c r="P51" i="14"/>
  <c r="O109" i="14"/>
  <c r="N116" i="14"/>
  <c r="N102" i="14" s="1"/>
  <c r="N110" i="14"/>
  <c r="N76" i="14" l="1"/>
  <c r="N101" i="14"/>
  <c r="P109" i="14"/>
  <c r="Q51" i="14"/>
  <c r="Q109" i="14" s="1"/>
  <c r="O102" i="14"/>
  <c r="O101" i="14" s="1"/>
  <c r="O107" i="14"/>
  <c r="O110" i="14" s="1"/>
  <c r="Q52" i="14"/>
  <c r="Q116" i="14" s="1"/>
  <c r="P116" i="14"/>
  <c r="Q102" i="14" l="1"/>
  <c r="Q107" i="14"/>
  <c r="Q110" i="14" s="1"/>
  <c r="P107" i="14"/>
  <c r="P110" i="14" s="1"/>
  <c r="P102" i="14"/>
  <c r="P101" i="14" s="1"/>
  <c r="O76" i="14"/>
  <c r="N82" i="14"/>
  <c r="P76" i="14" l="1"/>
  <c r="N81" i="14"/>
  <c r="N84" i="14" s="1"/>
  <c r="Q101" i="14"/>
  <c r="Q76" i="14" l="1"/>
  <c r="N141" i="14"/>
  <c r="AF8" i="4" l="1"/>
  <c r="AF112" i="1" l="1"/>
  <c r="J20" i="15"/>
  <c r="AF111" i="1" l="1"/>
  <c r="AF114" i="1"/>
  <c r="AG13" i="4" l="1"/>
  <c r="AG96" i="1"/>
  <c r="AG97" i="1" s="1"/>
  <c r="O24" i="12"/>
  <c r="K19" i="15"/>
  <c r="K20" i="15"/>
  <c r="AG55" i="1" l="1"/>
  <c r="O79" i="14" l="1"/>
  <c r="AG79" i="2"/>
  <c r="AG72" i="1"/>
  <c r="AH55" i="1"/>
  <c r="AI38" i="1" l="1"/>
  <c r="AI55" i="1" s="1"/>
  <c r="AH79" i="2"/>
  <c r="O82" i="14"/>
  <c r="O81" i="14" s="1"/>
  <c r="O84" i="14" s="1"/>
  <c r="P79" i="14"/>
  <c r="AH72" i="1"/>
  <c r="O141" i="14" l="1"/>
  <c r="Q79" i="14"/>
  <c r="AI72" i="1"/>
  <c r="AI79" i="2"/>
  <c r="AJ55" i="1"/>
  <c r="AJ72" i="1" l="1"/>
  <c r="AJ79" i="2"/>
  <c r="AK55" i="1"/>
  <c r="AK79" i="2" l="1"/>
  <c r="AK72" i="1"/>
  <c r="AL55" i="1"/>
  <c r="AL72" i="1" l="1"/>
  <c r="AL79" i="2"/>
  <c r="AM72" i="1"/>
  <c r="AO21" i="1"/>
  <c r="AN38" i="1" l="1"/>
  <c r="AN72" i="1" s="1"/>
  <c r="AM55" i="1"/>
  <c r="AO38" i="1" l="1"/>
  <c r="AO72" i="1" s="1"/>
  <c r="AP21" i="1"/>
  <c r="AN55" i="1"/>
  <c r="AM79" i="2"/>
  <c r="AN79" i="2" l="1"/>
  <c r="AP38" i="1"/>
  <c r="AP72" i="1" s="1"/>
  <c r="AO55" i="1"/>
  <c r="AP55" i="1" l="1"/>
  <c r="AO79" i="2"/>
  <c r="AP79" i="2" l="1"/>
  <c r="AP9" i="2"/>
  <c r="AP14" i="2" s="1"/>
  <c r="AO9" i="2"/>
  <c r="AO14" i="2" s="1"/>
  <c r="AH9" i="2"/>
  <c r="AH14" i="2" s="1"/>
  <c r="AI9" i="2"/>
  <c r="AI14" i="2" s="1"/>
  <c r="AJ9" i="2"/>
  <c r="AJ14" i="2" s="1"/>
  <c r="AK9" i="2"/>
  <c r="AL9" i="2"/>
  <c r="AM9" i="2"/>
  <c r="AN9" i="2"/>
  <c r="AN14" i="2" s="1"/>
  <c r="AG9" i="2"/>
  <c r="AO28" i="2" l="1"/>
  <c r="AJ28" i="2"/>
  <c r="AI28" i="2"/>
  <c r="AP28" i="2"/>
  <c r="AM14" i="2"/>
  <c r="AN28" i="2" s="1"/>
  <c r="AL14" i="2"/>
  <c r="AK14" i="2"/>
  <c r="AM28" i="2" l="1"/>
  <c r="AL28" i="2"/>
  <c r="AK28" i="2"/>
  <c r="AF45" i="5" l="1"/>
  <c r="AG45" i="5" s="1"/>
  <c r="AH45" i="5" s="1"/>
  <c r="AI45" i="5" s="1"/>
  <c r="AJ45" i="5" s="1"/>
  <c r="AK45" i="5" s="1"/>
  <c r="AL45" i="5" s="1"/>
  <c r="AM45" i="5" s="1"/>
  <c r="AN45" i="5" s="1"/>
  <c r="AO45" i="5" s="1"/>
  <c r="AP45" i="5" s="1"/>
  <c r="AF153" i="2"/>
  <c r="AF27" i="2" l="1"/>
  <c r="AF157" i="2"/>
  <c r="AF158" i="2"/>
  <c r="AF16" i="6"/>
  <c r="AG13" i="2"/>
  <c r="AH13" i="2" l="1"/>
  <c r="AG11" i="2"/>
  <c r="AH25" i="2"/>
  <c r="AF7" i="6"/>
  <c r="AG27" i="2"/>
  <c r="AG25" i="2" s="1"/>
  <c r="AF25" i="6" l="1"/>
  <c r="AG51" i="2"/>
  <c r="AG40" i="2"/>
  <c r="AH11" i="2"/>
  <c r="AI25" i="2"/>
  <c r="AI13" i="2"/>
  <c r="AH51" i="2" l="1"/>
  <c r="AG109" i="2"/>
  <c r="AH40" i="2"/>
  <c r="AJ25" i="2"/>
  <c r="AJ13" i="2"/>
  <c r="AI11" i="2"/>
  <c r="AF72" i="8" l="1"/>
  <c r="AF18" i="8"/>
  <c r="AK25" i="2"/>
  <c r="AK13" i="2"/>
  <c r="AJ11" i="2"/>
  <c r="AG107" i="2"/>
  <c r="AI51" i="2"/>
  <c r="AH109" i="2"/>
  <c r="M11" i="15"/>
  <c r="P18" i="12"/>
  <c r="AI40" i="2"/>
  <c r="AJ40" i="2" l="1"/>
  <c r="AF71" i="8"/>
  <c r="O11" i="15"/>
  <c r="AI217" i="2"/>
  <c r="Q18" i="12"/>
  <c r="I33" i="15"/>
  <c r="AH107" i="2"/>
  <c r="AK11" i="2"/>
  <c r="AL13" i="2"/>
  <c r="AL25" i="2"/>
  <c r="AI109" i="2"/>
  <c r="AJ51" i="2"/>
  <c r="J33" i="15" l="1"/>
  <c r="AI107" i="2"/>
  <c r="AF36" i="8"/>
  <c r="AF60" i="8"/>
  <c r="AF69" i="8"/>
  <c r="AF6" i="8"/>
  <c r="AL11" i="2"/>
  <c r="AM25" i="2"/>
  <c r="AM13" i="2"/>
  <c r="R18" i="12"/>
  <c r="Q11" i="15"/>
  <c r="AJ217" i="2"/>
  <c r="AK51" i="2"/>
  <c r="AJ109" i="2"/>
  <c r="AK40" i="2"/>
  <c r="AK8" i="2"/>
  <c r="AL51" i="2" l="1"/>
  <c r="AK109" i="2"/>
  <c r="I34" i="15"/>
  <c r="AJ107" i="2"/>
  <c r="AN13" i="2"/>
  <c r="AN25" i="2"/>
  <c r="AM11" i="2"/>
  <c r="S18" i="12"/>
  <c r="S11" i="15"/>
  <c r="AK217" i="2"/>
  <c r="AF68" i="8"/>
  <c r="AF67" i="8" s="1"/>
  <c r="AF22" i="8" s="1"/>
  <c r="AL40" i="2"/>
  <c r="AL8" i="2"/>
  <c r="AF59" i="8"/>
  <c r="AF54" i="8" l="1"/>
  <c r="AF21" i="8" s="1"/>
  <c r="AF20" i="8" s="1"/>
  <c r="AF17" i="8" s="1"/>
  <c r="AF108" i="8"/>
  <c r="AL109" i="2"/>
  <c r="AM51" i="2"/>
  <c r="J34" i="15"/>
  <c r="J32" i="15" s="1"/>
  <c r="I32" i="15"/>
  <c r="U11" i="15"/>
  <c r="AL217" i="2"/>
  <c r="T18" i="12"/>
  <c r="AM40" i="2"/>
  <c r="AM8" i="2"/>
  <c r="AK107" i="2"/>
  <c r="AO13" i="2"/>
  <c r="AO25" i="2"/>
  <c r="AN11" i="2"/>
  <c r="AP13" i="2" l="1"/>
  <c r="AP11" i="2" s="1"/>
  <c r="AO11" i="2"/>
  <c r="AP25" i="2"/>
  <c r="AN40" i="2"/>
  <c r="AN8" i="2"/>
  <c r="AM109" i="2"/>
  <c r="AN51" i="2"/>
  <c r="U18" i="12"/>
  <c r="AM217" i="2"/>
  <c r="W11" i="15"/>
  <c r="AF116" i="8"/>
  <c r="AL107" i="2"/>
  <c r="AP8" i="2" l="1"/>
  <c r="AP40" i="2"/>
  <c r="AO8" i="2"/>
  <c r="AO40" i="2"/>
  <c r="AO51" i="2"/>
  <c r="AN109" i="2"/>
  <c r="AM107" i="2"/>
  <c r="AN217" i="2"/>
  <c r="Y11" i="15"/>
  <c r="V18" i="12"/>
  <c r="AA11" i="15" l="1"/>
  <c r="W18" i="12"/>
  <c r="AO217" i="2"/>
  <c r="AC11" i="15"/>
  <c r="AP217" i="2"/>
  <c r="X18" i="12"/>
  <c r="AN107" i="2"/>
  <c r="AP51" i="2"/>
  <c r="AP109" i="2" s="1"/>
  <c r="AO109" i="2"/>
  <c r="AO107" i="2" l="1"/>
  <c r="AP107" i="2"/>
  <c r="AG182" i="2"/>
  <c r="AG17" i="6" s="1"/>
  <c r="AG8" i="6" s="1"/>
  <c r="O186" i="14" l="1"/>
  <c r="AG186" i="2"/>
  <c r="AG36" i="6"/>
  <c r="AG197" i="2"/>
  <c r="AG10" i="2" l="1"/>
  <c r="AG190" i="2"/>
  <c r="AG203" i="2"/>
  <c r="AG183" i="2"/>
  <c r="O190" i="14"/>
  <c r="O203" i="14"/>
  <c r="AG14" i="2" l="1"/>
  <c r="AG217" i="2" s="1"/>
  <c r="AG191" i="2"/>
  <c r="AH191" i="2" s="1"/>
  <c r="AI191" i="2" s="1"/>
  <c r="AJ191" i="2" s="1"/>
  <c r="AK191" i="2" s="1"/>
  <c r="AL191" i="2" s="1"/>
  <c r="AM191" i="2" s="1"/>
  <c r="AN191" i="2" s="1"/>
  <c r="AO191" i="2" s="1"/>
  <c r="AP191" i="2" s="1"/>
  <c r="AG192" i="2"/>
  <c r="AH192" i="2" s="1"/>
  <c r="AI192" i="2" s="1"/>
  <c r="AJ192" i="2" s="1"/>
  <c r="AK192" i="2" s="1"/>
  <c r="AL192" i="2" s="1"/>
  <c r="AM192" i="2" s="1"/>
  <c r="AN192" i="2" s="1"/>
  <c r="AO192" i="2" s="1"/>
  <c r="AP192" i="2" s="1"/>
  <c r="O192" i="14"/>
  <c r="P192" i="14" s="1"/>
  <c r="Q192" i="14" s="1"/>
  <c r="O191" i="14"/>
  <c r="P191" i="14" s="1"/>
  <c r="Q191" i="14" s="1"/>
  <c r="AG184" i="2"/>
  <c r="AG24" i="2" s="1"/>
  <c r="AG39" i="2" s="1"/>
  <c r="AG196" i="2" l="1"/>
  <c r="O18" i="12"/>
  <c r="AH217" i="2"/>
  <c r="K11" i="15"/>
  <c r="AG28" i="2"/>
  <c r="AG54" i="2" s="1"/>
  <c r="AH28" i="2"/>
  <c r="AH183" i="2"/>
  <c r="AG52" i="2"/>
  <c r="AG185" i="2"/>
  <c r="AG4" i="3" l="1"/>
  <c r="AH54" i="2"/>
  <c r="AI54" i="2" s="1"/>
  <c r="AJ54" i="2" s="1"/>
  <c r="AK54" i="2" s="1"/>
  <c r="AL54" i="2" s="1"/>
  <c r="AM54" i="2" s="1"/>
  <c r="AN54" i="2" s="1"/>
  <c r="AO54" i="2" s="1"/>
  <c r="AP54" i="2" s="1"/>
  <c r="AG110" i="2"/>
  <c r="AG116" i="2"/>
  <c r="AG102" i="2" s="1"/>
  <c r="AH184" i="2"/>
  <c r="AH24" i="2" s="1"/>
  <c r="AH52" i="2" s="1"/>
  <c r="AG22" i="2"/>
  <c r="AH196" i="2" l="1"/>
  <c r="AI183" i="2"/>
  <c r="AH116" i="2"/>
  <c r="AH102" i="2" s="1"/>
  <c r="AH101" i="2" s="1"/>
  <c r="AH110" i="2"/>
  <c r="O19" i="12"/>
  <c r="L11" i="15"/>
  <c r="AG37" i="2"/>
  <c r="AG101" i="2"/>
  <c r="AG76" i="2"/>
  <c r="AI184" i="2"/>
  <c r="AI24" i="2" s="1"/>
  <c r="AH4" i="3"/>
  <c r="AH185" i="2"/>
  <c r="AH39" i="2"/>
  <c r="AH22" i="2"/>
  <c r="AI185" i="2" l="1"/>
  <c r="AI22" i="2"/>
  <c r="AI39" i="2"/>
  <c r="AI4" i="3"/>
  <c r="AI196" i="2"/>
  <c r="AG82" i="2"/>
  <c r="AG90" i="2" s="1"/>
  <c r="AH76" i="2"/>
  <c r="AJ183" i="2"/>
  <c r="P19" i="12"/>
  <c r="N11" i="15"/>
  <c r="AH37" i="2"/>
  <c r="AI52" i="2"/>
  <c r="AG141" i="2" l="1"/>
  <c r="AG85" i="2"/>
  <c r="AI116" i="2"/>
  <c r="AI102" i="2" s="1"/>
  <c r="AI101" i="2" s="1"/>
  <c r="AI110" i="2"/>
  <c r="P11" i="15"/>
  <c r="Q19" i="12"/>
  <c r="AI37" i="2"/>
  <c r="AJ184" i="2"/>
  <c r="AJ24" i="2" s="1"/>
  <c r="AJ52" i="2" s="1"/>
  <c r="AJ196" i="2" l="1"/>
  <c r="AK183" i="2"/>
  <c r="AK184" i="2" s="1"/>
  <c r="AK24" i="2" s="1"/>
  <c r="AJ116" i="2"/>
  <c r="AJ102" i="2" s="1"/>
  <c r="AJ101" i="2" s="1"/>
  <c r="AJ110" i="2"/>
  <c r="AG218" i="2"/>
  <c r="AG29" i="2"/>
  <c r="AI76" i="2"/>
  <c r="AJ39" i="2"/>
  <c r="AJ4" i="3"/>
  <c r="AJ22" i="2"/>
  <c r="AJ185" i="2"/>
  <c r="AG44" i="2" l="1"/>
  <c r="AG18" i="2"/>
  <c r="O20" i="12"/>
  <c r="AG219" i="2"/>
  <c r="AG4" i="2"/>
  <c r="K9" i="15" s="1"/>
  <c r="AG30" i="2"/>
  <c r="K12" i="15"/>
  <c r="R19" i="12"/>
  <c r="R11" i="15"/>
  <c r="AJ37" i="2"/>
  <c r="AK39" i="2"/>
  <c r="AK4" i="3"/>
  <c r="AK185" i="2"/>
  <c r="AK22" i="2"/>
  <c r="O21" i="12"/>
  <c r="AL183" i="2"/>
  <c r="AK52" i="2"/>
  <c r="AK196" i="2"/>
  <c r="AJ76" i="2"/>
  <c r="AG33" i="2" l="1"/>
  <c r="AG62" i="2" s="1"/>
  <c r="AG224" i="2"/>
  <c r="AG2" i="2"/>
  <c r="AG223" i="2"/>
  <c r="AG222" i="2"/>
  <c r="AG235" i="2" s="1"/>
  <c r="AG221" i="2"/>
  <c r="AG234" i="2" s="1"/>
  <c r="AG57" i="2"/>
  <c r="O13" i="12"/>
  <c r="AK110" i="2"/>
  <c r="AK116" i="2"/>
  <c r="AK102" i="2" s="1"/>
  <c r="AK101" i="2" s="1"/>
  <c r="AK37" i="2"/>
  <c r="S19" i="12"/>
  <c r="T11" i="15"/>
  <c r="AG225" i="2"/>
  <c r="AL184" i="2"/>
  <c r="AL24" i="2" s="1"/>
  <c r="AG49" i="2"/>
  <c r="L9" i="15"/>
  <c r="AG58" i="2"/>
  <c r="AG34" i="1" s="1"/>
  <c r="AG63" i="2" l="1"/>
  <c r="AM183" i="2"/>
  <c r="AG68" i="1"/>
  <c r="AG15" i="1"/>
  <c r="AG35" i="4"/>
  <c r="AG24" i="1"/>
  <c r="AG51" i="1"/>
  <c r="O14" i="12"/>
  <c r="O15" i="12" s="1"/>
  <c r="AG36" i="1"/>
  <c r="AG41" i="1" s="1"/>
  <c r="AG58" i="1" s="1"/>
  <c r="AM184" i="2"/>
  <c r="AM24" i="2" s="1"/>
  <c r="AL196" i="2"/>
  <c r="AG59" i="2"/>
  <c r="AL39" i="2"/>
  <c r="AL185" i="2"/>
  <c r="AL4" i="3"/>
  <c r="AL22" i="2"/>
  <c r="AL52" i="2"/>
  <c r="AK76" i="2"/>
  <c r="AM196" i="2" l="1"/>
  <c r="AG75" i="1"/>
  <c r="AG10" i="7"/>
  <c r="AG5" i="7" s="1"/>
  <c r="AL37" i="2"/>
  <c r="T19" i="12"/>
  <c r="V11" i="15"/>
  <c r="AG25" i="1"/>
  <c r="AG13" i="1"/>
  <c r="AM52" i="2"/>
  <c r="AL116" i="2"/>
  <c r="AL102" i="2" s="1"/>
  <c r="AL101" i="2" s="1"/>
  <c r="AL110" i="2"/>
  <c r="AN183" i="2"/>
  <c r="AM39" i="2"/>
  <c r="AM22" i="2"/>
  <c r="AM185" i="2"/>
  <c r="AM4" i="3"/>
  <c r="AN184" i="2" l="1"/>
  <c r="AN24" i="2" s="1"/>
  <c r="AO183" i="2"/>
  <c r="AN196" i="2"/>
  <c r="AG38" i="2"/>
  <c r="AG2" i="1"/>
  <c r="AG85" i="1"/>
  <c r="AG86" i="1"/>
  <c r="AX86" i="1" s="1"/>
  <c r="AG87" i="1"/>
  <c r="AX87" i="1" s="1"/>
  <c r="AG79" i="1"/>
  <c r="AG93" i="1"/>
  <c r="AG27" i="1"/>
  <c r="AG84" i="1"/>
  <c r="AG81" i="1"/>
  <c r="AG83" i="1"/>
  <c r="AX83" i="1" s="1"/>
  <c r="AG82" i="1"/>
  <c r="AX82" i="1" s="1"/>
  <c r="AM37" i="2"/>
  <c r="U19" i="12"/>
  <c r="X11" i="15"/>
  <c r="AM116" i="2"/>
  <c r="AM102" i="2" s="1"/>
  <c r="AM101" i="2" s="1"/>
  <c r="AM110" i="2"/>
  <c r="AN52" i="2"/>
  <c r="AL76" i="2"/>
  <c r="AG38" i="4" l="1"/>
  <c r="AG39" i="4"/>
  <c r="AN110" i="2"/>
  <c r="AN116" i="2"/>
  <c r="AN102" i="2" s="1"/>
  <c r="AN101" i="2" s="1"/>
  <c r="AG89" i="1"/>
  <c r="AX89" i="1" s="1"/>
  <c r="AX81" i="1"/>
  <c r="AG80" i="1"/>
  <c r="AG78" i="1" s="1"/>
  <c r="AM76" i="2"/>
  <c r="AG24" i="10"/>
  <c r="AG44" i="8" s="1"/>
  <c r="AG39" i="8" s="1"/>
  <c r="AG7" i="1"/>
  <c r="AG6" i="1" s="1"/>
  <c r="AG43" i="3"/>
  <c r="AG45" i="3" s="1"/>
  <c r="AG9" i="1"/>
  <c r="AG2" i="8"/>
  <c r="O3" i="12"/>
  <c r="K5" i="15"/>
  <c r="K8" i="15" s="1"/>
  <c r="AG3" i="10"/>
  <c r="AG98" i="1"/>
  <c r="AG133" i="1"/>
  <c r="AG90" i="1"/>
  <c r="AX90" i="1" s="1"/>
  <c r="AX85" i="1"/>
  <c r="AX79" i="1"/>
  <c r="AO184" i="2"/>
  <c r="AO24" i="2" s="1"/>
  <c r="AN4" i="3"/>
  <c r="AN39" i="2"/>
  <c r="AN22" i="2"/>
  <c r="AN185" i="2"/>
  <c r="AO196" i="2" l="1"/>
  <c r="AP183" i="2"/>
  <c r="AP184" i="2" s="1"/>
  <c r="AP24" i="2" s="1"/>
  <c r="AG40" i="8"/>
  <c r="AG38" i="8" s="1"/>
  <c r="AG56" i="8"/>
  <c r="AG55" i="8" s="1"/>
  <c r="AG62" i="8"/>
  <c r="AG64" i="8" s="1"/>
  <c r="AG80" i="8"/>
  <c r="AG99" i="8" s="1"/>
  <c r="AG49" i="8"/>
  <c r="AG19" i="8" s="1"/>
  <c r="AG27" i="10"/>
  <c r="AG128" i="1" s="1"/>
  <c r="AG36" i="4" s="1"/>
  <c r="AN76" i="2"/>
  <c r="AG94" i="1"/>
  <c r="AG134" i="1"/>
  <c r="AX80" i="1"/>
  <c r="AO185" i="2"/>
  <c r="AO4" i="3"/>
  <c r="AO22" i="2"/>
  <c r="AO39" i="2"/>
  <c r="AX78" i="1"/>
  <c r="L8" i="15"/>
  <c r="J27" i="15" s="1"/>
  <c r="I27" i="15"/>
  <c r="AO52" i="2"/>
  <c r="AN37" i="2"/>
  <c r="Z11" i="15"/>
  <c r="V19" i="12"/>
  <c r="AG6" i="9"/>
  <c r="AG29" i="10"/>
  <c r="AG77" i="8" l="1"/>
  <c r="AG23" i="8" s="1"/>
  <c r="AG82" i="8"/>
  <c r="AO116" i="2"/>
  <c r="AO102" i="2" s="1"/>
  <c r="AO101" i="2" s="1"/>
  <c r="AP52" i="2"/>
  <c r="AO110" i="2"/>
  <c r="AO37" i="2"/>
  <c r="AB11" i="15"/>
  <c r="W19" i="12"/>
  <c r="AG33" i="4"/>
  <c r="AP39" i="2"/>
  <c r="AP185" i="2"/>
  <c r="AP196" i="2"/>
  <c r="AG6" i="10"/>
  <c r="AG9" i="9" s="1"/>
  <c r="AG20" i="7" l="1"/>
  <c r="AG37" i="4"/>
  <c r="AO76" i="2"/>
  <c r="AG105" i="8"/>
  <c r="AG84" i="8"/>
  <c r="AP110" i="2"/>
  <c r="AP116" i="2"/>
  <c r="AP102" i="2" s="1"/>
  <c r="AP101" i="2" s="1"/>
  <c r="AG6" i="7"/>
  <c r="AG4" i="7" s="1"/>
  <c r="AG8" i="4" l="1"/>
  <c r="AG7" i="4" s="1"/>
  <c r="AG4" i="4"/>
  <c r="AG11" i="4"/>
  <c r="AG58" i="4"/>
  <c r="AG41" i="4"/>
  <c r="AP76" i="2"/>
  <c r="AG34" i="8"/>
  <c r="AG33" i="8" s="1"/>
  <c r="AG37" i="8" s="1"/>
  <c r="AG106" i="8"/>
  <c r="AG59" i="4"/>
  <c r="AG3" i="7" l="1"/>
  <c r="AG10" i="4"/>
  <c r="AG71" i="1" l="1"/>
  <c r="AG35" i="7"/>
  <c r="AG39" i="7"/>
  <c r="AG32" i="7"/>
  <c r="L7" i="15"/>
  <c r="AG33" i="7"/>
  <c r="AG112" i="1" l="1"/>
  <c r="L20" i="15"/>
  <c r="AG37" i="1"/>
  <c r="L19" i="15"/>
  <c r="O25" i="12"/>
  <c r="AG31" i="7"/>
  <c r="AG111" i="1" l="1"/>
  <c r="AG114" i="1"/>
  <c r="AH16" i="7"/>
  <c r="AH15" i="7"/>
  <c r="AG42" i="1"/>
  <c r="AG54" i="1"/>
  <c r="AG32" i="1"/>
  <c r="AG31" i="1" s="1"/>
  <c r="AG30" i="1" s="1"/>
  <c r="AG64" i="1" s="1"/>
  <c r="AG59" i="1" l="1"/>
  <c r="AG76" i="1"/>
  <c r="AG49" i="1"/>
  <c r="AG66" i="1"/>
  <c r="AH58" i="11"/>
  <c r="AH29" i="11"/>
  <c r="AH80" i="11"/>
  <c r="AH8" i="1"/>
  <c r="AH74" i="11"/>
  <c r="P28" i="12"/>
  <c r="AH68" i="11"/>
  <c r="AH57" i="4"/>
  <c r="AH52" i="11"/>
  <c r="AH78" i="11" l="1"/>
  <c r="AH72" i="11"/>
  <c r="AH28" i="11"/>
  <c r="AG48" i="1"/>
  <c r="AG4" i="1"/>
  <c r="AG65" i="1"/>
  <c r="AH50" i="11"/>
  <c r="AH66" i="11"/>
  <c r="AH56" i="11"/>
  <c r="AG47" i="1" l="1"/>
  <c r="AG3" i="1"/>
  <c r="AH5" i="11"/>
  <c r="AH83" i="11"/>
  <c r="AG61" i="6" l="1"/>
  <c r="L5" i="15"/>
  <c r="O4" i="12"/>
  <c r="AG5" i="1"/>
  <c r="M14" i="15"/>
  <c r="AH12" i="11"/>
  <c r="AH6" i="11"/>
  <c r="AH153" i="11" s="1"/>
  <c r="AH154" i="11" s="1"/>
  <c r="AH84" i="11"/>
  <c r="P9" i="12"/>
  <c r="AH2" i="11"/>
  <c r="L6" i="15"/>
  <c r="O5" i="12"/>
  <c r="AI144" i="11" l="1"/>
  <c r="AH150" i="11"/>
  <c r="AH151" i="11" s="1"/>
  <c r="N14" i="15"/>
  <c r="P10" i="12"/>
  <c r="AH11" i="11"/>
  <c r="M13" i="15"/>
  <c r="P6" i="12"/>
  <c r="AH3" i="11"/>
  <c r="AH142" i="11" s="1"/>
  <c r="AH143" i="11" s="1"/>
  <c r="P7" i="12" l="1"/>
  <c r="AH33" i="1"/>
  <c r="N13" i="15"/>
  <c r="AH56" i="5" l="1"/>
  <c r="AH26" i="4" s="1"/>
  <c r="AH27" i="4" s="1"/>
  <c r="AH29" i="4" s="1"/>
  <c r="AH50" i="1"/>
  <c r="P136" i="14"/>
  <c r="AH113" i="1"/>
  <c r="AH136" i="2"/>
  <c r="AH25" i="4" l="1"/>
  <c r="AH30" i="4"/>
  <c r="AH31" i="4" s="1"/>
  <c r="AH32" i="4" s="1"/>
  <c r="AH137" i="2"/>
  <c r="AH78" i="2" s="1"/>
  <c r="P137" i="14"/>
  <c r="P78" i="14" s="1"/>
  <c r="AH44" i="4" l="1"/>
  <c r="AH52" i="4" s="1"/>
  <c r="AH51" i="4"/>
  <c r="P82" i="14"/>
  <c r="P81" i="14" s="1"/>
  <c r="P84" i="14" s="1"/>
  <c r="AH82" i="2"/>
  <c r="AH90" i="2" s="1"/>
  <c r="AH141" i="2" l="1"/>
  <c r="AH85" i="2"/>
  <c r="P141" i="14"/>
  <c r="AH17" i="2" l="1"/>
  <c r="AH15" i="2"/>
  <c r="AH29" i="2" s="1"/>
  <c r="AH44" i="2" s="1"/>
  <c r="AH218" i="2" l="1"/>
  <c r="AH30" i="2"/>
  <c r="AH227" i="2"/>
  <c r="M12" i="15"/>
  <c r="AH219" i="2"/>
  <c r="P20" i="12"/>
  <c r="AH4" i="2"/>
  <c r="AH2" i="2" s="1"/>
  <c r="N12" i="15"/>
  <c r="P21" i="12"/>
  <c r="AH18" i="2"/>
  <c r="P13" i="12" l="1"/>
  <c r="AH57" i="2"/>
  <c r="AH17" i="1" s="1"/>
  <c r="M9" i="15"/>
  <c r="AH224" i="2"/>
  <c r="AH237" i="2" s="1"/>
  <c r="AH222" i="2"/>
  <c r="AH235" i="2" s="1"/>
  <c r="AH223" i="2"/>
  <c r="AH236" i="2" s="1"/>
  <c r="AH221" i="2"/>
  <c r="AH234" i="2" s="1"/>
  <c r="AH58" i="2"/>
  <c r="AH34" i="1" s="1"/>
  <c r="N9" i="15"/>
  <c r="AH49" i="2"/>
  <c r="AH33" i="2"/>
  <c r="AH62" i="2" s="1"/>
  <c r="AH63" i="2" l="1"/>
  <c r="AH15" i="1"/>
  <c r="AH225" i="2"/>
  <c r="AH238" i="2" s="1"/>
  <c r="P14" i="12"/>
  <c r="P15" i="12" s="1"/>
  <c r="AH36" i="1"/>
  <c r="AH41" i="1" s="1"/>
  <c r="AH58" i="1" s="1"/>
  <c r="AH51" i="1"/>
  <c r="AH35" i="4"/>
  <c r="AH59" i="2"/>
  <c r="AH68" i="1" l="1"/>
  <c r="AH24" i="1"/>
  <c r="AH75" i="1" s="1"/>
  <c r="AH13" i="1"/>
  <c r="AH10" i="7"/>
  <c r="AH5" i="7" s="1"/>
  <c r="AH25" i="1" l="1"/>
  <c r="AH2" i="1"/>
  <c r="AH9" i="1" s="1"/>
  <c r="AH83" i="1"/>
  <c r="AH86" i="1"/>
  <c r="AH79" i="1"/>
  <c r="AH27" i="1"/>
  <c r="AH85" i="1"/>
  <c r="AH93" i="1"/>
  <c r="AH84" i="1"/>
  <c r="AH87" i="1"/>
  <c r="AH81" i="1"/>
  <c r="AH82" i="1"/>
  <c r="AH38" i="2"/>
  <c r="AH89" i="1" l="1"/>
  <c r="AH80" i="1"/>
  <c r="AH78" i="1" s="1"/>
  <c r="AH3" i="10"/>
  <c r="AH133" i="1"/>
  <c r="AH39" i="4"/>
  <c r="AH98" i="1"/>
  <c r="AH38" i="4"/>
  <c r="AH90" i="1"/>
  <c r="AH24" i="10"/>
  <c r="AH44" i="8" s="1"/>
  <c r="AH39" i="8" s="1"/>
  <c r="AH43" i="3"/>
  <c r="AH45" i="3" s="1"/>
  <c r="AH2" i="8"/>
  <c r="P3" i="12"/>
  <c r="M5" i="15"/>
  <c r="M8" i="15" s="1"/>
  <c r="AH7" i="1"/>
  <c r="AH6" i="1" s="1"/>
  <c r="AH80" i="8" l="1"/>
  <c r="AH49" i="8"/>
  <c r="AH19" i="8" s="1"/>
  <c r="AH62" i="8"/>
  <c r="AH64" i="8" s="1"/>
  <c r="AH56" i="8"/>
  <c r="AH55" i="8" s="1"/>
  <c r="AH40" i="8"/>
  <c r="AH134" i="1"/>
  <c r="AH94" i="1"/>
  <c r="AH27" i="10"/>
  <c r="AH128" i="1" s="1"/>
  <c r="N8" i="15"/>
  <c r="L27" i="15" s="1"/>
  <c r="K27" i="15"/>
  <c r="AH6" i="9"/>
  <c r="AH29" i="10"/>
  <c r="AH36" i="4" l="1"/>
  <c r="AH33" i="4" s="1"/>
  <c r="AH6" i="7" s="1"/>
  <c r="AH6" i="10"/>
  <c r="AH9" i="9" s="1"/>
  <c r="AH77" i="8"/>
  <c r="AH23" i="8" s="1"/>
  <c r="AH82" i="8"/>
  <c r="AH99" i="8"/>
  <c r="AH38" i="8"/>
  <c r="AH105" i="8" l="1"/>
  <c r="AH84" i="8"/>
  <c r="AH37" i="4"/>
  <c r="AH58" i="4" s="1"/>
  <c r="AH20" i="7"/>
  <c r="AH34" i="8" l="1"/>
  <c r="AH33" i="8" s="1"/>
  <c r="AH37" i="8" s="1"/>
  <c r="AH106" i="8"/>
  <c r="AH4" i="7"/>
  <c r="AH12" i="4" s="1"/>
  <c r="AH41" i="4"/>
  <c r="AH59" i="4" s="1"/>
  <c r="AH8" i="4" l="1"/>
  <c r="AH3" i="7"/>
  <c r="N7" i="15" s="1"/>
  <c r="AH11" i="4" l="1"/>
  <c r="AH39" i="7"/>
  <c r="AH35" i="7"/>
  <c r="AH32" i="7"/>
  <c r="AH33" i="7"/>
  <c r="AH7" i="4"/>
  <c r="AH4" i="4"/>
  <c r="AH71" i="1"/>
  <c r="AH31" i="7" l="1"/>
  <c r="N20" i="15"/>
  <c r="AH112" i="1"/>
  <c r="AH10" i="4"/>
  <c r="P25" i="12"/>
  <c r="N19" i="15"/>
  <c r="AH37" i="1"/>
  <c r="AH42" i="1" l="1"/>
  <c r="AH54" i="1"/>
  <c r="AH32" i="1"/>
  <c r="AH111" i="1"/>
  <c r="AH114" i="1"/>
  <c r="AI15" i="7"/>
  <c r="AI16" i="7"/>
  <c r="AH31" i="1" l="1"/>
  <c r="AH49" i="1"/>
  <c r="AH66" i="1"/>
  <c r="Q28" i="12"/>
  <c r="AI8" i="1"/>
  <c r="AI57" i="4"/>
  <c r="AI52" i="11"/>
  <c r="AI68" i="11"/>
  <c r="AI58" i="11"/>
  <c r="AI80" i="11"/>
  <c r="AI29" i="11"/>
  <c r="AI74" i="11"/>
  <c r="AH59" i="1"/>
  <c r="AH76" i="1"/>
  <c r="AI72" i="11" l="1"/>
  <c r="AI78" i="11"/>
  <c r="AI66" i="11"/>
  <c r="AI28" i="11"/>
  <c r="AI56" i="11"/>
  <c r="AI50" i="11"/>
  <c r="AH30" i="1"/>
  <c r="AH65" i="1"/>
  <c r="AH48" i="1"/>
  <c r="AH4" i="1" l="1"/>
  <c r="AH3" i="1"/>
  <c r="AH47" i="1"/>
  <c r="AI83" i="11"/>
  <c r="AI5" i="11"/>
  <c r="AI12" i="11" l="1"/>
  <c r="AI6" i="11"/>
  <c r="AI153" i="11" s="1"/>
  <c r="AI154" i="11" s="1"/>
  <c r="AI84" i="11"/>
  <c r="O14" i="15"/>
  <c r="AI2" i="11"/>
  <c r="AI150" i="11" s="1"/>
  <c r="AI151" i="11" s="1"/>
  <c r="Q9" i="12"/>
  <c r="P5" i="12"/>
  <c r="N6" i="15"/>
  <c r="AH5" i="1"/>
  <c r="N5" i="15"/>
  <c r="P4" i="12"/>
  <c r="AH61" i="6"/>
  <c r="AJ144" i="11" l="1"/>
  <c r="AI11" i="11"/>
  <c r="AI3" i="11"/>
  <c r="O13" i="15"/>
  <c r="Q6" i="12"/>
  <c r="Q10" i="12"/>
  <c r="P14" i="15"/>
  <c r="AI33" i="1" l="1"/>
  <c r="AI16" i="1" s="1"/>
  <c r="Q7" i="12"/>
  <c r="P13" i="15"/>
  <c r="AI142" i="11"/>
  <c r="AI143" i="11" s="1"/>
  <c r="AI56" i="5" l="1"/>
  <c r="AI26" i="4" s="1"/>
  <c r="AI27" i="4" s="1"/>
  <c r="AI29" i="4" s="1"/>
  <c r="AI113" i="1"/>
  <c r="Q136" i="14"/>
  <c r="Q137" i="14" s="1"/>
  <c r="Q78" i="14" s="1"/>
  <c r="AI136" i="2"/>
  <c r="AI50" i="1"/>
  <c r="AI30" i="4" l="1"/>
  <c r="AI31" i="4" s="1"/>
  <c r="AI32" i="4" s="1"/>
  <c r="AI25" i="4"/>
  <c r="Q82" i="14"/>
  <c r="Q81" i="14" s="1"/>
  <c r="Q84" i="14" s="1"/>
  <c r="AI137" i="2"/>
  <c r="AI78" i="2" s="1"/>
  <c r="AI51" i="4" l="1"/>
  <c r="AI44" i="4"/>
  <c r="AI52" i="4" s="1"/>
  <c r="Q141" i="14"/>
  <c r="AI82" i="2"/>
  <c r="AI141" i="2" s="1"/>
  <c r="AI17" i="2" l="1"/>
  <c r="AI15" i="2"/>
  <c r="AI90" i="2"/>
  <c r="AI85" i="2"/>
  <c r="AI227" i="2" l="1"/>
  <c r="O12" i="15"/>
  <c r="AI29" i="2"/>
  <c r="AI44" i="2" s="1"/>
  <c r="AI4" i="2"/>
  <c r="AI57" i="2" s="1"/>
  <c r="AI17" i="1" s="1"/>
  <c r="AI218" i="2"/>
  <c r="Q20" i="12"/>
  <c r="AI30" i="2"/>
  <c r="AI219" i="2"/>
  <c r="AI224" i="2" l="1"/>
  <c r="AI237" i="2" s="1"/>
  <c r="AI2" i="2"/>
  <c r="O9" i="15"/>
  <c r="AI221" i="2"/>
  <c r="AI234" i="2" s="1"/>
  <c r="Q13" i="12"/>
  <c r="AI222" i="2"/>
  <c r="AI235" i="2" s="1"/>
  <c r="Q21" i="12"/>
  <c r="P12" i="15"/>
  <c r="AI18" i="2"/>
  <c r="AI223" i="2"/>
  <c r="AI33" i="2" l="1"/>
  <c r="AI62" i="2" s="1"/>
  <c r="AI63" i="2"/>
  <c r="AI225" i="2"/>
  <c r="AI238" i="2" s="1"/>
  <c r="AI236" i="2"/>
  <c r="AI58" i="2"/>
  <c r="AI34" i="1" s="1"/>
  <c r="P9" i="15"/>
  <c r="AI49" i="2"/>
  <c r="AI68" i="1" l="1"/>
  <c r="AI35" i="4"/>
  <c r="AI15" i="1"/>
  <c r="AI24" i="1"/>
  <c r="AI59" i="2"/>
  <c r="Q14" i="12"/>
  <c r="Q15" i="12" s="1"/>
  <c r="AI36" i="1"/>
  <c r="AI41" i="1" s="1"/>
  <c r="AI58" i="1" s="1"/>
  <c r="AI51" i="1"/>
  <c r="AI75" i="1" l="1"/>
  <c r="AI25" i="1"/>
  <c r="AI13" i="1"/>
  <c r="AI10" i="7"/>
  <c r="AI5" i="7" s="1"/>
  <c r="AI27" i="1" l="1"/>
  <c r="AI87" i="1"/>
  <c r="AI79" i="1"/>
  <c r="AI83" i="1"/>
  <c r="AI84" i="1"/>
  <c r="AI85" i="1"/>
  <c r="AI93" i="1"/>
  <c r="AI2" i="1"/>
  <c r="AI86" i="1"/>
  <c r="AI81" i="1"/>
  <c r="AI82" i="1"/>
  <c r="AI38" i="2"/>
  <c r="AI89" i="1" l="1"/>
  <c r="AI80" i="1"/>
  <c r="AI78" i="1" s="1"/>
  <c r="O5" i="15"/>
  <c r="O8" i="15" s="1"/>
  <c r="AI2" i="8"/>
  <c r="AI62" i="8" s="1"/>
  <c r="AI9" i="1"/>
  <c r="Q3" i="12"/>
  <c r="AI24" i="10"/>
  <c r="AI44" i="8" s="1"/>
  <c r="AI39" i="8" s="1"/>
  <c r="AI7" i="1"/>
  <c r="AI6" i="1" s="1"/>
  <c r="AI43" i="3"/>
  <c r="AI45" i="3" s="1"/>
  <c r="AI3" i="10"/>
  <c r="AI133" i="1"/>
  <c r="AI38" i="4"/>
  <c r="AI98" i="1"/>
  <c r="AI39" i="4"/>
  <c r="AI90" i="1"/>
  <c r="AI94" i="1" l="1"/>
  <c r="AI134" i="1"/>
  <c r="AI80" i="8"/>
  <c r="AI56" i="8"/>
  <c r="AI55" i="8" s="1"/>
  <c r="AI49" i="8"/>
  <c r="AI19" i="8" s="1"/>
  <c r="AI64" i="8"/>
  <c r="AI40" i="8"/>
  <c r="AI29" i="10"/>
  <c r="AI6" i="9"/>
  <c r="P8" i="15"/>
  <c r="N27" i="15" s="1"/>
  <c r="M27" i="15"/>
  <c r="AI27" i="10"/>
  <c r="AI128" i="1" s="1"/>
  <c r="AI6" i="10" l="1"/>
  <c r="AI9" i="9" s="1"/>
  <c r="AI36" i="4"/>
  <c r="AI33" i="4" s="1"/>
  <c r="AI77" i="8"/>
  <c r="AI23" i="8" s="1"/>
  <c r="AI82" i="8"/>
  <c r="AI99" i="8"/>
  <c r="AI38" i="8"/>
  <c r="AI6" i="7" l="1"/>
  <c r="AI20" i="7"/>
  <c r="AI37" i="4"/>
  <c r="AI105" i="8"/>
  <c r="AI84" i="8"/>
  <c r="AI4" i="7" l="1"/>
  <c r="AI41" i="4"/>
  <c r="AI59" i="4" s="1"/>
  <c r="AI58" i="4"/>
  <c r="AI106" i="8"/>
  <c r="AI34" i="8"/>
  <c r="AI33" i="8" s="1"/>
  <c r="AI37" i="8" s="1"/>
  <c r="AI12" i="4" l="1"/>
  <c r="AI3" i="7"/>
  <c r="AI8" i="4"/>
  <c r="AI4" i="4" l="1"/>
  <c r="AI11" i="4"/>
  <c r="P7" i="15"/>
  <c r="AI39" i="7"/>
  <c r="AI32" i="7"/>
  <c r="AI35" i="7"/>
  <c r="AI33" i="7"/>
  <c r="AI7" i="4"/>
  <c r="AI71" i="1"/>
  <c r="AI31" i="7" l="1"/>
  <c r="Q25" i="12"/>
  <c r="P19" i="15"/>
  <c r="AI37" i="1"/>
  <c r="P20" i="15"/>
  <c r="AI112" i="1"/>
  <c r="AI10" i="4"/>
  <c r="AI111" i="1" l="1"/>
  <c r="AI114" i="1"/>
  <c r="AI42" i="1"/>
  <c r="AI54" i="1"/>
  <c r="AI32" i="1"/>
  <c r="AJ15" i="7"/>
  <c r="AJ29" i="11" s="1"/>
  <c r="AJ16" i="7"/>
  <c r="AI59" i="1" l="1"/>
  <c r="AI76" i="1"/>
  <c r="AJ8" i="1"/>
  <c r="AJ57" i="4"/>
  <c r="R28" i="12"/>
  <c r="AJ52" i="11"/>
  <c r="AJ50" i="11" s="1"/>
  <c r="AJ58" i="11"/>
  <c r="AJ68" i="11"/>
  <c r="AJ74" i="11"/>
  <c r="AJ80" i="11"/>
  <c r="AI31" i="1"/>
  <c r="AI49" i="1"/>
  <c r="AI66" i="1"/>
  <c r="AI65" i="1" l="1"/>
  <c r="AI30" i="1"/>
  <c r="AI64" i="1" s="1"/>
  <c r="AI48" i="1"/>
  <c r="AJ72" i="11"/>
  <c r="AJ66" i="11"/>
  <c r="AJ56" i="11"/>
  <c r="AJ78" i="11"/>
  <c r="AJ28" i="11"/>
  <c r="AI4" i="1" l="1"/>
  <c r="AJ5" i="11"/>
  <c r="AI3" i="1"/>
  <c r="AI47" i="1"/>
  <c r="AJ83" i="11"/>
  <c r="AJ12" i="11" l="1"/>
  <c r="P5" i="15"/>
  <c r="Q4" i="12"/>
  <c r="AI61" i="6"/>
  <c r="AJ6" i="11"/>
  <c r="AJ153" i="11" s="1"/>
  <c r="AJ154" i="11" s="1"/>
  <c r="Q14" i="15"/>
  <c r="AJ2" i="11"/>
  <c r="AJ150" i="11" s="1"/>
  <c r="AJ151" i="11" s="1"/>
  <c r="AJ84" i="11"/>
  <c r="R9" i="12"/>
  <c r="Q5" i="12"/>
  <c r="P6" i="15"/>
  <c r="AI5" i="1"/>
  <c r="AJ3" i="11" l="1"/>
  <c r="AJ142" i="11" s="1"/>
  <c r="AK144" i="11"/>
  <c r="AJ11" i="11"/>
  <c r="R14" i="15"/>
  <c r="R10" i="12"/>
  <c r="R6" i="12"/>
  <c r="Q13" i="15"/>
  <c r="R7" i="12" l="1"/>
  <c r="R13" i="15"/>
  <c r="AJ33" i="1"/>
  <c r="AJ16" i="1" s="1"/>
  <c r="AJ143" i="11"/>
  <c r="AJ56" i="5" l="1"/>
  <c r="AJ26" i="4" s="1"/>
  <c r="AJ27" i="4" s="1"/>
  <c r="AJ29" i="4" s="1"/>
  <c r="AJ113" i="1"/>
  <c r="AJ50" i="1"/>
  <c r="AJ136" i="2"/>
  <c r="AJ30" i="4" l="1"/>
  <c r="AJ31" i="4" s="1"/>
  <c r="AJ32" i="4" s="1"/>
  <c r="AJ25" i="4"/>
  <c r="AJ137" i="2"/>
  <c r="AJ78" i="2" s="1"/>
  <c r="AJ51" i="4" l="1"/>
  <c r="AJ44" i="4"/>
  <c r="AJ52" i="4" s="1"/>
  <c r="AJ82" i="2"/>
  <c r="AJ90" i="2" s="1"/>
  <c r="AJ141" i="2" l="1"/>
  <c r="AJ85" i="2"/>
  <c r="AJ17" i="2" l="1"/>
  <c r="AJ15" i="2"/>
  <c r="AJ4" i="2" s="1"/>
  <c r="AJ2" i="2" s="1"/>
  <c r="AJ218" i="2"/>
  <c r="AJ29" i="2" l="1"/>
  <c r="AJ44" i="2" s="1"/>
  <c r="AJ224" i="2"/>
  <c r="AJ237" i="2" s="1"/>
  <c r="R20" i="12"/>
  <c r="AJ227" i="2"/>
  <c r="AJ219" i="2"/>
  <c r="Q12" i="15"/>
  <c r="AJ30" i="2"/>
  <c r="AJ223" i="2"/>
  <c r="AJ236" i="2" s="1"/>
  <c r="AJ222" i="2"/>
  <c r="AJ235" i="2" s="1"/>
  <c r="Q9" i="15"/>
  <c r="AJ57" i="2"/>
  <c r="AJ17" i="1" s="1"/>
  <c r="AJ221" i="2"/>
  <c r="AJ234" i="2" s="1"/>
  <c r="R13" i="12"/>
  <c r="R21" i="12"/>
  <c r="R12" i="15"/>
  <c r="AJ18" i="2"/>
  <c r="AJ225" i="2" l="1"/>
  <c r="AJ238" i="2" s="1"/>
  <c r="AJ63" i="2"/>
  <c r="AJ58" i="2"/>
  <c r="AJ34" i="1" s="1"/>
  <c r="R9" i="15"/>
  <c r="AJ49" i="2"/>
  <c r="AJ33" i="2"/>
  <c r="AJ62" i="2" s="1"/>
  <c r="AJ59" i="2" l="1"/>
  <c r="AJ36" i="1"/>
  <c r="AJ41" i="1" s="1"/>
  <c r="AJ58" i="1" s="1"/>
  <c r="R14" i="12"/>
  <c r="R15" i="12" s="1"/>
  <c r="AJ51" i="1"/>
  <c r="AJ68" i="1"/>
  <c r="AJ35" i="4"/>
  <c r="AJ15" i="1"/>
  <c r="AJ24" i="1"/>
  <c r="AJ75" i="1" l="1"/>
  <c r="AJ25" i="1"/>
  <c r="AJ13" i="1"/>
  <c r="AJ10" i="7"/>
  <c r="AJ5" i="7" s="1"/>
  <c r="AJ27" i="1" l="1"/>
  <c r="AJ79" i="1"/>
  <c r="AJ86" i="1"/>
  <c r="AJ85" i="1"/>
  <c r="AJ87" i="1"/>
  <c r="AJ93" i="1"/>
  <c r="AJ84" i="1"/>
  <c r="AJ2" i="1"/>
  <c r="AJ83" i="1"/>
  <c r="AJ81" i="1"/>
  <c r="AJ82" i="1"/>
  <c r="AJ38" i="2"/>
  <c r="AJ80" i="1" l="1"/>
  <c r="AJ78" i="1" s="1"/>
  <c r="AJ89" i="1"/>
  <c r="AJ90" i="1"/>
  <c r="R3" i="12"/>
  <c r="Q5" i="15"/>
  <c r="Q8" i="15" s="1"/>
  <c r="R8" i="15" s="1"/>
  <c r="AJ43" i="3"/>
  <c r="AJ45" i="3" s="1"/>
  <c r="AJ24" i="10"/>
  <c r="AJ44" i="8" s="1"/>
  <c r="AJ39" i="8" s="1"/>
  <c r="AJ9" i="1"/>
  <c r="AJ2" i="8"/>
  <c r="AJ7" i="1"/>
  <c r="AJ6" i="1" s="1"/>
  <c r="AJ3" i="10"/>
  <c r="AJ133" i="1"/>
  <c r="AJ38" i="4"/>
  <c r="AJ98" i="1"/>
  <c r="AJ39" i="4"/>
  <c r="AJ62" i="8" l="1"/>
  <c r="AJ64" i="8" s="1"/>
  <c r="AJ80" i="8"/>
  <c r="AJ56" i="8"/>
  <c r="AJ55" i="8" s="1"/>
  <c r="AJ49" i="8"/>
  <c r="AJ19" i="8" s="1"/>
  <c r="AJ40" i="8"/>
  <c r="AJ27" i="10"/>
  <c r="AJ128" i="1" s="1"/>
  <c r="AJ6" i="9"/>
  <c r="AJ29" i="10"/>
  <c r="AJ94" i="1"/>
  <c r="AJ134" i="1"/>
  <c r="AJ82" i="8" l="1"/>
  <c r="AJ77" i="8"/>
  <c r="AJ23" i="8" s="1"/>
  <c r="AJ99" i="8"/>
  <c r="AJ36" i="4"/>
  <c r="AJ33" i="4" s="1"/>
  <c r="AJ6" i="10"/>
  <c r="AJ9" i="9" s="1"/>
  <c r="AJ38" i="8"/>
  <c r="AJ105" i="8" l="1"/>
  <c r="AJ84" i="8"/>
  <c r="AJ6" i="7"/>
  <c r="AJ20" i="7"/>
  <c r="AJ37" i="4"/>
  <c r="AJ41" i="4" s="1"/>
  <c r="AJ59" i="4" s="1"/>
  <c r="AJ34" i="8" l="1"/>
  <c r="AJ33" i="8" s="1"/>
  <c r="AJ37" i="8" s="1"/>
  <c r="AJ106" i="8"/>
  <c r="AJ58" i="4"/>
  <c r="AJ4" i="7"/>
  <c r="AJ12" i="4" s="1"/>
  <c r="AJ5" i="4" s="1"/>
  <c r="AJ3" i="7" l="1"/>
  <c r="AJ8" i="4"/>
  <c r="AJ7" i="4" l="1"/>
  <c r="AJ11" i="4"/>
  <c r="R20" i="15" s="1"/>
  <c r="AJ4" i="4"/>
  <c r="R7" i="15"/>
  <c r="AJ39" i="7"/>
  <c r="AJ32" i="7"/>
  <c r="AJ35" i="7"/>
  <c r="AJ33" i="7"/>
  <c r="AJ71" i="1"/>
  <c r="AJ112" i="1" l="1"/>
  <c r="AJ10" i="4"/>
  <c r="AJ31" i="7"/>
  <c r="R19" i="15"/>
  <c r="R25" i="12"/>
  <c r="AJ37" i="1"/>
  <c r="AJ42" i="1" l="1"/>
  <c r="AJ54" i="1"/>
  <c r="AJ32" i="1"/>
  <c r="AJ111" i="1"/>
  <c r="AJ114" i="1"/>
  <c r="AK16" i="7"/>
  <c r="AK15" i="7"/>
  <c r="AJ31" i="1" l="1"/>
  <c r="AJ49" i="1"/>
  <c r="AJ66" i="1"/>
  <c r="AK8" i="1"/>
  <c r="S28" i="12"/>
  <c r="AK57" i="4"/>
  <c r="AK80" i="11"/>
  <c r="AK52" i="11"/>
  <c r="AK68" i="11"/>
  <c r="AK58" i="11"/>
  <c r="AK29" i="11"/>
  <c r="AK74" i="11"/>
  <c r="AJ59" i="1"/>
  <c r="AJ76" i="1"/>
  <c r="AK56" i="11" l="1"/>
  <c r="AK66" i="11"/>
  <c r="AK78" i="11"/>
  <c r="AK28" i="11"/>
  <c r="AK50" i="11"/>
  <c r="AK72" i="11"/>
  <c r="AJ30" i="1"/>
  <c r="AJ64" i="1" s="1"/>
  <c r="AJ65" i="1"/>
  <c r="AJ48" i="1"/>
  <c r="AK83" i="11" l="1"/>
  <c r="AK5" i="11"/>
  <c r="AJ3" i="1"/>
  <c r="AJ47" i="1"/>
  <c r="AJ4" i="1"/>
  <c r="AK12" i="11" l="1"/>
  <c r="AK2" i="11"/>
  <c r="AK84" i="11"/>
  <c r="S14" i="15"/>
  <c r="AK6" i="11"/>
  <c r="AK153" i="11" s="1"/>
  <c r="AK154" i="11" s="1"/>
  <c r="S9" i="12"/>
  <c r="R6" i="15"/>
  <c r="R5" i="12"/>
  <c r="AJ5" i="1"/>
  <c r="R4" i="12"/>
  <c r="R5" i="15"/>
  <c r="AJ61" i="6"/>
  <c r="AL144" i="11" l="1"/>
  <c r="AK150" i="11"/>
  <c r="AK151" i="11" s="1"/>
  <c r="T14" i="15"/>
  <c r="S10" i="12"/>
  <c r="AK3" i="11"/>
  <c r="AK11" i="11"/>
  <c r="S13" i="15"/>
  <c r="S6" i="12"/>
  <c r="AK33" i="1" l="1"/>
  <c r="T13" i="15"/>
  <c r="S7" i="12"/>
  <c r="AK142" i="11"/>
  <c r="AK143" i="11" s="1"/>
  <c r="AK56" i="5" l="1"/>
  <c r="AK26" i="4" s="1"/>
  <c r="AK27" i="4" s="1"/>
  <c r="AK29" i="4" s="1"/>
  <c r="AK113" i="1"/>
  <c r="AK136" i="2"/>
  <c r="AK50" i="1"/>
  <c r="AK30" i="4" l="1"/>
  <c r="AK31" i="4" s="1"/>
  <c r="AK32" i="4" s="1"/>
  <c r="AK25" i="4"/>
  <c r="AK137" i="2"/>
  <c r="AK78" i="2" s="1"/>
  <c r="AK51" i="4" l="1"/>
  <c r="AK44" i="4"/>
  <c r="AK52" i="4" s="1"/>
  <c r="AK82" i="2"/>
  <c r="AK90" i="2" s="1"/>
  <c r="AK141" i="2" l="1"/>
  <c r="AK85" i="2"/>
  <c r="AK15" i="2" l="1"/>
  <c r="AK17" i="2"/>
  <c r="AK219" i="2" l="1"/>
  <c r="AK30" i="2"/>
  <c r="S12" i="15"/>
  <c r="S20" i="12"/>
  <c r="AK29" i="2"/>
  <c r="AK4" i="2"/>
  <c r="AK227" i="2"/>
  <c r="AK218" i="2"/>
  <c r="AK2" i="2" l="1"/>
  <c r="AK44" i="2"/>
  <c r="AK18" i="2"/>
  <c r="AK224" i="2"/>
  <c r="AK237" i="2" s="1"/>
  <c r="AK223" i="2"/>
  <c r="AK236" i="2" s="1"/>
  <c r="S9" i="15"/>
  <c r="AK222" i="2"/>
  <c r="AK235" i="2" s="1"/>
  <c r="AK221" i="2"/>
  <c r="AK234" i="2" s="1"/>
  <c r="AK57" i="2"/>
  <c r="AK17" i="1" s="1"/>
  <c r="S13" i="12"/>
  <c r="T12" i="15"/>
  <c r="S21" i="12"/>
  <c r="AK33" i="2" l="1"/>
  <c r="AK62" i="2" s="1"/>
  <c r="AK225" i="2"/>
  <c r="AK238" i="2" s="1"/>
  <c r="AK63" i="2"/>
  <c r="AK58" i="2"/>
  <c r="AK34" i="1" s="1"/>
  <c r="T9" i="15"/>
  <c r="AK49" i="2"/>
  <c r="AK59" i="2" l="1"/>
  <c r="AK68" i="1"/>
  <c r="AK35" i="4"/>
  <c r="AK15" i="1"/>
  <c r="AK24" i="1"/>
  <c r="S14" i="12"/>
  <c r="S15" i="12" s="1"/>
  <c r="AK36" i="1"/>
  <c r="AK41" i="1" s="1"/>
  <c r="AK58" i="1" s="1"/>
  <c r="AK51" i="1"/>
  <c r="AK10" i="7" l="1"/>
  <c r="AK5" i="7" s="1"/>
  <c r="AK75" i="1"/>
  <c r="AK25" i="1"/>
  <c r="AK13" i="1"/>
  <c r="AK38" i="2" l="1"/>
  <c r="AK2" i="1"/>
  <c r="AK83" i="1"/>
  <c r="AK87" i="1"/>
  <c r="AK27" i="1"/>
  <c r="AK93" i="1"/>
  <c r="AK79" i="1"/>
  <c r="AK86" i="1"/>
  <c r="AK85" i="1"/>
  <c r="AK84" i="1"/>
  <c r="AK81" i="1"/>
  <c r="AK82" i="1"/>
  <c r="AK90" i="1" l="1"/>
  <c r="AK24" i="10"/>
  <c r="AK44" i="8" s="1"/>
  <c r="AK39" i="8" s="1"/>
  <c r="S5" i="15"/>
  <c r="S8" i="15" s="1"/>
  <c r="T8" i="15" s="1"/>
  <c r="S3" i="12"/>
  <c r="AK9" i="1"/>
  <c r="AK7" i="1"/>
  <c r="AK6" i="1" s="1"/>
  <c r="AK2" i="8"/>
  <c r="AK43" i="3"/>
  <c r="AK45" i="3" s="1"/>
  <c r="AK80" i="1"/>
  <c r="AK78" i="1" s="1"/>
  <c r="AK89" i="1"/>
  <c r="AK3" i="10"/>
  <c r="AK133" i="1"/>
  <c r="AK98" i="1"/>
  <c r="AK38" i="4"/>
  <c r="AK39" i="4"/>
  <c r="AK94" i="1" l="1"/>
  <c r="AK134" i="1"/>
  <c r="AK29" i="10"/>
  <c r="AK6" i="9"/>
  <c r="AK62" i="8"/>
  <c r="AK64" i="8" s="1"/>
  <c r="AK56" i="8"/>
  <c r="AK55" i="8" s="1"/>
  <c r="AK80" i="8"/>
  <c r="AK49" i="8"/>
  <c r="AK19" i="8" s="1"/>
  <c r="AK40" i="8"/>
  <c r="AK38" i="8" s="1"/>
  <c r="AK27" i="10"/>
  <c r="AK128" i="1" s="1"/>
  <c r="AK77" i="8" l="1"/>
  <c r="AK23" i="8" s="1"/>
  <c r="AK82" i="8"/>
  <c r="AK99" i="8"/>
  <c r="AK36" i="4"/>
  <c r="AK33" i="4" s="1"/>
  <c r="AK6" i="10"/>
  <c r="AK9" i="9" s="1"/>
  <c r="AK105" i="8" l="1"/>
  <c r="AK84" i="8"/>
  <c r="AK6" i="7"/>
  <c r="AK20" i="7"/>
  <c r="AK37" i="4"/>
  <c r="AK34" i="8" l="1"/>
  <c r="AK33" i="8" s="1"/>
  <c r="AK37" i="8" s="1"/>
  <c r="AK106" i="8"/>
  <c r="AK41" i="4"/>
  <c r="AK59" i="4" s="1"/>
  <c r="AK58" i="4"/>
  <c r="AK4" i="7"/>
  <c r="AK12" i="4" s="1"/>
  <c r="AK5" i="4" s="1"/>
  <c r="AK4" i="4" l="1"/>
  <c r="AK3" i="7"/>
  <c r="AK39" i="7" s="1"/>
  <c r="AK8" i="4"/>
  <c r="AK7" i="4" s="1"/>
  <c r="AK11" i="4"/>
  <c r="AK71" i="1"/>
  <c r="AK33" i="7" l="1"/>
  <c r="AK32" i="7"/>
  <c r="AK35" i="7"/>
  <c r="T7" i="15"/>
  <c r="AK37" i="1"/>
  <c r="AK32" i="1" s="1"/>
  <c r="AK31" i="1" s="1"/>
  <c r="AK30" i="1" s="1"/>
  <c r="AK64" i="1" s="1"/>
  <c r="T19" i="15"/>
  <c r="S25" i="12"/>
  <c r="AK112" i="1"/>
  <c r="T20" i="15"/>
  <c r="AK10" i="4"/>
  <c r="AK31" i="7" l="1"/>
  <c r="AL16" i="7" s="1"/>
  <c r="AK42" i="1"/>
  <c r="AK54" i="1"/>
  <c r="AK111" i="1"/>
  <c r="AK114" i="1"/>
  <c r="AL15" i="7" l="1"/>
  <c r="AK49" i="1"/>
  <c r="AK66" i="1"/>
  <c r="AK59" i="1"/>
  <c r="AK76" i="1"/>
  <c r="AL8" i="1"/>
  <c r="AL57" i="4"/>
  <c r="T28" i="12"/>
  <c r="AL80" i="11"/>
  <c r="AL74" i="11"/>
  <c r="AL29" i="11"/>
  <c r="AL52" i="11"/>
  <c r="AL58" i="11"/>
  <c r="AL68" i="11"/>
  <c r="AL28" i="11" l="1"/>
  <c r="AL66" i="11"/>
  <c r="AL72" i="11"/>
  <c r="AK65" i="1"/>
  <c r="AK48" i="1"/>
  <c r="AL78" i="11"/>
  <c r="AL56" i="11"/>
  <c r="AL50" i="11"/>
  <c r="AL5" i="11" l="1"/>
  <c r="AL83" i="11"/>
  <c r="AK3" i="1"/>
  <c r="AK47" i="1"/>
  <c r="AK4" i="1"/>
  <c r="AL12" i="11" l="1"/>
  <c r="S5" i="12"/>
  <c r="T6" i="15"/>
  <c r="S4" i="12"/>
  <c r="T5" i="15"/>
  <c r="AK61" i="6"/>
  <c r="AK5" i="1"/>
  <c r="AL2" i="11"/>
  <c r="U14" i="15"/>
  <c r="AL6" i="11"/>
  <c r="AL153" i="11" s="1"/>
  <c r="AL154" i="11" s="1"/>
  <c r="T9" i="12"/>
  <c r="AL84" i="11"/>
  <c r="AM144" i="11" l="1"/>
  <c r="AL150" i="11"/>
  <c r="AL151" i="11" s="1"/>
  <c r="V14" i="15"/>
  <c r="T10" i="12"/>
  <c r="AL11" i="11"/>
  <c r="AL3" i="11"/>
  <c r="U13" i="15"/>
  <c r="T6" i="12"/>
  <c r="V13" i="15" l="1"/>
  <c r="T7" i="12"/>
  <c r="AL33" i="1"/>
  <c r="AL142" i="11"/>
  <c r="AL143" i="11" s="1"/>
  <c r="AL56" i="5" l="1"/>
  <c r="AL26" i="4" s="1"/>
  <c r="AL27" i="4" s="1"/>
  <c r="AL29" i="4" s="1"/>
  <c r="AL113" i="1"/>
  <c r="AL50" i="1"/>
  <c r="AL136" i="2"/>
  <c r="AL25" i="4" l="1"/>
  <c r="AL30" i="4"/>
  <c r="AL31" i="4" s="1"/>
  <c r="AL32" i="4" s="1"/>
  <c r="AL137" i="2"/>
  <c r="AL78" i="2" s="1"/>
  <c r="AL51" i="4" l="1"/>
  <c r="AL44" i="4"/>
  <c r="AL52" i="4" s="1"/>
  <c r="AL82" i="2"/>
  <c r="AL85" i="2" s="1"/>
  <c r="AL90" i="2" l="1"/>
  <c r="AL141" i="2"/>
  <c r="AL17" i="2" s="1"/>
  <c r="AL15" i="2" l="1"/>
  <c r="AL30" i="2"/>
  <c r="AL219" i="2"/>
  <c r="T20" i="12" l="1"/>
  <c r="AL29" i="2"/>
  <c r="AL4" i="2"/>
  <c r="U12" i="15"/>
  <c r="AL218" i="2"/>
  <c r="AL224" i="2" l="1"/>
  <c r="AL237" i="2" s="1"/>
  <c r="AL2" i="2"/>
  <c r="T21" i="12"/>
  <c r="AL44" i="2"/>
  <c r="AL18" i="2"/>
  <c r="AL58" i="2" s="1"/>
  <c r="AL34" i="1" s="1"/>
  <c r="V12" i="15"/>
  <c r="AL57" i="2"/>
  <c r="AL17" i="1" s="1"/>
  <c r="AL223" i="2"/>
  <c r="AL236" i="2" s="1"/>
  <c r="AL222" i="2"/>
  <c r="AL235" i="2" s="1"/>
  <c r="U9" i="15"/>
  <c r="AL221" i="2"/>
  <c r="AL234" i="2" s="1"/>
  <c r="T13" i="12"/>
  <c r="AL63" i="2" l="1"/>
  <c r="AL68" i="1"/>
  <c r="AL225" i="2"/>
  <c r="AL238" i="2" s="1"/>
  <c r="V9" i="15"/>
  <c r="AL33" i="2"/>
  <c r="AL62" i="2" s="1"/>
  <c r="AL49" i="2"/>
  <c r="AL59" i="2"/>
  <c r="AL36" i="1"/>
  <c r="AL41" i="1" s="1"/>
  <c r="AL58" i="1" s="1"/>
  <c r="T14" i="12"/>
  <c r="T15" i="12" s="1"/>
  <c r="AL51" i="1"/>
  <c r="AL15" i="1" l="1"/>
  <c r="AL13" i="1" s="1"/>
  <c r="AL24" i="1"/>
  <c r="AL75" i="1" s="1"/>
  <c r="AL35" i="4"/>
  <c r="AL10" i="7" s="1"/>
  <c r="AL5" i="7" s="1"/>
  <c r="AL25" i="1" l="1"/>
  <c r="AL2" i="1"/>
  <c r="AL7" i="1" s="1"/>
  <c r="AL87" i="1"/>
  <c r="AL86" i="1"/>
  <c r="AL79" i="1"/>
  <c r="AL93" i="1"/>
  <c r="AL84" i="1"/>
  <c r="AL85" i="1"/>
  <c r="AL27" i="1"/>
  <c r="AL83" i="1"/>
  <c r="AL81" i="1"/>
  <c r="AL82" i="1"/>
  <c r="AL38" i="2"/>
  <c r="AL3" i="10" l="1"/>
  <c r="AL6" i="9" s="1"/>
  <c r="AL133" i="1"/>
  <c r="AL38" i="4"/>
  <c r="AL98" i="1"/>
  <c r="AL39" i="4"/>
  <c r="AL89" i="1"/>
  <c r="AL80" i="1"/>
  <c r="AL78" i="1" s="1"/>
  <c r="AL90" i="1"/>
  <c r="AL2" i="8"/>
  <c r="AL43" i="3"/>
  <c r="AL45" i="3" s="1"/>
  <c r="AL24" i="10"/>
  <c r="AL44" i="8" s="1"/>
  <c r="AL39" i="8" s="1"/>
  <c r="U5" i="15"/>
  <c r="U8" i="15" s="1"/>
  <c r="V8" i="15" s="1"/>
  <c r="AL9" i="1"/>
  <c r="AL6" i="1"/>
  <c r="T3" i="12"/>
  <c r="AL94" i="1" l="1"/>
  <c r="AL134" i="1"/>
  <c r="AL62" i="8"/>
  <c r="AL64" i="8" s="1"/>
  <c r="AL49" i="8"/>
  <c r="AL19" i="8" s="1"/>
  <c r="AL56" i="8"/>
  <c r="AL55" i="8" s="1"/>
  <c r="AL80" i="8"/>
  <c r="AL40" i="8"/>
  <c r="AL27" i="10"/>
  <c r="AL128" i="1" s="1"/>
  <c r="AL36" i="4" l="1"/>
  <c r="AL33" i="4" s="1"/>
  <c r="AL6" i="10"/>
  <c r="AL9" i="9" s="1"/>
  <c r="AL82" i="8"/>
  <c r="AL77" i="8"/>
  <c r="AL23" i="8" s="1"/>
  <c r="AL99" i="8"/>
  <c r="AL38" i="8"/>
  <c r="AL105" i="8" l="1"/>
  <c r="AL84" i="8"/>
  <c r="AL6" i="7"/>
  <c r="AL20" i="7"/>
  <c r="AL37" i="4"/>
  <c r="AL58" i="4" l="1"/>
  <c r="AL41" i="4"/>
  <c r="AL59" i="4" s="1"/>
  <c r="AL34" i="8"/>
  <c r="AL33" i="8" s="1"/>
  <c r="AL37" i="8" s="1"/>
  <c r="AL106" i="8"/>
  <c r="AL4" i="7"/>
  <c r="AL12" i="4" s="1"/>
  <c r="AL5" i="4" l="1"/>
  <c r="AL3" i="7"/>
  <c r="V7" i="15" s="1"/>
  <c r="AL8" i="4"/>
  <c r="AL7" i="4" s="1"/>
  <c r="AL71" i="1"/>
  <c r="AL4" i="4"/>
  <c r="AL11" i="4"/>
  <c r="AL33" i="7" l="1"/>
  <c r="AL32" i="7"/>
  <c r="AL35" i="7"/>
  <c r="AL39" i="7"/>
  <c r="T25" i="12"/>
  <c r="V19" i="15"/>
  <c r="AL37" i="1"/>
  <c r="AL112" i="1"/>
  <c r="V20" i="15"/>
  <c r="AL10" i="4"/>
  <c r="AL31" i="7" l="1"/>
  <c r="AL42" i="1"/>
  <c r="AL54" i="1"/>
  <c r="AL32" i="1"/>
  <c r="AL111" i="1"/>
  <c r="AL114" i="1"/>
  <c r="AM15" i="7"/>
  <c r="AM16" i="7"/>
  <c r="AL31" i="1" l="1"/>
  <c r="AL49" i="1"/>
  <c r="AL66" i="1"/>
  <c r="U28" i="12"/>
  <c r="AM8" i="1"/>
  <c r="AM57" i="4"/>
  <c r="AM29" i="11"/>
  <c r="AM80" i="11"/>
  <c r="AM68" i="11"/>
  <c r="AM58" i="11"/>
  <c r="AM52" i="11"/>
  <c r="AM74" i="11"/>
  <c r="AL59" i="1"/>
  <c r="AL76" i="1"/>
  <c r="AM56" i="11" l="1"/>
  <c r="AM78" i="11"/>
  <c r="AM50" i="11"/>
  <c r="AM66" i="11"/>
  <c r="AM28" i="11"/>
  <c r="AM72" i="11"/>
  <c r="AL65" i="1"/>
  <c r="AL30" i="1"/>
  <c r="AL64" i="1" s="1"/>
  <c r="AL48" i="1"/>
  <c r="AM83" i="11" l="1"/>
  <c r="AM5" i="11"/>
  <c r="AL3" i="1"/>
  <c r="AL47" i="1"/>
  <c r="AL4" i="1"/>
  <c r="AM12" i="11" l="1"/>
  <c r="T5" i="12"/>
  <c r="V6" i="15"/>
  <c r="AM6" i="11"/>
  <c r="AM153" i="11" s="1"/>
  <c r="AM154" i="11" s="1"/>
  <c r="U9" i="12"/>
  <c r="AM2" i="11"/>
  <c r="W14" i="15"/>
  <c r="AM84" i="11"/>
  <c r="AL5" i="1"/>
  <c r="V5" i="15"/>
  <c r="T4" i="12"/>
  <c r="AL61" i="6"/>
  <c r="AN144" i="11" l="1"/>
  <c r="AM150" i="11"/>
  <c r="AM151" i="11" s="1"/>
  <c r="AM11" i="11"/>
  <c r="AM3" i="11"/>
  <c r="U10" i="12"/>
  <c r="X14" i="15"/>
  <c r="U6" i="12"/>
  <c r="W13" i="15"/>
  <c r="X13" i="15" l="1"/>
  <c r="U7" i="12"/>
  <c r="AM33" i="1"/>
  <c r="AM142" i="11"/>
  <c r="AM143" i="11" s="1"/>
  <c r="AM56" i="5" l="1"/>
  <c r="AM26" i="4" s="1"/>
  <c r="AM27" i="4" s="1"/>
  <c r="AM29" i="4" s="1"/>
  <c r="AM113" i="1"/>
  <c r="AM50" i="1"/>
  <c r="AM136" i="2"/>
  <c r="AM30" i="4" l="1"/>
  <c r="AM31" i="4" s="1"/>
  <c r="AM32" i="4" s="1"/>
  <c r="AM25" i="4"/>
  <c r="AM137" i="2"/>
  <c r="AM78" i="2" s="1"/>
  <c r="AM51" i="4" l="1"/>
  <c r="AM44" i="4"/>
  <c r="AM52" i="4" s="1"/>
  <c r="AM82" i="2"/>
  <c r="AM141" i="2" s="1"/>
  <c r="AM90" i="2" l="1"/>
  <c r="AM85" i="2"/>
  <c r="AM15" i="2"/>
  <c r="AM17" i="2"/>
  <c r="AM30" i="2" l="1"/>
  <c r="AM219" i="2"/>
  <c r="AM4" i="2"/>
  <c r="W12" i="15"/>
  <c r="AM29" i="2"/>
  <c r="AM44" i="2" s="1"/>
  <c r="U20" i="12"/>
  <c r="AM218" i="2"/>
  <c r="AM224" i="2" l="1"/>
  <c r="AM237" i="2" s="1"/>
  <c r="AM2" i="2"/>
  <c r="AM223" i="2"/>
  <c r="AM236" i="2" s="1"/>
  <c r="AM221" i="2"/>
  <c r="AM234" i="2" s="1"/>
  <c r="U13" i="12"/>
  <c r="W9" i="15"/>
  <c r="AM57" i="2"/>
  <c r="AM222" i="2"/>
  <c r="AM235" i="2" s="1"/>
  <c r="U21" i="12"/>
  <c r="X12" i="15"/>
  <c r="AM18" i="2"/>
  <c r="AM225" i="2" l="1"/>
  <c r="AM238" i="2" s="1"/>
  <c r="X9" i="15"/>
  <c r="AM58" i="2"/>
  <c r="AM34" i="1" s="1"/>
  <c r="AM49" i="2"/>
  <c r="AM33" i="2"/>
  <c r="AM62" i="2" s="1"/>
  <c r="AM63" i="2"/>
  <c r="AM59" i="2" l="1"/>
  <c r="AM36" i="1"/>
  <c r="U14" i="12"/>
  <c r="U15" i="12" s="1"/>
  <c r="AM51" i="1"/>
  <c r="AM41" i="1"/>
  <c r="AM58" i="1" s="1"/>
  <c r="AM68" i="1"/>
  <c r="AM35" i="4"/>
  <c r="AM24" i="1"/>
  <c r="AM15" i="1"/>
  <c r="AM13" i="1" l="1"/>
  <c r="AM25" i="1"/>
  <c r="AM75" i="1"/>
  <c r="AM10" i="7"/>
  <c r="AM5" i="7" s="1"/>
  <c r="AM38" i="2" l="1"/>
  <c r="AM2" i="1"/>
  <c r="AM86" i="1"/>
  <c r="AM93" i="1"/>
  <c r="AM27" i="1"/>
  <c r="AM79" i="1"/>
  <c r="AM84" i="1"/>
  <c r="AM85" i="1"/>
  <c r="AM87" i="1"/>
  <c r="AM83" i="1"/>
  <c r="AM81" i="1"/>
  <c r="AM82" i="1"/>
  <c r="AM7" i="1" l="1"/>
  <c r="AM6" i="1" s="1"/>
  <c r="AM43" i="3"/>
  <c r="AM45" i="3" s="1"/>
  <c r="AM2" i="8"/>
  <c r="W5" i="15"/>
  <c r="W8" i="15" s="1"/>
  <c r="X8" i="15" s="1"/>
  <c r="AM9" i="1"/>
  <c r="U3" i="12"/>
  <c r="AM24" i="10"/>
  <c r="AM44" i="8" s="1"/>
  <c r="AM39" i="8" s="1"/>
  <c r="AM90" i="1"/>
  <c r="AM3" i="10"/>
  <c r="AM6" i="9" s="1"/>
  <c r="AM133" i="1"/>
  <c r="AM39" i="4"/>
  <c r="AM98" i="1"/>
  <c r="AM38" i="4"/>
  <c r="AM80" i="1"/>
  <c r="AM78" i="1" s="1"/>
  <c r="AM89" i="1"/>
  <c r="AM94" i="1" l="1"/>
  <c r="AM134" i="1"/>
  <c r="AM56" i="8"/>
  <c r="AM55" i="8" s="1"/>
  <c r="AM62" i="8"/>
  <c r="AM64" i="8" s="1"/>
  <c r="AM49" i="8"/>
  <c r="AM19" i="8" s="1"/>
  <c r="AM80" i="8"/>
  <c r="AM40" i="8"/>
  <c r="AM27" i="10"/>
  <c r="AM128" i="1" s="1"/>
  <c r="AM36" i="4" l="1"/>
  <c r="AM33" i="4" s="1"/>
  <c r="AM77" i="8"/>
  <c r="AM23" i="8" s="1"/>
  <c r="AM82" i="8"/>
  <c r="AM99" i="8"/>
  <c r="AM6" i="10"/>
  <c r="AM9" i="9" s="1"/>
  <c r="AM38" i="8"/>
  <c r="AM20" i="7" l="1"/>
  <c r="AM37" i="4"/>
  <c r="AM105" i="8"/>
  <c r="AM84" i="8"/>
  <c r="AM34" i="8" l="1"/>
  <c r="AM33" i="8" s="1"/>
  <c r="AM37" i="8" s="1"/>
  <c r="AM106" i="8"/>
  <c r="AM41" i="4"/>
  <c r="AM59" i="4" s="1"/>
  <c r="AM58" i="4"/>
  <c r="AM4" i="7"/>
  <c r="AM5" i="4" s="1"/>
  <c r="AM3" i="7" l="1"/>
  <c r="X7" i="15" l="1"/>
  <c r="AM39" i="7"/>
  <c r="AM32" i="7"/>
  <c r="AM35" i="7"/>
  <c r="AM33" i="7"/>
  <c r="AM8" i="4"/>
  <c r="AM7" i="4" s="1"/>
  <c r="AM4" i="4"/>
  <c r="AM11" i="4"/>
  <c r="AM71" i="1"/>
  <c r="X19" i="15" l="1"/>
  <c r="AM37" i="1"/>
  <c r="U25" i="12"/>
  <c r="AM31" i="7"/>
  <c r="AM112" i="1"/>
  <c r="X20" i="15"/>
  <c r="AM10" i="4"/>
  <c r="AM42" i="1" l="1"/>
  <c r="AM54" i="1"/>
  <c r="AM32" i="1"/>
  <c r="AM111" i="1"/>
  <c r="AM114" i="1"/>
  <c r="AN15" i="7"/>
  <c r="AN16" i="7"/>
  <c r="AM31" i="1" l="1"/>
  <c r="AM49" i="1"/>
  <c r="AM66" i="1"/>
  <c r="AN57" i="4"/>
  <c r="AN8" i="1"/>
  <c r="V28" i="12"/>
  <c r="AN68" i="11"/>
  <c r="AN74" i="11"/>
  <c r="AN52" i="11"/>
  <c r="AN58" i="11"/>
  <c r="AN80" i="11"/>
  <c r="AN29" i="11"/>
  <c r="AM59" i="1"/>
  <c r="AM76" i="1"/>
  <c r="AN56" i="11" l="1"/>
  <c r="AN50" i="11"/>
  <c r="AN78" i="11"/>
  <c r="AN72" i="11"/>
  <c r="AN28" i="11"/>
  <c r="AN66" i="11"/>
  <c r="AM65" i="1"/>
  <c r="AM30" i="1"/>
  <c r="AM64" i="1" s="1"/>
  <c r="AM48" i="1"/>
  <c r="AN5" i="11" l="1"/>
  <c r="AN83" i="11"/>
  <c r="AM3" i="1"/>
  <c r="AM47" i="1"/>
  <c r="AM4" i="1"/>
  <c r="X6" i="15" l="1"/>
  <c r="U5" i="12"/>
  <c r="AM5" i="1"/>
  <c r="U4" i="12"/>
  <c r="X5" i="15"/>
  <c r="AM61" i="6"/>
  <c r="AN2" i="11"/>
  <c r="AO144" i="11" s="1"/>
  <c r="Y14" i="15"/>
  <c r="AN12" i="11"/>
  <c r="AN6" i="11"/>
  <c r="AN153" i="11" s="1"/>
  <c r="AN154" i="11" s="1"/>
  <c r="V9" i="12"/>
  <c r="AN84" i="11"/>
  <c r="V10" i="12" l="1"/>
  <c r="Z14" i="15"/>
  <c r="AN3" i="11"/>
  <c r="Y13" i="15"/>
  <c r="V6" i="12"/>
  <c r="AN11" i="11"/>
  <c r="AN33" i="1" l="1"/>
  <c r="V7" i="12"/>
  <c r="Z13" i="15"/>
  <c r="AN142" i="11"/>
  <c r="AN143" i="11" s="1"/>
  <c r="AN56" i="5" l="1"/>
  <c r="AN26" i="4" s="1"/>
  <c r="AN27" i="4" s="1"/>
  <c r="AN29" i="4" s="1"/>
  <c r="AN113" i="1"/>
  <c r="AN50" i="1"/>
  <c r="AN136" i="2"/>
  <c r="AN16" i="1"/>
  <c r="AN25" i="4" l="1"/>
  <c r="AN30" i="4"/>
  <c r="AN31" i="4" s="1"/>
  <c r="AN32" i="4" s="1"/>
  <c r="AN137" i="2"/>
  <c r="AN78" i="2" s="1"/>
  <c r="AN44" i="4" l="1"/>
  <c r="AN52" i="4" s="1"/>
  <c r="AN51" i="4"/>
  <c r="AN82" i="2"/>
  <c r="AN141" i="2" s="1"/>
  <c r="AN85" i="2" l="1"/>
  <c r="AN90" i="2"/>
  <c r="AN17" i="2"/>
  <c r="AN15" i="2"/>
  <c r="V20" i="12" l="1"/>
  <c r="Y12" i="15"/>
  <c r="AN29" i="2"/>
  <c r="AN218" i="2"/>
  <c r="AN4" i="2"/>
  <c r="AN2" i="2" s="1"/>
  <c r="AN30" i="2"/>
  <c r="AN219" i="2"/>
  <c r="AN224" i="2" l="1"/>
  <c r="AN237" i="2" s="1"/>
  <c r="AN223" i="2"/>
  <c r="V21" i="12"/>
  <c r="Z12" i="15"/>
  <c r="AN18" i="2"/>
  <c r="AN221" i="2"/>
  <c r="AN234" i="2" s="1"/>
  <c r="V13" i="12"/>
  <c r="AN57" i="2"/>
  <c r="AN222" i="2"/>
  <c r="AN235" i="2" s="1"/>
  <c r="Y9" i="15"/>
  <c r="AN44" i="2"/>
  <c r="AN225" i="2" l="1"/>
  <c r="AN238" i="2" s="1"/>
  <c r="AN236" i="2"/>
  <c r="AN58" i="2"/>
  <c r="AN34" i="1" s="1"/>
  <c r="Z9" i="15"/>
  <c r="AN49" i="2"/>
  <c r="AN33" i="2"/>
  <c r="AN62" i="2" s="1"/>
  <c r="AN17" i="1"/>
  <c r="AN63" i="2"/>
  <c r="AN59" i="2" l="1"/>
  <c r="AN68" i="1"/>
  <c r="AN35" i="4"/>
  <c r="AN24" i="1"/>
  <c r="AN15" i="1"/>
  <c r="AN36" i="1"/>
  <c r="AN41" i="1" s="1"/>
  <c r="AN58" i="1" s="1"/>
  <c r="V14" i="12"/>
  <c r="V15" i="12" s="1"/>
  <c r="AN51" i="1"/>
  <c r="AN75" i="1" l="1"/>
  <c r="AN10" i="7"/>
  <c r="AN5" i="7" s="1"/>
  <c r="AN25" i="1"/>
  <c r="AN13" i="1"/>
  <c r="AN38" i="2" l="1"/>
  <c r="AN27" i="1"/>
  <c r="AN87" i="1"/>
  <c r="AN83" i="1"/>
  <c r="AN84" i="1"/>
  <c r="AN93" i="1"/>
  <c r="AN86" i="1"/>
  <c r="AN79" i="1"/>
  <c r="AN2" i="1"/>
  <c r="AN85" i="1"/>
  <c r="AN81" i="1"/>
  <c r="AN82" i="1"/>
  <c r="AN90" i="1" l="1"/>
  <c r="AN9" i="1"/>
  <c r="AN43" i="3"/>
  <c r="AN45" i="3" s="1"/>
  <c r="Y5" i="15"/>
  <c r="Y8" i="15" s="1"/>
  <c r="Z8" i="15" s="1"/>
  <c r="V3" i="12"/>
  <c r="AN7" i="1"/>
  <c r="AN6" i="1" s="1"/>
  <c r="AN2" i="8"/>
  <c r="AN24" i="10"/>
  <c r="AN44" i="8" s="1"/>
  <c r="AN39" i="8" s="1"/>
  <c r="AN133" i="1"/>
  <c r="AN3" i="10"/>
  <c r="AN6" i="9" s="1"/>
  <c r="AN38" i="4"/>
  <c r="AN98" i="1"/>
  <c r="AN39" i="4"/>
  <c r="AN89" i="1"/>
  <c r="AN80" i="1"/>
  <c r="AN78" i="1" s="1"/>
  <c r="AN94" i="1" l="1"/>
  <c r="AN134" i="1"/>
  <c r="AN80" i="8"/>
  <c r="AN56" i="8"/>
  <c r="AN55" i="8" s="1"/>
  <c r="AN62" i="8"/>
  <c r="AN64" i="8" s="1"/>
  <c r="AN49" i="8"/>
  <c r="AN19" i="8" s="1"/>
  <c r="AN40" i="8"/>
  <c r="AN38" i="8" s="1"/>
  <c r="AN27" i="10"/>
  <c r="AN128" i="1" s="1"/>
  <c r="AN36" i="4" l="1"/>
  <c r="AN33" i="4" s="1"/>
  <c r="AN6" i="7" s="1"/>
  <c r="AN77" i="8"/>
  <c r="AN23" i="8" s="1"/>
  <c r="AN82" i="8"/>
  <c r="AN99" i="8"/>
  <c r="AN6" i="10"/>
  <c r="AN9" i="9" s="1"/>
  <c r="AN37" i="4" l="1"/>
  <c r="AN20" i="7"/>
  <c r="AN105" i="8"/>
  <c r="AN84" i="8"/>
  <c r="AN106" i="8" l="1"/>
  <c r="AN34" i="8"/>
  <c r="AN33" i="8" s="1"/>
  <c r="AN37" i="8" s="1"/>
  <c r="AN4" i="7"/>
  <c r="AN58" i="4"/>
  <c r="AN41" i="4"/>
  <c r="AN59" i="4" s="1"/>
  <c r="AN12" i="4" l="1"/>
  <c r="AN5" i="4" s="1"/>
  <c r="AN3" i="7"/>
  <c r="Z7" i="15" l="1"/>
  <c r="AN39" i="7"/>
  <c r="AN35" i="7"/>
  <c r="AN32" i="7"/>
  <c r="AN33" i="7"/>
  <c r="AN71" i="1"/>
  <c r="AN8" i="4"/>
  <c r="AN7" i="4" s="1"/>
  <c r="AN4" i="4"/>
  <c r="AN11" i="4"/>
  <c r="AN112" i="1" l="1"/>
  <c r="Z20" i="15"/>
  <c r="AN10" i="4"/>
  <c r="AN31" i="7"/>
  <c r="AN37" i="1"/>
  <c r="Z19" i="15"/>
  <c r="V25" i="12"/>
  <c r="AN42" i="1" l="1"/>
  <c r="AN54" i="1"/>
  <c r="AN32" i="1"/>
  <c r="AO15" i="7"/>
  <c r="AO16" i="7"/>
  <c r="AN111" i="1"/>
  <c r="AN114" i="1"/>
  <c r="AN31" i="1" l="1"/>
  <c r="AN49" i="1"/>
  <c r="AN66" i="1"/>
  <c r="AO8" i="1"/>
  <c r="AO57" i="4"/>
  <c r="W28" i="12"/>
  <c r="AO68" i="11"/>
  <c r="AO58" i="11"/>
  <c r="AO74" i="11"/>
  <c r="AO29" i="11"/>
  <c r="AO52" i="11"/>
  <c r="AO80" i="11"/>
  <c r="AN59" i="1"/>
  <c r="AN76" i="1"/>
  <c r="AO72" i="11" l="1"/>
  <c r="AO50" i="11"/>
  <c r="AO28" i="11"/>
  <c r="AO56" i="11"/>
  <c r="AO66" i="11"/>
  <c r="AO78" i="11"/>
  <c r="AN65" i="1"/>
  <c r="AN30" i="1"/>
  <c r="AN48" i="1"/>
  <c r="AN3" i="1" l="1"/>
  <c r="AN47" i="1"/>
  <c r="AN64" i="1"/>
  <c r="AN4" i="1" s="1"/>
  <c r="AO5" i="11"/>
  <c r="AO83" i="11"/>
  <c r="W9" i="12" l="1"/>
  <c r="AA14" i="15"/>
  <c r="AO84" i="11"/>
  <c r="AO2" i="11"/>
  <c r="AP144" i="11" s="1"/>
  <c r="AO6" i="11"/>
  <c r="AO153" i="11" s="1"/>
  <c r="AO154" i="11" s="1"/>
  <c r="AO12" i="11"/>
  <c r="Z6" i="15"/>
  <c r="V5" i="12"/>
  <c r="AN5" i="1"/>
  <c r="V4" i="12"/>
  <c r="Z5" i="15"/>
  <c r="AN61" i="6"/>
  <c r="W10" i="12" l="1"/>
  <c r="AB14" i="15"/>
  <c r="AO11" i="11"/>
  <c r="AA13" i="15"/>
  <c r="AO3" i="11"/>
  <c r="W6" i="12"/>
  <c r="AO33" i="1" l="1"/>
  <c r="W7" i="12"/>
  <c r="AB13" i="15"/>
  <c r="AO142" i="11"/>
  <c r="AO143" i="11" s="1"/>
  <c r="AO56" i="5" l="1"/>
  <c r="AO26" i="4" s="1"/>
  <c r="AO27" i="4" s="1"/>
  <c r="AO29" i="4" s="1"/>
  <c r="AO113" i="1"/>
  <c r="AO136" i="2"/>
  <c r="AO50" i="1"/>
  <c r="AO16" i="1"/>
  <c r="AO25" i="4" l="1"/>
  <c r="AO30" i="4"/>
  <c r="AO31" i="4" s="1"/>
  <c r="AO32" i="4" s="1"/>
  <c r="AO137" i="2"/>
  <c r="AO78" i="2" s="1"/>
  <c r="AO51" i="4" l="1"/>
  <c r="AO44" i="4"/>
  <c r="AO52" i="4" s="1"/>
  <c r="AO82" i="2"/>
  <c r="AO85" i="2" s="1"/>
  <c r="AO141" i="2" l="1"/>
  <c r="AO15" i="2" s="1"/>
  <c r="AO90" i="2"/>
  <c r="AO17" i="2" l="1"/>
  <c r="AO219" i="2" s="1"/>
  <c r="AO29" i="2"/>
  <c r="AO44" i="2" s="1"/>
  <c r="AO218" i="2"/>
  <c r="W20" i="12" l="1"/>
  <c r="AA12" i="15"/>
  <c r="AO4" i="2"/>
  <c r="AO30" i="2"/>
  <c r="AB12" i="15"/>
  <c r="W21" i="12"/>
  <c r="AO18" i="2"/>
  <c r="AO2" i="2" l="1"/>
  <c r="AA9" i="15"/>
  <c r="AO222" i="2"/>
  <c r="AO235" i="2" s="1"/>
  <c r="W13" i="12"/>
  <c r="AO224" i="2"/>
  <c r="AO237" i="2" s="1"/>
  <c r="AO223" i="2"/>
  <c r="AO236" i="2" s="1"/>
  <c r="AO221" i="2"/>
  <c r="AO234" i="2" s="1"/>
  <c r="AO57" i="2"/>
  <c r="AO58" i="2"/>
  <c r="AO34" i="1" s="1"/>
  <c r="AB9" i="15"/>
  <c r="AO49" i="2"/>
  <c r="AO33" i="2"/>
  <c r="AO62" i="2" s="1"/>
  <c r="AO63" i="2" l="1"/>
  <c r="AO17" i="1"/>
  <c r="AO24" i="1" s="1"/>
  <c r="AO225" i="2"/>
  <c r="AO238" i="2" s="1"/>
  <c r="AO59" i="2"/>
  <c r="W14" i="12"/>
  <c r="W15" i="12" s="1"/>
  <c r="AO36" i="1"/>
  <c r="AO41" i="1" s="1"/>
  <c r="AO58" i="1" s="1"/>
  <c r="AO51" i="1"/>
  <c r="AO15" i="1" l="1"/>
  <c r="AO13" i="1" s="1"/>
  <c r="AO35" i="4"/>
  <c r="AO10" i="7" s="1"/>
  <c r="AO5" i="7" s="1"/>
  <c r="AO68" i="1"/>
  <c r="AO75" i="1"/>
  <c r="AO25" i="1" l="1"/>
  <c r="AO79" i="1"/>
  <c r="AO93" i="1"/>
  <c r="AO86" i="1"/>
  <c r="AO2" i="1"/>
  <c r="AO87" i="1"/>
  <c r="AO85" i="1"/>
  <c r="AO83" i="1"/>
  <c r="AO27" i="1"/>
  <c r="AO84" i="1"/>
  <c r="AO81" i="1"/>
  <c r="AO82" i="1"/>
  <c r="AO38" i="2"/>
  <c r="AO90" i="1" l="1"/>
  <c r="AO3" i="10"/>
  <c r="AO6" i="9" s="1"/>
  <c r="AO133" i="1"/>
  <c r="AO98" i="1"/>
  <c r="AO38" i="4"/>
  <c r="AO39" i="4"/>
  <c r="AO80" i="1"/>
  <c r="AO78" i="1" s="1"/>
  <c r="AO89" i="1"/>
  <c r="AA5" i="15"/>
  <c r="AA8" i="15" s="1"/>
  <c r="AB8" i="15" s="1"/>
  <c r="AO7" i="1"/>
  <c r="AO6" i="1" s="1"/>
  <c r="AO2" i="8"/>
  <c r="AO9" i="1"/>
  <c r="W3" i="12"/>
  <c r="AO24" i="10"/>
  <c r="AO44" i="8" s="1"/>
  <c r="AO39" i="8" s="1"/>
  <c r="AO43" i="3"/>
  <c r="AO45" i="3" s="1"/>
  <c r="AO80" i="8" l="1"/>
  <c r="AO56" i="8"/>
  <c r="AO55" i="8" s="1"/>
  <c r="AO49" i="8"/>
  <c r="AO19" i="8" s="1"/>
  <c r="AO62" i="8"/>
  <c r="AO64" i="8" s="1"/>
  <c r="AO40" i="8"/>
  <c r="AO27" i="10"/>
  <c r="AO128" i="1" s="1"/>
  <c r="AO134" i="1"/>
  <c r="AO94" i="1"/>
  <c r="AO6" i="10" l="1"/>
  <c r="AO9" i="9" s="1"/>
  <c r="AO36" i="4"/>
  <c r="AO33" i="4" s="1"/>
  <c r="AO38" i="8"/>
  <c r="AO77" i="8"/>
  <c r="AO23" i="8" s="1"/>
  <c r="AO82" i="8"/>
  <c r="AO99" i="8"/>
  <c r="AO20" i="7" l="1"/>
  <c r="AO6" i="7"/>
  <c r="AO37" i="4"/>
  <c r="AO105" i="8"/>
  <c r="AO84" i="8"/>
  <c r="AO34" i="8" l="1"/>
  <c r="AO33" i="8" s="1"/>
  <c r="AO37" i="8" s="1"/>
  <c r="AO106" i="8"/>
  <c r="AO58" i="4"/>
  <c r="AO41" i="4"/>
  <c r="AO59" i="4" s="1"/>
  <c r="AO4" i="7"/>
  <c r="AO3" i="7" l="1"/>
  <c r="AO12" i="4"/>
  <c r="AO5" i="4" s="1"/>
  <c r="AO4" i="4" l="1"/>
  <c r="AO11" i="4"/>
  <c r="AO71" i="1"/>
  <c r="AO8" i="4"/>
  <c r="AO7" i="4" s="1"/>
  <c r="AO39" i="7"/>
  <c r="AB7" i="15"/>
  <c r="AO32" i="7"/>
  <c r="AO35" i="7"/>
  <c r="AO33" i="7"/>
  <c r="AO31" i="7" l="1"/>
  <c r="AO112" i="1"/>
  <c r="AB20" i="15"/>
  <c r="AO10" i="4"/>
  <c r="AO37" i="1"/>
  <c r="W25" i="12"/>
  <c r="AB19" i="15"/>
  <c r="AO42" i="1" l="1"/>
  <c r="AO54" i="1"/>
  <c r="AO32" i="1"/>
  <c r="AP16" i="7"/>
  <c r="AP15" i="7"/>
  <c r="AO111" i="1"/>
  <c r="AO114" i="1"/>
  <c r="X28" i="12" l="1"/>
  <c r="AP57" i="4"/>
  <c r="AP8" i="1"/>
  <c r="AP74" i="11"/>
  <c r="AP72" i="11" s="1"/>
  <c r="AP29" i="11"/>
  <c r="AP28" i="11" s="1"/>
  <c r="AP80" i="11"/>
  <c r="AP78" i="11" s="1"/>
  <c r="AP58" i="11"/>
  <c r="AP56" i="11" s="1"/>
  <c r="AP52" i="11"/>
  <c r="AP50" i="11" s="1"/>
  <c r="AP68" i="11"/>
  <c r="AP66" i="11" s="1"/>
  <c r="AO31" i="1"/>
  <c r="AO49" i="1"/>
  <c r="AO66" i="1"/>
  <c r="AO59" i="1"/>
  <c r="AO76" i="1"/>
  <c r="AO65" i="1" l="1"/>
  <c r="AO30" i="1"/>
  <c r="AO48" i="1"/>
  <c r="AP83" i="11"/>
  <c r="AP5" i="11"/>
  <c r="X9" i="12" l="1"/>
  <c r="AP84" i="11"/>
  <c r="AP6" i="11"/>
  <c r="AP153" i="11" s="1"/>
  <c r="AP154" i="11" s="1"/>
  <c r="AP2" i="11"/>
  <c r="AP12" i="11"/>
  <c r="AC14" i="15"/>
  <c r="AO3" i="1"/>
  <c r="AO47" i="1"/>
  <c r="AO64" i="1"/>
  <c r="AO4" i="1" s="1"/>
  <c r="W5" i="12" l="1"/>
  <c r="AB6" i="15"/>
  <c r="AO5" i="1"/>
  <c r="W4" i="12"/>
  <c r="AB5" i="15"/>
  <c r="AO61" i="6"/>
  <c r="AC13" i="15"/>
  <c r="AP11" i="11"/>
  <c r="AP3" i="11"/>
  <c r="X6" i="12"/>
  <c r="AD14" i="15"/>
  <c r="X10" i="12"/>
  <c r="X7" i="12" l="1"/>
  <c r="AD13" i="15"/>
  <c r="AP33" i="1"/>
  <c r="AP142" i="11"/>
  <c r="AP143" i="11" s="1"/>
  <c r="AP56" i="5" l="1"/>
  <c r="AP26" i="4" s="1"/>
  <c r="AP27" i="4" s="1"/>
  <c r="AP29" i="4" s="1"/>
  <c r="AP113" i="1"/>
  <c r="AP136" i="2"/>
  <c r="AP137" i="2" s="1"/>
  <c r="AP78" i="2" s="1"/>
  <c r="AP50" i="1"/>
  <c r="AP16" i="1"/>
  <c r="AP30" i="4" l="1"/>
  <c r="AP31" i="4" s="1"/>
  <c r="AP32" i="4" s="1"/>
  <c r="AP44" i="4" s="1"/>
  <c r="AP52" i="4" s="1"/>
  <c r="AP25" i="4"/>
  <c r="AP82" i="2"/>
  <c r="AP90" i="2" s="1"/>
  <c r="AP51" i="4" l="1"/>
  <c r="AP141" i="2"/>
  <c r="AP17" i="2" s="1"/>
  <c r="AP85" i="2"/>
  <c r="AP15" i="2" l="1"/>
  <c r="AP218" i="2" s="1"/>
  <c r="AP219" i="2"/>
  <c r="AP30" i="2"/>
  <c r="AC12" i="15" l="1"/>
  <c r="AP29" i="2"/>
  <c r="X21" i="12" s="1"/>
  <c r="X20" i="12"/>
  <c r="AP4" i="2"/>
  <c r="AP2" i="2" l="1"/>
  <c r="AD12" i="15"/>
  <c r="AP44" i="2"/>
  <c r="AP57" i="2"/>
  <c r="AC9" i="15"/>
  <c r="X13" i="12"/>
  <c r="AP222" i="2"/>
  <c r="AP235" i="2" s="1"/>
  <c r="AP223" i="2"/>
  <c r="AP221" i="2"/>
  <c r="AP234" i="2" s="1"/>
  <c r="AP224" i="2"/>
  <c r="AP237" i="2" s="1"/>
  <c r="AP63" i="2" l="1"/>
  <c r="AP17" i="1"/>
  <c r="AP35" i="4" s="1"/>
  <c r="AP225" i="2"/>
  <c r="AP238" i="2" s="1"/>
  <c r="AP236" i="2"/>
  <c r="AP15" i="1" l="1"/>
  <c r="AP24" i="1"/>
  <c r="AP10" i="7"/>
  <c r="AP5" i="7" s="1"/>
  <c r="AP25" i="1" l="1"/>
  <c r="AP13" i="1"/>
  <c r="AP27" i="1" s="1"/>
  <c r="AP38" i="2"/>
  <c r="AP23" i="2" s="1"/>
  <c r="AP82" i="1" l="1"/>
  <c r="AP83" i="1"/>
  <c r="AP2" i="1"/>
  <c r="AP81" i="1"/>
  <c r="AP85" i="1"/>
  <c r="AP79" i="1"/>
  <c r="AP87" i="1"/>
  <c r="AP84" i="1"/>
  <c r="AP93" i="1"/>
  <c r="AP133" i="1" s="1"/>
  <c r="AP86" i="1"/>
  <c r="AP22" i="2"/>
  <c r="AP4" i="3"/>
  <c r="AP60" i="2"/>
  <c r="AP53" i="2"/>
  <c r="AP43" i="3" l="1"/>
  <c r="AP45" i="3" s="1"/>
  <c r="AP24" i="10"/>
  <c r="AP44" i="8" s="1"/>
  <c r="AP39" i="8" s="1"/>
  <c r="AP27" i="10" s="1"/>
  <c r="AP128" i="1" s="1"/>
  <c r="AP36" i="4" s="1"/>
  <c r="AP33" i="4" s="1"/>
  <c r="AP3" i="10"/>
  <c r="AP6" i="9" s="1"/>
  <c r="AC5" i="15"/>
  <c r="AC8" i="15" s="1"/>
  <c r="AD8" i="15" s="1"/>
  <c r="X3" i="12"/>
  <c r="AP89" i="1"/>
  <c r="AP9" i="1"/>
  <c r="AP7" i="1"/>
  <c r="AP6" i="1" s="1"/>
  <c r="AP2" i="8"/>
  <c r="AP40" i="8" s="1"/>
  <c r="AP39" i="4"/>
  <c r="AP38" i="4"/>
  <c r="AP98" i="1"/>
  <c r="AP94" i="1" s="1"/>
  <c r="AP80" i="1"/>
  <c r="AP78" i="1" s="1"/>
  <c r="AP90" i="1"/>
  <c r="X19" i="12"/>
  <c r="AD11" i="15"/>
  <c r="AP37" i="2"/>
  <c r="AP18" i="2"/>
  <c r="AP38" i="8" l="1"/>
  <c r="AP62" i="8"/>
  <c r="AP64" i="8" s="1"/>
  <c r="AP80" i="8"/>
  <c r="AP82" i="8" s="1"/>
  <c r="AP56" i="8"/>
  <c r="AP55" i="8" s="1"/>
  <c r="AP49" i="8"/>
  <c r="AP19" i="8" s="1"/>
  <c r="AP134" i="1"/>
  <c r="AP58" i="2"/>
  <c r="AD9" i="15"/>
  <c r="AP49" i="2"/>
  <c r="AP33" i="2"/>
  <c r="AP62" i="2" s="1"/>
  <c r="AP6" i="7"/>
  <c r="AP37" i="4"/>
  <c r="AP20" i="7"/>
  <c r="AP6" i="10"/>
  <c r="AP9" i="9" s="1"/>
  <c r="AP77" i="8" l="1"/>
  <c r="AP23" i="8" s="1"/>
  <c r="AP99" i="8"/>
  <c r="AP105" i="8" s="1"/>
  <c r="AP4" i="7"/>
  <c r="AP41" i="4"/>
  <c r="AP59" i="4" s="1"/>
  <c r="AP58" i="4"/>
  <c r="AP34" i="1"/>
  <c r="AP59" i="2"/>
  <c r="AP84" i="8" l="1"/>
  <c r="AP34" i="8" s="1"/>
  <c r="AP33" i="8" s="1"/>
  <c r="AP37" i="8" s="1"/>
  <c r="AP36" i="1"/>
  <c r="AP41" i="1" s="1"/>
  <c r="X14" i="12"/>
  <c r="X15" i="12" s="1"/>
  <c r="AP51" i="1"/>
  <c r="AP68" i="1"/>
  <c r="AP12" i="4"/>
  <c r="AP5" i="4" s="1"/>
  <c r="AP3" i="7"/>
  <c r="AP106" i="8" l="1"/>
  <c r="AP4" i="4"/>
  <c r="AP71" i="1"/>
  <c r="AP11" i="4"/>
  <c r="AP8" i="4"/>
  <c r="AP7" i="4" s="1"/>
  <c r="AP58" i="1"/>
  <c r="AP75" i="1"/>
  <c r="AD7" i="15"/>
  <c r="AP39" i="7"/>
  <c r="AP35" i="7"/>
  <c r="AP32" i="7"/>
  <c r="AP33" i="7"/>
  <c r="AP112" i="1" l="1"/>
  <c r="AD20" i="15"/>
  <c r="AP10" i="4"/>
  <c r="AP31" i="7"/>
  <c r="AD19" i="15"/>
  <c r="AP37" i="1"/>
  <c r="X25" i="12"/>
  <c r="AP42" i="1" l="1"/>
  <c r="AP54" i="1"/>
  <c r="AP32" i="1"/>
  <c r="AP111" i="1"/>
  <c r="AP114" i="1"/>
  <c r="AP31" i="1" l="1"/>
  <c r="AP49" i="1"/>
  <c r="AP66" i="1"/>
  <c r="AP59" i="1"/>
  <c r="AP76" i="1"/>
  <c r="AP65" i="1" l="1"/>
  <c r="AP30" i="1"/>
  <c r="AP48" i="1"/>
  <c r="AP3" i="1" l="1"/>
  <c r="AP47" i="1"/>
  <c r="AP5" i="1" s="1"/>
  <c r="AP64" i="1"/>
  <c r="AP4" i="1" s="1"/>
  <c r="X5" i="12" l="1"/>
  <c r="AD6" i="15"/>
  <c r="X4" i="12"/>
  <c r="AD5" i="15"/>
  <c r="AP61" i="6"/>
  <c r="AF9" i="8" l="1"/>
  <c r="AF5" i="8" s="1"/>
  <c r="AF4" i="8" s="1"/>
  <c r="AF27" i="8" s="1"/>
  <c r="AF28" i="8" s="1"/>
  <c r="AF29" i="8" s="1"/>
  <c r="AF3" i="6"/>
  <c r="AF34" i="6"/>
  <c r="AF33" i="6" s="1"/>
  <c r="AF104" i="1"/>
  <c r="AF5" i="10" s="1"/>
  <c r="N31" i="12"/>
  <c r="I24" i="15" s="1"/>
  <c r="AF11" i="6"/>
  <c r="AG11" i="6" s="1"/>
  <c r="AH11" i="6" s="1"/>
  <c r="AF12" i="6"/>
  <c r="AI11" i="6" l="1"/>
  <c r="AJ11" i="6" s="1"/>
  <c r="AK11" i="6" s="1"/>
  <c r="AH5" i="6"/>
  <c r="N32" i="12"/>
  <c r="J24" i="15"/>
  <c r="AG5" i="6"/>
  <c r="AF8" i="9"/>
  <c r="AF116" i="1"/>
  <c r="AF20" i="6"/>
  <c r="AF29" i="6" s="1"/>
  <c r="AF84" i="6"/>
  <c r="AF55" i="6"/>
  <c r="AF53" i="6"/>
  <c r="AF85" i="6"/>
  <c r="AF41" i="6"/>
  <c r="AF93" i="6"/>
  <c r="AF105" i="1"/>
  <c r="AF4" i="10" s="1"/>
  <c r="AF54" i="6"/>
  <c r="AF40" i="6"/>
  <c r="AF90" i="6"/>
  <c r="N33" i="12"/>
  <c r="AF52" i="6"/>
  <c r="AF35" i="6"/>
  <c r="AF2" i="6"/>
  <c r="AG13" i="6" l="1"/>
  <c r="AG51" i="6"/>
  <c r="AG43" i="6" s="1"/>
  <c r="AH13" i="6"/>
  <c r="AE64" i="6"/>
  <c r="AG34" i="6"/>
  <c r="AG33" i="6" s="1"/>
  <c r="AG12" i="6"/>
  <c r="AG21" i="10"/>
  <c r="AG7" i="8" s="1"/>
  <c r="O31" i="12"/>
  <c r="I25" i="15"/>
  <c r="N34" i="12"/>
  <c r="N29" i="12"/>
  <c r="N30" i="12" s="1"/>
  <c r="AF86" i="6"/>
  <c r="AF7" i="9"/>
  <c r="AF106" i="1"/>
  <c r="AF92" i="6"/>
  <c r="AF91" i="6"/>
  <c r="AG4" i="6"/>
  <c r="AG104" i="1" s="1"/>
  <c r="AF101" i="1"/>
  <c r="AG5" i="10" l="1"/>
  <c r="AG8" i="9" s="1"/>
  <c r="AG18" i="8"/>
  <c r="AG72" i="8"/>
  <c r="J25" i="15"/>
  <c r="I23" i="15"/>
  <c r="AG116" i="1"/>
  <c r="AG20" i="6"/>
  <c r="AH4" i="6"/>
  <c r="AH51" i="6"/>
  <c r="AH34" i="6"/>
  <c r="AH33" i="6" s="1"/>
  <c r="AH116" i="1" s="1"/>
  <c r="AH12" i="6"/>
  <c r="P31" i="12"/>
  <c r="AH21" i="10"/>
  <c r="AH7" i="8" s="1"/>
  <c r="K24" i="15"/>
  <c r="O32" i="12"/>
  <c r="AF107" i="1"/>
  <c r="AF108" i="1"/>
  <c r="AF102" i="1"/>
  <c r="AF103" i="1" s="1"/>
  <c r="AG3" i="6"/>
  <c r="AG2" i="6" s="1"/>
  <c r="AG20" i="10"/>
  <c r="AG10" i="8" s="1"/>
  <c r="AG9" i="8" s="1"/>
  <c r="AI5" i="6"/>
  <c r="AI13" i="6" s="1"/>
  <c r="AI34" i="6" l="1"/>
  <c r="AI33" i="6" s="1"/>
  <c r="AI116" i="1" s="1"/>
  <c r="Q31" i="12"/>
  <c r="AI21" i="10"/>
  <c r="AI7" i="8" s="1"/>
  <c r="AI12" i="6"/>
  <c r="AJ5" i="6"/>
  <c r="J23" i="15"/>
  <c r="I29" i="15"/>
  <c r="AG14" i="8"/>
  <c r="AH20" i="10"/>
  <c r="AH10" i="8" s="1"/>
  <c r="AH9" i="8" s="1"/>
  <c r="AH3" i="6"/>
  <c r="AH18" i="8"/>
  <c r="L24" i="15"/>
  <c r="AH43" i="6"/>
  <c r="AI4" i="6" s="1"/>
  <c r="AI51" i="6"/>
  <c r="I30" i="15"/>
  <c r="AF115" i="1"/>
  <c r="AF135" i="1"/>
  <c r="P32" i="12"/>
  <c r="M24" i="15"/>
  <c r="AH20" i="6"/>
  <c r="AG35" i="6"/>
  <c r="AG29" i="6"/>
  <c r="AH104" i="1"/>
  <c r="AG41" i="6"/>
  <c r="AG93" i="6"/>
  <c r="AG53" i="6"/>
  <c r="AG54" i="6"/>
  <c r="AG23" i="10"/>
  <c r="AG8" i="8" s="1"/>
  <c r="AG105" i="1"/>
  <c r="AG40" i="6"/>
  <c r="O33" i="12"/>
  <c r="AG85" i="6"/>
  <c r="AG84" i="6"/>
  <c r="AG55" i="6"/>
  <c r="AG52" i="6" s="1"/>
  <c r="AG90" i="6"/>
  <c r="AG71" i="8"/>
  <c r="AH72" i="8"/>
  <c r="AJ51" i="6" l="1"/>
  <c r="AK51" i="6" s="1"/>
  <c r="AF64" i="6"/>
  <c r="AH14" i="8"/>
  <c r="M33" i="15" s="1"/>
  <c r="AI20" i="10"/>
  <c r="AI10" i="8" s="1"/>
  <c r="AI9" i="8" s="1"/>
  <c r="AI3" i="6"/>
  <c r="AI104" i="1"/>
  <c r="AH5" i="10"/>
  <c r="AH8" i="9" s="1"/>
  <c r="N24" i="15"/>
  <c r="K33" i="15"/>
  <c r="AI18" i="8"/>
  <c r="AJ34" i="6"/>
  <c r="AJ33" i="6" s="1"/>
  <c r="AJ116" i="1" s="1"/>
  <c r="AJ13" i="6"/>
  <c r="AJ12" i="6"/>
  <c r="AJ21" i="10"/>
  <c r="AJ7" i="8" s="1"/>
  <c r="R31" i="12"/>
  <c r="O24" i="15"/>
  <c r="Q32" i="12"/>
  <c r="AG106" i="1"/>
  <c r="AG4" i="10"/>
  <c r="AG7" i="9" s="1"/>
  <c r="AG101" i="1"/>
  <c r="AH35" i="6"/>
  <c r="AI20" i="6"/>
  <c r="AH2" i="6"/>
  <c r="AK5" i="6"/>
  <c r="AI43" i="6"/>
  <c r="AH29" i="6"/>
  <c r="AF119" i="1"/>
  <c r="AF110" i="1"/>
  <c r="AH71" i="8"/>
  <c r="AI72" i="8"/>
  <c r="AG60" i="8"/>
  <c r="AG36" i="8"/>
  <c r="AG15" i="8"/>
  <c r="AG6" i="8"/>
  <c r="AG5" i="8" s="1"/>
  <c r="AG4" i="8" s="1"/>
  <c r="AG69" i="8"/>
  <c r="AH23" i="10"/>
  <c r="AH8" i="8" s="1"/>
  <c r="P33" i="12"/>
  <c r="AH55" i="6"/>
  <c r="AH52" i="6" s="1"/>
  <c r="AH54" i="6"/>
  <c r="AH85" i="6"/>
  <c r="AH93" i="6"/>
  <c r="AH41" i="6"/>
  <c r="AH40" i="6"/>
  <c r="AH53" i="6"/>
  <c r="AH105" i="1"/>
  <c r="AH101" i="1" s="1"/>
  <c r="AH84" i="6"/>
  <c r="AH90" i="6"/>
  <c r="O34" i="12"/>
  <c r="K25" i="15"/>
  <c r="O29" i="12"/>
  <c r="O30" i="12" s="1"/>
  <c r="AG91" i="6"/>
  <c r="AG92" i="6"/>
  <c r="AG86" i="6"/>
  <c r="AI14" i="8" l="1"/>
  <c r="O33" i="15" s="1"/>
  <c r="AI29" i="6"/>
  <c r="AG64" i="6"/>
  <c r="AH36" i="8"/>
  <c r="AH86" i="6"/>
  <c r="AH107" i="1"/>
  <c r="AH102" i="1"/>
  <c r="AH103" i="1" s="1"/>
  <c r="AH108" i="1"/>
  <c r="AI93" i="6"/>
  <c r="AI23" i="10"/>
  <c r="AI8" i="8" s="1"/>
  <c r="AI54" i="6"/>
  <c r="Q33" i="12"/>
  <c r="AI41" i="6"/>
  <c r="AI53" i="6"/>
  <c r="AI105" i="1"/>
  <c r="AI101" i="1" s="1"/>
  <c r="AI84" i="6"/>
  <c r="AI85" i="6"/>
  <c r="AI55" i="6"/>
  <c r="AI52" i="6" s="1"/>
  <c r="AI40" i="6"/>
  <c r="AI90" i="6"/>
  <c r="AH60" i="8"/>
  <c r="AG59" i="8"/>
  <c r="AL5" i="6"/>
  <c r="AI5" i="10"/>
  <c r="AI8" i="9" s="1"/>
  <c r="M25" i="15"/>
  <c r="P34" i="12"/>
  <c r="P29" i="12"/>
  <c r="P30" i="12" s="1"/>
  <c r="AH92" i="6"/>
  <c r="AH91" i="6"/>
  <c r="AJ72" i="8"/>
  <c r="AI71" i="8"/>
  <c r="AK34" i="6"/>
  <c r="AK33" i="6" s="1"/>
  <c r="AK116" i="1" s="1"/>
  <c r="S31" i="12"/>
  <c r="AK13" i="6"/>
  <c r="AK21" i="10"/>
  <c r="AK7" i="8" s="1"/>
  <c r="AK12" i="6"/>
  <c r="N33" i="15"/>
  <c r="AI2" i="6"/>
  <c r="AI35" i="6"/>
  <c r="AJ20" i="6"/>
  <c r="AH15" i="8"/>
  <c r="AH6" i="8"/>
  <c r="AH5" i="8" s="1"/>
  <c r="AH4" i="8" s="1"/>
  <c r="AG68" i="8"/>
  <c r="AG67" i="8" s="1"/>
  <c r="AG22" i="8" s="1"/>
  <c r="AH69" i="8"/>
  <c r="AG108" i="1"/>
  <c r="AG102" i="1"/>
  <c r="AG107" i="1"/>
  <c r="AJ4" i="6"/>
  <c r="L25" i="15"/>
  <c r="K23" i="15"/>
  <c r="P24" i="15"/>
  <c r="AJ18" i="8"/>
  <c r="AH106" i="1"/>
  <c r="AH4" i="10"/>
  <c r="AH7" i="9" s="1"/>
  <c r="K34" i="15"/>
  <c r="L34" i="15" s="1"/>
  <c r="AJ43" i="6"/>
  <c r="AK40" i="6" s="1"/>
  <c r="Q24" i="15"/>
  <c r="R32" i="12"/>
  <c r="L33" i="15"/>
  <c r="AI36" i="8" l="1"/>
  <c r="AI86" i="6"/>
  <c r="AH64" i="6"/>
  <c r="K32" i="15"/>
  <c r="L32" i="15"/>
  <c r="AM5" i="6"/>
  <c r="AN11" i="6"/>
  <c r="P33" i="15"/>
  <c r="AJ71" i="8"/>
  <c r="AK72" i="8"/>
  <c r="AG108" i="8"/>
  <c r="AG54" i="8"/>
  <c r="AG21" i="8" s="1"/>
  <c r="AG20" i="8" s="1"/>
  <c r="AG17" i="8" s="1"/>
  <c r="AG27" i="8" s="1"/>
  <c r="AG28" i="8" s="1"/>
  <c r="O25" i="15"/>
  <c r="Q34" i="12"/>
  <c r="Q29" i="12"/>
  <c r="Q30" i="12" s="1"/>
  <c r="AG135" i="1"/>
  <c r="AG115" i="1"/>
  <c r="M34" i="15"/>
  <c r="N25" i="15"/>
  <c r="M23" i="15"/>
  <c r="M30" i="15" s="1"/>
  <c r="AI60" i="8"/>
  <c r="AH59" i="8"/>
  <c r="AH54" i="8" s="1"/>
  <c r="AH21" i="8" s="1"/>
  <c r="AJ3" i="6"/>
  <c r="AJ20" i="10"/>
  <c r="AJ10" i="8" s="1"/>
  <c r="AK4" i="6"/>
  <c r="AL4" i="6" s="1"/>
  <c r="AJ104" i="1"/>
  <c r="L23" i="15"/>
  <c r="K29" i="15"/>
  <c r="AL51" i="6"/>
  <c r="R24" i="15"/>
  <c r="K30" i="15"/>
  <c r="AG103" i="1"/>
  <c r="S32" i="12"/>
  <c r="S24" i="15"/>
  <c r="AI108" i="1"/>
  <c r="AI102" i="1"/>
  <c r="AI103" i="1" s="1"/>
  <c r="AI107" i="1"/>
  <c r="AI4" i="10"/>
  <c r="AI7" i="9" s="1"/>
  <c r="AI106" i="1"/>
  <c r="AI15" i="8"/>
  <c r="AI6" i="8"/>
  <c r="AI5" i="8" s="1"/>
  <c r="AI4" i="8" s="1"/>
  <c r="AH115" i="1"/>
  <c r="AH135" i="1"/>
  <c r="AJ40" i="6"/>
  <c r="AJ93" i="6"/>
  <c r="AJ105" i="1"/>
  <c r="AJ23" i="10"/>
  <c r="AJ8" i="8" s="1"/>
  <c r="AJ85" i="6"/>
  <c r="AJ54" i="6"/>
  <c r="AJ84" i="6"/>
  <c r="AJ55" i="6"/>
  <c r="AJ52" i="6" s="1"/>
  <c r="AJ41" i="6"/>
  <c r="R33" i="12"/>
  <c r="AJ53" i="6"/>
  <c r="AJ90" i="6"/>
  <c r="AK18" i="8"/>
  <c r="AI69" i="8"/>
  <c r="AH68" i="8"/>
  <c r="AH67" i="8" s="1"/>
  <c r="AH22" i="8" s="1"/>
  <c r="AL34" i="6"/>
  <c r="AL33" i="6" s="1"/>
  <c r="AL116" i="1" s="1"/>
  <c r="T31" i="12"/>
  <c r="AL13" i="6"/>
  <c r="AL21" i="10"/>
  <c r="AL7" i="8" s="1"/>
  <c r="AL12" i="6"/>
  <c r="AI92" i="6"/>
  <c r="AI91" i="6"/>
  <c r="AI64" i="6" l="1"/>
  <c r="AJ92" i="6"/>
  <c r="AJ91" i="6"/>
  <c r="AK20" i="10"/>
  <c r="AK10" i="8" s="1"/>
  <c r="AK3" i="6"/>
  <c r="AK104" i="1"/>
  <c r="P25" i="15"/>
  <c r="O23" i="15"/>
  <c r="P23" i="15" s="1"/>
  <c r="T24" i="15"/>
  <c r="AK41" i="6"/>
  <c r="AK53" i="6"/>
  <c r="S33" i="12"/>
  <c r="AK84" i="6"/>
  <c r="AK85" i="6"/>
  <c r="AK54" i="6"/>
  <c r="AK93" i="6"/>
  <c r="AK23" i="10"/>
  <c r="AK8" i="8" s="1"/>
  <c r="AK105" i="1"/>
  <c r="AK55" i="6"/>
  <c r="AK52" i="6" s="1"/>
  <c r="AK90" i="6"/>
  <c r="AJ9" i="8"/>
  <c r="AJ14" i="8"/>
  <c r="AG119" i="1"/>
  <c r="AG110" i="1"/>
  <c r="AL72" i="8"/>
  <c r="AK71" i="8"/>
  <c r="AM51" i="6"/>
  <c r="AL43" i="6"/>
  <c r="AJ35" i="6"/>
  <c r="AK20" i="6"/>
  <c r="AJ2" i="6"/>
  <c r="AJ29" i="6"/>
  <c r="AG29" i="8"/>
  <c r="AI68" i="8"/>
  <c r="AI67" i="8" s="1"/>
  <c r="AI22" i="8" s="1"/>
  <c r="AJ69" i="8"/>
  <c r="AJ15" i="8"/>
  <c r="AJ6" i="8"/>
  <c r="AH20" i="8"/>
  <c r="AH17" i="8" s="1"/>
  <c r="AH27" i="8" s="1"/>
  <c r="AH28" i="8" s="1"/>
  <c r="AG116" i="8"/>
  <c r="AH108" i="8"/>
  <c r="AH116" i="8" s="1"/>
  <c r="AJ36" i="8"/>
  <c r="T32" i="12"/>
  <c r="U24" i="15"/>
  <c r="AH119" i="1"/>
  <c r="AH110" i="1"/>
  <c r="AL18" i="8"/>
  <c r="AJ4" i="10"/>
  <c r="AJ7" i="9" s="1"/>
  <c r="AJ106" i="1"/>
  <c r="O34" i="15"/>
  <c r="AJ60" i="8"/>
  <c r="AI59" i="8"/>
  <c r="AI54" i="8" s="1"/>
  <c r="AI21" i="8" s="1"/>
  <c r="N34" i="15"/>
  <c r="N32" i="15" s="1"/>
  <c r="M32" i="15"/>
  <c r="AN5" i="6"/>
  <c r="AO11" i="6"/>
  <c r="Q25" i="15"/>
  <c r="R34" i="12"/>
  <c r="R29" i="12"/>
  <c r="R30" i="12" s="1"/>
  <c r="AJ86" i="6"/>
  <c r="AI115" i="1"/>
  <c r="AI135" i="1"/>
  <c r="AJ101" i="1"/>
  <c r="AJ5" i="10"/>
  <c r="AJ8" i="9" s="1"/>
  <c r="N23" i="15"/>
  <c r="M29" i="15"/>
  <c r="AM34" i="6"/>
  <c r="AM33" i="6" s="1"/>
  <c r="AM116" i="1" s="1"/>
  <c r="AM12" i="6"/>
  <c r="AM13" i="6"/>
  <c r="AM21" i="10"/>
  <c r="AM7" i="8" s="1"/>
  <c r="U31" i="12"/>
  <c r="AK36" i="8" l="1"/>
  <c r="AJ64" i="6"/>
  <c r="AK86" i="6"/>
  <c r="AH29" i="8"/>
  <c r="AM18" i="8"/>
  <c r="AJ68" i="8"/>
  <c r="AJ67" i="8" s="1"/>
  <c r="AJ22" i="8" s="1"/>
  <c r="AK69" i="8"/>
  <c r="S34" i="12"/>
  <c r="S25" i="15"/>
  <c r="S29" i="12"/>
  <c r="S30" i="12" s="1"/>
  <c r="AK35" i="6"/>
  <c r="AK2" i="6"/>
  <c r="AL20" i="6"/>
  <c r="P34" i="15"/>
  <c r="P32" i="15" s="1"/>
  <c r="O32" i="15"/>
  <c r="AL71" i="8"/>
  <c r="AM72" i="8"/>
  <c r="AK15" i="8"/>
  <c r="AK6" i="8"/>
  <c r="AK9" i="8"/>
  <c r="AK14" i="8"/>
  <c r="AJ108" i="1"/>
  <c r="AJ102" i="1"/>
  <c r="AJ103" i="1" s="1"/>
  <c r="AJ107" i="1"/>
  <c r="AI119" i="1"/>
  <c r="AI110" i="1"/>
  <c r="AO5" i="6"/>
  <c r="AP11" i="6"/>
  <c r="AP5" i="6" s="1"/>
  <c r="AK92" i="6"/>
  <c r="AK91" i="6"/>
  <c r="AM4" i="6"/>
  <c r="AL20" i="10"/>
  <c r="AL10" i="8" s="1"/>
  <c r="AL3" i="6"/>
  <c r="AL104" i="1"/>
  <c r="R25" i="15"/>
  <c r="Q23" i="15"/>
  <c r="R23" i="15" s="1"/>
  <c r="AN34" i="6"/>
  <c r="AN33" i="6" s="1"/>
  <c r="AN116" i="1" s="1"/>
  <c r="AN21" i="10"/>
  <c r="AN7" i="8" s="1"/>
  <c r="AN12" i="6"/>
  <c r="V31" i="12"/>
  <c r="AN13" i="6"/>
  <c r="AL41" i="6"/>
  <c r="AL40" i="6"/>
  <c r="T33" i="12"/>
  <c r="AL93" i="6"/>
  <c r="AL53" i="6"/>
  <c r="AL105" i="1"/>
  <c r="AL23" i="10"/>
  <c r="AL8" i="8" s="1"/>
  <c r="AL54" i="6"/>
  <c r="AL55" i="6"/>
  <c r="AL52" i="6" s="1"/>
  <c r="AL85" i="6"/>
  <c r="AL84" i="6"/>
  <c r="AL90" i="6"/>
  <c r="W24" i="15"/>
  <c r="U32" i="12"/>
  <c r="AI20" i="8"/>
  <c r="AI17" i="8" s="1"/>
  <c r="AI27" i="8" s="1"/>
  <c r="AI28" i="8" s="1"/>
  <c r="V24" i="15"/>
  <c r="AI108" i="8"/>
  <c r="AI116" i="8" s="1"/>
  <c r="AJ5" i="8"/>
  <c r="AJ4" i="8" s="1"/>
  <c r="AM43" i="6"/>
  <c r="AN51" i="6"/>
  <c r="AK60" i="8"/>
  <c r="AJ59" i="8"/>
  <c r="AJ54" i="8" s="1"/>
  <c r="AJ21" i="8" s="1"/>
  <c r="AK29" i="6"/>
  <c r="AK106" i="1"/>
  <c r="AK4" i="10"/>
  <c r="AK7" i="9" s="1"/>
  <c r="AK101" i="1"/>
  <c r="AK5" i="10"/>
  <c r="AK8" i="9" s="1"/>
  <c r="AK64" i="6" l="1"/>
  <c r="AJ20" i="8"/>
  <c r="AJ17" i="8" s="1"/>
  <c r="AJ27" i="8" s="1"/>
  <c r="AJ28" i="8" s="1"/>
  <c r="AL36" i="8"/>
  <c r="AL29" i="6"/>
  <c r="AI29" i="8"/>
  <c r="AL60" i="8"/>
  <c r="AK59" i="8"/>
  <c r="AK54" i="8" s="1"/>
  <c r="AK21" i="8" s="1"/>
  <c r="AL101" i="1"/>
  <c r="AL5" i="10"/>
  <c r="AL8" i="9" s="1"/>
  <c r="AJ115" i="1"/>
  <c r="AJ135" i="1"/>
  <c r="AN72" i="8"/>
  <c r="AM71" i="8"/>
  <c r="X24" i="15"/>
  <c r="U25" i="15"/>
  <c r="T34" i="12"/>
  <c r="T29" i="12"/>
  <c r="T30" i="12" s="1"/>
  <c r="AL35" i="6"/>
  <c r="AM20" i="6"/>
  <c r="AL2" i="6"/>
  <c r="AJ108" i="8"/>
  <c r="AL9" i="8"/>
  <c r="AL14" i="8"/>
  <c r="AP34" i="6"/>
  <c r="AP33" i="6" s="1"/>
  <c r="AP116" i="1" s="1"/>
  <c r="AP21" i="10"/>
  <c r="AP7" i="8" s="1"/>
  <c r="AP13" i="6"/>
  <c r="AP12" i="6"/>
  <c r="X31" i="12"/>
  <c r="AK68" i="8"/>
  <c r="AK67" i="8" s="1"/>
  <c r="AK22" i="8" s="1"/>
  <c r="AL69" i="8"/>
  <c r="AK107" i="1"/>
  <c r="AK102" i="1"/>
  <c r="AK103" i="1" s="1"/>
  <c r="AK108" i="1"/>
  <c r="AO51" i="6"/>
  <c r="AN43" i="6"/>
  <c r="AL15" i="8"/>
  <c r="AL6" i="8"/>
  <c r="Y24" i="15"/>
  <c r="V32" i="12"/>
  <c r="AM20" i="10"/>
  <c r="AM10" i="8" s="1"/>
  <c r="AM3" i="6"/>
  <c r="AN4" i="6"/>
  <c r="AM104" i="1"/>
  <c r="AO34" i="6"/>
  <c r="AO33" i="6" s="1"/>
  <c r="AO116" i="1" s="1"/>
  <c r="AO21" i="10"/>
  <c r="AO7" i="8" s="1"/>
  <c r="AO13" i="6"/>
  <c r="W31" i="12"/>
  <c r="AO12" i="6"/>
  <c r="AM23" i="10"/>
  <c r="AM8" i="8" s="1"/>
  <c r="AM41" i="6"/>
  <c r="AM105" i="1"/>
  <c r="AM93" i="6"/>
  <c r="U33" i="12"/>
  <c r="AM84" i="6"/>
  <c r="AM54" i="6"/>
  <c r="AM55" i="6"/>
  <c r="AM52" i="6" s="1"/>
  <c r="AM40" i="6"/>
  <c r="AM53" i="6"/>
  <c r="AM85" i="6"/>
  <c r="AM90" i="6"/>
  <c r="AL92" i="6"/>
  <c r="AL91" i="6"/>
  <c r="AL106" i="1"/>
  <c r="AL4" i="10"/>
  <c r="AL7" i="9" s="1"/>
  <c r="AL86" i="6"/>
  <c r="AK5" i="8"/>
  <c r="AK4" i="8" s="1"/>
  <c r="T25" i="15"/>
  <c r="S23" i="15"/>
  <c r="T23" i="15" s="1"/>
  <c r="AN18" i="8"/>
  <c r="AM29" i="6" l="1"/>
  <c r="AL64" i="6"/>
  <c r="AM36" i="8"/>
  <c r="AL5" i="8"/>
  <c r="AL4" i="8" s="1"/>
  <c r="AP43" i="6"/>
  <c r="AO43" i="6"/>
  <c r="V25" i="15"/>
  <c r="U23" i="15"/>
  <c r="V23" i="15" s="1"/>
  <c r="AJ119" i="1"/>
  <c r="AJ110" i="1"/>
  <c r="AM69" i="8"/>
  <c r="AL68" i="8"/>
  <c r="AL67" i="8" s="1"/>
  <c r="AL22" i="8" s="1"/>
  <c r="AK108" i="8"/>
  <c r="AK116" i="8" s="1"/>
  <c r="AM9" i="8"/>
  <c r="AM14" i="8"/>
  <c r="AJ116" i="8"/>
  <c r="AL108" i="1"/>
  <c r="AL102" i="1"/>
  <c r="AL103" i="1" s="1"/>
  <c r="AL107" i="1"/>
  <c r="AO18" i="8"/>
  <c r="AC24" i="15"/>
  <c r="X32" i="12"/>
  <c r="AK20" i="8"/>
  <c r="AK17" i="8" s="1"/>
  <c r="AK27" i="8" s="1"/>
  <c r="AK28" i="8" s="1"/>
  <c r="AJ29" i="8"/>
  <c r="AN20" i="6"/>
  <c r="AM35" i="6"/>
  <c r="AM2" i="6"/>
  <c r="W25" i="15"/>
  <c r="U34" i="12"/>
  <c r="U29" i="12"/>
  <c r="U30" i="12" s="1"/>
  <c r="AM86" i="6"/>
  <c r="AA24" i="15"/>
  <c r="W32" i="12"/>
  <c r="AO72" i="8"/>
  <c r="AN71" i="8"/>
  <c r="AM60" i="8"/>
  <c r="AL59" i="8"/>
  <c r="AL54" i="8" s="1"/>
  <c r="AL21" i="8" s="1"/>
  <c r="Z24" i="15"/>
  <c r="AM106" i="1"/>
  <c r="AM4" i="10"/>
  <c r="AM7" i="9" s="1"/>
  <c r="AM101" i="1"/>
  <c r="AM5" i="10"/>
  <c r="AM8" i="9" s="1"/>
  <c r="AM92" i="6"/>
  <c r="AM91" i="6"/>
  <c r="AM15" i="8"/>
  <c r="AM6" i="8"/>
  <c r="AN3" i="6"/>
  <c r="AO4" i="6"/>
  <c r="AN20" i="10"/>
  <c r="AN10" i="8" s="1"/>
  <c r="AN104" i="1"/>
  <c r="AN105" i="1"/>
  <c r="V33" i="12"/>
  <c r="AN23" i="10"/>
  <c r="AN8" i="8" s="1"/>
  <c r="AN41" i="6"/>
  <c r="AN53" i="6"/>
  <c r="AN93" i="6"/>
  <c r="AN84" i="6"/>
  <c r="AN85" i="6"/>
  <c r="AN55" i="6"/>
  <c r="AN52" i="6" s="1"/>
  <c r="AN54" i="6"/>
  <c r="AN40" i="6"/>
  <c r="AN90" i="6"/>
  <c r="AK115" i="1"/>
  <c r="AK135" i="1"/>
  <c r="AL20" i="8" l="1"/>
  <c r="AL17" i="8" s="1"/>
  <c r="AL27" i="8" s="1"/>
  <c r="AL28" i="8" s="1"/>
  <c r="AM64" i="6"/>
  <c r="AM5" i="8"/>
  <c r="AM4" i="8" s="1"/>
  <c r="AN15" i="8"/>
  <c r="AN6" i="8"/>
  <c r="AN9" i="8"/>
  <c r="AN14" i="8"/>
  <c r="AD24" i="15"/>
  <c r="AL108" i="8"/>
  <c r="W33" i="12"/>
  <c r="AO85" i="6"/>
  <c r="AO84" i="6"/>
  <c r="AO105" i="1"/>
  <c r="AO53" i="6"/>
  <c r="AO23" i="10"/>
  <c r="AO8" i="8" s="1"/>
  <c r="AO93" i="6"/>
  <c r="AO41" i="6"/>
  <c r="AO40" i="6"/>
  <c r="AO54" i="6"/>
  <c r="AO55" i="6"/>
  <c r="AO52" i="6" s="1"/>
  <c r="AO90" i="6"/>
  <c r="AK119" i="1"/>
  <c r="AK110" i="1"/>
  <c r="AN92" i="6"/>
  <c r="AN91" i="6"/>
  <c r="AO20" i="6"/>
  <c r="AN35" i="6"/>
  <c r="AN2" i="6"/>
  <c r="AL115" i="1"/>
  <c r="AL135" i="1"/>
  <c r="AP41" i="6"/>
  <c r="AP23" i="10"/>
  <c r="AP8" i="8" s="1"/>
  <c r="AP85" i="6"/>
  <c r="AP105" i="1"/>
  <c r="X33" i="12"/>
  <c r="AP55" i="6"/>
  <c r="AP52" i="6" s="1"/>
  <c r="AP54" i="6"/>
  <c r="AP40" i="6"/>
  <c r="AP93" i="6"/>
  <c r="AP84" i="6"/>
  <c r="AP53" i="6"/>
  <c r="AP90" i="6"/>
  <c r="AM108" i="1"/>
  <c r="AM102" i="1"/>
  <c r="AM103" i="1" s="1"/>
  <c r="AM107" i="1"/>
  <c r="AB24" i="15"/>
  <c r="AK29" i="8"/>
  <c r="AP18" i="8"/>
  <c r="V34" i="12"/>
  <c r="Y25" i="15"/>
  <c r="V29" i="12"/>
  <c r="V30" i="12" s="1"/>
  <c r="AN4" i="10"/>
  <c r="AN7" i="9" s="1"/>
  <c r="AN106" i="1"/>
  <c r="AP72" i="8"/>
  <c r="AP71" i="8" s="1"/>
  <c r="AO71" i="8"/>
  <c r="AM68" i="8"/>
  <c r="AM67" i="8" s="1"/>
  <c r="AM22" i="8" s="1"/>
  <c r="AN69" i="8"/>
  <c r="AN36" i="8"/>
  <c r="AP4" i="6"/>
  <c r="AO20" i="10"/>
  <c r="AO10" i="8" s="1"/>
  <c r="AO3" i="6"/>
  <c r="AO104" i="1"/>
  <c r="AN60" i="8"/>
  <c r="AM59" i="8"/>
  <c r="AM54" i="8" s="1"/>
  <c r="AM21" i="8" s="1"/>
  <c r="AN86" i="6"/>
  <c r="AN101" i="1"/>
  <c r="AN5" i="10"/>
  <c r="AN8" i="9" s="1"/>
  <c r="X25" i="15"/>
  <c r="W23" i="15"/>
  <c r="X23" i="15" s="1"/>
  <c r="AN29" i="6"/>
  <c r="AN64" i="6" l="1"/>
  <c r="AO64" i="6" s="1"/>
  <c r="AP64" i="6" s="1"/>
  <c r="AM20" i="8"/>
  <c r="AM17" i="8" s="1"/>
  <c r="AM27" i="8" s="1"/>
  <c r="AM28" i="8" s="1"/>
  <c r="AO36" i="8"/>
  <c r="AP86" i="6"/>
  <c r="AO86" i="6"/>
  <c r="AP15" i="8"/>
  <c r="AP6" i="8"/>
  <c r="AO15" i="8"/>
  <c r="AO6" i="8"/>
  <c r="AM108" i="8"/>
  <c r="AM116" i="8" s="1"/>
  <c r="Z25" i="15"/>
  <c r="Y23" i="15"/>
  <c r="Z23" i="15" s="1"/>
  <c r="AP92" i="6"/>
  <c r="AP91" i="6"/>
  <c r="AL116" i="8"/>
  <c r="AN59" i="8"/>
  <c r="AN54" i="8" s="1"/>
  <c r="AN21" i="8" s="1"/>
  <c r="AO60" i="8"/>
  <c r="AO4" i="10"/>
  <c r="AO7" i="9" s="1"/>
  <c r="AO106" i="1"/>
  <c r="AN5" i="8"/>
  <c r="AN4" i="8" s="1"/>
  <c r="AC25" i="15"/>
  <c r="X34" i="12"/>
  <c r="X29" i="12"/>
  <c r="AL119" i="1"/>
  <c r="AL110" i="1"/>
  <c r="AP3" i="6"/>
  <c r="AP20" i="10"/>
  <c r="AP10" i="8" s="1"/>
  <c r="AP104" i="1"/>
  <c r="AP106" i="1" s="1"/>
  <c r="AN68" i="8"/>
  <c r="AN67" i="8" s="1"/>
  <c r="AN22" i="8" s="1"/>
  <c r="AO69" i="8"/>
  <c r="AO35" i="6"/>
  <c r="AO2" i="6"/>
  <c r="AP20" i="6"/>
  <c r="AL29" i="8"/>
  <c r="AP4" i="10"/>
  <c r="AP7" i="9" s="1"/>
  <c r="AO5" i="10"/>
  <c r="AO8" i="9" s="1"/>
  <c r="AO101" i="1"/>
  <c r="AO29" i="6"/>
  <c r="AN108" i="1"/>
  <c r="AN102" i="1"/>
  <c r="AN103" i="1" s="1"/>
  <c r="AN107" i="1"/>
  <c r="AO9" i="8"/>
  <c r="AO14" i="8"/>
  <c r="AM115" i="1"/>
  <c r="AM135" i="1"/>
  <c r="AO91" i="6"/>
  <c r="AO92" i="6"/>
  <c r="W34" i="12"/>
  <c r="AA25" i="15"/>
  <c r="W29" i="12"/>
  <c r="W30" i="12" s="1"/>
  <c r="AN20" i="8" l="1"/>
  <c r="AN17" i="8" s="1"/>
  <c r="AN27" i="8" s="1"/>
  <c r="AN28" i="8" s="1"/>
  <c r="AN108" i="8"/>
  <c r="AD25" i="15"/>
  <c r="AC23" i="15"/>
  <c r="AO5" i="8"/>
  <c r="AO4" i="8" s="1"/>
  <c r="AP35" i="6"/>
  <c r="AP2" i="6"/>
  <c r="AO68" i="8"/>
  <c r="AO67" i="8" s="1"/>
  <c r="AO22" i="8" s="1"/>
  <c r="AP69" i="8"/>
  <c r="AP68" i="8" s="1"/>
  <c r="AP67" i="8" s="1"/>
  <c r="AP22" i="8" s="1"/>
  <c r="AO108" i="1"/>
  <c r="AO102" i="1"/>
  <c r="AO103" i="1" s="1"/>
  <c r="AO107" i="1"/>
  <c r="AM119" i="1"/>
  <c r="AM110" i="1"/>
  <c r="AP29" i="6"/>
  <c r="X30" i="12"/>
  <c r="AP9" i="8"/>
  <c r="AP5" i="8" s="1"/>
  <c r="AP4" i="8" s="1"/>
  <c r="AP14" i="8"/>
  <c r="AN115" i="1"/>
  <c r="AN135" i="1"/>
  <c r="AB25" i="15"/>
  <c r="AA23" i="15"/>
  <c r="AB23" i="15" s="1"/>
  <c r="AM29" i="8"/>
  <c r="AP101" i="1"/>
  <c r="AP5" i="10"/>
  <c r="AP8" i="9" s="1"/>
  <c r="AP36" i="8"/>
  <c r="AO59" i="8"/>
  <c r="AO54" i="8" s="1"/>
  <c r="AO21" i="8" s="1"/>
  <c r="AP60" i="8"/>
  <c r="AP59" i="8" s="1"/>
  <c r="AP54" i="8" s="1"/>
  <c r="AP21" i="8" s="1"/>
  <c r="AP20" i="8" l="1"/>
  <c r="AP17" i="8" s="1"/>
  <c r="AP27" i="8" s="1"/>
  <c r="AO20" i="8"/>
  <c r="AO17" i="8" s="1"/>
  <c r="AO27" i="8" s="1"/>
  <c r="AO28" i="8" s="1"/>
  <c r="AD23" i="15"/>
  <c r="AP108" i="1"/>
  <c r="AP107" i="1"/>
  <c r="AP102" i="1"/>
  <c r="AP103" i="1" s="1"/>
  <c r="AO108" i="8"/>
  <c r="AO116" i="8" s="1"/>
  <c r="AO115" i="1"/>
  <c r="AO135" i="1"/>
  <c r="AN119" i="1"/>
  <c r="AN110" i="1"/>
  <c r="AN116" i="8"/>
  <c r="AN29" i="8"/>
  <c r="AP115" i="1" l="1"/>
  <c r="AP135" i="1"/>
  <c r="AO119" i="1"/>
  <c r="AO110" i="1"/>
  <c r="AO29" i="8"/>
  <c r="AP28" i="8"/>
  <c r="AP29" i="8" s="1"/>
  <c r="AP108" i="8"/>
  <c r="AP116" i="8" s="1"/>
  <c r="AP119" i="1" l="1"/>
  <c r="AP110" i="1"/>
  <c r="AG16" i="4"/>
  <c r="O27" i="12" s="1"/>
  <c r="L21" i="15" l="1"/>
  <c r="AG238" i="2"/>
  <c r="AG237" i="2" l="1"/>
  <c r="AG2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G4" authorId="0" shapeId="0" xr:uid="{DA33A42E-0B9E-4229-B5E6-4F2EB2A210A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 1 октября 2024 года (среднегод.)</t>
        </r>
      </text>
    </comment>
    <comment ref="I4" authorId="0" shapeId="0" xr:uid="{5BE2F7B7-57D9-4D47-A560-B3B951D0694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 1 октября 2025 года (среднегод.) пред, 10603,8
на 1 января 2026 года</t>
        </r>
      </text>
    </comment>
    <comment ref="A33" authorId="0" shapeId="0" xr:uid="{6F7CCFC9-16A3-4BEE-B549-B432E99C5BE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платежный баланс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  <author>Рушд Вазорати</author>
  </authors>
  <commentList>
    <comment ref="AF2" authorId="0" shapeId="0" xr:uid="{6559D031-2E56-40A4-8C04-FAB83951A0B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173164,3</t>
        </r>
      </text>
    </comment>
    <comment ref="AG2" authorId="0" shapeId="0" xr:uid="{78B1D28F-8E1A-471C-8EF3-7E3C859909B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199508,7</t>
        </r>
      </text>
    </comment>
    <comment ref="AH2" authorId="0" shapeId="0" xr:uid="{8DCD3316-F613-4637-9C36-2DE25545F31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225022,9</t>
        </r>
      </text>
    </comment>
    <comment ref="AI2" authorId="0" shapeId="0" xr:uid="{5BB9A1B7-FEFA-450B-9621-C386E1A4870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253962,6
</t>
        </r>
      </text>
    </comment>
    <comment ref="AJ2" authorId="0" shapeId="0" xr:uid="{AC84DE35-EDEF-4FAC-94E3-BE1331AA209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287596,2
</t>
        </r>
      </text>
    </comment>
    <comment ref="AK2" authorId="0" shapeId="0" xr:uid="{19BF08C3-C922-4DB6-81AF-AFC45D53B6E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325983,3</t>
        </r>
      </text>
    </comment>
    <comment ref="AL2" authorId="0" shapeId="0" xr:uid="{1CF87398-6017-4C46-8279-E23D7EFE538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366002,2</t>
        </r>
      </text>
    </comment>
    <comment ref="AM2" authorId="0" shapeId="0" xr:uid="{1952D334-FB78-44E7-B346-5CAF3BAAA2D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411617,01
</t>
        </r>
      </text>
    </comment>
    <comment ref="AN2" authorId="1" shapeId="0" xr:uid="{AD92E3E8-3E92-4B80-9D92-F75FE983D312}">
      <text>
        <r>
          <rPr>
            <b/>
            <sz val="9"/>
            <color indexed="81"/>
            <rFont val="Tahoma"/>
            <family val="2"/>
            <charset val="204"/>
          </rPr>
          <t>Рушд Вазорати:</t>
        </r>
        <r>
          <rPr>
            <sz val="9"/>
            <color indexed="81"/>
            <rFont val="Tahoma"/>
            <family val="2"/>
            <charset val="204"/>
          </rPr>
          <t xml:space="preserve">
472241,2
</t>
        </r>
      </text>
    </comment>
    <comment ref="AO2" authorId="1" shapeId="0" xr:uid="{0B203B05-D02F-4AEA-9DF7-78063E0540F7}">
      <text>
        <r>
          <rPr>
            <b/>
            <sz val="9"/>
            <color indexed="81"/>
            <rFont val="Tahoma"/>
            <family val="2"/>
            <charset val="204"/>
          </rPr>
          <t>Рушд Вазорати:</t>
        </r>
        <r>
          <rPr>
            <sz val="9"/>
            <color indexed="81"/>
            <rFont val="Tahoma"/>
            <family val="2"/>
            <charset val="204"/>
          </rPr>
          <t xml:space="preserve">
529432,1</t>
        </r>
      </text>
    </comment>
    <comment ref="AP2" authorId="1" shapeId="0" xr:uid="{2B2BEDC1-2389-49B0-8AB4-97CBB4782305}">
      <text>
        <r>
          <rPr>
            <b/>
            <sz val="9"/>
            <color indexed="81"/>
            <rFont val="Tahoma"/>
            <family val="2"/>
            <charset val="204"/>
          </rPr>
          <t>Рушд Вазорати:</t>
        </r>
        <r>
          <rPr>
            <sz val="9"/>
            <color indexed="81"/>
            <rFont val="Tahoma"/>
            <family val="2"/>
            <charset val="204"/>
          </rPr>
          <t xml:space="preserve">
587340,6</t>
        </r>
      </text>
    </comment>
    <comment ref="AE3" authorId="0" shapeId="0" xr:uid="{56634A65-47D1-4299-800E-715F4B7CA42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пред. Т/Р-108,4</t>
        </r>
      </text>
    </comment>
    <comment ref="AF3" authorId="0" shapeId="0" xr:uid="{2A0AD61B-4628-49D8-8AC8-C56CA88675F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108,4</t>
        </r>
      </text>
    </comment>
    <comment ref="AG3" authorId="0" shapeId="0" xr:uid="{7F2D28CA-1197-4A8B-9114-08D83B8310F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108,5</t>
        </r>
      </text>
    </comment>
    <comment ref="AH3" authorId="0" shapeId="0" xr:uid="{962BFFCC-9129-4F90-9246-3078FEA5003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108,4</t>
        </r>
      </text>
    </comment>
    <comment ref="AI3" authorId="0" shapeId="0" xr:uid="{374D5260-820A-40CC-A7A1-E1868754DB7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108,6</t>
        </r>
      </text>
    </comment>
    <comment ref="AJ3" authorId="0" shapeId="0" xr:uid="{DA94C349-0392-469A-8F69-6917EBDACFB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108,7</t>
        </r>
      </text>
    </comment>
    <comment ref="AK3" authorId="0" shapeId="0" xr:uid="{94043EC6-A10E-4995-A6D0-5F76C2B4410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108,9</t>
        </r>
      </text>
    </comment>
    <comment ref="AL3" authorId="0" shapeId="0" xr:uid="{8B0F0B82-F364-4B94-859D-2EFE477DF2C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108,0</t>
        </r>
      </text>
    </comment>
    <comment ref="AM3" authorId="0" shapeId="0" xr:uid="{AAC6552C-14E3-4F0F-B32E-EBFFE329159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108,1</t>
        </r>
      </text>
    </comment>
    <comment ref="AN3" authorId="1" shapeId="0" xr:uid="{9181AF2D-30D6-4CB3-8079-D02B6656BBC3}">
      <text>
        <r>
          <rPr>
            <b/>
            <sz val="9"/>
            <color indexed="81"/>
            <rFont val="Tahoma"/>
            <family val="2"/>
            <charset val="204"/>
          </rPr>
          <t>Рушд Вазорати:</t>
        </r>
        <r>
          <rPr>
            <sz val="9"/>
            <color indexed="81"/>
            <rFont val="Tahoma"/>
            <family val="2"/>
            <charset val="204"/>
          </rPr>
          <t xml:space="preserve">
108,8</t>
        </r>
      </text>
    </comment>
    <comment ref="AO3" authorId="1" shapeId="0" xr:uid="{63561886-8AD0-46E9-91CB-D62E982BF7E8}">
      <text>
        <r>
          <rPr>
            <b/>
            <sz val="9"/>
            <color indexed="81"/>
            <rFont val="Tahoma"/>
            <family val="2"/>
            <charset val="204"/>
          </rPr>
          <t>Рушд Вазорати:</t>
        </r>
        <r>
          <rPr>
            <sz val="9"/>
            <color indexed="81"/>
            <rFont val="Tahoma"/>
            <family val="2"/>
            <charset val="204"/>
          </rPr>
          <t xml:space="preserve">
108,2</t>
        </r>
      </text>
    </comment>
    <comment ref="AP3" authorId="1" shapeId="0" xr:uid="{36A441D8-B054-43CD-9704-B9949F4B05E8}">
      <text>
        <r>
          <rPr>
            <b/>
            <sz val="9"/>
            <color indexed="81"/>
            <rFont val="Tahoma"/>
            <family val="2"/>
            <charset val="204"/>
          </rPr>
          <t>Рушд Вазорати:</t>
        </r>
        <r>
          <rPr>
            <sz val="9"/>
            <color indexed="81"/>
            <rFont val="Tahoma"/>
            <family val="2"/>
            <charset val="204"/>
          </rPr>
          <t xml:space="preserve">
108,7</t>
        </r>
      </text>
    </comment>
    <comment ref="AE4" authorId="0" shapeId="0" xr:uid="{DEA0EFB8-0F39-49E4-B1EF-77F61B058A8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пред.деф 108,2
модель расчитывает прошлый год по оконч, данным поэтому получили 106,6%</t>
        </r>
      </text>
    </comment>
    <comment ref="AF4" authorId="0" shapeId="0" xr:uid="{15252E12-C351-46D6-91EE-5A68E501EBB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106,4 пред.
</t>
        </r>
      </text>
    </comment>
    <comment ref="AG4" authorId="0" shapeId="0" xr:uid="{684B7D70-A12E-44B6-B998-971BB8C2358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104,0</t>
        </r>
      </text>
    </comment>
    <comment ref="AH4" authorId="0" shapeId="0" xr:uid="{86B73437-6C03-4C06-ADE5-8974D2ADF1E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104,1</t>
        </r>
      </text>
    </comment>
    <comment ref="AI4" authorId="0" shapeId="0" xr:uid="{E091F443-2AA3-4076-A66E-17E233C6C93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104,0</t>
        </r>
      </text>
    </comment>
    <comment ref="AJ4" authorId="0" shapeId="0" xr:uid="{077183D7-41CA-4630-BB00-F29A4A28023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104,2</t>
        </r>
      </text>
    </comment>
    <comment ref="AK4" authorId="0" shapeId="0" xr:uid="{66493C74-CC3A-4D07-BCA2-6800E0D42E4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104,1</t>
        </r>
      </text>
    </comment>
    <comment ref="AL4" authorId="0" shapeId="0" xr:uid="{A64FFFF6-BE40-40E2-B429-664EF280FCF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</t>
        </r>
      </text>
    </comment>
    <comment ref="AM4" authorId="0" shapeId="0" xr:uid="{C56018F0-41A2-4535-92D4-D8B0053BD54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104,1</t>
        </r>
      </text>
    </comment>
    <comment ref="AN4" authorId="1" shapeId="0" xr:uid="{3AFC87F3-54AB-4F2B-97BD-0F1B4202C3A6}">
      <text>
        <r>
          <rPr>
            <b/>
            <sz val="9"/>
            <color indexed="81"/>
            <rFont val="Tahoma"/>
            <family val="2"/>
            <charset val="204"/>
          </rPr>
          <t>Рушд Вазорати:</t>
        </r>
        <r>
          <rPr>
            <sz val="9"/>
            <color indexed="81"/>
            <rFont val="Tahoma"/>
            <family val="2"/>
            <charset val="204"/>
          </rPr>
          <t xml:space="preserve">
105,4</t>
        </r>
      </text>
    </comment>
    <comment ref="AD33" authorId="0" shapeId="0" xr:uid="{24DF7CF3-EF49-4A4A-92D2-7E64E360FE3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т/р ВДС с/х, сборник СНС</t>
        </r>
      </text>
    </comment>
    <comment ref="AD34" authorId="0" shapeId="0" xr:uid="{B1480F7B-A8B4-4994-8DAA-EBAE96E467C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т/р ВДС общ.промышленность, сборник СНС</t>
        </r>
      </text>
    </comment>
    <comment ref="AD35" authorId="0" shapeId="0" xr:uid="{2534C7F1-DB00-44DB-9ABD-E2B13F178A8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СНС</t>
        </r>
      </text>
    </comment>
    <comment ref="AD37" authorId="0" shapeId="0" xr:uid="{AE18E304-A02B-4C21-8E16-754E0BC77F9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СНС т/р торговля+гост.рест.</t>
        </r>
      </text>
    </comment>
    <comment ref="AD38" authorId="0" shapeId="0" xr:uid="{0055B7E8-9E5F-4368-AC7C-08FDB824157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СНС т/р транспорт+связь</t>
        </r>
      </text>
    </comment>
    <comment ref="AF64" authorId="0" shapeId="0" xr:uid="{24873FA2-D82F-400C-9B2C-CC8405186BA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деф.104,7 получили по формуле так как расч.с оконч.данными ВВП за 2024 год (106,4% расч. С предв. ВВП за 2024 годд)</t>
        </r>
      </text>
    </comment>
    <comment ref="AG145" authorId="0" shapeId="0" xr:uid="{678AD657-DCDE-48F7-A544-8831C3BFF62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стратегии до 2030 года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Чахонорро</author>
    <author>Jalolov Muhammad</author>
  </authors>
  <commentList>
    <comment ref="Y1" authorId="0" shapeId="0" xr:uid="{5B1CE726-D28F-4349-A47B-B893E658E6BF}">
      <text>
        <r>
          <rPr>
            <b/>
            <sz val="9"/>
            <color indexed="81"/>
            <rFont val="Tahoma"/>
            <family val="2"/>
            <charset val="204"/>
          </rPr>
          <t>Чахонорро:</t>
        </r>
        <r>
          <rPr>
            <sz val="9"/>
            <color indexed="81"/>
            <rFont val="Tahoma"/>
            <family val="2"/>
            <charset val="204"/>
          </rPr>
          <t xml:space="preserve">
тағийрот
</t>
        </r>
      </text>
    </comment>
    <comment ref="AG2" authorId="1" shapeId="0" xr:uid="{7AEA2EDD-10DA-45E3-A58E-A0C2A47D831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+ рыболовство </t>
        </r>
      </text>
    </comment>
    <comment ref="AG3" authorId="1" shapeId="0" xr:uid="{DAAE7880-669F-4488-A21D-F1152921EB5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108,9</t>
        </r>
      </text>
    </comment>
    <comment ref="AH3" authorId="1" shapeId="0" xr:uid="{96817DB0-2921-49E5-9FC4-ED20B9BA336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108,6</t>
        </r>
      </text>
    </comment>
    <comment ref="AI3" authorId="1" shapeId="0" xr:uid="{E53F0FC9-6C64-4890-A208-08D6F3D00BA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108,3</t>
        </r>
      </text>
    </comment>
    <comment ref="AJ3" authorId="1" shapeId="0" xr:uid="{ED6B195F-8DFE-4198-95CF-9E5F626D15B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108,2</t>
        </r>
      </text>
    </comment>
    <comment ref="AK3" authorId="1" shapeId="0" xr:uid="{ED8F7EA7-47EC-495D-B507-E608CFFC7E1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108,3</t>
        </r>
      </text>
    </comment>
    <comment ref="AL3" authorId="1" shapeId="0" xr:uid="{EAFCCDED-F5E7-40F2-9746-9E36A8CF5A2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107,6</t>
        </r>
      </text>
    </comment>
    <comment ref="AM3" authorId="1" shapeId="0" xr:uid="{549247BF-3A5B-471C-8BAB-4CEA72DF035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107,5</t>
        </r>
      </text>
    </comment>
    <comment ref="AN3" authorId="1" shapeId="0" xr:uid="{95E6FBF6-9676-46F0-B1AF-79EFF9A756F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106,5</t>
        </r>
      </text>
    </comment>
    <comment ref="AO3" authorId="1" shapeId="0" xr:uid="{353F9DEC-4AB9-4104-AE09-82196512766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106,1</t>
        </r>
      </text>
    </comment>
    <comment ref="AP3" authorId="1" shapeId="0" xr:uid="{80330700-F1A3-4C93-80FD-8467C4E9778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107,2</t>
        </r>
      </text>
    </comment>
    <comment ref="AG4" authorId="1" shapeId="0" xr:uid="{ED61D5F2-EDE8-489E-9361-D8B09CA4E1E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103,2</t>
        </r>
      </text>
    </comment>
    <comment ref="AH4" authorId="1" shapeId="0" xr:uid="{FCD4BBAC-12E3-47BD-B111-DE3497E8781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101,2</t>
        </r>
      </text>
    </comment>
    <comment ref="AG8" authorId="1" shapeId="0" xr:uid="{E1E84C22-7221-4720-A6F7-6173D58B48E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- рыболовство </t>
        </r>
      </text>
    </comment>
    <comment ref="AC46" authorId="1" shapeId="0" xr:uid="{D06A5C7D-20BD-4C06-895C-353751FAE2A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млн. сомони</t>
        </r>
      </text>
    </comment>
    <comment ref="AD46" authorId="1" shapeId="0" xr:uid="{76F1B28E-C6EB-418B-98FD-7D1E118BA90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цена за 1 кг</t>
        </r>
      </text>
    </comment>
    <comment ref="AC47" authorId="1" shapeId="0" xr:uid="{7D6B8C74-8707-43B0-8747-B421452ABE5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млн. сомони</t>
        </r>
      </text>
    </comment>
    <comment ref="AC108" authorId="1" shapeId="0" xr:uid="{A638C70F-CD99-41A1-90DB-E96B28A1FE9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с/х стр.304</t>
        </r>
      </text>
    </comment>
    <comment ref="AD108" authorId="1" shapeId="0" xr:uid="{2DB8668F-788D-4382-8882-29BBFE31AAA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с/х</t>
        </r>
      </text>
    </comment>
    <comment ref="AF113" authorId="1" shapeId="0" xr:uid="{FFD20EB8-0100-4C19-A2B9-99B1E104CEB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1.375 сомони/яйцо
мы испол. 0,7 дирам</t>
        </r>
      </text>
    </comment>
    <comment ref="AF117" authorId="1" shapeId="0" xr:uid="{AEB1E098-6F63-4233-AD64-CBBEDCEFB3D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6.2 сомони/кг мы оценили меньше 4сомони/кг</t>
        </r>
      </text>
    </comment>
    <comment ref="AF123" authorId="1" shapeId="0" xr:uid="{3A1D4196-D494-41AC-9573-D28E4797BBA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40 сом/кг</t>
        </r>
      </text>
    </comment>
    <comment ref="AG138" authorId="1" shapeId="0" xr:uid="{64750624-919B-4E11-BF47-3337751C31C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стратегии до 2030 года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Eromenko</author>
    <author>Jalolov Muhammad</author>
  </authors>
  <commentList>
    <comment ref="C6" authorId="0" shapeId="0" xr:uid="{9C44454C-D2FA-48DD-A26E-D617DDCD22D9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около 50% - добыча золота</t>
        </r>
      </text>
    </comment>
    <comment ref="C7" authorId="0" shapeId="0" xr:uid="{4BB93B59-5809-4F22-B7C7-0E498F33FEB6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В основном уголь</t>
        </r>
      </text>
    </comment>
    <comment ref="AE13" authorId="1" shapeId="0" xr:uid="{D0540BA0-1E40-4893-BA5F-45CD7C2A776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0,4%-от произ. Транспортных средств</t>
        </r>
      </text>
    </comment>
    <comment ref="AF13" authorId="1" shapeId="0" xr:uid="{913096BB-138E-4F4D-AE9B-BDF1D0095EA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1,2%-от произ. Транспортных средств</t>
        </r>
      </text>
    </comment>
    <comment ref="Z17" authorId="1" shapeId="0" xr:uid="{74D2611C-9D73-426B-98B6-D56B9FA6337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A17" authorId="1" shapeId="0" xr:uid="{6D19EF1A-7E7B-473C-9220-9693263E866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B17" authorId="1" shapeId="0" xr:uid="{19504820-235E-493E-903D-B59ACD4CC0D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C17" authorId="1" shapeId="0" xr:uid="{2D2CE6DB-2AFD-4717-97D3-78B748D3A82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E17" authorId="1" shapeId="0" xr:uid="{2520B405-D6FC-4D09-BB0E-6C1883DFCA0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E30" authorId="1" shapeId="0" xr:uid="{042C46FE-B38E-4264-8A3D-6FA13944518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F31" authorId="1" shapeId="0" xr:uid="{E820389E-0B48-4EF1-A20C-348015EC19C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цыклическая ошибка перенесли строку 26 на 31 для строки 41</t>
        </r>
      </text>
    </comment>
    <comment ref="AH31" authorId="1" shapeId="0" xr:uid="{0ABB303A-12B6-44B6-9428-4DDD8C665DC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цыклическая ошибка перенесли строку 26 на 31 для строки 41</t>
        </r>
      </text>
    </comment>
    <comment ref="AD41" authorId="1" shapeId="0" xr:uid="{A04990A9-4143-4A56-AF9C-08785181D57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изм.формулу цыклическая ошибка строку 26 на 31</t>
        </r>
      </text>
    </comment>
    <comment ref="AF43" authorId="1" shapeId="0" xr:uid="{ED732F6D-32D6-40AF-AD91-3F28936155C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надо вставить формулу</t>
        </r>
      </text>
    </comment>
    <comment ref="AH43" authorId="1" shapeId="0" xr:uid="{25AE1C7E-FE55-405E-BA7A-4B24AE03D42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надо вставить формулу</t>
        </r>
      </text>
    </comment>
    <comment ref="AE45" authorId="1" shapeId="0" xr:uid="{95BECD15-41E2-4EC9-9191-4557CF91E5B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D61" authorId="1" shapeId="0" xr:uid="{01289FE2-49EC-47F7-ACC0-F999FE9DC01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=строка57/строка 4
=AL57/AL4</t>
        </r>
      </text>
    </comment>
    <comment ref="AG81" authorId="1" shapeId="0" xr:uid="{A27839C5-46BE-431C-9DBC-1063735A474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 строку 81 вставить значение строки 90</t>
        </r>
      </text>
    </comment>
    <comment ref="AH81" authorId="1" shapeId="0" xr:uid="{BB671098-9213-4096-860B-D182F4F8410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 строку 81 вставить значение строки 90</t>
        </r>
      </text>
    </comment>
    <comment ref="AC84" authorId="1" shapeId="0" xr:uid="{14AAF645-E686-4E0E-AB5B-43E575ADF9F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 строку 83 необходимо вставить зачение строки 84, чтобы не образовалось цыклическая ошибка</t>
        </r>
      </text>
    </comment>
    <comment ref="AI95" authorId="1" shapeId="0" xr:uid="{84B25706-838D-4C02-B98F-8EBA40056EE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($U$94-AP94)*AP93*24*365/1000
$U$94=0,46</t>
        </r>
      </text>
    </comment>
    <comment ref="AD142" authorId="1" shapeId="0" xr:uid="{890B6DA1-2434-413E-B2E1-948C4023967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тариф на 1 кВт. Час предприятий</t>
        </r>
      </text>
    </comment>
    <comment ref="AD143" authorId="1" shapeId="0" xr:uid="{7244CBD6-BE81-40EF-BE44-209F238B6FF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населения</t>
        </r>
      </text>
    </comment>
    <comment ref="AD152" authorId="1" shapeId="0" xr:uid="{6E40D049-D62D-41C7-8104-D3C05CF4966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Trade!AC15/1000</t>
        </r>
      </text>
    </comment>
    <comment ref="AF157" authorId="1" shapeId="0" xr:uid="{2C27585D-AF26-4510-A2B9-E8EF4246400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155</t>
        </r>
      </text>
    </comment>
    <comment ref="AF160" authorId="1" shapeId="0" xr:uid="{93A4FBE1-A9AC-4AE6-8979-693802C9421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159</t>
        </r>
      </text>
    </comment>
    <comment ref="AF171" authorId="1" shapeId="0" xr:uid="{0F74CB9E-5AAF-43A1-A02B-D2C42E7FE90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необходимо вставить значение 167 строки в 171 строку, чтобы не было цыклической ошибки</t>
        </r>
      </text>
    </comment>
    <comment ref="AG247" authorId="1" shapeId="0" xr:uid="{E0B5D613-5BEF-4DCA-8A25-D4C4E8C04AB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стратегии до 2030 года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Eromenko</author>
    <author>Jalolov Muhammad</author>
  </authors>
  <commentList>
    <comment ref="C6" authorId="0" shapeId="0" xr:uid="{656BB0F5-FDFE-429F-8976-58587C62567D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около 50% - добыча золота</t>
        </r>
      </text>
    </comment>
    <comment ref="C7" authorId="0" shapeId="0" xr:uid="{03206458-5164-422A-804D-00DEE2B3ECB9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В основном уголь</t>
        </r>
      </text>
    </comment>
    <comment ref="M13" authorId="1" shapeId="0" xr:uid="{444F6BC1-6B10-4896-92FE-36B4EC48B39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0,4%-от произ. Транспортных средств</t>
        </r>
      </text>
    </comment>
    <comment ref="N13" authorId="1" shapeId="0" xr:uid="{3318DFC1-0462-43D6-8651-167EE5FDE19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1,2%-от произ. Транспортных средств</t>
        </r>
      </text>
    </comment>
    <comment ref="M17" authorId="1" shapeId="0" xr:uid="{B12C3238-FB0F-48BB-BFFB-615BEA3F882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M30" authorId="1" shapeId="0" xr:uid="{EA9E06FD-2F2E-4D23-9F95-6ACC88204C4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N31" authorId="1" shapeId="0" xr:uid="{EC299E7F-DA2B-41D3-A466-7E46CE18E0E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цыклическая ошибка перенесли строку 26 на 31 для строки 41</t>
        </r>
      </text>
    </comment>
    <comment ref="L41" authorId="1" shapeId="0" xr:uid="{6E9DF8CD-42E8-4402-98FA-8E54B3E4E31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изм.формулу цыклическая ошибка строку 26 на 31</t>
        </r>
      </text>
    </comment>
    <comment ref="N43" authorId="1" shapeId="0" xr:uid="{AFBA5B7F-840A-4A59-A1FD-0FD3A476FC8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надо вставить формулу</t>
        </r>
      </text>
    </comment>
    <comment ref="L61" authorId="1" shapeId="0" xr:uid="{30E46B71-15F8-42E8-BE2E-38CCBCE58D3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=строка57/строка 4
=AL57/AL4</t>
        </r>
      </text>
    </comment>
    <comment ref="K84" authorId="1" shapeId="0" xr:uid="{3A816B5B-E5DD-4939-8E43-8064A573B61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 строку 83 необходимо вставить зачение строки 84, чтобы не образовалось цыклическая ошибка</t>
        </r>
      </text>
    </comment>
    <comment ref="Q95" authorId="1" shapeId="0" xr:uid="{9A300931-A8DC-41B1-B801-491BFA8981E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($U$94-AP94)*AP93*24*365/1000
$U$94=0,46</t>
        </r>
      </text>
    </comment>
    <comment ref="L142" authorId="1" shapeId="0" xr:uid="{FE9ACDDE-3382-426E-B8B1-F40C17447FA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тариф на 1 кВт. Час предприятий</t>
        </r>
      </text>
    </comment>
    <comment ref="L143" authorId="1" shapeId="0" xr:uid="{53014E25-4D84-4C3F-BCED-B83836E7A05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населения</t>
        </r>
      </text>
    </comment>
    <comment ref="L152" authorId="1" shapeId="0" xr:uid="{E274361B-A604-4FA4-868A-B5931795C73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Trade!AC15/1000</t>
        </r>
      </text>
    </comment>
    <comment ref="N171" authorId="1" shapeId="0" xr:uid="{2C316A94-268A-4C60-B8DD-2C145F88861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необходимо вставить значение 167 строки в 171 строку, чтобы не было цыклической ошибки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NAWIGuest</author>
    <author>Jalolov Muhammad</author>
  </authors>
  <commentList>
    <comment ref="C13" authorId="0" shapeId="0" xr:uid="{8E48DA68-A19C-441D-AD02-BB2EA05A00D2}">
      <text>
        <r>
          <rPr>
            <b/>
            <sz val="9"/>
            <color indexed="81"/>
            <rFont val="Tahoma"/>
            <family val="2"/>
          </rPr>
          <t>NAWIGuest:</t>
        </r>
        <r>
          <rPr>
            <sz val="9"/>
            <color indexed="81"/>
            <rFont val="Tahoma"/>
            <family val="2"/>
          </rPr>
          <t xml:space="preserve">
автобусный.такси</t>
        </r>
      </text>
    </comment>
    <comment ref="C14" authorId="0" shapeId="0" xr:uid="{45C07AE9-60A3-4A0E-9449-5BA0515A3CD6}">
      <text>
        <r>
          <rPr>
            <b/>
            <sz val="9"/>
            <color indexed="81"/>
            <rFont val="Tahoma"/>
            <family val="2"/>
          </rPr>
          <t>NAWIGuest:</t>
        </r>
        <r>
          <rPr>
            <sz val="9"/>
            <color indexed="81"/>
            <rFont val="Tahoma"/>
            <family val="2"/>
          </rPr>
          <t xml:space="preserve">
жд.электрический .авиатсионный</t>
        </r>
      </text>
    </comment>
    <comment ref="AE38" authorId="1" shapeId="0" xr:uid="{CF84C071-8A3F-43DA-9A36-90C0DE3D253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годовой доклад 104,7 индекс на строительные материалы</t>
        </r>
      </text>
    </comment>
    <comment ref="AD39" authorId="1" shapeId="0" xr:uid="{1D79B22C-EBC4-4203-8F3D-1B8C4B82CF0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СНС</t>
        </r>
      </text>
    </comment>
    <comment ref="B48" authorId="1" shapeId="0" xr:uid="{81EC7B94-1D56-4726-B6D8-985D4DA6A48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исп. Для результата CGE модоли для определения ННЭ</t>
        </r>
      </text>
    </comment>
    <comment ref="AG48" authorId="1" shapeId="0" xr:uid="{92F77A90-E00F-4432-89EA-456C993A104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результат CGE модоли с учетом ННЭ</t>
        </r>
      </text>
    </comment>
    <comment ref="AG52" authorId="1" shapeId="0" xr:uid="{7CAB5257-7FA4-47AB-8D76-3736A642797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стратегии до 2030 года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E25" authorId="0" shapeId="0" xr:uid="{A636A4EA-B8B1-45A8-8B9D-3D2388A0F68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надо вставить значение в строку 28 чтобы не было цыклической ошибки</t>
        </r>
      </text>
    </comment>
    <comment ref="AE42" authorId="0" shapeId="0" xr:uid="{0EE87DD8-92E0-4568-9FFE-4C2753B9FCC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строки 58 в строку 42</t>
        </r>
      </text>
    </comment>
    <comment ref="AF42" authorId="0" shapeId="0" xr:uid="{5014CAAE-832D-46BE-ACA8-13B9F06A7BB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строки 58 в строку 42</t>
        </r>
      </text>
    </comment>
    <comment ref="AE43" authorId="0" shapeId="0" xr:uid="{3E8C126C-5900-4BC8-8A10-797EC868756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строка 41-42=строка 43 так как образуется цыклическая ошибка</t>
        </r>
      </text>
    </comment>
    <comment ref="AF43" authorId="0" shapeId="0" xr:uid="{90E829D9-B63C-442C-B797-A8E2DF15706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строка 41-42=строка 43 так как образуется цыклическая ошибка</t>
        </r>
      </text>
    </comment>
    <comment ref="AG43" authorId="0" shapeId="0" xr:uid="{38330952-F4D6-4760-887C-2A9CB4BEB8A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строка 41-42=строка 43 так как образуется цыклическая ошибка</t>
        </r>
      </text>
    </comment>
    <comment ref="C59" authorId="0" shapeId="0" xr:uid="{8B47F9A7-2F10-4300-AC95-B8F7890C753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43</t>
        </r>
      </text>
    </comment>
    <comment ref="AE59" authorId="0" shapeId="0" xr:uid="{BCDAE1C2-1674-4827-815B-A4CBD1C449F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43</t>
        </r>
      </text>
    </comment>
    <comment ref="AG64" authorId="0" shapeId="0" xr:uid="{037B4583-9246-4B78-B259-2A5F11E531E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стратегии до 2030 года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Eromenko</author>
  </authors>
  <commentList>
    <comment ref="V7" authorId="0" shapeId="0" xr:uid="{6CD49867-FD0B-4B91-A88A-36138B32E14E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ТАЛКО: Себестоимость 2350 долл., цена 1870 долл. 1кв 2015</t>
        </r>
      </text>
    </comment>
    <comment ref="V18" authorId="0" shapeId="0" xr:uid="{4EBFBE76-3CD0-444C-93AE-0EC6C29C711E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Прогноз Минэкономики РФ октябрь 2015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E5" authorId="0" shapeId="0" xr:uid="{2BACB53E-C397-43BA-8027-30BBD14C344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1422,92 оконч.данные пл.</t>
        </r>
      </text>
    </comment>
    <comment ref="AD47" authorId="0" shapeId="0" xr:uid="{055FA709-F898-4D7E-A6B8-BBB25A31CC7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платежный баланс стр.51</t>
        </r>
      </text>
    </comment>
    <comment ref="AE47" authorId="0" shapeId="0" xr:uid="{EE9DA3BC-DA90-446B-993A-C1A540794B2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годовой доклад стр.111</t>
        </r>
      </text>
    </comment>
    <comment ref="AF47" authorId="0" shapeId="0" xr:uid="{B30E866A-6C3B-408B-87A3-E03694EE703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D60" authorId="0" shapeId="0" xr:uid="{32A1E516-6A99-4ED9-9EFB-37B5850281A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платежный баланс стр.51</t>
        </r>
      </text>
    </comment>
    <comment ref="AE60" authorId="0" shapeId="0" xr:uid="{D0FA3A90-7052-44EA-980A-01BD743376A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1617792 тыс. кВт/часов
данные статистики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  <author>John</author>
  </authors>
  <commentList>
    <comment ref="Z11" authorId="0" shapeId="0" xr:uid="{48ECC097-6095-4BB0-9848-95C62BF5830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100</t>
        </r>
      </text>
    </comment>
    <comment ref="AD11" authorId="0" shapeId="0" xr:uid="{DF3E6942-D55E-4A68-8A33-310980E2471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Фрукты</t>
        </r>
      </text>
    </comment>
    <comment ref="AE11" authorId="0" shapeId="0" xr:uid="{43302E0A-FD61-44CC-B09D-AF466B048D1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Фрукты</t>
        </r>
      </text>
    </comment>
    <comment ref="AF12" authorId="0" shapeId="0" xr:uid="{9F1D3A70-A3B1-47CC-806B-BB1F8895F30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индекс бензин-доклад</t>
        </r>
      </text>
    </comment>
    <comment ref="AG17" authorId="0" shapeId="0" xr:uid="{91F450CC-E580-4D05-A94F-3DC484ED226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17 строка=5 строка 
вставить значение 5 строки (цыклическая ошибка</t>
        </r>
      </text>
    </comment>
    <comment ref="AG18" authorId="0" shapeId="0" xr:uid="{7B983847-7B11-4B74-8C4A-8B68524CDB9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18 строка=20 строка 
вставить значение 20 строки (цыклическая ошибка</t>
        </r>
      </text>
    </comment>
    <comment ref="AG20" authorId="0" shapeId="0" xr:uid="{1E3B251F-A563-474C-AED0-1ABCB7BDA37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20=18 вставить значение в строку 18</t>
        </r>
      </text>
    </comment>
    <comment ref="AE34" authorId="0" shapeId="0" xr:uid="{3B61581F-A2BB-4280-9582-D8E8614AD7A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строка 34=39 вставить значение строки 39 </t>
        </r>
      </text>
    </comment>
    <comment ref="AG34" authorId="0" shapeId="0" xr:uid="{C95E303A-EBB6-4381-87DC-1FF1880FB12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строка 34=39 вставить значение строки 39 </t>
        </r>
      </text>
    </comment>
    <comment ref="C43" authorId="1" shapeId="0" xr:uid="{0FE09212-D9F4-41EF-AFF0-AE0487E5369D}">
      <text>
        <r>
          <rPr>
            <b/>
            <sz val="9"/>
            <color indexed="81"/>
            <rFont val="Tahoma"/>
            <family val="2"/>
          </rPr>
          <t>John:</t>
        </r>
        <r>
          <rPr>
            <sz val="9"/>
            <color indexed="81"/>
            <rFont val="Tahoma"/>
            <family val="2"/>
          </rPr>
          <t xml:space="preserve">
I define net credit to the private sector as credit to private sector + Other items, net - bills payable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F10" authorId="0" shapeId="0" xr:uid="{C36FF1CA-79A5-4291-8BA6-88FF6E5BE4A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пл.баланс за (I+II) кв 2025 года</t>
        </r>
      </text>
    </comment>
    <comment ref="AF11" authorId="0" shapeId="0" xr:uid="{1D45DEB9-80E4-4247-A2F6-85BF40F95A7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пл.баланс за (I+II) кв 2025 года</t>
        </r>
      </text>
    </comment>
    <comment ref="AI35" authorId="0" shapeId="0" xr:uid="{9374DDC2-45EE-4569-A40E-2538EE78DA28}">
      <text>
        <r>
          <rPr>
            <b/>
            <sz val="9"/>
            <color indexed="81"/>
            <rFont val="Tahoma"/>
            <family val="2"/>
            <charset val="204"/>
          </rPr>
          <t xml:space="preserve">Jalolov Muhammad:
строка 35=37
</t>
        </r>
        <r>
          <rPr>
            <sz val="9"/>
            <color indexed="81"/>
            <rFont val="Tahoma"/>
            <family val="2"/>
            <charset val="204"/>
          </rPr>
          <t>вставить значение сторки 37 так как цыклическая ошибка</t>
        </r>
      </text>
    </comment>
    <comment ref="AB43" authorId="0" shapeId="0" xr:uid="{674C2374-88CA-4916-97B5-D2E3EF04698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пл.баланс таб.25</t>
        </r>
      </text>
    </comment>
    <comment ref="AE43" authorId="0" shapeId="0" xr:uid="{A1718DFF-7C85-4515-997D-7856485FABE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пл.баланс таб.26</t>
        </r>
      </text>
    </comment>
    <comment ref="AF43" authorId="0" shapeId="0" xr:uid="{3DA64B4E-CAD3-4BFD-8ECE-38791192951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пл.баланс за (I+II) кв 2025 года</t>
        </r>
      </text>
    </comment>
    <comment ref="AD44" authorId="0" shapeId="0" xr:uid="{55393A11-8CD1-4A4A-8351-8E05B246FAB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1.4.1. + 1.4.4. пл.таб.26</t>
        </r>
      </text>
    </comment>
    <comment ref="AE44" authorId="0" shapeId="0" xr:uid="{BF2B03B9-EA43-4347-BD16-2EE575197D8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1.4.1. + 1.4.4. пл.таб.26</t>
        </r>
      </text>
    </comment>
    <comment ref="AE49" authorId="0" shapeId="0" xr:uid="{E7A74276-2D81-4A4D-A32E-38B687C13D6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Счет операций с капиталом</t>
        </r>
      </text>
    </comment>
    <comment ref="AF64" authorId="0" shapeId="0" xr:uid="{DBC6AD80-E49C-48D1-A4D1-FEF0650446F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значение строки 64 вставить в строку 63 так как цыклическая ошибка</t>
        </r>
      </text>
    </comment>
    <comment ref="V82" authorId="0" shapeId="0" xr:uid="{3AA4B359-D36C-493A-A2AF-919361A7690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81</t>
        </r>
      </text>
    </comment>
    <comment ref="AF82" authorId="0" shapeId="0" xr:uid="{31B6DFB8-D3B8-4568-B88D-A021BAE064C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81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Eromenko</author>
    <author>Jalolov Muhammad</author>
  </authors>
  <commentList>
    <comment ref="W15" authorId="0" shapeId="0" xr:uid="{1A8B8741-2AD2-465D-BFDD-77F66F74FD5B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Бюджет 2016: 13938,178 млрд сомони
</t>
        </r>
      </text>
    </comment>
    <comment ref="AE24" authorId="1" shapeId="0" xr:uid="{CA8B101B-4999-4383-A988-02E755224A3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Итого налоги на продукты - 14820,2
</t>
        </r>
        <r>
          <rPr>
            <b/>
            <sz val="9"/>
            <color indexed="81"/>
            <rFont val="Tahoma"/>
            <family val="2"/>
            <charset val="204"/>
          </rPr>
          <t>Чистые налоги на продукты-14425,9</t>
        </r>
      </text>
    </comment>
    <comment ref="C25" authorId="1" shapeId="0" xr:uid="{64C8E7DD-CAF1-4198-9BE1-2BD876632C3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1.01.04.  Андоз аз фурӯш </t>
        </r>
      </text>
    </comment>
    <comment ref="C26" authorId="1" shapeId="0" xr:uid="{90941B85-5F68-4933-8777-76703A3CD0F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1.01.04.03.  Андоз аз маҳсулоти коркарди алюмин </t>
        </r>
      </text>
    </comment>
    <comment ref="C27" authorId="1" shapeId="0" xr:uid="{99E71802-9CAE-48E1-B328-914C23447B9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1.01.04.02.  Андоз аз фурӯши алюминии аввала  </t>
        </r>
      </text>
    </comment>
    <comment ref="C32" authorId="1" shapeId="0" xr:uid="{AF033D23-9A34-473C-8189-A0BC2E93C2F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1.01.09.01.  Боҷҳои гумрукӣ </t>
        </r>
      </text>
    </comment>
    <comment ref="C37" authorId="1" shapeId="0" xr:uid="{567F3049-40ED-4A2F-939F-832E8B8E2EA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1.01.11.  Андозҳои дигари дохилӣ ва пардохтҳо аз молу хизматрасониҳо </t>
        </r>
      </text>
    </comment>
  </commentList>
</comments>
</file>

<file path=xl/sharedStrings.xml><?xml version="1.0" encoding="utf-8"?>
<sst xmlns="http://schemas.openxmlformats.org/spreadsheetml/2006/main" count="1963" uniqueCount="1211">
  <si>
    <t>Var. Name</t>
  </si>
  <si>
    <t>Наименование индикатора</t>
  </si>
  <si>
    <t>Промышленность</t>
  </si>
  <si>
    <t>Номиналы, млн. сомони</t>
  </si>
  <si>
    <r>
      <t>IND</t>
    </r>
    <r>
      <rPr>
        <i/>
        <vertAlign val="subscript"/>
        <sz val="10"/>
        <color indexed="8"/>
        <rFont val="Calibri"/>
        <family val="2"/>
      </rPr>
      <t>CDE,t</t>
    </r>
  </si>
  <si>
    <t>Промышленное производство</t>
  </si>
  <si>
    <r>
      <t>IND</t>
    </r>
    <r>
      <rPr>
        <b/>
        <i/>
        <vertAlign val="subscript"/>
        <sz val="10"/>
        <color indexed="8"/>
        <rFont val="Calibri"/>
        <family val="2"/>
        <charset val="204"/>
      </rPr>
      <t>C,t</t>
    </r>
  </si>
  <si>
    <t>Добыча полезных ископаемых</t>
  </si>
  <si>
    <r>
      <t>IND</t>
    </r>
    <r>
      <rPr>
        <i/>
        <vertAlign val="subscript"/>
        <sz val="10"/>
        <color indexed="8"/>
        <rFont val="Calibri"/>
        <family val="2"/>
      </rPr>
      <t>C13,t</t>
    </r>
  </si>
  <si>
    <t>Добыча неэнергетических материалов</t>
  </si>
  <si>
    <r>
      <t>IND</t>
    </r>
    <r>
      <rPr>
        <i/>
        <vertAlign val="subscript"/>
        <sz val="10"/>
        <color indexed="8"/>
        <rFont val="Calibri"/>
        <family val="2"/>
      </rPr>
      <t>COther,t</t>
    </r>
  </si>
  <si>
    <t>Добыча энергетических материалов</t>
  </si>
  <si>
    <r>
      <t>IND</t>
    </r>
    <r>
      <rPr>
        <b/>
        <i/>
        <vertAlign val="subscript"/>
        <sz val="10"/>
        <color indexed="8"/>
        <rFont val="Calibri"/>
        <family val="2"/>
        <charset val="204"/>
      </rPr>
      <t>DJ, t</t>
    </r>
  </si>
  <si>
    <t>Обрабатывающая промышленность</t>
  </si>
  <si>
    <r>
      <t>IND</t>
    </r>
    <r>
      <rPr>
        <i/>
        <vertAlign val="subscript"/>
        <sz val="10"/>
        <color indexed="8"/>
        <rFont val="Calibri"/>
        <family val="2"/>
      </rPr>
      <t>DA, t</t>
    </r>
  </si>
  <si>
    <t>пищевые продукты и табак</t>
  </si>
  <si>
    <r>
      <t>IND</t>
    </r>
    <r>
      <rPr>
        <i/>
        <vertAlign val="subscript"/>
        <sz val="10"/>
        <color indexed="8"/>
        <rFont val="Calibri"/>
        <family val="2"/>
      </rPr>
      <t>DB, t</t>
    </r>
  </si>
  <si>
    <t>текстильное производство</t>
  </si>
  <si>
    <r>
      <t>IND</t>
    </r>
    <r>
      <rPr>
        <i/>
        <vertAlign val="subscript"/>
        <sz val="10"/>
        <color indexed="8"/>
        <rFont val="Calibri"/>
        <family val="2"/>
      </rPr>
      <t>DJ, t</t>
    </r>
  </si>
  <si>
    <t>металлургическое производство и готовые металлические изделия</t>
  </si>
  <si>
    <r>
      <t>IND</t>
    </r>
    <r>
      <rPr>
        <i/>
        <vertAlign val="subscript"/>
        <sz val="10"/>
        <color indexed="8"/>
        <rFont val="Calibri"/>
        <family val="2"/>
      </rPr>
      <t>D27, t</t>
    </r>
  </si>
  <si>
    <t xml:space="preserve">    металлургическое производство</t>
  </si>
  <si>
    <r>
      <t>IND</t>
    </r>
    <r>
      <rPr>
        <i/>
        <vertAlign val="subscript"/>
        <sz val="10"/>
        <color indexed="8"/>
        <rFont val="Calibri"/>
        <family val="2"/>
      </rPr>
      <t>D28, t</t>
    </r>
  </si>
  <si>
    <t xml:space="preserve">   готовые металлические изделия</t>
  </si>
  <si>
    <r>
      <t>IND</t>
    </r>
    <r>
      <rPr>
        <i/>
        <vertAlign val="subscript"/>
        <sz val="10"/>
        <color indexed="8"/>
        <rFont val="Calibri"/>
        <family val="2"/>
      </rPr>
      <t>DOther, t</t>
    </r>
  </si>
  <si>
    <t xml:space="preserve"> переработка прочие (d)</t>
  </si>
  <si>
    <r>
      <t>IND</t>
    </r>
    <r>
      <rPr>
        <b/>
        <i/>
        <vertAlign val="subscript"/>
        <sz val="10"/>
        <color indexed="8"/>
        <rFont val="Calibri"/>
        <family val="2"/>
        <charset val="204"/>
      </rPr>
      <t>E, t</t>
    </r>
  </si>
  <si>
    <t>Производство и распределение  электроэнергии, газа и воды</t>
  </si>
  <si>
    <t>Реальные темпы роста, %</t>
  </si>
  <si>
    <r>
      <t>gIND</t>
    </r>
    <r>
      <rPr>
        <i/>
        <vertAlign val="subscript"/>
        <sz val="10"/>
        <color indexed="8"/>
        <rFont val="Calibri"/>
        <family val="2"/>
      </rPr>
      <t>CDE,t</t>
    </r>
  </si>
  <si>
    <t xml:space="preserve">Все промышленность </t>
  </si>
  <si>
    <r>
      <t>gIND</t>
    </r>
    <r>
      <rPr>
        <i/>
        <vertAlign val="subscript"/>
        <sz val="10"/>
        <color indexed="8"/>
        <rFont val="Calibri"/>
        <family val="2"/>
      </rPr>
      <t>C,t</t>
    </r>
  </si>
  <si>
    <r>
      <t>gIND</t>
    </r>
    <r>
      <rPr>
        <i/>
        <vertAlign val="subscript"/>
        <sz val="10"/>
        <color indexed="8"/>
        <rFont val="Calibri"/>
        <family val="2"/>
      </rPr>
      <t>C13,t</t>
    </r>
  </si>
  <si>
    <r>
      <t>gIND</t>
    </r>
    <r>
      <rPr>
        <i/>
        <vertAlign val="subscript"/>
        <sz val="10"/>
        <color indexed="8"/>
        <rFont val="Calibri"/>
        <family val="2"/>
      </rPr>
      <t>COther,t</t>
    </r>
  </si>
  <si>
    <r>
      <t>gIND</t>
    </r>
    <r>
      <rPr>
        <i/>
        <vertAlign val="subscript"/>
        <sz val="10"/>
        <color indexed="8"/>
        <rFont val="Calibri"/>
        <family val="2"/>
      </rPr>
      <t>D, t</t>
    </r>
  </si>
  <si>
    <r>
      <t>gIND</t>
    </r>
    <r>
      <rPr>
        <i/>
        <vertAlign val="subscript"/>
        <sz val="10"/>
        <color indexed="8"/>
        <rFont val="Calibri"/>
        <family val="2"/>
      </rPr>
      <t>DA, t</t>
    </r>
  </si>
  <si>
    <t xml:space="preserve">   пищевые продукты и табак</t>
  </si>
  <si>
    <r>
      <t>gIND</t>
    </r>
    <r>
      <rPr>
        <i/>
        <vertAlign val="subscript"/>
        <sz val="10"/>
        <color indexed="8"/>
        <rFont val="Calibri"/>
        <family val="2"/>
      </rPr>
      <t>DB, t</t>
    </r>
  </si>
  <si>
    <t xml:space="preserve">   текстильное производство</t>
  </si>
  <si>
    <r>
      <t>gIND</t>
    </r>
    <r>
      <rPr>
        <i/>
        <vertAlign val="subscript"/>
        <sz val="10"/>
        <color indexed="8"/>
        <rFont val="Calibri"/>
        <family val="2"/>
      </rPr>
      <t>DJ, t</t>
    </r>
  </si>
  <si>
    <r>
      <t>gIND</t>
    </r>
    <r>
      <rPr>
        <i/>
        <vertAlign val="subscript"/>
        <sz val="10"/>
        <color indexed="8"/>
        <rFont val="Calibri"/>
        <family val="2"/>
      </rPr>
      <t>D27J, t</t>
    </r>
  </si>
  <si>
    <t xml:space="preserve">   металлургическое производство</t>
  </si>
  <si>
    <r>
      <t>gIND</t>
    </r>
    <r>
      <rPr>
        <i/>
        <vertAlign val="subscript"/>
        <sz val="10"/>
        <color indexed="8"/>
        <rFont val="Calibri"/>
        <family val="2"/>
      </rPr>
      <t>D28, t</t>
    </r>
  </si>
  <si>
    <r>
      <t>gIND</t>
    </r>
    <r>
      <rPr>
        <i/>
        <vertAlign val="subscript"/>
        <sz val="10"/>
        <color indexed="8"/>
        <rFont val="Calibri"/>
        <family val="2"/>
      </rPr>
      <t>Dther, t</t>
    </r>
  </si>
  <si>
    <t xml:space="preserve">      переработка прочие (d)</t>
  </si>
  <si>
    <r>
      <t>gIND</t>
    </r>
    <r>
      <rPr>
        <i/>
        <vertAlign val="subscript"/>
        <sz val="10"/>
        <color indexed="8"/>
        <rFont val="Calibri"/>
        <family val="2"/>
      </rPr>
      <t>E, t</t>
    </r>
  </si>
  <si>
    <t>gINDD27J, t</t>
  </si>
  <si>
    <t>Дефлятор, %</t>
  </si>
  <si>
    <r>
      <t>defIND</t>
    </r>
    <r>
      <rPr>
        <i/>
        <vertAlign val="subscript"/>
        <sz val="10"/>
        <color indexed="8"/>
        <rFont val="Calibri"/>
        <family val="2"/>
      </rPr>
      <t>CDE,t</t>
    </r>
  </si>
  <si>
    <r>
      <t>defIND</t>
    </r>
    <r>
      <rPr>
        <i/>
        <vertAlign val="subscript"/>
        <sz val="10"/>
        <color indexed="8"/>
        <rFont val="Calibri"/>
        <family val="2"/>
      </rPr>
      <t>C,t</t>
    </r>
  </si>
  <si>
    <r>
      <t>defIND</t>
    </r>
    <r>
      <rPr>
        <i/>
        <vertAlign val="subscript"/>
        <sz val="10"/>
        <color indexed="8"/>
        <rFont val="Calibri"/>
        <family val="2"/>
      </rPr>
      <t>C13,t</t>
    </r>
  </si>
  <si>
    <r>
      <t>defIND</t>
    </r>
    <r>
      <rPr>
        <i/>
        <vertAlign val="subscript"/>
        <sz val="10"/>
        <color indexed="8"/>
        <rFont val="Calibri"/>
        <family val="2"/>
      </rPr>
      <t>COther,t</t>
    </r>
  </si>
  <si>
    <r>
      <t>defIND</t>
    </r>
    <r>
      <rPr>
        <i/>
        <vertAlign val="subscript"/>
        <sz val="10"/>
        <color indexed="8"/>
        <rFont val="Calibri"/>
        <family val="2"/>
      </rPr>
      <t>D,t</t>
    </r>
  </si>
  <si>
    <r>
      <t>defIND</t>
    </r>
    <r>
      <rPr>
        <i/>
        <vertAlign val="subscript"/>
        <sz val="10"/>
        <color indexed="8"/>
        <rFont val="Calibri"/>
        <family val="2"/>
      </rPr>
      <t>DA, t</t>
    </r>
  </si>
  <si>
    <r>
      <t>defIND</t>
    </r>
    <r>
      <rPr>
        <i/>
        <vertAlign val="subscript"/>
        <sz val="10"/>
        <color indexed="8"/>
        <rFont val="Calibri"/>
        <family val="2"/>
      </rPr>
      <t>DB, t</t>
    </r>
  </si>
  <si>
    <r>
      <t>defIND</t>
    </r>
    <r>
      <rPr>
        <i/>
        <vertAlign val="subscript"/>
        <sz val="10"/>
        <color indexed="8"/>
        <rFont val="Calibri"/>
        <family val="2"/>
      </rPr>
      <t>DJ, t</t>
    </r>
  </si>
  <si>
    <r>
      <t>defIND</t>
    </r>
    <r>
      <rPr>
        <i/>
        <vertAlign val="subscript"/>
        <sz val="10"/>
        <color indexed="8"/>
        <rFont val="Calibri"/>
        <family val="2"/>
      </rPr>
      <t>D27, t</t>
    </r>
  </si>
  <si>
    <r>
      <t>defIND</t>
    </r>
    <r>
      <rPr>
        <i/>
        <vertAlign val="subscript"/>
        <sz val="10"/>
        <color indexed="8"/>
        <rFont val="Calibri"/>
        <family val="2"/>
      </rPr>
      <t>D28, t</t>
    </r>
  </si>
  <si>
    <r>
      <t>defIND</t>
    </r>
    <r>
      <rPr>
        <i/>
        <vertAlign val="subscript"/>
        <sz val="10"/>
        <color indexed="8"/>
        <rFont val="Calibri"/>
        <family val="2"/>
      </rPr>
      <t>Dther, t</t>
    </r>
  </si>
  <si>
    <r>
      <t>defIND</t>
    </r>
    <r>
      <rPr>
        <i/>
        <vertAlign val="subscript"/>
        <sz val="10"/>
        <color indexed="8"/>
        <rFont val="Calibri"/>
        <family val="2"/>
      </rPr>
      <t>E, t</t>
    </r>
  </si>
  <si>
    <t>производство и распределение  электроэнергии, газа и воды</t>
  </si>
  <si>
    <t>Индекс 2003 = 100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</si>
  <si>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t</t>
    </r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</si>
  <si>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E,,t</t>
    </r>
  </si>
  <si>
    <t>Электроэнергетика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</si>
  <si>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DJ,,t</t>
    </r>
  </si>
  <si>
    <t>Цветная металлургия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</si>
  <si>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DBC,,t</t>
    </r>
  </si>
  <si>
    <t>Легкая промышленность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</si>
  <si>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DA,,t</t>
    </r>
  </si>
  <si>
    <t>Пищевая промышленность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</si>
  <si>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Other,t</t>
    </r>
  </si>
  <si>
    <t>Прочее</t>
  </si>
  <si>
    <t>Расчет доли ВДС в выпуске</t>
  </si>
  <si>
    <r>
      <t>VA</t>
    </r>
    <r>
      <rPr>
        <i/>
        <vertAlign val="subscript"/>
        <sz val="10"/>
        <color indexed="8"/>
        <rFont val="Calibri"/>
        <family val="2"/>
      </rPr>
      <t>CDE,t</t>
    </r>
  </si>
  <si>
    <t>Промышленность, ВДС</t>
  </si>
  <si>
    <r>
      <t>gVA</t>
    </r>
    <r>
      <rPr>
        <i/>
        <vertAlign val="subscript"/>
        <sz val="10"/>
        <color indexed="8"/>
        <rFont val="Calibri"/>
        <family val="2"/>
      </rPr>
      <t>CDE,t</t>
    </r>
  </si>
  <si>
    <t xml:space="preserve"> - рост</t>
  </si>
  <si>
    <r>
      <t>defVA</t>
    </r>
    <r>
      <rPr>
        <i/>
        <vertAlign val="subscript"/>
        <sz val="10"/>
        <color indexed="8"/>
        <rFont val="Calibri"/>
        <family val="2"/>
      </rPr>
      <t xml:space="preserve">CDE,t </t>
    </r>
    <r>
      <rPr>
        <i/>
        <sz val="10"/>
        <color indexed="8"/>
        <rFont val="Calibri"/>
        <family val="2"/>
      </rPr>
      <t xml:space="preserve"> /IND</t>
    </r>
    <r>
      <rPr>
        <i/>
        <vertAlign val="subscript"/>
        <sz val="10"/>
        <color indexed="8"/>
        <rFont val="Calibri"/>
        <family val="2"/>
      </rPr>
      <t>t</t>
    </r>
  </si>
  <si>
    <t xml:space="preserve"> - дефлятор</t>
  </si>
  <si>
    <t>Доля ВДС/выпуск</t>
  </si>
  <si>
    <r>
      <t>proxy1</t>
    </r>
    <r>
      <rPr>
        <vertAlign val="subscript"/>
        <sz val="10"/>
        <color indexed="8"/>
        <rFont val="Calibri"/>
        <family val="2"/>
      </rPr>
      <t>t</t>
    </r>
  </si>
  <si>
    <t>Прокси (глинозем/дефлятор промпроизводства)</t>
  </si>
  <si>
    <t>Предпосылки:</t>
  </si>
  <si>
    <r>
      <t>IND</t>
    </r>
    <r>
      <rPr>
        <i/>
        <vertAlign val="subscript"/>
        <sz val="10"/>
        <color indexed="8"/>
        <rFont val="Calibri"/>
        <family val="2"/>
      </rPr>
      <t xml:space="preserve">DA, t </t>
    </r>
    <r>
      <rPr>
        <i/>
        <sz val="10"/>
        <color indexed="8"/>
        <rFont val="Calibri"/>
        <family val="2"/>
      </rPr>
      <t>/RET</t>
    </r>
    <r>
      <rPr>
        <i/>
        <vertAlign val="subscript"/>
        <sz val="10"/>
        <color indexed="8"/>
        <rFont val="Calibri"/>
        <family val="2"/>
      </rPr>
      <t>t</t>
    </r>
  </si>
  <si>
    <t>доля пищевой промышленности к розничному товарооброту</t>
  </si>
  <si>
    <r>
      <t>IND</t>
    </r>
    <r>
      <rPr>
        <i/>
        <vertAlign val="subscript"/>
        <sz val="10"/>
        <color indexed="8"/>
        <rFont val="Calibri"/>
        <family val="2"/>
      </rPr>
      <t xml:space="preserve">Dther, t </t>
    </r>
    <r>
      <rPr>
        <i/>
        <sz val="10"/>
        <color indexed="8"/>
        <rFont val="Calibri"/>
        <family val="2"/>
      </rPr>
      <t>/DD</t>
    </r>
    <r>
      <rPr>
        <i/>
        <vertAlign val="subscript"/>
        <sz val="10"/>
        <color indexed="8"/>
        <rFont val="Calibri"/>
        <family val="2"/>
      </rPr>
      <t>IND, t</t>
    </r>
  </si>
  <si>
    <t>доля прочей в промышленности</t>
  </si>
  <si>
    <t>Подробное описание</t>
  </si>
  <si>
    <r>
      <t>qY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</si>
  <si>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Производство, млн. кВт - час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</si>
  <si>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</si>
  <si>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Импорт</t>
  </si>
  <si>
    <r>
      <t>qTC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</si>
  <si>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ИТОГО ПОТРЕБЛЕНИЕ</t>
  </si>
  <si>
    <r>
      <t>qEX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</si>
  <si>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Экспорт</t>
  </si>
  <si>
    <r>
      <t>qC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</si>
  <si>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Внутреннее потребление - всего (по секторам)</t>
  </si>
  <si>
    <r>
      <t xml:space="preserve">  </t>
    </r>
    <r>
      <rPr>
        <i/>
        <sz val="10"/>
        <rFont val="Calibri"/>
        <family val="2"/>
      </rPr>
      <t>в том числе:</t>
    </r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</si>
  <si>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CDE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</si>
  <si>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Промышленность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</si>
  <si>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F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</si>
  <si>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Строительство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</si>
  <si>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AB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</si>
  <si>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Сельское хозяйство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</si>
  <si>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I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</si>
  <si>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Транспорт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</si>
  <si>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HH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</si>
  <si>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Население</t>
  </si>
  <si>
    <r>
      <t>qL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</si>
  <si>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Потери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</si>
  <si>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Oth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</si>
  <si>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qL</t>
    </r>
    <r>
      <rPr>
        <i/>
        <vertAlign val="superscript"/>
        <sz val="10"/>
        <color indexed="8"/>
        <rFont val="Calibri"/>
        <family val="2"/>
        <charset val="204"/>
      </rPr>
      <t>Y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</si>
  <si>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потери к выпуску</t>
  </si>
  <si>
    <t>Импорт, млн кВт</t>
  </si>
  <si>
    <t>Экспорт, млн кВт</t>
  </si>
  <si>
    <t>Импорт, млн. долл.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</si>
  <si>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</si>
  <si>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Экспорт, млн. долл.</t>
  </si>
  <si>
    <r>
      <t>qCAP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</si>
  <si>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Мощность, тыс. кВт</t>
  </si>
  <si>
    <r>
      <t>UR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</si>
  <si>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загрузка мощностей, %</t>
  </si>
  <si>
    <r>
      <t>qEXP*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</si>
  <si>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потенциал чистого экспорта э/э, млн. кВт-ч/год</t>
  </si>
  <si>
    <r>
      <t>PUR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</si>
  <si>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использование потенциала, %</t>
  </si>
  <si>
    <t>Потребление электроэнергии</t>
  </si>
  <si>
    <t xml:space="preserve"> - в т.ч. на двигательную силу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</si>
  <si>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CDE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</si>
  <si>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- на технологические нужды и прочее</t>
  </si>
  <si>
    <t>энергоемкость выпуска 1</t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</si>
  <si>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CDE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</si>
  <si>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2</t>
  </si>
  <si>
    <t>Цветные металлы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</si>
  <si>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Dl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</si>
  <si>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DI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</si>
  <si>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алюминия</t>
  </si>
  <si>
    <t>Легкая  промышленность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</si>
  <si>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DBC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</si>
  <si>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DBC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</si>
  <si>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 в легкой промышленности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</si>
  <si>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DA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</si>
  <si>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DA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</si>
  <si>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в пищевой промышленности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</si>
  <si>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Oth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</si>
  <si>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Oth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</si>
  <si>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прочих секторов</t>
  </si>
  <si>
    <t>Сельское хозйство</t>
  </si>
  <si>
    <r>
      <t>idxVA</t>
    </r>
    <r>
      <rPr>
        <i/>
        <vertAlign val="superscript"/>
        <sz val="10"/>
        <color indexed="8"/>
        <rFont val="Calibri"/>
        <family val="2"/>
        <charset val="204"/>
      </rPr>
      <t>2004</t>
    </r>
    <r>
      <rPr>
        <i/>
        <vertAlign val="subscript"/>
        <sz val="10"/>
        <color indexed="8"/>
        <rFont val="Calibri"/>
        <family val="2"/>
      </rPr>
      <t>AB,t</t>
    </r>
  </si>
  <si>
    <t>ВДС сектора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</si>
  <si>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AB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</si>
  <si>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потребление электроэнергии</t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</si>
  <si>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AB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</si>
  <si>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с/х</t>
  </si>
  <si>
    <r>
      <t>TR</t>
    </r>
    <r>
      <rPr>
        <i/>
        <vertAlign val="subscript"/>
        <sz val="10"/>
        <color indexed="8"/>
        <rFont val="Calibri"/>
        <family val="2"/>
      </rPr>
      <t>E, t</t>
    </r>
  </si>
  <si>
    <t>Выручка э/э сектора, расчет, млн. сом.</t>
  </si>
  <si>
    <r>
      <t>P</t>
    </r>
    <r>
      <rPr>
        <i/>
        <vertAlign val="superscript"/>
        <sz val="10"/>
        <color indexed="8"/>
        <rFont val="Calibri"/>
        <family val="2"/>
        <charset val="204"/>
      </rPr>
      <t>F</t>
    </r>
    <r>
      <rPr>
        <i/>
        <vertAlign val="subscript"/>
        <sz val="10"/>
        <color indexed="8"/>
        <rFont val="Calibri"/>
        <family val="2"/>
      </rPr>
      <t>El, t</t>
    </r>
  </si>
  <si>
    <t>Цены предприятий</t>
  </si>
  <si>
    <r>
      <t>P</t>
    </r>
    <r>
      <rPr>
        <i/>
        <vertAlign val="superscript"/>
        <sz val="10"/>
        <color indexed="8"/>
        <rFont val="Calibri"/>
        <family val="2"/>
        <charset val="204"/>
      </rPr>
      <t>HH</t>
    </r>
    <r>
      <rPr>
        <i/>
        <vertAlign val="subscript"/>
        <sz val="10"/>
        <color indexed="8"/>
        <rFont val="Calibri"/>
        <family val="2"/>
      </rPr>
      <t>El, t</t>
    </r>
  </si>
  <si>
    <t>Цены для населения</t>
  </si>
  <si>
    <r>
      <t>P</t>
    </r>
    <r>
      <rPr>
        <i/>
        <vertAlign val="superscript"/>
        <sz val="10"/>
        <color indexed="8"/>
        <rFont val="Calibri"/>
        <family val="2"/>
        <charset val="204"/>
      </rPr>
      <t>NN</t>
    </r>
    <r>
      <rPr>
        <i/>
        <vertAlign val="subscript"/>
        <sz val="10"/>
        <color indexed="8"/>
        <rFont val="Calibri"/>
        <family val="2"/>
      </rPr>
      <t>El, t</t>
    </r>
  </si>
  <si>
    <r>
      <t>qY</t>
    </r>
    <r>
      <rPr>
        <i/>
        <vertAlign val="subscript"/>
        <sz val="10"/>
        <color indexed="8"/>
        <rFont val="Calibri"/>
        <family val="2"/>
        <charset val="204"/>
      </rPr>
      <t>Al,t</t>
    </r>
  </si>
  <si>
    <t>Производство алюминия, тыс.. тонн</t>
  </si>
  <si>
    <t>Потребление глинозема, тыс. тонн., в том числе</t>
  </si>
  <si>
    <t xml:space="preserve">  - глинозем отечественного производства, тыс. тонн.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</si>
  <si>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Am,t</t>
    </r>
  </si>
  <si>
    <t xml:space="preserve">  - импорт глинозема, тыс. тонн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</si>
  <si>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Am,t</t>
    </r>
  </si>
  <si>
    <t>Импорт глинозема, млн. долл.</t>
  </si>
  <si>
    <t>Использование алюминия</t>
  </si>
  <si>
    <r>
      <t>qEX</t>
    </r>
    <r>
      <rPr>
        <i/>
        <vertAlign val="subscript"/>
        <sz val="10"/>
        <color indexed="8"/>
        <rFont val="Calibri"/>
        <family val="2"/>
        <charset val="204"/>
      </rPr>
      <t>Al,t</t>
    </r>
  </si>
  <si>
    <t>Экспорт алюминия, тыс.. тонн</t>
  </si>
  <si>
    <t>Экспорт готовых изделий из алюминия, тыс. тонн</t>
  </si>
  <si>
    <t>Экспорт отходов алюминивого производства, тыс. тонн</t>
  </si>
  <si>
    <r>
      <t xml:space="preserve">Справочно: </t>
    </r>
    <r>
      <rPr>
        <i/>
        <sz val="10"/>
        <color indexed="8"/>
        <rFont val="Calibri"/>
        <family val="2"/>
        <charset val="204"/>
      </rPr>
      <t>степень переработки, %</t>
    </r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</si>
  <si>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Al,t</t>
    </r>
  </si>
  <si>
    <t>Экспорт алюминия, млн. долл.</t>
  </si>
  <si>
    <t>Экспорт готовых изделий из алюминия, млн. долл.</t>
  </si>
  <si>
    <t>Экспорт отходов алюминивого производства, млн. долл.</t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</si>
  <si>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Al</t>
    </r>
    <r>
      <rPr>
        <i/>
        <vertAlign val="subscript"/>
        <sz val="10"/>
        <color indexed="8"/>
        <rFont val="Calibri"/>
        <family val="2"/>
        <charset val="204"/>
      </rPr>
      <t>Am,t</t>
    </r>
  </si>
  <si>
    <t>Норма потребления глинозема в производстве</t>
  </si>
  <si>
    <r>
      <t>pEX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Al,t</t>
    </r>
  </si>
  <si>
    <t>Цена алюминий, долл./тон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</si>
  <si>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Am,t</t>
    </r>
  </si>
  <si>
    <t>Цена глинозема, долл./тон</t>
  </si>
  <si>
    <t>Средние цены готовых изделий из алюминия</t>
  </si>
  <si>
    <t>Средние цены отходов из алюминия</t>
  </si>
  <si>
    <t>Производство алюминия, тыс. тонн</t>
  </si>
  <si>
    <t>Оплата за тонну, сомони</t>
  </si>
  <si>
    <t>Оплата за тонну, долл. США</t>
  </si>
  <si>
    <t>Выпуск  / Плата за переработку алюминия по толлингу, млн. сомони</t>
  </si>
  <si>
    <t>Плата за переработку алюминия по толлингу, млн. долл. США</t>
  </si>
  <si>
    <t>Добыча золота, кг</t>
  </si>
  <si>
    <t>Добыча серебра, кг</t>
  </si>
  <si>
    <t>Стоимость (золото+серебро), млн. сомони</t>
  </si>
  <si>
    <t>Производство цинка</t>
  </si>
  <si>
    <t>Производство свинца</t>
  </si>
  <si>
    <t>Хлопок</t>
  </si>
  <si>
    <r>
      <t>qEX</t>
    </r>
    <r>
      <rPr>
        <i/>
        <vertAlign val="subscript"/>
        <sz val="10"/>
        <rFont val="Calibri"/>
        <family val="2"/>
      </rPr>
      <t>Cot,t</t>
    </r>
  </si>
  <si>
    <t>Экспорт, хлопок- волокно, тонн</t>
  </si>
  <si>
    <t xml:space="preserve">5205 5207 5208 5209 </t>
  </si>
  <si>
    <t>Экспорт, хлопок ткани и пряжа, тонн</t>
  </si>
  <si>
    <t>6006, 6103, 6106,6111, 6115,6116,6203, 6204-06, 6209, 6211, 6310</t>
  </si>
  <si>
    <t>Экспорт, готовые изделия (вкл. отходы), тонн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</si>
  <si>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Cot,t</t>
    </r>
  </si>
  <si>
    <t>Экспорт, хлопок-волокно, млн. долл.</t>
  </si>
  <si>
    <t>Экспорт, хлопок ткани и пряжа ,млн. долл.</t>
  </si>
  <si>
    <t>Экспорт, готовые изделия (вкл. отходы), млн. долл.</t>
  </si>
  <si>
    <t>Средняя цена, хлопок-волокно, долл./кг</t>
  </si>
  <si>
    <t>Средняя цена, хлопок-ткани и пряжа, долл./кг</t>
  </si>
  <si>
    <t>Средняя цена, готовые изделия, долл./кг</t>
  </si>
  <si>
    <t>Производство, хлопок-сырец,тыс. тонн.</t>
  </si>
  <si>
    <t>Потенциальный объем производства, ткани, тыс. тонн</t>
  </si>
  <si>
    <t>Экспорт в тканевом эквиваленте, тыс. тонн</t>
  </si>
  <si>
    <t>Внутреннее потребление , тыс. тонн</t>
  </si>
  <si>
    <t>Средняя цена отечественного текстиля, сом./кг</t>
  </si>
  <si>
    <t xml:space="preserve">  - отношение к экспортной цен на готовые изделия</t>
  </si>
  <si>
    <t>Доля переработки, %</t>
  </si>
  <si>
    <t>Доля внутреннего потребления в переработке, %</t>
  </si>
  <si>
    <r>
      <t>EX</t>
    </r>
    <r>
      <rPr>
        <i/>
        <vertAlign val="subscript"/>
        <sz val="10"/>
        <color indexed="8"/>
        <rFont val="Calibri"/>
        <family val="2"/>
        <charset val="204"/>
      </rPr>
      <t>Cot,t</t>
    </r>
  </si>
  <si>
    <t>Экспорт, млн. сом.</t>
  </si>
  <si>
    <t>Внешние сценарные условия</t>
  </si>
  <si>
    <t>External scenario conditions </t>
  </si>
  <si>
    <r>
      <t>gGDP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</si>
  <si>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Темпы роста мировой экономики,%</t>
  </si>
  <si>
    <t>Global economic growth ,% NGDP_RPCH</t>
  </si>
  <si>
    <r>
      <t>gGDP</t>
    </r>
    <r>
      <rPr>
        <vertAlign val="superscript"/>
        <sz val="10"/>
        <color indexed="8"/>
        <rFont val="Calibri"/>
        <family val="2"/>
        <charset val="204"/>
      </rPr>
      <t>DE</t>
    </r>
    <r>
      <rPr>
        <vertAlign val="subscript"/>
        <sz val="10"/>
        <color indexed="8"/>
        <rFont val="Calibri"/>
        <family val="2"/>
        <charset val="204"/>
      </rPr>
      <t>t</t>
    </r>
  </si>
  <si>
    <t>Темпы роста экономики развивающихся стран, %</t>
  </si>
  <si>
    <t>Economic growth in developing countries , % NGDP_RPCH</t>
  </si>
  <si>
    <r>
      <t>gTRADE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</si>
  <si>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Объем мировой торговл, рост, %</t>
  </si>
  <si>
    <t>Volume of world trade, growth rate, % TRADEPCH</t>
  </si>
  <si>
    <r>
      <t>pOIL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</si>
  <si>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нефть (brent+dubai+wti), долл./барр.</t>
  </si>
  <si>
    <t>World oil prices (brent + dubai + wti) , USD/bar</t>
  </si>
  <si>
    <r>
      <t>pAL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</si>
  <si>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алюминий, долл./тонн</t>
  </si>
  <si>
    <t>Worldwide aluminum prices , USD/t</t>
  </si>
  <si>
    <r>
      <t>pidxAG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</si>
  <si>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Индекс цен на сельхозсырье, 2005=100</t>
  </si>
  <si>
    <t>The price index for agricultural raw, 2005=100 </t>
  </si>
  <si>
    <r>
      <t>pCOT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</si>
  <si>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хлопок, cents/pound</t>
  </si>
  <si>
    <t>World cotton prices, USD/tonn</t>
  </si>
  <si>
    <r>
      <t>pWH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</si>
  <si>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пшеницу, долл./тонн</t>
  </si>
  <si>
    <t>World wheat prices, USD/tonn</t>
  </si>
  <si>
    <r>
      <t>dCPI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</si>
  <si>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Мировая инфляция, % средняя</t>
  </si>
  <si>
    <t>World inflationб CPI average, PCPIPCH</t>
  </si>
  <si>
    <r>
      <t>er</t>
    </r>
    <r>
      <rPr>
        <i/>
        <vertAlign val="superscript"/>
        <sz val="10"/>
        <color indexed="8"/>
        <rFont val="Calibri"/>
        <family val="2"/>
        <charset val="204"/>
      </rPr>
      <t>USD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</si>
  <si>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Средний обменный курс (TJS/USD)</t>
  </si>
  <si>
    <t>Average exchange rate (TJS/USD)</t>
  </si>
  <si>
    <r>
      <t>er</t>
    </r>
    <r>
      <rPr>
        <i/>
        <vertAlign val="superscript"/>
        <sz val="10"/>
        <color indexed="8"/>
        <rFont val="Calibri"/>
        <family val="2"/>
        <charset val="204"/>
      </rPr>
      <t>RUR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</si>
  <si>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Курс рубля , руб./сомони</t>
  </si>
  <si>
    <t>RUB/Somoni</t>
  </si>
  <si>
    <r>
      <t>MIG</t>
    </r>
    <r>
      <rPr>
        <vertAlign val="superscript"/>
        <sz val="10"/>
        <color indexed="8"/>
        <rFont val="Calibri"/>
        <family val="2"/>
        <charset val="204"/>
      </rPr>
      <t>RUS</t>
    </r>
    <r>
      <rPr>
        <vertAlign val="subscript"/>
        <sz val="10"/>
        <color indexed="8"/>
        <rFont val="Calibri"/>
        <family val="2"/>
        <charset val="204"/>
      </rPr>
      <t>t</t>
    </r>
  </si>
  <si>
    <t>Число мигрантов из Таджикистана в России, тыс.чел.</t>
  </si>
  <si>
    <t>The number of migrants from Tajikistan in Russia, thousand persons</t>
  </si>
  <si>
    <r>
      <t>Inv</t>
    </r>
    <r>
      <rPr>
        <vertAlign val="superscript"/>
        <sz val="10"/>
        <color indexed="8"/>
        <rFont val="Calibri"/>
        <family val="2"/>
        <charset val="204"/>
      </rPr>
      <t>F</t>
    </r>
    <r>
      <rPr>
        <vertAlign val="subscript"/>
        <sz val="10"/>
        <color indexed="8"/>
        <rFont val="Calibri"/>
        <family val="2"/>
        <charset val="204"/>
      </rPr>
      <t>t</t>
    </r>
  </si>
  <si>
    <r>
      <t xml:space="preserve">Зарубежные инвестиции (по счету инвестиций), </t>
    </r>
    <r>
      <rPr>
        <sz val="10"/>
        <color rgb="FFFF0000"/>
        <rFont val="Calibri"/>
        <family val="2"/>
        <scheme val="minor"/>
      </rPr>
      <t>млн. долл. США</t>
    </r>
  </si>
  <si>
    <t>Foreign investments (investment survey), mln USD</t>
  </si>
  <si>
    <r>
      <t>W</t>
    </r>
    <r>
      <rPr>
        <vertAlign val="superscript"/>
        <sz val="10"/>
        <color indexed="8"/>
        <rFont val="Calibri"/>
        <family val="2"/>
        <charset val="204"/>
      </rPr>
      <t>RUS, US</t>
    </r>
    <r>
      <rPr>
        <vertAlign val="subscript"/>
        <sz val="10"/>
        <color indexed="8"/>
        <rFont val="Calibri"/>
        <family val="2"/>
        <charset val="204"/>
      </rPr>
      <t>t</t>
    </r>
  </si>
  <si>
    <t>Средняя зарплата в России, долл.</t>
  </si>
  <si>
    <t>The average salary in Russia, U.S. </t>
  </si>
  <si>
    <t>Потребность России в мигрантах (высокий вар.), тыс.чел.</t>
  </si>
  <si>
    <t>Russia's need for Migrants, thousand</t>
  </si>
  <si>
    <r>
      <t>W</t>
    </r>
    <r>
      <rPr>
        <vertAlign val="superscript"/>
        <sz val="10"/>
        <color indexed="8"/>
        <rFont val="Calibri"/>
        <family val="2"/>
        <charset val="204"/>
      </rPr>
      <t>RUS, RUB</t>
    </r>
    <r>
      <rPr>
        <vertAlign val="subscript"/>
        <sz val="10"/>
        <color indexed="8"/>
        <rFont val="Calibri"/>
        <family val="2"/>
        <charset val="204"/>
      </rPr>
      <t>t</t>
    </r>
  </si>
  <si>
    <t>Средняя зарплата в России, руб.</t>
  </si>
  <si>
    <t>The average salary in Russia, RUB</t>
  </si>
  <si>
    <r>
      <t>er</t>
    </r>
    <r>
      <rPr>
        <i/>
        <vertAlign val="superscript"/>
        <sz val="10"/>
        <color indexed="8"/>
        <rFont val="Calibri"/>
        <family val="2"/>
        <charset val="204"/>
      </rPr>
      <t>RUR/USD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</si>
  <si>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Курс доллара к рублю, руб./долл.</t>
  </si>
  <si>
    <t>Exhange rate, Rub/dollar </t>
  </si>
  <si>
    <r>
      <t>pFV</t>
    </r>
    <r>
      <rPr>
        <vertAlign val="superscript"/>
        <sz val="10"/>
        <color indexed="8"/>
        <rFont val="Calibri"/>
        <family val="2"/>
        <charset val="204"/>
      </rPr>
      <t>RUB</t>
    </r>
    <r>
      <rPr>
        <vertAlign val="subscript"/>
        <sz val="10"/>
        <color indexed="8"/>
        <rFont val="Calibri"/>
        <family val="2"/>
        <charset val="204"/>
      </rPr>
      <t>t</t>
    </r>
  </si>
  <si>
    <t>Цены на плодоовощную продукцию в России, $/tn</t>
  </si>
  <si>
    <t>Prices for fruits and vegetables in Russia, $/tn</t>
  </si>
  <si>
    <r>
      <t>pGOLD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</si>
  <si>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золото, долл./унция</t>
  </si>
  <si>
    <t>Worldwide gold prices , USD/onz</t>
  </si>
  <si>
    <t>Предпосылки производственного блока</t>
  </si>
  <si>
    <t>Production block assumptions</t>
  </si>
  <si>
    <t>Food industry</t>
  </si>
  <si>
    <r>
      <t>IND</t>
    </r>
    <r>
      <rPr>
        <i/>
        <vertAlign val="subscript"/>
        <sz val="10"/>
        <color indexed="8"/>
        <rFont val="Calibri"/>
        <family val="2"/>
        <charset val="204"/>
      </rPr>
      <t xml:space="preserve">DA, t </t>
    </r>
    <r>
      <rPr>
        <i/>
        <sz val="10"/>
        <color indexed="8"/>
        <rFont val="Calibri"/>
        <family val="2"/>
        <charset val="204"/>
      </rPr>
      <t>/RET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</si>
  <si>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food industry ouput / retail sales</t>
  </si>
  <si>
    <t>Прочая промышленность</t>
  </si>
  <si>
    <t>Other industrial production</t>
  </si>
  <si>
    <r>
      <t>IND</t>
    </r>
    <r>
      <rPr>
        <i/>
        <vertAlign val="subscript"/>
        <sz val="10"/>
        <color indexed="8"/>
        <rFont val="Calibri"/>
        <family val="2"/>
        <charset val="204"/>
      </rPr>
      <t xml:space="preserve">Dther, t </t>
    </r>
    <r>
      <rPr>
        <i/>
        <sz val="10"/>
        <color indexed="8"/>
        <rFont val="Calibri"/>
        <family val="2"/>
        <charset val="204"/>
      </rPr>
      <t>/DD</t>
    </r>
    <r>
      <rPr>
        <i/>
        <vertAlign val="subscript"/>
        <sz val="10"/>
        <color indexed="8"/>
        <rFont val="Calibri"/>
        <family val="2"/>
        <charset val="204"/>
      </rPr>
      <t>IND, t</t>
    </r>
  </si>
  <si>
    <t>other industry  / domestic final demand industries</t>
  </si>
  <si>
    <t>Power generation</t>
  </si>
  <si>
    <t>Потребление  населением, млн. Квт*ч</t>
  </si>
  <si>
    <t xml:space="preserve">  Household consumption of energy, mln. kWt*h</t>
  </si>
  <si>
    <t>Losses/consumption ratio</t>
  </si>
  <si>
    <t>Production capacity, thousands kWt</t>
  </si>
  <si>
    <t>использование потенциала, % от потенциала</t>
  </si>
  <si>
    <t>export utlization rate. % potential</t>
  </si>
  <si>
    <r>
      <t>pEX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</si>
  <si>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  Электричество, USD/кВт-ч</t>
  </si>
  <si>
    <t xml:space="preserve">    Electricity, USD/kWt-hour</t>
  </si>
  <si>
    <t xml:space="preserve"> power consumption/aluminum output ratio</t>
  </si>
  <si>
    <t>power consumption/light industry output ratio</t>
  </si>
  <si>
    <t>power consumption/food industry output ratio</t>
  </si>
  <si>
    <t>power consumption/other insdustries output ratio</t>
  </si>
  <si>
    <t>power consumption/agriculture output ratio</t>
  </si>
  <si>
    <r>
      <t>P</t>
    </r>
    <r>
      <rPr>
        <i/>
        <vertAlign val="superscript"/>
        <sz val="10"/>
        <color indexed="8"/>
        <rFont val="Calibri"/>
        <family val="2"/>
        <charset val="204"/>
      </rPr>
      <t>HH</t>
    </r>
    <r>
      <rPr>
        <i/>
        <vertAlign val="subscript"/>
        <sz val="10"/>
        <color indexed="8"/>
        <rFont val="Calibri"/>
        <family val="2"/>
        <charset val="204"/>
      </rPr>
      <t>El, t</t>
    </r>
  </si>
  <si>
    <t>Цены на электроэнергию для населения, дирам/кВт*ч</t>
  </si>
  <si>
    <t>Elecricity prices for households, .01 somoni/kWt</t>
  </si>
  <si>
    <t>Производства алюминия</t>
  </si>
  <si>
    <t>Aluminum production</t>
  </si>
  <si>
    <t>Производство алюминия тонн</t>
  </si>
  <si>
    <t xml:space="preserve"> Aluminiun production, ton</t>
  </si>
  <si>
    <t>Alumina consumption per ton of aluminium</t>
  </si>
  <si>
    <t>Добыча глинозема в РТ, тыс. тонн.</t>
  </si>
  <si>
    <t>Производства хлопка</t>
  </si>
  <si>
    <t>Cotton production</t>
  </si>
  <si>
    <t>Урожай хлопка, тыс. тонн</t>
  </si>
  <si>
    <r>
      <t>gIND</t>
    </r>
    <r>
      <rPr>
        <i/>
        <vertAlign val="subscript"/>
        <sz val="10"/>
        <color indexed="9"/>
        <rFont val="Calibri"/>
        <family val="2"/>
        <charset val="204"/>
      </rPr>
      <t>C13,t</t>
    </r>
  </si>
  <si>
    <t>Темп роста добычи драгметаллов</t>
  </si>
  <si>
    <t>Домохозяйства</t>
  </si>
  <si>
    <t>Household</t>
  </si>
  <si>
    <r>
      <t>Tr</t>
    </r>
    <r>
      <rPr>
        <i/>
        <vertAlign val="superscript"/>
        <sz val="10"/>
        <color indexed="8"/>
        <rFont val="Calibri"/>
        <family val="2"/>
        <charset val="204"/>
      </rPr>
      <t>NAT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</si>
  <si>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t>Социальные трансферты в натуральной форме, млн. сомони</t>
  </si>
  <si>
    <t xml:space="preserve"> Social transferts in natural form, mil. TJS</t>
  </si>
  <si>
    <r>
      <t>W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</si>
  <si>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t>Зарплата в секторе "Государство и НКО", млн. сомони</t>
  </si>
  <si>
    <t>Wage in "Government and non-commercial organization" sector, mln. TJS</t>
  </si>
  <si>
    <r>
      <t>mpc</t>
    </r>
    <r>
      <rPr>
        <i/>
        <vertAlign val="subscript"/>
        <sz val="10"/>
        <color indexed="8"/>
        <rFont val="Calibri"/>
        <family val="2"/>
        <charset val="204"/>
      </rPr>
      <t>C</t>
    </r>
    <r>
      <rPr>
        <i/>
        <vertAlign val="superscript"/>
        <sz val="10"/>
        <color indexed="8"/>
        <rFont val="Calibri"/>
        <family val="2"/>
        <charset val="204"/>
      </rPr>
      <t>DI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</si>
  <si>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 xml:space="preserve">    - склонность к потреблению (полному доходу)</t>
  </si>
  <si>
    <t xml:space="preserve">       mpc to total income</t>
  </si>
  <si>
    <t>Сельское хозяйство</t>
  </si>
  <si>
    <t>Agriculture</t>
  </si>
  <si>
    <r>
      <t>gVA</t>
    </r>
    <r>
      <rPr>
        <i/>
        <vertAlign val="subscript"/>
        <sz val="10"/>
        <color indexed="8"/>
        <rFont val="Calibri"/>
        <family val="2"/>
        <charset val="204"/>
      </rPr>
      <t>AB,t</t>
    </r>
  </si>
  <si>
    <t>Темп роста сельское хозяйства и рыболовства, %</t>
  </si>
  <si>
    <t>Agriculture, real growth, %</t>
  </si>
  <si>
    <r>
      <t>defVA</t>
    </r>
    <r>
      <rPr>
        <vertAlign val="subscript"/>
        <sz val="10"/>
        <color indexed="8"/>
        <rFont val="Calibri"/>
        <family val="2"/>
        <charset val="204"/>
      </rPr>
      <t>AB,t</t>
    </r>
  </si>
  <si>
    <t>Дефлятор сельское хозяйства и рыболовства, %</t>
  </si>
  <si>
    <t>Agriculture, deflator, %</t>
  </si>
  <si>
    <r>
      <t>qEX</t>
    </r>
    <r>
      <rPr>
        <vertAlign val="subscript"/>
        <sz val="10"/>
        <color indexed="8"/>
        <rFont val="Calibri"/>
        <family val="2"/>
        <charset val="204"/>
      </rPr>
      <t>FV,t</t>
    </r>
  </si>
  <si>
    <t xml:space="preserve">    Экспорт Фрукты и овощи, тонн</t>
  </si>
  <si>
    <t xml:space="preserve">    Export Fruit and vegetables, tn</t>
  </si>
  <si>
    <t>ВВП по производству</t>
  </si>
  <si>
    <t>GDP by production</t>
  </si>
  <si>
    <r>
      <t>gVA</t>
    </r>
    <r>
      <rPr>
        <i/>
        <vertAlign val="subscript"/>
        <sz val="10"/>
        <color indexed="8"/>
        <rFont val="Calibri"/>
        <family val="2"/>
        <charset val="204"/>
      </rPr>
      <t>Other,t</t>
    </r>
  </si>
  <si>
    <t>ВДС прочих отраслей (J-0), growth, %</t>
  </si>
  <si>
    <t>Value Added growth of J-O activities, growth, %</t>
  </si>
  <si>
    <t>CPI</t>
  </si>
  <si>
    <r>
      <t>dCPI</t>
    </r>
    <r>
      <rPr>
        <i/>
        <vertAlign val="superscript"/>
        <sz val="10"/>
        <color indexed="8"/>
        <rFont val="Calibri"/>
        <family val="2"/>
        <charset val="204"/>
      </rPr>
      <t>AV</t>
    </r>
    <r>
      <rPr>
        <i/>
        <vertAlign val="subscript"/>
        <sz val="10"/>
        <color indexed="8"/>
        <rFont val="Calibri"/>
        <family val="2"/>
        <charset val="204"/>
      </rPr>
      <t>Services,t</t>
    </r>
  </si>
  <si>
    <t>Services, %</t>
  </si>
  <si>
    <t>платные услуги, %</t>
  </si>
  <si>
    <r>
      <t>POP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</si>
  <si>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Население (млн.)</t>
  </si>
  <si>
    <t>Population (million)</t>
  </si>
  <si>
    <t>Госбюджет</t>
  </si>
  <si>
    <r>
      <t>sInv</t>
    </r>
    <r>
      <rPr>
        <vertAlign val="superscript"/>
        <sz val="10"/>
        <color indexed="8"/>
        <rFont val="Calibri"/>
        <family val="2"/>
        <charset val="204"/>
      </rPr>
      <t>G</t>
    </r>
    <r>
      <rPr>
        <vertAlign val="subscript"/>
        <sz val="10"/>
        <color indexed="8"/>
        <rFont val="Calibri"/>
        <family val="2"/>
        <charset val="204"/>
      </rPr>
      <t>t</t>
    </r>
  </si>
  <si>
    <t>Доля гос. инвестиций в доходах бюджета, %</t>
  </si>
  <si>
    <t>Government investments to total revenue (invetment survey), %</t>
  </si>
  <si>
    <t>Реальные темпы роста добыча энергетических материалов</t>
  </si>
  <si>
    <t xml:space="preserve"> </t>
  </si>
  <si>
    <t>Курс доллара</t>
  </si>
  <si>
    <t xml:space="preserve">Розничная и оптовая торговля </t>
  </si>
  <si>
    <t xml:space="preserve">Оптовая торговля </t>
  </si>
  <si>
    <t>Розничная торговля, млн. сомони</t>
  </si>
  <si>
    <t>2003=100%</t>
  </si>
  <si>
    <t>Платные услуги, млн. сомони</t>
  </si>
  <si>
    <t>Платные услуги населения, млн. сомони</t>
  </si>
  <si>
    <t>в ценах 2009</t>
  </si>
  <si>
    <t>Домашние хозяйства</t>
  </si>
  <si>
    <t>Выпуск</t>
  </si>
  <si>
    <t>Промежуточное потребление</t>
  </si>
  <si>
    <t xml:space="preserve">Чистые налоги </t>
  </si>
  <si>
    <t>Валовая добавленная стоимость</t>
  </si>
  <si>
    <t>Чистые налоги на производство и импорт</t>
  </si>
  <si>
    <t>Валовая прибыль (валовая смешенный доход)</t>
  </si>
  <si>
    <t xml:space="preserve">    - без чистых налогов</t>
  </si>
  <si>
    <t>Заработная плата и транферты из-за рубежа, в том числе:</t>
  </si>
  <si>
    <t>Государство и НКО</t>
  </si>
  <si>
    <t>Нефинансовые и финансовые предприятия</t>
  </si>
  <si>
    <t>Из зарубежа</t>
  </si>
  <si>
    <t>Итого: зарплата и прибыль</t>
  </si>
  <si>
    <t>Доходы от собственности</t>
  </si>
  <si>
    <t>Текущие трансферты</t>
  </si>
  <si>
    <t>Социальные трансферты в натуральной форме</t>
  </si>
  <si>
    <t>ИТОГО ДОХОДЫ</t>
  </si>
  <si>
    <t>Налоги</t>
  </si>
  <si>
    <t>Располагаемые доходы (вкл. субсидии)</t>
  </si>
  <si>
    <t>Располагаемые доходы денежные</t>
  </si>
  <si>
    <t>Фактическое конечное потребление</t>
  </si>
  <si>
    <t>Расходы на конечное потребление</t>
  </si>
  <si>
    <t xml:space="preserve">  - в том числе рыночные</t>
  </si>
  <si>
    <t>Склонность к потреблению розничной торговли</t>
  </si>
  <si>
    <t>Склонность к потреблению платных услуг</t>
  </si>
  <si>
    <t xml:space="preserve">    - склонность к потреблению (без прибыли)</t>
  </si>
  <si>
    <t xml:space="preserve">    - склонность к потреблению (без прибыли и соцтранфертов)</t>
  </si>
  <si>
    <t>Валовое сбережение</t>
  </si>
  <si>
    <t>Валовое накопленое основного капитала</t>
  </si>
  <si>
    <t>Чистое кредитование и статистическое расхождение</t>
  </si>
  <si>
    <t>Распологаемые доходы, реальные, %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</si>
  <si>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</si>
  <si>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Экспорт ТОВАРОВ И УСЛУГ (млн. долл.)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</si>
  <si>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Serv,t</t>
    </r>
  </si>
  <si>
    <t>Экспорт услуг, млн.долл.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</si>
  <si>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</si>
  <si>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Экспорт товаров ФОБ, млн.долл.</t>
  </si>
  <si>
    <t xml:space="preserve">    Алюминий первичный</t>
  </si>
  <si>
    <t xml:space="preserve">    Готовые изделия из алюминия, включая отходы</t>
  </si>
  <si>
    <t xml:space="preserve">    Хлопок-волокно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</si>
  <si>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FV,t</t>
    </r>
  </si>
  <si>
    <t xml:space="preserve">    Фрукты и овощи</t>
  </si>
  <si>
    <t xml:space="preserve">    Электричество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</si>
  <si>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</si>
  <si>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Прочие товары (вкл. неорг.торг.)</t>
  </si>
  <si>
    <t>Экспорт товаров в физическом выражении</t>
  </si>
  <si>
    <t xml:space="preserve">    Алюминий первичный, тонн</t>
  </si>
  <si>
    <r>
      <t>qEX</t>
    </r>
    <r>
      <rPr>
        <i/>
        <vertAlign val="subscript"/>
        <sz val="10"/>
        <color indexed="8"/>
        <rFont val="Calibri"/>
        <family val="2"/>
        <charset val="204"/>
      </rPr>
      <t>Cot,t</t>
    </r>
  </si>
  <si>
    <t xml:space="preserve">    Хлопок-волокно, тонн</t>
  </si>
  <si>
    <r>
      <t>qEX</t>
    </r>
    <r>
      <rPr>
        <i/>
        <vertAlign val="subscript"/>
        <sz val="10"/>
        <color indexed="8"/>
        <rFont val="Calibri"/>
        <family val="2"/>
        <charset val="204"/>
      </rPr>
      <t>FV,t</t>
    </r>
  </si>
  <si>
    <t xml:space="preserve">    Фрукты и овощи, тонн</t>
  </si>
  <si>
    <t xml:space="preserve">    Электричество, млн. кВт-часов</t>
  </si>
  <si>
    <r>
      <t>idxqEX</t>
    </r>
    <r>
      <rPr>
        <i/>
        <vertAlign val="superscript"/>
        <sz val="10"/>
        <color indexed="8"/>
        <rFont val="Calibri"/>
        <family val="2"/>
        <charset val="204"/>
      </rPr>
      <t>2003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</si>
  <si>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Имплицитный индекс объемов прочего экспорта товаров и услуг, 2003=100</t>
  </si>
  <si>
    <t>Экспортные цены на товары</t>
  </si>
  <si>
    <t xml:space="preserve">    Алюминий первичный, USD/тонн</t>
  </si>
  <si>
    <r>
      <t>pEX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Cot,t</t>
    </r>
  </si>
  <si>
    <t xml:space="preserve">    Хлопок-волокно, USD/тонн</t>
  </si>
  <si>
    <r>
      <t>pEX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FV,t</t>
    </r>
  </si>
  <si>
    <t xml:space="preserve">    Фрукты и овощи, USD/тонн</t>
  </si>
  <si>
    <r>
      <t>idxdefEX</t>
    </r>
    <r>
      <rPr>
        <i/>
        <vertAlign val="superscript"/>
        <sz val="10"/>
        <color indexed="8"/>
        <rFont val="Calibri"/>
        <family val="2"/>
        <charset val="204"/>
      </rPr>
      <t>US,2003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</si>
  <si>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Имплицитный индекс цен экспорта прочих товаров и услуг, 2000=100</t>
  </si>
  <si>
    <t>Справочно:</t>
  </si>
  <si>
    <r>
      <t>gEX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</si>
  <si>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Темпы роста физобъема экспорта товаров и услуг, %</t>
  </si>
  <si>
    <r>
      <t>gEX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</si>
  <si>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Темпы роста физобъема товаров, %</t>
  </si>
  <si>
    <r>
      <t>defEX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</si>
  <si>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Дефлятор экспорта товаров и услуг, %</t>
  </si>
  <si>
    <r>
      <t>defEX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</si>
  <si>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Дефлятор экспорта товаров, %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</si>
  <si>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</si>
  <si>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Импорт ТОВАРОВ И УСЛУГ (млн. долл.)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</si>
  <si>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Serv,t</t>
    </r>
  </si>
  <si>
    <t>Импорт услуг, млн.долл.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</si>
  <si>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</si>
  <si>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Импорт товаов ФОБ, млн.долл.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</si>
  <si>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Wh,t</t>
    </r>
  </si>
  <si>
    <t xml:space="preserve">    Пшеница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</si>
  <si>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Oil,t</t>
    </r>
  </si>
  <si>
    <t xml:space="preserve">    Нефтепродукты (c учетом бензина)</t>
  </si>
  <si>
    <t xml:space="preserve">    Бензин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</si>
  <si>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</si>
  <si>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  Электроэнергия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</si>
  <si>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Gas,t</t>
    </r>
  </si>
  <si>
    <t xml:space="preserve">    Природный газ</t>
  </si>
  <si>
    <t xml:space="preserve">    Глинозем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</si>
  <si>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Fl,t</t>
    </r>
  </si>
  <si>
    <t xml:space="preserve">    МУКА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</si>
  <si>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</si>
  <si>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Прочие товары (вкл. неорг.торг. и переоц. СИФ-ФОБ)</t>
  </si>
  <si>
    <t>Сжиженный газ</t>
  </si>
  <si>
    <t>Дизтопливо</t>
  </si>
  <si>
    <t>Керосин</t>
  </si>
  <si>
    <t>Импорт товаров в физическом выражении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</si>
  <si>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Wh,t</t>
    </r>
  </si>
  <si>
    <t xml:space="preserve">    Пшеница, т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</si>
  <si>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Oil,t</t>
    </r>
  </si>
  <si>
    <t xml:space="preserve">    Нефтепродукты (c учетом бензина), т</t>
  </si>
  <si>
    <t xml:space="preserve">    Бензин, т</t>
  </si>
  <si>
    <t xml:space="preserve">    Электроэнергия, млн кВт/часов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</si>
  <si>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Gas,t</t>
    </r>
  </si>
  <si>
    <t xml:space="preserve">    Природный газ, млн.куб.м</t>
  </si>
  <si>
    <t xml:space="preserve">    Глинозем, т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</si>
  <si>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Fl,t</t>
    </r>
  </si>
  <si>
    <t xml:space="preserve">    МУКА, т</t>
  </si>
  <si>
    <r>
      <t>idxqIM</t>
    </r>
    <r>
      <rPr>
        <i/>
        <vertAlign val="superscript"/>
        <sz val="10"/>
        <color indexed="8"/>
        <rFont val="Calibri"/>
        <family val="2"/>
        <charset val="204"/>
      </rPr>
      <t>2003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</si>
  <si>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Имплицитный индекс объемов прочего импорта товаров и услуг, 2003=100</t>
  </si>
  <si>
    <t>Цены на импортные товары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</si>
  <si>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Wh,t</t>
    </r>
  </si>
  <si>
    <t xml:space="preserve">    Пшеница, долл./т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</si>
  <si>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Oil,t</t>
    </r>
  </si>
  <si>
    <t xml:space="preserve">    Нефтепродукты (c УЧЕТОМ бензина), долл./т</t>
  </si>
  <si>
    <t xml:space="preserve">    Бензин, долл./т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</si>
  <si>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</si>
  <si>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  Электроэнергия, долл./КВт-час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</si>
  <si>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Gas,t</t>
    </r>
  </si>
  <si>
    <t xml:space="preserve">    Природный газ, долл./тыс.куб.м</t>
  </si>
  <si>
    <t xml:space="preserve">    Глинозем, долл./т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</si>
  <si>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Fl,t</t>
    </r>
  </si>
  <si>
    <t xml:space="preserve">    МУКА, долл./т</t>
  </si>
  <si>
    <r>
      <t>idxdefIM</t>
    </r>
    <r>
      <rPr>
        <i/>
        <vertAlign val="superscript"/>
        <sz val="10"/>
        <color indexed="8"/>
        <rFont val="Calibri"/>
        <family val="2"/>
        <charset val="204"/>
      </rPr>
      <t>US,2003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</si>
  <si>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Имплицитный индекс цен импорта прочих товаров и услуг, 2000=100</t>
  </si>
  <si>
    <r>
      <t>gIM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</si>
  <si>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Темпы роста физобъема импорта товаров и услуг, %</t>
  </si>
  <si>
    <r>
      <t>gIM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</si>
  <si>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r>
      <t>defIM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</si>
  <si>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Цены импорта товаров и услуг, %</t>
  </si>
  <si>
    <r>
      <t>defIM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</si>
  <si>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Цены импорта товаров, %</t>
  </si>
  <si>
    <t>Цены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</si>
  <si>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t</t>
    </r>
  </si>
  <si>
    <t>Инфляция, в т.ч., факт - сргод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</si>
  <si>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Goods,t</t>
    </r>
  </si>
  <si>
    <t xml:space="preserve">  все товары, в том числе: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</si>
  <si>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Food,t</t>
    </r>
  </si>
  <si>
    <t>продовольсвтенные товары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</si>
  <si>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nonFood,t</t>
    </r>
  </si>
  <si>
    <t>непродовольственные товары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</si>
  <si>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Services,t</t>
    </r>
  </si>
  <si>
    <t>платные услуги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</si>
  <si>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Utli,t</t>
    </r>
  </si>
  <si>
    <t xml:space="preserve">     в т.ч. ЖКХ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</si>
  <si>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Foods w/o Agr ,t</t>
    </r>
  </si>
  <si>
    <t>Продовольствие без овощей и фруктов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</si>
  <si>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Agr ,t</t>
    </r>
  </si>
  <si>
    <t>Фрукты и овощи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</si>
  <si>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Gas ,t</t>
    </r>
  </si>
  <si>
    <t>Бензин</t>
  </si>
  <si>
    <r>
      <t>dCPI</t>
    </r>
    <r>
      <rPr>
        <i/>
        <vertAlign val="subscript"/>
        <sz val="11"/>
        <color indexed="8"/>
        <rFont val="Calibri"/>
        <family val="2"/>
      </rPr>
      <t>t</t>
    </r>
  </si>
  <si>
    <t>ИПЦ, в том числе: (дек/дек), факт</t>
  </si>
  <si>
    <r>
      <t>dCPI</t>
    </r>
    <r>
      <rPr>
        <i/>
        <vertAlign val="subscript"/>
        <sz val="11"/>
        <color indexed="8"/>
        <rFont val="Calibri"/>
        <family val="2"/>
      </rPr>
      <t>Goods,t</t>
    </r>
  </si>
  <si>
    <t>Все товары, в том числе:</t>
  </si>
  <si>
    <r>
      <t>dCPI</t>
    </r>
    <r>
      <rPr>
        <i/>
        <vertAlign val="subscript"/>
        <sz val="11"/>
        <color indexed="8"/>
        <rFont val="Calibri"/>
        <family val="2"/>
      </rPr>
      <t>Food,t</t>
    </r>
  </si>
  <si>
    <t xml:space="preserve">    продтовары, включая алкогольные напитки</t>
  </si>
  <si>
    <r>
      <t>dCPI</t>
    </r>
    <r>
      <rPr>
        <i/>
        <vertAlign val="subscript"/>
        <sz val="11"/>
        <color indexed="8"/>
        <rFont val="Calibri"/>
        <family val="2"/>
      </rPr>
      <t>nonFood,t</t>
    </r>
  </si>
  <si>
    <t xml:space="preserve">    непродовольственные товары</t>
  </si>
  <si>
    <r>
      <t>dCPI</t>
    </r>
    <r>
      <rPr>
        <i/>
        <vertAlign val="subscript"/>
        <sz val="11"/>
        <color indexed="8"/>
        <rFont val="Calibri"/>
        <family val="2"/>
      </rPr>
      <t>Services,t</t>
    </r>
  </si>
  <si>
    <t>Услуги</t>
  </si>
  <si>
    <t>нац. Банк</t>
  </si>
  <si>
    <t>ИПЦ, ср. годовой, расчетный</t>
  </si>
  <si>
    <t xml:space="preserve"> Все товары, в том числе:</t>
  </si>
  <si>
    <t xml:space="preserve"> Услуги</t>
  </si>
  <si>
    <t>Веса</t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</si>
  <si>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Food w/o Agr ,t</t>
    </r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</si>
  <si>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Agr ,t</t>
    </r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</si>
  <si>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 xml:space="preserve"> nonFood w/o gas, t</t>
    </r>
  </si>
  <si>
    <t>Непродовольственные товары</t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</si>
  <si>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 xml:space="preserve"> gas, t</t>
    </r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</si>
  <si>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Services, t</t>
    </r>
  </si>
  <si>
    <t>Услуги, в т.ч.</t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</si>
  <si>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Util, t</t>
    </r>
  </si>
  <si>
    <t xml:space="preserve">      ЖКХ</t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</si>
  <si>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Transport, t</t>
    </r>
  </si>
  <si>
    <t xml:space="preserve">      Транспорт</t>
  </si>
  <si>
    <t>ВВП в рыночных ценах, млн. сомони</t>
  </si>
  <si>
    <t>Реальный рост ВВП, %</t>
  </si>
  <si>
    <t>Дефлятор ВВП, %</t>
  </si>
  <si>
    <t>ВВП в рыночных ценах 2009 года</t>
  </si>
  <si>
    <t>ВВП на душу населения, долл. США</t>
  </si>
  <si>
    <t>ВВП на душу населения, в сомони</t>
  </si>
  <si>
    <t>Чистые косвенные налоги</t>
  </si>
  <si>
    <t>ВВП в основных ценах</t>
  </si>
  <si>
    <t xml:space="preserve">         Сельское хозяйство и рыболовство</t>
  </si>
  <si>
    <t xml:space="preserve">         Промышленность</t>
  </si>
  <si>
    <t xml:space="preserve">         Строительство</t>
  </si>
  <si>
    <t xml:space="preserve">         Прочие товары</t>
  </si>
  <si>
    <t xml:space="preserve">            Розничная и оптовая торговля</t>
  </si>
  <si>
    <t xml:space="preserve">            Транспорт и связь </t>
  </si>
  <si>
    <t xml:space="preserve">         Прочие услуги (остатком)</t>
  </si>
  <si>
    <t xml:space="preserve">    Товары</t>
  </si>
  <si>
    <t xml:space="preserve">    Услуги</t>
  </si>
  <si>
    <t>ВВП в рыночных ценах, %</t>
  </si>
  <si>
    <t>В постоянных ценах 2009 года, млн. сомони</t>
  </si>
  <si>
    <t>Дефляторы, %</t>
  </si>
  <si>
    <t>Товары</t>
  </si>
  <si>
    <t>структура ВВП</t>
  </si>
  <si>
    <t>ВВП по использованию</t>
  </si>
  <si>
    <t>Конечное потребление</t>
  </si>
  <si>
    <t xml:space="preserve">  - населения</t>
  </si>
  <si>
    <t xml:space="preserve">        - в т.ч. рыночный</t>
  </si>
  <si>
    <t xml:space="preserve">       - в т.ч.  натуральное</t>
  </si>
  <si>
    <t xml:space="preserve">  - государства</t>
  </si>
  <si>
    <t>организации, обслуживающие домашние хозяйства</t>
  </si>
  <si>
    <t xml:space="preserve">         - в т.ч. трансферты населению в натуральной форме</t>
  </si>
  <si>
    <t xml:space="preserve">Валовое накопление </t>
  </si>
  <si>
    <t xml:space="preserve">   - валовое накопление основного капитала</t>
  </si>
  <si>
    <t xml:space="preserve">   - изменение запасов</t>
  </si>
  <si>
    <t>Экспорт товаров и услуг</t>
  </si>
  <si>
    <t>(-) Импорт товаров и услуг</t>
  </si>
  <si>
    <t>чистый экспорт товаров и услуг</t>
  </si>
  <si>
    <t>статистическое расхождение</t>
  </si>
  <si>
    <t>ВВП по использованию, %</t>
  </si>
  <si>
    <t>Конечное потребление населения</t>
  </si>
  <si>
    <t>Конечное потребление государства</t>
  </si>
  <si>
    <t xml:space="preserve">Внутренний спрос </t>
  </si>
  <si>
    <t>ВВП по доходам (без трансфертов)</t>
  </si>
  <si>
    <t>Валовая прибыль и смешанные доходы</t>
  </si>
  <si>
    <t>Оплата труда наемных работников</t>
  </si>
  <si>
    <t xml:space="preserve">Заработной платы, полученной за границей и выплаченной нерезидентам </t>
  </si>
  <si>
    <t>Налоги на производства и импорт</t>
  </si>
  <si>
    <t>Субсидии на производство и импорт (-)</t>
  </si>
  <si>
    <t>Потребление домохозяйств / ВВП</t>
  </si>
  <si>
    <t>Потребление государства / ВВП</t>
  </si>
  <si>
    <t>Инвестиции в ОК / ВВП</t>
  </si>
  <si>
    <t>Транспорт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</si>
  <si>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C</t>
    </r>
    <r>
      <rPr>
        <i/>
        <vertAlign val="subscript"/>
        <sz val="10"/>
        <color indexed="8"/>
        <rFont val="Calibri"/>
        <family val="2"/>
      </rPr>
      <t>t</t>
    </r>
  </si>
  <si>
    <r>
      <t>PROXY</t>
    </r>
    <r>
      <rPr>
        <i/>
        <vertAlign val="superscript"/>
        <sz val="10"/>
        <color indexed="8"/>
        <rFont val="Calibri"/>
        <family val="2"/>
        <charset val="204"/>
      </rPr>
      <t>TRAN</t>
    </r>
    <r>
      <rPr>
        <i/>
        <vertAlign val="subscript"/>
        <sz val="10"/>
        <color indexed="8"/>
        <rFont val="Calibri"/>
        <family val="2"/>
        <charset val="204"/>
      </rPr>
      <t>IND,t</t>
    </r>
  </si>
  <si>
    <t>Промышленное производство, превозимое автотранспортом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</si>
  <si>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C</t>
    </r>
    <r>
      <rPr>
        <i/>
        <vertAlign val="subscript"/>
        <sz val="10"/>
        <color indexed="8"/>
        <rFont val="Calibri"/>
        <family val="2"/>
      </rPr>
      <t>M, t</t>
    </r>
  </si>
  <si>
    <t xml:space="preserve"> - в т.ч. авто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</si>
  <si>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C</t>
    </r>
    <r>
      <rPr>
        <i/>
        <vertAlign val="subscript"/>
        <sz val="10"/>
        <color indexed="8"/>
        <rFont val="Calibri"/>
        <family val="2"/>
      </rPr>
      <t>Other, t</t>
    </r>
  </si>
  <si>
    <t xml:space="preserve"> - прочее</t>
  </si>
  <si>
    <r>
      <t>gTRAN</t>
    </r>
    <r>
      <rPr>
        <i/>
        <vertAlign val="superscript"/>
        <sz val="10"/>
        <color indexed="8"/>
        <rFont val="Calibri"/>
        <family val="2"/>
        <charset val="204"/>
      </rPr>
      <t>C</t>
    </r>
    <r>
      <rPr>
        <i/>
        <vertAlign val="subscript"/>
        <sz val="10"/>
        <color indexed="8"/>
        <rFont val="Calibri"/>
        <family val="2"/>
      </rPr>
      <t>, t</t>
    </r>
  </si>
  <si>
    <t xml:space="preserve"> - темпы роста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</si>
  <si>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P</t>
    </r>
    <r>
      <rPr>
        <i/>
        <vertAlign val="subscript"/>
        <sz val="10"/>
        <color indexed="8"/>
        <rFont val="Calibri"/>
        <family val="2"/>
      </rPr>
      <t>t</t>
    </r>
  </si>
  <si>
    <t>Перевозка пассажиров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</si>
  <si>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P</t>
    </r>
    <r>
      <rPr>
        <i/>
        <vertAlign val="subscript"/>
        <sz val="10"/>
        <color indexed="8"/>
        <rFont val="Calibri"/>
        <family val="2"/>
      </rPr>
      <t>M, t</t>
    </r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</si>
  <si>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P</t>
    </r>
    <r>
      <rPr>
        <i/>
        <vertAlign val="subscript"/>
        <sz val="10"/>
        <color indexed="8"/>
        <rFont val="Calibri"/>
        <family val="2"/>
      </rPr>
      <t>Other, t</t>
    </r>
  </si>
  <si>
    <r>
      <t>gTRAN</t>
    </r>
    <r>
      <rPr>
        <i/>
        <vertAlign val="superscript"/>
        <sz val="10"/>
        <color indexed="8"/>
        <rFont val="Calibri"/>
        <family val="2"/>
        <charset val="204"/>
      </rPr>
      <t>P</t>
    </r>
    <r>
      <rPr>
        <i/>
        <vertAlign val="subscript"/>
        <sz val="10"/>
        <color indexed="8"/>
        <rFont val="Calibri"/>
        <family val="2"/>
      </rPr>
      <t>t</t>
    </r>
  </si>
  <si>
    <r>
      <t>INV</t>
    </r>
    <r>
      <rPr>
        <i/>
        <vertAlign val="subscript"/>
        <sz val="10"/>
        <color indexed="8"/>
        <rFont val="Calibri"/>
        <family val="2"/>
      </rPr>
      <t>t</t>
    </r>
  </si>
  <si>
    <t>Инвестиции в ОК</t>
  </si>
  <si>
    <t>за счет бюджета</t>
  </si>
  <si>
    <t>в. том числе  цент.кап.влож.</t>
  </si>
  <si>
    <t>частные</t>
  </si>
  <si>
    <t>совместные</t>
  </si>
  <si>
    <t>иностранные инвестиции</t>
  </si>
  <si>
    <r>
      <t>CONSTR</t>
    </r>
    <r>
      <rPr>
        <i/>
        <vertAlign val="subscript"/>
        <sz val="10"/>
        <color indexed="8"/>
        <rFont val="Calibri"/>
        <family val="2"/>
      </rPr>
      <t>t</t>
    </r>
  </si>
  <si>
    <t>Строительство</t>
  </si>
  <si>
    <r>
      <t>defCONSTR</t>
    </r>
    <r>
      <rPr>
        <i/>
        <vertAlign val="subscript"/>
        <sz val="10"/>
        <color indexed="8"/>
        <rFont val="Calibri"/>
        <family val="2"/>
      </rPr>
      <t>t</t>
    </r>
  </si>
  <si>
    <t xml:space="preserve">    - дефлятор</t>
  </si>
  <si>
    <r>
      <t>gCONSTR</t>
    </r>
    <r>
      <rPr>
        <i/>
        <vertAlign val="subscript"/>
        <sz val="10"/>
        <color indexed="8"/>
        <rFont val="Calibri"/>
        <family val="2"/>
      </rPr>
      <t>t</t>
    </r>
  </si>
  <si>
    <t xml:space="preserve">    - темпы роста</t>
  </si>
  <si>
    <t>соотношение строительство/инвестиции в ОК</t>
  </si>
  <si>
    <r>
      <t>GDP</t>
    </r>
    <r>
      <rPr>
        <i/>
        <vertAlign val="subscript"/>
        <sz val="10"/>
        <color indexed="8"/>
        <rFont val="Calibri"/>
        <family val="2"/>
      </rPr>
      <t>mp,t</t>
    </r>
  </si>
  <si>
    <r>
      <t>gGDP</t>
    </r>
    <r>
      <rPr>
        <i/>
        <vertAlign val="subscript"/>
        <sz val="10"/>
        <color indexed="8"/>
        <rFont val="Calibri"/>
        <family val="2"/>
      </rPr>
      <t>t</t>
    </r>
  </si>
  <si>
    <r>
      <t>defGDP</t>
    </r>
    <r>
      <rPr>
        <i/>
        <vertAlign val="subscript"/>
        <sz val="10"/>
        <color indexed="8"/>
        <rFont val="Calibri"/>
        <family val="2"/>
      </rPr>
      <t>t</t>
    </r>
  </si>
  <si>
    <r>
      <t>GDP</t>
    </r>
    <r>
      <rPr>
        <i/>
        <vertAlign val="superscript"/>
        <sz val="10"/>
        <color indexed="8"/>
        <rFont val="Calibri"/>
        <family val="2"/>
      </rPr>
      <t>2009</t>
    </r>
    <r>
      <rPr>
        <i/>
        <vertAlign val="subscript"/>
        <sz val="10"/>
        <color indexed="8"/>
        <rFont val="Calibri"/>
        <family val="2"/>
      </rPr>
      <t>mp,t</t>
    </r>
  </si>
  <si>
    <r>
      <t>GDPPC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</si>
  <si>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mp,t</t>
    </r>
  </si>
  <si>
    <r>
      <t>gGDP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gGDP</t>
    </r>
    <r>
      <rPr>
        <vertAlign val="subscript"/>
        <sz val="11"/>
        <color indexed="8"/>
        <rFont val="Calibri"/>
        <family val="2"/>
      </rPr>
      <t>mp,t</t>
    </r>
  </si>
  <si>
    <r>
      <t>defGDP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defGDP</t>
    </r>
    <r>
      <rPr>
        <vertAlign val="subscript"/>
        <sz val="11"/>
        <color indexed="8"/>
        <rFont val="Calibri"/>
        <family val="2"/>
      </rPr>
      <t>mp,t</t>
    </r>
  </si>
  <si>
    <r>
      <t>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mp,t</t>
    </r>
  </si>
  <si>
    <r>
      <t>GDPPC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/POP</t>
    </r>
    <r>
      <rPr>
        <vertAlign val="subscript"/>
        <sz val="11"/>
        <color indexed="8"/>
        <rFont val="Calibri"/>
        <family val="2"/>
      </rPr>
      <t>t</t>
    </r>
  </si>
  <si>
    <r>
      <t>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+GDP</t>
    </r>
    <r>
      <rPr>
        <vertAlign val="subscript"/>
        <sz val="11"/>
        <color indexed="8"/>
        <rFont val="Calibri"/>
        <family val="2"/>
      </rPr>
      <t>fc,t</t>
    </r>
  </si>
  <si>
    <r>
      <t>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NIT</t>
    </r>
    <r>
      <rPr>
        <vertAlign val="subscript"/>
        <sz val="11"/>
        <color indexed="8"/>
        <rFont val="Calibri"/>
        <family val="2"/>
      </rPr>
      <t>t</t>
    </r>
  </si>
  <si>
    <r>
      <t>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 xml:space="preserve">  =  (VA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)</t>
    </r>
  </si>
  <si>
    <r>
      <t>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·defVA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/10000</t>
    </r>
  </si>
  <si>
    <r>
      <t>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CDE,t</t>
    </r>
  </si>
  <si>
    <r>
      <t>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0,58·Inv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</si>
  <si>
    <r>
      <t>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CDE,t-1</t>
    </r>
  </si>
  <si>
    <r>
      <t>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 xml:space="preserve">  =  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·0,447-750</t>
    </r>
  </si>
  <si>
    <r>
      <t>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+(RET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+SER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-RET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-SER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)·0,24</t>
    </r>
  </si>
  <si>
    <r>
      <t>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·(SER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/SER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</si>
  <si>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GoodsO,t</t>
    </r>
  </si>
  <si>
    <r>
      <t>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-VA</t>
    </r>
    <r>
      <rPr>
        <vertAlign val="subscript"/>
        <sz val="11"/>
        <color indexed="8"/>
        <rFont val="Calibri"/>
        <family val="2"/>
      </rPr>
      <t>Goods,t</t>
    </r>
  </si>
  <si>
    <r>
      <t>gGDP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(NIT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·GDP</t>
    </r>
    <r>
      <rPr>
        <vertAlign val="subscript"/>
        <sz val="11"/>
        <color indexed="8"/>
        <rFont val="Calibri"/>
        <family val="2"/>
      </rPr>
      <t>fc,t-1</t>
    </r>
    <r>
      <rPr>
        <sz val="11"/>
        <color theme="1"/>
        <rFont val="Calibri"/>
        <family val="2"/>
        <scheme val="minor"/>
      </rPr>
      <t>)/(NIT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+GDP</t>
    </r>
    <r>
      <rPr>
        <vertAlign val="subscript"/>
        <sz val="11"/>
        <color indexed="8"/>
        <rFont val="Calibri"/>
        <family val="2"/>
      </rPr>
      <t>fc,t-1</t>
    </r>
    <r>
      <rPr>
        <sz val="11"/>
        <color theme="1"/>
        <rFont val="Calibri"/>
        <family val="2"/>
        <scheme val="minor"/>
      </rPr>
      <t>)</t>
    </r>
  </si>
  <si>
    <r>
      <t>gNIT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/100)^1,00·100</t>
    </r>
  </si>
  <si>
    <r>
      <t>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 xml:space="preserve">  =  (gVA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)/(VA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)</t>
    </r>
  </si>
  <si>
    <r>
      <t>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 xml:space="preserve">  =  (1+gVA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/100)·100</t>
    </r>
  </si>
  <si>
    <r>
      <t>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 xml:space="preserve">  =  gVA</t>
    </r>
    <r>
      <rPr>
        <vertAlign val="subscript"/>
        <sz val="11"/>
        <color indexed="8"/>
        <rFont val="Calibri"/>
        <family val="2"/>
      </rPr>
      <t>CDE,t</t>
    </r>
  </si>
  <si>
    <r>
      <t>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gCONSTR</t>
    </r>
    <r>
      <rPr>
        <vertAlign val="subscript"/>
        <sz val="11"/>
        <color indexed="8"/>
        <rFont val="Calibri"/>
        <family val="2"/>
      </rPr>
      <t>t</t>
    </r>
  </si>
  <si>
    <r>
      <t>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 xml:space="preserve">  =  gVA</t>
    </r>
    <r>
      <rPr>
        <vertAlign val="subscript"/>
        <sz val="11"/>
        <color indexed="8"/>
        <rFont val="Calibri"/>
        <family val="2"/>
      </rPr>
      <t>CDE,t</t>
    </r>
  </si>
  <si>
    <r>
      <t>gVA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/defVA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·10000</t>
    </r>
  </si>
  <si>
    <r>
      <t>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 xml:space="preserve">  =  (VA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)^0,9·100</t>
    </r>
  </si>
  <si>
    <r>
      <t>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 xml:space="preserve">  =  gVA</t>
    </r>
    <r>
      <rPr>
        <vertAlign val="subscript"/>
        <sz val="11"/>
        <color indexed="8"/>
        <rFont val="Calibri"/>
        <family val="2"/>
      </rPr>
      <t>Other,t</t>
    </r>
  </si>
  <si>
    <r>
      <t>gVA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)/(VA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)</t>
    </r>
  </si>
  <si>
    <r>
      <t>gVA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 xml:space="preserve">  =  (gVA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)/VA</t>
    </r>
    <r>
      <rPr>
        <vertAlign val="subscript"/>
        <sz val="11"/>
        <color indexed="8"/>
        <rFont val="Calibri"/>
        <family val="2"/>
      </rPr>
      <t>Servces,t-1</t>
    </r>
  </si>
  <si>
    <r>
      <t>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mp,t-1</t>
    </r>
    <r>
      <rPr>
        <sz val="11"/>
        <color theme="1"/>
        <rFont val="Calibri"/>
        <family val="2"/>
        <scheme val="minor"/>
      </rPr>
      <t>·gGDP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/100</t>
    </r>
  </si>
  <si>
    <r>
      <t>NIT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NIT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</t>
    </r>
  </si>
  <si>
    <r>
      <t>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fc,t-1</t>
    </r>
    <r>
      <rPr>
        <sz val="11"/>
        <color theme="1"/>
        <rFont val="Calibri"/>
        <family val="2"/>
        <scheme val="minor"/>
      </rPr>
      <t>·gGDP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</si>
  <si>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</si>
  <si>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</si>
  <si>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</si>
  <si>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</si>
  <si>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</si>
  <si>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</si>
  <si>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</si>
  <si>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</si>
  <si>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Services,t-1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>/100</t>
    </r>
  </si>
  <si>
    <r>
      <t>defGDP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/GDP</t>
    </r>
    <r>
      <rPr>
        <vertAlign val="subscript"/>
        <sz val="11"/>
        <color indexed="8"/>
        <rFont val="Calibri"/>
        <family val="2"/>
      </rPr>
      <t>mp,t-1</t>
    </r>
    <r>
      <rPr>
        <sz val="11"/>
        <color theme="1"/>
        <rFont val="Calibri"/>
        <family val="2"/>
        <scheme val="minor"/>
      </rPr>
      <t>/gGDP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·10000</t>
    </r>
  </si>
  <si>
    <r>
      <t>defNIT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/NIT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/gNIT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·10000</t>
    </r>
  </si>
  <si>
    <r>
      <t>defGDP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/GDP</t>
    </r>
    <r>
      <rPr>
        <vertAlign val="subscript"/>
        <sz val="11"/>
        <color indexed="8"/>
        <rFont val="Calibri"/>
        <family val="2"/>
      </rPr>
      <t>fc,t-1</t>
    </r>
    <r>
      <rPr>
        <sz val="11"/>
        <color theme="1"/>
        <rFont val="Calibri"/>
        <family val="2"/>
        <scheme val="minor"/>
      </rPr>
      <t>/gGDP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</si>
  <si>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 xml:space="preserve">  =  defVA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+100</t>
    </r>
  </si>
  <si>
    <r>
      <t>defVA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</si>
  <si>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</si>
  <si>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</si>
  <si>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 xml:space="preserve">  =  defRET</t>
    </r>
    <r>
      <rPr>
        <vertAlign val="subscript"/>
        <sz val="11"/>
        <color indexed="8"/>
        <rFont val="Calibri"/>
        <family val="2"/>
      </rPr>
      <t>t</t>
    </r>
  </si>
  <si>
    <r>
      <t>defVA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</si>
  <si>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</si>
  <si>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</si>
  <si>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Servces,t-1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>·10000</t>
    </r>
  </si>
  <si>
    <r>
      <t>FC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+C</t>
    </r>
    <r>
      <rPr>
        <vertAlign val="subscript"/>
        <sz val="11"/>
        <color indexed="8"/>
        <rFont val="Calibri"/>
        <family val="2"/>
      </rPr>
      <t>H,t</t>
    </r>
  </si>
  <si>
    <r>
      <t>C</t>
    </r>
    <r>
      <rPr>
        <vertAlign val="subscript"/>
        <sz val="11"/>
        <color indexed="8"/>
        <rFont val="Calibri"/>
        <family val="2"/>
      </rPr>
      <t>H,t</t>
    </r>
    <r>
      <rPr>
        <sz val="11"/>
        <color theme="1"/>
        <rFont val="Calibri"/>
        <family val="2"/>
        <scheme val="minor"/>
      </rPr>
      <t xml:space="preserve">  =  C</t>
    </r>
    <r>
      <rPr>
        <vertAlign val="subscript"/>
        <sz val="11"/>
        <color indexed="8"/>
        <rFont val="Calibri"/>
        <family val="2"/>
      </rPr>
      <t>H,t-1</t>
    </r>
    <r>
      <rPr>
        <sz val="11"/>
        <color theme="1"/>
        <rFont val="Calibri"/>
        <family val="2"/>
        <scheme val="minor"/>
      </rPr>
      <t>·DI</t>
    </r>
    <r>
      <rPr>
        <vertAlign val="superscript"/>
        <sz val="11"/>
        <color indexed="8"/>
        <rFont val="Calibri"/>
        <family val="2"/>
      </rPr>
      <t>HH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/DI</t>
    </r>
    <r>
      <rPr>
        <vertAlign val="superscript"/>
        <sz val="11"/>
        <color indexed="8"/>
        <rFont val="Calibri"/>
        <family val="2"/>
      </rPr>
      <t>HH</t>
    </r>
    <r>
      <rPr>
        <vertAlign val="subscript"/>
        <sz val="11"/>
        <color indexed="8"/>
        <rFont val="Calibri"/>
        <family val="2"/>
      </rPr>
      <t>t-1</t>
    </r>
  </si>
  <si>
    <r>
      <t>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+SER</t>
    </r>
    <r>
      <rPr>
        <vertAlign val="subscript"/>
        <sz val="11"/>
        <color indexed="8"/>
        <rFont val="Calibri"/>
        <family val="2"/>
      </rPr>
      <t>t</t>
    </r>
  </si>
  <si>
    <r>
      <t>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C</t>
    </r>
    <r>
      <rPr>
        <vertAlign val="subscript"/>
        <sz val="11"/>
        <color indexed="8"/>
        <rFont val="Calibri"/>
        <family val="2"/>
      </rPr>
      <t>H,t</t>
    </r>
    <r>
      <rPr>
        <sz val="11"/>
        <color theme="1"/>
        <rFont val="Calibri"/>
        <family val="2"/>
        <scheme val="minor"/>
      </rPr>
      <t>-C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</si>
  <si>
    <r>
      <t>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(G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-G</t>
    </r>
    <r>
      <rPr>
        <vertAlign val="superscript"/>
        <sz val="11"/>
        <color indexed="8"/>
        <rFont val="Calibri"/>
        <family val="2"/>
      </rPr>
      <t>NTrr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)·GDP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/GDP</t>
    </r>
    <r>
      <rPr>
        <vertAlign val="subscript"/>
        <sz val="11"/>
        <color indexed="8"/>
        <rFont val="Calibri"/>
        <family val="2"/>
      </rPr>
      <t>mp,t-1</t>
    </r>
    <r>
      <rPr>
        <sz val="11"/>
        <color theme="1"/>
        <rFont val="Calibri"/>
        <family val="2"/>
        <scheme val="minor"/>
      </rPr>
      <t>+G</t>
    </r>
    <r>
      <rPr>
        <vertAlign val="superscript"/>
        <sz val="11"/>
        <color indexed="8"/>
        <rFont val="Calibri"/>
        <family val="2"/>
      </rPr>
      <t>NTrr</t>
    </r>
    <r>
      <rPr>
        <vertAlign val="subscript"/>
        <sz val="11"/>
        <color indexed="8"/>
        <rFont val="Calibri"/>
        <family val="2"/>
      </rPr>
      <t>t</t>
    </r>
  </si>
  <si>
    <r>
      <t>G</t>
    </r>
    <r>
      <rPr>
        <vertAlign val="superscript"/>
        <sz val="11"/>
        <color indexed="8"/>
        <rFont val="Calibri"/>
        <family val="2"/>
      </rPr>
      <t>NTrr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</t>
    </r>
    <r>
      <rPr>
        <vertAlign val="superscript"/>
        <sz val="11"/>
        <color indexed="8"/>
        <rFont val="Calibri"/>
        <family val="2"/>
      </rPr>
      <t>NAT</t>
    </r>
    <r>
      <rPr>
        <vertAlign val="subscript"/>
        <sz val="11"/>
        <color indexed="8"/>
        <rFont val="Calibri"/>
        <family val="2"/>
      </rPr>
      <t>G,t</t>
    </r>
  </si>
  <si>
    <r>
      <t>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-Ex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-Im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-FC</t>
    </r>
    <r>
      <rPr>
        <vertAlign val="subscript"/>
        <sz val="11"/>
        <color indexed="8"/>
        <rFont val="Calibri"/>
        <family val="2"/>
      </rPr>
      <t>,t</t>
    </r>
  </si>
  <si>
    <r>
      <t>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·0,97</t>
    </r>
  </si>
  <si>
    <r>
      <t>CiI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</si>
  <si>
    <r>
      <t>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)·er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</si>
  <si>
    <r>
      <t>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-(IM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)·er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</si>
  <si>
    <r>
      <t>gGDP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(gEx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+gIm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+gInv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</si>
  <si>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gC</t>
    </r>
    <r>
      <rPr>
        <vertAlign val="subscript"/>
        <sz val="11"/>
        <color indexed="8"/>
        <rFont val="Calibri"/>
        <family val="2"/>
      </rPr>
      <t>H,t</t>
    </r>
    <r>
      <rPr>
        <sz val="11"/>
        <color theme="1"/>
        <rFont val="Calibri"/>
        <family val="2"/>
        <scheme val="minor"/>
      </rPr>
      <t xml:space="preserve">  =  (gC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)/(C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</si>
  <si>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(RET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+SER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·gSER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)/(RET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+SER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</si>
  <si>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gC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gVA</t>
    </r>
    <r>
      <rPr>
        <vertAlign val="subscript"/>
        <sz val="11"/>
        <color indexed="8"/>
        <rFont val="Calibri"/>
        <family val="2"/>
      </rPr>
      <t>AB,t</t>
    </r>
  </si>
  <si>
    <r>
      <t>gG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/G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/(C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/gC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</t>
    </r>
  </si>
  <si>
    <r>
      <t>gInv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/Inv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/0,88·100</t>
    </r>
  </si>
  <si>
    <r>
      <t>gEx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gEX</t>
    </r>
    <r>
      <rPr>
        <vertAlign val="subscript"/>
        <sz val="11"/>
        <color indexed="8"/>
        <rFont val="Calibri"/>
        <family val="2"/>
      </rPr>
      <t>t</t>
    </r>
  </si>
  <si>
    <r>
      <t>gIm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gIM</t>
    </r>
    <r>
      <rPr>
        <vertAlign val="subscript"/>
        <sz val="11"/>
        <color indexed="8"/>
        <rFont val="Calibri"/>
        <family val="2"/>
      </rPr>
      <t>t</t>
    </r>
  </si>
  <si>
    <r>
      <t>gDD</t>
    </r>
    <r>
      <rPr>
        <vertAlign val="subscript"/>
        <sz val="11"/>
        <color indexed="8"/>
        <rFont val="Calibri"/>
        <family val="2"/>
      </rPr>
      <t>, t</t>
    </r>
    <r>
      <rPr>
        <sz val="11"/>
        <color theme="1"/>
        <rFont val="Calibri"/>
        <family val="2"/>
        <scheme val="minor"/>
      </rPr>
      <t xml:space="preserve">  =  (+gInv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)/(Inv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</si>
  <si>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Trans</t>
    </r>
    <r>
      <rPr>
        <vertAlign val="superscript"/>
        <sz val="11"/>
        <color indexed="8"/>
        <rFont val="Calibri"/>
        <family val="2"/>
      </rPr>
      <t>FOR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Trans</t>
    </r>
    <r>
      <rPr>
        <vertAlign val="superscript"/>
        <sz val="11"/>
        <color indexed="8"/>
        <rFont val="Calibri"/>
        <family val="2"/>
      </rPr>
      <t>FOR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/CT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·er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</si>
  <si>
    <t>Trade and Production--&gt;  Government</t>
  </si>
  <si>
    <t>GDP</t>
  </si>
  <si>
    <r>
      <t>Im</t>
    </r>
    <r>
      <rPr>
        <i/>
        <vertAlign val="superscript"/>
        <sz val="10"/>
        <color indexed="8"/>
        <rFont val="Calibri"/>
        <family val="2"/>
      </rPr>
      <t>NA</t>
    </r>
    <r>
      <rPr>
        <i/>
        <vertAlign val="subscript"/>
        <sz val="10"/>
        <color indexed="8"/>
        <rFont val="Calibri"/>
        <family val="2"/>
      </rPr>
      <t>,t</t>
    </r>
  </si>
  <si>
    <t>Import of Goods and services</t>
  </si>
  <si>
    <r>
      <t>Ex</t>
    </r>
    <r>
      <rPr>
        <i/>
        <vertAlign val="superscript"/>
        <sz val="10"/>
        <color indexed="8"/>
        <rFont val="Calibri"/>
        <family val="2"/>
      </rPr>
      <t>NA</t>
    </r>
    <r>
      <rPr>
        <i/>
        <vertAlign val="subscript"/>
        <sz val="10"/>
        <color indexed="8"/>
        <rFont val="Calibri"/>
        <family val="2"/>
      </rPr>
      <t>,t</t>
    </r>
  </si>
  <si>
    <t>Export of Goods and Services</t>
  </si>
  <si>
    <r>
      <t>FC</t>
    </r>
    <r>
      <rPr>
        <i/>
        <vertAlign val="subscript"/>
        <sz val="10"/>
        <color indexed="8"/>
        <rFont val="Calibri"/>
        <family val="2"/>
      </rPr>
      <t>,t</t>
    </r>
  </si>
  <si>
    <t>Final Consumption</t>
  </si>
  <si>
    <r>
      <t>C</t>
    </r>
    <r>
      <rPr>
        <i/>
        <vertAlign val="subscript"/>
        <sz val="10"/>
        <color indexed="8"/>
        <rFont val="Calibri"/>
        <family val="2"/>
      </rPr>
      <t>H,t</t>
    </r>
  </si>
  <si>
    <t>Private Consumption</t>
  </si>
  <si>
    <t>Government Wages and Salaries</t>
  </si>
  <si>
    <t xml:space="preserve">Government Revenule --&gt; Trade and Production </t>
  </si>
  <si>
    <r>
      <t>NIT</t>
    </r>
    <r>
      <rPr>
        <i/>
        <vertAlign val="subscript"/>
        <sz val="10"/>
        <rFont val="Calibri"/>
        <family val="2"/>
      </rPr>
      <t>t</t>
    </r>
  </si>
  <si>
    <r>
      <t>Inv</t>
    </r>
    <r>
      <rPr>
        <vertAlign val="superscript"/>
        <sz val="11"/>
        <color indexed="8"/>
        <rFont val="Calibri"/>
        <family val="2"/>
        <charset val="204"/>
      </rPr>
      <t>G</t>
    </r>
    <r>
      <rPr>
        <vertAlign val="subscript"/>
        <sz val="11"/>
        <color indexed="8"/>
        <rFont val="Calibri"/>
        <family val="2"/>
        <charset val="204"/>
      </rPr>
      <t>t</t>
    </r>
  </si>
  <si>
    <t xml:space="preserve">Гос. инвестиции, </t>
  </si>
  <si>
    <t>Trade and Production--&gt;  Balance of Payments</t>
  </si>
  <si>
    <r>
      <t>GDP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</si>
  <si>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t>ВВП в рыночных ценах, млн. долларов</t>
  </si>
  <si>
    <t>Balance of Payments--&gt; Trade and Production</t>
  </si>
  <si>
    <r>
      <t>CT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</si>
  <si>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t>Получено текущий трансфертов</t>
  </si>
  <si>
    <t>СЕЛЬСКОЕ ХОЗЯЙСТВО</t>
  </si>
  <si>
    <t>млн. Сомони</t>
  </si>
  <si>
    <t>темп роста</t>
  </si>
  <si>
    <t xml:space="preserve"> %</t>
  </si>
  <si>
    <t>дефлятор</t>
  </si>
  <si>
    <t>РАСТЕНИЕВОДСТВО</t>
  </si>
  <si>
    <t>ЖИВОТНОВОДСТВО</t>
  </si>
  <si>
    <t>Общая земельная площадь</t>
  </si>
  <si>
    <t>га</t>
  </si>
  <si>
    <r>
      <t>площадь орошаемых земель</t>
    </r>
    <r>
      <rPr>
        <sz val="12"/>
        <color theme="1"/>
        <rFont val="Calibri"/>
        <family val="2"/>
        <scheme val="minor"/>
      </rPr>
      <t xml:space="preserve"> (оби)</t>
    </r>
  </si>
  <si>
    <t>Всего СХ угодья</t>
  </si>
  <si>
    <t>в том числе,</t>
  </si>
  <si>
    <t>Пашня</t>
  </si>
  <si>
    <t>многолетние насождение</t>
  </si>
  <si>
    <t>сенокосы</t>
  </si>
  <si>
    <t>пастбища</t>
  </si>
  <si>
    <t>залежи</t>
  </si>
  <si>
    <t>Зерновые</t>
  </si>
  <si>
    <t>пос. площадь -га</t>
  </si>
  <si>
    <t>тыс. тонн</t>
  </si>
  <si>
    <t>Рост, %, тыс. тонн</t>
  </si>
  <si>
    <t>млн. сомони</t>
  </si>
  <si>
    <t>цена, сомони\тонну</t>
  </si>
  <si>
    <t>урожайность -ц/га</t>
  </si>
  <si>
    <t>урожайность стат.</t>
  </si>
  <si>
    <t xml:space="preserve"> пшеница</t>
  </si>
  <si>
    <t>цена</t>
  </si>
  <si>
    <t>хлопковолокно</t>
  </si>
  <si>
    <t>тонн</t>
  </si>
  <si>
    <t>Картошка</t>
  </si>
  <si>
    <t>Овощи</t>
  </si>
  <si>
    <t xml:space="preserve">Лук </t>
  </si>
  <si>
    <t>Бахчевые</t>
  </si>
  <si>
    <t>Фрукты</t>
  </si>
  <si>
    <t>Виноград</t>
  </si>
  <si>
    <t xml:space="preserve">пос. площадь для корм животных </t>
  </si>
  <si>
    <t>(ГА)</t>
  </si>
  <si>
    <t>продуктивность</t>
  </si>
  <si>
    <t>2. Животноводство</t>
  </si>
  <si>
    <r>
      <rPr>
        <b/>
        <sz val="10"/>
        <color theme="1"/>
        <rFont val="Calibri"/>
        <family val="2"/>
        <scheme val="minor"/>
      </rPr>
      <t xml:space="preserve">Мясо  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             (в живом весе)</t>
    </r>
  </si>
  <si>
    <t>тыс. голов</t>
  </si>
  <si>
    <t>крупный рогатый скот</t>
  </si>
  <si>
    <t>Яки</t>
  </si>
  <si>
    <t>тыс.голов</t>
  </si>
  <si>
    <t>овцы и козы</t>
  </si>
  <si>
    <t>тыс. поголовье</t>
  </si>
  <si>
    <t xml:space="preserve"> птица                                                            всех видов</t>
  </si>
  <si>
    <t xml:space="preserve"> коровы</t>
  </si>
  <si>
    <t>молоко</t>
  </si>
  <si>
    <t>срдг. удой от 1-й коровы - кг</t>
  </si>
  <si>
    <t>яйцо</t>
  </si>
  <si>
    <t>млн. штук</t>
  </si>
  <si>
    <t>яйценоскость кур, несушек штук</t>
  </si>
  <si>
    <t>шерсть</t>
  </si>
  <si>
    <t>срдг. Настриг от 1-й овцы - кг</t>
  </si>
  <si>
    <t>кокон</t>
  </si>
  <si>
    <t>мед</t>
  </si>
  <si>
    <t>от 1-й пчелосемьи - кг</t>
  </si>
  <si>
    <t xml:space="preserve">рыболовство </t>
  </si>
  <si>
    <t xml:space="preserve"> тонн</t>
  </si>
  <si>
    <t>qLYEl,t</t>
  </si>
  <si>
    <r>
      <t>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>+TRAN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Other, t</t>
    </r>
  </si>
  <si>
    <r>
      <t>PROXY</t>
    </r>
    <r>
      <rPr>
        <vertAlign val="superscript"/>
        <sz val="11"/>
        <color indexed="8"/>
        <rFont val="Calibri"/>
        <family val="2"/>
      </rPr>
      <t>TRAN</t>
    </r>
    <r>
      <rPr>
        <vertAlign val="subscript"/>
        <sz val="11"/>
        <color indexed="8"/>
        <rFont val="Calibri"/>
        <family val="2"/>
      </rPr>
      <t>IND,t</t>
    </r>
    <r>
      <rPr>
        <sz val="11"/>
        <color theme="1"/>
        <rFont val="Calibri"/>
        <family val="2"/>
        <scheme val="minor"/>
      </rPr>
      <t xml:space="preserve">  =  PROXY</t>
    </r>
    <r>
      <rPr>
        <vertAlign val="superscript"/>
        <sz val="11"/>
        <color indexed="8"/>
        <rFont val="Calibri"/>
        <family val="2"/>
      </rPr>
      <t>TRAN</t>
    </r>
    <r>
      <rPr>
        <vertAlign val="subscript"/>
        <sz val="11"/>
        <color indexed="8"/>
        <rFont val="Calibri"/>
        <family val="2"/>
      </rPr>
      <t>IND,t-1</t>
    </r>
    <r>
      <rPr>
        <sz val="11"/>
        <color theme="1"/>
        <rFont val="Calibri"/>
        <family val="2"/>
        <scheme val="minor"/>
      </rPr>
      <t>·((IND</t>
    </r>
    <r>
      <rPr>
        <vertAlign val="subscript"/>
        <sz val="11"/>
        <color indexed="8"/>
        <rFont val="Calibri"/>
        <family val="2"/>
      </rPr>
      <t>DBC, 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DBC, t</t>
    </r>
    <r>
      <rPr>
        <sz val="11"/>
        <color theme="1"/>
        <rFont val="Calibri"/>
        <family val="2"/>
        <scheme val="minor"/>
      </rPr>
      <t>+IND</t>
    </r>
    <r>
      <rPr>
        <vertAlign val="subscript"/>
        <sz val="11"/>
        <color indexed="8"/>
        <rFont val="Calibri"/>
        <family val="2"/>
      </rPr>
      <t>DA, 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DA, t</t>
    </r>
    <r>
      <rPr>
        <sz val="11"/>
        <color theme="1"/>
        <rFont val="Calibri"/>
        <family val="2"/>
        <scheme val="minor"/>
      </rPr>
      <t>+IND</t>
    </r>
    <r>
      <rPr>
        <vertAlign val="subscript"/>
        <sz val="11"/>
        <color indexed="8"/>
        <rFont val="Calibri"/>
        <family val="2"/>
      </rPr>
      <t>Dther, 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Dther, t</t>
    </r>
    <r>
      <rPr>
        <sz val="11"/>
        <color theme="1"/>
        <rFont val="Calibri"/>
        <family val="2"/>
        <scheme val="minor"/>
      </rPr>
      <t>)/(IND</t>
    </r>
    <r>
      <rPr>
        <vertAlign val="subscript"/>
        <sz val="11"/>
        <color indexed="8"/>
        <rFont val="Calibri"/>
        <family val="2"/>
      </rPr>
      <t>DBC, t-1</t>
    </r>
    <r>
      <rPr>
        <sz val="11"/>
        <color theme="1"/>
        <rFont val="Calibri"/>
        <family val="2"/>
        <scheme val="minor"/>
      </rPr>
      <t>+IND</t>
    </r>
    <r>
      <rPr>
        <vertAlign val="subscript"/>
        <sz val="11"/>
        <color indexed="8"/>
        <rFont val="Calibri"/>
        <family val="2"/>
      </rPr>
      <t>DA, t-1</t>
    </r>
    <r>
      <rPr>
        <sz val="11"/>
        <color theme="1"/>
        <rFont val="Calibri"/>
        <family val="2"/>
        <scheme val="minor"/>
      </rPr>
      <t>+IND</t>
    </r>
    <r>
      <rPr>
        <vertAlign val="subscript"/>
        <sz val="11"/>
        <color indexed="8"/>
        <rFont val="Calibri"/>
        <family val="2"/>
      </rPr>
      <t>Dther, t-1</t>
    </r>
    <r>
      <rPr>
        <sz val="11"/>
        <color theme="1"/>
        <rFont val="Calibri"/>
        <family val="2"/>
        <scheme val="minor"/>
      </rPr>
      <t>))/100</t>
    </r>
  </si>
  <si>
    <r>
      <t>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t-1</t>
    </r>
    <r>
      <rPr>
        <sz val="11"/>
        <color theme="1"/>
        <rFont val="Calibri"/>
        <family val="2"/>
        <scheme val="minor"/>
      </rPr>
      <t>·(PROXY</t>
    </r>
    <r>
      <rPr>
        <vertAlign val="superscript"/>
        <sz val="11"/>
        <color indexed="8"/>
        <rFont val="Calibri"/>
        <family val="2"/>
      </rPr>
      <t>TRAN</t>
    </r>
    <r>
      <rPr>
        <vertAlign val="subscript"/>
        <sz val="11"/>
        <color indexed="8"/>
        <rFont val="Calibri"/>
        <family val="2"/>
      </rPr>
      <t>IND,t</t>
    </r>
    <r>
      <rPr>
        <sz val="11"/>
        <color theme="1"/>
        <rFont val="Calibri"/>
        <family val="2"/>
        <scheme val="minor"/>
      </rPr>
      <t>/PROXY</t>
    </r>
    <r>
      <rPr>
        <vertAlign val="superscript"/>
        <sz val="11"/>
        <color indexed="8"/>
        <rFont val="Calibri"/>
        <family val="2"/>
      </rPr>
      <t>TRAN</t>
    </r>
    <r>
      <rPr>
        <vertAlign val="subscript"/>
        <sz val="11"/>
        <color indexed="8"/>
        <rFont val="Calibri"/>
        <family val="2"/>
      </rPr>
      <t>IND,t-1</t>
    </r>
    <r>
      <rPr>
        <sz val="11"/>
        <color theme="1"/>
        <rFont val="Calibri"/>
        <family val="2"/>
        <scheme val="minor"/>
      </rPr>
      <t>)^0,1·(gRET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/100)^0,8</t>
    </r>
  </si>
  <si>
    <r>
      <t>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Other,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Other, t-1</t>
    </r>
    <r>
      <rPr>
        <sz val="11"/>
        <color theme="1"/>
        <rFont val="Calibri"/>
        <family val="2"/>
        <scheme val="minor"/>
      </rPr>
      <t>·(qEX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/qEX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)</t>
    </r>
  </si>
  <si>
    <r>
      <t>gTRAN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·100</t>
    </r>
  </si>
  <si>
    <r>
      <t>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>+TRAN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Other, t</t>
    </r>
  </si>
  <si>
    <r>
      <t>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t-1</t>
    </r>
    <r>
      <rPr>
        <sz val="11"/>
        <color theme="1"/>
        <rFont val="Calibri"/>
        <family val="2"/>
        <scheme val="minor"/>
      </rPr>
      <t>·gRET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</t>
    </r>
  </si>
  <si>
    <r>
      <t>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Other,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Other, t-1</t>
    </r>
  </si>
  <si>
    <r>
      <t>gTRAN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·100</t>
    </r>
  </si>
  <si>
    <r>
      <t>INV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INV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/Inv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F,t-1</t>
    </r>
  </si>
  <si>
    <r>
      <t>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F,t</t>
    </r>
  </si>
  <si>
    <r>
      <t>defCONSTR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EXP(0,25+1,31·LN(er</t>
    </r>
    <r>
      <rPr>
        <vertAlign val="superscript"/>
        <sz val="11"/>
        <color indexed="8"/>
        <rFont val="Calibri"/>
        <family val="2"/>
      </rPr>
      <t>RUR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RUR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))·100</t>
    </r>
  </si>
  <si>
    <r>
      <t>gCONSTR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/CONSTR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/defCONSTR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·10000</t>
    </r>
  </si>
  <si>
    <t>Модель прогнозирования госдоходов Таджикистана</t>
  </si>
  <si>
    <t>Экзогенные переменные</t>
  </si>
  <si>
    <t>ВВП</t>
  </si>
  <si>
    <t>Импорт товаров и услуг</t>
  </si>
  <si>
    <t>Частное потребление</t>
  </si>
  <si>
    <t>Гос. фонд зарплаты</t>
  </si>
  <si>
    <t>Эндогенные переменные</t>
  </si>
  <si>
    <t>Общие текущие госдоходы</t>
  </si>
  <si>
    <t>Налоговые поступления</t>
  </si>
  <si>
    <t>Общие прямые налоги</t>
  </si>
  <si>
    <t>Подоходный налог</t>
  </si>
  <si>
    <t>1.1.1. Физические лица</t>
  </si>
  <si>
    <t>Корпоративный П/н (1.1.2.+1.1.3.)</t>
  </si>
  <si>
    <t>2. Социальные выплаты</t>
  </si>
  <si>
    <t>3. Земельный налог и налог на недвиж.</t>
  </si>
  <si>
    <t>Общие косвенные налоги</t>
  </si>
  <si>
    <t>4.2.1. Внутренний НДС</t>
  </si>
  <si>
    <t>4.2.2. Внешний НДС</t>
  </si>
  <si>
    <t>Внутр. Транспортный налог (4.2.3+4.2.4)</t>
  </si>
  <si>
    <t>5. Акцизы</t>
  </si>
  <si>
    <t>5.1. Внутренние акцизы</t>
  </si>
  <si>
    <t>5.2. Внешние акцизы</t>
  </si>
  <si>
    <t>7. Прочие внутренние налоги на товары и услуги</t>
  </si>
  <si>
    <t>Неналоговый доход</t>
  </si>
  <si>
    <t>налог на природные ресурсы</t>
  </si>
  <si>
    <t>ПРОЧИЕ НАЛОГИ</t>
  </si>
  <si>
    <r>
      <t>CA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</si>
  <si>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TB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</si>
  <si>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TB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</si>
  <si>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r>
      <t>TB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Serv,t</t>
    </r>
  </si>
  <si>
    <r>
      <t>BIW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Net,t</t>
    </r>
  </si>
  <si>
    <r>
      <t>CT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Net,t</t>
    </r>
  </si>
  <si>
    <r>
      <t>KA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</si>
  <si>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FDI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Net, t</t>
    </r>
  </si>
  <si>
    <r>
      <t>KT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</si>
  <si>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OI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</si>
  <si>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</si>
  <si>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</si>
  <si>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</si>
  <si>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RA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</si>
  <si>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IR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</si>
  <si>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II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</si>
  <si>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FI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Pr,t</t>
    </r>
  </si>
  <si>
    <r>
      <t>W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</si>
  <si>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CT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</si>
  <si>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R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</si>
  <si>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GR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</si>
  <si>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KT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</si>
  <si>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</si>
  <si>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aOINF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</si>
  <si>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aOINF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</si>
  <si>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</si>
  <si>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aOINF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</si>
  <si>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EO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</si>
  <si>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EO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</si>
  <si>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</si>
  <si>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aOIF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</si>
  <si>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</si>
  <si>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aOIF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</si>
  <si>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PINV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</si>
  <si>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IMF,t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</si>
  <si>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</si>
  <si>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</si>
  <si>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</si>
  <si>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IP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</si>
  <si>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IR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</si>
  <si>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RP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</si>
  <si>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D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</si>
  <si>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D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</si>
  <si>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RP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</si>
  <si>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D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P,t</t>
    </r>
  </si>
  <si>
    <r>
      <t>IP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P,t</t>
    </r>
  </si>
  <si>
    <r>
      <t>IR</t>
    </r>
    <r>
      <rPr>
        <i/>
        <vertAlign val="subscript"/>
        <sz val="10"/>
        <color indexed="8"/>
        <rFont val="Calibri"/>
        <family val="2"/>
        <charset val="204"/>
      </rPr>
      <t>P,t</t>
    </r>
  </si>
  <si>
    <t>Платежный баланс, млн. долл.</t>
  </si>
  <si>
    <t>Счет текущих операций</t>
  </si>
  <si>
    <t xml:space="preserve">   Торговое сальдо, в том числе по</t>
  </si>
  <si>
    <t xml:space="preserve">      товарам, в т.ч.</t>
  </si>
  <si>
    <t xml:space="preserve">          экспорт товаров ФОБ</t>
  </si>
  <si>
    <t xml:space="preserve">          импорт товаов ФОБ</t>
  </si>
  <si>
    <t xml:space="preserve">      услугам, в т.ч.</t>
  </si>
  <si>
    <t xml:space="preserve">          экспорт услуг</t>
  </si>
  <si>
    <t xml:space="preserve">          импорт услуг</t>
  </si>
  <si>
    <t>Первичные доходы</t>
  </si>
  <si>
    <t xml:space="preserve">второчные доходы </t>
  </si>
  <si>
    <t xml:space="preserve">Финансовый счет и счет операций с капиталом, включая ошибки и пропуски </t>
  </si>
  <si>
    <t>Чистый приток ПИИ</t>
  </si>
  <si>
    <t>Капитальные трансферты</t>
  </si>
  <si>
    <t>Чистые прочие инвестиции of :</t>
  </si>
  <si>
    <t xml:space="preserve">     Нефинансовго сектора, включая  ошибки и пропуски</t>
  </si>
  <si>
    <t xml:space="preserve">     Банков вкл.портф.инв. и произв.</t>
  </si>
  <si>
    <t xml:space="preserve">      Госсектора (фин. счет) </t>
  </si>
  <si>
    <t>Резервные активы</t>
  </si>
  <si>
    <t>Международные резервы на конец года</t>
  </si>
  <si>
    <t>Достаточность резервов</t>
  </si>
  <si>
    <t>Подробное описание отдельных индикаторов</t>
  </si>
  <si>
    <t>Баланс доходов и оплаты труда, млн.долл.</t>
  </si>
  <si>
    <t>Проценты по госзаймам</t>
  </si>
  <si>
    <t>Факторные доходы частного сектора</t>
  </si>
  <si>
    <t xml:space="preserve">      в т.ч. Баланс оплаты труда</t>
  </si>
  <si>
    <t>Сальдо по текущим трансфертам, млн. долл.</t>
  </si>
  <si>
    <t>Получено</t>
  </si>
  <si>
    <t>Выплачено</t>
  </si>
  <si>
    <t xml:space="preserve">Справочно: </t>
  </si>
  <si>
    <t>Денежные переводы, млн. долл.</t>
  </si>
  <si>
    <t>Гранты, млн.долл.</t>
  </si>
  <si>
    <t>Гранты, тысяч сомони</t>
  </si>
  <si>
    <t>Капитальные трансферты, млн.долл.</t>
  </si>
  <si>
    <t>доля капитальных трансфертов в ВВП, %</t>
  </si>
  <si>
    <t>Сальдо прочих инвестиций нефинансового сектора (вкл. ошибки и пропуски), млн.долл.</t>
  </si>
  <si>
    <t>Активы</t>
  </si>
  <si>
    <t xml:space="preserve">   активы, накопленным итогом</t>
  </si>
  <si>
    <t xml:space="preserve">   активы, накопленным итогом, % ВВП</t>
  </si>
  <si>
    <t>Пассивы</t>
  </si>
  <si>
    <t xml:space="preserve">   пассивы, накопленным итогом</t>
  </si>
  <si>
    <t>ошибки и пропуски</t>
  </si>
  <si>
    <t xml:space="preserve">   ошибки и пропуски, % ВВП</t>
  </si>
  <si>
    <t>Сальдо прочих инвестиций банков, вкл.портф.инв. и произв., млн.долл.</t>
  </si>
  <si>
    <t>Cальдо портфельных инвестиций и производные</t>
  </si>
  <si>
    <t>Сальдо по финансовому счету госсектора, млн.долл.</t>
  </si>
  <si>
    <t>Исключительное финансирование, кредиты МВФ</t>
  </si>
  <si>
    <t xml:space="preserve">  доля пассивов, % ВВП</t>
  </si>
  <si>
    <t>Внешний долг (государственный и частный) и его обслуживание</t>
  </si>
  <si>
    <t>Процентные выплаты по внешнему долгу, млн.долл., в т.ч.</t>
  </si>
  <si>
    <t xml:space="preserve">     Прямой государственный долг</t>
  </si>
  <si>
    <t xml:space="preserve">     НБТ</t>
  </si>
  <si>
    <t xml:space="preserve">     Госпредприятия</t>
  </si>
  <si>
    <t xml:space="preserve">     Частный гарантированый долг</t>
  </si>
  <si>
    <t>Процентная ставка по госдолгу, %</t>
  </si>
  <si>
    <t>Погашения по внешнему долгу, млн.долл., в т.ч.</t>
  </si>
  <si>
    <t xml:space="preserve">      Прямой государственный долг</t>
  </si>
  <si>
    <t xml:space="preserve">      НБТ</t>
  </si>
  <si>
    <t xml:space="preserve">      Госпредприятия</t>
  </si>
  <si>
    <t xml:space="preserve">      Частный гарантированый долг</t>
  </si>
  <si>
    <t>Внешний долг (с учетом госгарантий), млн.долл., в т.ч.</t>
  </si>
  <si>
    <t>Внешний долг, % ВВП</t>
  </si>
  <si>
    <t>Обслуживание внешнего долга, % ВВП</t>
  </si>
  <si>
    <t>Частный негарантированный долг, млн.долл.</t>
  </si>
  <si>
    <t>Финансовое посредничество</t>
  </si>
  <si>
    <t>Транспорт, складское хозяйство и связь</t>
  </si>
  <si>
    <t>Горнодобывающая промышленность</t>
  </si>
  <si>
    <t>Прочие</t>
  </si>
  <si>
    <t>проценты</t>
  </si>
  <si>
    <t>Процентная ставка по НЧД, %</t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</si>
  <si>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</si>
  <si>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·(0,0701742196128·EX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+ 0,0271620953584·IM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)/(0,0701742196128·EX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+ 0,0271620953584·IM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Goods,t-2</t>
    </r>
    <r>
      <rPr>
        <sz val="11"/>
        <color theme="1"/>
        <rFont val="Calibri"/>
        <family val="2"/>
        <scheme val="minor"/>
      </rPr>
      <t>)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</si>
  <si>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)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</si>
  <si>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/1000000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</si>
  <si>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/1000000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</si>
  <si>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/1000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</si>
  <si>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</si>
  <si>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·(gGDP</t>
    </r>
    <r>
      <rPr>
        <vertAlign val="superscript"/>
        <sz val="11"/>
        <color indexed="8"/>
        <rFont val="Calibri"/>
        <family val="2"/>
      </rPr>
      <t>DE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/100+1)·(1+dCPI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</si>
  <si>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qEX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·EXP(0,057291+3,96444·LN((gGDP</t>
    </r>
    <r>
      <rPr>
        <vertAlign val="superscript"/>
        <sz val="11"/>
        <color indexed="8"/>
        <rFont val="Calibri"/>
        <family val="2"/>
      </rPr>
      <t>DE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+100)/(gGDP</t>
    </r>
    <r>
      <rPr>
        <vertAlign val="superscript"/>
        <sz val="11"/>
        <color indexed="8"/>
        <rFont val="Calibri"/>
        <family val="2"/>
      </rPr>
      <t>DE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+100)))</t>
    </r>
  </si>
  <si>
    <r>
      <t>qEX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Cot,t</t>
    </r>
  </si>
  <si>
    <r>
      <t>qEX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FV,t</t>
    </r>
  </si>
  <si>
    <r>
      <t>qEX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El,t</t>
    </r>
  </si>
  <si>
    <r>
      <t>idxqEX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·gEX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)·gEX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-(EX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))·idxqEX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/100</t>
    </r>
  </si>
  <si>
    <r>
      <t>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 xml:space="preserve">  =  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·pAL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/pAL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</si>
  <si>
    <r>
      <t>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 xml:space="preserve">  =  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·pAL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/pAL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</si>
  <si>
    <r>
      <t>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 xml:space="preserve">  =  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·pFV</t>
    </r>
    <r>
      <rPr>
        <vertAlign val="superscript"/>
        <sz val="11"/>
        <color indexed="8"/>
        <rFont val="Calibri"/>
        <family val="2"/>
      </rPr>
      <t>RUB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/pFV</t>
    </r>
    <r>
      <rPr>
        <vertAlign val="superscript"/>
        <sz val="11"/>
        <color indexed="8"/>
        <rFont val="Calibri"/>
        <family val="2"/>
      </rPr>
      <t>RUB</t>
    </r>
    <r>
      <rPr>
        <vertAlign val="subscript"/>
        <sz val="11"/>
        <color indexed="8"/>
        <rFont val="Calibri"/>
        <family val="2"/>
      </rPr>
      <t>t-1</t>
    </r>
  </si>
  <si>
    <r>
      <t>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 xml:space="preserve">  =  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</si>
  <si>
    <r>
      <t>idxdefEX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idxdefEX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))/(EX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-(EX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))/(idxqEX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/idxqEX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)</t>
    </r>
  </si>
  <si>
    <r>
      <t>gEX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gEX</t>
    </r>
    <r>
      <rPr>
        <vertAlign val="subscript"/>
        <sz val="11"/>
        <color indexed="8"/>
        <rFont val="Calibri"/>
        <family val="2"/>
      </rPr>
      <t>Goods,t</t>
    </r>
  </si>
  <si>
    <r>
      <t>gEX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/defEX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·10000</t>
    </r>
  </si>
  <si>
    <r>
      <t>defEX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)/gEX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·10000</t>
    </r>
  </si>
  <si>
    <r>
      <t>defEX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/(pEX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·100)+EX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/(pEX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·100)+EX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/(pEX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·100)+EX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/(pEX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·100))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</si>
  <si>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</si>
  <si>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·EXP(0,152474485921+0,843221616006·LN(EX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))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</si>
  <si>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)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</si>
  <si>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/1000000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</si>
  <si>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/1000000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</si>
  <si>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/1000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</si>
  <si>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/1000000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</si>
  <si>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/1000000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</si>
  <si>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·EXP(0,070487206518+0,772700360827·LN(EX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)+0,26587256149·LN(C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/(er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)))</t>
    </r>
  </si>
  <si>
    <r>
      <t>qIM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DA, t</t>
    </r>
    <r>
      <rPr>
        <sz val="11"/>
        <color theme="1"/>
        <rFont val="Calibri"/>
        <family val="2"/>
        <scheme val="minor"/>
      </rPr>
      <t>/100</t>
    </r>
  </si>
  <si>
    <r>
      <t>qIM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Oil,t-1</t>
    </r>
    <r>
      <rPr>
        <sz val="11"/>
        <color theme="1"/>
        <rFont val="Calibri"/>
        <family val="2"/>
        <scheme val="minor"/>
      </rPr>
      <t>·(TRAN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>+TRAN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>)/(TRAN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t-1</t>
    </r>
    <r>
      <rPr>
        <sz val="11"/>
        <color theme="1"/>
        <rFont val="Calibri"/>
        <family val="2"/>
        <scheme val="minor"/>
      </rPr>
      <t>+TRAN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t-1</t>
    </r>
    <r>
      <rPr>
        <sz val="11"/>
        <color theme="1"/>
        <rFont val="Calibri"/>
        <family val="2"/>
        <scheme val="minor"/>
      </rPr>
      <t>)</t>
    </r>
  </si>
  <si>
    <r>
      <t>qIM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Gas,t-1</t>
    </r>
    <r>
      <rPr>
        <sz val="11"/>
        <color theme="1"/>
        <rFont val="Calibri"/>
        <family val="2"/>
        <scheme val="minor"/>
      </rPr>
      <t>·gGDP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</t>
    </r>
  </si>
  <si>
    <r>
      <t>qIM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Am,t-1</t>
    </r>
    <r>
      <rPr>
        <sz val="11"/>
        <color theme="1"/>
        <rFont val="Calibri"/>
        <family val="2"/>
        <scheme val="minor"/>
      </rPr>
      <t>·qEX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/qEX</t>
    </r>
    <r>
      <rPr>
        <vertAlign val="subscript"/>
        <sz val="11"/>
        <color indexed="8"/>
        <rFont val="Calibri"/>
        <family val="2"/>
      </rPr>
      <t>Al,t-1</t>
    </r>
  </si>
  <si>
    <r>
      <t>qIM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Fl,t-1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DA, t</t>
    </r>
    <r>
      <rPr>
        <sz val="11"/>
        <color theme="1"/>
        <rFont val="Calibri"/>
        <family val="2"/>
        <scheme val="minor"/>
      </rPr>
      <t>/100</t>
    </r>
  </si>
  <si>
    <r>
      <t>idxqIM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idxqIM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)/(IM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)/(idxdefIM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/idxdefIM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)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</si>
  <si>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·EXP(0,674921·LN(pWH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/pWH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</si>
  <si>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Oil,t-1</t>
    </r>
    <r>
      <rPr>
        <sz val="11"/>
        <color theme="1"/>
        <rFont val="Calibri"/>
        <family val="2"/>
        <scheme val="minor"/>
      </rPr>
      <t>·EXP(0,926309·LN(pOIL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</si>
  <si>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</si>
  <si>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Gas,t-1</t>
    </r>
    <r>
      <rPr>
        <sz val="11"/>
        <color theme="1"/>
        <rFont val="Calibri"/>
        <family val="2"/>
        <scheme val="minor"/>
      </rPr>
      <t>·pOIL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</si>
  <si>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Am,t-1</t>
    </r>
    <r>
      <rPr>
        <sz val="11"/>
        <color theme="1"/>
        <rFont val="Calibri"/>
        <family val="2"/>
        <scheme val="minor"/>
      </rPr>
      <t>·EXP(0,209042·LN(pOIL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</si>
  <si>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Fl,t-1</t>
    </r>
    <r>
      <rPr>
        <sz val="11"/>
        <color theme="1"/>
        <rFont val="Calibri"/>
        <family val="2"/>
        <scheme val="minor"/>
      </rPr>
      <t>·EXP(0,924745·LN(pIM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))</t>
    </r>
  </si>
  <si>
    <r>
      <t>idxdefIM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idxdefIM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·((defIM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·102)^(1/2))/100</t>
    </r>
  </si>
  <si>
    <r>
      <t>gIM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(gIM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Fl,t-1</t>
    </r>
    <r>
      <rPr>
        <sz val="11"/>
        <color theme="1"/>
        <rFont val="Calibri"/>
        <family val="2"/>
        <scheme val="minor"/>
      </rPr>
      <t>)+idxqIM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/idxqIM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·100·(IM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))/IM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</si>
  <si>
    <r>
      <t>gIM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/defIM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·10000</t>
    </r>
  </si>
  <si>
    <r>
      <t>defIM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)/(IM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)/gIM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·10000</t>
    </r>
  </si>
  <si>
    <r>
      <t>defIM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)/(IM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Fl,t-1</t>
    </r>
    <r>
      <rPr>
        <sz val="11"/>
        <color theme="1"/>
        <rFont val="Calibri"/>
        <family val="2"/>
        <scheme val="minor"/>
      </rPr>
      <t>·100))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</si>
  <si>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)+dCPI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>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Services, t-1</t>
    </r>
    <r>
      <rPr>
        <sz val="11"/>
        <color theme="1"/>
        <rFont val="Calibri"/>
        <family val="2"/>
        <scheme val="minor"/>
      </rPr>
      <t>)/100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</si>
  <si>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)+dCPI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</si>
  <si>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Food,t</t>
    </r>
    <r>
      <rPr>
        <sz val="11"/>
        <color theme="1"/>
        <rFont val="Calibri"/>
        <family val="2"/>
        <scheme val="minor"/>
      </rPr>
      <t xml:space="preserve">  =  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Foods w/o Agr ,t</t>
    </r>
    <r>
      <rPr>
        <sz val="11"/>
        <color theme="1"/>
        <rFont val="Calibri"/>
        <family val="2"/>
        <scheme val="minor"/>
      </rPr>
      <t>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Agr ,t</t>
    </r>
    <r>
      <rPr>
        <sz val="11"/>
        <color theme="1"/>
        <rFont val="Calibri"/>
        <family val="2"/>
        <scheme val="minor"/>
      </rPr>
      <t>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</si>
  <si>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 xml:space="preserve">  =  (EXP(0,184·LN(W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)+0,388·LN(er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))·100·w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Gas ,t</t>
    </r>
    <r>
      <rPr>
        <sz val="11"/>
        <color theme="1"/>
        <rFont val="Calibri"/>
        <family val="2"/>
        <scheme val="minor"/>
      </rPr>
      <t>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</si>
  <si>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 xml:space="preserve">  =  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</si>
  <si>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Foods w/o Agr ,t</t>
    </r>
    <r>
      <rPr>
        <sz val="11"/>
        <color theme="1"/>
        <rFont val="Calibri"/>
        <family val="2"/>
        <scheme val="minor"/>
      </rPr>
      <t xml:space="preserve">  =  EXP(0,483·LN((W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)/(W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)))·100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</si>
  <si>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Agr ,t</t>
    </r>
    <r>
      <rPr>
        <sz val="11"/>
        <color theme="1"/>
        <rFont val="Calibri"/>
        <family val="2"/>
        <scheme val="minor"/>
      </rPr>
      <t xml:space="preserve">  =  EXP(0,84·LN(er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)+0,36·LN(pFV</t>
    </r>
    <r>
      <rPr>
        <vertAlign val="superscript"/>
        <sz val="11"/>
        <color indexed="8"/>
        <rFont val="Calibri"/>
        <family val="2"/>
      </rPr>
      <t>RUB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/100·er</t>
    </r>
    <r>
      <rPr>
        <vertAlign val="superscript"/>
        <sz val="11"/>
        <color indexed="8"/>
        <rFont val="Calibri"/>
        <family val="2"/>
      </rPr>
      <t>RUR/USD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RUR/USD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))·100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</si>
  <si>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Gas ,t</t>
    </r>
    <r>
      <rPr>
        <sz val="11"/>
        <color theme="1"/>
        <rFont val="Calibri"/>
        <family val="2"/>
        <scheme val="minor"/>
      </rPr>
      <t xml:space="preserve">  =  (pOIL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)·er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·100</t>
    </r>
  </si>
  <si>
    <r>
      <t>dCPI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(dCPI</t>
    </r>
    <r>
      <rPr>
        <vertAlign val="subscript"/>
        <sz val="11"/>
        <color indexed="8"/>
        <rFont val="Calibri"/>
        <family val="2"/>
      </rPr>
      <t>Food,t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)+dCPI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)+dCPI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>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Services, t-1</t>
    </r>
    <r>
      <rPr>
        <sz val="11"/>
        <color theme="1"/>
        <rFont val="Calibri"/>
        <family val="2"/>
        <scheme val="minor"/>
      </rPr>
      <t>)/100</t>
    </r>
  </si>
  <si>
    <r>
      <t>dCPI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)·dCPI</t>
    </r>
    <r>
      <rPr>
        <vertAlign val="subscript"/>
        <sz val="11"/>
        <color indexed="8"/>
        <rFont val="Calibri"/>
        <family val="2"/>
      </rPr>
      <t>Food,t</t>
    </r>
    <r>
      <rPr>
        <sz val="11"/>
        <color theme="1"/>
        <rFont val="Calibri"/>
        <family val="2"/>
        <scheme val="minor"/>
      </rPr>
      <t>+(w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)·dCPI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>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</si>
  <si>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 xml:space="preserve">  =  ((er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)^0,75·w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·100+w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Gas ,t</t>
    </r>
    <r>
      <rPr>
        <sz val="11"/>
        <color theme="1"/>
        <rFont val="Calibri"/>
        <family val="2"/>
        <scheme val="minor"/>
      </rPr>
      <t>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</si>
  <si>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 xml:space="preserve">  =  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</si>
  <si>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Foods w/o Agr ,t</t>
    </r>
    <r>
      <rPr>
        <sz val="11"/>
        <color theme="1"/>
        <rFont val="Calibri"/>
        <family val="2"/>
        <scheme val="minor"/>
      </rPr>
      <t>/100)/(dCPI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</si>
  <si>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Agr ,t</t>
    </r>
    <r>
      <rPr>
        <sz val="11"/>
        <color theme="1"/>
        <rFont val="Calibri"/>
        <family val="2"/>
        <scheme val="minor"/>
      </rPr>
      <t>/100)/(dCPI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</si>
  <si>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>/dCPI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</si>
  <si>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Gas ,t</t>
    </r>
    <r>
      <rPr>
        <sz val="11"/>
        <color theme="1"/>
        <rFont val="Calibri"/>
        <family val="2"/>
        <scheme val="minor"/>
      </rPr>
      <t>/100)/(dCPI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</si>
  <si>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Services, 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Services, 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>/100)/(dCPI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</si>
  <si>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dCPI</t>
    </r>
    <r>
      <rPr>
        <i/>
        <vertAlign val="subscript"/>
        <sz val="11"/>
        <color rgb="FFFF0000"/>
        <rFont val="Calibri"/>
        <family val="2"/>
      </rPr>
      <t>nonFood,t</t>
    </r>
  </si>
  <si>
    <r>
      <t>w</t>
    </r>
    <r>
      <rPr>
        <i/>
        <vertAlign val="superscript"/>
        <sz val="11"/>
        <color rgb="FFED0000"/>
        <rFont val="Calibri"/>
        <family val="2"/>
      </rPr>
      <t>CPI</t>
    </r>
    <r>
      <rPr>
        <i/>
        <vertAlign val="subscript"/>
        <sz val="11"/>
        <color rgb="FFED0000"/>
        <rFont val="Calibri"/>
        <family val="2"/>
      </rPr>
      <t xml:space="preserve"> gas, t</t>
    </r>
  </si>
  <si>
    <t>(K34*L12/100)/(L3/100)</t>
  </si>
  <si>
    <r>
      <t>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</si>
  <si>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CA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+BIW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>+CT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</si>
  <si>
    <r>
      <t>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</si>
  <si>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-IM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</si>
  <si>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</si>
  <si>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</si>
  <si>
    <r>
      <t>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-IM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</si>
  <si>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</si>
  <si>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</si>
  <si>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BIW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 xml:space="preserve">  =  BIW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</si>
  <si>
    <r>
      <t>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 xml:space="preserve">  =  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</si>
  <si>
    <r>
      <t>KA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(FDI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</t>
    </r>
    <r>
      <rPr>
        <sz val="11"/>
        <color theme="1"/>
        <rFont val="Calibri"/>
        <family val="2"/>
        <scheme val="minor"/>
      </rPr>
      <t>+KT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+OI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)</t>
    </r>
  </si>
  <si>
    <r>
      <t>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</t>
    </r>
    <r>
      <rPr>
        <sz val="11"/>
        <color theme="1"/>
        <rFont val="Calibri"/>
        <family val="2"/>
        <scheme val="minor"/>
      </rPr>
      <t xml:space="preserve">  =  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t-1</t>
    </r>
    <r>
      <rPr>
        <sz val="11"/>
        <color theme="1"/>
        <rFont val="Calibri"/>
        <family val="2"/>
        <scheme val="minor"/>
      </rPr>
      <t>·EXP(-0,273272835762+7,30100938285·LN(EX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))</t>
    </r>
  </si>
  <si>
    <r>
      <t>KT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KT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</si>
  <si>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OI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(OINF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</t>
    </r>
  </si>
  <si>
    <r>
      <t>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</si>
  <si>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</si>
  <si>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</si>
  <si>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RA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-(KA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+CA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)</t>
    </r>
  </si>
  <si>
    <r>
      <t>IR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IR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-RA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</si>
  <si>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BIW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 xml:space="preserve">  =  II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+FI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Pr,t</t>
    </r>
  </si>
  <si>
    <r>
      <t>II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-IP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</si>
  <si>
    <r>
      <t>FI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Pr,t</t>
    </r>
    <r>
      <rPr>
        <sz val="11"/>
        <color theme="1"/>
        <rFont val="Calibri"/>
        <family val="2"/>
        <scheme val="minor"/>
      </rPr>
      <t xml:space="preserve">  =  (FI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Pr,t-1</t>
    </r>
    <r>
      <rPr>
        <sz val="11"/>
        <color theme="1"/>
        <rFont val="Calibri"/>
        <family val="2"/>
        <scheme val="minor"/>
      </rPr>
      <t>-W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)·(IP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>/IP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)^0,4·(FDI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</t>
    </r>
    <r>
      <rPr>
        <sz val="11"/>
        <color theme="1"/>
        <rFont val="Calibri"/>
        <family val="2"/>
        <scheme val="minor"/>
      </rPr>
      <t>/FDI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t-1</t>
    </r>
    <r>
      <rPr>
        <sz val="11"/>
        <color theme="1"/>
        <rFont val="Calibri"/>
        <family val="2"/>
        <scheme val="minor"/>
      </rPr>
      <t>)^0,4+W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</si>
  <si>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·((IM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)/(IM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))/((EX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))</t>
    </r>
  </si>
  <si>
    <r>
      <t>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 xml:space="preserve">  =  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+CT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</si>
  <si>
    <r>
      <t>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·(R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)/(R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</si>
  <si>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A,t-1</t>
    </r>
    <r>
      <rPr>
        <sz val="11"/>
        <color theme="1"/>
        <rFont val="Calibri"/>
        <family val="2"/>
        <scheme val="minor"/>
      </rPr>
      <t>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/GDP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,t-1</t>
    </r>
  </si>
  <si>
    <r>
      <t>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RUS, 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/W</t>
    </r>
    <r>
      <rPr>
        <vertAlign val="superscript"/>
        <sz val="11"/>
        <color indexed="8"/>
        <rFont val="Calibri"/>
        <family val="2"/>
      </rPr>
      <t>RUS, 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·MIG</t>
    </r>
    <r>
      <rPr>
        <vertAlign val="superscript"/>
        <sz val="11"/>
        <color indexed="8"/>
        <rFont val="Calibri"/>
        <family val="2"/>
      </rPr>
      <t>RUS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/MIG</t>
    </r>
    <r>
      <rPr>
        <vertAlign val="superscript"/>
        <sz val="11"/>
        <color indexed="8"/>
        <rFont val="Calibri"/>
        <family val="2"/>
      </rPr>
      <t>RUS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</si>
  <si>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GR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·0,015</t>
    </r>
  </si>
  <si>
    <r>
      <t>KT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KT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</si>
  <si>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KT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KT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t-1</t>
    </r>
  </si>
  <si>
    <r>
      <t>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+OINF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+EO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</si>
  <si>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-aOINF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A,t-1</t>
    </r>
  </si>
  <si>
    <r>
      <t>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/100·GDP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</si>
  <si>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aOINF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A,t-1</t>
    </r>
    <r>
      <rPr>
        <sz val="11"/>
        <color theme="1"/>
        <rFont val="Calibri"/>
        <family val="2"/>
        <scheme val="minor"/>
      </rPr>
      <t>-2</t>
    </r>
  </si>
  <si>
    <r>
      <t>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-aOINF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</si>
  <si>
    <r>
      <t>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·EXP(1,4912567232·LN(IM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))</t>
    </r>
  </si>
  <si>
    <r>
      <t>EO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EO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/100</t>
    </r>
  </si>
  <si>
    <r>
      <t>EO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EO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t-1</t>
    </r>
  </si>
  <si>
    <r>
      <t>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+OIF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+PINV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</si>
  <si>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-aOIF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A,t-1</t>
    </r>
  </si>
  <si>
    <r>
      <t>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A,t-1</t>
    </r>
    <r>
      <rPr>
        <sz val="11"/>
        <color theme="1"/>
        <rFont val="Calibri"/>
        <family val="2"/>
        <scheme val="minor"/>
      </rPr>
      <t>·EXP(2,74297520242·LN((EX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)))</t>
    </r>
  </si>
  <si>
    <r>
      <t>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-aOIF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</si>
  <si>
    <r>
      <t>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·EXP(2,64617276621·LN(EX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))</t>
    </r>
  </si>
  <si>
    <r>
      <t>PINV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PINV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</si>
  <si>
    <r>
      <t>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IMF,t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)</t>
    </r>
  </si>
  <si>
    <r>
      <t>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IMF,t</t>
    </r>
    <r>
      <rPr>
        <sz val="11"/>
        <color theme="1"/>
        <rFont val="Calibri"/>
        <family val="2"/>
        <scheme val="minor"/>
      </rPr>
      <t xml:space="preserve">  =  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IMF,t-1</t>
    </r>
  </si>
  <si>
    <r>
      <t>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OIG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/100·GDP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</si>
  <si>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OIG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OIG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-0,5</t>
    </r>
  </si>
  <si>
    <r>
      <t>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((D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G,t-1</t>
    </r>
    <r>
      <rPr>
        <sz val="11"/>
        <color theme="1"/>
        <rFont val="Calibri"/>
        <family val="2"/>
        <scheme val="minor"/>
      </rPr>
      <t>+D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)/2)·IR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/100</t>
    </r>
  </si>
  <si>
    <r>
      <t>IR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IR</t>
    </r>
    <r>
      <rPr>
        <vertAlign val="subscript"/>
        <sz val="11"/>
        <color indexed="8"/>
        <rFont val="Calibri"/>
        <family val="2"/>
      </rPr>
      <t>G,t-1</t>
    </r>
    <r>
      <rPr>
        <sz val="11"/>
        <color theme="1"/>
        <rFont val="Calibri"/>
        <family val="2"/>
        <scheme val="minor"/>
      </rPr>
      <t>+0,1</t>
    </r>
  </si>
  <si>
    <r>
      <t>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G,t-1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</si>
  <si>
    <r>
      <t>D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/GDP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·100</t>
    </r>
  </si>
  <si>
    <r>
      <t>RP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(IP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+RP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)/GDP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·100</t>
    </r>
  </si>
  <si>
    <r>
      <t>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 xml:space="preserve">  =  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+OINF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</si>
  <si>
    <r>
      <t>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 xml:space="preserve">  =  ((D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+D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>)/2)·IR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>/100</t>
    </r>
  </si>
  <si>
    <r>
      <t>IR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 xml:space="preserve">  =  IR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+IR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-IR</t>
    </r>
    <r>
      <rPr>
        <vertAlign val="subscript"/>
        <sz val="11"/>
        <color indexed="8"/>
        <rFont val="Calibri"/>
        <family val="2"/>
      </rPr>
      <t>P,t-2</t>
    </r>
  </si>
  <si>
    <r>
      <t>FI</t>
    </r>
    <r>
      <rPr>
        <i/>
        <vertAlign val="superscript"/>
        <sz val="10"/>
        <color rgb="FFED0000"/>
        <rFont val="Calibri"/>
        <family val="2"/>
      </rPr>
      <t>US</t>
    </r>
    <r>
      <rPr>
        <i/>
        <vertAlign val="subscript"/>
        <sz val="10"/>
        <color rgb="FFED0000"/>
        <rFont val="Calibri"/>
        <family val="2"/>
      </rPr>
      <t>Pr,t</t>
    </r>
  </si>
  <si>
    <r>
      <t>EO</t>
    </r>
    <r>
      <rPr>
        <i/>
        <vertAlign val="superscript"/>
        <sz val="10"/>
        <color rgb="FFED0000"/>
        <rFont val="Calibri"/>
        <family val="2"/>
      </rPr>
      <t>GDP</t>
    </r>
    <r>
      <rPr>
        <i/>
        <vertAlign val="subscript"/>
        <sz val="10"/>
        <color rgb="FFED0000"/>
        <rFont val="Calibri"/>
        <family val="2"/>
      </rPr>
      <t>t</t>
    </r>
  </si>
  <si>
    <r>
      <t>OIG</t>
    </r>
    <r>
      <rPr>
        <i/>
        <vertAlign val="superscript"/>
        <sz val="10"/>
        <color rgb="FFED0000"/>
        <rFont val="Calibri"/>
        <family val="2"/>
      </rPr>
      <t>GDP</t>
    </r>
    <r>
      <rPr>
        <i/>
        <vertAlign val="subscript"/>
        <sz val="10"/>
        <color rgb="FFED0000"/>
        <rFont val="Calibri"/>
        <family val="2"/>
      </rPr>
      <t>L,t</t>
    </r>
  </si>
  <si>
    <t>Базовый сценарий развития</t>
  </si>
  <si>
    <t>Сельское хозяйство, млн. сомони</t>
  </si>
  <si>
    <t>Темп роста к предыдущему году в %</t>
  </si>
  <si>
    <t>Растениеводство</t>
  </si>
  <si>
    <t>Животноводство</t>
  </si>
  <si>
    <t>Промышленность, млн. сомони</t>
  </si>
  <si>
    <t>Инвестиции в основной капитал, млн. сомони</t>
  </si>
  <si>
    <t>Внутренная торговля, млн. сомони</t>
  </si>
  <si>
    <t xml:space="preserve">Инфляция, % </t>
  </si>
  <si>
    <t>Внешнеторговый оборот</t>
  </si>
  <si>
    <t>Экспорт товаров, млн. долл. США</t>
  </si>
  <si>
    <t>Импорт товаров, млн.долл. США</t>
  </si>
  <si>
    <t>Курс доллара к сомони</t>
  </si>
  <si>
    <t>Средняя цена нефти</t>
  </si>
  <si>
    <t>Курс доллара к рос. Рублю</t>
  </si>
  <si>
    <t>Денежные переводы, млн. долл. США</t>
  </si>
  <si>
    <t>Денежные переводы, %</t>
  </si>
  <si>
    <t>Денежные переводы % к ВВП</t>
  </si>
  <si>
    <t>N5+N8</t>
  </si>
  <si>
    <t>N2/M2/N4*10000</t>
  </si>
  <si>
    <t>N27+N39+N49+N55+N65+N71+N77+N81</t>
  </si>
  <si>
    <t>N5/M5/N7*10000</t>
  </si>
  <si>
    <t>N28*Assumptions!O10/Assumptions!N10*(Monetary!O15/100-Assumptions!O11/100)</t>
  </si>
  <si>
    <t>(N4*СУММ(M31:M34)+N7*M35)/100</t>
  </si>
  <si>
    <t>(N5*(M31+M32)+N6*(M33+M34))/СУММ(M31:M34)</t>
  </si>
  <si>
    <t>(N10*M31+M32*N11)/СУММ(M31:M32)</t>
  </si>
  <si>
    <t>EXP(0,29*LN((Household!N35)/(Household!M35)))*100</t>
  </si>
  <si>
    <t>(O17*(N31+N32)+O18*(N33+N34)+O19*N35)/100</t>
  </si>
  <si>
    <t>100-N32-N33-N34-N35</t>
  </si>
  <si>
    <t>(M32*N11/100)/(N3/100)</t>
  </si>
  <si>
    <t>(M33+M34)*N6/N3-N34</t>
  </si>
  <si>
    <t>(M35*N7/100)/(N3/100)</t>
  </si>
  <si>
    <t>EXP(((0,32*LN(Household!N33/Household!M33)+0,15*LN(Household!N2/Household!M2))*M33+LN(M12/100)*N34)/(M33+M34))*100</t>
  </si>
  <si>
    <t>Нишондињандањо</t>
  </si>
  <si>
    <t>Воњиди
 ченак</t>
  </si>
  <si>
    <t>Соли 2022</t>
  </si>
  <si>
    <t>Соли 2023</t>
  </si>
  <si>
    <t>Соли 2024</t>
  </si>
  <si>
    <t>Соли 2025</t>
  </si>
  <si>
    <t>Соли 2026</t>
  </si>
  <si>
    <t>Соли 2027</t>
  </si>
  <si>
    <t>Соли 2028</t>
  </si>
  <si>
    <t>Воќеї</t>
  </si>
  <si>
    <t>нисбат ба соли 2021 (бо фоиз)</t>
  </si>
  <si>
    <t>нисбат ба соли 2022 (бо фоиз)</t>
  </si>
  <si>
    <t>Бањодињї</t>
  </si>
  <si>
    <t>нисбат ба соли 2023 (бо фоиз)</t>
  </si>
  <si>
    <t>Дурнамо</t>
  </si>
  <si>
    <t>нисбат ба соли 2024 (бо фоиз)</t>
  </si>
  <si>
    <t>нисбат ба соли 2025 (бо фоиз)</t>
  </si>
  <si>
    <t>нисбат ба соли 2026 (бо фоиз)</t>
  </si>
  <si>
    <t>нисбат ба соли 2027 (бо фоиз)</t>
  </si>
  <si>
    <t>Шумораи ањолї  
(ба њисоби миёнаи  солона)</t>
  </si>
  <si>
    <r>
      <rPr>
        <sz val="8"/>
        <color indexed="8"/>
        <rFont val="Times New Roman Tj"/>
        <family val="1"/>
        <charset val="204"/>
      </rPr>
      <t>Њ</t>
    </r>
    <r>
      <rPr>
        <sz val="12"/>
        <color indexed="8"/>
        <rFont val="Times New Roman Tj"/>
        <family val="1"/>
        <charset val="204"/>
      </rPr>
      <t>азор нафар</t>
    </r>
  </si>
  <si>
    <t xml:space="preserve">Маљмўи мањсулоти дохилї </t>
  </si>
  <si>
    <t>млн. сомонї</t>
  </si>
  <si>
    <t>Индекс-дефлятори ММД</t>
  </si>
  <si>
    <t xml:space="preserve">бо фоиз </t>
  </si>
  <si>
    <t>Таваррум</t>
  </si>
  <si>
    <t>ММД ба њар нафар ањолї</t>
  </si>
  <si>
    <t>сомонї</t>
  </si>
  <si>
    <t>Њаљми мањсулоти саноатї</t>
  </si>
  <si>
    <t>Њаљми мањсулоти кишоварзї</t>
  </si>
  <si>
    <t>Маблаѓгузорї ба  сармояи асосї аз њисоби њамаи манбаъњои маблаѓгузорї</t>
  </si>
  <si>
    <t>аз чумла аз њисоби буљети давлатї</t>
  </si>
  <si>
    <t>Сармоягузории  хориљї                                                         (қарз, грант, мустақим)</t>
  </si>
  <si>
    <t>млн. доллар</t>
  </si>
  <si>
    <t>Њаљми умумии гардиши савдо дар њама соњањо</t>
  </si>
  <si>
    <t>аз он: гардиши савдои чакана</t>
  </si>
  <si>
    <t>Њаљми хизматрасонињои пулакї дар  њамаи соњањо</t>
  </si>
  <si>
    <t>аз он: хизматрасонињои пулакї ба ањолї</t>
  </si>
  <si>
    <t>Гардиши савдои хориљї</t>
  </si>
  <si>
    <t>аз он: - содирот</t>
  </si>
  <si>
    <t xml:space="preserve">            -воридот</t>
  </si>
  <si>
    <t xml:space="preserve"> экспорт товаров иэкспорт услуг</t>
  </si>
  <si>
    <t xml:space="preserve"> импорт товаров и импорт услуг</t>
  </si>
  <si>
    <t>аз он: - содирот молњо ва хизматрасонї</t>
  </si>
  <si>
    <t xml:space="preserve">            -воридот молњо ва хизматрасонї</t>
  </si>
  <si>
    <t>Т/Р</t>
  </si>
  <si>
    <t>Секция Е (36-39)</t>
  </si>
  <si>
    <t>Водоснабжение, очистка, обработка отходов и получение вторичного сырья</t>
  </si>
  <si>
    <t>1.01.04. Налог с продаж</t>
  </si>
  <si>
    <r>
      <rPr>
        <sz val="14"/>
        <color theme="8" tint="-0.249977111117893"/>
        <rFont val="Times New Roman"/>
        <family val="1"/>
        <charset val="204"/>
      </rPr>
      <t>Налог на материалы для переработки алюминия</t>
    </r>
    <r>
      <rPr>
        <sz val="14"/>
        <color indexed="8"/>
        <rFont val="Times New Roman"/>
        <family val="1"/>
        <charset val="204"/>
      </rPr>
      <t xml:space="preserve"> (Хлопок и алюминий 1.01.04.03.)</t>
    </r>
  </si>
  <si>
    <r>
      <t xml:space="preserve">1.01.04.02. </t>
    </r>
    <r>
      <rPr>
        <sz val="14"/>
        <color theme="8" tint="-0.249977111117893"/>
        <rFont val="Times New Roman"/>
        <family val="1"/>
        <charset val="204"/>
      </rPr>
      <t>Налог с продаж первичного алюминия</t>
    </r>
  </si>
  <si>
    <t>1.01.06.  Специальные системы налогообложения</t>
  </si>
  <si>
    <t>Налоговое поступление</t>
  </si>
  <si>
    <t xml:space="preserve">январь - декабрь 2024           </t>
  </si>
  <si>
    <t>Предвар. данные</t>
  </si>
  <si>
    <t xml:space="preserve">Оконч. данные </t>
  </si>
  <si>
    <t>НДС   (р. 1.01.05.)</t>
  </si>
  <si>
    <t>Акцизы   (р. 1.01.07.+1.01.08.)</t>
  </si>
  <si>
    <t>Налог с продажи   (р. 1.01.04.)</t>
  </si>
  <si>
    <t>Таможенная пошлина   (р. 1.01.09.01.)</t>
  </si>
  <si>
    <t>Пошлина на экспорт хлопока (1.01.09.03)</t>
  </si>
  <si>
    <t>Итого налоги на продукты</t>
  </si>
  <si>
    <t>декабрь</t>
  </si>
  <si>
    <t>Субсидии на продукты</t>
  </si>
  <si>
    <t>Чистые налоги на продукты</t>
  </si>
  <si>
    <t>янв-декабрь</t>
  </si>
  <si>
    <t>Перевозка грузов, млн.тонна</t>
  </si>
  <si>
    <t xml:space="preserve"> - в т.ч. авто, млн.тонна</t>
  </si>
  <si>
    <r>
      <t>1.01.09. Прочие внешние налоги по торговле и транзакциям 1.01.09.01.</t>
    </r>
    <r>
      <rPr>
        <sz val="14"/>
        <color theme="8" tint="-0.249977111117893"/>
        <rFont val="Times New Roman"/>
        <family val="1"/>
        <charset val="204"/>
      </rPr>
      <t>Таможенные пошлины, Пошлина на экспорт хлопока (1.01.09.03)</t>
    </r>
  </si>
  <si>
    <t>Industry</t>
  </si>
  <si>
    <t>Mining (XP_mi)</t>
  </si>
  <si>
    <t>Manufacturing (XP_m)</t>
  </si>
  <si>
    <t>Energy and Water (XP_e)</t>
  </si>
  <si>
    <t>Energy</t>
  </si>
  <si>
    <t xml:space="preserve"> Water</t>
  </si>
  <si>
    <t>Соли 2029</t>
  </si>
  <si>
    <t>Соли 2030</t>
  </si>
  <si>
    <t>Соли 2031</t>
  </si>
  <si>
    <t>Соли 2032</t>
  </si>
  <si>
    <t>Соли 2033</t>
  </si>
  <si>
    <t>Соли 2034</t>
  </si>
  <si>
    <t>Соли 2035</t>
  </si>
  <si>
    <t>х</t>
  </si>
  <si>
    <t>-</t>
  </si>
  <si>
    <t>* по внутреннему потреблению есть ограничение по мощности</t>
  </si>
  <si>
    <t xml:space="preserve">Nat. Accounts </t>
  </si>
  <si>
    <t>NBT</t>
  </si>
  <si>
    <t>расчет/calc</t>
  </si>
  <si>
    <t xml:space="preserve"> -саноати истихроҷи маъдан</t>
  </si>
  <si>
    <t xml:space="preserve"> -саноати коркард</t>
  </si>
  <si>
    <t xml:space="preserve"> -таъминоти нерўи барќ, газ, буѓ ва тозакунии њаво</t>
  </si>
  <si>
    <t xml:space="preserve"> -растанипарварӣ</t>
  </si>
  <si>
    <t xml:space="preserve"> -чорводорӣ</t>
  </si>
  <si>
    <t>Сенарияи 2. Воќеї-Баҳодиҳии пешакии нишондиҳандаҳои асосии макроиќтисодии Љумҳурии Тољикистон                                                                                                                                                                               барои соли 2025 ва дурнамои он барои солҳои 2026-2028</t>
  </si>
  <si>
    <t>Информация о выданных кредитах, млн. сомони</t>
  </si>
  <si>
    <t>общая площадь водоёмов, прудов и озер - тыс.га</t>
  </si>
  <si>
    <t>СЕЛЬСКОЕ ХОЗЯЙСТВО реаль.</t>
  </si>
  <si>
    <t>4.2. НДС-1.01.05.</t>
  </si>
  <si>
    <r>
      <t>NIT</t>
    </r>
    <r>
      <rPr>
        <i/>
        <vertAlign val="subscript"/>
        <sz val="10"/>
        <color rgb="FFFF0000"/>
        <rFont val="Calibri"/>
        <family val="2"/>
      </rPr>
      <t>t</t>
    </r>
  </si>
  <si>
    <t>Inflation (dec/dec), fact, incl.</t>
  </si>
  <si>
    <t>cge model</t>
  </si>
  <si>
    <t>Construction (XP_c)</t>
  </si>
  <si>
    <t xml:space="preserve">Сармоягузории  хориљї                                                       </t>
  </si>
  <si>
    <t xml:space="preserve">  (қарз, грант, мустақим)</t>
  </si>
  <si>
    <t>пром. реаль.</t>
  </si>
  <si>
    <t>ВДС</t>
  </si>
  <si>
    <t>РАСТЕНИЕВОДСТВО реаль.</t>
  </si>
  <si>
    <t xml:space="preserve">ЖИВОТНОВОДСТВО </t>
  </si>
  <si>
    <t>Гостиницы и рестораны, млн. сомони</t>
  </si>
  <si>
    <t>Номинальный, млн. сомони</t>
  </si>
  <si>
    <t>пром. номиналь.</t>
  </si>
  <si>
    <t>инд.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</si>
</sst>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#,##0.0"/>
    <numFmt numFmtId="166" formatCode="0.000"/>
    <numFmt numFmtId="167" formatCode="0.0%"/>
    <numFmt numFmtId="168" formatCode="_-* #,##0.0_-;\-* #,##0.0_-;_-* &quot;-&quot;??_-;_-@_-"/>
    <numFmt numFmtId="169" formatCode="0.0000"/>
    <numFmt numFmtId="170" formatCode="_-* #,##0.00_р_._-;\-* #,##0.00_р_._-;_-* &quot;-&quot;??_р_._-;_-@_-"/>
    <numFmt numFmtId="171" formatCode="#,##0.000"/>
    <numFmt numFmtId="172" formatCode="#,##0.0000"/>
  </numFmts>
  <fonts count="27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i/>
      <sz val="10"/>
      <color indexed="8"/>
      <name val="Calibri"/>
      <family val="2"/>
      <charset val="204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indexed="8"/>
      <name val="Calibri"/>
      <family val="2"/>
    </font>
    <font>
      <i/>
      <vertAlign val="subscript"/>
      <sz val="10"/>
      <color indexed="8"/>
      <name val="Calibri"/>
      <family val="2"/>
    </font>
    <font>
      <b/>
      <i/>
      <sz val="10"/>
      <color indexed="8"/>
      <name val="Calibri"/>
      <family val="2"/>
      <charset val="204"/>
    </font>
    <font>
      <b/>
      <i/>
      <vertAlign val="subscript"/>
      <sz val="10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i/>
      <vertAlign val="superscript"/>
      <sz val="10"/>
      <color indexed="8"/>
      <name val="Calibri"/>
      <family val="2"/>
    </font>
    <font>
      <sz val="10"/>
      <color theme="0"/>
      <name val="Calibri"/>
      <family val="2"/>
      <scheme val="minor"/>
    </font>
    <font>
      <vertAlign val="subscript"/>
      <sz val="10"/>
      <color indexed="8"/>
      <name val="Calibri"/>
      <family val="2"/>
    </font>
    <font>
      <i/>
      <sz val="10"/>
      <color theme="1"/>
      <name val="Calibri"/>
      <family val="2"/>
      <scheme val="minor"/>
    </font>
    <font>
      <i/>
      <vertAlign val="subscript"/>
      <sz val="10"/>
      <color indexed="8"/>
      <name val="Calibri"/>
      <family val="2"/>
      <charset val="204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</font>
    <font>
      <i/>
      <vertAlign val="superscript"/>
      <sz val="10"/>
      <color indexed="8"/>
      <name val="Calibri"/>
      <family val="2"/>
      <charset val="204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charset val="204"/>
    </font>
    <font>
      <i/>
      <vertAlign val="subscript"/>
      <sz val="10"/>
      <name val="Calibri"/>
      <family val="2"/>
    </font>
    <font>
      <sz val="10"/>
      <name val="Calibri"/>
      <family val="2"/>
      <charset val="20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i/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i/>
      <sz val="10"/>
      <color theme="0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vertAlign val="superscript"/>
      <sz val="10"/>
      <color indexed="8"/>
      <name val="Calibri"/>
      <family val="2"/>
      <charset val="204"/>
    </font>
    <font>
      <vertAlign val="subscript"/>
      <sz val="10"/>
      <color indexed="8"/>
      <name val="Calibri"/>
      <family val="2"/>
      <charset val="204"/>
    </font>
    <font>
      <i/>
      <sz val="10"/>
      <name val="Calibri"/>
      <family val="2"/>
      <charset val="204"/>
      <scheme val="minor"/>
    </font>
    <font>
      <i/>
      <vertAlign val="subscript"/>
      <sz val="10"/>
      <color indexed="9"/>
      <name val="Calibri"/>
      <family val="2"/>
      <charset val="204"/>
    </font>
    <font>
      <b/>
      <sz val="10"/>
      <color theme="0"/>
      <name val="Calibri"/>
      <family val="2"/>
      <charset val="204"/>
      <scheme val="minor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  <charset val="204"/>
    </font>
    <font>
      <b/>
      <sz val="10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0"/>
      <color rgb="FF00B050"/>
      <name val="Calibri"/>
      <family val="2"/>
      <charset val="204"/>
      <scheme val="minor"/>
    </font>
    <font>
      <sz val="11"/>
      <color rgb="FF00B05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charset val="204"/>
      <scheme val="minor"/>
    </font>
    <font>
      <sz val="10"/>
      <color rgb="FFED000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i/>
      <sz val="14"/>
      <color theme="0"/>
      <name val="Calibri"/>
      <family val="2"/>
      <charset val="204"/>
    </font>
    <font>
      <i/>
      <sz val="11"/>
      <color indexed="8"/>
      <name val="Calibri"/>
      <family val="2"/>
    </font>
    <font>
      <i/>
      <vertAlign val="superscript"/>
      <sz val="11"/>
      <color indexed="8"/>
      <name val="Calibri"/>
      <family val="2"/>
      <charset val="204"/>
    </font>
    <font>
      <i/>
      <vertAlign val="subscript"/>
      <sz val="11"/>
      <color indexed="8"/>
      <name val="Calibri"/>
      <family val="2"/>
    </font>
    <font>
      <b/>
      <sz val="12"/>
      <color indexed="8"/>
      <name val="Calibri"/>
      <family val="2"/>
      <charset val="204"/>
    </font>
    <font>
      <sz val="12"/>
      <color indexed="8"/>
      <name val="Calibri"/>
      <family val="2"/>
    </font>
    <font>
      <i/>
      <sz val="12"/>
      <color indexed="8"/>
      <name val="Calibri"/>
      <family val="2"/>
      <charset val="204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00B050"/>
      <name val="Calibri"/>
      <family val="2"/>
      <scheme val="minor"/>
    </font>
    <font>
      <b/>
      <sz val="11"/>
      <color rgb="FF00B050"/>
      <name val="Calibri"/>
      <family val="2"/>
      <charset val="204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i/>
      <sz val="10"/>
      <color theme="1"/>
      <name val="Calibri"/>
      <family val="2"/>
    </font>
    <font>
      <sz val="10"/>
      <color rgb="FFFF0000"/>
      <name val="Calibri"/>
      <family val="2"/>
    </font>
    <font>
      <b/>
      <i/>
      <sz val="10"/>
      <color indexed="8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10"/>
      <color rgb="FF00B050"/>
      <name val="Calibri"/>
      <family val="2"/>
    </font>
    <font>
      <sz val="11"/>
      <color theme="8"/>
      <name val="Calibri"/>
      <family val="2"/>
      <scheme val="minor"/>
    </font>
    <font>
      <sz val="10"/>
      <color rgb="FF0070C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i/>
      <sz val="10"/>
      <color rgb="FF0070C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color rgb="FF00B050"/>
      <name val="Calibri"/>
      <family val="2"/>
    </font>
    <font>
      <sz val="10"/>
      <color theme="3"/>
      <name val="Calibri"/>
      <family val="2"/>
    </font>
    <font>
      <sz val="10"/>
      <color rgb="FF0070C0"/>
      <name val="Calibri"/>
      <family val="2"/>
      <charset val="204"/>
      <scheme val="minor"/>
    </font>
    <font>
      <vertAlign val="sub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vertAlign val="superscript"/>
      <sz val="11"/>
      <color indexed="8"/>
      <name val="Calibri"/>
      <family val="2"/>
      <charset val="204"/>
    </font>
    <font>
      <vertAlign val="subscript"/>
      <sz val="11"/>
      <color indexed="8"/>
      <name val="Calibri"/>
      <family val="2"/>
      <charset val="204"/>
    </font>
    <font>
      <sz val="12"/>
      <color theme="1"/>
      <name val="Calibri"/>
      <family val="2"/>
      <scheme val="minor"/>
    </font>
    <font>
      <b/>
      <sz val="12"/>
      <color theme="1"/>
      <name val="Times New Roman Tj"/>
      <family val="1"/>
      <charset val="204"/>
    </font>
    <font>
      <sz val="12"/>
      <color theme="1"/>
      <name val="Times New Roman Tj"/>
      <family val="1"/>
      <charset val="204"/>
    </font>
    <font>
      <sz val="10"/>
      <color rgb="FF0070C0"/>
      <name val="Calibri"/>
      <family val="2"/>
    </font>
    <font>
      <b/>
      <i/>
      <sz val="10"/>
      <color rgb="FF0070C0"/>
      <name val="Calibri"/>
      <family val="2"/>
    </font>
    <font>
      <b/>
      <i/>
      <sz val="10"/>
      <color rgb="FFFF0000"/>
      <name val="Calibri"/>
      <family val="2"/>
    </font>
    <font>
      <i/>
      <sz val="10"/>
      <color rgb="FF00B050"/>
      <name val="Calibri"/>
      <family val="2"/>
    </font>
    <font>
      <i/>
      <sz val="10"/>
      <color rgb="FFED0000"/>
      <name val="Calibri"/>
      <family val="2"/>
    </font>
    <font>
      <i/>
      <sz val="10"/>
      <color rgb="FFED000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color rgb="FFE40000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b/>
      <i/>
      <sz val="10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ED0000"/>
      <name val="Calibri"/>
      <family val="2"/>
      <charset val="204"/>
      <scheme val="minor"/>
    </font>
    <font>
      <b/>
      <sz val="10"/>
      <color theme="4" tint="-0.249977111117893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theme="9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rgb="FF0070C0"/>
      <name val="Calibri"/>
      <family val="2"/>
      <charset val="204"/>
      <scheme val="minor"/>
    </font>
    <font>
      <sz val="10"/>
      <color theme="4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charset val="204"/>
      <scheme val="minor"/>
    </font>
    <font>
      <sz val="10"/>
      <color theme="3"/>
      <name val="Calibri"/>
      <family val="2"/>
      <charset val="204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0"/>
      <name val="Arial Cy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9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0"/>
      <color theme="8"/>
      <name val="Calibri"/>
      <family val="2"/>
      <charset val="204"/>
      <scheme val="minor"/>
    </font>
    <font>
      <sz val="10"/>
      <color rgb="FF00B0F0"/>
      <name val="Calibri"/>
      <family val="2"/>
      <charset val="204"/>
      <scheme val="minor"/>
    </font>
    <font>
      <i/>
      <sz val="10"/>
      <color rgb="FF00B050"/>
      <name val="Calibri"/>
      <family val="2"/>
      <scheme val="minor"/>
    </font>
    <font>
      <b/>
      <i/>
      <sz val="10"/>
      <color rgb="FF00B050"/>
      <name val="Calibri"/>
      <family val="2"/>
      <charset val="204"/>
      <scheme val="minor"/>
    </font>
    <font>
      <sz val="12"/>
      <color rgb="FF00B050"/>
      <name val="Calibri"/>
      <family val="2"/>
    </font>
    <font>
      <b/>
      <sz val="12"/>
      <color rgb="FF00B050"/>
      <name val="Calibri"/>
      <family val="2"/>
      <charset val="204"/>
    </font>
    <font>
      <b/>
      <sz val="12"/>
      <color rgb="FF0070C0"/>
      <name val="Calibri"/>
      <family val="2"/>
      <charset val="204"/>
    </font>
    <font>
      <sz val="11"/>
      <color rgb="FF0070C0"/>
      <name val="Calibri"/>
      <family val="2"/>
      <charset val="204"/>
      <scheme val="minor"/>
    </font>
    <font>
      <sz val="12"/>
      <color rgb="FF0070C0"/>
      <name val="Calibri"/>
      <family val="2"/>
      <charset val="204"/>
    </font>
    <font>
      <i/>
      <sz val="11"/>
      <color rgb="FFFF0000"/>
      <name val="Calibri"/>
      <family val="2"/>
    </font>
    <font>
      <i/>
      <vertAlign val="subscript"/>
      <sz val="11"/>
      <color rgb="FFFF0000"/>
      <name val="Calibri"/>
      <family val="2"/>
    </font>
    <font>
      <i/>
      <sz val="11"/>
      <color rgb="FFED0000"/>
      <name val="Calibri"/>
      <family val="2"/>
    </font>
    <font>
      <i/>
      <vertAlign val="superscript"/>
      <sz val="11"/>
      <color rgb="FFED0000"/>
      <name val="Calibri"/>
      <family val="2"/>
    </font>
    <font>
      <i/>
      <vertAlign val="subscript"/>
      <sz val="11"/>
      <color rgb="FFED0000"/>
      <name val="Calibri"/>
      <family val="2"/>
    </font>
    <font>
      <sz val="11"/>
      <color rgb="FFED0000"/>
      <name val="Calibri"/>
      <family val="2"/>
      <charset val="204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ED0000"/>
      <name val="Calibri"/>
      <family val="2"/>
      <scheme val="minor"/>
    </font>
    <font>
      <b/>
      <i/>
      <sz val="11"/>
      <color rgb="FF0070C0"/>
      <name val="Calibri"/>
      <family val="2"/>
      <charset val="204"/>
      <scheme val="minor"/>
    </font>
    <font>
      <b/>
      <i/>
      <sz val="11"/>
      <color rgb="FF00B050"/>
      <name val="Calibri"/>
      <family val="2"/>
      <scheme val="minor"/>
    </font>
    <font>
      <i/>
      <vertAlign val="superscript"/>
      <sz val="10"/>
      <color rgb="FFED0000"/>
      <name val="Calibri"/>
      <family val="2"/>
    </font>
    <font>
      <i/>
      <vertAlign val="subscript"/>
      <sz val="10"/>
      <color rgb="FFED0000"/>
      <name val="Calibri"/>
      <family val="2"/>
    </font>
    <font>
      <b/>
      <i/>
      <sz val="12"/>
      <color rgb="FF00B050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rgb="FF0070C0"/>
      <name val="Calibri"/>
      <family val="2"/>
      <charset val="204"/>
      <scheme val="minor"/>
    </font>
    <font>
      <b/>
      <sz val="14"/>
      <color rgb="FFED0000"/>
      <name val="Calibri"/>
      <family val="2"/>
      <charset val="204"/>
      <scheme val="minor"/>
    </font>
    <font>
      <b/>
      <sz val="14"/>
      <color rgb="FF00B050"/>
      <name val="Calibri"/>
      <family val="2"/>
      <charset val="204"/>
      <scheme val="minor"/>
    </font>
    <font>
      <b/>
      <i/>
      <sz val="14"/>
      <color rgb="FF00B050"/>
      <name val="Calibri"/>
      <family val="2"/>
      <charset val="204"/>
      <scheme val="minor"/>
    </font>
    <font>
      <b/>
      <sz val="14"/>
      <color rgb="FF00B05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Times New Roman Tj"/>
      <family val="1"/>
      <charset val="204"/>
    </font>
    <font>
      <sz val="14"/>
      <color theme="1"/>
      <name val="Times New Roman Tj"/>
      <family val="1"/>
      <charset val="204"/>
    </font>
    <font>
      <b/>
      <sz val="14"/>
      <color theme="1"/>
      <name val="Times New Roman Tj"/>
      <family val="1"/>
      <charset val="204"/>
    </font>
    <font>
      <sz val="14"/>
      <color rgb="FF191919"/>
      <name val="Times New Roman Tj"/>
      <family val="1"/>
      <charset val="204"/>
    </font>
    <font>
      <sz val="12"/>
      <color rgb="FF191919"/>
      <name val="Times New Roman Tj"/>
      <family val="1"/>
      <charset val="204"/>
    </font>
    <font>
      <sz val="8"/>
      <color indexed="8"/>
      <name val="Times New Roman Tj"/>
      <family val="1"/>
      <charset val="204"/>
    </font>
    <font>
      <sz val="12"/>
      <color indexed="8"/>
      <name val="Times New Roman Tj"/>
      <family val="1"/>
      <charset val="204"/>
    </font>
    <font>
      <sz val="14"/>
      <color rgb="FFFF0000"/>
      <name val="Times New Roman Tj"/>
      <family val="1"/>
      <charset val="204"/>
    </font>
    <font>
      <sz val="14"/>
      <name val="Times New Roman Tj"/>
      <family val="1"/>
      <charset val="204"/>
    </font>
    <font>
      <i/>
      <sz val="14"/>
      <color theme="1"/>
      <name val="Times New Roman Tj"/>
      <family val="1"/>
      <charset val="204"/>
    </font>
    <font>
      <sz val="14"/>
      <color rgb="FFED0000"/>
      <name val="Times New Roman Tj"/>
      <family val="1"/>
      <charset val="204"/>
    </font>
    <font>
      <b/>
      <sz val="10"/>
      <color rgb="FF00B050"/>
      <name val="Calibri"/>
      <family val="2"/>
    </font>
    <font>
      <sz val="12"/>
      <color rgb="FF7030A0"/>
      <name val="Times New Roman Tj"/>
      <family val="1"/>
      <charset val="204"/>
    </font>
    <font>
      <sz val="10"/>
      <color rgb="FF7030A0"/>
      <name val="Calibri"/>
      <family val="2"/>
      <charset val="204"/>
      <scheme val="minor"/>
    </font>
    <font>
      <sz val="10"/>
      <color theme="8"/>
      <name val="Calibri"/>
      <family val="2"/>
      <scheme val="minor"/>
    </font>
    <font>
      <b/>
      <sz val="10"/>
      <color theme="8"/>
      <name val="Calibri"/>
      <family val="2"/>
      <charset val="204"/>
      <scheme val="minor"/>
    </font>
    <font>
      <b/>
      <sz val="10"/>
      <color theme="8"/>
      <name val="Calibri"/>
      <family val="2"/>
      <scheme val="minor"/>
    </font>
    <font>
      <b/>
      <sz val="11"/>
      <color theme="8"/>
      <name val="Calibri"/>
      <family val="2"/>
      <charset val="204"/>
      <scheme val="minor"/>
    </font>
    <font>
      <sz val="8"/>
      <name val="Academy"/>
    </font>
    <font>
      <b/>
      <u/>
      <sz val="8"/>
      <name val="Arial"/>
      <family val="2"/>
      <charset val="204"/>
    </font>
    <font>
      <b/>
      <i/>
      <sz val="11"/>
      <color theme="8"/>
      <name val="Calibri"/>
      <family val="2"/>
      <scheme val="minor"/>
    </font>
    <font>
      <i/>
      <sz val="10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0"/>
      <color theme="8" tint="-0.249977111117893"/>
      <name val="Calibri"/>
      <family val="2"/>
      <charset val="204"/>
      <scheme val="minor"/>
    </font>
    <font>
      <sz val="10"/>
      <color theme="8" tint="-0.249977111117893"/>
      <name val="Calibri"/>
      <family val="2"/>
      <scheme val="minor"/>
    </font>
    <font>
      <sz val="10"/>
      <color theme="8" tint="-0.249977111117893"/>
      <name val="Calibri"/>
      <family val="2"/>
      <charset val="204"/>
      <scheme val="minor"/>
    </font>
    <font>
      <sz val="14"/>
      <color theme="8" tint="-0.249977111117893"/>
      <name val="Times New Roman"/>
      <family val="1"/>
      <charset val="204"/>
    </font>
    <font>
      <b/>
      <sz val="14"/>
      <color theme="8" tint="-0.249977111117893"/>
      <name val="Calibri"/>
      <family val="2"/>
      <charset val="204"/>
      <scheme val="minor"/>
    </font>
    <font>
      <b/>
      <sz val="14"/>
      <color theme="8" tint="-0.249977111117893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i/>
      <sz val="12"/>
      <color rgb="FFED0000"/>
      <name val="Calibri"/>
      <family val="2"/>
      <scheme val="minor"/>
    </font>
    <font>
      <sz val="11"/>
      <color rgb="FFD20000"/>
      <name val="Calibri"/>
      <family val="2"/>
      <scheme val="minor"/>
    </font>
    <font>
      <sz val="10"/>
      <color theme="4" tint="-0.249977111117893"/>
      <name val="Calibri"/>
      <family val="2"/>
    </font>
    <font>
      <sz val="10"/>
      <color theme="4" tint="-0.249977111117893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2"/>
      <color theme="4" tint="-0.249977111117893"/>
      <name val="Calibri"/>
      <family val="2"/>
      <charset val="204"/>
    </font>
    <font>
      <sz val="11"/>
      <color rgb="FF692798"/>
      <name val="Calibri"/>
      <family val="2"/>
      <scheme val="minor"/>
    </font>
    <font>
      <b/>
      <i/>
      <sz val="10"/>
      <color theme="4" tint="-0.249977111117893"/>
      <name val="Calibri"/>
      <family val="2"/>
      <scheme val="minor"/>
    </font>
    <font>
      <i/>
      <sz val="10"/>
      <color theme="4" tint="-0.249977111117893"/>
      <name val="Calibri"/>
      <family val="2"/>
    </font>
    <font>
      <sz val="11"/>
      <color rgb="FFAB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C00000"/>
      <name val="Times New Roman"/>
      <family val="1"/>
      <charset val="204"/>
    </font>
    <font>
      <sz val="12"/>
      <color rgb="FFFF0000"/>
      <name val="Calibri"/>
      <family val="2"/>
      <charset val="204"/>
    </font>
    <font>
      <b/>
      <sz val="10"/>
      <color theme="8" tint="-0.249977111117893"/>
      <name val="Calibri"/>
      <family val="2"/>
      <scheme val="minor"/>
    </font>
    <font>
      <sz val="8"/>
      <name val="NTHarmonica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i/>
      <sz val="1"/>
      <color indexed="8"/>
      <name val="Courier"/>
      <family val="1"/>
      <charset val="204"/>
    </font>
    <font>
      <u/>
      <sz val="11"/>
      <color theme="10"/>
      <name val="Calibri"/>
      <family val="2"/>
    </font>
    <font>
      <i/>
      <sz val="10"/>
      <color rgb="FFFF0000"/>
      <name val="Calibri"/>
      <family val="2"/>
    </font>
    <font>
      <sz val="10"/>
      <name val="Helv"/>
    </font>
    <font>
      <i/>
      <sz val="10"/>
      <color theme="3" tint="0.39997558519241921"/>
      <name val="Calibri"/>
      <family val="2"/>
    </font>
    <font>
      <b/>
      <sz val="10"/>
      <name val="Calibri"/>
      <family val="2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12"/>
      <color rgb="FFFF0000"/>
      <name val="Calibri"/>
      <family val="2"/>
    </font>
    <font>
      <sz val="10"/>
      <color indexed="63"/>
      <name val="Calibri"/>
      <family val="2"/>
      <charset val="204"/>
      <scheme val="minor"/>
    </font>
    <font>
      <sz val="12"/>
      <color rgb="FF00B050"/>
      <name val="Calibri"/>
      <family val="2"/>
      <charset val="204"/>
    </font>
    <font>
      <b/>
      <i/>
      <sz val="10"/>
      <color rgb="FFFF0000"/>
      <name val="Calibri"/>
      <family val="2"/>
      <charset val="204"/>
      <scheme val="minor"/>
    </font>
    <font>
      <sz val="10"/>
      <color rgb="FF00B050"/>
      <name val="BundesSerif Office"/>
      <family val="1"/>
    </font>
    <font>
      <i/>
      <sz val="9"/>
      <color rgb="FF00B050"/>
      <name val="Calibri"/>
      <family val="2"/>
      <charset val="204"/>
      <scheme val="minor"/>
    </font>
    <font>
      <b/>
      <i/>
      <sz val="11"/>
      <color rgb="FF00B050"/>
      <name val="Calibri"/>
      <family val="2"/>
      <charset val="204"/>
      <scheme val="minor"/>
    </font>
    <font>
      <sz val="10"/>
      <color rgb="FF00B050"/>
      <name val="Times New Roman"/>
      <family val="1"/>
    </font>
    <font>
      <b/>
      <i/>
      <sz val="9"/>
      <color rgb="FF00B050"/>
      <name val="Calibri"/>
      <family val="2"/>
      <charset val="204"/>
      <scheme val="minor"/>
    </font>
    <font>
      <b/>
      <sz val="10"/>
      <color rgb="FF00B0F0"/>
      <name val="Calibri"/>
      <family val="2"/>
      <charset val="204"/>
      <scheme val="minor"/>
    </font>
    <font>
      <i/>
      <sz val="11"/>
      <color rgb="FF00B050"/>
      <name val="Calibri"/>
      <family val="2"/>
      <charset val="204"/>
      <scheme val="minor"/>
    </font>
    <font>
      <b/>
      <i/>
      <sz val="9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rgb="FF00B050"/>
      <name val="Calibri"/>
      <family val="2"/>
    </font>
    <font>
      <sz val="10"/>
      <color rgb="FF00B0F0"/>
      <name val="Calibri"/>
      <family val="2"/>
      <scheme val="minor"/>
    </font>
    <font>
      <b/>
      <i/>
      <sz val="10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i/>
      <sz val="9"/>
      <color rgb="FF00B050"/>
      <name val="Calibri"/>
      <family val="2"/>
      <scheme val="minor"/>
    </font>
    <font>
      <i/>
      <sz val="10"/>
      <color rgb="FF00B050"/>
      <name val="Calibri"/>
      <family val="2"/>
      <charset val="204"/>
      <scheme val="minor"/>
    </font>
    <font>
      <i/>
      <sz val="9"/>
      <color rgb="FF00B050"/>
      <name val="Calibri"/>
      <family val="2"/>
      <scheme val="minor"/>
    </font>
    <font>
      <i/>
      <sz val="10"/>
      <color indexed="63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0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1"/>
      <color rgb="FF7030A0"/>
      <name val="Times New Roman"/>
      <family val="1"/>
      <charset val="204"/>
    </font>
    <font>
      <b/>
      <sz val="10"/>
      <color theme="3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charset val="204"/>
      <scheme val="minor"/>
    </font>
    <font>
      <i/>
      <vertAlign val="subscript"/>
      <sz val="10"/>
      <color rgb="FFFF0000"/>
      <name val="Calibri"/>
      <family val="2"/>
    </font>
    <font>
      <sz val="11"/>
      <color theme="3"/>
      <name val="Calibri"/>
      <family val="2"/>
      <scheme val="minor"/>
    </font>
    <font>
      <b/>
      <sz val="9"/>
      <name val="Arial"/>
      <family val="2"/>
      <charset val="204"/>
    </font>
    <font>
      <sz val="14"/>
      <color theme="5"/>
      <name val="Times New Roman Tj"/>
      <family val="1"/>
      <charset val="204"/>
    </font>
  </fonts>
  <fills count="4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3114D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8F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7" fillId="0" borderId="0"/>
    <xf numFmtId="0" fontId="25" fillId="0" borderId="0"/>
    <xf numFmtId="164" fontId="47" fillId="0" borderId="0"/>
    <xf numFmtId="0" fontId="25" fillId="0" borderId="0"/>
    <xf numFmtId="43" fontId="7" fillId="0" borderId="0" applyFont="0" applyFill="0" applyBorder="0" applyAlignment="0" applyProtection="0"/>
    <xf numFmtId="0" fontId="139" fillId="0" borderId="0"/>
    <xf numFmtId="0" fontId="4" fillId="0" borderId="0"/>
    <xf numFmtId="0" fontId="200" fillId="0" borderId="0"/>
    <xf numFmtId="4" fontId="232" fillId="0" borderId="0">
      <protection locked="0"/>
    </xf>
    <xf numFmtId="4" fontId="232" fillId="0" borderId="0">
      <protection locked="0"/>
    </xf>
    <xf numFmtId="4" fontId="232" fillId="0" borderId="0">
      <protection locked="0"/>
    </xf>
    <xf numFmtId="0" fontId="233" fillId="0" borderId="0">
      <alignment horizontal="center"/>
      <protection locked="0"/>
    </xf>
    <xf numFmtId="0" fontId="233" fillId="0" borderId="0">
      <protection locked="0"/>
    </xf>
    <xf numFmtId="0" fontId="233" fillId="0" borderId="0">
      <protection locked="0"/>
    </xf>
    <xf numFmtId="0" fontId="232" fillId="0" borderId="19">
      <protection locked="0"/>
    </xf>
    <xf numFmtId="170" fontId="7" fillId="0" borderId="0" applyFont="0" applyFill="0" applyBorder="0" applyAlignment="0" applyProtection="0"/>
    <xf numFmtId="0" fontId="232" fillId="0" borderId="0">
      <protection locked="0"/>
    </xf>
    <xf numFmtId="0" fontId="232" fillId="0" borderId="0">
      <protection locked="0"/>
    </xf>
    <xf numFmtId="0" fontId="233" fillId="0" borderId="0">
      <protection locked="0"/>
    </xf>
    <xf numFmtId="0" fontId="233" fillId="0" borderId="0">
      <protection locked="0"/>
    </xf>
    <xf numFmtId="0" fontId="235" fillId="0" borderId="0" applyNumberFormat="0" applyFill="0" applyBorder="0" applyAlignment="0" applyProtection="0">
      <alignment vertical="top"/>
      <protection locked="0"/>
    </xf>
    <xf numFmtId="164" fontId="47" fillId="0" borderId="0"/>
    <xf numFmtId="164" fontId="47" fillId="0" borderId="0"/>
    <xf numFmtId="0" fontId="7" fillId="0" borderId="0"/>
    <xf numFmtId="0" fontId="231" fillId="0" borderId="0">
      <alignment vertical="center" wrapText="1"/>
    </xf>
    <xf numFmtId="0" fontId="232" fillId="0" borderId="0">
      <protection locked="0"/>
    </xf>
    <xf numFmtId="0" fontId="7" fillId="0" borderId="0"/>
    <xf numFmtId="4" fontId="234" fillId="0" borderId="0">
      <protection locked="0"/>
    </xf>
    <xf numFmtId="43" fontId="7" fillId="0" borderId="0" applyFont="0" applyFill="0" applyBorder="0" applyAlignment="0" applyProtection="0"/>
    <xf numFmtId="0" fontId="237" fillId="0" borderId="0"/>
    <xf numFmtId="0" fontId="139" fillId="0" borderId="0"/>
    <xf numFmtId="43" fontId="240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1" fillId="0" borderId="0"/>
  </cellStyleXfs>
  <cellXfs count="1339">
    <xf numFmtId="0" fontId="0" fillId="0" borderId="0" xfId="0"/>
    <xf numFmtId="0" fontId="10" fillId="0" borderId="0" xfId="0" applyFont="1"/>
    <xf numFmtId="0" fontId="11" fillId="0" borderId="0" xfId="0" applyFont="1"/>
    <xf numFmtId="0" fontId="12" fillId="2" borderId="0" xfId="1" applyFont="1" applyFill="1"/>
    <xf numFmtId="0" fontId="12" fillId="2" borderId="0" xfId="1" applyFont="1" applyFill="1" applyAlignment="1">
      <alignment horizontal="left"/>
    </xf>
    <xf numFmtId="0" fontId="13" fillId="0" borderId="0" xfId="1" applyFont="1"/>
    <xf numFmtId="0" fontId="14" fillId="0" borderId="0" xfId="1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1" applyFont="1" applyAlignment="1">
      <alignment horizontal="left" vertical="center"/>
    </xf>
    <xf numFmtId="0" fontId="17" fillId="0" borderId="0" xfId="0" applyFont="1" applyAlignment="1">
      <alignment horizontal="left"/>
    </xf>
    <xf numFmtId="0" fontId="19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9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0" fontId="15" fillId="3" borderId="0" xfId="0" applyFont="1" applyFill="1" applyAlignment="1">
      <alignment horizontal="left"/>
    </xf>
    <xf numFmtId="0" fontId="13" fillId="3" borderId="0" xfId="1" applyFont="1" applyFill="1" applyAlignment="1">
      <alignment horizontal="left"/>
    </xf>
    <xf numFmtId="0" fontId="14" fillId="0" borderId="0" xfId="1" applyFont="1" applyAlignment="1">
      <alignment horizontal="left" wrapText="1"/>
    </xf>
    <xf numFmtId="0" fontId="21" fillId="4" borderId="0" xfId="1" applyFont="1" applyFill="1"/>
    <xf numFmtId="0" fontId="12" fillId="4" borderId="0" xfId="1" applyFont="1" applyFill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quotePrefix="1" applyFont="1" applyAlignment="1">
      <alignment horizontal="left"/>
    </xf>
    <xf numFmtId="0" fontId="23" fillId="0" borderId="0" xfId="1" applyFont="1" applyAlignment="1">
      <alignment horizontal="left"/>
    </xf>
    <xf numFmtId="0" fontId="13" fillId="4" borderId="0" xfId="1" applyFont="1" applyFill="1"/>
    <xf numFmtId="0" fontId="21" fillId="4" borderId="0" xfId="1" applyFont="1" applyFill="1" applyAlignment="1">
      <alignment horizontal="left"/>
    </xf>
    <xf numFmtId="0" fontId="21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26" fillId="0" borderId="0" xfId="2" applyFont="1"/>
    <xf numFmtId="0" fontId="27" fillId="0" borderId="0" xfId="2" applyFont="1"/>
    <xf numFmtId="0" fontId="15" fillId="6" borderId="0" xfId="0" applyFont="1" applyFill="1" applyAlignment="1">
      <alignment horizontal="left"/>
    </xf>
    <xf numFmtId="0" fontId="13" fillId="0" borderId="0" xfId="0" applyFont="1"/>
    <xf numFmtId="164" fontId="27" fillId="0" borderId="0" xfId="2" applyNumberFormat="1" applyFont="1"/>
    <xf numFmtId="164" fontId="30" fillId="0" borderId="0" xfId="2" applyNumberFormat="1" applyFont="1"/>
    <xf numFmtId="0" fontId="13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5" fillId="7" borderId="0" xfId="0" applyFont="1" applyFill="1" applyAlignment="1">
      <alignment horizontal="left"/>
    </xf>
    <xf numFmtId="0" fontId="12" fillId="5" borderId="0" xfId="0" quotePrefix="1" applyFont="1" applyFill="1" applyAlignment="1">
      <alignment horizontal="left"/>
    </xf>
    <xf numFmtId="0" fontId="19" fillId="0" borderId="0" xfId="0" applyFont="1" applyAlignment="1">
      <alignment horizontal="left"/>
    </xf>
    <xf numFmtId="0" fontId="13" fillId="6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6" fillId="0" borderId="0" xfId="0" quotePrefix="1" applyFont="1" applyAlignment="1">
      <alignment horizontal="left"/>
    </xf>
    <xf numFmtId="0" fontId="33" fillId="7" borderId="0" xfId="0" applyFont="1" applyFill="1" applyAlignment="1">
      <alignment horizontal="left"/>
    </xf>
    <xf numFmtId="0" fontId="33" fillId="6" borderId="0" xfId="0" applyFont="1" applyFill="1" applyAlignment="1">
      <alignment horizontal="left"/>
    </xf>
    <xf numFmtId="0" fontId="0" fillId="6" borderId="0" xfId="0" applyFill="1"/>
    <xf numFmtId="0" fontId="37" fillId="7" borderId="0" xfId="0" applyFont="1" applyFill="1"/>
    <xf numFmtId="0" fontId="38" fillId="7" borderId="0" xfId="0" applyFont="1" applyFill="1" applyAlignment="1">
      <alignment horizontal="center"/>
    </xf>
    <xf numFmtId="0" fontId="39" fillId="7" borderId="0" xfId="0" applyFont="1" applyFill="1" applyAlignment="1">
      <alignment horizontal="left"/>
    </xf>
    <xf numFmtId="0" fontId="40" fillId="8" borderId="0" xfId="0" applyFont="1" applyFill="1"/>
    <xf numFmtId="0" fontId="40" fillId="8" borderId="0" xfId="0" applyFont="1" applyFill="1" applyAlignment="1">
      <alignment wrapText="1"/>
    </xf>
    <xf numFmtId="0" fontId="41" fillId="8" borderId="0" xfId="0" applyFont="1" applyFill="1" applyAlignment="1">
      <alignment horizontal="left"/>
    </xf>
    <xf numFmtId="0" fontId="37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7" fillId="0" borderId="0" xfId="0" quotePrefix="1" applyFont="1" applyAlignment="1">
      <alignment horizontal="left"/>
    </xf>
    <xf numFmtId="0" fontId="37" fillId="6" borderId="0" xfId="0" applyFont="1" applyFill="1"/>
    <xf numFmtId="0" fontId="41" fillId="8" borderId="0" xfId="0" applyFont="1" applyFill="1"/>
    <xf numFmtId="0" fontId="38" fillId="0" borderId="0" xfId="0" applyFont="1" applyAlignment="1">
      <alignment horizontal="left"/>
    </xf>
    <xf numFmtId="0" fontId="37" fillId="0" borderId="0" xfId="1" applyFont="1" applyAlignment="1">
      <alignment horizontal="left"/>
    </xf>
    <xf numFmtId="0" fontId="33" fillId="0" borderId="0" xfId="1" applyFont="1" applyAlignment="1">
      <alignment horizontal="left"/>
    </xf>
    <xf numFmtId="0" fontId="33" fillId="0" borderId="0" xfId="2" applyFont="1"/>
    <xf numFmtId="164" fontId="44" fillId="0" borderId="0" xfId="2" applyNumberFormat="1" applyFont="1"/>
    <xf numFmtId="164" fontId="33" fillId="0" borderId="0" xfId="2" applyNumberFormat="1" applyFont="1"/>
    <xf numFmtId="0" fontId="10" fillId="0" borderId="0" xfId="0" applyFont="1" applyAlignment="1">
      <alignment horizontal="left"/>
    </xf>
    <xf numFmtId="0" fontId="39" fillId="7" borderId="0" xfId="0" applyFont="1" applyFill="1"/>
    <xf numFmtId="0" fontId="33" fillId="0" borderId="0" xfId="0" applyFont="1"/>
    <xf numFmtId="0" fontId="41" fillId="9" borderId="0" xfId="0" applyFont="1" applyFill="1"/>
    <xf numFmtId="0" fontId="41" fillId="9" borderId="0" xfId="0" applyFont="1" applyFill="1" applyAlignment="1">
      <alignment horizontal="left"/>
    </xf>
    <xf numFmtId="0" fontId="40" fillId="10" borderId="0" xfId="0" applyFont="1" applyFill="1" applyAlignment="1">
      <alignment horizontal="left"/>
    </xf>
    <xf numFmtId="0" fontId="41" fillId="10" borderId="0" xfId="0" applyFont="1" applyFill="1" applyAlignment="1">
      <alignment horizontal="left"/>
    </xf>
    <xf numFmtId="0" fontId="44" fillId="0" borderId="0" xfId="0" applyFont="1" applyAlignment="1">
      <alignment horizontal="left"/>
    </xf>
    <xf numFmtId="0" fontId="10" fillId="7" borderId="0" xfId="0" applyFont="1" applyFill="1" applyAlignment="1">
      <alignment horizontal="left"/>
    </xf>
    <xf numFmtId="0" fontId="37" fillId="8" borderId="0" xfId="0" applyFont="1" applyFill="1"/>
    <xf numFmtId="0" fontId="39" fillId="0" borderId="0" xfId="0" applyFont="1"/>
    <xf numFmtId="0" fontId="38" fillId="0" borderId="0" xfId="0" applyFont="1" applyAlignment="1">
      <alignment horizontal="left" vertical="center"/>
    </xf>
    <xf numFmtId="0" fontId="37" fillId="7" borderId="0" xfId="0" applyFont="1" applyFill="1" applyAlignment="1">
      <alignment horizontal="left"/>
    </xf>
    <xf numFmtId="0" fontId="38" fillId="7" borderId="0" xfId="0" applyFont="1" applyFill="1" applyAlignment="1">
      <alignment horizontal="left"/>
    </xf>
    <xf numFmtId="0" fontId="46" fillId="8" borderId="0" xfId="0" applyFont="1" applyFill="1"/>
    <xf numFmtId="0" fontId="39" fillId="8" borderId="0" xfId="0" applyFont="1" applyFill="1"/>
    <xf numFmtId="0" fontId="37" fillId="8" borderId="0" xfId="0" applyFont="1" applyFill="1" applyAlignment="1">
      <alignment horizontal="left"/>
    </xf>
    <xf numFmtId="0" fontId="38" fillId="7" borderId="0" xfId="0" applyFont="1" applyFill="1"/>
    <xf numFmtId="164" fontId="33" fillId="7" borderId="0" xfId="3" applyFont="1" applyFill="1"/>
    <xf numFmtId="0" fontId="37" fillId="7" borderId="0" xfId="0" applyFont="1" applyFill="1" applyAlignment="1">
      <alignment wrapText="1"/>
    </xf>
    <xf numFmtId="0" fontId="48" fillId="0" borderId="0" xfId="0" applyFont="1"/>
    <xf numFmtId="0" fontId="49" fillId="8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0" fontId="0" fillId="11" borderId="0" xfId="0" applyFill="1"/>
    <xf numFmtId="0" fontId="0" fillId="12" borderId="0" xfId="0" applyFill="1"/>
    <xf numFmtId="0" fontId="0" fillId="13" borderId="0" xfId="0" applyFill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48" fillId="0" borderId="0" xfId="0" applyNumberFormat="1" applyFont="1"/>
    <xf numFmtId="0" fontId="0" fillId="14" borderId="0" xfId="0" applyFill="1"/>
    <xf numFmtId="164" fontId="0" fillId="13" borderId="0" xfId="0" applyNumberFormat="1" applyFill="1"/>
    <xf numFmtId="1" fontId="53" fillId="0" borderId="0" xfId="0" applyNumberFormat="1" applyFont="1" applyAlignment="1">
      <alignment horizontal="center"/>
    </xf>
    <xf numFmtId="1" fontId="54" fillId="0" borderId="0" xfId="0" applyNumberFormat="1" applyFont="1" applyAlignment="1">
      <alignment horizontal="center"/>
    </xf>
    <xf numFmtId="1" fontId="54" fillId="7" borderId="0" xfId="0" applyNumberFormat="1" applyFont="1" applyFill="1" applyAlignment="1">
      <alignment horizontal="center"/>
    </xf>
    <xf numFmtId="1" fontId="55" fillId="7" borderId="0" xfId="0" applyNumberFormat="1" applyFont="1" applyFill="1" applyAlignment="1">
      <alignment horizontal="center"/>
    </xf>
    <xf numFmtId="1" fontId="55" fillId="3" borderId="0" xfId="0" applyNumberFormat="1" applyFont="1" applyFill="1" applyAlignment="1">
      <alignment horizontal="center"/>
    </xf>
    <xf numFmtId="0" fontId="41" fillId="15" borderId="0" xfId="0" applyFont="1" applyFill="1"/>
    <xf numFmtId="0" fontId="46" fillId="15" borderId="0" xfId="0" applyFont="1" applyFill="1"/>
    <xf numFmtId="0" fontId="19" fillId="0" borderId="0" xfId="0" applyFont="1"/>
    <xf numFmtId="0" fontId="56" fillId="0" borderId="0" xfId="0" applyFont="1"/>
    <xf numFmtId="0" fontId="56" fillId="6" borderId="0" xfId="0" applyFont="1" applyFill="1"/>
    <xf numFmtId="1" fontId="37" fillId="0" borderId="0" xfId="0" applyNumberFormat="1" applyFont="1"/>
    <xf numFmtId="0" fontId="57" fillId="0" borderId="0" xfId="0" applyFont="1"/>
    <xf numFmtId="0" fontId="13" fillId="17" borderId="0" xfId="1" applyFont="1" applyFill="1"/>
    <xf numFmtId="0" fontId="0" fillId="17" borderId="0" xfId="0" applyFill="1"/>
    <xf numFmtId="0" fontId="48" fillId="17" borderId="0" xfId="0" applyFont="1" applyFill="1"/>
    <xf numFmtId="164" fontId="0" fillId="17" borderId="0" xfId="0" applyNumberFormat="1" applyFill="1"/>
    <xf numFmtId="164" fontId="48" fillId="17" borderId="0" xfId="0" applyNumberFormat="1" applyFont="1" applyFill="1"/>
    <xf numFmtId="0" fontId="0" fillId="18" borderId="0" xfId="0" applyFill="1"/>
    <xf numFmtId="164" fontId="0" fillId="16" borderId="0" xfId="0" applyNumberFormat="1" applyFill="1"/>
    <xf numFmtId="2" fontId="48" fillId="0" borderId="0" xfId="0" applyNumberFormat="1" applyFont="1"/>
    <xf numFmtId="164" fontId="59" fillId="0" borderId="0" xfId="0" applyNumberFormat="1" applyFont="1" applyAlignment="1">
      <alignment horizontal="right"/>
    </xf>
    <xf numFmtId="164" fontId="60" fillId="0" borderId="0" xfId="0" applyNumberFormat="1" applyFont="1" applyAlignment="1" applyProtection="1">
      <alignment horizontal="right"/>
      <protection locked="0"/>
    </xf>
    <xf numFmtId="1" fontId="60" fillId="0" borderId="0" xfId="0" applyNumberFormat="1" applyFont="1" applyAlignment="1" applyProtection="1">
      <alignment horizontal="right"/>
      <protection locked="0"/>
    </xf>
    <xf numFmtId="164" fontId="61" fillId="0" borderId="0" xfId="0" applyNumberFormat="1" applyFont="1" applyAlignment="1" applyProtection="1">
      <alignment horizontal="right"/>
      <protection locked="0"/>
    </xf>
    <xf numFmtId="164" fontId="0" fillId="19" borderId="0" xfId="0" applyNumberFormat="1" applyFill="1"/>
    <xf numFmtId="164" fontId="0" fillId="20" borderId="0" xfId="0" applyNumberFormat="1" applyFill="1"/>
    <xf numFmtId="2" fontId="0" fillId="6" borderId="0" xfId="0" applyNumberFormat="1" applyFill="1"/>
    <xf numFmtId="164" fontId="0" fillId="6" borderId="0" xfId="0" applyNumberFormat="1" applyFill="1"/>
    <xf numFmtId="0" fontId="0" fillId="21" borderId="0" xfId="0" applyFill="1"/>
    <xf numFmtId="164" fontId="57" fillId="0" borderId="0" xfId="0" applyNumberFormat="1" applyFont="1" applyAlignment="1">
      <alignment horizontal="right"/>
    </xf>
    <xf numFmtId="0" fontId="48" fillId="12" borderId="0" xfId="0" applyFont="1" applyFill="1"/>
    <xf numFmtId="1" fontId="48" fillId="0" borderId="0" xfId="0" applyNumberFormat="1" applyFont="1" applyAlignment="1">
      <alignment horizontal="center"/>
    </xf>
    <xf numFmtId="0" fontId="62" fillId="0" borderId="0" xfId="0" applyFont="1"/>
    <xf numFmtId="0" fontId="63" fillId="0" borderId="0" xfId="0" applyFont="1" applyAlignment="1">
      <alignment horizontal="center"/>
    </xf>
    <xf numFmtId="164" fontId="64" fillId="0" borderId="0" xfId="1" applyNumberFormat="1" applyFont="1"/>
    <xf numFmtId="164" fontId="54" fillId="0" borderId="0" xfId="1" applyNumberFormat="1" applyFont="1"/>
    <xf numFmtId="164" fontId="63" fillId="0" borderId="0" xfId="1" applyNumberFormat="1" applyFont="1"/>
    <xf numFmtId="164" fontId="59" fillId="0" borderId="0" xfId="1" applyNumberFormat="1" applyFont="1"/>
    <xf numFmtId="164" fontId="63" fillId="7" borderId="0" xfId="1" applyNumberFormat="1" applyFont="1" applyFill="1"/>
    <xf numFmtId="0" fontId="66" fillId="0" borderId="0" xfId="0" applyFont="1"/>
    <xf numFmtId="2" fontId="0" fillId="18" borderId="0" xfId="0" applyNumberFormat="1" applyFill="1"/>
    <xf numFmtId="164" fontId="13" fillId="22" borderId="0" xfId="1" applyNumberFormat="1" applyFont="1" applyFill="1"/>
    <xf numFmtId="2" fontId="0" fillId="20" borderId="0" xfId="0" applyNumberFormat="1" applyFill="1"/>
    <xf numFmtId="0" fontId="67" fillId="23" borderId="0" xfId="0" applyFont="1" applyFill="1" applyAlignment="1">
      <alignment horizontal="left"/>
    </xf>
    <xf numFmtId="0" fontId="0" fillId="23" borderId="0" xfId="0" applyFill="1"/>
    <xf numFmtId="0" fontId="68" fillId="0" borderId="0" xfId="0" applyFont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/>
    <xf numFmtId="0" fontId="73" fillId="0" borderId="0" xfId="0" applyFont="1"/>
    <xf numFmtId="0" fontId="71" fillId="0" borderId="0" xfId="0" applyFont="1"/>
    <xf numFmtId="0" fontId="9" fillId="0" borderId="0" xfId="0" applyFont="1"/>
    <xf numFmtId="0" fontId="72" fillId="0" borderId="1" xfId="0" applyFont="1" applyBorder="1"/>
    <xf numFmtId="164" fontId="74" fillId="0" borderId="0" xfId="0" applyNumberFormat="1" applyFont="1"/>
    <xf numFmtId="164" fontId="75" fillId="0" borderId="0" xfId="0" applyNumberFormat="1" applyFont="1"/>
    <xf numFmtId="0" fontId="76" fillId="7" borderId="0" xfId="0" applyFont="1" applyFill="1"/>
    <xf numFmtId="0" fontId="77" fillId="7" borderId="0" xfId="0" applyFont="1" applyFill="1"/>
    <xf numFmtId="0" fontId="78" fillId="0" borderId="0" xfId="0" applyFont="1" applyAlignment="1">
      <alignment horizontal="left"/>
    </xf>
    <xf numFmtId="0" fontId="79" fillId="0" borderId="0" xfId="0" applyFont="1"/>
    <xf numFmtId="0" fontId="78" fillId="0" borderId="0" xfId="0" applyFont="1"/>
    <xf numFmtId="0" fontId="79" fillId="23" borderId="0" xfId="0" applyFont="1" applyFill="1"/>
    <xf numFmtId="0" fontId="79" fillId="7" borderId="0" xfId="0" applyFont="1" applyFill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78" fillId="0" borderId="0" xfId="0" applyFont="1" applyAlignment="1">
      <alignment vertical="center" wrapText="1"/>
    </xf>
    <xf numFmtId="0" fontId="84" fillId="0" borderId="0" xfId="0" applyFont="1" applyAlignment="1">
      <alignment horizontal="left"/>
    </xf>
    <xf numFmtId="0" fontId="81" fillId="0" borderId="0" xfId="0" applyFont="1" applyAlignment="1">
      <alignment vertical="center" wrapText="1"/>
    </xf>
    <xf numFmtId="0" fontId="85" fillId="0" borderId="0" xfId="0" applyFont="1"/>
    <xf numFmtId="0" fontId="82" fillId="0" borderId="0" xfId="0" applyFont="1" applyAlignment="1">
      <alignment horizontal="left"/>
    </xf>
    <xf numFmtId="0" fontId="15" fillId="0" borderId="0" xfId="0" applyFont="1" applyAlignment="1">
      <alignment vertical="center" wrapText="1"/>
    </xf>
    <xf numFmtId="0" fontId="79" fillId="0" borderId="0" xfId="0" applyFont="1" applyAlignment="1">
      <alignment horizontal="left"/>
    </xf>
    <xf numFmtId="0" fontId="85" fillId="0" borderId="0" xfId="0" applyFont="1" applyAlignment="1">
      <alignment horizontal="left"/>
    </xf>
    <xf numFmtId="0" fontId="86" fillId="0" borderId="0" xfId="0" applyFont="1"/>
    <xf numFmtId="1" fontId="87" fillId="7" borderId="0" xfId="0" applyNumberFormat="1" applyFont="1" applyFill="1" applyAlignment="1">
      <alignment horizontal="left"/>
    </xf>
    <xf numFmtId="1" fontId="87" fillId="0" borderId="0" xfId="0" applyNumberFormat="1" applyFont="1" applyAlignment="1">
      <alignment horizontal="left"/>
    </xf>
    <xf numFmtId="0" fontId="88" fillId="0" borderId="0" xfId="0" applyFont="1"/>
    <xf numFmtId="2" fontId="89" fillId="6" borderId="0" xfId="1" applyNumberFormat="1" applyFont="1" applyFill="1"/>
    <xf numFmtId="1" fontId="63" fillId="0" borderId="0" xfId="0" applyNumberFormat="1" applyFont="1"/>
    <xf numFmtId="1" fontId="90" fillId="0" borderId="0" xfId="0" applyNumberFormat="1" applyFont="1"/>
    <xf numFmtId="164" fontId="90" fillId="0" borderId="0" xfId="0" applyNumberFormat="1" applyFont="1"/>
    <xf numFmtId="164" fontId="91" fillId="0" borderId="0" xfId="0" applyNumberFormat="1" applyFont="1"/>
    <xf numFmtId="3" fontId="64" fillId="0" borderId="0" xfId="0" applyNumberFormat="1" applyFont="1"/>
    <xf numFmtId="165" fontId="64" fillId="0" borderId="0" xfId="0" applyNumberFormat="1" applyFont="1"/>
    <xf numFmtId="165" fontId="63" fillId="0" borderId="0" xfId="0" applyNumberFormat="1" applyFont="1"/>
    <xf numFmtId="165" fontId="89" fillId="0" borderId="0" xfId="0" applyNumberFormat="1" applyFont="1"/>
    <xf numFmtId="3" fontId="0" fillId="0" borderId="0" xfId="0" applyNumberFormat="1"/>
    <xf numFmtId="164" fontId="92" fillId="0" borderId="0" xfId="0" applyNumberFormat="1" applyFont="1" applyAlignment="1">
      <alignment horizontal="center"/>
    </xf>
    <xf numFmtId="2" fontId="93" fillId="0" borderId="0" xfId="0" applyNumberFormat="1" applyFont="1" applyAlignment="1">
      <alignment horizontal="center"/>
    </xf>
    <xf numFmtId="2" fontId="92" fillId="0" borderId="0" xfId="0" applyNumberFormat="1" applyFont="1" applyAlignment="1">
      <alignment horizontal="center"/>
    </xf>
    <xf numFmtId="164" fontId="66" fillId="0" borderId="0" xfId="0" applyNumberFormat="1" applyFont="1"/>
    <xf numFmtId="164" fontId="63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4" fontId="87" fillId="7" borderId="0" xfId="0" applyNumberFormat="1" applyFont="1" applyFill="1" applyAlignment="1">
      <alignment horizontal="left"/>
    </xf>
    <xf numFmtId="164" fontId="87" fillId="0" borderId="0" xfId="0" applyNumberFormat="1" applyFont="1" applyAlignment="1">
      <alignment horizontal="left"/>
    </xf>
    <xf numFmtId="164" fontId="94" fillId="0" borderId="0" xfId="0" applyNumberFormat="1" applyFont="1" applyAlignment="1">
      <alignment horizontal="center"/>
    </xf>
    <xf numFmtId="164" fontId="84" fillId="0" borderId="0" xfId="0" applyNumberFormat="1" applyFont="1" applyAlignment="1">
      <alignment horizontal="center"/>
    </xf>
    <xf numFmtId="164" fontId="87" fillId="0" borderId="0" xfId="0" applyNumberFormat="1" applyFont="1" applyAlignment="1">
      <alignment horizontal="center"/>
    </xf>
    <xf numFmtId="164" fontId="79" fillId="0" borderId="0" xfId="0" applyNumberFormat="1" applyFont="1" applyAlignment="1">
      <alignment horizontal="center"/>
    </xf>
    <xf numFmtId="1" fontId="95" fillId="0" borderId="0" xfId="0" applyNumberFormat="1" applyFont="1" applyAlignment="1">
      <alignment horizontal="center"/>
    </xf>
    <xf numFmtId="2" fontId="59" fillId="7" borderId="0" xfId="0" applyNumberFormat="1" applyFont="1" applyFill="1" applyAlignment="1">
      <alignment horizontal="right"/>
    </xf>
    <xf numFmtId="2" fontId="96" fillId="22" borderId="0" xfId="0" applyNumberFormat="1" applyFont="1" applyFill="1" applyAlignment="1">
      <alignment horizontal="right"/>
    </xf>
    <xf numFmtId="164" fontId="79" fillId="0" borderId="0" xfId="0" applyNumberFormat="1" applyFont="1"/>
    <xf numFmtId="164" fontId="79" fillId="23" borderId="0" xfId="0" applyNumberFormat="1" applyFont="1" applyFill="1"/>
    <xf numFmtId="164" fontId="79" fillId="7" borderId="0" xfId="0" applyNumberFormat="1" applyFont="1" applyFill="1"/>
    <xf numFmtId="164" fontId="80" fillId="0" borderId="0" xfId="0" applyNumberFormat="1" applyFont="1" applyAlignment="1">
      <alignment horizontal="left"/>
    </xf>
    <xf numFmtId="1" fontId="80" fillId="0" borderId="0" xfId="0" applyNumberFormat="1" applyFont="1" applyAlignment="1">
      <alignment horizontal="left"/>
    </xf>
    <xf numFmtId="0" fontId="8" fillId="24" borderId="0" xfId="0" applyFont="1" applyFill="1"/>
    <xf numFmtId="0" fontId="0" fillId="24" borderId="0" xfId="0" applyFill="1"/>
    <xf numFmtId="0" fontId="6" fillId="0" borderId="0" xfId="0" applyFont="1"/>
    <xf numFmtId="1" fontId="87" fillId="0" borderId="0" xfId="0" applyNumberFormat="1" applyFont="1" applyAlignment="1">
      <alignment horizontal="left" vertical="top" wrapText="1"/>
    </xf>
    <xf numFmtId="1" fontId="87" fillId="7" borderId="0" xfId="0" applyNumberFormat="1" applyFont="1" applyFill="1" applyAlignment="1">
      <alignment horizontal="left" vertical="top" wrapText="1"/>
    </xf>
    <xf numFmtId="0" fontId="87" fillId="0" borderId="0" xfId="0" applyFont="1"/>
    <xf numFmtId="1" fontId="79" fillId="0" borderId="0" xfId="0" applyNumberFormat="1" applyFont="1"/>
    <xf numFmtId="1" fontId="78" fillId="0" borderId="0" xfId="0" applyNumberFormat="1" applyFont="1" applyAlignment="1">
      <alignment horizontal="left" vertical="top" wrapText="1"/>
    </xf>
    <xf numFmtId="164" fontId="78" fillId="0" borderId="0" xfId="0" applyNumberFormat="1" applyFont="1" applyAlignment="1">
      <alignment horizontal="left" vertical="top" wrapText="1"/>
    </xf>
    <xf numFmtId="1" fontId="83" fillId="0" borderId="0" xfId="0" applyNumberFormat="1" applyFont="1" applyAlignment="1">
      <alignment horizontal="left"/>
    </xf>
    <xf numFmtId="164" fontId="87" fillId="0" borderId="0" xfId="0" applyNumberFormat="1" applyFont="1" applyAlignment="1">
      <alignment horizontal="center" vertical="center"/>
    </xf>
    <xf numFmtId="164" fontId="87" fillId="0" borderId="0" xfId="0" applyNumberFormat="1" applyFont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4" fillId="0" borderId="2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01" fillId="0" borderId="3" xfId="0" applyFont="1" applyBorder="1" applyAlignment="1">
      <alignment horizontal="center"/>
    </xf>
    <xf numFmtId="0" fontId="101" fillId="0" borderId="2" xfId="0" applyFont="1" applyBorder="1" applyAlignment="1">
      <alignment horizontal="center"/>
    </xf>
    <xf numFmtId="0" fontId="101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/>
    <xf numFmtId="0" fontId="14" fillId="25" borderId="4" xfId="0" applyFont="1" applyFill="1" applyBorder="1" applyAlignment="1">
      <alignment horizontal="center" vertical="center"/>
    </xf>
    <xf numFmtId="0" fontId="13" fillId="0" borderId="8" xfId="0" applyFont="1" applyBorder="1" applyAlignment="1">
      <alignment wrapText="1"/>
    </xf>
    <xf numFmtId="0" fontId="13" fillId="0" borderId="4" xfId="0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wrapText="1"/>
    </xf>
    <xf numFmtId="0" fontId="14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36" fillId="0" borderId="2" xfId="0" applyFont="1" applyBorder="1" applyAlignment="1">
      <alignment wrapText="1"/>
    </xf>
    <xf numFmtId="0" fontId="36" fillId="0" borderId="2" xfId="0" applyFont="1" applyBorder="1"/>
    <xf numFmtId="0" fontId="13" fillId="0" borderId="6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/>
    <xf numFmtId="164" fontId="54" fillId="7" borderId="2" xfId="0" applyNumberFormat="1" applyFont="1" applyFill="1" applyBorder="1" applyAlignment="1">
      <alignment vertical="center"/>
    </xf>
    <xf numFmtId="164" fontId="104" fillId="0" borderId="0" xfId="0" applyNumberFormat="1" applyFont="1" applyAlignment="1">
      <alignment horizontal="center" vertical="center"/>
    </xf>
    <xf numFmtId="1" fontId="105" fillId="0" borderId="0" xfId="0" applyNumberFormat="1" applyFont="1" applyAlignment="1">
      <alignment horizontal="center"/>
    </xf>
    <xf numFmtId="1" fontId="94" fillId="0" borderId="0" xfId="0" applyNumberFormat="1" applyFont="1" applyAlignment="1">
      <alignment horizontal="center"/>
    </xf>
    <xf numFmtId="1" fontId="106" fillId="0" borderId="0" xfId="0" applyNumberFormat="1" applyFont="1" applyAlignment="1">
      <alignment horizontal="center"/>
    </xf>
    <xf numFmtId="166" fontId="0" fillId="0" borderId="0" xfId="0" applyNumberFormat="1"/>
    <xf numFmtId="164" fontId="95" fillId="0" borderId="0" xfId="0" applyNumberFormat="1" applyFont="1"/>
    <xf numFmtId="164" fontId="87" fillId="0" borderId="0" xfId="0" applyNumberFormat="1" applyFont="1"/>
    <xf numFmtId="1" fontId="87" fillId="0" borderId="0" xfId="0" applyNumberFormat="1" applyFont="1" applyAlignment="1">
      <alignment horizontal="right"/>
    </xf>
    <xf numFmtId="1" fontId="107" fillId="0" borderId="0" xfId="0" applyNumberFormat="1" applyFont="1" applyAlignment="1">
      <alignment horizontal="right"/>
    </xf>
    <xf numFmtId="1" fontId="87" fillId="0" borderId="0" xfId="0" applyNumberFormat="1" applyFont="1" applyAlignment="1">
      <alignment horizontal="right" vertical="top"/>
    </xf>
    <xf numFmtId="1" fontId="87" fillId="7" borderId="0" xfId="0" applyNumberFormat="1" applyFont="1" applyFill="1" applyAlignment="1">
      <alignment horizontal="right" vertical="top"/>
    </xf>
    <xf numFmtId="164" fontId="87" fillId="0" borderId="0" xfId="0" applyNumberFormat="1" applyFont="1" applyAlignment="1">
      <alignment horizontal="right" vertical="top"/>
    </xf>
    <xf numFmtId="1" fontId="79" fillId="0" borderId="0" xfId="0" applyNumberFormat="1" applyFont="1" applyAlignment="1">
      <alignment horizontal="right" vertical="top"/>
    </xf>
    <xf numFmtId="164" fontId="87" fillId="0" borderId="0" xfId="0" applyNumberFormat="1" applyFont="1" applyAlignment="1">
      <alignment horizontal="right"/>
    </xf>
    <xf numFmtId="164" fontId="104" fillId="7" borderId="0" xfId="0" applyNumberFormat="1" applyFont="1" applyFill="1" applyAlignment="1">
      <alignment horizontal="right"/>
    </xf>
    <xf numFmtId="164" fontId="79" fillId="7" borderId="0" xfId="0" applyNumberFormat="1" applyFont="1" applyFill="1" applyAlignment="1">
      <alignment horizontal="right"/>
    </xf>
    <xf numFmtId="164" fontId="87" fillId="7" borderId="0" xfId="0" applyNumberFormat="1" applyFont="1" applyFill="1" applyAlignment="1">
      <alignment horizontal="right"/>
    </xf>
    <xf numFmtId="2" fontId="87" fillId="0" borderId="0" xfId="0" applyNumberFormat="1" applyFont="1" applyAlignment="1">
      <alignment horizontal="right"/>
    </xf>
    <xf numFmtId="1" fontId="87" fillId="0" borderId="0" xfId="0" applyNumberFormat="1" applyFont="1" applyAlignment="1">
      <alignment horizontal="center" vertical="center"/>
    </xf>
    <xf numFmtId="1" fontId="87" fillId="7" borderId="0" xfId="0" applyNumberFormat="1" applyFont="1" applyFill="1" applyAlignment="1">
      <alignment horizontal="center" vertical="center"/>
    </xf>
    <xf numFmtId="0" fontId="87" fillId="0" borderId="0" xfId="0" applyFont="1" applyAlignment="1">
      <alignment horizontal="center"/>
    </xf>
    <xf numFmtId="9" fontId="80" fillId="0" borderId="0" xfId="0" applyNumberFormat="1" applyFont="1"/>
    <xf numFmtId="9" fontId="83" fillId="0" borderId="0" xfId="0" applyNumberFormat="1" applyFont="1"/>
    <xf numFmtId="0" fontId="65" fillId="0" borderId="0" xfId="0" applyFont="1"/>
    <xf numFmtId="164" fontId="109" fillId="0" borderId="0" xfId="2" applyNumberFormat="1" applyFont="1"/>
    <xf numFmtId="0" fontId="0" fillId="20" borderId="0" xfId="0" applyFill="1"/>
    <xf numFmtId="1" fontId="89" fillId="0" borderId="0" xfId="0" applyNumberFormat="1" applyFont="1" applyAlignment="1">
      <alignment horizontal="center" vertical="center"/>
    </xf>
    <xf numFmtId="164" fontId="63" fillId="0" borderId="0" xfId="0" applyNumberFormat="1" applyFont="1"/>
    <xf numFmtId="164" fontId="89" fillId="0" borderId="0" xfId="0" applyNumberFormat="1" applyFont="1"/>
    <xf numFmtId="1" fontId="54" fillId="0" borderId="0" xfId="0" applyNumberFormat="1" applyFont="1" applyAlignment="1">
      <alignment horizontal="center" vertical="center"/>
    </xf>
    <xf numFmtId="1" fontId="55" fillId="0" borderId="0" xfId="0" applyNumberFormat="1" applyFont="1" applyAlignment="1">
      <alignment horizontal="center" vertical="center"/>
    </xf>
    <xf numFmtId="2" fontId="88" fillId="0" borderId="0" xfId="0" applyNumberFormat="1" applyFont="1"/>
    <xf numFmtId="164" fontId="13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center"/>
    </xf>
    <xf numFmtId="164" fontId="110" fillId="0" borderId="0" xfId="4" applyNumberFormat="1" applyFont="1" applyAlignment="1">
      <alignment horizontal="center" wrapText="1"/>
    </xf>
    <xf numFmtId="164" fontId="90" fillId="0" borderId="0" xfId="4" applyNumberFormat="1" applyFont="1" applyAlignment="1">
      <alignment horizontal="center" wrapText="1"/>
    </xf>
    <xf numFmtId="164" fontId="89" fillId="0" borderId="0" xfId="4" applyNumberFormat="1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4" fontId="90" fillId="0" borderId="0" xfId="0" applyNumberFormat="1" applyFont="1" applyAlignment="1">
      <alignment horizontal="center"/>
    </xf>
    <xf numFmtId="164" fontId="111" fillId="0" borderId="0" xfId="0" applyNumberFormat="1" applyFont="1" applyAlignment="1">
      <alignment horizontal="center"/>
    </xf>
    <xf numFmtId="164" fontId="112" fillId="0" borderId="0" xfId="0" applyNumberFormat="1" applyFont="1" applyAlignment="1">
      <alignment horizontal="center"/>
    </xf>
    <xf numFmtId="2" fontId="111" fillId="0" borderId="0" xfId="0" applyNumberFormat="1" applyFont="1" applyAlignment="1">
      <alignment horizontal="center"/>
    </xf>
    <xf numFmtId="2" fontId="62" fillId="0" borderId="0" xfId="0" applyNumberFormat="1" applyFont="1"/>
    <xf numFmtId="164" fontId="63" fillId="0" borderId="0" xfId="0" applyNumberFormat="1" applyFont="1" applyAlignment="1">
      <alignment horizontal="right"/>
    </xf>
    <xf numFmtId="166" fontId="59" fillId="0" borderId="0" xfId="0" applyNumberFormat="1" applyFont="1"/>
    <xf numFmtId="166" fontId="63" fillId="0" borderId="0" xfId="0" applyNumberFormat="1" applyFont="1"/>
    <xf numFmtId="0" fontId="113" fillId="6" borderId="0" xfId="0" applyFont="1" applyFill="1" applyAlignment="1">
      <alignment horizontal="left"/>
    </xf>
    <xf numFmtId="164" fontId="114" fillId="0" borderId="0" xfId="0" applyNumberFormat="1" applyFont="1" applyAlignment="1">
      <alignment horizontal="right"/>
    </xf>
    <xf numFmtId="164" fontId="113" fillId="0" borderId="0" xfId="0" applyNumberFormat="1" applyFont="1" applyAlignment="1">
      <alignment horizontal="right"/>
    </xf>
    <xf numFmtId="0" fontId="36" fillId="6" borderId="0" xfId="0" applyFont="1" applyFill="1" applyAlignment="1">
      <alignment horizontal="left"/>
    </xf>
    <xf numFmtId="164" fontId="9" fillId="0" borderId="0" xfId="0" applyNumberFormat="1" applyFont="1"/>
    <xf numFmtId="164" fontId="53" fillId="0" borderId="0" xfId="0" applyNumberFormat="1" applyFont="1" applyAlignment="1">
      <alignment horizontal="right" vertical="center"/>
    </xf>
    <xf numFmtId="164" fontId="53" fillId="0" borderId="0" xfId="0" applyNumberFormat="1" applyFont="1" applyAlignment="1">
      <alignment horizontal="center"/>
    </xf>
    <xf numFmtId="164" fontId="54" fillId="0" borderId="0" xfId="0" applyNumberFormat="1" applyFont="1" applyAlignment="1">
      <alignment horizontal="center" vertical="center"/>
    </xf>
    <xf numFmtId="1" fontId="89" fillId="0" borderId="0" xfId="0" applyNumberFormat="1" applyFont="1" applyAlignment="1">
      <alignment horizontal="right"/>
    </xf>
    <xf numFmtId="164" fontId="19" fillId="0" borderId="0" xfId="1" applyNumberFormat="1" applyFont="1"/>
    <xf numFmtId="0" fontId="19" fillId="0" borderId="0" xfId="1" applyFont="1"/>
    <xf numFmtId="164" fontId="115" fillId="7" borderId="2" xfId="0" applyNumberFormat="1" applyFont="1" applyFill="1" applyBorder="1" applyAlignment="1">
      <alignment horizontal="right" vertical="center"/>
    </xf>
    <xf numFmtId="164" fontId="115" fillId="0" borderId="2" xfId="0" applyNumberFormat="1" applyFont="1" applyBorder="1" applyAlignment="1">
      <alignment vertical="center"/>
    </xf>
    <xf numFmtId="164" fontId="89" fillId="7" borderId="2" xfId="0" applyNumberFormat="1" applyFont="1" applyFill="1" applyBorder="1" applyAlignment="1">
      <alignment vertical="center"/>
    </xf>
    <xf numFmtId="164" fontId="116" fillId="0" borderId="2" xfId="0" applyNumberFormat="1" applyFont="1" applyBorder="1" applyAlignment="1">
      <alignment vertical="center"/>
    </xf>
    <xf numFmtId="164" fontId="63" fillId="7" borderId="2" xfId="0" applyNumberFormat="1" applyFont="1" applyFill="1" applyBorder="1" applyAlignment="1">
      <alignment vertical="center"/>
    </xf>
    <xf numFmtId="164" fontId="36" fillId="7" borderId="2" xfId="0" applyNumberFormat="1" applyFont="1" applyFill="1" applyBorder="1" applyAlignment="1">
      <alignment vertical="center"/>
    </xf>
    <xf numFmtId="164" fontId="116" fillId="7" borderId="2" xfId="0" applyNumberFormat="1" applyFont="1" applyFill="1" applyBorder="1" applyAlignment="1">
      <alignment vertical="center"/>
    </xf>
    <xf numFmtId="164" fontId="63" fillId="6" borderId="2" xfId="0" applyNumberFormat="1" applyFont="1" applyFill="1" applyBorder="1" applyAlignment="1">
      <alignment vertical="center"/>
    </xf>
    <xf numFmtId="0" fontId="54" fillId="7" borderId="2" xfId="0" applyFont="1" applyFill="1" applyBorder="1" applyAlignment="1">
      <alignment horizontal="center" vertical="center"/>
    </xf>
    <xf numFmtId="0" fontId="63" fillId="7" borderId="2" xfId="0" applyFont="1" applyFill="1" applyBorder="1" applyAlignment="1">
      <alignment horizontal="center" vertical="center"/>
    </xf>
    <xf numFmtId="164" fontId="63" fillId="7" borderId="2" xfId="0" applyNumberFormat="1" applyFont="1" applyFill="1" applyBorder="1" applyAlignment="1">
      <alignment horizontal="center" vertical="center"/>
    </xf>
    <xf numFmtId="164" fontId="116" fillId="7" borderId="2" xfId="0" applyNumberFormat="1" applyFont="1" applyFill="1" applyBorder="1" applyAlignment="1">
      <alignment horizontal="center" vertical="center"/>
    </xf>
    <xf numFmtId="0" fontId="54" fillId="7" borderId="2" xfId="0" applyFont="1" applyFill="1" applyBorder="1" applyAlignment="1">
      <alignment vertical="center"/>
    </xf>
    <xf numFmtId="0" fontId="59" fillId="7" borderId="2" xfId="0" applyFont="1" applyFill="1" applyBorder="1" applyAlignment="1">
      <alignment horizontal="center" vertical="center"/>
    </xf>
    <xf numFmtId="0" fontId="115" fillId="7" borderId="2" xfId="0" applyFont="1" applyFill="1" applyBorder="1" applyAlignment="1">
      <alignment vertical="center"/>
    </xf>
    <xf numFmtId="0" fontId="63" fillId="7" borderId="2" xfId="0" applyFont="1" applyFill="1" applyBorder="1" applyAlignment="1">
      <alignment vertical="center"/>
    </xf>
    <xf numFmtId="164" fontId="89" fillId="7" borderId="2" xfId="0" applyNumberFormat="1" applyFont="1" applyFill="1" applyBorder="1" applyAlignment="1">
      <alignment horizontal="center" vertical="center"/>
    </xf>
    <xf numFmtId="164" fontId="115" fillId="7" borderId="2" xfId="0" applyNumberFormat="1" applyFont="1" applyFill="1" applyBorder="1" applyAlignment="1">
      <alignment vertical="center"/>
    </xf>
    <xf numFmtId="164" fontId="90" fillId="7" borderId="2" xfId="0" applyNumberFormat="1" applyFont="1" applyFill="1" applyBorder="1" applyAlignment="1">
      <alignment horizontal="center" vertical="center"/>
    </xf>
    <xf numFmtId="164" fontId="90" fillId="7" borderId="2" xfId="0" applyNumberFormat="1" applyFont="1" applyFill="1" applyBorder="1" applyAlignment="1">
      <alignment vertical="center"/>
    </xf>
    <xf numFmtId="164" fontId="117" fillId="7" borderId="2" xfId="0" applyNumberFormat="1" applyFont="1" applyFill="1" applyBorder="1" applyAlignment="1">
      <alignment vertical="center"/>
    </xf>
    <xf numFmtId="164" fontId="54" fillId="7" borderId="2" xfId="0" applyNumberFormat="1" applyFont="1" applyFill="1" applyBorder="1" applyAlignment="1">
      <alignment horizontal="center" vertical="center"/>
    </xf>
    <xf numFmtId="1" fontId="115" fillId="7" borderId="2" xfId="0" applyNumberFormat="1" applyFont="1" applyFill="1" applyBorder="1" applyAlignment="1">
      <alignment vertical="center"/>
    </xf>
    <xf numFmtId="1" fontId="0" fillId="17" borderId="2" xfId="0" applyNumberFormat="1" applyFill="1" applyBorder="1"/>
    <xf numFmtId="1" fontId="54" fillId="7" borderId="2" xfId="0" applyNumberFormat="1" applyFont="1" applyFill="1" applyBorder="1" applyAlignment="1">
      <alignment horizontal="center" vertical="center"/>
    </xf>
    <xf numFmtId="164" fontId="13" fillId="7" borderId="2" xfId="0" applyNumberFormat="1" applyFont="1" applyFill="1" applyBorder="1" applyAlignment="1">
      <alignment horizontal="center" vertical="center"/>
    </xf>
    <xf numFmtId="0" fontId="89" fillId="7" borderId="2" xfId="0" applyFont="1" applyFill="1" applyBorder="1" applyAlignment="1">
      <alignment vertical="center"/>
    </xf>
    <xf numFmtId="0" fontId="13" fillId="7" borderId="2" xfId="0" applyFont="1" applyFill="1" applyBorder="1" applyAlignment="1">
      <alignment horizontal="center" vertical="center"/>
    </xf>
    <xf numFmtId="0" fontId="116" fillId="7" borderId="2" xfId="0" applyFont="1" applyFill="1" applyBorder="1" applyAlignment="1">
      <alignment horizontal="center" vertical="center"/>
    </xf>
    <xf numFmtId="0" fontId="89" fillId="7" borderId="2" xfId="0" applyFont="1" applyFill="1" applyBorder="1" applyAlignment="1">
      <alignment horizontal="center" vertical="center"/>
    </xf>
    <xf numFmtId="164" fontId="116" fillId="7" borderId="2" xfId="0" applyNumberFormat="1" applyFont="1" applyFill="1" applyBorder="1" applyAlignment="1">
      <alignment horizontal="right" vertical="center"/>
    </xf>
    <xf numFmtId="0" fontId="14" fillId="7" borderId="2" xfId="0" applyFont="1" applyFill="1" applyBorder="1" applyAlignment="1">
      <alignment horizontal="center" vertical="center"/>
    </xf>
    <xf numFmtId="0" fontId="115" fillId="7" borderId="2" xfId="0" applyFont="1" applyFill="1" applyBorder="1" applyAlignment="1">
      <alignment horizontal="center" vertical="center"/>
    </xf>
    <xf numFmtId="164" fontId="53" fillId="7" borderId="2" xfId="0" applyNumberFormat="1" applyFont="1" applyFill="1" applyBorder="1" applyAlignment="1">
      <alignment horizontal="center" vertical="center"/>
    </xf>
    <xf numFmtId="164" fontId="115" fillId="7" borderId="2" xfId="0" applyNumberFormat="1" applyFont="1" applyFill="1" applyBorder="1" applyAlignment="1">
      <alignment horizontal="center" vertical="center"/>
    </xf>
    <xf numFmtId="0" fontId="53" fillId="7" borderId="2" xfId="0" applyFont="1" applyFill="1" applyBorder="1" applyAlignment="1">
      <alignment horizontal="center" vertical="center"/>
    </xf>
    <xf numFmtId="0" fontId="118" fillId="7" borderId="2" xfId="0" applyFont="1" applyFill="1" applyBorder="1" applyAlignment="1">
      <alignment horizontal="center"/>
    </xf>
    <xf numFmtId="1" fontId="116" fillId="7" borderId="2" xfId="0" applyNumberFormat="1" applyFont="1" applyFill="1" applyBorder="1" applyAlignment="1">
      <alignment horizontal="center" vertical="center"/>
    </xf>
    <xf numFmtId="164" fontId="36" fillId="7" borderId="2" xfId="0" applyNumberFormat="1" applyFont="1" applyFill="1" applyBorder="1" applyAlignment="1">
      <alignment horizontal="right" vertical="center"/>
    </xf>
    <xf numFmtId="0" fontId="119" fillId="7" borderId="2" xfId="0" applyFont="1" applyFill="1" applyBorder="1" applyAlignment="1">
      <alignment horizontal="center"/>
    </xf>
    <xf numFmtId="164" fontId="89" fillId="0" borderId="0" xfId="0" applyNumberFormat="1" applyFont="1" applyAlignment="1">
      <alignment horizontal="center"/>
    </xf>
    <xf numFmtId="164" fontId="63" fillId="0" borderId="0" xfId="0" applyNumberFormat="1" applyFont="1" applyAlignment="1">
      <alignment horizontal="center" vertical="center"/>
    </xf>
    <xf numFmtId="164" fontId="89" fillId="0" borderId="0" xfId="0" applyNumberFormat="1" applyFont="1" applyAlignment="1">
      <alignment horizontal="center" vertical="center"/>
    </xf>
    <xf numFmtId="164" fontId="96" fillId="7" borderId="0" xfId="0" applyNumberFormat="1" applyFont="1" applyFill="1" applyAlignment="1">
      <alignment horizontal="center" vertical="center" wrapText="1"/>
    </xf>
    <xf numFmtId="164" fontId="59" fillId="7" borderId="0" xfId="0" applyNumberFormat="1" applyFont="1" applyFill="1" applyAlignment="1">
      <alignment horizontal="center"/>
    </xf>
    <xf numFmtId="1" fontId="59" fillId="7" borderId="0" xfId="0" applyNumberFormat="1" applyFont="1" applyFill="1" applyAlignment="1">
      <alignment horizontal="center" vertical="center" wrapText="1"/>
    </xf>
    <xf numFmtId="164" fontId="59" fillId="7" borderId="0" xfId="0" applyNumberFormat="1" applyFont="1" applyFill="1" applyAlignment="1">
      <alignment horizontal="center" vertical="center" wrapText="1"/>
    </xf>
    <xf numFmtId="164" fontId="96" fillId="7" borderId="0" xfId="0" applyNumberFormat="1" applyFont="1" applyFill="1" applyAlignment="1">
      <alignment horizontal="center"/>
    </xf>
    <xf numFmtId="164" fontId="120" fillId="7" borderId="0" xfId="0" applyNumberFormat="1" applyFont="1" applyFill="1" applyAlignment="1">
      <alignment horizontal="center" vertical="center" wrapText="1"/>
    </xf>
    <xf numFmtId="164" fontId="63" fillId="7" borderId="0" xfId="0" applyNumberFormat="1" applyFont="1" applyFill="1" applyAlignment="1">
      <alignment horizontal="center"/>
    </xf>
    <xf numFmtId="164" fontId="59" fillId="6" borderId="0" xfId="0" applyNumberFormat="1" applyFont="1" applyFill="1" applyAlignment="1">
      <alignment horizontal="center"/>
    </xf>
    <xf numFmtId="1" fontId="64" fillId="0" borderId="0" xfId="0" applyNumberFormat="1" applyFont="1" applyAlignment="1">
      <alignment horizontal="center"/>
    </xf>
    <xf numFmtId="1" fontId="121" fillId="0" borderId="0" xfId="0" applyNumberFormat="1" applyFont="1" applyAlignment="1">
      <alignment horizontal="center"/>
    </xf>
    <xf numFmtId="167" fontId="89" fillId="0" borderId="0" xfId="0" applyNumberFormat="1" applyFont="1" applyAlignment="1">
      <alignment horizontal="center"/>
    </xf>
    <xf numFmtId="167" fontId="96" fillId="0" borderId="0" xfId="0" applyNumberFormat="1" applyFont="1" applyAlignment="1">
      <alignment horizontal="center"/>
    </xf>
    <xf numFmtId="1" fontId="0" fillId="18" borderId="0" xfId="0" applyNumberFormat="1" applyFill="1"/>
    <xf numFmtId="1" fontId="89" fillId="0" borderId="0" xfId="0" applyNumberFormat="1" applyFont="1" applyAlignment="1">
      <alignment horizontal="center" vertical="center" wrapText="1"/>
    </xf>
    <xf numFmtId="164" fontId="89" fillId="0" borderId="0" xfId="0" applyNumberFormat="1" applyFont="1" applyAlignment="1">
      <alignment horizontal="center" vertical="center" wrapText="1"/>
    </xf>
    <xf numFmtId="1" fontId="96" fillId="13" borderId="0" xfId="0" applyNumberFormat="1" applyFont="1" applyFill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2" fontId="96" fillId="0" borderId="0" xfId="0" applyNumberFormat="1" applyFont="1" applyAlignment="1">
      <alignment horizontal="center"/>
    </xf>
    <xf numFmtId="164" fontId="123" fillId="0" borderId="0" xfId="0" applyNumberFormat="1" applyFont="1" applyAlignment="1">
      <alignment horizontal="right"/>
    </xf>
    <xf numFmtId="164" fontId="63" fillId="6" borderId="0" xfId="0" applyNumberFormat="1" applyFont="1" applyFill="1" applyAlignment="1">
      <alignment horizontal="right"/>
    </xf>
    <xf numFmtId="164" fontId="124" fillId="7" borderId="0" xfId="0" applyNumberFormat="1" applyFont="1" applyFill="1" applyAlignment="1">
      <alignment horizontal="right"/>
    </xf>
    <xf numFmtId="164" fontId="125" fillId="7" borderId="0" xfId="0" applyNumberFormat="1" applyFont="1" applyFill="1" applyAlignment="1">
      <alignment horizontal="right"/>
    </xf>
    <xf numFmtId="164" fontId="63" fillId="7" borderId="0" xfId="0" applyNumberFormat="1" applyFont="1" applyFill="1" applyAlignment="1">
      <alignment horizontal="right"/>
    </xf>
    <xf numFmtId="164" fontId="126" fillId="7" borderId="0" xfId="0" applyNumberFormat="1" applyFont="1" applyFill="1" applyAlignment="1">
      <alignment horizontal="right"/>
    </xf>
    <xf numFmtId="164" fontId="64" fillId="7" borderId="0" xfId="0" applyNumberFormat="1" applyFont="1" applyFill="1" applyAlignment="1">
      <alignment horizontal="right"/>
    </xf>
    <xf numFmtId="164" fontId="64" fillId="0" borderId="0" xfId="0" applyNumberFormat="1" applyFont="1" applyAlignment="1">
      <alignment horizontal="right"/>
    </xf>
    <xf numFmtId="164" fontId="54" fillId="0" borderId="0" xfId="0" applyNumberFormat="1" applyFont="1" applyAlignment="1">
      <alignment horizontal="right"/>
    </xf>
    <xf numFmtId="164" fontId="122" fillId="0" borderId="0" xfId="0" applyNumberFormat="1" applyFont="1" applyAlignment="1">
      <alignment horizontal="right"/>
    </xf>
    <xf numFmtId="164" fontId="127" fillId="0" borderId="0" xfId="0" applyNumberFormat="1" applyFont="1" applyAlignment="1">
      <alignment horizontal="right"/>
    </xf>
    <xf numFmtId="164" fontId="63" fillId="7" borderId="0" xfId="0" applyNumberFormat="1" applyFont="1" applyFill="1" applyAlignment="1">
      <alignment horizontal="right" vertical="center"/>
    </xf>
    <xf numFmtId="164" fontId="64" fillId="7" borderId="0" xfId="0" applyNumberFormat="1" applyFont="1" applyFill="1" applyAlignment="1">
      <alignment horizontal="right" vertical="center"/>
    </xf>
    <xf numFmtId="164" fontId="64" fillId="13" borderId="0" xfId="0" applyNumberFormat="1" applyFont="1" applyFill="1" applyAlignment="1">
      <alignment horizontal="right" vertical="center"/>
    </xf>
    <xf numFmtId="164" fontId="27" fillId="7" borderId="0" xfId="0" applyNumberFormat="1" applyFont="1" applyFill="1" applyAlignment="1">
      <alignment horizontal="right"/>
    </xf>
    <xf numFmtId="164" fontId="27" fillId="22" borderId="0" xfId="0" applyNumberFormat="1" applyFont="1" applyFill="1" applyAlignment="1">
      <alignment horizontal="right"/>
    </xf>
    <xf numFmtId="164" fontId="89" fillId="7" borderId="0" xfId="0" applyNumberFormat="1" applyFont="1" applyFill="1" applyAlignment="1">
      <alignment horizontal="right"/>
    </xf>
    <xf numFmtId="164" fontId="89" fillId="0" borderId="0" xfId="0" applyNumberFormat="1" applyFont="1" applyAlignment="1">
      <alignment horizontal="right"/>
    </xf>
    <xf numFmtId="1" fontId="63" fillId="0" borderId="0" xfId="0" applyNumberFormat="1" applyFont="1" applyAlignment="1">
      <alignment horizontal="center"/>
    </xf>
    <xf numFmtId="1" fontId="63" fillId="7" borderId="0" xfId="0" applyNumberFormat="1" applyFont="1" applyFill="1" applyAlignment="1">
      <alignment horizontal="center"/>
    </xf>
    <xf numFmtId="164" fontId="5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13" fillId="13" borderId="0" xfId="0" applyNumberFormat="1" applyFont="1" applyFill="1" applyAlignment="1">
      <alignment horizontal="center"/>
    </xf>
    <xf numFmtId="164" fontId="122" fillId="13" borderId="0" xfId="0" applyNumberFormat="1" applyFont="1" applyFill="1" applyAlignment="1">
      <alignment horizontal="center"/>
    </xf>
    <xf numFmtId="164" fontId="54" fillId="7" borderId="0" xfId="0" applyNumberFormat="1" applyFont="1" applyFill="1" applyAlignment="1">
      <alignment horizontal="center"/>
    </xf>
    <xf numFmtId="164" fontId="63" fillId="6" borderId="0" xfId="0" applyNumberFormat="1" applyFont="1" applyFill="1" applyAlignment="1">
      <alignment horizontal="center"/>
    </xf>
    <xf numFmtId="0" fontId="63" fillId="7" borderId="0" xfId="0" applyFont="1" applyFill="1" applyAlignment="1">
      <alignment horizontal="left"/>
    </xf>
    <xf numFmtId="0" fontId="63" fillId="0" borderId="0" xfId="0" applyFont="1" applyAlignment="1">
      <alignment horizontal="left"/>
    </xf>
    <xf numFmtId="164" fontId="63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center"/>
    </xf>
    <xf numFmtId="2" fontId="89" fillId="0" borderId="0" xfId="0" applyNumberFormat="1" applyFont="1" applyAlignment="1">
      <alignment horizontal="center"/>
    </xf>
    <xf numFmtId="166" fontId="89" fillId="0" borderId="0" xfId="0" applyNumberFormat="1" applyFont="1" applyAlignment="1">
      <alignment horizontal="center"/>
    </xf>
    <xf numFmtId="166" fontId="125" fillId="0" borderId="0" xfId="0" applyNumberFormat="1" applyFont="1" applyAlignment="1">
      <alignment horizontal="center"/>
    </xf>
    <xf numFmtId="0" fontId="129" fillId="11" borderId="0" xfId="0" applyFont="1" applyFill="1" applyAlignment="1">
      <alignment horizontal="left"/>
    </xf>
    <xf numFmtId="0" fontId="25" fillId="11" borderId="0" xfId="0" applyFont="1" applyFill="1" applyAlignment="1">
      <alignment horizontal="left"/>
    </xf>
    <xf numFmtId="0" fontId="130" fillId="20" borderId="0" xfId="0" applyFont="1" applyFill="1"/>
    <xf numFmtId="166" fontId="63" fillId="0" borderId="0" xfId="0" applyNumberFormat="1" applyFont="1" applyAlignment="1">
      <alignment horizontal="center"/>
    </xf>
    <xf numFmtId="168" fontId="59" fillId="0" borderId="0" xfId="5" applyNumberFormat="1" applyFont="1" applyFill="1" applyBorder="1" applyAlignment="1">
      <alignment horizontal="right"/>
    </xf>
    <xf numFmtId="168" fontId="57" fillId="0" borderId="0" xfId="5" applyNumberFormat="1" applyFont="1" applyFill="1" applyBorder="1" applyAlignment="1">
      <alignment horizontal="right"/>
    </xf>
    <xf numFmtId="164" fontId="59" fillId="0" borderId="0" xfId="0" applyNumberFormat="1" applyFont="1"/>
    <xf numFmtId="164" fontId="96" fillId="0" borderId="0" xfId="0" applyNumberFormat="1" applyFont="1" applyAlignment="1">
      <alignment horizontal="right"/>
    </xf>
    <xf numFmtId="1" fontId="59" fillId="0" borderId="0" xfId="0" applyNumberFormat="1" applyFont="1" applyAlignment="1">
      <alignment horizontal="right"/>
    </xf>
    <xf numFmtId="1" fontId="96" fillId="0" borderId="0" xfId="0" applyNumberFormat="1" applyFont="1" applyAlignment="1">
      <alignment horizontal="right"/>
    </xf>
    <xf numFmtId="1" fontId="57" fillId="0" borderId="0" xfId="0" applyNumberFormat="1" applyFont="1" applyAlignment="1">
      <alignment horizontal="right"/>
    </xf>
    <xf numFmtId="1" fontId="59" fillId="7" borderId="0" xfId="0" applyNumberFormat="1" applyFont="1" applyFill="1" applyAlignment="1">
      <alignment horizontal="right"/>
    </xf>
    <xf numFmtId="1" fontId="131" fillId="0" borderId="0" xfId="0" applyNumberFormat="1" applyFont="1" applyAlignment="1">
      <alignment horizontal="right"/>
    </xf>
    <xf numFmtId="164" fontId="96" fillId="0" borderId="0" xfId="0" applyNumberFormat="1" applyFont="1"/>
    <xf numFmtId="2" fontId="57" fillId="0" borderId="0" xfId="1" applyNumberFormat="1" applyFont="1" applyAlignment="1">
      <alignment horizontal="right"/>
    </xf>
    <xf numFmtId="2" fontId="96" fillId="0" borderId="0" xfId="0" applyNumberFormat="1" applyFont="1" applyAlignment="1">
      <alignment horizontal="right"/>
    </xf>
    <xf numFmtId="1" fontId="96" fillId="7" borderId="0" xfId="0" applyNumberFormat="1" applyFont="1" applyFill="1" applyAlignment="1">
      <alignment horizontal="right"/>
    </xf>
    <xf numFmtId="2" fontId="57" fillId="7" borderId="0" xfId="0" applyNumberFormat="1" applyFont="1" applyFill="1" applyAlignment="1">
      <alignment horizontal="right"/>
    </xf>
    <xf numFmtId="166" fontId="96" fillId="7" borderId="0" xfId="0" applyNumberFormat="1" applyFont="1" applyFill="1" applyAlignment="1">
      <alignment horizontal="right"/>
    </xf>
    <xf numFmtId="164" fontId="57" fillId="7" borderId="0" xfId="0" applyNumberFormat="1" applyFont="1" applyFill="1" applyAlignment="1">
      <alignment horizontal="right"/>
    </xf>
    <xf numFmtId="166" fontId="57" fillId="7" borderId="0" xfId="0" applyNumberFormat="1" applyFont="1" applyFill="1" applyAlignment="1">
      <alignment horizontal="right"/>
    </xf>
    <xf numFmtId="165" fontId="96" fillId="7" borderId="0" xfId="0" applyNumberFormat="1" applyFont="1" applyFill="1" applyAlignment="1">
      <alignment horizontal="right"/>
    </xf>
    <xf numFmtId="2" fontId="57" fillId="0" borderId="0" xfId="0" applyNumberFormat="1" applyFont="1" applyAlignment="1">
      <alignment horizontal="right"/>
    </xf>
    <xf numFmtId="164" fontId="41" fillId="10" borderId="0" xfId="0" applyNumberFormat="1" applyFont="1" applyFill="1" applyAlignment="1">
      <alignment horizontal="right"/>
    </xf>
    <xf numFmtId="166" fontId="122" fillId="0" borderId="0" xfId="0" applyNumberFormat="1" applyFont="1" applyAlignment="1">
      <alignment horizontal="right"/>
    </xf>
    <xf numFmtId="1" fontId="57" fillId="7" borderId="0" xfId="0" applyNumberFormat="1" applyFont="1" applyFill="1" applyAlignment="1">
      <alignment horizontal="right"/>
    </xf>
    <xf numFmtId="0" fontId="132" fillId="26" borderId="12" xfId="0" applyFont="1" applyFill="1" applyBorder="1"/>
    <xf numFmtId="0" fontId="25" fillId="26" borderId="13" xfId="0" applyFont="1" applyFill="1" applyBorder="1" applyAlignment="1">
      <alignment horizontal="right"/>
    </xf>
    <xf numFmtId="0" fontId="133" fillId="26" borderId="13" xfId="0" applyFont="1" applyFill="1" applyBorder="1"/>
    <xf numFmtId="0" fontId="25" fillId="26" borderId="12" xfId="0" applyFont="1" applyFill="1" applyBorder="1"/>
    <xf numFmtId="0" fontId="134" fillId="26" borderId="12" xfId="0" applyFont="1" applyFill="1" applyBorder="1"/>
    <xf numFmtId="0" fontId="135" fillId="26" borderId="12" xfId="0" applyFont="1" applyFill="1" applyBorder="1"/>
    <xf numFmtId="0" fontId="134" fillId="26" borderId="13" xfId="0" applyFont="1" applyFill="1" applyBorder="1"/>
    <xf numFmtId="0" fontId="136" fillId="26" borderId="12" xfId="0" applyFont="1" applyFill="1" applyBorder="1" applyAlignment="1">
      <alignment horizontal="left" wrapText="1"/>
    </xf>
    <xf numFmtId="0" fontId="137" fillId="26" borderId="12" xfId="0" applyFont="1" applyFill="1" applyBorder="1" applyAlignment="1">
      <alignment horizontal="left" wrapText="1"/>
    </xf>
    <xf numFmtId="0" fontId="138" fillId="26" borderId="12" xfId="0" applyFont="1" applyFill="1" applyBorder="1" applyAlignment="1">
      <alignment horizontal="left" wrapText="1"/>
    </xf>
    <xf numFmtId="0" fontId="134" fillId="26" borderId="14" xfId="0" applyFont="1" applyFill="1" applyBorder="1"/>
    <xf numFmtId="0" fontId="33" fillId="0" borderId="0" xfId="6" applyFont="1"/>
    <xf numFmtId="165" fontId="33" fillId="7" borderId="0" xfId="0" applyNumberFormat="1" applyFont="1" applyFill="1"/>
    <xf numFmtId="165" fontId="39" fillId="7" borderId="0" xfId="0" applyNumberFormat="1" applyFont="1" applyFill="1"/>
    <xf numFmtId="0" fontId="9" fillId="17" borderId="0" xfId="0" applyFont="1" applyFill="1"/>
    <xf numFmtId="0" fontId="140" fillId="15" borderId="0" xfId="0" applyFont="1" applyFill="1"/>
    <xf numFmtId="0" fontId="5" fillId="0" borderId="0" xfId="0" applyFont="1"/>
    <xf numFmtId="0" fontId="141" fillId="15" borderId="0" xfId="0" applyFont="1" applyFill="1"/>
    <xf numFmtId="164" fontId="9" fillId="0" borderId="0" xfId="0" applyNumberFormat="1" applyFont="1" applyAlignment="1">
      <alignment horizontal="left"/>
    </xf>
    <xf numFmtId="0" fontId="142" fillId="0" borderId="0" xfId="0" applyFont="1"/>
    <xf numFmtId="0" fontId="143" fillId="0" borderId="0" xfId="0" applyFont="1"/>
    <xf numFmtId="0" fontId="5" fillId="0" borderId="0" xfId="0" applyFont="1" applyAlignment="1">
      <alignment horizontal="left"/>
    </xf>
    <xf numFmtId="0" fontId="142" fillId="0" borderId="0" xfId="0" applyFont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left"/>
    </xf>
    <xf numFmtId="0" fontId="0" fillId="0" borderId="0" xfId="0" applyAlignment="1">
      <alignment horizontal="left"/>
    </xf>
    <xf numFmtId="0" fontId="145" fillId="0" borderId="0" xfId="0" applyFont="1"/>
    <xf numFmtId="0" fontId="0" fillId="0" borderId="0" xfId="0" applyAlignment="1">
      <alignment horizontal="left" indent="1"/>
    </xf>
    <xf numFmtId="0" fontId="143" fillId="0" borderId="0" xfId="0" applyFont="1" applyAlignment="1">
      <alignment horizontal="left" indent="1"/>
    </xf>
    <xf numFmtId="0" fontId="147" fillId="0" borderId="0" xfId="0" applyFont="1" applyAlignment="1">
      <alignment horizontal="left"/>
    </xf>
    <xf numFmtId="0" fontId="118" fillId="0" borderId="0" xfId="0" applyFont="1"/>
    <xf numFmtId="0" fontId="9" fillId="0" borderId="0" xfId="0" applyFont="1" applyAlignment="1">
      <alignment horizontal="left"/>
    </xf>
    <xf numFmtId="164" fontId="63" fillId="6" borderId="0" xfId="0" applyNumberFormat="1" applyFont="1" applyFill="1"/>
    <xf numFmtId="164" fontId="89" fillId="6" borderId="0" xfId="0" applyNumberFormat="1" applyFont="1" applyFill="1"/>
    <xf numFmtId="1" fontId="89" fillId="0" borderId="0" xfId="0" applyNumberFormat="1" applyFont="1"/>
    <xf numFmtId="1" fontId="89" fillId="22" borderId="0" xfId="0" applyNumberFormat="1" applyFont="1" applyFill="1"/>
    <xf numFmtId="3" fontId="96" fillId="0" borderId="0" xfId="0" applyNumberFormat="1" applyFont="1"/>
    <xf numFmtId="164" fontId="19" fillId="0" borderId="0" xfId="0" applyNumberFormat="1" applyFont="1"/>
    <xf numFmtId="1" fontId="59" fillId="0" borderId="0" xfId="0" applyNumberFormat="1" applyFont="1"/>
    <xf numFmtId="164" fontId="37" fillId="0" borderId="0" xfId="0" applyNumberFormat="1" applyFont="1"/>
    <xf numFmtId="164" fontId="57" fillId="0" borderId="0" xfId="0" applyNumberFormat="1" applyFont="1"/>
    <xf numFmtId="164" fontId="56" fillId="0" borderId="0" xfId="0" applyNumberFormat="1" applyFont="1"/>
    <xf numFmtId="1" fontId="148" fillId="7" borderId="0" xfId="0" applyNumberFormat="1" applyFont="1" applyFill="1"/>
    <xf numFmtId="1" fontId="96" fillId="0" borderId="0" xfId="0" applyNumberFormat="1" applyFont="1"/>
    <xf numFmtId="169" fontId="96" fillId="0" borderId="0" xfId="0" applyNumberFormat="1" applyFont="1"/>
    <xf numFmtId="164" fontId="13" fillId="0" borderId="0" xfId="0" applyNumberFormat="1" applyFont="1"/>
    <xf numFmtId="2" fontId="9" fillId="0" borderId="0" xfId="0" applyNumberFormat="1" applyFont="1"/>
    <xf numFmtId="164" fontId="149" fillId="0" borderId="0" xfId="0" applyNumberFormat="1" applyFont="1"/>
    <xf numFmtId="1" fontId="23" fillId="0" borderId="0" xfId="0" applyNumberFormat="1" applyFont="1"/>
    <xf numFmtId="164" fontId="112" fillId="0" borderId="0" xfId="0" applyNumberFormat="1" applyFont="1"/>
    <xf numFmtId="1" fontId="150" fillId="0" borderId="0" xfId="0" applyNumberFormat="1" applyFont="1"/>
    <xf numFmtId="164" fontId="151" fillId="0" borderId="0" xfId="0" applyNumberFormat="1" applyFont="1"/>
    <xf numFmtId="164" fontId="150" fillId="0" borderId="0" xfId="0" applyNumberFormat="1" applyFont="1"/>
    <xf numFmtId="1" fontId="63" fillId="6" borderId="0" xfId="0" applyNumberFormat="1" applyFont="1" applyFill="1"/>
    <xf numFmtId="1" fontId="91" fillId="7" borderId="0" xfId="0" applyNumberFormat="1" applyFont="1" applyFill="1"/>
    <xf numFmtId="1" fontId="111" fillId="6" borderId="0" xfId="0" applyNumberFormat="1" applyFont="1" applyFill="1"/>
    <xf numFmtId="1" fontId="90" fillId="7" borderId="0" xfId="0" applyNumberFormat="1" applyFont="1" applyFill="1"/>
    <xf numFmtId="1" fontId="151" fillId="7" borderId="0" xfId="0" applyNumberFormat="1" applyFont="1" applyFill="1"/>
    <xf numFmtId="0" fontId="59" fillId="0" borderId="0" xfId="0" applyFont="1"/>
    <xf numFmtId="1" fontId="13" fillId="0" borderId="0" xfId="0" applyNumberFormat="1" applyFont="1"/>
    <xf numFmtId="164" fontId="36" fillId="0" borderId="0" xfId="0" applyNumberFormat="1" applyFont="1"/>
    <xf numFmtId="1" fontId="151" fillId="0" borderId="0" xfId="0" applyNumberFormat="1" applyFont="1"/>
    <xf numFmtId="1" fontId="59" fillId="6" borderId="0" xfId="0" applyNumberFormat="1" applyFont="1" applyFill="1"/>
    <xf numFmtId="2" fontId="96" fillId="0" borderId="0" xfId="0" applyNumberFormat="1" applyFont="1"/>
    <xf numFmtId="3" fontId="89" fillId="0" borderId="0" xfId="0" applyNumberFormat="1" applyFont="1"/>
    <xf numFmtId="165" fontId="19" fillId="7" borderId="0" xfId="0" applyNumberFormat="1" applyFont="1" applyFill="1"/>
    <xf numFmtId="0" fontId="130" fillId="7" borderId="0" xfId="0" applyFont="1" applyFill="1"/>
    <xf numFmtId="164" fontId="0" fillId="23" borderId="0" xfId="0" applyNumberFormat="1" applyFill="1"/>
    <xf numFmtId="164" fontId="0" fillId="27" borderId="0" xfId="0" applyNumberFormat="1" applyFill="1"/>
    <xf numFmtId="164" fontId="152" fillId="7" borderId="0" xfId="0" applyNumberFormat="1" applyFont="1" applyFill="1"/>
    <xf numFmtId="164" fontId="152" fillId="0" borderId="0" xfId="0" applyNumberFormat="1" applyFont="1"/>
    <xf numFmtId="164" fontId="153" fillId="0" borderId="0" xfId="0" applyNumberFormat="1" applyFont="1"/>
    <xf numFmtId="164" fontId="154" fillId="0" borderId="0" xfId="0" applyNumberFormat="1" applyFont="1"/>
    <xf numFmtId="164" fontId="74" fillId="7" borderId="0" xfId="0" applyNumberFormat="1" applyFont="1" applyFill="1"/>
    <xf numFmtId="164" fontId="155" fillId="0" borderId="0" xfId="0" applyNumberFormat="1" applyFont="1"/>
    <xf numFmtId="164" fontId="155" fillId="7" borderId="0" xfId="0" applyNumberFormat="1" applyFont="1" applyFill="1"/>
    <xf numFmtId="0" fontId="157" fillId="0" borderId="0" xfId="0" applyFont="1" applyAlignment="1">
      <alignment horizontal="left"/>
    </xf>
    <xf numFmtId="164" fontId="48" fillId="6" borderId="0" xfId="0" applyNumberFormat="1" applyFont="1" applyFill="1"/>
    <xf numFmtId="164" fontId="75" fillId="7" borderId="0" xfId="0" applyNumberFormat="1" applyFont="1" applyFill="1"/>
    <xf numFmtId="0" fontId="159" fillId="0" borderId="0" xfId="0" applyFont="1" applyAlignment="1">
      <alignment horizontal="left"/>
    </xf>
    <xf numFmtId="164" fontId="162" fillId="6" borderId="0" xfId="0" applyNumberFormat="1" applyFont="1" applyFill="1"/>
    <xf numFmtId="164" fontId="162" fillId="0" borderId="0" xfId="0" applyNumberFormat="1" applyFont="1"/>
    <xf numFmtId="1" fontId="163" fillId="0" borderId="0" xfId="0" applyNumberFormat="1" applyFont="1"/>
    <xf numFmtId="1" fontId="164" fillId="0" borderId="0" xfId="0" applyNumberFormat="1" applyFont="1"/>
    <xf numFmtId="0" fontId="4" fillId="0" borderId="0" xfId="0" applyFont="1"/>
    <xf numFmtId="1" fontId="4" fillId="0" borderId="0" xfId="0" applyNumberFormat="1" applyFont="1"/>
    <xf numFmtId="164" fontId="9" fillId="0" borderId="0" xfId="0" applyNumberFormat="1" applyFont="1" applyAlignment="1">
      <alignment horizontal="left" wrapText="1"/>
    </xf>
    <xf numFmtId="164" fontId="165" fillId="0" borderId="0" xfId="0" applyNumberFormat="1" applyFont="1"/>
    <xf numFmtId="164" fontId="166" fillId="0" borderId="0" xfId="0" applyNumberFormat="1" applyFont="1"/>
    <xf numFmtId="164" fontId="163" fillId="0" borderId="0" xfId="0" applyNumberFormat="1" applyFont="1"/>
    <xf numFmtId="164" fontId="4" fillId="0" borderId="0" xfId="0" applyNumberFormat="1" applyFont="1"/>
    <xf numFmtId="0" fontId="145" fillId="0" borderId="0" xfId="0" applyFont="1" applyAlignment="1">
      <alignment horizontal="left" wrapText="1"/>
    </xf>
    <xf numFmtId="0" fontId="146" fillId="0" borderId="0" xfId="0" applyFont="1" applyAlignment="1">
      <alignment horizontal="left" wrapText="1"/>
    </xf>
    <xf numFmtId="0" fontId="66" fillId="6" borderId="0" xfId="0" applyFont="1" applyFill="1"/>
    <xf numFmtId="0" fontId="108" fillId="0" borderId="0" xfId="0" applyFont="1" applyAlignment="1">
      <alignment horizontal="left"/>
    </xf>
    <xf numFmtId="0" fontId="108" fillId="6" borderId="0" xfId="0" applyFont="1" applyFill="1" applyAlignment="1">
      <alignment horizontal="left"/>
    </xf>
    <xf numFmtId="1" fontId="169" fillId="7" borderId="0" xfId="0" applyNumberFormat="1" applyFont="1" applyFill="1"/>
    <xf numFmtId="1" fontId="170" fillId="7" borderId="0" xfId="0" applyNumberFormat="1" applyFont="1" applyFill="1"/>
    <xf numFmtId="1" fontId="145" fillId="0" borderId="0" xfId="0" applyNumberFormat="1" applyFont="1"/>
    <xf numFmtId="164" fontId="171" fillId="0" borderId="0" xfId="0" applyNumberFormat="1" applyFont="1"/>
    <xf numFmtId="164" fontId="66" fillId="6" borderId="0" xfId="0" applyNumberFormat="1" applyFont="1" applyFill="1"/>
    <xf numFmtId="0" fontId="66" fillId="6" borderId="0" xfId="0" applyFont="1" applyFill="1" applyAlignment="1">
      <alignment horizontal="left"/>
    </xf>
    <xf numFmtId="164" fontId="145" fillId="0" borderId="0" xfId="0" applyNumberFormat="1" applyFont="1"/>
    <xf numFmtId="0" fontId="145" fillId="0" borderId="0" xfId="0" applyFont="1" applyAlignment="1">
      <alignment wrapText="1"/>
    </xf>
    <xf numFmtId="0" fontId="118" fillId="0" borderId="0" xfId="0" applyFont="1" applyAlignment="1">
      <alignment wrapText="1"/>
    </xf>
    <xf numFmtId="0" fontId="118" fillId="0" borderId="0" xfId="0" applyFont="1" applyAlignment="1">
      <alignment horizontal="left" wrapText="1"/>
    </xf>
    <xf numFmtId="164" fontId="172" fillId="22" borderId="0" xfId="0" applyNumberFormat="1" applyFont="1" applyFill="1"/>
    <xf numFmtId="164" fontId="130" fillId="0" borderId="0" xfId="0" applyNumberFormat="1" applyFont="1"/>
    <xf numFmtId="0" fontId="132" fillId="26" borderId="11" xfId="0" applyFont="1" applyFill="1" applyBorder="1" applyAlignment="1">
      <alignment wrapText="1"/>
    </xf>
    <xf numFmtId="0" fontId="19" fillId="17" borderId="0" xfId="1" applyFont="1" applyFill="1"/>
    <xf numFmtId="164" fontId="173" fillId="26" borderId="0" xfId="6" applyNumberFormat="1" applyFont="1" applyFill="1"/>
    <xf numFmtId="164" fontId="175" fillId="0" borderId="0" xfId="6" applyNumberFormat="1" applyFont="1"/>
    <xf numFmtId="164" fontId="174" fillId="0" borderId="0" xfId="6" applyNumberFormat="1" applyFont="1"/>
    <xf numFmtId="164" fontId="173" fillId="0" borderId="0" xfId="6" applyNumberFormat="1" applyFont="1"/>
    <xf numFmtId="164" fontId="176" fillId="0" borderId="0" xfId="6" applyNumberFormat="1" applyFont="1"/>
    <xf numFmtId="0" fontId="177" fillId="0" borderId="0" xfId="6" applyFont="1"/>
    <xf numFmtId="164" fontId="178" fillId="0" borderId="0" xfId="6" applyNumberFormat="1" applyFont="1"/>
    <xf numFmtId="164" fontId="177" fillId="26" borderId="0" xfId="6" applyNumberFormat="1" applyFont="1" applyFill="1"/>
    <xf numFmtId="164" fontId="177" fillId="0" borderId="0" xfId="6" applyNumberFormat="1" applyFont="1"/>
    <xf numFmtId="0" fontId="179" fillId="0" borderId="0" xfId="6" applyFont="1"/>
    <xf numFmtId="164" fontId="175" fillId="0" borderId="15" xfId="6" applyNumberFormat="1" applyFont="1" applyBorder="1"/>
    <xf numFmtId="164" fontId="179" fillId="0" borderId="0" xfId="6" applyNumberFormat="1" applyFont="1"/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164" fontId="9" fillId="0" borderId="2" xfId="0" applyNumberFormat="1" applyFont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164" fontId="9" fillId="0" borderId="2" xfId="0" applyNumberFormat="1" applyFont="1" applyBorder="1" applyAlignment="1">
      <alignment horizontal="center"/>
    </xf>
    <xf numFmtId="164" fontId="9" fillId="6" borderId="2" xfId="0" applyNumberFormat="1" applyFont="1" applyFill="1" applyBorder="1" applyAlignment="1">
      <alignment horizontal="center" vertical="center"/>
    </xf>
    <xf numFmtId="164" fontId="118" fillId="0" borderId="2" xfId="0" applyNumberFormat="1" applyFont="1" applyBorder="1" applyAlignment="1">
      <alignment wrapText="1"/>
    </xf>
    <xf numFmtId="1" fontId="0" fillId="0" borderId="2" xfId="0" applyNumberFormat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118" fillId="0" borderId="0" xfId="0" applyNumberFormat="1" applyFont="1"/>
    <xf numFmtId="164" fontId="0" fillId="7" borderId="0" xfId="0" applyNumberFormat="1" applyFill="1"/>
    <xf numFmtId="9" fontId="0" fillId="0" borderId="0" xfId="0" applyNumberFormat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0" fontId="0" fillId="7" borderId="0" xfId="0" applyFill="1"/>
    <xf numFmtId="1" fontId="0" fillId="0" borderId="0" xfId="0" applyNumberFormat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181" fillId="0" borderId="0" xfId="0" applyFont="1" applyAlignment="1">
      <alignment wrapText="1"/>
    </xf>
    <xf numFmtId="0" fontId="130" fillId="0" borderId="0" xfId="0" applyFont="1"/>
    <xf numFmtId="164" fontId="156" fillId="0" borderId="0" xfId="0" applyNumberFormat="1" applyFont="1"/>
    <xf numFmtId="164" fontId="62" fillId="0" borderId="0" xfId="0" applyNumberFormat="1" applyFont="1"/>
    <xf numFmtId="0" fontId="9" fillId="21" borderId="0" xfId="0" applyFont="1" applyFill="1"/>
    <xf numFmtId="164" fontId="130" fillId="6" borderId="0" xfId="0" applyNumberFormat="1" applyFont="1" applyFill="1"/>
    <xf numFmtId="0" fontId="182" fillId="0" borderId="0" xfId="7" applyFont="1" applyAlignment="1">
      <alignment horizontal="center" vertical="center" wrapText="1"/>
    </xf>
    <xf numFmtId="0" fontId="183" fillId="0" borderId="0" xfId="7" applyFont="1"/>
    <xf numFmtId="0" fontId="102" fillId="7" borderId="2" xfId="7" applyFont="1" applyFill="1" applyBorder="1" applyAlignment="1">
      <alignment horizontal="center" vertical="center" wrapText="1"/>
    </xf>
    <xf numFmtId="0" fontId="185" fillId="7" borderId="2" xfId="7" applyFont="1" applyFill="1" applyBorder="1" applyAlignment="1">
      <alignment horizontal="center" vertical="center" wrapText="1"/>
    </xf>
    <xf numFmtId="0" fontId="186" fillId="7" borderId="2" xfId="7" applyFont="1" applyFill="1" applyBorder="1" applyAlignment="1">
      <alignment horizontal="center" vertical="center" wrapText="1"/>
    </xf>
    <xf numFmtId="164" fontId="185" fillId="7" borderId="2" xfId="7" applyNumberFormat="1" applyFont="1" applyFill="1" applyBorder="1" applyAlignment="1">
      <alignment horizontal="center" vertical="center" wrapText="1"/>
    </xf>
    <xf numFmtId="1" fontId="185" fillId="7" borderId="2" xfId="7" applyNumberFormat="1" applyFont="1" applyFill="1" applyBorder="1" applyAlignment="1">
      <alignment horizontal="center" vertical="center" wrapText="1"/>
    </xf>
    <xf numFmtId="0" fontId="189" fillId="0" borderId="0" xfId="7" applyFont="1"/>
    <xf numFmtId="0" fontId="185" fillId="7" borderId="2" xfId="7" applyFont="1" applyFill="1" applyBorder="1" applyAlignment="1">
      <alignment horizontal="center" vertical="center"/>
    </xf>
    <xf numFmtId="0" fontId="183" fillId="7" borderId="2" xfId="7" applyFont="1" applyFill="1" applyBorder="1" applyAlignment="1">
      <alignment horizontal="center" vertical="center" wrapText="1"/>
    </xf>
    <xf numFmtId="0" fontId="103" fillId="7" borderId="2" xfId="7" applyFont="1" applyFill="1" applyBorder="1" applyAlignment="1">
      <alignment horizontal="center" vertical="center" wrapText="1"/>
    </xf>
    <xf numFmtId="164" fontId="190" fillId="7" borderId="2" xfId="0" applyNumberFormat="1" applyFont="1" applyFill="1" applyBorder="1" applyAlignment="1">
      <alignment horizontal="center" vertical="center"/>
    </xf>
    <xf numFmtId="164" fontId="190" fillId="7" borderId="2" xfId="7" applyNumberFormat="1" applyFont="1" applyFill="1" applyBorder="1" applyAlignment="1">
      <alignment horizontal="center" vertical="center"/>
    </xf>
    <xf numFmtId="164" fontId="183" fillId="7" borderId="2" xfId="7" applyNumberFormat="1" applyFont="1" applyFill="1" applyBorder="1" applyAlignment="1">
      <alignment horizontal="center" vertical="center"/>
    </xf>
    <xf numFmtId="164" fontId="183" fillId="7" borderId="2" xfId="0" applyNumberFormat="1" applyFont="1" applyFill="1" applyBorder="1" applyAlignment="1">
      <alignment horizontal="center" vertical="center"/>
    </xf>
    <xf numFmtId="0" fontId="191" fillId="7" borderId="2" xfId="7" applyFont="1" applyFill="1" applyBorder="1" applyAlignment="1">
      <alignment horizontal="center" vertical="center" wrapText="1"/>
    </xf>
    <xf numFmtId="0" fontId="183" fillId="7" borderId="0" xfId="7" applyFont="1" applyFill="1"/>
    <xf numFmtId="1" fontId="183" fillId="0" borderId="2" xfId="7" applyNumberFormat="1" applyFont="1" applyBorder="1" applyAlignment="1">
      <alignment horizontal="center" vertical="center"/>
    </xf>
    <xf numFmtId="164" fontId="183" fillId="0" borderId="2" xfId="7" applyNumberFormat="1" applyFont="1" applyBorder="1" applyAlignment="1">
      <alignment horizontal="center" vertical="center"/>
    </xf>
    <xf numFmtId="0" fontId="103" fillId="0" borderId="0" xfId="7" applyFont="1" applyAlignment="1">
      <alignment horizontal="left" vertical="center" wrapText="1"/>
    </xf>
    <xf numFmtId="1" fontId="183" fillId="0" borderId="0" xfId="7" applyNumberFormat="1" applyFont="1"/>
    <xf numFmtId="1" fontId="183" fillId="28" borderId="0" xfId="7" applyNumberFormat="1" applyFont="1" applyFill="1"/>
    <xf numFmtId="1" fontId="192" fillId="7" borderId="2" xfId="7" applyNumberFormat="1" applyFont="1" applyFill="1" applyBorder="1" applyAlignment="1">
      <alignment horizontal="center" vertical="center" wrapText="1"/>
    </xf>
    <xf numFmtId="164" fontId="192" fillId="7" borderId="2" xfId="7" applyNumberFormat="1" applyFont="1" applyFill="1" applyBorder="1" applyAlignment="1">
      <alignment horizontal="center" vertical="center" wrapText="1"/>
    </xf>
    <xf numFmtId="1" fontId="190" fillId="0" borderId="2" xfId="7" applyNumberFormat="1" applyFont="1" applyBorder="1" applyAlignment="1">
      <alignment horizontal="center" vertical="center"/>
    </xf>
    <xf numFmtId="164" fontId="190" fillId="0" borderId="2" xfId="7" applyNumberFormat="1" applyFont="1" applyBorder="1" applyAlignment="1">
      <alignment horizontal="center" vertical="center"/>
    </xf>
    <xf numFmtId="1" fontId="189" fillId="0" borderId="2" xfId="7" applyNumberFormat="1" applyFont="1" applyBorder="1" applyAlignment="1">
      <alignment horizontal="center" vertical="center"/>
    </xf>
    <xf numFmtId="164" fontId="185" fillId="0" borderId="2" xfId="7" applyNumberFormat="1" applyFont="1" applyBorder="1" applyAlignment="1">
      <alignment horizontal="center" vertical="center"/>
    </xf>
    <xf numFmtId="0" fontId="65" fillId="0" borderId="0" xfId="0" applyFont="1" applyAlignment="1">
      <alignment vertical="center"/>
    </xf>
    <xf numFmtId="2" fontId="0" fillId="29" borderId="0" xfId="0" applyNumberFormat="1" applyFill="1"/>
    <xf numFmtId="164" fontId="62" fillId="29" borderId="0" xfId="0" applyNumberFormat="1" applyFont="1" applyFill="1"/>
    <xf numFmtId="164" fontId="192" fillId="7" borderId="2" xfId="7" applyNumberFormat="1" applyFont="1" applyFill="1" applyBorder="1" applyAlignment="1">
      <alignment horizontal="center" vertical="center"/>
    </xf>
    <xf numFmtId="1" fontId="192" fillId="0" borderId="2" xfId="7" applyNumberFormat="1" applyFont="1" applyBorder="1" applyAlignment="1">
      <alignment horizontal="center" vertical="center"/>
    </xf>
    <xf numFmtId="1" fontId="190" fillId="7" borderId="2" xfId="7" applyNumberFormat="1" applyFont="1" applyFill="1" applyBorder="1" applyAlignment="1">
      <alignment horizontal="center" vertical="center" wrapText="1"/>
    </xf>
    <xf numFmtId="164" fontId="190" fillId="7" borderId="2" xfId="7" applyNumberFormat="1" applyFont="1" applyFill="1" applyBorder="1" applyAlignment="1">
      <alignment horizontal="center" vertical="center" wrapText="1"/>
    </xf>
    <xf numFmtId="164" fontId="193" fillId="7" borderId="0" xfId="0" applyNumberFormat="1" applyFont="1" applyFill="1"/>
    <xf numFmtId="164" fontId="104" fillId="0" borderId="0" xfId="0" applyNumberFormat="1" applyFont="1"/>
    <xf numFmtId="0" fontId="14" fillId="30" borderId="2" xfId="0" applyFont="1" applyFill="1" applyBorder="1"/>
    <xf numFmtId="0" fontId="13" fillId="30" borderId="2" xfId="0" applyFont="1" applyFill="1" applyBorder="1" applyAlignment="1">
      <alignment horizontal="center"/>
    </xf>
    <xf numFmtId="164" fontId="63" fillId="30" borderId="2" xfId="0" applyNumberFormat="1" applyFont="1" applyFill="1" applyBorder="1" applyAlignment="1">
      <alignment vertical="center"/>
    </xf>
    <xf numFmtId="164" fontId="116" fillId="30" borderId="2" xfId="0" applyNumberFormat="1" applyFont="1" applyFill="1" applyBorder="1" applyAlignment="1">
      <alignment vertical="center"/>
    </xf>
    <xf numFmtId="0" fontId="0" fillId="30" borderId="0" xfId="0" applyFill="1"/>
    <xf numFmtId="0" fontId="13" fillId="30" borderId="2" xfId="0" applyFont="1" applyFill="1" applyBorder="1"/>
    <xf numFmtId="164" fontId="63" fillId="30" borderId="2" xfId="0" applyNumberFormat="1" applyFont="1" applyFill="1" applyBorder="1" applyAlignment="1">
      <alignment horizontal="center" vertical="center"/>
    </xf>
    <xf numFmtId="164" fontId="54" fillId="30" borderId="2" xfId="0" applyNumberFormat="1" applyFont="1" applyFill="1" applyBorder="1" applyAlignment="1">
      <alignment vertical="center"/>
    </xf>
    <xf numFmtId="164" fontId="115" fillId="30" borderId="2" xfId="0" applyNumberFormat="1" applyFont="1" applyFill="1" applyBorder="1" applyAlignment="1">
      <alignment vertical="center"/>
    </xf>
    <xf numFmtId="0" fontId="13" fillId="30" borderId="2" xfId="0" applyFont="1" applyFill="1" applyBorder="1" applyAlignment="1">
      <alignment wrapText="1"/>
    </xf>
    <xf numFmtId="0" fontId="14" fillId="30" borderId="4" xfId="0" applyFont="1" applyFill="1" applyBorder="1" applyAlignment="1">
      <alignment horizontal="center" vertical="center"/>
    </xf>
    <xf numFmtId="0" fontId="13" fillId="30" borderId="4" xfId="0" applyFont="1" applyFill="1" applyBorder="1" applyAlignment="1">
      <alignment wrapText="1"/>
    </xf>
    <xf numFmtId="164" fontId="194" fillId="12" borderId="2" xfId="0" applyNumberFormat="1" applyFont="1" applyFill="1" applyBorder="1" applyAlignment="1">
      <alignment horizontal="right"/>
    </xf>
    <xf numFmtId="2" fontId="0" fillId="30" borderId="0" xfId="0" applyNumberFormat="1" applyFill="1"/>
    <xf numFmtId="164" fontId="0" fillId="30" borderId="0" xfId="0" applyNumberFormat="1" applyFill="1"/>
    <xf numFmtId="164" fontId="13" fillId="30" borderId="0" xfId="1" applyNumberFormat="1" applyFont="1" applyFill="1"/>
    <xf numFmtId="164" fontId="195" fillId="7" borderId="0" xfId="0" applyNumberFormat="1" applyFont="1" applyFill="1" applyAlignment="1">
      <alignment horizontal="center" vertical="center" wrapText="1"/>
    </xf>
    <xf numFmtId="0" fontId="143" fillId="18" borderId="0" xfId="0" applyFont="1" applyFill="1"/>
    <xf numFmtId="0" fontId="9" fillId="18" borderId="0" xfId="0" applyFont="1" applyFill="1"/>
    <xf numFmtId="164" fontId="197" fillId="0" borderId="0" xfId="0" applyNumberFormat="1" applyFont="1" applyAlignment="1">
      <alignment horizontal="right"/>
    </xf>
    <xf numFmtId="164" fontId="196" fillId="7" borderId="0" xfId="0" applyNumberFormat="1" applyFont="1" applyFill="1" applyAlignment="1">
      <alignment horizontal="right" vertical="center"/>
    </xf>
    <xf numFmtId="164" fontId="198" fillId="0" borderId="2" xfId="0" applyNumberFormat="1" applyFont="1" applyBorder="1" applyAlignment="1">
      <alignment vertical="center"/>
    </xf>
    <xf numFmtId="164" fontId="196" fillId="30" borderId="2" xfId="0" applyNumberFormat="1" applyFont="1" applyFill="1" applyBorder="1" applyAlignment="1">
      <alignment vertical="center"/>
    </xf>
    <xf numFmtId="164" fontId="196" fillId="7" borderId="2" xfId="0" applyNumberFormat="1" applyFont="1" applyFill="1" applyBorder="1" applyAlignment="1">
      <alignment vertical="center"/>
    </xf>
    <xf numFmtId="0" fontId="199" fillId="0" borderId="0" xfId="0" applyFont="1"/>
    <xf numFmtId="164" fontId="88" fillId="0" borderId="0" xfId="0" applyNumberFormat="1" applyFont="1"/>
    <xf numFmtId="0" fontId="9" fillId="0" borderId="0" xfId="0" applyFont="1" applyAlignment="1">
      <alignment horizontal="center"/>
    </xf>
    <xf numFmtId="49" fontId="201" fillId="31" borderId="2" xfId="8" applyNumberFormat="1" applyFont="1" applyFill="1" applyBorder="1" applyAlignment="1">
      <alignment vertical="top" wrapText="1" shrinkToFit="1"/>
    </xf>
    <xf numFmtId="164" fontId="201" fillId="31" borderId="2" xfId="8" applyNumberFormat="1" applyFont="1" applyFill="1" applyBorder="1" applyAlignment="1">
      <alignment vertical="top" wrapText="1"/>
    </xf>
    <xf numFmtId="164" fontId="198" fillId="0" borderId="0" xfId="1" applyNumberFormat="1" applyFont="1"/>
    <xf numFmtId="164" fontId="196" fillId="0" borderId="0" xfId="1" applyNumberFormat="1" applyFont="1"/>
    <xf numFmtId="164" fontId="148" fillId="7" borderId="0" xfId="0" applyNumberFormat="1" applyFont="1" applyFill="1" applyAlignment="1">
      <alignment horizontal="center" vertical="center" wrapText="1"/>
    </xf>
    <xf numFmtId="1" fontId="197" fillId="0" borderId="0" xfId="0" applyNumberFormat="1" applyFont="1" applyAlignment="1">
      <alignment horizontal="center"/>
    </xf>
    <xf numFmtId="164" fontId="148" fillId="7" borderId="0" xfId="0" applyNumberFormat="1" applyFont="1" applyFill="1" applyAlignment="1">
      <alignment horizontal="center"/>
    </xf>
    <xf numFmtId="164" fontId="197" fillId="7" borderId="0" xfId="0" applyNumberFormat="1" applyFont="1" applyFill="1" applyAlignment="1">
      <alignment horizontal="right"/>
    </xf>
    <xf numFmtId="164" fontId="196" fillId="0" borderId="0" xfId="0" applyNumberFormat="1" applyFont="1" applyAlignment="1">
      <alignment horizontal="right"/>
    </xf>
    <xf numFmtId="1" fontId="202" fillId="0" borderId="0" xfId="0" applyNumberFormat="1" applyFont="1"/>
    <xf numFmtId="0" fontId="88" fillId="6" borderId="0" xfId="0" applyFont="1" applyFill="1"/>
    <xf numFmtId="164" fontId="203" fillId="0" borderId="0" xfId="0" applyNumberFormat="1" applyFont="1"/>
    <xf numFmtId="164" fontId="196" fillId="0" borderId="0" xfId="0" applyNumberFormat="1" applyFont="1"/>
    <xf numFmtId="1" fontId="196" fillId="0" borderId="0" xfId="0" applyNumberFormat="1" applyFont="1"/>
    <xf numFmtId="0" fontId="204" fillId="0" borderId="0" xfId="0" applyFont="1"/>
    <xf numFmtId="164" fontId="205" fillId="7" borderId="0" xfId="0" applyNumberFormat="1" applyFont="1" applyFill="1" applyAlignment="1">
      <alignment horizontal="right" vertical="center"/>
    </xf>
    <xf numFmtId="164" fontId="206" fillId="7" borderId="0" xfId="0" applyNumberFormat="1" applyFont="1" applyFill="1" applyAlignment="1">
      <alignment horizontal="right" vertical="center"/>
    </xf>
    <xf numFmtId="165" fontId="196" fillId="0" borderId="0" xfId="0" applyNumberFormat="1" applyFont="1"/>
    <xf numFmtId="164" fontId="204" fillId="0" borderId="0" xfId="0" applyNumberFormat="1" applyFont="1"/>
    <xf numFmtId="1" fontId="207" fillId="0" borderId="0" xfId="0" applyNumberFormat="1" applyFont="1"/>
    <xf numFmtId="164" fontId="209" fillId="0" borderId="0" xfId="6" applyNumberFormat="1" applyFont="1"/>
    <xf numFmtId="164" fontId="210" fillId="0" borderId="0" xfId="6" applyNumberFormat="1" applyFont="1"/>
    <xf numFmtId="0" fontId="212" fillId="0" borderId="0" xfId="0" applyFont="1" applyAlignment="1">
      <alignment horizontal="center"/>
    </xf>
    <xf numFmtId="14" fontId="9" fillId="0" borderId="0" xfId="0" applyNumberFormat="1" applyFont="1"/>
    <xf numFmtId="0" fontId="212" fillId="0" borderId="0" xfId="0" applyFont="1"/>
    <xf numFmtId="0" fontId="212" fillId="0" borderId="2" xfId="0" applyFont="1" applyBorder="1"/>
    <xf numFmtId="164" fontId="135" fillId="0" borderId="2" xfId="0" applyNumberFormat="1" applyFont="1" applyBorder="1" applyAlignment="1">
      <alignment horizontal="center"/>
    </xf>
    <xf numFmtId="164" fontId="212" fillId="0" borderId="2" xfId="0" applyNumberFormat="1" applyFont="1" applyBorder="1" applyAlignment="1">
      <alignment horizontal="center"/>
    </xf>
    <xf numFmtId="164" fontId="212" fillId="0" borderId="0" xfId="0" applyNumberFormat="1" applyFont="1" applyAlignment="1">
      <alignment horizontal="center"/>
    </xf>
    <xf numFmtId="0" fontId="135" fillId="0" borderId="2" xfId="0" applyFont="1" applyBorder="1" applyAlignment="1">
      <alignment horizontal="center"/>
    </xf>
    <xf numFmtId="0" fontId="212" fillId="0" borderId="2" xfId="0" applyFont="1" applyBorder="1" applyAlignment="1">
      <alignment horizontal="center"/>
    </xf>
    <xf numFmtId="0" fontId="183" fillId="0" borderId="2" xfId="0" applyFont="1" applyBorder="1"/>
    <xf numFmtId="164" fontId="9" fillId="0" borderId="18" xfId="0" applyNumberFormat="1" applyFont="1" applyBorder="1"/>
    <xf numFmtId="0" fontId="9" fillId="0" borderId="18" xfId="0" applyFont="1" applyBorder="1" applyAlignment="1">
      <alignment vertical="center"/>
    </xf>
    <xf numFmtId="164" fontId="213" fillId="0" borderId="0" xfId="0" applyNumberFormat="1" applyFont="1"/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206" fillId="0" borderId="0" xfId="0" applyNumberFormat="1" applyFont="1" applyAlignment="1">
      <alignment horizontal="center"/>
    </xf>
    <xf numFmtId="164" fontId="206" fillId="0" borderId="0" xfId="0" applyNumberFormat="1" applyFont="1" applyAlignment="1">
      <alignment horizontal="center" vertical="center"/>
    </xf>
    <xf numFmtId="164" fontId="183" fillId="13" borderId="2" xfId="7" applyNumberFormat="1" applyFont="1" applyFill="1" applyBorder="1" applyAlignment="1">
      <alignment horizontal="center" vertical="center"/>
    </xf>
    <xf numFmtId="1" fontId="183" fillId="13" borderId="2" xfId="7" applyNumberFormat="1" applyFont="1" applyFill="1" applyBorder="1" applyAlignment="1">
      <alignment horizontal="center" vertical="center"/>
    </xf>
    <xf numFmtId="1" fontId="190" fillId="13" borderId="2" xfId="7" applyNumberFormat="1" applyFont="1" applyFill="1" applyBorder="1" applyAlignment="1">
      <alignment horizontal="center" vertical="center"/>
    </xf>
    <xf numFmtId="164" fontId="124" fillId="7" borderId="2" xfId="0" applyNumberFormat="1" applyFont="1" applyFill="1" applyBorder="1" applyAlignment="1">
      <alignment vertical="center"/>
    </xf>
    <xf numFmtId="164" fontId="214" fillId="0" borderId="0" xfId="0" applyNumberFormat="1" applyFont="1"/>
    <xf numFmtId="164" fontId="124" fillId="7" borderId="2" xfId="0" applyNumberFormat="1" applyFont="1" applyFill="1" applyBorder="1" applyAlignment="1">
      <alignment horizontal="right" vertical="center"/>
    </xf>
    <xf numFmtId="0" fontId="172" fillId="7" borderId="2" xfId="0" applyFont="1" applyFill="1" applyBorder="1" applyAlignment="1">
      <alignment horizontal="center"/>
    </xf>
    <xf numFmtId="164" fontId="215" fillId="7" borderId="2" xfId="0" applyNumberFormat="1" applyFont="1" applyFill="1" applyBorder="1" applyAlignment="1">
      <alignment horizontal="right" vertical="center"/>
    </xf>
    <xf numFmtId="164" fontId="0" fillId="24" borderId="0" xfId="0" applyNumberFormat="1" applyFill="1"/>
    <xf numFmtId="1" fontId="162" fillId="0" borderId="0" xfId="0" applyNumberFormat="1" applyFont="1"/>
    <xf numFmtId="1" fontId="216" fillId="7" borderId="0" xfId="0" applyNumberFormat="1" applyFont="1" applyFill="1"/>
    <xf numFmtId="164" fontId="116" fillId="0" borderId="2" xfId="0" applyNumberFormat="1" applyFont="1" applyBorder="1" applyAlignment="1">
      <alignment horizontal="right" vertical="center"/>
    </xf>
    <xf numFmtId="2" fontId="88" fillId="6" borderId="0" xfId="0" applyNumberFormat="1" applyFont="1" applyFill="1"/>
    <xf numFmtId="164" fontId="48" fillId="32" borderId="0" xfId="0" applyNumberFormat="1" applyFont="1" applyFill="1"/>
    <xf numFmtId="0" fontId="0" fillId="32" borderId="0" xfId="0" applyFill="1"/>
    <xf numFmtId="0" fontId="217" fillId="17" borderId="0" xfId="0" applyFont="1" applyFill="1"/>
    <xf numFmtId="164" fontId="0" fillId="33" borderId="0" xfId="0" applyNumberFormat="1" applyFill="1"/>
    <xf numFmtId="0" fontId="214" fillId="0" borderId="0" xfId="0" applyFont="1"/>
    <xf numFmtId="164" fontId="124" fillId="0" borderId="0" xfId="0" applyNumberFormat="1" applyFont="1" applyAlignment="1">
      <alignment horizontal="right"/>
    </xf>
    <xf numFmtId="1" fontId="218" fillId="0" borderId="0" xfId="0" applyNumberFormat="1" applyFont="1" applyAlignment="1">
      <alignment horizontal="left"/>
    </xf>
    <xf numFmtId="164" fontId="218" fillId="0" borderId="0" xfId="0" applyNumberFormat="1" applyFont="1" applyAlignment="1">
      <alignment horizontal="left"/>
    </xf>
    <xf numFmtId="1" fontId="218" fillId="7" borderId="0" xfId="0" applyNumberFormat="1" applyFont="1" applyFill="1" applyAlignment="1">
      <alignment horizontal="left"/>
    </xf>
    <xf numFmtId="1" fontId="218" fillId="0" borderId="0" xfId="0" applyNumberFormat="1" applyFont="1" applyAlignment="1">
      <alignment horizontal="left" vertical="top" wrapText="1"/>
    </xf>
    <xf numFmtId="2" fontId="214" fillId="0" borderId="0" xfId="0" applyNumberFormat="1" applyFont="1"/>
    <xf numFmtId="1" fontId="219" fillId="0" borderId="0" xfId="0" applyNumberFormat="1" applyFont="1" applyAlignment="1">
      <alignment horizontal="right"/>
    </xf>
    <xf numFmtId="164" fontId="219" fillId="0" borderId="0" xfId="0" applyNumberFormat="1" applyFont="1" applyAlignment="1">
      <alignment horizontal="right"/>
    </xf>
    <xf numFmtId="166" fontId="121" fillId="0" borderId="0" xfId="0" applyNumberFormat="1" applyFont="1" applyAlignment="1">
      <alignment horizontal="right"/>
    </xf>
    <xf numFmtId="164" fontId="214" fillId="7" borderId="0" xfId="0" applyNumberFormat="1" applyFont="1" applyFill="1"/>
    <xf numFmtId="0" fontId="220" fillId="7" borderId="0" xfId="0" applyFont="1" applyFill="1"/>
    <xf numFmtId="164" fontId="221" fillId="0" borderId="0" xfId="0" applyNumberFormat="1" applyFont="1"/>
    <xf numFmtId="164" fontId="221" fillId="7" borderId="0" xfId="0" applyNumberFormat="1" applyFont="1" applyFill="1"/>
    <xf numFmtId="164" fontId="222" fillId="6" borderId="0" xfId="0" applyNumberFormat="1" applyFont="1" applyFill="1"/>
    <xf numFmtId="164" fontId="223" fillId="34" borderId="0" xfId="0" applyNumberFormat="1" applyFont="1" applyFill="1"/>
    <xf numFmtId="164" fontId="210" fillId="17" borderId="0" xfId="6" applyNumberFormat="1" applyFont="1" applyFill="1"/>
    <xf numFmtId="164" fontId="209" fillId="17" borderId="0" xfId="6" applyNumberFormat="1" applyFont="1" applyFill="1"/>
    <xf numFmtId="164" fontId="209" fillId="35" borderId="0" xfId="6" applyNumberFormat="1" applyFont="1" applyFill="1"/>
    <xf numFmtId="0" fontId="134" fillId="35" borderId="14" xfId="0" applyFont="1" applyFill="1" applyBorder="1"/>
    <xf numFmtId="0" fontId="9" fillId="35" borderId="0" xfId="0" applyFont="1" applyFill="1"/>
    <xf numFmtId="164" fontId="0" fillId="36" borderId="0" xfId="0" applyNumberFormat="1" applyFill="1"/>
    <xf numFmtId="0" fontId="0" fillId="36" borderId="0" xfId="0" applyFill="1"/>
    <xf numFmtId="164" fontId="9" fillId="36" borderId="0" xfId="0" applyNumberFormat="1" applyFont="1" applyFill="1"/>
    <xf numFmtId="1" fontId="0" fillId="36" borderId="0" xfId="0" applyNumberFormat="1" applyFill="1"/>
    <xf numFmtId="0" fontId="192" fillId="7" borderId="2" xfId="7" applyFont="1" applyFill="1" applyBorder="1" applyAlignment="1">
      <alignment horizontal="center" vertical="center" wrapText="1"/>
    </xf>
    <xf numFmtId="166" fontId="124" fillId="0" borderId="0" xfId="0" applyNumberFormat="1" applyFont="1"/>
    <xf numFmtId="166" fontId="91" fillId="7" borderId="0" xfId="0" applyNumberFormat="1" applyFont="1" applyFill="1"/>
    <xf numFmtId="164" fontId="224" fillId="0" borderId="0" xfId="0" applyNumberFormat="1" applyFont="1"/>
    <xf numFmtId="1" fontId="88" fillId="0" borderId="0" xfId="0" applyNumberFormat="1" applyFont="1"/>
    <xf numFmtId="0" fontId="0" fillId="22" borderId="0" xfId="0" applyFill="1"/>
    <xf numFmtId="1" fontId="36" fillId="0" borderId="0" xfId="0" applyNumberFormat="1" applyFont="1"/>
    <xf numFmtId="164" fontId="48" fillId="36" borderId="0" xfId="0" applyNumberFormat="1" applyFont="1" applyFill="1"/>
    <xf numFmtId="1" fontId="218" fillId="0" borderId="0" xfId="0" applyNumberFormat="1" applyFont="1" applyAlignment="1">
      <alignment horizontal="right"/>
    </xf>
    <xf numFmtId="1" fontId="225" fillId="0" borderId="0" xfId="0" applyNumberFormat="1" applyFont="1" applyAlignment="1">
      <alignment horizontal="right"/>
    </xf>
    <xf numFmtId="1" fontId="218" fillId="0" borderId="0" xfId="0" applyNumberFormat="1" applyFont="1" applyAlignment="1">
      <alignment horizontal="right" vertical="top"/>
    </xf>
    <xf numFmtId="1" fontId="218" fillId="7" borderId="0" xfId="0" applyNumberFormat="1" applyFont="1" applyFill="1" applyAlignment="1">
      <alignment horizontal="right" vertical="top"/>
    </xf>
    <xf numFmtId="1" fontId="80" fillId="0" borderId="0" xfId="0" applyNumberFormat="1" applyFont="1" applyAlignment="1">
      <alignment horizontal="right" vertical="top"/>
    </xf>
    <xf numFmtId="164" fontId="218" fillId="0" borderId="0" xfId="0" applyNumberFormat="1" applyFont="1" applyAlignment="1">
      <alignment horizontal="right"/>
    </xf>
    <xf numFmtId="164" fontId="218" fillId="7" borderId="0" xfId="0" applyNumberFormat="1" applyFont="1" applyFill="1" applyAlignment="1">
      <alignment horizontal="right"/>
    </xf>
    <xf numFmtId="1" fontId="218" fillId="7" borderId="0" xfId="0" applyNumberFormat="1" applyFont="1" applyFill="1" applyAlignment="1">
      <alignment horizontal="center" vertical="center"/>
    </xf>
    <xf numFmtId="0" fontId="218" fillId="0" borderId="0" xfId="0" applyFont="1"/>
    <xf numFmtId="1" fontId="124" fillId="0" borderId="0" xfId="0" applyNumberFormat="1" applyFont="1" applyAlignment="1">
      <alignment horizontal="center"/>
    </xf>
    <xf numFmtId="164" fontId="124" fillId="0" borderId="0" xfId="0" applyNumberFormat="1" applyFont="1" applyAlignment="1">
      <alignment horizontal="center"/>
    </xf>
    <xf numFmtId="164" fontId="124" fillId="7" borderId="0" xfId="0" applyNumberFormat="1" applyFont="1" applyFill="1" applyAlignment="1">
      <alignment horizontal="center"/>
    </xf>
    <xf numFmtId="164" fontId="215" fillId="0" borderId="0" xfId="0" applyNumberFormat="1" applyFont="1" applyAlignment="1">
      <alignment horizontal="center"/>
    </xf>
    <xf numFmtId="0" fontId="226" fillId="11" borderId="0" xfId="0" applyFont="1" applyFill="1"/>
    <xf numFmtId="164" fontId="124" fillId="6" borderId="0" xfId="0" applyNumberFormat="1" applyFont="1" applyFill="1" applyAlignment="1">
      <alignment horizontal="center"/>
    </xf>
    <xf numFmtId="0" fontId="214" fillId="11" borderId="0" xfId="0" applyFont="1" applyFill="1"/>
    <xf numFmtId="164" fontId="124" fillId="0" borderId="0" xfId="0" applyNumberFormat="1" applyFont="1" applyAlignment="1">
      <alignment horizontal="left"/>
    </xf>
    <xf numFmtId="166" fontId="124" fillId="0" borderId="0" xfId="0" applyNumberFormat="1" applyFont="1" applyAlignment="1">
      <alignment horizontal="center"/>
    </xf>
    <xf numFmtId="2" fontId="124" fillId="0" borderId="0" xfId="0" applyNumberFormat="1" applyFont="1" applyAlignment="1">
      <alignment horizontal="center"/>
    </xf>
    <xf numFmtId="164" fontId="124" fillId="0" borderId="2" xfId="0" applyNumberFormat="1" applyFont="1" applyBorder="1" applyAlignment="1">
      <alignment horizontal="right" vertical="center"/>
    </xf>
    <xf numFmtId="0" fontId="227" fillId="17" borderId="0" xfId="0" applyFont="1" applyFill="1"/>
    <xf numFmtId="164" fontId="228" fillId="0" borderId="0" xfId="0" applyNumberFormat="1" applyFont="1" applyAlignment="1" applyProtection="1">
      <alignment horizontal="right"/>
      <protection locked="0"/>
    </xf>
    <xf numFmtId="0" fontId="171" fillId="0" borderId="0" xfId="0" applyFont="1"/>
    <xf numFmtId="2" fontId="13" fillId="0" borderId="0" xfId="0" applyNumberFormat="1" applyFont="1" applyAlignment="1">
      <alignment horizontal="right"/>
    </xf>
    <xf numFmtId="0" fontId="0" fillId="0" borderId="18" xfId="0" applyBorder="1"/>
    <xf numFmtId="3" fontId="9" fillId="0" borderId="0" xfId="0" applyNumberFormat="1" applyFont="1"/>
    <xf numFmtId="0" fontId="48" fillId="18" borderId="0" xfId="0" applyFont="1" applyFill="1"/>
    <xf numFmtId="0" fontId="0" fillId="18" borderId="18" xfId="0" applyFill="1" applyBorder="1"/>
    <xf numFmtId="0" fontId="0" fillId="17" borderId="18" xfId="0" applyFill="1" applyBorder="1"/>
    <xf numFmtId="164" fontId="183" fillId="0" borderId="0" xfId="7" applyNumberFormat="1" applyFont="1" applyAlignment="1">
      <alignment horizontal="center" vertical="center"/>
    </xf>
    <xf numFmtId="164" fontId="36" fillId="7" borderId="0" xfId="0" applyNumberFormat="1" applyFont="1" applyFill="1" applyAlignment="1">
      <alignment horizontal="right" vertical="center"/>
    </xf>
    <xf numFmtId="164" fontId="36" fillId="0" borderId="2" xfId="0" applyNumberFormat="1" applyFont="1" applyBorder="1" applyAlignment="1">
      <alignment vertical="center"/>
    </xf>
    <xf numFmtId="0" fontId="13" fillId="20" borderId="0" xfId="0" applyFont="1" applyFill="1" applyAlignment="1">
      <alignment horizontal="left"/>
    </xf>
    <xf numFmtId="0" fontId="128" fillId="20" borderId="0" xfId="0" applyFont="1" applyFill="1" applyAlignment="1">
      <alignment horizontal="left"/>
    </xf>
    <xf numFmtId="0" fontId="50" fillId="20" borderId="0" xfId="0" applyFont="1" applyFill="1" applyAlignment="1">
      <alignment horizontal="left"/>
    </xf>
    <xf numFmtId="1" fontId="48" fillId="20" borderId="0" xfId="0" applyNumberFormat="1" applyFont="1" applyFill="1"/>
    <xf numFmtId="1" fontId="215" fillId="20" borderId="0" xfId="0" applyNumberFormat="1" applyFont="1" applyFill="1" applyAlignment="1">
      <alignment horizontal="center"/>
    </xf>
    <xf numFmtId="164" fontId="120" fillId="0" borderId="0" xfId="0" applyNumberFormat="1" applyFont="1"/>
    <xf numFmtId="0" fontId="68" fillId="20" borderId="0" xfId="0" applyFont="1" applyFill="1" applyAlignment="1">
      <alignment horizontal="left"/>
    </xf>
    <xf numFmtId="0" fontId="88" fillId="20" borderId="0" xfId="0" applyFont="1" applyFill="1"/>
    <xf numFmtId="164" fontId="88" fillId="20" borderId="0" xfId="0" applyNumberFormat="1" applyFont="1" applyFill="1"/>
    <xf numFmtId="164" fontId="229" fillId="6" borderId="0" xfId="0" applyNumberFormat="1" applyFont="1" applyFill="1"/>
    <xf numFmtId="164" fontId="27" fillId="13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217" fillId="32" borderId="0" xfId="0" applyFont="1" applyFill="1"/>
    <xf numFmtId="0" fontId="217" fillId="0" borderId="0" xfId="0" applyFont="1"/>
    <xf numFmtId="1" fontId="9" fillId="0" borderId="0" xfId="0" applyNumberFormat="1" applyFont="1"/>
    <xf numFmtId="1" fontId="230" fillId="20" borderId="0" xfId="0" applyNumberFormat="1" applyFont="1" applyFill="1" applyAlignment="1">
      <alignment horizontal="center"/>
    </xf>
    <xf numFmtId="0" fontId="204" fillId="11" borderId="0" xfId="0" applyFont="1" applyFill="1"/>
    <xf numFmtId="164" fontId="65" fillId="7" borderId="2" xfId="0" applyNumberFormat="1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1" fontId="84" fillId="0" borderId="0" xfId="0" applyNumberFormat="1" applyFont="1" applyAlignment="1">
      <alignment horizontal="center"/>
    </xf>
    <xf numFmtId="1" fontId="79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" fontId="106" fillId="7" borderId="0" xfId="0" applyNumberFormat="1" applyFont="1" applyFill="1" applyAlignment="1">
      <alignment horizontal="center"/>
    </xf>
    <xf numFmtId="1" fontId="94" fillId="7" borderId="0" xfId="0" applyNumberFormat="1" applyFont="1" applyFill="1" applyAlignment="1">
      <alignment horizontal="center"/>
    </xf>
    <xf numFmtId="164" fontId="107" fillId="0" borderId="0" xfId="0" applyNumberFormat="1" applyFont="1" applyAlignment="1">
      <alignment horizontal="center"/>
    </xf>
    <xf numFmtId="1" fontId="83" fillId="0" borderId="0" xfId="0" applyNumberFormat="1" applyFont="1" applyAlignment="1">
      <alignment horizontal="center"/>
    </xf>
    <xf numFmtId="1" fontId="87" fillId="0" borderId="0" xfId="0" applyNumberFormat="1" applyFont="1" applyAlignment="1">
      <alignment horizontal="center"/>
    </xf>
    <xf numFmtId="0" fontId="78" fillId="22" borderId="0" xfId="0" applyFont="1" applyFill="1"/>
    <xf numFmtId="164" fontId="201" fillId="31" borderId="0" xfId="8" applyNumberFormat="1" applyFont="1" applyFill="1" applyAlignment="1">
      <alignment vertical="top" wrapText="1"/>
    </xf>
    <xf numFmtId="0" fontId="13" fillId="0" borderId="4" xfId="0" applyFont="1" applyBorder="1" applyAlignment="1">
      <alignment vertical="center" wrapText="1"/>
    </xf>
    <xf numFmtId="0" fontId="36" fillId="0" borderId="0" xfId="0" applyFont="1"/>
    <xf numFmtId="0" fontId="36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9" fillId="22" borderId="0" xfId="0" applyFont="1" applyFill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78" fillId="22" borderId="0" xfId="0" applyFont="1" applyFill="1" applyAlignment="1">
      <alignment vertical="center"/>
    </xf>
    <xf numFmtId="0" fontId="101" fillId="0" borderId="0" xfId="0" applyFont="1" applyAlignment="1">
      <alignment horizontal="center"/>
    </xf>
    <xf numFmtId="1" fontId="78" fillId="0" borderId="0" xfId="0" applyNumberFormat="1" applyFont="1"/>
    <xf numFmtId="0" fontId="78" fillId="0" borderId="0" xfId="0" applyFont="1" applyAlignment="1">
      <alignment vertical="center"/>
    </xf>
    <xf numFmtId="1" fontId="78" fillId="0" borderId="0" xfId="0" applyNumberFormat="1" applyFont="1" applyAlignment="1">
      <alignment vertical="center"/>
    </xf>
    <xf numFmtId="1" fontId="78" fillId="0" borderId="0" xfId="0" applyNumberFormat="1" applyFont="1" applyAlignment="1">
      <alignment horizontal="left" vertical="center" wrapText="1"/>
    </xf>
    <xf numFmtId="1" fontId="78" fillId="0" borderId="0" xfId="0" applyNumberFormat="1" applyFont="1" applyAlignment="1">
      <alignment horizontal="left"/>
    </xf>
    <xf numFmtId="1" fontId="80" fillId="0" borderId="0" xfId="0" applyNumberFormat="1" applyFont="1" applyAlignment="1">
      <alignment horizontal="left" vertical="top" wrapText="1"/>
    </xf>
    <xf numFmtId="2" fontId="78" fillId="0" borderId="0" xfId="0" applyNumberFormat="1" applyFont="1" applyAlignment="1">
      <alignment horizontal="left" vertical="top" wrapText="1"/>
    </xf>
    <xf numFmtId="1" fontId="78" fillId="0" borderId="0" xfId="0" applyNumberFormat="1" applyFont="1" applyAlignment="1">
      <alignment horizontal="center" vertical="center" wrapText="1"/>
    </xf>
    <xf numFmtId="1" fontId="79" fillId="0" borderId="0" xfId="0" applyNumberFormat="1" applyFont="1" applyAlignment="1">
      <alignment horizontal="left"/>
    </xf>
    <xf numFmtId="0" fontId="80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166" fontId="87" fillId="0" borderId="0" xfId="0" applyNumberFormat="1" applyFont="1" applyAlignment="1">
      <alignment horizontal="left"/>
    </xf>
    <xf numFmtId="164" fontId="87" fillId="0" borderId="0" xfId="0" applyNumberFormat="1" applyFont="1" applyAlignment="1">
      <alignment horizontal="left" vertical="top" wrapText="1"/>
    </xf>
    <xf numFmtId="0" fontId="78" fillId="0" borderId="0" xfId="0" applyFont="1" applyAlignment="1">
      <alignment horizontal="center" vertical="center" wrapText="1"/>
    </xf>
    <xf numFmtId="164" fontId="78" fillId="0" borderId="0" xfId="0" applyNumberFormat="1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top" wrapText="1"/>
    </xf>
    <xf numFmtId="164" fontId="80" fillId="0" borderId="0" xfId="0" applyNumberFormat="1" applyFont="1" applyAlignment="1">
      <alignment horizontal="center" vertical="center" wrapText="1"/>
    </xf>
    <xf numFmtId="164" fontId="79" fillId="0" borderId="0" xfId="0" applyNumberFormat="1" applyFont="1" applyAlignment="1">
      <alignment horizontal="center" vertical="center"/>
    </xf>
    <xf numFmtId="164" fontId="79" fillId="0" borderId="0" xfId="0" applyNumberFormat="1" applyFont="1" applyAlignment="1">
      <alignment vertical="center"/>
    </xf>
    <xf numFmtId="1" fontId="236" fillId="0" borderId="0" xfId="0" applyNumberFormat="1" applyFont="1" applyAlignment="1">
      <alignment horizontal="center"/>
    </xf>
    <xf numFmtId="0" fontId="87" fillId="0" borderId="0" xfId="0" applyFont="1" applyAlignment="1">
      <alignment horizontal="center" vertical="center" wrapText="1"/>
    </xf>
    <xf numFmtId="164" fontId="193" fillId="0" borderId="0" xfId="0" applyNumberFormat="1" applyFont="1" applyAlignment="1">
      <alignment horizontal="center" vertical="center"/>
    </xf>
    <xf numFmtId="0" fontId="193" fillId="0" borderId="0" xfId="0" applyFont="1" applyAlignment="1">
      <alignment horizontal="center" vertical="center" wrapText="1"/>
    </xf>
    <xf numFmtId="0" fontId="81" fillId="0" borderId="0" xfId="0" applyFont="1" applyAlignment="1">
      <alignment vertical="center"/>
    </xf>
    <xf numFmtId="164" fontId="78" fillId="0" borderId="0" xfId="0" applyNumberFormat="1" applyFont="1"/>
    <xf numFmtId="2" fontId="78" fillId="0" borderId="0" xfId="0" applyNumberFormat="1" applyFont="1"/>
    <xf numFmtId="1" fontId="83" fillId="0" borderId="0" xfId="0" applyNumberFormat="1" applyFont="1"/>
    <xf numFmtId="1" fontId="95" fillId="0" borderId="0" xfId="0" applyNumberFormat="1" applyFont="1"/>
    <xf numFmtId="0" fontId="95" fillId="0" borderId="0" xfId="0" applyFont="1"/>
    <xf numFmtId="1" fontId="78" fillId="0" borderId="0" xfId="0" applyNumberFormat="1" applyFont="1" applyAlignment="1">
      <alignment horizontal="right" vertical="top" wrapText="1"/>
    </xf>
    <xf numFmtId="1" fontId="80" fillId="7" borderId="0" xfId="0" applyNumberFormat="1" applyFont="1" applyFill="1" applyAlignment="1">
      <alignment horizontal="right" vertical="top"/>
    </xf>
    <xf numFmtId="1" fontId="79" fillId="0" borderId="0" xfId="0" applyNumberFormat="1" applyFont="1" applyAlignment="1">
      <alignment horizontal="right"/>
    </xf>
    <xf numFmtId="1" fontId="82" fillId="0" borderId="0" xfId="0" applyNumberFormat="1" applyFont="1" applyAlignment="1">
      <alignment horizontal="right"/>
    </xf>
    <xf numFmtId="0" fontId="79" fillId="0" borderId="0" xfId="0" applyFont="1" applyAlignment="1">
      <alignment horizontal="center" vertical="center" wrapText="1"/>
    </xf>
    <xf numFmtId="1" fontId="87" fillId="0" borderId="0" xfId="0" applyNumberFormat="1" applyFont="1" applyAlignment="1">
      <alignment horizontal="right" vertical="top" wrapText="1"/>
    </xf>
    <xf numFmtId="1" fontId="87" fillId="7" borderId="0" xfId="0" applyNumberFormat="1" applyFont="1" applyFill="1" applyAlignment="1">
      <alignment horizontal="center"/>
    </xf>
    <xf numFmtId="1" fontId="104" fillId="0" borderId="0" xfId="0" applyNumberFormat="1" applyFont="1" applyAlignment="1">
      <alignment horizontal="right" vertical="top"/>
    </xf>
    <xf numFmtId="1" fontId="238" fillId="0" borderId="0" xfId="0" applyNumberFormat="1" applyFont="1" applyAlignment="1">
      <alignment horizontal="right"/>
    </xf>
    <xf numFmtId="1" fontId="104" fillId="0" borderId="0" xfId="0" applyNumberFormat="1" applyFont="1" applyAlignment="1">
      <alignment horizontal="right"/>
    </xf>
    <xf numFmtId="164" fontId="83" fillId="7" borderId="0" xfId="0" applyNumberFormat="1" applyFont="1" applyFill="1" applyAlignment="1">
      <alignment horizontal="right"/>
    </xf>
    <xf numFmtId="2" fontId="83" fillId="0" borderId="0" xfId="0" applyNumberFormat="1" applyFont="1" applyAlignment="1">
      <alignment horizontal="center"/>
    </xf>
    <xf numFmtId="164" fontId="83" fillId="0" borderId="0" xfId="0" applyNumberFormat="1" applyFont="1" applyAlignment="1">
      <alignment horizontal="right"/>
    </xf>
    <xf numFmtId="0" fontId="83" fillId="0" borderId="0" xfId="0" applyFont="1" applyAlignment="1">
      <alignment horizontal="center"/>
    </xf>
    <xf numFmtId="164" fontId="85" fillId="7" borderId="0" xfId="0" applyNumberFormat="1" applyFont="1" applyFill="1" applyAlignment="1">
      <alignment horizontal="right"/>
    </xf>
    <xf numFmtId="164" fontId="80" fillId="0" borderId="0" xfId="0" applyNumberFormat="1" applyFont="1" applyAlignment="1">
      <alignment horizontal="right"/>
    </xf>
    <xf numFmtId="166" fontId="239" fillId="7" borderId="0" xfId="0" applyNumberFormat="1" applyFont="1" applyFill="1" applyAlignment="1">
      <alignment horizontal="center"/>
    </xf>
    <xf numFmtId="164" fontId="239" fillId="7" borderId="0" xfId="0" applyNumberFormat="1" applyFont="1" applyFill="1"/>
    <xf numFmtId="164" fontId="80" fillId="7" borderId="0" xfId="0" applyNumberFormat="1" applyFont="1" applyFill="1" applyAlignment="1">
      <alignment horizontal="right"/>
    </xf>
    <xf numFmtId="164" fontId="239" fillId="7" borderId="0" xfId="0" applyNumberFormat="1" applyFont="1" applyFill="1" applyAlignment="1">
      <alignment horizontal="center"/>
    </xf>
    <xf numFmtId="0" fontId="79" fillId="0" borderId="0" xfId="0" applyFont="1" applyAlignment="1">
      <alignment horizontal="center"/>
    </xf>
    <xf numFmtId="1" fontId="79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164" fontId="54" fillId="0" borderId="17" xfId="0" applyNumberFormat="1" applyFont="1" applyBorder="1" applyAlignment="1">
      <alignment horizontal="center" vertical="center"/>
    </xf>
    <xf numFmtId="0" fontId="63" fillId="0" borderId="17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164" fontId="63" fillId="0" borderId="17" xfId="0" applyNumberFormat="1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164" fontId="89" fillId="0" borderId="20" xfId="0" applyNumberFormat="1" applyFont="1" applyBorder="1" applyAlignment="1">
      <alignment horizontal="center" vertical="center"/>
    </xf>
    <xf numFmtId="164" fontId="89" fillId="0" borderId="2" xfId="0" applyNumberFormat="1" applyFont="1" applyBorder="1" applyAlignment="1">
      <alignment horizontal="center" vertical="center"/>
    </xf>
    <xf numFmtId="164" fontId="89" fillId="0" borderId="3" xfId="0" applyNumberFormat="1" applyFont="1" applyBorder="1" applyAlignment="1">
      <alignment horizontal="center" vertical="center"/>
    </xf>
    <xf numFmtId="164" fontId="89" fillId="0" borderId="17" xfId="0" applyNumberFormat="1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63" fillId="0" borderId="20" xfId="0" applyFont="1" applyBorder="1" applyAlignment="1">
      <alignment horizontal="center" vertical="center"/>
    </xf>
    <xf numFmtId="0" fontId="63" fillId="0" borderId="4" xfId="0" applyFont="1" applyBorder="1" applyAlignment="1">
      <alignment horizontal="center" vertical="center"/>
    </xf>
    <xf numFmtId="0" fontId="63" fillId="0" borderId="18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63" fillId="0" borderId="22" xfId="0" applyNumberFormat="1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0" borderId="23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64" fontId="63" fillId="0" borderId="8" xfId="0" applyNumberFormat="1" applyFont="1" applyBorder="1" applyAlignment="1">
      <alignment horizontal="center" vertical="center" wrapText="1"/>
    </xf>
    <xf numFmtId="0" fontId="63" fillId="0" borderId="8" xfId="0" applyFont="1" applyBorder="1" applyAlignment="1">
      <alignment horizontal="center" vertical="center" wrapText="1"/>
    </xf>
    <xf numFmtId="0" fontId="63" fillId="0" borderId="22" xfId="0" applyFont="1" applyBorder="1" applyAlignment="1">
      <alignment horizontal="center" vertical="center"/>
    </xf>
    <xf numFmtId="0" fontId="63" fillId="0" borderId="4" xfId="0" applyFont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 wrapText="1"/>
    </xf>
    <xf numFmtId="164" fontId="63" fillId="0" borderId="18" xfId="0" applyNumberFormat="1" applyFont="1" applyBorder="1" applyAlignment="1">
      <alignment horizontal="center" vertical="center"/>
    </xf>
    <xf numFmtId="164" fontId="63" fillId="0" borderId="4" xfId="0" applyNumberFormat="1" applyFont="1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 wrapText="1"/>
    </xf>
    <xf numFmtId="164" fontId="63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/>
    </xf>
    <xf numFmtId="164" fontId="63" fillId="0" borderId="20" xfId="0" applyNumberFormat="1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0" fontId="63" fillId="0" borderId="7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/>
    </xf>
    <xf numFmtId="164" fontId="63" fillId="0" borderId="7" xfId="0" applyNumberFormat="1" applyFont="1" applyBorder="1" applyAlignment="1">
      <alignment horizontal="center" vertical="center" wrapText="1"/>
    </xf>
    <xf numFmtId="164" fontId="63" fillId="0" borderId="3" xfId="0" applyNumberFormat="1" applyFont="1" applyBorder="1" applyAlignment="1">
      <alignment horizontal="center" vertical="center" wrapText="1"/>
    </xf>
    <xf numFmtId="164" fontId="63" fillId="0" borderId="24" xfId="0" applyNumberFormat="1" applyFont="1" applyBorder="1" applyAlignment="1">
      <alignment horizontal="center" vertical="center"/>
    </xf>
    <xf numFmtId="164" fontId="63" fillId="0" borderId="8" xfId="0" applyNumberFormat="1" applyFont="1" applyBorder="1" applyAlignment="1">
      <alignment horizontal="center" vertical="center"/>
    </xf>
    <xf numFmtId="1" fontId="63" fillId="7" borderId="2" xfId="0" applyNumberFormat="1" applyFont="1" applyFill="1" applyBorder="1" applyAlignment="1">
      <alignment horizontal="center" vertical="center"/>
    </xf>
    <xf numFmtId="1" fontId="13" fillId="0" borderId="0" xfId="1" applyNumberFormat="1" applyFont="1"/>
    <xf numFmtId="1" fontId="13" fillId="7" borderId="0" xfId="1" applyNumberFormat="1" applyFont="1" applyFill="1"/>
    <xf numFmtId="1" fontId="36" fillId="0" borderId="0" xfId="1" applyNumberFormat="1" applyFont="1"/>
    <xf numFmtId="1" fontId="59" fillId="0" borderId="0" xfId="1" applyNumberFormat="1" applyFont="1"/>
    <xf numFmtId="0" fontId="63" fillId="0" borderId="0" xfId="1" applyFont="1"/>
    <xf numFmtId="1" fontId="63" fillId="0" borderId="0" xfId="1" applyNumberFormat="1" applyFont="1"/>
    <xf numFmtId="1" fontId="63" fillId="7" borderId="0" xfId="1" applyNumberFormat="1" applyFont="1" applyFill="1"/>
    <xf numFmtId="1" fontId="54" fillId="0" borderId="0" xfId="1" applyNumberFormat="1" applyFont="1"/>
    <xf numFmtId="1" fontId="19" fillId="0" borderId="0" xfId="1" applyNumberFormat="1" applyFont="1"/>
    <xf numFmtId="0" fontId="64" fillId="0" borderId="0" xfId="1" applyFont="1"/>
    <xf numFmtId="1" fontId="64" fillId="0" borderId="0" xfId="1" applyNumberFormat="1" applyFont="1"/>
    <xf numFmtId="0" fontId="212" fillId="0" borderId="3" xfId="0" applyFont="1" applyBorder="1" applyAlignment="1">
      <alignment horizontal="center"/>
    </xf>
    <xf numFmtId="0" fontId="212" fillId="0" borderId="9" xfId="0" applyFont="1" applyBorder="1" applyAlignment="1">
      <alignment horizontal="center"/>
    </xf>
    <xf numFmtId="0" fontId="211" fillId="0" borderId="3" xfId="0" applyFont="1" applyBorder="1" applyAlignment="1">
      <alignment horizontal="left"/>
    </xf>
    <xf numFmtId="0" fontId="211" fillId="0" borderId="9" xfId="0" applyFont="1" applyBorder="1" applyAlignment="1">
      <alignment horizontal="left"/>
    </xf>
    <xf numFmtId="0" fontId="212" fillId="0" borderId="3" xfId="0" applyFont="1" applyBorder="1" applyAlignment="1">
      <alignment horizontal="left"/>
    </xf>
    <xf numFmtId="0" fontId="212" fillId="0" borderId="9" xfId="0" applyFont="1" applyBorder="1" applyAlignment="1">
      <alignment horizontal="left"/>
    </xf>
    <xf numFmtId="0" fontId="9" fillId="0" borderId="0" xfId="0" applyFont="1" applyAlignment="1">
      <alignment horizontal="left" wrapText="1"/>
    </xf>
    <xf numFmtId="0" fontId="134" fillId="0" borderId="15" xfId="0" applyFont="1" applyBorder="1"/>
    <xf numFmtId="0" fontId="138" fillId="0" borderId="0" xfId="0" applyFont="1" applyAlignment="1">
      <alignment horizontal="left" wrapText="1"/>
    </xf>
    <xf numFmtId="0" fontId="137" fillId="0" borderId="0" xfId="0" applyFont="1" applyAlignment="1">
      <alignment horizontal="left" wrapText="1"/>
    </xf>
    <xf numFmtId="0" fontId="136" fillId="0" borderId="0" xfId="0" applyFont="1" applyAlignment="1">
      <alignment horizontal="left" wrapText="1"/>
    </xf>
    <xf numFmtId="0" fontId="135" fillId="0" borderId="0" xfId="0" applyFont="1"/>
    <xf numFmtId="0" fontId="134" fillId="0" borderId="0" xfId="0" applyFont="1"/>
    <xf numFmtId="0" fontId="25" fillId="0" borderId="0" xfId="0" applyFont="1"/>
    <xf numFmtId="0" fontId="133" fillId="0" borderId="0" xfId="0" applyFont="1"/>
    <xf numFmtId="0" fontId="25" fillId="0" borderId="0" xfId="0" applyFont="1" applyAlignment="1">
      <alignment horizontal="right"/>
    </xf>
    <xf numFmtId="0" fontId="132" fillId="0" borderId="0" xfId="0" applyFont="1"/>
    <xf numFmtId="164" fontId="13" fillId="0" borderId="0" xfId="1" applyNumberFormat="1" applyFont="1"/>
    <xf numFmtId="0" fontId="13" fillId="38" borderId="0" xfId="1" applyFont="1" applyFill="1"/>
    <xf numFmtId="164" fontId="257" fillId="0" borderId="0" xfId="1" applyNumberFormat="1" applyFont="1"/>
    <xf numFmtId="164" fontId="89" fillId="0" borderId="0" xfId="1" applyNumberFormat="1" applyFont="1"/>
    <xf numFmtId="164" fontId="36" fillId="0" borderId="0" xfId="1" applyNumberFormat="1" applyFont="1"/>
    <xf numFmtId="164" fontId="13" fillId="0" borderId="0" xfId="1" applyNumberFormat="1" applyFont="1" applyAlignment="1">
      <alignment horizontal="right"/>
    </xf>
    <xf numFmtId="164" fontId="116" fillId="0" borderId="0" xfId="1" applyNumberFormat="1" applyFont="1" applyAlignment="1">
      <alignment horizontal="right"/>
    </xf>
    <xf numFmtId="164" fontId="36" fillId="0" borderId="0" xfId="1" applyNumberFormat="1" applyFont="1" applyAlignment="1">
      <alignment horizontal="right"/>
    </xf>
    <xf numFmtId="164" fontId="116" fillId="0" borderId="0" xfId="1" applyNumberFormat="1" applyFont="1"/>
    <xf numFmtId="0" fontId="2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2" fontId="13" fillId="0" borderId="0" xfId="1" applyNumberFormat="1" applyFont="1"/>
    <xf numFmtId="2" fontId="89" fillId="0" borderId="0" xfId="1" applyNumberFormat="1" applyFont="1"/>
    <xf numFmtId="1" fontId="63" fillId="0" borderId="0" xfId="0" applyNumberFormat="1" applyFont="1" applyAlignment="1">
      <alignment horizontal="center" vertical="center" wrapText="1"/>
    </xf>
    <xf numFmtId="2" fontId="116" fillId="0" borderId="0" xfId="1" applyNumberFormat="1" applyFont="1"/>
    <xf numFmtId="164" fontId="116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2" fontId="55" fillId="0" borderId="0" xfId="0" applyNumberFormat="1" applyFont="1" applyAlignment="1">
      <alignment horizontal="center"/>
    </xf>
    <xf numFmtId="2" fontId="56" fillId="0" borderId="0" xfId="0" applyNumberFormat="1" applyFont="1" applyAlignment="1">
      <alignment horizontal="center"/>
    </xf>
    <xf numFmtId="1" fontId="150" fillId="0" borderId="0" xfId="0" applyNumberFormat="1" applyFont="1" applyAlignment="1">
      <alignment horizontal="center"/>
    </xf>
    <xf numFmtId="1" fontId="54" fillId="0" borderId="0" xfId="0" applyNumberFormat="1" applyFont="1" applyAlignment="1">
      <alignment horizontal="center" vertical="center" wrapText="1"/>
    </xf>
    <xf numFmtId="1" fontId="245" fillId="0" borderId="0" xfId="0" applyNumberFormat="1" applyFont="1" applyAlignment="1">
      <alignment horizontal="center" vertical="center"/>
    </xf>
    <xf numFmtId="1" fontId="245" fillId="0" borderId="0" xfId="0" applyNumberFormat="1" applyFont="1" applyAlignment="1">
      <alignment horizontal="center"/>
    </xf>
    <xf numFmtId="2" fontId="245" fillId="0" borderId="0" xfId="0" applyNumberFormat="1" applyFont="1" applyAlignment="1">
      <alignment horizontal="center"/>
    </xf>
    <xf numFmtId="1" fontId="63" fillId="0" borderId="0" xfId="0" applyNumberFormat="1" applyFont="1" applyAlignment="1">
      <alignment horizontal="center" vertical="center"/>
    </xf>
    <xf numFmtId="164" fontId="30" fillId="0" borderId="0" xfId="4" applyNumberFormat="1" applyFont="1" applyAlignment="1">
      <alignment horizontal="center" wrapText="1"/>
    </xf>
    <xf numFmtId="1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/>
    </xf>
    <xf numFmtId="164" fontId="27" fillId="0" borderId="0" xfId="4" applyNumberFormat="1" applyFont="1" applyAlignment="1">
      <alignment horizontal="center" wrapText="1"/>
    </xf>
    <xf numFmtId="1" fontId="59" fillId="0" borderId="0" xfId="0" applyNumberFormat="1" applyFont="1" applyAlignment="1">
      <alignment horizontal="center" vertical="center"/>
    </xf>
    <xf numFmtId="164" fontId="1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 vertical="center" wrapText="1"/>
    </xf>
    <xf numFmtId="1" fontId="23" fillId="0" borderId="0" xfId="0" applyNumberFormat="1" applyFont="1" applyAlignment="1">
      <alignment horizontal="center"/>
    </xf>
    <xf numFmtId="0" fontId="39" fillId="7" borderId="0" xfId="0" applyFont="1" applyFill="1" applyAlignment="1">
      <alignment horizontal="center"/>
    </xf>
    <xf numFmtId="165" fontId="39" fillId="0" borderId="0" xfId="0" applyNumberFormat="1" applyFont="1" applyAlignment="1">
      <alignment horizontal="center"/>
    </xf>
    <xf numFmtId="165" fontId="63" fillId="7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36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 vertical="center"/>
    </xf>
    <xf numFmtId="164" fontId="36" fillId="0" borderId="0" xfId="0" applyNumberFormat="1" applyFont="1" applyAlignment="1">
      <alignment horizontal="right" vertical="center"/>
    </xf>
    <xf numFmtId="164" fontId="122" fillId="0" borderId="0" xfId="0" applyNumberFormat="1" applyFont="1" applyAlignment="1">
      <alignment horizontal="right" vertical="center"/>
    </xf>
    <xf numFmtId="164" fontId="27" fillId="0" borderId="0" xfId="0" applyNumberFormat="1" applyFont="1" applyAlignment="1">
      <alignment horizontal="right"/>
    </xf>
    <xf numFmtId="164" fontId="27" fillId="0" borderId="0" xfId="0" applyNumberFormat="1" applyFont="1" applyAlignment="1">
      <alignment horizontal="right" vertical="center"/>
    </xf>
    <xf numFmtId="164" fontId="63" fillId="0" borderId="0" xfId="0" applyNumberFormat="1" applyFont="1" applyAlignment="1">
      <alignment horizontal="right" vertical="center"/>
    </xf>
    <xf numFmtId="1" fontId="63" fillId="0" borderId="0" xfId="0" applyNumberFormat="1" applyFont="1" applyAlignment="1">
      <alignment horizontal="right"/>
    </xf>
    <xf numFmtId="1" fontId="19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right" vertical="center"/>
    </xf>
    <xf numFmtId="164" fontId="59" fillId="0" borderId="0" xfId="0" applyNumberFormat="1" applyFont="1" applyAlignment="1">
      <alignment horizontal="right" vertical="center"/>
    </xf>
    <xf numFmtId="1" fontId="63" fillId="0" borderId="0" xfId="0" applyNumberFormat="1" applyFont="1" applyAlignment="1">
      <alignment horizontal="right" vertical="center"/>
    </xf>
    <xf numFmtId="2" fontId="89" fillId="0" borderId="0" xfId="0" applyNumberFormat="1" applyFont="1" applyAlignment="1">
      <alignment horizontal="right"/>
    </xf>
    <xf numFmtId="2" fontId="63" fillId="0" borderId="0" xfId="0" applyNumberFormat="1" applyFont="1" applyAlignment="1">
      <alignment horizontal="right"/>
    </xf>
    <xf numFmtId="164" fontId="19" fillId="7" borderId="0" xfId="0" applyNumberFormat="1" applyFont="1" applyFill="1" applyAlignment="1">
      <alignment horizontal="right"/>
    </xf>
    <xf numFmtId="164" fontId="13" fillId="7" borderId="0" xfId="0" applyNumberFormat="1" applyFont="1" applyFill="1" applyAlignment="1">
      <alignment horizontal="right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right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164" fontId="26" fillId="0" borderId="0" xfId="0" applyNumberFormat="1" applyFont="1" applyAlignment="1">
      <alignment horizontal="right" vertical="center"/>
    </xf>
    <xf numFmtId="164" fontId="26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/>
    </xf>
    <xf numFmtId="164" fontId="127" fillId="0" borderId="0" xfId="0" applyNumberFormat="1" applyFont="1" applyAlignment="1">
      <alignment horizontal="center"/>
    </xf>
    <xf numFmtId="1" fontId="127" fillId="0" borderId="0" xfId="0" applyNumberFormat="1" applyFont="1" applyAlignment="1">
      <alignment horizontal="right" vertical="center"/>
    </xf>
    <xf numFmtId="166" fontId="26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 vertical="center"/>
    </xf>
    <xf numFmtId="3" fontId="63" fillId="0" borderId="0" xfId="0" applyNumberFormat="1" applyFont="1" applyAlignment="1">
      <alignment horizontal="right"/>
    </xf>
    <xf numFmtId="1" fontId="27" fillId="0" borderId="0" xfId="0" applyNumberFormat="1" applyFont="1" applyAlignment="1">
      <alignment horizontal="right"/>
    </xf>
    <xf numFmtId="0" fontId="54" fillId="0" borderId="0" xfId="0" applyFont="1" applyAlignment="1">
      <alignment horizontal="left"/>
    </xf>
    <xf numFmtId="0" fontId="26" fillId="7" borderId="0" xfId="0" applyFont="1" applyFill="1" applyAlignment="1">
      <alignment horizontal="center"/>
    </xf>
    <xf numFmtId="1" fontId="26" fillId="7" borderId="0" xfId="0" applyNumberFormat="1" applyFont="1" applyFill="1" applyAlignment="1">
      <alignment horizontal="center" vertical="center"/>
    </xf>
    <xf numFmtId="1" fontId="53" fillId="7" borderId="0" xfId="0" applyNumberFormat="1" applyFont="1" applyFill="1" applyAlignment="1">
      <alignment horizontal="center" vertical="center"/>
    </xf>
    <xf numFmtId="164" fontId="53" fillId="0" borderId="0" xfId="0" applyNumberFormat="1" applyFont="1" applyAlignment="1">
      <alignment horizontal="center" vertical="center"/>
    </xf>
    <xf numFmtId="164" fontId="125" fillId="0" borderId="0" xfId="0" applyNumberFormat="1" applyFont="1" applyAlignment="1">
      <alignment horizontal="center"/>
    </xf>
    <xf numFmtId="0" fontId="53" fillId="0" borderId="0" xfId="0" applyFont="1" applyAlignment="1">
      <alignment horizontal="left"/>
    </xf>
    <xf numFmtId="1" fontId="215" fillId="0" borderId="0" xfId="0" applyNumberFormat="1" applyFont="1" applyAlignment="1">
      <alignment horizontal="center" vertical="center"/>
    </xf>
    <xf numFmtId="164" fontId="215" fillId="0" borderId="0" xfId="0" applyNumberFormat="1" applyFont="1" applyAlignment="1">
      <alignment horizontal="center" vertical="center"/>
    </xf>
    <xf numFmtId="164" fontId="47" fillId="0" borderId="0" xfId="4" applyNumberFormat="1" applyFont="1" applyAlignment="1">
      <alignment horizontal="center" wrapText="1"/>
    </xf>
    <xf numFmtId="164" fontId="47" fillId="0" borderId="0" xfId="4" applyNumberFormat="1" applyFont="1" applyAlignment="1">
      <alignment horizontal="center"/>
    </xf>
    <xf numFmtId="164" fontId="47" fillId="0" borderId="0" xfId="4" applyNumberFormat="1" applyFont="1" applyAlignment="1">
      <alignment horizontal="center" vertical="center" wrapText="1"/>
    </xf>
    <xf numFmtId="164" fontId="249" fillId="0" borderId="0" xfId="4" applyNumberFormat="1" applyFont="1" applyAlignment="1">
      <alignment horizontal="center"/>
    </xf>
    <xf numFmtId="164" fontId="249" fillId="0" borderId="0" xfId="4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" fontId="27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1" fontId="37" fillId="7" borderId="0" xfId="0" applyNumberFormat="1" applyFont="1" applyFill="1" applyAlignment="1">
      <alignment horizontal="center"/>
    </xf>
    <xf numFmtId="1" fontId="37" fillId="7" borderId="0" xfId="0" applyNumberFormat="1" applyFont="1" applyFill="1" applyAlignment="1">
      <alignment horizontal="center" vertical="center" wrapText="1"/>
    </xf>
    <xf numFmtId="164" fontId="55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164" fontId="64" fillId="0" borderId="0" xfId="0" applyNumberFormat="1" applyFont="1" applyAlignment="1">
      <alignment horizontal="center"/>
    </xf>
    <xf numFmtId="164" fontId="63" fillId="7" borderId="0" xfId="0" applyNumberFormat="1" applyFont="1" applyFill="1" applyAlignment="1">
      <alignment horizontal="center" vertical="center" wrapText="1"/>
    </xf>
    <xf numFmtId="10" fontId="27" fillId="0" borderId="0" xfId="0" applyNumberFormat="1" applyFont="1" applyAlignment="1">
      <alignment horizontal="center"/>
    </xf>
    <xf numFmtId="167" fontId="27" fillId="0" borderId="0" xfId="0" applyNumberFormat="1" applyFont="1" applyAlignment="1">
      <alignment horizontal="center"/>
    </xf>
    <xf numFmtId="164" fontId="27" fillId="7" borderId="0" xfId="0" applyNumberFormat="1" applyFont="1" applyFill="1" applyAlignment="1">
      <alignment horizontal="right" vertical="center"/>
    </xf>
    <xf numFmtId="166" fontId="27" fillId="7" borderId="0" xfId="0" applyNumberFormat="1" applyFont="1" applyFill="1" applyAlignment="1">
      <alignment horizontal="right" vertical="center"/>
    </xf>
    <xf numFmtId="166" fontId="27" fillId="7" borderId="0" xfId="0" applyNumberFormat="1" applyFont="1" applyFill="1" applyAlignment="1">
      <alignment horizontal="right"/>
    </xf>
    <xf numFmtId="1" fontId="63" fillId="7" borderId="0" xfId="0" applyNumberFormat="1" applyFont="1" applyFill="1" applyAlignment="1">
      <alignment horizontal="right"/>
    </xf>
    <xf numFmtId="1" fontId="63" fillId="7" borderId="0" xfId="0" applyNumberFormat="1" applyFont="1" applyFill="1" applyAlignment="1">
      <alignment horizontal="right" vertical="center"/>
    </xf>
    <xf numFmtId="1" fontId="64" fillId="7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center"/>
    </xf>
    <xf numFmtId="1" fontId="14" fillId="7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1" fontId="26" fillId="7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0" fontId="63" fillId="7" borderId="0" xfId="0" applyFont="1" applyFill="1" applyAlignment="1">
      <alignment horizontal="center"/>
    </xf>
    <xf numFmtId="0" fontId="53" fillId="0" borderId="0" xfId="0" applyFont="1" applyAlignment="1">
      <alignment horizontal="center"/>
    </xf>
    <xf numFmtId="1" fontId="89" fillId="0" borderId="0" xfId="0" applyNumberFormat="1" applyFont="1" applyAlignment="1">
      <alignment horizontal="center"/>
    </xf>
    <xf numFmtId="0" fontId="63" fillId="0" borderId="0" xfId="0" applyFont="1"/>
    <xf numFmtId="0" fontId="37" fillId="0" borderId="0" xfId="0" applyFont="1" applyAlignment="1">
      <alignment horizontal="right"/>
    </xf>
    <xf numFmtId="164" fontId="37" fillId="0" borderId="0" xfId="0" applyNumberFormat="1" applyFont="1" applyAlignment="1">
      <alignment horizontal="right"/>
    </xf>
    <xf numFmtId="1" fontId="37" fillId="0" borderId="0" xfId="0" applyNumberFormat="1" applyFont="1" applyAlignment="1">
      <alignment horizontal="right"/>
    </xf>
    <xf numFmtId="164" fontId="37" fillId="0" borderId="0" xfId="0" applyNumberFormat="1" applyFont="1" applyAlignment="1">
      <alignment horizontal="right" vertical="center" wrapText="1"/>
    </xf>
    <xf numFmtId="4" fontId="246" fillId="0" borderId="0" xfId="0" applyNumberFormat="1" applyFont="1"/>
    <xf numFmtId="4" fontId="246" fillId="0" borderId="0" xfId="0" applyNumberFormat="1" applyFont="1" applyAlignment="1">
      <alignment horizontal="right" vertical="center" wrapText="1"/>
    </xf>
    <xf numFmtId="0" fontId="59" fillId="0" borderId="0" xfId="0" applyFont="1" applyAlignment="1">
      <alignment horizontal="right"/>
    </xf>
    <xf numFmtId="168" fontId="59" fillId="0" borderId="0" xfId="34" applyNumberFormat="1" applyFont="1" applyFill="1" applyBorder="1" applyAlignment="1">
      <alignment horizontal="right"/>
    </xf>
    <xf numFmtId="2" fontId="261" fillId="0" borderId="0" xfId="0" applyNumberFormat="1" applyFont="1" applyAlignment="1">
      <alignment horizontal="right"/>
    </xf>
    <xf numFmtId="2" fontId="96" fillId="0" borderId="0" xfId="1" applyNumberFormat="1" applyFont="1" applyAlignment="1">
      <alignment horizontal="right"/>
    </xf>
    <xf numFmtId="2" fontId="33" fillId="0" borderId="0" xfId="1" applyNumberFormat="1" applyFont="1" applyAlignment="1">
      <alignment horizontal="right"/>
    </xf>
    <xf numFmtId="166" fontId="37" fillId="0" borderId="0" xfId="0" applyNumberFormat="1" applyFont="1" applyAlignment="1">
      <alignment horizontal="right"/>
    </xf>
    <xf numFmtId="164" fontId="57" fillId="8" borderId="0" xfId="0" applyNumberFormat="1" applyFont="1" applyFill="1" applyAlignment="1">
      <alignment horizontal="right"/>
    </xf>
    <xf numFmtId="0" fontId="38" fillId="7" borderId="0" xfId="0" applyFont="1" applyFill="1" applyAlignment="1">
      <alignment horizontal="right"/>
    </xf>
    <xf numFmtId="0" fontId="41" fillId="8" borderId="0" xfId="0" applyFont="1" applyFill="1" applyAlignment="1">
      <alignment horizontal="right"/>
    </xf>
    <xf numFmtId="164" fontId="41" fillId="8" borderId="0" xfId="0" applyNumberFormat="1" applyFont="1" applyFill="1" applyAlignment="1">
      <alignment horizontal="right"/>
    </xf>
    <xf numFmtId="0" fontId="37" fillId="0" borderId="0" xfId="1" applyFont="1" applyAlignment="1">
      <alignment horizontal="right"/>
    </xf>
    <xf numFmtId="2" fontId="37" fillId="0" borderId="0" xfId="1" applyNumberFormat="1" applyFont="1" applyAlignment="1">
      <alignment horizontal="right"/>
    </xf>
    <xf numFmtId="164" fontId="37" fillId="7" borderId="0" xfId="0" applyNumberFormat="1" applyFont="1" applyFill="1" applyAlignment="1">
      <alignment horizontal="right"/>
    </xf>
    <xf numFmtId="2" fontId="37" fillId="7" borderId="0" xfId="0" applyNumberFormat="1" applyFont="1" applyFill="1" applyAlignment="1">
      <alignment horizontal="right"/>
    </xf>
    <xf numFmtId="0" fontId="39" fillId="7" borderId="0" xfId="0" applyFont="1" applyFill="1" applyAlignment="1">
      <alignment horizontal="right"/>
    </xf>
    <xf numFmtId="164" fontId="39" fillId="7" borderId="0" xfId="0" applyNumberFormat="1" applyFont="1" applyFill="1" applyAlignment="1">
      <alignment horizontal="right"/>
    </xf>
    <xf numFmtId="165" fontId="39" fillId="0" borderId="0" xfId="0" applyNumberFormat="1" applyFont="1" applyAlignment="1">
      <alignment horizontal="right"/>
    </xf>
    <xf numFmtId="1" fontId="33" fillId="0" borderId="0" xfId="0" applyNumberFormat="1" applyFont="1" applyAlignment="1">
      <alignment horizontal="right"/>
    </xf>
    <xf numFmtId="166" fontId="59" fillId="0" borderId="0" xfId="0" applyNumberFormat="1" applyFont="1" applyAlignment="1">
      <alignment horizontal="right"/>
    </xf>
    <xf numFmtId="164" fontId="59" fillId="7" borderId="0" xfId="0" applyNumberFormat="1" applyFont="1" applyFill="1" applyAlignment="1">
      <alignment horizontal="right"/>
    </xf>
    <xf numFmtId="165" fontId="59" fillId="7" borderId="0" xfId="0" applyNumberFormat="1" applyFont="1" applyFill="1" applyAlignment="1">
      <alignment horizontal="right"/>
    </xf>
    <xf numFmtId="166" fontId="33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164" fontId="33" fillId="0" borderId="0" xfId="0" applyNumberFormat="1" applyFont="1" applyAlignment="1">
      <alignment horizontal="right"/>
    </xf>
    <xf numFmtId="2" fontId="37" fillId="0" borderId="0" xfId="0" applyNumberFormat="1" applyFont="1" applyAlignment="1">
      <alignment horizontal="right"/>
    </xf>
    <xf numFmtId="0" fontId="41" fillId="9" borderId="0" xfId="0" applyFont="1" applyFill="1" applyAlignment="1">
      <alignment horizontal="right"/>
    </xf>
    <xf numFmtId="164" fontId="41" fillId="9" borderId="0" xfId="0" applyNumberFormat="1" applyFont="1" applyFill="1" applyAlignment="1">
      <alignment horizontal="right"/>
    </xf>
    <xf numFmtId="164" fontId="57" fillId="9" borderId="0" xfId="0" applyNumberFormat="1" applyFont="1" applyFill="1" applyAlignment="1">
      <alignment horizontal="right"/>
    </xf>
    <xf numFmtId="2" fontId="96" fillId="0" borderId="0" xfId="1" applyNumberFormat="1" applyFont="1"/>
    <xf numFmtId="2" fontId="59" fillId="0" borderId="0" xfId="0" applyNumberFormat="1" applyFont="1" applyAlignment="1">
      <alignment horizontal="right"/>
    </xf>
    <xf numFmtId="2" fontId="63" fillId="0" borderId="0" xfId="1" applyNumberFormat="1" applyFont="1"/>
    <xf numFmtId="166" fontId="57" fillId="8" borderId="0" xfId="0" applyNumberFormat="1" applyFont="1" applyFill="1" applyAlignment="1">
      <alignment horizontal="right"/>
    </xf>
    <xf numFmtId="0" fontId="39" fillId="7" borderId="0" xfId="0" applyFont="1" applyFill="1" applyAlignment="1">
      <alignment horizontal="right" wrapText="1"/>
    </xf>
    <xf numFmtId="166" fontId="37" fillId="8" borderId="0" xfId="0" applyNumberFormat="1" applyFont="1" applyFill="1" applyAlignment="1">
      <alignment horizontal="right"/>
    </xf>
    <xf numFmtId="1" fontId="39" fillId="0" borderId="0" xfId="0" applyNumberFormat="1" applyFont="1" applyAlignment="1">
      <alignment horizontal="left" vertical="top" wrapText="1"/>
    </xf>
    <xf numFmtId="1" fontId="38" fillId="0" borderId="0" xfId="0" applyNumberFormat="1" applyFont="1" applyAlignment="1">
      <alignment horizontal="right" vertical="top" wrapText="1"/>
    </xf>
    <xf numFmtId="0" fontId="39" fillId="0" borderId="0" xfId="0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9" fillId="0" borderId="0" xfId="0" applyFont="1" applyAlignment="1">
      <alignment horizontal="right"/>
    </xf>
    <xf numFmtId="0" fontId="33" fillId="7" borderId="0" xfId="0" applyFont="1" applyFill="1" applyAlignment="1">
      <alignment horizontal="right"/>
    </xf>
    <xf numFmtId="0" fontId="39" fillId="8" borderId="0" xfId="0" applyFont="1" applyFill="1" applyAlignment="1">
      <alignment horizontal="right"/>
    </xf>
    <xf numFmtId="0" fontId="37" fillId="8" borderId="0" xfId="0" applyFont="1" applyFill="1" applyAlignment="1">
      <alignment horizontal="right"/>
    </xf>
    <xf numFmtId="0" fontId="57" fillId="8" borderId="0" xfId="0" applyFont="1" applyFill="1" applyAlignment="1">
      <alignment horizontal="right"/>
    </xf>
    <xf numFmtId="165" fontId="41" fillId="8" borderId="0" xfId="0" applyNumberFormat="1" applyFont="1" applyFill="1" applyAlignment="1">
      <alignment horizontal="right"/>
    </xf>
    <xf numFmtId="0" fontId="59" fillId="7" borderId="0" xfId="0" applyFont="1" applyFill="1" applyAlignment="1">
      <alignment horizontal="right"/>
    </xf>
    <xf numFmtId="164" fontId="64" fillId="0" borderId="0" xfId="0" applyNumberFormat="1" applyFont="1"/>
    <xf numFmtId="3" fontId="19" fillId="0" borderId="0" xfId="0" applyNumberFormat="1" applyFont="1"/>
    <xf numFmtId="3" fontId="37" fillId="0" borderId="0" xfId="0" applyNumberFormat="1" applyFont="1"/>
    <xf numFmtId="3" fontId="151" fillId="0" borderId="0" xfId="0" applyNumberFormat="1" applyFont="1"/>
    <xf numFmtId="3" fontId="251" fillId="0" borderId="0" xfId="0" applyNumberFormat="1" applyFont="1"/>
    <xf numFmtId="1" fontId="37" fillId="7" borderId="0" xfId="0" applyNumberFormat="1" applyFont="1" applyFill="1"/>
    <xf numFmtId="1" fontId="57" fillId="7" borderId="0" xfId="0" applyNumberFormat="1" applyFont="1" applyFill="1"/>
    <xf numFmtId="164" fontId="56" fillId="6" borderId="0" xfId="0" applyNumberFormat="1" applyFont="1" applyFill="1"/>
    <xf numFmtId="164" fontId="151" fillId="6" borderId="0" xfId="0" applyNumberFormat="1" applyFont="1" applyFill="1"/>
    <xf numFmtId="164" fontId="90" fillId="6" borderId="0" xfId="0" applyNumberFormat="1" applyFont="1" applyFill="1"/>
    <xf numFmtId="3" fontId="56" fillId="0" borderId="0" xfId="0" applyNumberFormat="1" applyFont="1"/>
    <xf numFmtId="1" fontId="56" fillId="0" borderId="0" xfId="0" applyNumberFormat="1" applyFont="1"/>
    <xf numFmtId="169" fontId="37" fillId="0" borderId="0" xfId="0" applyNumberFormat="1" applyFont="1"/>
    <xf numFmtId="166" fontId="37" fillId="0" borderId="0" xfId="0" applyNumberFormat="1" applyFont="1"/>
    <xf numFmtId="1" fontId="122" fillId="0" borderId="0" xfId="0" applyNumberFormat="1" applyFont="1"/>
    <xf numFmtId="4" fontId="37" fillId="0" borderId="0" xfId="0" applyNumberFormat="1" applyFont="1"/>
    <xf numFmtId="3" fontId="59" fillId="0" borderId="0" xfId="0" applyNumberFormat="1" applyFont="1"/>
    <xf numFmtId="0" fontId="122" fillId="0" borderId="0" xfId="0" applyFont="1"/>
    <xf numFmtId="3" fontId="10" fillId="0" borderId="0" xfId="0" applyNumberFormat="1" applyFont="1"/>
    <xf numFmtId="3" fontId="90" fillId="0" borderId="0" xfId="0" applyNumberFormat="1" applyFont="1"/>
    <xf numFmtId="1" fontId="245" fillId="7" borderId="0" xfId="0" applyNumberFormat="1" applyFont="1" applyFill="1"/>
    <xf numFmtId="3" fontId="258" fillId="0" borderId="0" xfId="0" applyNumberFormat="1" applyFont="1"/>
    <xf numFmtId="165" fontId="56" fillId="0" borderId="0" xfId="0" applyNumberFormat="1" applyFont="1"/>
    <xf numFmtId="165" fontId="19" fillId="0" borderId="0" xfId="0" applyNumberFormat="1" applyFont="1"/>
    <xf numFmtId="1" fontId="19" fillId="0" borderId="0" xfId="0" applyNumberFormat="1" applyFont="1"/>
    <xf numFmtId="169" fontId="59" fillId="0" borderId="0" xfId="0" applyNumberFormat="1" applyFont="1"/>
    <xf numFmtId="1" fontId="92" fillId="0" borderId="0" xfId="0" applyNumberFormat="1" applyFont="1"/>
    <xf numFmtId="2" fontId="37" fillId="0" borderId="0" xfId="0" applyNumberFormat="1" applyFont="1"/>
    <xf numFmtId="171" fontId="19" fillId="0" borderId="0" xfId="0" applyNumberFormat="1" applyFont="1"/>
    <xf numFmtId="172" fontId="19" fillId="0" borderId="0" xfId="0" applyNumberFormat="1" applyFont="1"/>
    <xf numFmtId="166" fontId="96" fillId="0" borderId="0" xfId="0" applyNumberFormat="1" applyFont="1"/>
    <xf numFmtId="165" fontId="19" fillId="6" borderId="0" xfId="0" applyNumberFormat="1" applyFont="1" applyFill="1"/>
    <xf numFmtId="0" fontId="24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241" fillId="0" borderId="0" xfId="0" applyNumberFormat="1" applyFont="1" applyAlignment="1">
      <alignment horizontal="right" vertical="center"/>
    </xf>
    <xf numFmtId="0" fontId="72" fillId="0" borderId="0" xfId="0" applyFont="1" applyAlignment="1">
      <alignment horizontal="left"/>
    </xf>
    <xf numFmtId="164" fontId="0" fillId="0" borderId="0" xfId="0" applyNumberFormat="1" applyAlignment="1">
      <alignment horizontal="right" vertical="center"/>
    </xf>
    <xf numFmtId="164" fontId="48" fillId="7" borderId="0" xfId="0" applyNumberFormat="1" applyFont="1" applyFill="1"/>
    <xf numFmtId="164" fontId="0" fillId="7" borderId="0" xfId="0" applyNumberFormat="1" applyFill="1" applyAlignment="1">
      <alignment horizontal="right" vertical="center"/>
    </xf>
    <xf numFmtId="164" fontId="72" fillId="0" borderId="0" xfId="0" applyNumberFormat="1" applyFont="1"/>
    <xf numFmtId="164" fontId="118" fillId="7" borderId="0" xfId="0" applyNumberFormat="1" applyFont="1" applyFill="1"/>
    <xf numFmtId="164" fontId="256" fillId="7" borderId="0" xfId="0" applyNumberFormat="1" applyFont="1" applyFill="1"/>
    <xf numFmtId="164" fontId="166" fillId="7" borderId="0" xfId="0" applyNumberFormat="1" applyFont="1" applyFill="1"/>
    <xf numFmtId="164" fontId="244" fillId="7" borderId="0" xfId="0" applyNumberFormat="1" applyFont="1" applyFill="1"/>
    <xf numFmtId="164" fontId="171" fillId="7" borderId="0" xfId="0" applyNumberFormat="1" applyFont="1" applyFill="1"/>
    <xf numFmtId="164" fontId="163" fillId="7" borderId="0" xfId="0" applyNumberFormat="1" applyFont="1" applyFill="1"/>
    <xf numFmtId="164" fontId="242" fillId="7" borderId="0" xfId="0" applyNumberFormat="1" applyFont="1" applyFill="1"/>
    <xf numFmtId="0" fontId="74" fillId="0" borderId="0" xfId="0" applyFont="1"/>
    <xf numFmtId="2" fontId="74" fillId="0" borderId="0" xfId="0" applyNumberFormat="1" applyFont="1"/>
    <xf numFmtId="164" fontId="2" fillId="0" borderId="0" xfId="0" applyNumberFormat="1" applyFont="1"/>
    <xf numFmtId="1" fontId="140" fillId="15" borderId="0" xfId="0" applyNumberFormat="1" applyFont="1" applyFill="1"/>
    <xf numFmtId="1" fontId="142" fillId="0" borderId="0" xfId="0" applyNumberFormat="1" applyFont="1"/>
    <xf numFmtId="1" fontId="2" fillId="0" borderId="0" xfId="0" applyNumberFormat="1" applyFont="1"/>
    <xf numFmtId="1" fontId="77" fillId="0" borderId="0" xfId="0" applyNumberFormat="1" applyFont="1"/>
    <xf numFmtId="1" fontId="75" fillId="0" borderId="0" xfId="0" applyNumberFormat="1" applyFont="1"/>
    <xf numFmtId="1" fontId="247" fillId="0" borderId="0" xfId="0" applyNumberFormat="1" applyFont="1"/>
    <xf numFmtId="1" fontId="247" fillId="7" borderId="0" xfId="0" applyNumberFormat="1" applyFont="1" applyFill="1"/>
    <xf numFmtId="1" fontId="75" fillId="7" borderId="0" xfId="0" applyNumberFormat="1" applyFont="1" applyFill="1"/>
    <xf numFmtId="1" fontId="250" fillId="0" borderId="0" xfId="0" applyNumberFormat="1" applyFont="1"/>
    <xf numFmtId="1" fontId="254" fillId="15" borderId="0" xfId="0" applyNumberFormat="1" applyFont="1" applyFill="1"/>
    <xf numFmtId="164" fontId="77" fillId="0" borderId="0" xfId="0" applyNumberFormat="1" applyFont="1"/>
    <xf numFmtId="1" fontId="74" fillId="0" borderId="0" xfId="0" applyNumberFormat="1" applyFont="1"/>
    <xf numFmtId="1" fontId="260" fillId="0" borderId="0" xfId="0" applyNumberFormat="1" applyFont="1"/>
    <xf numFmtId="1" fontId="250" fillId="7" borderId="0" xfId="0" applyNumberFormat="1" applyFont="1" applyFill="1"/>
    <xf numFmtId="1" fontId="262" fillId="0" borderId="0" xfId="0" applyNumberFormat="1" applyFont="1"/>
    <xf numFmtId="2" fontId="145" fillId="0" borderId="0" xfId="0" applyNumberFormat="1" applyFont="1"/>
    <xf numFmtId="164" fontId="143" fillId="0" borderId="0" xfId="0" applyNumberFormat="1" applyFont="1"/>
    <xf numFmtId="164" fontId="142" fillId="0" borderId="0" xfId="0" applyNumberFormat="1" applyFont="1"/>
    <xf numFmtId="164" fontId="143" fillId="6" borderId="0" xfId="0" applyNumberFormat="1" applyFont="1" applyFill="1"/>
    <xf numFmtId="164" fontId="252" fillId="0" borderId="0" xfId="0" applyNumberFormat="1" applyFont="1"/>
    <xf numFmtId="164" fontId="248" fillId="0" borderId="0" xfId="0" applyNumberFormat="1" applyFont="1"/>
    <xf numFmtId="164" fontId="253" fillId="0" borderId="0" xfId="0" applyNumberFormat="1" applyFont="1"/>
    <xf numFmtId="164" fontId="259" fillId="0" borderId="0" xfId="0" applyNumberFormat="1" applyFont="1"/>
    <xf numFmtId="164" fontId="247" fillId="0" borderId="0" xfId="0" applyNumberFormat="1" applyFont="1"/>
    <xf numFmtId="1" fontId="143" fillId="0" borderId="0" xfId="0" applyNumberFormat="1" applyFont="1"/>
    <xf numFmtId="1" fontId="248" fillId="7" borderId="0" xfId="0" applyNumberFormat="1" applyFont="1" applyFill="1"/>
    <xf numFmtId="1" fontId="74" fillId="7" borderId="0" xfId="0" applyNumberFormat="1" applyFont="1" applyFill="1"/>
    <xf numFmtId="1" fontId="248" fillId="0" borderId="0" xfId="0" applyNumberFormat="1" applyFont="1"/>
    <xf numFmtId="167" fontId="143" fillId="0" borderId="0" xfId="0" applyNumberFormat="1" applyFont="1"/>
    <xf numFmtId="1" fontId="252" fillId="0" borderId="0" xfId="0" applyNumberFormat="1" applyFont="1"/>
    <xf numFmtId="164" fontId="248" fillId="7" borderId="0" xfId="0" applyNumberFormat="1" applyFont="1" applyFill="1"/>
    <xf numFmtId="1" fontId="166" fillId="0" borderId="0" xfId="0" applyNumberFormat="1" applyFont="1"/>
    <xf numFmtId="167" fontId="163" fillId="0" borderId="0" xfId="0" applyNumberFormat="1" applyFont="1"/>
    <xf numFmtId="164" fontId="252" fillId="7" borderId="0" xfId="0" applyNumberFormat="1" applyFont="1" applyFill="1"/>
    <xf numFmtId="0" fontId="2" fillId="0" borderId="0" xfId="0" applyFont="1"/>
    <xf numFmtId="165" fontId="9" fillId="0" borderId="0" xfId="0" applyNumberFormat="1" applyFont="1"/>
    <xf numFmtId="0" fontId="163" fillId="0" borderId="0" xfId="0" applyFont="1"/>
    <xf numFmtId="165" fontId="0" fillId="0" borderId="0" xfId="0" applyNumberFormat="1"/>
    <xf numFmtId="0" fontId="165" fillId="0" borderId="0" xfId="0" applyFont="1"/>
    <xf numFmtId="0" fontId="76" fillId="0" borderId="0" xfId="0" applyFont="1"/>
    <xf numFmtId="0" fontId="248" fillId="0" borderId="0" xfId="0" applyFont="1"/>
    <xf numFmtId="0" fontId="166" fillId="0" borderId="0" xfId="0" applyFont="1"/>
    <xf numFmtId="164" fontId="76" fillId="7" borderId="0" xfId="0" applyNumberFormat="1" applyFont="1" applyFill="1"/>
    <xf numFmtId="164" fontId="76" fillId="0" borderId="0" xfId="0" applyNumberFormat="1" applyFont="1"/>
    <xf numFmtId="164" fontId="77" fillId="7" borderId="0" xfId="0" applyNumberFormat="1" applyFont="1" applyFill="1"/>
    <xf numFmtId="164" fontId="255" fillId="0" borderId="0" xfId="0" applyNumberFormat="1" applyFont="1"/>
    <xf numFmtId="0" fontId="243" fillId="37" borderId="25" xfId="6" applyFont="1" applyFill="1" applyBorder="1"/>
    <xf numFmtId="0" fontId="243" fillId="37" borderId="0" xfId="6" applyFont="1" applyFill="1"/>
    <xf numFmtId="0" fontId="243" fillId="37" borderId="26" xfId="6" applyFont="1" applyFill="1" applyBorder="1"/>
    <xf numFmtId="164" fontId="243" fillId="37" borderId="25" xfId="6" applyNumberFormat="1" applyFont="1" applyFill="1" applyBorder="1"/>
    <xf numFmtId="164" fontId="243" fillId="37" borderId="0" xfId="6" applyNumberFormat="1" applyFont="1" applyFill="1"/>
    <xf numFmtId="164" fontId="243" fillId="37" borderId="26" xfId="6" applyNumberFormat="1" applyFont="1" applyFill="1" applyBorder="1"/>
    <xf numFmtId="0" fontId="179" fillId="26" borderId="25" xfId="6" applyFont="1" applyFill="1" applyBorder="1"/>
    <xf numFmtId="0" fontId="179" fillId="26" borderId="0" xfId="6" applyFont="1" applyFill="1"/>
    <xf numFmtId="164" fontId="179" fillId="26" borderId="25" xfId="6" applyNumberFormat="1" applyFont="1" applyFill="1" applyBorder="1"/>
    <xf numFmtId="164" fontId="179" fillId="26" borderId="0" xfId="6" applyNumberFormat="1" applyFont="1" applyFill="1"/>
    <xf numFmtId="164" fontId="263" fillId="37" borderId="25" xfId="6" applyNumberFormat="1" applyFont="1" applyFill="1" applyBorder="1"/>
    <xf numFmtId="164" fontId="263" fillId="37" borderId="0" xfId="6" applyNumberFormat="1" applyFont="1" applyFill="1"/>
    <xf numFmtId="164" fontId="263" fillId="37" borderId="26" xfId="6" applyNumberFormat="1" applyFont="1" applyFill="1" applyBorder="1"/>
    <xf numFmtId="164" fontId="175" fillId="26" borderId="25" xfId="6" applyNumberFormat="1" applyFont="1" applyFill="1" applyBorder="1"/>
    <xf numFmtId="164" fontId="175" fillId="26" borderId="0" xfId="6" applyNumberFormat="1" applyFont="1" applyFill="1"/>
    <xf numFmtId="164" fontId="176" fillId="26" borderId="0" xfId="6" applyNumberFormat="1" applyFont="1" applyFill="1"/>
    <xf numFmtId="0" fontId="173" fillId="26" borderId="0" xfId="6" applyFont="1" applyFill="1"/>
    <xf numFmtId="164" fontId="176" fillId="26" borderId="25" xfId="6" applyNumberFormat="1" applyFont="1" applyFill="1" applyBorder="1"/>
    <xf numFmtId="164" fontId="173" fillId="26" borderId="25" xfId="6" applyNumberFormat="1" applyFont="1" applyFill="1" applyBorder="1"/>
    <xf numFmtId="164" fontId="243" fillId="37" borderId="27" xfId="6" applyNumberFormat="1" applyFont="1" applyFill="1" applyBorder="1"/>
    <xf numFmtId="164" fontId="243" fillId="37" borderId="15" xfId="6" applyNumberFormat="1" applyFont="1" applyFill="1" applyBorder="1"/>
    <xf numFmtId="164" fontId="243" fillId="37" borderId="28" xfId="6" applyNumberFormat="1" applyFont="1" applyFill="1" applyBorder="1"/>
    <xf numFmtId="164" fontId="175" fillId="26" borderId="27" xfId="6" applyNumberFormat="1" applyFont="1" applyFill="1" applyBorder="1"/>
    <xf numFmtId="164" fontId="175" fillId="26" borderId="15" xfId="6" applyNumberFormat="1" applyFont="1" applyFill="1" applyBorder="1"/>
    <xf numFmtId="0" fontId="204" fillId="17" borderId="0" xfId="0" applyFont="1" applyFill="1"/>
    <xf numFmtId="0" fontId="9" fillId="12" borderId="0" xfId="0" applyFont="1" applyFill="1"/>
    <xf numFmtId="0" fontId="264" fillId="12" borderId="0" xfId="0" applyFont="1" applyFill="1"/>
    <xf numFmtId="164" fontId="124" fillId="30" borderId="2" xfId="0" applyNumberFormat="1" applyFont="1" applyFill="1" applyBorder="1" applyAlignment="1">
      <alignment vertical="center"/>
    </xf>
    <xf numFmtId="164" fontId="53" fillId="7" borderId="2" xfId="0" applyNumberFormat="1" applyFont="1" applyFill="1" applyBorder="1" applyAlignment="1">
      <alignment horizontal="right" vertical="center"/>
    </xf>
    <xf numFmtId="0" fontId="265" fillId="7" borderId="2" xfId="0" applyFont="1" applyFill="1" applyBorder="1" applyAlignment="1">
      <alignment vertical="center"/>
    </xf>
    <xf numFmtId="164" fontId="215" fillId="7" borderId="2" xfId="0" applyNumberFormat="1" applyFont="1" applyFill="1" applyBorder="1" applyAlignment="1">
      <alignment vertical="center"/>
    </xf>
    <xf numFmtId="164" fontId="266" fillId="7" borderId="2" xfId="0" applyNumberFormat="1" applyFont="1" applyFill="1" applyBorder="1" applyAlignment="1">
      <alignment vertical="center"/>
    </xf>
    <xf numFmtId="1" fontId="265" fillId="7" borderId="2" xfId="0" applyNumberFormat="1" applyFont="1" applyFill="1" applyBorder="1" applyAlignment="1">
      <alignment vertical="center"/>
    </xf>
    <xf numFmtId="164" fontId="215" fillId="0" borderId="2" xfId="0" applyNumberFormat="1" applyFont="1" applyBorder="1" applyAlignment="1">
      <alignment vertical="center"/>
    </xf>
    <xf numFmtId="166" fontId="116" fillId="7" borderId="2" xfId="0" applyNumberFormat="1" applyFont="1" applyFill="1" applyBorder="1" applyAlignment="1">
      <alignment horizontal="center" vertical="center"/>
    </xf>
    <xf numFmtId="166" fontId="215" fillId="7" borderId="2" xfId="0" applyNumberFormat="1" applyFont="1" applyFill="1" applyBorder="1" applyAlignment="1">
      <alignment horizontal="right" vertical="center"/>
    </xf>
    <xf numFmtId="164" fontId="116" fillId="7" borderId="4" xfId="0" applyNumberFormat="1" applyFont="1" applyFill="1" applyBorder="1" applyAlignment="1">
      <alignment horizontal="center" vertical="center"/>
    </xf>
    <xf numFmtId="164" fontId="195" fillId="0" borderId="0" xfId="0" applyNumberFormat="1" applyFont="1" applyAlignment="1">
      <alignment horizontal="right"/>
    </xf>
    <xf numFmtId="164" fontId="267" fillId="0" borderId="0" xfId="0" applyNumberFormat="1" applyFont="1" applyAlignment="1" applyProtection="1">
      <alignment horizontal="right"/>
      <protection locked="0"/>
    </xf>
    <xf numFmtId="1" fontId="195" fillId="0" borderId="0" xfId="0" applyNumberFormat="1" applyFont="1" applyAlignment="1">
      <alignment horizontal="right"/>
    </xf>
    <xf numFmtId="164" fontId="195" fillId="0" borderId="0" xfId="0" applyNumberFormat="1" applyFont="1"/>
    <xf numFmtId="0" fontId="183" fillId="7" borderId="29" xfId="7" applyFont="1" applyFill="1" applyBorder="1" applyAlignment="1">
      <alignment horizontal="center" vertical="center" wrapText="1"/>
    </xf>
    <xf numFmtId="164" fontId="124" fillId="7" borderId="17" xfId="0" applyNumberFormat="1" applyFont="1" applyFill="1" applyBorder="1" applyAlignment="1">
      <alignment horizontal="right" vertical="center"/>
    </xf>
    <xf numFmtId="164" fontId="63" fillId="7" borderId="17" xfId="0" applyNumberFormat="1" applyFont="1" applyFill="1" applyBorder="1" applyAlignment="1">
      <alignment horizontal="center" vertical="center"/>
    </xf>
    <xf numFmtId="0" fontId="0" fillId="17" borderId="2" xfId="0" applyFill="1" applyBorder="1"/>
    <xf numFmtId="164" fontId="0" fillId="17" borderId="2" xfId="0" applyNumberFormat="1" applyFill="1" applyBorder="1"/>
    <xf numFmtId="0" fontId="9" fillId="17" borderId="2" xfId="0" applyFont="1" applyFill="1" applyBorder="1"/>
    <xf numFmtId="164" fontId="268" fillId="18" borderId="2" xfId="0" applyNumberFormat="1" applyFont="1" applyFill="1" applyBorder="1" applyAlignment="1">
      <alignment vertical="center"/>
    </xf>
    <xf numFmtId="164" fontId="227" fillId="17" borderId="0" xfId="0" applyNumberFormat="1" applyFont="1" applyFill="1"/>
    <xf numFmtId="164" fontId="227" fillId="33" borderId="0" xfId="0" applyNumberFormat="1" applyFont="1" applyFill="1"/>
    <xf numFmtId="0" fontId="269" fillId="17" borderId="0" xfId="0" applyFont="1" applyFill="1"/>
    <xf numFmtId="168" fontId="195" fillId="0" borderId="0" xfId="5" applyNumberFormat="1" applyFont="1" applyFill="1" applyBorder="1" applyAlignment="1">
      <alignment horizontal="right"/>
    </xf>
    <xf numFmtId="0" fontId="269" fillId="0" borderId="0" xfId="0" applyFont="1"/>
    <xf numFmtId="0" fontId="0" fillId="39" borderId="0" xfId="0" applyFill="1"/>
    <xf numFmtId="164" fontId="121" fillId="0" borderId="0" xfId="0" applyNumberFormat="1" applyFont="1" applyAlignment="1">
      <alignment horizontal="center"/>
    </xf>
    <xf numFmtId="164" fontId="96" fillId="0" borderId="0" xfId="0" applyNumberFormat="1" applyFont="1" applyAlignment="1">
      <alignment horizontal="center" vertical="center" wrapText="1"/>
    </xf>
    <xf numFmtId="0" fontId="66" fillId="11" borderId="0" xfId="0" applyFont="1" applyFill="1"/>
    <xf numFmtId="0" fontId="66" fillId="12" borderId="0" xfId="0" applyFont="1" applyFill="1"/>
    <xf numFmtId="0" fontId="0" fillId="40" borderId="0" xfId="0" applyFill="1"/>
    <xf numFmtId="164" fontId="0" fillId="40" borderId="0" xfId="0" applyNumberFormat="1" applyFill="1"/>
    <xf numFmtId="1" fontId="271" fillId="0" borderId="0" xfId="0" applyNumberFormat="1" applyFont="1"/>
    <xf numFmtId="0" fontId="270" fillId="17" borderId="0" xfId="0" applyFont="1" applyFill="1"/>
    <xf numFmtId="165" fontId="57" fillId="7" borderId="0" xfId="0" applyNumberFormat="1" applyFont="1" applyFill="1"/>
    <xf numFmtId="0" fontId="236" fillId="0" borderId="0" xfId="0" applyFont="1" applyAlignment="1">
      <alignment horizontal="left"/>
    </xf>
    <xf numFmtId="0" fontId="14" fillId="6" borderId="2" xfId="0" applyFont="1" applyFill="1" applyBorder="1"/>
    <xf numFmtId="0" fontId="13" fillId="6" borderId="0" xfId="0" applyFont="1" applyFill="1"/>
    <xf numFmtId="0" fontId="14" fillId="6" borderId="0" xfId="0" applyFont="1" applyFill="1" applyAlignment="1">
      <alignment horizontal="left"/>
    </xf>
    <xf numFmtId="2" fontId="84" fillId="0" borderId="0" xfId="0" applyNumberFormat="1" applyFont="1" applyAlignment="1">
      <alignment horizontal="center"/>
    </xf>
    <xf numFmtId="0" fontId="13" fillId="6" borderId="0" xfId="0" quotePrefix="1" applyFont="1" applyFill="1" applyAlignment="1">
      <alignment horizontal="left"/>
    </xf>
    <xf numFmtId="0" fontId="9" fillId="6" borderId="0" xfId="0" applyFont="1" applyFill="1"/>
    <xf numFmtId="164" fontId="36" fillId="6" borderId="0" xfId="0" applyNumberFormat="1" applyFont="1" applyFill="1"/>
    <xf numFmtId="0" fontId="0" fillId="41" borderId="0" xfId="0" applyFill="1"/>
    <xf numFmtId="0" fontId="9" fillId="41" borderId="18" xfId="0" applyFont="1" applyFill="1" applyBorder="1"/>
    <xf numFmtId="0" fontId="19" fillId="6" borderId="0" xfId="0" applyFont="1" applyFill="1" applyAlignment="1">
      <alignment horizontal="left"/>
    </xf>
    <xf numFmtId="164" fontId="48" fillId="18" borderId="0" xfId="0" applyNumberFormat="1" applyFont="1" applyFill="1"/>
    <xf numFmtId="0" fontId="273" fillId="17" borderId="0" xfId="0" applyFont="1" applyFill="1"/>
    <xf numFmtId="0" fontId="0" fillId="42" borderId="0" xfId="0" applyFill="1"/>
    <xf numFmtId="0" fontId="9" fillId="42" borderId="0" xfId="0" applyFont="1" applyFill="1"/>
    <xf numFmtId="0" fontId="274" fillId="31" borderId="2" xfId="0" applyFont="1" applyFill="1" applyBorder="1" applyAlignment="1">
      <alignment horizontal="center"/>
    </xf>
    <xf numFmtId="0" fontId="0" fillId="28" borderId="0" xfId="0" applyFill="1"/>
    <xf numFmtId="0" fontId="19" fillId="28" borderId="0" xfId="0" applyFont="1" applyFill="1" applyAlignment="1">
      <alignment horizontal="left"/>
    </xf>
    <xf numFmtId="0" fontId="9" fillId="42" borderId="2" xfId="0" applyFont="1" applyFill="1" applyBorder="1"/>
    <xf numFmtId="0" fontId="19" fillId="0" borderId="2" xfId="1" applyFont="1" applyBorder="1" applyAlignment="1">
      <alignment horizontal="left"/>
    </xf>
    <xf numFmtId="164" fontId="275" fillId="0" borderId="2" xfId="7" applyNumberFormat="1" applyFont="1" applyBorder="1" applyAlignment="1">
      <alignment horizontal="center" vertical="center"/>
    </xf>
    <xf numFmtId="2" fontId="217" fillId="17" borderId="0" xfId="0" applyNumberFormat="1" applyFont="1" applyFill="1"/>
    <xf numFmtId="0" fontId="184" fillId="7" borderId="17" xfId="7" applyFont="1" applyFill="1" applyBorder="1" applyAlignment="1">
      <alignment horizontal="center" vertical="center" wrapText="1"/>
    </xf>
    <xf numFmtId="0" fontId="184" fillId="7" borderId="16" xfId="7" applyFont="1" applyFill="1" applyBorder="1" applyAlignment="1">
      <alignment horizontal="center" vertical="center" wrapText="1"/>
    </xf>
    <xf numFmtId="0" fontId="182" fillId="0" borderId="1" xfId="7" applyFont="1" applyBorder="1" applyAlignment="1">
      <alignment horizontal="center" vertical="center" wrapText="1"/>
    </xf>
    <xf numFmtId="0" fontId="184" fillId="7" borderId="2" xfId="7" applyFont="1" applyFill="1" applyBorder="1" applyAlignment="1">
      <alignment horizontal="center" vertical="center"/>
    </xf>
    <xf numFmtId="0" fontId="103" fillId="7" borderId="3" xfId="7" applyFont="1" applyFill="1" applyBorder="1" applyAlignment="1">
      <alignment horizontal="center" vertical="center" wrapText="1"/>
    </xf>
    <xf numFmtId="0" fontId="103" fillId="7" borderId="4" xfId="7" applyFont="1" applyFill="1" applyBorder="1" applyAlignment="1">
      <alignment horizontal="center" vertical="center" wrapText="1"/>
    </xf>
    <xf numFmtId="0" fontId="103" fillId="7" borderId="9" xfId="7" applyFont="1" applyFill="1" applyBorder="1" applyAlignment="1">
      <alignment horizontal="center" vertical="center" wrapText="1"/>
    </xf>
    <xf numFmtId="0" fontId="184" fillId="7" borderId="2" xfId="7" applyFont="1" applyFill="1" applyBorder="1" applyAlignment="1">
      <alignment horizontal="center" vertical="center" wrapText="1"/>
    </xf>
    <xf numFmtId="0" fontId="14" fillId="25" borderId="4" xfId="0" applyFont="1" applyFill="1" applyBorder="1" applyAlignment="1">
      <alignment horizontal="center" vertical="center"/>
    </xf>
    <xf numFmtId="0" fontId="14" fillId="25" borderId="5" xfId="0" applyFont="1" applyFill="1" applyBorder="1" applyAlignment="1">
      <alignment horizontal="center" vertical="center"/>
    </xf>
    <xf numFmtId="0" fontId="14" fillId="25" borderId="7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6" fillId="25" borderId="5" xfId="0" applyFont="1" applyFill="1" applyBorder="1" applyAlignment="1">
      <alignment horizontal="center" vertical="center"/>
    </xf>
    <xf numFmtId="0" fontId="26" fillId="25" borderId="4" xfId="0" applyFont="1" applyFill="1" applyBorder="1" applyAlignment="1">
      <alignment horizontal="center" vertical="center"/>
    </xf>
    <xf numFmtId="0" fontId="26" fillId="25" borderId="7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25" borderId="3" xfId="0" applyFont="1" applyFill="1" applyBorder="1" applyAlignment="1">
      <alignment horizontal="center" vertical="center"/>
    </xf>
    <xf numFmtId="0" fontId="14" fillId="25" borderId="10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4" fontId="211" fillId="0" borderId="3" xfId="0" applyNumberFormat="1" applyFont="1" applyBorder="1" applyAlignment="1">
      <alignment horizontal="center"/>
    </xf>
    <xf numFmtId="0" fontId="211" fillId="0" borderId="9" xfId="0" applyFont="1" applyBorder="1" applyAlignment="1">
      <alignment horizontal="center"/>
    </xf>
    <xf numFmtId="164" fontId="211" fillId="0" borderId="2" xfId="0" applyNumberFormat="1" applyFont="1" applyBorder="1" applyAlignment="1">
      <alignment horizontal="center"/>
    </xf>
    <xf numFmtId="0" fontId="211" fillId="0" borderId="2" xfId="0" applyFont="1" applyBorder="1" applyAlignment="1">
      <alignment horizontal="center"/>
    </xf>
    <xf numFmtId="164" fontId="9" fillId="0" borderId="1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1" fillId="0" borderId="3" xfId="0" applyFont="1" applyBorder="1" applyAlignment="1">
      <alignment horizontal="center" wrapText="1"/>
    </xf>
    <xf numFmtId="0" fontId="211" fillId="0" borderId="9" xfId="0" applyFont="1" applyBorder="1" applyAlignment="1">
      <alignment horizontal="center" wrapText="1"/>
    </xf>
    <xf numFmtId="0" fontId="9" fillId="0" borderId="18" xfId="0" applyFont="1" applyBorder="1" applyAlignment="1">
      <alignment horizontal="center" vertical="center"/>
    </xf>
    <xf numFmtId="164" fontId="135" fillId="0" borderId="3" xfId="0" applyNumberFormat="1" applyFont="1" applyBorder="1" applyAlignment="1">
      <alignment horizontal="center"/>
    </xf>
    <xf numFmtId="164" fontId="135" fillId="0" borderId="9" xfId="0" applyNumberFormat="1" applyFont="1" applyBorder="1" applyAlignment="1">
      <alignment horizontal="center"/>
    </xf>
    <xf numFmtId="164" fontId="212" fillId="0" borderId="3" xfId="0" applyNumberFormat="1" applyFont="1" applyBorder="1" applyAlignment="1">
      <alignment horizontal="center"/>
    </xf>
    <xf numFmtId="164" fontId="212" fillId="0" borderId="9" xfId="0" applyNumberFormat="1" applyFont="1" applyBorder="1" applyAlignment="1">
      <alignment horizontal="center"/>
    </xf>
    <xf numFmtId="0" fontId="211" fillId="0" borderId="0" xfId="0" applyFont="1" applyAlignment="1">
      <alignment horizontal="center"/>
    </xf>
    <xf numFmtId="14" fontId="212" fillId="0" borderId="0" xfId="0" applyNumberFormat="1" applyFont="1" applyAlignment="1">
      <alignment horizontal="center"/>
    </xf>
    <xf numFmtId="0" fontId="212" fillId="0" borderId="0" xfId="0" applyFont="1" applyAlignment="1">
      <alignment horizontal="center"/>
    </xf>
    <xf numFmtId="0" fontId="212" fillId="0" borderId="3" xfId="0" applyFont="1" applyBorder="1" applyAlignment="1">
      <alignment horizontal="center"/>
    </xf>
    <xf numFmtId="0" fontId="212" fillId="0" borderId="9" xfId="0" applyFont="1" applyBorder="1" applyAlignment="1">
      <alignment horizontal="center"/>
    </xf>
    <xf numFmtId="0" fontId="211" fillId="0" borderId="3" xfId="0" applyFont="1" applyBorder="1" applyAlignment="1">
      <alignment horizontal="left"/>
    </xf>
    <xf numFmtId="0" fontId="211" fillId="0" borderId="9" xfId="0" applyFont="1" applyBorder="1" applyAlignment="1">
      <alignment horizontal="left"/>
    </xf>
    <xf numFmtId="0" fontId="212" fillId="0" borderId="3" xfId="0" applyFont="1" applyBorder="1" applyAlignment="1">
      <alignment horizontal="left"/>
    </xf>
    <xf numFmtId="0" fontId="212" fillId="0" borderId="9" xfId="0" applyFont="1" applyBorder="1" applyAlignment="1">
      <alignment horizontal="left"/>
    </xf>
    <xf numFmtId="0" fontId="180" fillId="0" borderId="1" xfId="0" applyFont="1" applyBorder="1" applyAlignment="1">
      <alignment horizontal="center" vertical="center"/>
    </xf>
  </cellXfs>
  <cellStyles count="38">
    <cellStyle name="”ќђќ‘ћ‚›‰" xfId="9" xr:uid="{056F3B4F-5D15-4A58-B13D-D312C0AEF32D}"/>
    <cellStyle name="”љ‘ђћ‚ђќќ›‰" xfId="10" xr:uid="{7A9FEF3A-68FB-47AD-9932-E0E07601DE7A}"/>
    <cellStyle name="„…ќ…†ќ›‰" xfId="11" xr:uid="{962A8A68-A992-44CD-B106-3AE3610801DB}"/>
    <cellStyle name="‡ђѓћ‹ћ‚ћљ" xfId="12" xr:uid="{5C3D5654-A674-421C-9222-8B71CBACA38A}"/>
    <cellStyle name="‡ђѓћ‹ћ‚ћљ1" xfId="13" xr:uid="{FA9DC7DE-A30F-4A60-94F6-18B1462FDFE2}"/>
    <cellStyle name="‡ђѓћ‹ћ‚ћљ2" xfId="14" xr:uid="{6EC8E505-2DD4-45CC-B617-9F86DBE443D8}"/>
    <cellStyle name="’ћѓћ‚›‰" xfId="15" xr:uid="{36EB5091-818F-42DF-B166-059D3B7E6AFA}"/>
    <cellStyle name="Comma 2" xfId="16" xr:uid="{CF17FF25-464F-4896-B4F4-A7EC41308A2A}"/>
    <cellStyle name="Date" xfId="17" xr:uid="{F992D4A7-A69C-4905-8B1F-B5C45429C39C}"/>
    <cellStyle name="Fixed" xfId="18" xr:uid="{4109CF50-015F-40CF-9F7B-4492E2304165}"/>
    <cellStyle name="Heading1" xfId="19" xr:uid="{DED1594A-0C59-4A80-8231-DC0B1458CFC1}"/>
    <cellStyle name="Heading2" xfId="20" xr:uid="{BDAFBC20-BDFD-46D8-B268-9A3D1A2A8065}"/>
    <cellStyle name="Hyperlink 2" xfId="21" xr:uid="{6CF56D3C-BE9B-497F-9D63-538C2EA9B1E9}"/>
    <cellStyle name="Normal 2" xfId="3" xr:uid="{BC9DEE0D-9DA9-411A-9D5D-145390B20603}"/>
    <cellStyle name="Normal 3" xfId="4" xr:uid="{ADFE7BC1-2A58-458C-8CD9-6AC91DF92711}"/>
    <cellStyle name="Normal 4" xfId="22" xr:uid="{216173ED-D008-4677-987E-877D0F7C615D}"/>
    <cellStyle name="Normal 5" xfId="23" xr:uid="{86F649A4-7272-4B94-BDF3-6076D47CEEFF}"/>
    <cellStyle name="Normal 6" xfId="24" xr:uid="{26B6C985-E09E-483A-9DFD-B712F1E6180E}"/>
    <cellStyle name="Normal 7" xfId="25" xr:uid="{0F1CB047-3897-40A0-94C0-7B86C2B6CA18}"/>
    <cellStyle name="Normal 8" xfId="1" xr:uid="{37A199B1-E528-49C8-8F76-343CD8785A56}"/>
    <cellStyle name="Normal 9" xfId="6" xr:uid="{8E1B0F00-5C6A-4668-8A7C-B3F5DC0C8CF6}"/>
    <cellStyle name="Normal_Table11" xfId="2" xr:uid="{D02B26E5-8666-417A-B41F-1D574DC68B73}"/>
    <cellStyle name="Percent 2" xfId="26" xr:uid="{EE12B356-E481-4C81-9018-963BC18BA882}"/>
    <cellStyle name="Обычный" xfId="0" builtinId="0"/>
    <cellStyle name="Обычный 2" xfId="27" xr:uid="{89E33114-4A7F-48D6-80BA-06D8A9FB6DBE}"/>
    <cellStyle name="Обычный 2 3" xfId="31" xr:uid="{03A1EE8C-4928-453E-A151-85B4483EC165}"/>
    <cellStyle name="Обычный 3" xfId="7" xr:uid="{526E7475-1115-4D3F-BF8A-71CFE8803C46}"/>
    <cellStyle name="Обычный 3 2" xfId="33" xr:uid="{3D029347-9291-4D99-AA6C-870D9BCEFAA7}"/>
    <cellStyle name="Обычный 3 3" xfId="35" xr:uid="{711872D2-C7CC-4FB9-B0A4-B22AD87F5CC4}"/>
    <cellStyle name="Обычный 3 4" xfId="37" xr:uid="{9EAAFEBB-9F99-40B1-B142-101F67817897}"/>
    <cellStyle name="Обычный_Лист17" xfId="8" xr:uid="{316DD8FC-E747-46B2-84EB-3791559158D3}"/>
    <cellStyle name="Стиль 1" xfId="30" xr:uid="{F0A911D7-57AE-4DDB-A9E0-B681C2D654B6}"/>
    <cellStyle name="Финансовый" xfId="5" builtinId="3"/>
    <cellStyle name="Финансовый 2" xfId="29" xr:uid="{20740206-A017-45B5-B67F-42307C9E01BE}"/>
    <cellStyle name="Финансовый 3" xfId="34" xr:uid="{8A52BFAC-4496-4B2D-B5BC-4CD982558C25}"/>
    <cellStyle name="Финансовый 4" xfId="36" xr:uid="{58FA2D34-089C-44FE-A880-8AE878AB41E6}"/>
    <cellStyle name="Финансовый 5" xfId="32" xr:uid="{57854AD2-0265-4150-8F5F-D15B46D59DD5}"/>
    <cellStyle name="Џђћ–…ќ’ќ›‰" xfId="28" xr:uid="{EEE6F8E5-65CC-42C5-ACB1-127376DC9B49}"/>
  </cellStyles>
  <dxfs count="0"/>
  <tableStyles count="0" defaultTableStyle="TableStyleMedium2" defaultPivotStyle="PivotStyleLight16"/>
  <colors>
    <mruColors>
      <color rgb="FF66FF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30C8-0818-4143-B6A3-315A7782CC6D}">
  <dimension ref="A1:AQ34"/>
  <sheetViews>
    <sheetView tabSelected="1" zoomScale="70" zoomScaleNormal="70" workbookViewId="0">
      <pane xSplit="2" ySplit="3" topLeftCell="P4" activePane="bottomRight" state="frozen"/>
      <selection pane="topRight" activeCell="C1" sqref="C1"/>
      <selection pane="bottomLeft" activeCell="A4" sqref="A4"/>
      <selection pane="bottomRight" activeCell="AC5" sqref="AC5"/>
    </sheetView>
  </sheetViews>
  <sheetFormatPr defaultRowHeight="18"/>
  <cols>
    <col min="1" max="1" width="36.140625" style="585" customWidth="1"/>
    <col min="2" max="2" width="12.85546875" style="585" customWidth="1"/>
    <col min="3" max="3" width="12.140625" style="585" customWidth="1"/>
    <col min="4" max="4" width="12.5703125" style="585" customWidth="1"/>
    <col min="5" max="5" width="13.140625" style="585" customWidth="1"/>
    <col min="6" max="6" width="12.140625" style="585" customWidth="1"/>
    <col min="7" max="9" width="12.42578125" style="585" customWidth="1"/>
    <col min="10" max="10" width="12.140625" style="585" customWidth="1"/>
    <col min="11" max="11" width="11.85546875" style="585" customWidth="1"/>
    <col min="12" max="12" width="12.140625" style="585" customWidth="1"/>
    <col min="13" max="13" width="13.28515625" style="585" customWidth="1"/>
    <col min="14" max="14" width="15.140625" style="585" customWidth="1"/>
    <col min="15" max="15" width="12.28515625" style="585" customWidth="1"/>
    <col min="16" max="30" width="14.85546875" style="585" customWidth="1"/>
    <col min="31" max="31" width="14.7109375" style="585" customWidth="1"/>
    <col min="32" max="272" width="9.140625" style="585"/>
    <col min="273" max="273" width="36.140625" style="585" customWidth="1"/>
    <col min="274" max="274" width="12.85546875" style="585" customWidth="1"/>
    <col min="275" max="275" width="12.140625" style="585" customWidth="1"/>
    <col min="276" max="276" width="12.5703125" style="585" customWidth="1"/>
    <col min="277" max="277" width="11.7109375" style="585" customWidth="1"/>
    <col min="278" max="278" width="12.140625" style="585" customWidth="1"/>
    <col min="279" max="279" width="11.140625" style="585" customWidth="1"/>
    <col min="280" max="280" width="12.42578125" style="585" customWidth="1"/>
    <col min="281" max="281" width="11.28515625" style="585" customWidth="1"/>
    <col min="282" max="282" width="12.140625" style="585" customWidth="1"/>
    <col min="283" max="283" width="11" style="585" customWidth="1"/>
    <col min="284" max="284" width="12.140625" style="585" customWidth="1"/>
    <col min="285" max="528" width="9.140625" style="585"/>
    <col min="529" max="529" width="36.140625" style="585" customWidth="1"/>
    <col min="530" max="530" width="12.85546875" style="585" customWidth="1"/>
    <col min="531" max="531" width="12.140625" style="585" customWidth="1"/>
    <col min="532" max="532" width="12.5703125" style="585" customWidth="1"/>
    <col min="533" max="533" width="11.7109375" style="585" customWidth="1"/>
    <col min="534" max="534" width="12.140625" style="585" customWidth="1"/>
    <col min="535" max="535" width="11.140625" style="585" customWidth="1"/>
    <col min="536" max="536" width="12.42578125" style="585" customWidth="1"/>
    <col min="537" max="537" width="11.28515625" style="585" customWidth="1"/>
    <col min="538" max="538" width="12.140625" style="585" customWidth="1"/>
    <col min="539" max="539" width="11" style="585" customWidth="1"/>
    <col min="540" max="540" width="12.140625" style="585" customWidth="1"/>
    <col min="541" max="784" width="9.140625" style="585"/>
    <col min="785" max="785" width="36.140625" style="585" customWidth="1"/>
    <col min="786" max="786" width="12.85546875" style="585" customWidth="1"/>
    <col min="787" max="787" width="12.140625" style="585" customWidth="1"/>
    <col min="788" max="788" width="12.5703125" style="585" customWidth="1"/>
    <col min="789" max="789" width="11.7109375" style="585" customWidth="1"/>
    <col min="790" max="790" width="12.140625" style="585" customWidth="1"/>
    <col min="791" max="791" width="11.140625" style="585" customWidth="1"/>
    <col min="792" max="792" width="12.42578125" style="585" customWidth="1"/>
    <col min="793" max="793" width="11.28515625" style="585" customWidth="1"/>
    <col min="794" max="794" width="12.140625" style="585" customWidth="1"/>
    <col min="795" max="795" width="11" style="585" customWidth="1"/>
    <col min="796" max="796" width="12.140625" style="585" customWidth="1"/>
    <col min="797" max="1040" width="9.140625" style="585"/>
    <col min="1041" max="1041" width="36.140625" style="585" customWidth="1"/>
    <col min="1042" max="1042" width="12.85546875" style="585" customWidth="1"/>
    <col min="1043" max="1043" width="12.140625" style="585" customWidth="1"/>
    <col min="1044" max="1044" width="12.5703125" style="585" customWidth="1"/>
    <col min="1045" max="1045" width="11.7109375" style="585" customWidth="1"/>
    <col min="1046" max="1046" width="12.140625" style="585" customWidth="1"/>
    <col min="1047" max="1047" width="11.140625" style="585" customWidth="1"/>
    <col min="1048" max="1048" width="12.42578125" style="585" customWidth="1"/>
    <col min="1049" max="1049" width="11.28515625" style="585" customWidth="1"/>
    <col min="1050" max="1050" width="12.140625" style="585" customWidth="1"/>
    <col min="1051" max="1051" width="11" style="585" customWidth="1"/>
    <col min="1052" max="1052" width="12.140625" style="585" customWidth="1"/>
    <col min="1053" max="1296" width="9.140625" style="585"/>
    <col min="1297" max="1297" width="36.140625" style="585" customWidth="1"/>
    <col min="1298" max="1298" width="12.85546875" style="585" customWidth="1"/>
    <col min="1299" max="1299" width="12.140625" style="585" customWidth="1"/>
    <col min="1300" max="1300" width="12.5703125" style="585" customWidth="1"/>
    <col min="1301" max="1301" width="11.7109375" style="585" customWidth="1"/>
    <col min="1302" max="1302" width="12.140625" style="585" customWidth="1"/>
    <col min="1303" max="1303" width="11.140625" style="585" customWidth="1"/>
    <col min="1304" max="1304" width="12.42578125" style="585" customWidth="1"/>
    <col min="1305" max="1305" width="11.28515625" style="585" customWidth="1"/>
    <col min="1306" max="1306" width="12.140625" style="585" customWidth="1"/>
    <col min="1307" max="1307" width="11" style="585" customWidth="1"/>
    <col min="1308" max="1308" width="12.140625" style="585" customWidth="1"/>
    <col min="1309" max="1552" width="9.140625" style="585"/>
    <col min="1553" max="1553" width="36.140625" style="585" customWidth="1"/>
    <col min="1554" max="1554" width="12.85546875" style="585" customWidth="1"/>
    <col min="1555" max="1555" width="12.140625" style="585" customWidth="1"/>
    <col min="1556" max="1556" width="12.5703125" style="585" customWidth="1"/>
    <col min="1557" max="1557" width="11.7109375" style="585" customWidth="1"/>
    <col min="1558" max="1558" width="12.140625" style="585" customWidth="1"/>
    <col min="1559" max="1559" width="11.140625" style="585" customWidth="1"/>
    <col min="1560" max="1560" width="12.42578125" style="585" customWidth="1"/>
    <col min="1561" max="1561" width="11.28515625" style="585" customWidth="1"/>
    <col min="1562" max="1562" width="12.140625" style="585" customWidth="1"/>
    <col min="1563" max="1563" width="11" style="585" customWidth="1"/>
    <col min="1564" max="1564" width="12.140625" style="585" customWidth="1"/>
    <col min="1565" max="1808" width="9.140625" style="585"/>
    <col min="1809" max="1809" width="36.140625" style="585" customWidth="1"/>
    <col min="1810" max="1810" width="12.85546875" style="585" customWidth="1"/>
    <col min="1811" max="1811" width="12.140625" style="585" customWidth="1"/>
    <col min="1812" max="1812" width="12.5703125" style="585" customWidth="1"/>
    <col min="1813" max="1813" width="11.7109375" style="585" customWidth="1"/>
    <col min="1814" max="1814" width="12.140625" style="585" customWidth="1"/>
    <col min="1815" max="1815" width="11.140625" style="585" customWidth="1"/>
    <col min="1816" max="1816" width="12.42578125" style="585" customWidth="1"/>
    <col min="1817" max="1817" width="11.28515625" style="585" customWidth="1"/>
    <col min="1818" max="1818" width="12.140625" style="585" customWidth="1"/>
    <col min="1819" max="1819" width="11" style="585" customWidth="1"/>
    <col min="1820" max="1820" width="12.140625" style="585" customWidth="1"/>
    <col min="1821" max="2064" width="9.140625" style="585"/>
    <col min="2065" max="2065" width="36.140625" style="585" customWidth="1"/>
    <col min="2066" max="2066" width="12.85546875" style="585" customWidth="1"/>
    <col min="2067" max="2067" width="12.140625" style="585" customWidth="1"/>
    <col min="2068" max="2068" width="12.5703125" style="585" customWidth="1"/>
    <col min="2069" max="2069" width="11.7109375" style="585" customWidth="1"/>
    <col min="2070" max="2070" width="12.140625" style="585" customWidth="1"/>
    <col min="2071" max="2071" width="11.140625" style="585" customWidth="1"/>
    <col min="2072" max="2072" width="12.42578125" style="585" customWidth="1"/>
    <col min="2073" max="2073" width="11.28515625" style="585" customWidth="1"/>
    <col min="2074" max="2074" width="12.140625" style="585" customWidth="1"/>
    <col min="2075" max="2075" width="11" style="585" customWidth="1"/>
    <col min="2076" max="2076" width="12.140625" style="585" customWidth="1"/>
    <col min="2077" max="2320" width="9.140625" style="585"/>
    <col min="2321" max="2321" width="36.140625" style="585" customWidth="1"/>
    <col min="2322" max="2322" width="12.85546875" style="585" customWidth="1"/>
    <col min="2323" max="2323" width="12.140625" style="585" customWidth="1"/>
    <col min="2324" max="2324" width="12.5703125" style="585" customWidth="1"/>
    <col min="2325" max="2325" width="11.7109375" style="585" customWidth="1"/>
    <col min="2326" max="2326" width="12.140625" style="585" customWidth="1"/>
    <col min="2327" max="2327" width="11.140625" style="585" customWidth="1"/>
    <col min="2328" max="2328" width="12.42578125" style="585" customWidth="1"/>
    <col min="2329" max="2329" width="11.28515625" style="585" customWidth="1"/>
    <col min="2330" max="2330" width="12.140625" style="585" customWidth="1"/>
    <col min="2331" max="2331" width="11" style="585" customWidth="1"/>
    <col min="2332" max="2332" width="12.140625" style="585" customWidth="1"/>
    <col min="2333" max="2576" width="9.140625" style="585"/>
    <col min="2577" max="2577" width="36.140625" style="585" customWidth="1"/>
    <col min="2578" max="2578" width="12.85546875" style="585" customWidth="1"/>
    <col min="2579" max="2579" width="12.140625" style="585" customWidth="1"/>
    <col min="2580" max="2580" width="12.5703125" style="585" customWidth="1"/>
    <col min="2581" max="2581" width="11.7109375" style="585" customWidth="1"/>
    <col min="2582" max="2582" width="12.140625" style="585" customWidth="1"/>
    <col min="2583" max="2583" width="11.140625" style="585" customWidth="1"/>
    <col min="2584" max="2584" width="12.42578125" style="585" customWidth="1"/>
    <col min="2585" max="2585" width="11.28515625" style="585" customWidth="1"/>
    <col min="2586" max="2586" width="12.140625" style="585" customWidth="1"/>
    <col min="2587" max="2587" width="11" style="585" customWidth="1"/>
    <col min="2588" max="2588" width="12.140625" style="585" customWidth="1"/>
    <col min="2589" max="2832" width="9.140625" style="585"/>
    <col min="2833" max="2833" width="36.140625" style="585" customWidth="1"/>
    <col min="2834" max="2834" width="12.85546875" style="585" customWidth="1"/>
    <col min="2835" max="2835" width="12.140625" style="585" customWidth="1"/>
    <col min="2836" max="2836" width="12.5703125" style="585" customWidth="1"/>
    <col min="2837" max="2837" width="11.7109375" style="585" customWidth="1"/>
    <col min="2838" max="2838" width="12.140625" style="585" customWidth="1"/>
    <col min="2839" max="2839" width="11.140625" style="585" customWidth="1"/>
    <col min="2840" max="2840" width="12.42578125" style="585" customWidth="1"/>
    <col min="2841" max="2841" width="11.28515625" style="585" customWidth="1"/>
    <col min="2842" max="2842" width="12.140625" style="585" customWidth="1"/>
    <col min="2843" max="2843" width="11" style="585" customWidth="1"/>
    <col min="2844" max="2844" width="12.140625" style="585" customWidth="1"/>
    <col min="2845" max="3088" width="9.140625" style="585"/>
    <col min="3089" max="3089" width="36.140625" style="585" customWidth="1"/>
    <col min="3090" max="3090" width="12.85546875" style="585" customWidth="1"/>
    <col min="3091" max="3091" width="12.140625" style="585" customWidth="1"/>
    <col min="3092" max="3092" width="12.5703125" style="585" customWidth="1"/>
    <col min="3093" max="3093" width="11.7109375" style="585" customWidth="1"/>
    <col min="3094" max="3094" width="12.140625" style="585" customWidth="1"/>
    <col min="3095" max="3095" width="11.140625" style="585" customWidth="1"/>
    <col min="3096" max="3096" width="12.42578125" style="585" customWidth="1"/>
    <col min="3097" max="3097" width="11.28515625" style="585" customWidth="1"/>
    <col min="3098" max="3098" width="12.140625" style="585" customWidth="1"/>
    <col min="3099" max="3099" width="11" style="585" customWidth="1"/>
    <col min="3100" max="3100" width="12.140625" style="585" customWidth="1"/>
    <col min="3101" max="3344" width="9.140625" style="585"/>
    <col min="3345" max="3345" width="36.140625" style="585" customWidth="1"/>
    <col min="3346" max="3346" width="12.85546875" style="585" customWidth="1"/>
    <col min="3347" max="3347" width="12.140625" style="585" customWidth="1"/>
    <col min="3348" max="3348" width="12.5703125" style="585" customWidth="1"/>
    <col min="3349" max="3349" width="11.7109375" style="585" customWidth="1"/>
    <col min="3350" max="3350" width="12.140625" style="585" customWidth="1"/>
    <col min="3351" max="3351" width="11.140625" style="585" customWidth="1"/>
    <col min="3352" max="3352" width="12.42578125" style="585" customWidth="1"/>
    <col min="3353" max="3353" width="11.28515625" style="585" customWidth="1"/>
    <col min="3354" max="3354" width="12.140625" style="585" customWidth="1"/>
    <col min="3355" max="3355" width="11" style="585" customWidth="1"/>
    <col min="3356" max="3356" width="12.140625" style="585" customWidth="1"/>
    <col min="3357" max="3600" width="9.140625" style="585"/>
    <col min="3601" max="3601" width="36.140625" style="585" customWidth="1"/>
    <col min="3602" max="3602" width="12.85546875" style="585" customWidth="1"/>
    <col min="3603" max="3603" width="12.140625" style="585" customWidth="1"/>
    <col min="3604" max="3604" width="12.5703125" style="585" customWidth="1"/>
    <col min="3605" max="3605" width="11.7109375" style="585" customWidth="1"/>
    <col min="3606" max="3606" width="12.140625" style="585" customWidth="1"/>
    <col min="3607" max="3607" width="11.140625" style="585" customWidth="1"/>
    <col min="3608" max="3608" width="12.42578125" style="585" customWidth="1"/>
    <col min="3609" max="3609" width="11.28515625" style="585" customWidth="1"/>
    <col min="3610" max="3610" width="12.140625" style="585" customWidth="1"/>
    <col min="3611" max="3611" width="11" style="585" customWidth="1"/>
    <col min="3612" max="3612" width="12.140625" style="585" customWidth="1"/>
    <col min="3613" max="3856" width="9.140625" style="585"/>
    <col min="3857" max="3857" width="36.140625" style="585" customWidth="1"/>
    <col min="3858" max="3858" width="12.85546875" style="585" customWidth="1"/>
    <col min="3859" max="3859" width="12.140625" style="585" customWidth="1"/>
    <col min="3860" max="3860" width="12.5703125" style="585" customWidth="1"/>
    <col min="3861" max="3861" width="11.7109375" style="585" customWidth="1"/>
    <col min="3862" max="3862" width="12.140625" style="585" customWidth="1"/>
    <col min="3863" max="3863" width="11.140625" style="585" customWidth="1"/>
    <col min="3864" max="3864" width="12.42578125" style="585" customWidth="1"/>
    <col min="3865" max="3865" width="11.28515625" style="585" customWidth="1"/>
    <col min="3866" max="3866" width="12.140625" style="585" customWidth="1"/>
    <col min="3867" max="3867" width="11" style="585" customWidth="1"/>
    <col min="3868" max="3868" width="12.140625" style="585" customWidth="1"/>
    <col min="3869" max="4112" width="9.140625" style="585"/>
    <col min="4113" max="4113" width="36.140625" style="585" customWidth="1"/>
    <col min="4114" max="4114" width="12.85546875" style="585" customWidth="1"/>
    <col min="4115" max="4115" width="12.140625" style="585" customWidth="1"/>
    <col min="4116" max="4116" width="12.5703125" style="585" customWidth="1"/>
    <col min="4117" max="4117" width="11.7109375" style="585" customWidth="1"/>
    <col min="4118" max="4118" width="12.140625" style="585" customWidth="1"/>
    <col min="4119" max="4119" width="11.140625" style="585" customWidth="1"/>
    <col min="4120" max="4120" width="12.42578125" style="585" customWidth="1"/>
    <col min="4121" max="4121" width="11.28515625" style="585" customWidth="1"/>
    <col min="4122" max="4122" width="12.140625" style="585" customWidth="1"/>
    <col min="4123" max="4123" width="11" style="585" customWidth="1"/>
    <col min="4124" max="4124" width="12.140625" style="585" customWidth="1"/>
    <col min="4125" max="4368" width="9.140625" style="585"/>
    <col min="4369" max="4369" width="36.140625" style="585" customWidth="1"/>
    <col min="4370" max="4370" width="12.85546875" style="585" customWidth="1"/>
    <col min="4371" max="4371" width="12.140625" style="585" customWidth="1"/>
    <col min="4372" max="4372" width="12.5703125" style="585" customWidth="1"/>
    <col min="4373" max="4373" width="11.7109375" style="585" customWidth="1"/>
    <col min="4374" max="4374" width="12.140625" style="585" customWidth="1"/>
    <col min="4375" max="4375" width="11.140625" style="585" customWidth="1"/>
    <col min="4376" max="4376" width="12.42578125" style="585" customWidth="1"/>
    <col min="4377" max="4377" width="11.28515625" style="585" customWidth="1"/>
    <col min="4378" max="4378" width="12.140625" style="585" customWidth="1"/>
    <col min="4379" max="4379" width="11" style="585" customWidth="1"/>
    <col min="4380" max="4380" width="12.140625" style="585" customWidth="1"/>
    <col min="4381" max="4624" width="9.140625" style="585"/>
    <col min="4625" max="4625" width="36.140625" style="585" customWidth="1"/>
    <col min="4626" max="4626" width="12.85546875" style="585" customWidth="1"/>
    <col min="4627" max="4627" width="12.140625" style="585" customWidth="1"/>
    <col min="4628" max="4628" width="12.5703125" style="585" customWidth="1"/>
    <col min="4629" max="4629" width="11.7109375" style="585" customWidth="1"/>
    <col min="4630" max="4630" width="12.140625" style="585" customWidth="1"/>
    <col min="4631" max="4631" width="11.140625" style="585" customWidth="1"/>
    <col min="4632" max="4632" width="12.42578125" style="585" customWidth="1"/>
    <col min="4633" max="4633" width="11.28515625" style="585" customWidth="1"/>
    <col min="4634" max="4634" width="12.140625" style="585" customWidth="1"/>
    <col min="4635" max="4635" width="11" style="585" customWidth="1"/>
    <col min="4636" max="4636" width="12.140625" style="585" customWidth="1"/>
    <col min="4637" max="4880" width="9.140625" style="585"/>
    <col min="4881" max="4881" width="36.140625" style="585" customWidth="1"/>
    <col min="4882" max="4882" width="12.85546875" style="585" customWidth="1"/>
    <col min="4883" max="4883" width="12.140625" style="585" customWidth="1"/>
    <col min="4884" max="4884" width="12.5703125" style="585" customWidth="1"/>
    <col min="4885" max="4885" width="11.7109375" style="585" customWidth="1"/>
    <col min="4886" max="4886" width="12.140625" style="585" customWidth="1"/>
    <col min="4887" max="4887" width="11.140625" style="585" customWidth="1"/>
    <col min="4888" max="4888" width="12.42578125" style="585" customWidth="1"/>
    <col min="4889" max="4889" width="11.28515625" style="585" customWidth="1"/>
    <col min="4890" max="4890" width="12.140625" style="585" customWidth="1"/>
    <col min="4891" max="4891" width="11" style="585" customWidth="1"/>
    <col min="4892" max="4892" width="12.140625" style="585" customWidth="1"/>
    <col min="4893" max="5136" width="9.140625" style="585"/>
    <col min="5137" max="5137" width="36.140625" style="585" customWidth="1"/>
    <col min="5138" max="5138" width="12.85546875" style="585" customWidth="1"/>
    <col min="5139" max="5139" width="12.140625" style="585" customWidth="1"/>
    <col min="5140" max="5140" width="12.5703125" style="585" customWidth="1"/>
    <col min="5141" max="5141" width="11.7109375" style="585" customWidth="1"/>
    <col min="5142" max="5142" width="12.140625" style="585" customWidth="1"/>
    <col min="5143" max="5143" width="11.140625" style="585" customWidth="1"/>
    <col min="5144" max="5144" width="12.42578125" style="585" customWidth="1"/>
    <col min="5145" max="5145" width="11.28515625" style="585" customWidth="1"/>
    <col min="5146" max="5146" width="12.140625" style="585" customWidth="1"/>
    <col min="5147" max="5147" width="11" style="585" customWidth="1"/>
    <col min="5148" max="5148" width="12.140625" style="585" customWidth="1"/>
    <col min="5149" max="5392" width="9.140625" style="585"/>
    <col min="5393" max="5393" width="36.140625" style="585" customWidth="1"/>
    <col min="5394" max="5394" width="12.85546875" style="585" customWidth="1"/>
    <col min="5395" max="5395" width="12.140625" style="585" customWidth="1"/>
    <col min="5396" max="5396" width="12.5703125" style="585" customWidth="1"/>
    <col min="5397" max="5397" width="11.7109375" style="585" customWidth="1"/>
    <col min="5398" max="5398" width="12.140625" style="585" customWidth="1"/>
    <col min="5399" max="5399" width="11.140625" style="585" customWidth="1"/>
    <col min="5400" max="5400" width="12.42578125" style="585" customWidth="1"/>
    <col min="5401" max="5401" width="11.28515625" style="585" customWidth="1"/>
    <col min="5402" max="5402" width="12.140625" style="585" customWidth="1"/>
    <col min="5403" max="5403" width="11" style="585" customWidth="1"/>
    <col min="5404" max="5404" width="12.140625" style="585" customWidth="1"/>
    <col min="5405" max="5648" width="9.140625" style="585"/>
    <col min="5649" max="5649" width="36.140625" style="585" customWidth="1"/>
    <col min="5650" max="5650" width="12.85546875" style="585" customWidth="1"/>
    <col min="5651" max="5651" width="12.140625" style="585" customWidth="1"/>
    <col min="5652" max="5652" width="12.5703125" style="585" customWidth="1"/>
    <col min="5653" max="5653" width="11.7109375" style="585" customWidth="1"/>
    <col min="5654" max="5654" width="12.140625" style="585" customWidth="1"/>
    <col min="5655" max="5655" width="11.140625" style="585" customWidth="1"/>
    <col min="5656" max="5656" width="12.42578125" style="585" customWidth="1"/>
    <col min="5657" max="5657" width="11.28515625" style="585" customWidth="1"/>
    <col min="5658" max="5658" width="12.140625" style="585" customWidth="1"/>
    <col min="5659" max="5659" width="11" style="585" customWidth="1"/>
    <col min="5660" max="5660" width="12.140625" style="585" customWidth="1"/>
    <col min="5661" max="5904" width="9.140625" style="585"/>
    <col min="5905" max="5905" width="36.140625" style="585" customWidth="1"/>
    <col min="5906" max="5906" width="12.85546875" style="585" customWidth="1"/>
    <col min="5907" max="5907" width="12.140625" style="585" customWidth="1"/>
    <col min="5908" max="5908" width="12.5703125" style="585" customWidth="1"/>
    <col min="5909" max="5909" width="11.7109375" style="585" customWidth="1"/>
    <col min="5910" max="5910" width="12.140625" style="585" customWidth="1"/>
    <col min="5911" max="5911" width="11.140625" style="585" customWidth="1"/>
    <col min="5912" max="5912" width="12.42578125" style="585" customWidth="1"/>
    <col min="5913" max="5913" width="11.28515625" style="585" customWidth="1"/>
    <col min="5914" max="5914" width="12.140625" style="585" customWidth="1"/>
    <col min="5915" max="5915" width="11" style="585" customWidth="1"/>
    <col min="5916" max="5916" width="12.140625" style="585" customWidth="1"/>
    <col min="5917" max="6160" width="9.140625" style="585"/>
    <col min="6161" max="6161" width="36.140625" style="585" customWidth="1"/>
    <col min="6162" max="6162" width="12.85546875" style="585" customWidth="1"/>
    <col min="6163" max="6163" width="12.140625" style="585" customWidth="1"/>
    <col min="6164" max="6164" width="12.5703125" style="585" customWidth="1"/>
    <col min="6165" max="6165" width="11.7109375" style="585" customWidth="1"/>
    <col min="6166" max="6166" width="12.140625" style="585" customWidth="1"/>
    <col min="6167" max="6167" width="11.140625" style="585" customWidth="1"/>
    <col min="6168" max="6168" width="12.42578125" style="585" customWidth="1"/>
    <col min="6169" max="6169" width="11.28515625" style="585" customWidth="1"/>
    <col min="6170" max="6170" width="12.140625" style="585" customWidth="1"/>
    <col min="6171" max="6171" width="11" style="585" customWidth="1"/>
    <col min="6172" max="6172" width="12.140625" style="585" customWidth="1"/>
    <col min="6173" max="6416" width="9.140625" style="585"/>
    <col min="6417" max="6417" width="36.140625" style="585" customWidth="1"/>
    <col min="6418" max="6418" width="12.85546875" style="585" customWidth="1"/>
    <col min="6419" max="6419" width="12.140625" style="585" customWidth="1"/>
    <col min="6420" max="6420" width="12.5703125" style="585" customWidth="1"/>
    <col min="6421" max="6421" width="11.7109375" style="585" customWidth="1"/>
    <col min="6422" max="6422" width="12.140625" style="585" customWidth="1"/>
    <col min="6423" max="6423" width="11.140625" style="585" customWidth="1"/>
    <col min="6424" max="6424" width="12.42578125" style="585" customWidth="1"/>
    <col min="6425" max="6425" width="11.28515625" style="585" customWidth="1"/>
    <col min="6426" max="6426" width="12.140625" style="585" customWidth="1"/>
    <col min="6427" max="6427" width="11" style="585" customWidth="1"/>
    <col min="6428" max="6428" width="12.140625" style="585" customWidth="1"/>
    <col min="6429" max="6672" width="9.140625" style="585"/>
    <col min="6673" max="6673" width="36.140625" style="585" customWidth="1"/>
    <col min="6674" max="6674" width="12.85546875" style="585" customWidth="1"/>
    <col min="6675" max="6675" width="12.140625" style="585" customWidth="1"/>
    <col min="6676" max="6676" width="12.5703125" style="585" customWidth="1"/>
    <col min="6677" max="6677" width="11.7109375" style="585" customWidth="1"/>
    <col min="6678" max="6678" width="12.140625" style="585" customWidth="1"/>
    <col min="6679" max="6679" width="11.140625" style="585" customWidth="1"/>
    <col min="6680" max="6680" width="12.42578125" style="585" customWidth="1"/>
    <col min="6681" max="6681" width="11.28515625" style="585" customWidth="1"/>
    <col min="6682" max="6682" width="12.140625" style="585" customWidth="1"/>
    <col min="6683" max="6683" width="11" style="585" customWidth="1"/>
    <col min="6684" max="6684" width="12.140625" style="585" customWidth="1"/>
    <col min="6685" max="6928" width="9.140625" style="585"/>
    <col min="6929" max="6929" width="36.140625" style="585" customWidth="1"/>
    <col min="6930" max="6930" width="12.85546875" style="585" customWidth="1"/>
    <col min="6931" max="6931" width="12.140625" style="585" customWidth="1"/>
    <col min="6932" max="6932" width="12.5703125" style="585" customWidth="1"/>
    <col min="6933" max="6933" width="11.7109375" style="585" customWidth="1"/>
    <col min="6934" max="6934" width="12.140625" style="585" customWidth="1"/>
    <col min="6935" max="6935" width="11.140625" style="585" customWidth="1"/>
    <col min="6936" max="6936" width="12.42578125" style="585" customWidth="1"/>
    <col min="6937" max="6937" width="11.28515625" style="585" customWidth="1"/>
    <col min="6938" max="6938" width="12.140625" style="585" customWidth="1"/>
    <col min="6939" max="6939" width="11" style="585" customWidth="1"/>
    <col min="6940" max="6940" width="12.140625" style="585" customWidth="1"/>
    <col min="6941" max="7184" width="9.140625" style="585"/>
    <col min="7185" max="7185" width="36.140625" style="585" customWidth="1"/>
    <col min="7186" max="7186" width="12.85546875" style="585" customWidth="1"/>
    <col min="7187" max="7187" width="12.140625" style="585" customWidth="1"/>
    <col min="7188" max="7188" width="12.5703125" style="585" customWidth="1"/>
    <col min="7189" max="7189" width="11.7109375" style="585" customWidth="1"/>
    <col min="7190" max="7190" width="12.140625" style="585" customWidth="1"/>
    <col min="7191" max="7191" width="11.140625" style="585" customWidth="1"/>
    <col min="7192" max="7192" width="12.42578125" style="585" customWidth="1"/>
    <col min="7193" max="7193" width="11.28515625" style="585" customWidth="1"/>
    <col min="7194" max="7194" width="12.140625" style="585" customWidth="1"/>
    <col min="7195" max="7195" width="11" style="585" customWidth="1"/>
    <col min="7196" max="7196" width="12.140625" style="585" customWidth="1"/>
    <col min="7197" max="7440" width="9.140625" style="585"/>
    <col min="7441" max="7441" width="36.140625" style="585" customWidth="1"/>
    <col min="7442" max="7442" width="12.85546875" style="585" customWidth="1"/>
    <col min="7443" max="7443" width="12.140625" style="585" customWidth="1"/>
    <col min="7444" max="7444" width="12.5703125" style="585" customWidth="1"/>
    <col min="7445" max="7445" width="11.7109375" style="585" customWidth="1"/>
    <col min="7446" max="7446" width="12.140625" style="585" customWidth="1"/>
    <col min="7447" max="7447" width="11.140625" style="585" customWidth="1"/>
    <col min="7448" max="7448" width="12.42578125" style="585" customWidth="1"/>
    <col min="7449" max="7449" width="11.28515625" style="585" customWidth="1"/>
    <col min="7450" max="7450" width="12.140625" style="585" customWidth="1"/>
    <col min="7451" max="7451" width="11" style="585" customWidth="1"/>
    <col min="7452" max="7452" width="12.140625" style="585" customWidth="1"/>
    <col min="7453" max="7696" width="9.140625" style="585"/>
    <col min="7697" max="7697" width="36.140625" style="585" customWidth="1"/>
    <col min="7698" max="7698" width="12.85546875" style="585" customWidth="1"/>
    <col min="7699" max="7699" width="12.140625" style="585" customWidth="1"/>
    <col min="7700" max="7700" width="12.5703125" style="585" customWidth="1"/>
    <col min="7701" max="7701" width="11.7109375" style="585" customWidth="1"/>
    <col min="7702" max="7702" width="12.140625" style="585" customWidth="1"/>
    <col min="7703" max="7703" width="11.140625" style="585" customWidth="1"/>
    <col min="7704" max="7704" width="12.42578125" style="585" customWidth="1"/>
    <col min="7705" max="7705" width="11.28515625" style="585" customWidth="1"/>
    <col min="7706" max="7706" width="12.140625" style="585" customWidth="1"/>
    <col min="7707" max="7707" width="11" style="585" customWidth="1"/>
    <col min="7708" max="7708" width="12.140625" style="585" customWidth="1"/>
    <col min="7709" max="7952" width="9.140625" style="585"/>
    <col min="7953" max="7953" width="36.140625" style="585" customWidth="1"/>
    <col min="7954" max="7954" width="12.85546875" style="585" customWidth="1"/>
    <col min="7955" max="7955" width="12.140625" style="585" customWidth="1"/>
    <col min="7956" max="7956" width="12.5703125" style="585" customWidth="1"/>
    <col min="7957" max="7957" width="11.7109375" style="585" customWidth="1"/>
    <col min="7958" max="7958" width="12.140625" style="585" customWidth="1"/>
    <col min="7959" max="7959" width="11.140625" style="585" customWidth="1"/>
    <col min="7960" max="7960" width="12.42578125" style="585" customWidth="1"/>
    <col min="7961" max="7961" width="11.28515625" style="585" customWidth="1"/>
    <col min="7962" max="7962" width="12.140625" style="585" customWidth="1"/>
    <col min="7963" max="7963" width="11" style="585" customWidth="1"/>
    <col min="7964" max="7964" width="12.140625" style="585" customWidth="1"/>
    <col min="7965" max="8208" width="9.140625" style="585"/>
    <col min="8209" max="8209" width="36.140625" style="585" customWidth="1"/>
    <col min="8210" max="8210" width="12.85546875" style="585" customWidth="1"/>
    <col min="8211" max="8211" width="12.140625" style="585" customWidth="1"/>
    <col min="8212" max="8212" width="12.5703125" style="585" customWidth="1"/>
    <col min="8213" max="8213" width="11.7109375" style="585" customWidth="1"/>
    <col min="8214" max="8214" width="12.140625" style="585" customWidth="1"/>
    <col min="8215" max="8215" width="11.140625" style="585" customWidth="1"/>
    <col min="8216" max="8216" width="12.42578125" style="585" customWidth="1"/>
    <col min="8217" max="8217" width="11.28515625" style="585" customWidth="1"/>
    <col min="8218" max="8218" width="12.140625" style="585" customWidth="1"/>
    <col min="8219" max="8219" width="11" style="585" customWidth="1"/>
    <col min="8220" max="8220" width="12.140625" style="585" customWidth="1"/>
    <col min="8221" max="8464" width="9.140625" style="585"/>
    <col min="8465" max="8465" width="36.140625" style="585" customWidth="1"/>
    <col min="8466" max="8466" width="12.85546875" style="585" customWidth="1"/>
    <col min="8467" max="8467" width="12.140625" style="585" customWidth="1"/>
    <col min="8468" max="8468" width="12.5703125" style="585" customWidth="1"/>
    <col min="8469" max="8469" width="11.7109375" style="585" customWidth="1"/>
    <col min="8470" max="8470" width="12.140625" style="585" customWidth="1"/>
    <col min="8471" max="8471" width="11.140625" style="585" customWidth="1"/>
    <col min="8472" max="8472" width="12.42578125" style="585" customWidth="1"/>
    <col min="8473" max="8473" width="11.28515625" style="585" customWidth="1"/>
    <col min="8474" max="8474" width="12.140625" style="585" customWidth="1"/>
    <col min="8475" max="8475" width="11" style="585" customWidth="1"/>
    <col min="8476" max="8476" width="12.140625" style="585" customWidth="1"/>
    <col min="8477" max="8720" width="9.140625" style="585"/>
    <col min="8721" max="8721" width="36.140625" style="585" customWidth="1"/>
    <col min="8722" max="8722" width="12.85546875" style="585" customWidth="1"/>
    <col min="8723" max="8723" width="12.140625" style="585" customWidth="1"/>
    <col min="8724" max="8724" width="12.5703125" style="585" customWidth="1"/>
    <col min="8725" max="8725" width="11.7109375" style="585" customWidth="1"/>
    <col min="8726" max="8726" width="12.140625" style="585" customWidth="1"/>
    <col min="8727" max="8727" width="11.140625" style="585" customWidth="1"/>
    <col min="8728" max="8728" width="12.42578125" style="585" customWidth="1"/>
    <col min="8729" max="8729" width="11.28515625" style="585" customWidth="1"/>
    <col min="8730" max="8730" width="12.140625" style="585" customWidth="1"/>
    <col min="8731" max="8731" width="11" style="585" customWidth="1"/>
    <col min="8732" max="8732" width="12.140625" style="585" customWidth="1"/>
    <col min="8733" max="8976" width="9.140625" style="585"/>
    <col min="8977" max="8977" width="36.140625" style="585" customWidth="1"/>
    <col min="8978" max="8978" width="12.85546875" style="585" customWidth="1"/>
    <col min="8979" max="8979" width="12.140625" style="585" customWidth="1"/>
    <col min="8980" max="8980" width="12.5703125" style="585" customWidth="1"/>
    <col min="8981" max="8981" width="11.7109375" style="585" customWidth="1"/>
    <col min="8982" max="8982" width="12.140625" style="585" customWidth="1"/>
    <col min="8983" max="8983" width="11.140625" style="585" customWidth="1"/>
    <col min="8984" max="8984" width="12.42578125" style="585" customWidth="1"/>
    <col min="8985" max="8985" width="11.28515625" style="585" customWidth="1"/>
    <col min="8986" max="8986" width="12.140625" style="585" customWidth="1"/>
    <col min="8987" max="8987" width="11" style="585" customWidth="1"/>
    <col min="8988" max="8988" width="12.140625" style="585" customWidth="1"/>
    <col min="8989" max="9232" width="9.140625" style="585"/>
    <col min="9233" max="9233" width="36.140625" style="585" customWidth="1"/>
    <col min="9234" max="9234" width="12.85546875" style="585" customWidth="1"/>
    <col min="9235" max="9235" width="12.140625" style="585" customWidth="1"/>
    <col min="9236" max="9236" width="12.5703125" style="585" customWidth="1"/>
    <col min="9237" max="9237" width="11.7109375" style="585" customWidth="1"/>
    <col min="9238" max="9238" width="12.140625" style="585" customWidth="1"/>
    <col min="9239" max="9239" width="11.140625" style="585" customWidth="1"/>
    <col min="9240" max="9240" width="12.42578125" style="585" customWidth="1"/>
    <col min="9241" max="9241" width="11.28515625" style="585" customWidth="1"/>
    <col min="9242" max="9242" width="12.140625" style="585" customWidth="1"/>
    <col min="9243" max="9243" width="11" style="585" customWidth="1"/>
    <col min="9244" max="9244" width="12.140625" style="585" customWidth="1"/>
    <col min="9245" max="9488" width="9.140625" style="585"/>
    <col min="9489" max="9489" width="36.140625" style="585" customWidth="1"/>
    <col min="9490" max="9490" width="12.85546875" style="585" customWidth="1"/>
    <col min="9491" max="9491" width="12.140625" style="585" customWidth="1"/>
    <col min="9492" max="9492" width="12.5703125" style="585" customWidth="1"/>
    <col min="9493" max="9493" width="11.7109375" style="585" customWidth="1"/>
    <col min="9494" max="9494" width="12.140625" style="585" customWidth="1"/>
    <col min="9495" max="9495" width="11.140625" style="585" customWidth="1"/>
    <col min="9496" max="9496" width="12.42578125" style="585" customWidth="1"/>
    <col min="9497" max="9497" width="11.28515625" style="585" customWidth="1"/>
    <col min="9498" max="9498" width="12.140625" style="585" customWidth="1"/>
    <col min="9499" max="9499" width="11" style="585" customWidth="1"/>
    <col min="9500" max="9500" width="12.140625" style="585" customWidth="1"/>
    <col min="9501" max="9744" width="9.140625" style="585"/>
    <col min="9745" max="9745" width="36.140625" style="585" customWidth="1"/>
    <col min="9746" max="9746" width="12.85546875" style="585" customWidth="1"/>
    <col min="9747" max="9747" width="12.140625" style="585" customWidth="1"/>
    <col min="9748" max="9748" width="12.5703125" style="585" customWidth="1"/>
    <col min="9749" max="9749" width="11.7109375" style="585" customWidth="1"/>
    <col min="9750" max="9750" width="12.140625" style="585" customWidth="1"/>
    <col min="9751" max="9751" width="11.140625" style="585" customWidth="1"/>
    <col min="9752" max="9752" width="12.42578125" style="585" customWidth="1"/>
    <col min="9753" max="9753" width="11.28515625" style="585" customWidth="1"/>
    <col min="9754" max="9754" width="12.140625" style="585" customWidth="1"/>
    <col min="9755" max="9755" width="11" style="585" customWidth="1"/>
    <col min="9756" max="9756" width="12.140625" style="585" customWidth="1"/>
    <col min="9757" max="10000" width="9.140625" style="585"/>
    <col min="10001" max="10001" width="36.140625" style="585" customWidth="1"/>
    <col min="10002" max="10002" width="12.85546875" style="585" customWidth="1"/>
    <col min="10003" max="10003" width="12.140625" style="585" customWidth="1"/>
    <col min="10004" max="10004" width="12.5703125" style="585" customWidth="1"/>
    <col min="10005" max="10005" width="11.7109375" style="585" customWidth="1"/>
    <col min="10006" max="10006" width="12.140625" style="585" customWidth="1"/>
    <col min="10007" max="10007" width="11.140625" style="585" customWidth="1"/>
    <col min="10008" max="10008" width="12.42578125" style="585" customWidth="1"/>
    <col min="10009" max="10009" width="11.28515625" style="585" customWidth="1"/>
    <col min="10010" max="10010" width="12.140625" style="585" customWidth="1"/>
    <col min="10011" max="10011" width="11" style="585" customWidth="1"/>
    <col min="10012" max="10012" width="12.140625" style="585" customWidth="1"/>
    <col min="10013" max="10256" width="9.140625" style="585"/>
    <col min="10257" max="10257" width="36.140625" style="585" customWidth="1"/>
    <col min="10258" max="10258" width="12.85546875" style="585" customWidth="1"/>
    <col min="10259" max="10259" width="12.140625" style="585" customWidth="1"/>
    <col min="10260" max="10260" width="12.5703125" style="585" customWidth="1"/>
    <col min="10261" max="10261" width="11.7109375" style="585" customWidth="1"/>
    <col min="10262" max="10262" width="12.140625" style="585" customWidth="1"/>
    <col min="10263" max="10263" width="11.140625" style="585" customWidth="1"/>
    <col min="10264" max="10264" width="12.42578125" style="585" customWidth="1"/>
    <col min="10265" max="10265" width="11.28515625" style="585" customWidth="1"/>
    <col min="10266" max="10266" width="12.140625" style="585" customWidth="1"/>
    <col min="10267" max="10267" width="11" style="585" customWidth="1"/>
    <col min="10268" max="10268" width="12.140625" style="585" customWidth="1"/>
    <col min="10269" max="10512" width="9.140625" style="585"/>
    <col min="10513" max="10513" width="36.140625" style="585" customWidth="1"/>
    <col min="10514" max="10514" width="12.85546875" style="585" customWidth="1"/>
    <col min="10515" max="10515" width="12.140625" style="585" customWidth="1"/>
    <col min="10516" max="10516" width="12.5703125" style="585" customWidth="1"/>
    <col min="10517" max="10517" width="11.7109375" style="585" customWidth="1"/>
    <col min="10518" max="10518" width="12.140625" style="585" customWidth="1"/>
    <col min="10519" max="10519" width="11.140625" style="585" customWidth="1"/>
    <col min="10520" max="10520" width="12.42578125" style="585" customWidth="1"/>
    <col min="10521" max="10521" width="11.28515625" style="585" customWidth="1"/>
    <col min="10522" max="10522" width="12.140625" style="585" customWidth="1"/>
    <col min="10523" max="10523" width="11" style="585" customWidth="1"/>
    <col min="10524" max="10524" width="12.140625" style="585" customWidth="1"/>
    <col min="10525" max="10768" width="9.140625" style="585"/>
    <col min="10769" max="10769" width="36.140625" style="585" customWidth="1"/>
    <col min="10770" max="10770" width="12.85546875" style="585" customWidth="1"/>
    <col min="10771" max="10771" width="12.140625" style="585" customWidth="1"/>
    <col min="10772" max="10772" width="12.5703125" style="585" customWidth="1"/>
    <col min="10773" max="10773" width="11.7109375" style="585" customWidth="1"/>
    <col min="10774" max="10774" width="12.140625" style="585" customWidth="1"/>
    <col min="10775" max="10775" width="11.140625" style="585" customWidth="1"/>
    <col min="10776" max="10776" width="12.42578125" style="585" customWidth="1"/>
    <col min="10777" max="10777" width="11.28515625" style="585" customWidth="1"/>
    <col min="10778" max="10778" width="12.140625" style="585" customWidth="1"/>
    <col min="10779" max="10779" width="11" style="585" customWidth="1"/>
    <col min="10780" max="10780" width="12.140625" style="585" customWidth="1"/>
    <col min="10781" max="11024" width="9.140625" style="585"/>
    <col min="11025" max="11025" width="36.140625" style="585" customWidth="1"/>
    <col min="11026" max="11026" width="12.85546875" style="585" customWidth="1"/>
    <col min="11027" max="11027" width="12.140625" style="585" customWidth="1"/>
    <col min="11028" max="11028" width="12.5703125" style="585" customWidth="1"/>
    <col min="11029" max="11029" width="11.7109375" style="585" customWidth="1"/>
    <col min="11030" max="11030" width="12.140625" style="585" customWidth="1"/>
    <col min="11031" max="11031" width="11.140625" style="585" customWidth="1"/>
    <col min="11032" max="11032" width="12.42578125" style="585" customWidth="1"/>
    <col min="11033" max="11033" width="11.28515625" style="585" customWidth="1"/>
    <col min="11034" max="11034" width="12.140625" style="585" customWidth="1"/>
    <col min="11035" max="11035" width="11" style="585" customWidth="1"/>
    <col min="11036" max="11036" width="12.140625" style="585" customWidth="1"/>
    <col min="11037" max="11280" width="9.140625" style="585"/>
    <col min="11281" max="11281" width="36.140625" style="585" customWidth="1"/>
    <col min="11282" max="11282" width="12.85546875" style="585" customWidth="1"/>
    <col min="11283" max="11283" width="12.140625" style="585" customWidth="1"/>
    <col min="11284" max="11284" width="12.5703125" style="585" customWidth="1"/>
    <col min="11285" max="11285" width="11.7109375" style="585" customWidth="1"/>
    <col min="11286" max="11286" width="12.140625" style="585" customWidth="1"/>
    <col min="11287" max="11287" width="11.140625" style="585" customWidth="1"/>
    <col min="11288" max="11288" width="12.42578125" style="585" customWidth="1"/>
    <col min="11289" max="11289" width="11.28515625" style="585" customWidth="1"/>
    <col min="11290" max="11290" width="12.140625" style="585" customWidth="1"/>
    <col min="11291" max="11291" width="11" style="585" customWidth="1"/>
    <col min="11292" max="11292" width="12.140625" style="585" customWidth="1"/>
    <col min="11293" max="11536" width="9.140625" style="585"/>
    <col min="11537" max="11537" width="36.140625" style="585" customWidth="1"/>
    <col min="11538" max="11538" width="12.85546875" style="585" customWidth="1"/>
    <col min="11539" max="11539" width="12.140625" style="585" customWidth="1"/>
    <col min="11540" max="11540" width="12.5703125" style="585" customWidth="1"/>
    <col min="11541" max="11541" width="11.7109375" style="585" customWidth="1"/>
    <col min="11542" max="11542" width="12.140625" style="585" customWidth="1"/>
    <col min="11543" max="11543" width="11.140625" style="585" customWidth="1"/>
    <col min="11544" max="11544" width="12.42578125" style="585" customWidth="1"/>
    <col min="11545" max="11545" width="11.28515625" style="585" customWidth="1"/>
    <col min="11546" max="11546" width="12.140625" style="585" customWidth="1"/>
    <col min="11547" max="11547" width="11" style="585" customWidth="1"/>
    <col min="11548" max="11548" width="12.140625" style="585" customWidth="1"/>
    <col min="11549" max="11792" width="9.140625" style="585"/>
    <col min="11793" max="11793" width="36.140625" style="585" customWidth="1"/>
    <col min="11794" max="11794" width="12.85546875" style="585" customWidth="1"/>
    <col min="11795" max="11795" width="12.140625" style="585" customWidth="1"/>
    <col min="11796" max="11796" width="12.5703125" style="585" customWidth="1"/>
    <col min="11797" max="11797" width="11.7109375" style="585" customWidth="1"/>
    <col min="11798" max="11798" width="12.140625" style="585" customWidth="1"/>
    <col min="11799" max="11799" width="11.140625" style="585" customWidth="1"/>
    <col min="11800" max="11800" width="12.42578125" style="585" customWidth="1"/>
    <col min="11801" max="11801" width="11.28515625" style="585" customWidth="1"/>
    <col min="11802" max="11802" width="12.140625" style="585" customWidth="1"/>
    <col min="11803" max="11803" width="11" style="585" customWidth="1"/>
    <col min="11804" max="11804" width="12.140625" style="585" customWidth="1"/>
    <col min="11805" max="12048" width="9.140625" style="585"/>
    <col min="12049" max="12049" width="36.140625" style="585" customWidth="1"/>
    <col min="12050" max="12050" width="12.85546875" style="585" customWidth="1"/>
    <col min="12051" max="12051" width="12.140625" style="585" customWidth="1"/>
    <col min="12052" max="12052" width="12.5703125" style="585" customWidth="1"/>
    <col min="12053" max="12053" width="11.7109375" style="585" customWidth="1"/>
    <col min="12054" max="12054" width="12.140625" style="585" customWidth="1"/>
    <col min="12055" max="12055" width="11.140625" style="585" customWidth="1"/>
    <col min="12056" max="12056" width="12.42578125" style="585" customWidth="1"/>
    <col min="12057" max="12057" width="11.28515625" style="585" customWidth="1"/>
    <col min="12058" max="12058" width="12.140625" style="585" customWidth="1"/>
    <col min="12059" max="12059" width="11" style="585" customWidth="1"/>
    <col min="12060" max="12060" width="12.140625" style="585" customWidth="1"/>
    <col min="12061" max="12304" width="9.140625" style="585"/>
    <col min="12305" max="12305" width="36.140625" style="585" customWidth="1"/>
    <col min="12306" max="12306" width="12.85546875" style="585" customWidth="1"/>
    <col min="12307" max="12307" width="12.140625" style="585" customWidth="1"/>
    <col min="12308" max="12308" width="12.5703125" style="585" customWidth="1"/>
    <col min="12309" max="12309" width="11.7109375" style="585" customWidth="1"/>
    <col min="12310" max="12310" width="12.140625" style="585" customWidth="1"/>
    <col min="12311" max="12311" width="11.140625" style="585" customWidth="1"/>
    <col min="12312" max="12312" width="12.42578125" style="585" customWidth="1"/>
    <col min="12313" max="12313" width="11.28515625" style="585" customWidth="1"/>
    <col min="12314" max="12314" width="12.140625" style="585" customWidth="1"/>
    <col min="12315" max="12315" width="11" style="585" customWidth="1"/>
    <col min="12316" max="12316" width="12.140625" style="585" customWidth="1"/>
    <col min="12317" max="12560" width="9.140625" style="585"/>
    <col min="12561" max="12561" width="36.140625" style="585" customWidth="1"/>
    <col min="12562" max="12562" width="12.85546875" style="585" customWidth="1"/>
    <col min="12563" max="12563" width="12.140625" style="585" customWidth="1"/>
    <col min="12564" max="12564" width="12.5703125" style="585" customWidth="1"/>
    <col min="12565" max="12565" width="11.7109375" style="585" customWidth="1"/>
    <col min="12566" max="12566" width="12.140625" style="585" customWidth="1"/>
    <col min="12567" max="12567" width="11.140625" style="585" customWidth="1"/>
    <col min="12568" max="12568" width="12.42578125" style="585" customWidth="1"/>
    <col min="12569" max="12569" width="11.28515625" style="585" customWidth="1"/>
    <col min="12570" max="12570" width="12.140625" style="585" customWidth="1"/>
    <col min="12571" max="12571" width="11" style="585" customWidth="1"/>
    <col min="12572" max="12572" width="12.140625" style="585" customWidth="1"/>
    <col min="12573" max="12816" width="9.140625" style="585"/>
    <col min="12817" max="12817" width="36.140625" style="585" customWidth="1"/>
    <col min="12818" max="12818" width="12.85546875" style="585" customWidth="1"/>
    <col min="12819" max="12819" width="12.140625" style="585" customWidth="1"/>
    <col min="12820" max="12820" width="12.5703125" style="585" customWidth="1"/>
    <col min="12821" max="12821" width="11.7109375" style="585" customWidth="1"/>
    <col min="12822" max="12822" width="12.140625" style="585" customWidth="1"/>
    <col min="12823" max="12823" width="11.140625" style="585" customWidth="1"/>
    <col min="12824" max="12824" width="12.42578125" style="585" customWidth="1"/>
    <col min="12825" max="12825" width="11.28515625" style="585" customWidth="1"/>
    <col min="12826" max="12826" width="12.140625" style="585" customWidth="1"/>
    <col min="12827" max="12827" width="11" style="585" customWidth="1"/>
    <col min="12828" max="12828" width="12.140625" style="585" customWidth="1"/>
    <col min="12829" max="13072" width="9.140625" style="585"/>
    <col min="13073" max="13073" width="36.140625" style="585" customWidth="1"/>
    <col min="13074" max="13074" width="12.85546875" style="585" customWidth="1"/>
    <col min="13075" max="13075" width="12.140625" style="585" customWidth="1"/>
    <col min="13076" max="13076" width="12.5703125" style="585" customWidth="1"/>
    <col min="13077" max="13077" width="11.7109375" style="585" customWidth="1"/>
    <col min="13078" max="13078" width="12.140625" style="585" customWidth="1"/>
    <col min="13079" max="13079" width="11.140625" style="585" customWidth="1"/>
    <col min="13080" max="13080" width="12.42578125" style="585" customWidth="1"/>
    <col min="13081" max="13081" width="11.28515625" style="585" customWidth="1"/>
    <col min="13082" max="13082" width="12.140625" style="585" customWidth="1"/>
    <col min="13083" max="13083" width="11" style="585" customWidth="1"/>
    <col min="13084" max="13084" width="12.140625" style="585" customWidth="1"/>
    <col min="13085" max="13328" width="9.140625" style="585"/>
    <col min="13329" max="13329" width="36.140625" style="585" customWidth="1"/>
    <col min="13330" max="13330" width="12.85546875" style="585" customWidth="1"/>
    <col min="13331" max="13331" width="12.140625" style="585" customWidth="1"/>
    <col min="13332" max="13332" width="12.5703125" style="585" customWidth="1"/>
    <col min="13333" max="13333" width="11.7109375" style="585" customWidth="1"/>
    <col min="13334" max="13334" width="12.140625" style="585" customWidth="1"/>
    <col min="13335" max="13335" width="11.140625" style="585" customWidth="1"/>
    <col min="13336" max="13336" width="12.42578125" style="585" customWidth="1"/>
    <col min="13337" max="13337" width="11.28515625" style="585" customWidth="1"/>
    <col min="13338" max="13338" width="12.140625" style="585" customWidth="1"/>
    <col min="13339" max="13339" width="11" style="585" customWidth="1"/>
    <col min="13340" max="13340" width="12.140625" style="585" customWidth="1"/>
    <col min="13341" max="13584" width="9.140625" style="585"/>
    <col min="13585" max="13585" width="36.140625" style="585" customWidth="1"/>
    <col min="13586" max="13586" width="12.85546875" style="585" customWidth="1"/>
    <col min="13587" max="13587" width="12.140625" style="585" customWidth="1"/>
    <col min="13588" max="13588" width="12.5703125" style="585" customWidth="1"/>
    <col min="13589" max="13589" width="11.7109375" style="585" customWidth="1"/>
    <col min="13590" max="13590" width="12.140625" style="585" customWidth="1"/>
    <col min="13591" max="13591" width="11.140625" style="585" customWidth="1"/>
    <col min="13592" max="13592" width="12.42578125" style="585" customWidth="1"/>
    <col min="13593" max="13593" width="11.28515625" style="585" customWidth="1"/>
    <col min="13594" max="13594" width="12.140625" style="585" customWidth="1"/>
    <col min="13595" max="13595" width="11" style="585" customWidth="1"/>
    <col min="13596" max="13596" width="12.140625" style="585" customWidth="1"/>
    <col min="13597" max="13840" width="9.140625" style="585"/>
    <col min="13841" max="13841" width="36.140625" style="585" customWidth="1"/>
    <col min="13842" max="13842" width="12.85546875" style="585" customWidth="1"/>
    <col min="13843" max="13843" width="12.140625" style="585" customWidth="1"/>
    <col min="13844" max="13844" width="12.5703125" style="585" customWidth="1"/>
    <col min="13845" max="13845" width="11.7109375" style="585" customWidth="1"/>
    <col min="13846" max="13846" width="12.140625" style="585" customWidth="1"/>
    <col min="13847" max="13847" width="11.140625" style="585" customWidth="1"/>
    <col min="13848" max="13848" width="12.42578125" style="585" customWidth="1"/>
    <col min="13849" max="13849" width="11.28515625" style="585" customWidth="1"/>
    <col min="13850" max="13850" width="12.140625" style="585" customWidth="1"/>
    <col min="13851" max="13851" width="11" style="585" customWidth="1"/>
    <col min="13852" max="13852" width="12.140625" style="585" customWidth="1"/>
    <col min="13853" max="14096" width="9.140625" style="585"/>
    <col min="14097" max="14097" width="36.140625" style="585" customWidth="1"/>
    <col min="14098" max="14098" width="12.85546875" style="585" customWidth="1"/>
    <col min="14099" max="14099" width="12.140625" style="585" customWidth="1"/>
    <col min="14100" max="14100" width="12.5703125" style="585" customWidth="1"/>
    <col min="14101" max="14101" width="11.7109375" style="585" customWidth="1"/>
    <col min="14102" max="14102" width="12.140625" style="585" customWidth="1"/>
    <col min="14103" max="14103" width="11.140625" style="585" customWidth="1"/>
    <col min="14104" max="14104" width="12.42578125" style="585" customWidth="1"/>
    <col min="14105" max="14105" width="11.28515625" style="585" customWidth="1"/>
    <col min="14106" max="14106" width="12.140625" style="585" customWidth="1"/>
    <col min="14107" max="14107" width="11" style="585" customWidth="1"/>
    <col min="14108" max="14108" width="12.140625" style="585" customWidth="1"/>
    <col min="14109" max="14352" width="9.140625" style="585"/>
    <col min="14353" max="14353" width="36.140625" style="585" customWidth="1"/>
    <col min="14354" max="14354" width="12.85546875" style="585" customWidth="1"/>
    <col min="14355" max="14355" width="12.140625" style="585" customWidth="1"/>
    <col min="14356" max="14356" width="12.5703125" style="585" customWidth="1"/>
    <col min="14357" max="14357" width="11.7109375" style="585" customWidth="1"/>
    <col min="14358" max="14358" width="12.140625" style="585" customWidth="1"/>
    <col min="14359" max="14359" width="11.140625" style="585" customWidth="1"/>
    <col min="14360" max="14360" width="12.42578125" style="585" customWidth="1"/>
    <col min="14361" max="14361" width="11.28515625" style="585" customWidth="1"/>
    <col min="14362" max="14362" width="12.140625" style="585" customWidth="1"/>
    <col min="14363" max="14363" width="11" style="585" customWidth="1"/>
    <col min="14364" max="14364" width="12.140625" style="585" customWidth="1"/>
    <col min="14365" max="14608" width="9.140625" style="585"/>
    <col min="14609" max="14609" width="36.140625" style="585" customWidth="1"/>
    <col min="14610" max="14610" width="12.85546875" style="585" customWidth="1"/>
    <col min="14611" max="14611" width="12.140625" style="585" customWidth="1"/>
    <col min="14612" max="14612" width="12.5703125" style="585" customWidth="1"/>
    <col min="14613" max="14613" width="11.7109375" style="585" customWidth="1"/>
    <col min="14614" max="14614" width="12.140625" style="585" customWidth="1"/>
    <col min="14615" max="14615" width="11.140625" style="585" customWidth="1"/>
    <col min="14616" max="14616" width="12.42578125" style="585" customWidth="1"/>
    <col min="14617" max="14617" width="11.28515625" style="585" customWidth="1"/>
    <col min="14618" max="14618" width="12.140625" style="585" customWidth="1"/>
    <col min="14619" max="14619" width="11" style="585" customWidth="1"/>
    <col min="14620" max="14620" width="12.140625" style="585" customWidth="1"/>
    <col min="14621" max="14864" width="9.140625" style="585"/>
    <col min="14865" max="14865" width="36.140625" style="585" customWidth="1"/>
    <col min="14866" max="14866" width="12.85546875" style="585" customWidth="1"/>
    <col min="14867" max="14867" width="12.140625" style="585" customWidth="1"/>
    <col min="14868" max="14868" width="12.5703125" style="585" customWidth="1"/>
    <col min="14869" max="14869" width="11.7109375" style="585" customWidth="1"/>
    <col min="14870" max="14870" width="12.140625" style="585" customWidth="1"/>
    <col min="14871" max="14871" width="11.140625" style="585" customWidth="1"/>
    <col min="14872" max="14872" width="12.42578125" style="585" customWidth="1"/>
    <col min="14873" max="14873" width="11.28515625" style="585" customWidth="1"/>
    <col min="14874" max="14874" width="12.140625" style="585" customWidth="1"/>
    <col min="14875" max="14875" width="11" style="585" customWidth="1"/>
    <col min="14876" max="14876" width="12.140625" style="585" customWidth="1"/>
    <col min="14877" max="15120" width="9.140625" style="585"/>
    <col min="15121" max="15121" width="36.140625" style="585" customWidth="1"/>
    <col min="15122" max="15122" width="12.85546875" style="585" customWidth="1"/>
    <col min="15123" max="15123" width="12.140625" style="585" customWidth="1"/>
    <col min="15124" max="15124" width="12.5703125" style="585" customWidth="1"/>
    <col min="15125" max="15125" width="11.7109375" style="585" customWidth="1"/>
    <col min="15126" max="15126" width="12.140625" style="585" customWidth="1"/>
    <col min="15127" max="15127" width="11.140625" style="585" customWidth="1"/>
    <col min="15128" max="15128" width="12.42578125" style="585" customWidth="1"/>
    <col min="15129" max="15129" width="11.28515625" style="585" customWidth="1"/>
    <col min="15130" max="15130" width="12.140625" style="585" customWidth="1"/>
    <col min="15131" max="15131" width="11" style="585" customWidth="1"/>
    <col min="15132" max="15132" width="12.140625" style="585" customWidth="1"/>
    <col min="15133" max="15376" width="9.140625" style="585"/>
    <col min="15377" max="15377" width="36.140625" style="585" customWidth="1"/>
    <col min="15378" max="15378" width="12.85546875" style="585" customWidth="1"/>
    <col min="15379" max="15379" width="12.140625" style="585" customWidth="1"/>
    <col min="15380" max="15380" width="12.5703125" style="585" customWidth="1"/>
    <col min="15381" max="15381" width="11.7109375" style="585" customWidth="1"/>
    <col min="15382" max="15382" width="12.140625" style="585" customWidth="1"/>
    <col min="15383" max="15383" width="11.140625" style="585" customWidth="1"/>
    <col min="15384" max="15384" width="12.42578125" style="585" customWidth="1"/>
    <col min="15385" max="15385" width="11.28515625" style="585" customWidth="1"/>
    <col min="15386" max="15386" width="12.140625" style="585" customWidth="1"/>
    <col min="15387" max="15387" width="11" style="585" customWidth="1"/>
    <col min="15388" max="15388" width="12.140625" style="585" customWidth="1"/>
    <col min="15389" max="15632" width="9.140625" style="585"/>
    <col min="15633" max="15633" width="36.140625" style="585" customWidth="1"/>
    <col min="15634" max="15634" width="12.85546875" style="585" customWidth="1"/>
    <col min="15635" max="15635" width="12.140625" style="585" customWidth="1"/>
    <col min="15636" max="15636" width="12.5703125" style="585" customWidth="1"/>
    <col min="15637" max="15637" width="11.7109375" style="585" customWidth="1"/>
    <col min="15638" max="15638" width="12.140625" style="585" customWidth="1"/>
    <col min="15639" max="15639" width="11.140625" style="585" customWidth="1"/>
    <col min="15640" max="15640" width="12.42578125" style="585" customWidth="1"/>
    <col min="15641" max="15641" width="11.28515625" style="585" customWidth="1"/>
    <col min="15642" max="15642" width="12.140625" style="585" customWidth="1"/>
    <col min="15643" max="15643" width="11" style="585" customWidth="1"/>
    <col min="15644" max="15644" width="12.140625" style="585" customWidth="1"/>
    <col min="15645" max="15888" width="9.140625" style="585"/>
    <col min="15889" max="15889" width="36.140625" style="585" customWidth="1"/>
    <col min="15890" max="15890" width="12.85546875" style="585" customWidth="1"/>
    <col min="15891" max="15891" width="12.140625" style="585" customWidth="1"/>
    <col min="15892" max="15892" width="12.5703125" style="585" customWidth="1"/>
    <col min="15893" max="15893" width="11.7109375" style="585" customWidth="1"/>
    <col min="15894" max="15894" width="12.140625" style="585" customWidth="1"/>
    <col min="15895" max="15895" width="11.140625" style="585" customWidth="1"/>
    <col min="15896" max="15896" width="12.42578125" style="585" customWidth="1"/>
    <col min="15897" max="15897" width="11.28515625" style="585" customWidth="1"/>
    <col min="15898" max="15898" width="12.140625" style="585" customWidth="1"/>
    <col min="15899" max="15899" width="11" style="585" customWidth="1"/>
    <col min="15900" max="15900" width="12.140625" style="585" customWidth="1"/>
    <col min="15901" max="16144" width="9.140625" style="585"/>
    <col min="16145" max="16145" width="36.140625" style="585" customWidth="1"/>
    <col min="16146" max="16146" width="12.85546875" style="585" customWidth="1"/>
    <col min="16147" max="16147" width="12.140625" style="585" customWidth="1"/>
    <col min="16148" max="16148" width="12.5703125" style="585" customWidth="1"/>
    <col min="16149" max="16149" width="11.7109375" style="585" customWidth="1"/>
    <col min="16150" max="16150" width="12.140625" style="585" customWidth="1"/>
    <col min="16151" max="16151" width="11.140625" style="585" customWidth="1"/>
    <col min="16152" max="16152" width="12.42578125" style="585" customWidth="1"/>
    <col min="16153" max="16153" width="11.28515625" style="585" customWidth="1"/>
    <col min="16154" max="16154" width="12.140625" style="585" customWidth="1"/>
    <col min="16155" max="16155" width="11" style="585" customWidth="1"/>
    <col min="16156" max="16156" width="12.140625" style="585" customWidth="1"/>
    <col min="16157" max="16384" width="9.140625" style="585"/>
  </cols>
  <sheetData>
    <row r="1" spans="1:43" ht="43.5" customHeight="1">
      <c r="A1" s="1287" t="s">
        <v>1192</v>
      </c>
      <c r="B1" s="1287"/>
      <c r="C1" s="1287"/>
      <c r="D1" s="1287"/>
      <c r="E1" s="1287"/>
      <c r="F1" s="1287"/>
      <c r="G1" s="1287"/>
      <c r="H1" s="1287"/>
      <c r="I1" s="1287"/>
      <c r="J1" s="1287"/>
      <c r="K1" s="1287"/>
      <c r="L1" s="1287"/>
      <c r="M1" s="584"/>
      <c r="N1" s="584"/>
    </row>
    <row r="2" spans="1:43" ht="18" customHeight="1">
      <c r="A2" s="1288" t="s">
        <v>1099</v>
      </c>
      <c r="B2" s="1292" t="s">
        <v>1100</v>
      </c>
      <c r="C2" s="1285" t="s">
        <v>1101</v>
      </c>
      <c r="D2" s="1286"/>
      <c r="E2" s="1285" t="s">
        <v>1102</v>
      </c>
      <c r="F2" s="1286"/>
      <c r="G2" s="1285" t="s">
        <v>1103</v>
      </c>
      <c r="H2" s="1286"/>
      <c r="I2" s="1285" t="s">
        <v>1104</v>
      </c>
      <c r="J2" s="1286"/>
      <c r="K2" s="1285" t="s">
        <v>1105</v>
      </c>
      <c r="L2" s="1286"/>
      <c r="M2" s="1285" t="s">
        <v>1106</v>
      </c>
      <c r="N2" s="1286"/>
      <c r="O2" s="1285" t="s">
        <v>1107</v>
      </c>
      <c r="P2" s="1286"/>
      <c r="Q2" s="1285" t="s">
        <v>1174</v>
      </c>
      <c r="R2" s="1286"/>
      <c r="S2" s="1285" t="s">
        <v>1175</v>
      </c>
      <c r="T2" s="1286"/>
      <c r="U2" s="1285" t="s">
        <v>1176</v>
      </c>
      <c r="V2" s="1286"/>
      <c r="W2" s="1285" t="s">
        <v>1177</v>
      </c>
      <c r="X2" s="1286"/>
      <c r="Y2" s="1285" t="s">
        <v>1178</v>
      </c>
      <c r="Z2" s="1286"/>
      <c r="AA2" s="1285" t="s">
        <v>1179</v>
      </c>
      <c r="AB2" s="1286"/>
      <c r="AC2" s="1285" t="s">
        <v>1180</v>
      </c>
      <c r="AD2" s="1286"/>
      <c r="AE2" s="585">
        <v>2024</v>
      </c>
    </row>
    <row r="3" spans="1:43" ht="47.25">
      <c r="A3" s="1288"/>
      <c r="B3" s="1288"/>
      <c r="C3" s="586" t="s">
        <v>1108</v>
      </c>
      <c r="D3" s="586" t="s">
        <v>1109</v>
      </c>
      <c r="E3" s="586" t="s">
        <v>1108</v>
      </c>
      <c r="F3" s="586" t="s">
        <v>1110</v>
      </c>
      <c r="G3" s="586" t="s">
        <v>1108</v>
      </c>
      <c r="H3" s="586" t="s">
        <v>1112</v>
      </c>
      <c r="I3" s="586" t="s">
        <v>1111</v>
      </c>
      <c r="J3" s="586" t="s">
        <v>1114</v>
      </c>
      <c r="K3" s="586" t="s">
        <v>1113</v>
      </c>
      <c r="L3" s="586" t="s">
        <v>1115</v>
      </c>
      <c r="M3" s="586" t="s">
        <v>1113</v>
      </c>
      <c r="N3" s="586" t="s">
        <v>1116</v>
      </c>
      <c r="O3" s="586" t="s">
        <v>1113</v>
      </c>
      <c r="P3" s="586" t="s">
        <v>1117</v>
      </c>
      <c r="Q3" s="586" t="s">
        <v>1113</v>
      </c>
      <c r="R3" s="586" t="s">
        <v>1117</v>
      </c>
      <c r="S3" s="586" t="s">
        <v>1113</v>
      </c>
      <c r="T3" s="586" t="s">
        <v>1117</v>
      </c>
      <c r="U3" s="586" t="s">
        <v>1113</v>
      </c>
      <c r="V3" s="586" t="s">
        <v>1117</v>
      </c>
      <c r="W3" s="586" t="s">
        <v>1113</v>
      </c>
      <c r="X3" s="586" t="s">
        <v>1117</v>
      </c>
      <c r="Y3" s="586" t="s">
        <v>1113</v>
      </c>
      <c r="Z3" s="586" t="s">
        <v>1117</v>
      </c>
      <c r="AA3" s="586" t="s">
        <v>1113</v>
      </c>
      <c r="AB3" s="586" t="s">
        <v>1117</v>
      </c>
      <c r="AC3" s="586" t="s">
        <v>1113</v>
      </c>
      <c r="AD3" s="586" t="s">
        <v>1117</v>
      </c>
      <c r="AF3" s="1285" t="s">
        <v>1102</v>
      </c>
      <c r="AG3" s="1286"/>
      <c r="AH3" s="1285" t="s">
        <v>1103</v>
      </c>
      <c r="AI3" s="1286"/>
      <c r="AJ3" s="1285" t="s">
        <v>1104</v>
      </c>
      <c r="AK3" s="1286"/>
      <c r="AL3" s="1285" t="s">
        <v>1105</v>
      </c>
      <c r="AM3" s="1286"/>
      <c r="AN3" s="1285" t="s">
        <v>1106</v>
      </c>
      <c r="AO3" s="1286"/>
      <c r="AP3" s="1285" t="s">
        <v>1107</v>
      </c>
      <c r="AQ3" s="1286"/>
    </row>
    <row r="4" spans="1:43" ht="36">
      <c r="A4" s="587" t="s">
        <v>1118</v>
      </c>
      <c r="B4" s="588" t="s">
        <v>1119</v>
      </c>
      <c r="C4" s="589">
        <v>9982.6</v>
      </c>
      <c r="D4" s="589">
        <v>101.8</v>
      </c>
      <c r="E4" s="607">
        <v>10183.299999999999</v>
      </c>
      <c r="F4" s="589">
        <f>+E4/C4*100</f>
        <v>102.01049826698454</v>
      </c>
      <c r="G4" s="607">
        <v>10398.4</v>
      </c>
      <c r="H4" s="589">
        <f>+G4/E4*100</f>
        <v>102.11228187326309</v>
      </c>
      <c r="I4" s="607">
        <v>10614.691000000001</v>
      </c>
      <c r="J4" s="589">
        <f>+I4/G4*100</f>
        <v>102.0800411601785</v>
      </c>
      <c r="K4" s="606">
        <f>+I4*L4/100</f>
        <v>10837.599511</v>
      </c>
      <c r="L4" s="589">
        <v>102.1</v>
      </c>
      <c r="M4" s="606">
        <f>+K4*N4/100</f>
        <v>11076.026700242001</v>
      </c>
      <c r="N4" s="589">
        <v>102.2</v>
      </c>
      <c r="O4" s="606">
        <f>+M4*N4/100</f>
        <v>11319.699287647325</v>
      </c>
      <c r="P4" s="589">
        <v>102.2</v>
      </c>
      <c r="Q4" s="606">
        <f>+O4*P4/100</f>
        <v>11568.732671975566</v>
      </c>
      <c r="R4" s="589">
        <v>102.2</v>
      </c>
      <c r="S4" s="606">
        <f>+Q4*R4/100</f>
        <v>11823.244790759029</v>
      </c>
      <c r="T4" s="589">
        <v>102.2</v>
      </c>
      <c r="U4" s="606">
        <f>+S4*T4/100</f>
        <v>12083.356176155727</v>
      </c>
      <c r="V4" s="589">
        <v>102.2</v>
      </c>
      <c r="W4" s="606">
        <f>+U4*V4/100</f>
        <v>12349.190012031153</v>
      </c>
      <c r="X4" s="589">
        <v>102.3</v>
      </c>
      <c r="Y4" s="606">
        <f>+W4*X4/100</f>
        <v>12633.221382307869</v>
      </c>
      <c r="Z4" s="589">
        <v>102.4</v>
      </c>
      <c r="AA4" s="606">
        <f>+Y4*Z4/100</f>
        <v>12936.418695483258</v>
      </c>
      <c r="AB4" s="589">
        <v>102.3</v>
      </c>
      <c r="AC4" s="606">
        <f>+AA4*AB4/100</f>
        <v>13233.956325479374</v>
      </c>
      <c r="AD4" s="589">
        <v>102.3</v>
      </c>
      <c r="AE4" s="585">
        <v>10382.1</v>
      </c>
      <c r="AF4" s="591">
        <f>C4*D4/100</f>
        <v>10162.2868</v>
      </c>
      <c r="AG4" s="585">
        <f>E4/C4*100</f>
        <v>102.01049826698454</v>
      </c>
      <c r="AH4" s="591">
        <f>E4*F4/100</f>
        <v>10388.035070021835</v>
      </c>
      <c r="AI4" s="585">
        <f>G4/E4*100</f>
        <v>102.11228187326309</v>
      </c>
      <c r="AJ4" s="591">
        <f>G4*H4/100</f>
        <v>10618.043518309389</v>
      </c>
      <c r="AK4" s="585">
        <f>I4/G4*100</f>
        <v>102.0800411601785</v>
      </c>
      <c r="AL4" s="591">
        <f>I4*J4/100</f>
        <v>10835.480941825763</v>
      </c>
      <c r="AM4" s="585">
        <f>K4/I4*100</f>
        <v>102.1</v>
      </c>
      <c r="AN4" s="591">
        <f>K4*L4/100</f>
        <v>11065.189100730999</v>
      </c>
      <c r="AO4" s="585">
        <f>M4/K4*100</f>
        <v>102.2</v>
      </c>
      <c r="AP4" s="591">
        <f>M4*N4/100</f>
        <v>11319.699287647325</v>
      </c>
      <c r="AQ4" s="585">
        <f>O4/M4*100</f>
        <v>102.2</v>
      </c>
    </row>
    <row r="5" spans="1:43" ht="36">
      <c r="A5" s="587" t="s">
        <v>1120</v>
      </c>
      <c r="B5" s="588" t="s">
        <v>1121</v>
      </c>
      <c r="C5" s="589">
        <f>+GDP!AC2</f>
        <v>118181.70000000001</v>
      </c>
      <c r="D5" s="589">
        <f>+GDP!AC3</f>
        <v>108.03592118033602</v>
      </c>
      <c r="E5" s="589">
        <f>+GDP!AD2</f>
        <v>132781.90000000002</v>
      </c>
      <c r="F5" s="589">
        <f>+GDP!AD3</f>
        <v>108.31976837361451</v>
      </c>
      <c r="G5" s="590">
        <f>+GDP!AE2</f>
        <v>155783.9</v>
      </c>
      <c r="H5" s="589">
        <f>+GDP!AE3</f>
        <v>108.4291832644482</v>
      </c>
      <c r="I5" s="590">
        <f>+GDP!AF2</f>
        <v>176919</v>
      </c>
      <c r="J5" s="589">
        <f>+GDP!AF3</f>
        <v>108.43562605134716</v>
      </c>
      <c r="K5" s="590">
        <f>+GDP!AG2</f>
        <v>199898.1373681862</v>
      </c>
      <c r="L5" s="589">
        <f>+GDP!AG3</f>
        <v>108.49433156989561</v>
      </c>
      <c r="M5" s="590">
        <f>+GDP!AH2</f>
        <v>225457.20835606457</v>
      </c>
      <c r="N5" s="589">
        <f>+GDP!AH3</f>
        <v>108.43204362986133</v>
      </c>
      <c r="O5" s="617">
        <f>+GDP!AI2</f>
        <v>254610.40971193821</v>
      </c>
      <c r="P5" s="618">
        <f>+GDP!AI3</f>
        <v>108.5884711213525</v>
      </c>
      <c r="Q5" s="617">
        <f>GDP!AJ2</f>
        <v>290955.27502497676</v>
      </c>
      <c r="R5" s="618">
        <f>GDP!AJ3</f>
        <v>108.78200675581428</v>
      </c>
      <c r="S5" s="617">
        <f>GDP!AK2</f>
        <v>325987.59758401546</v>
      </c>
      <c r="T5" s="618">
        <f>GDP!AK3</f>
        <v>108.04843594512415</v>
      </c>
      <c r="U5" s="617">
        <f>GDP!AL2</f>
        <v>368330.80468772119</v>
      </c>
      <c r="V5" s="618">
        <f>+GDP!AL3</f>
        <v>108.54825631851573</v>
      </c>
      <c r="W5" s="617">
        <f>GDP!AM2</f>
        <v>413970.29228411877</v>
      </c>
      <c r="X5" s="618">
        <f>+GDP!AM3</f>
        <v>108.06837462699862</v>
      </c>
      <c r="Y5" s="617">
        <f>GDP!AN2</f>
        <v>460417.1837588718</v>
      </c>
      <c r="Z5" s="618">
        <f>+GDP!AN3</f>
        <v>108.10104640261854</v>
      </c>
      <c r="AA5" s="617">
        <f>GDP!AO2</f>
        <v>511101.7351686334</v>
      </c>
      <c r="AB5" s="618">
        <f>+GDP!AO3</f>
        <v>108.24890917885453</v>
      </c>
      <c r="AC5" s="617">
        <f>GDP!AP2</f>
        <v>568732.0579310552</v>
      </c>
      <c r="AD5" s="618">
        <f>+GDP!AP3</f>
        <v>108.60848412660823</v>
      </c>
      <c r="AE5" s="585">
        <v>153402.20000000001</v>
      </c>
      <c r="AF5" s="585" t="s">
        <v>358</v>
      </c>
    </row>
    <row r="6" spans="1:43">
      <c r="A6" s="592" t="s">
        <v>1122</v>
      </c>
      <c r="B6" s="588" t="s">
        <v>1123</v>
      </c>
      <c r="C6" s="589"/>
      <c r="D6" s="589">
        <f>+GDP!AC4</f>
        <v>108.22627671327531</v>
      </c>
      <c r="E6" s="589"/>
      <c r="F6" s="589">
        <f>+GDP!AD4</f>
        <v>103.72439807211711</v>
      </c>
      <c r="G6" s="589"/>
      <c r="H6" s="589">
        <f>+GDP!AE4</f>
        <v>108.20255272739531</v>
      </c>
      <c r="I6" s="589"/>
      <c r="J6" s="589">
        <f>+GDP!AF4</f>
        <v>106.43212434365169</v>
      </c>
      <c r="K6" s="589"/>
      <c r="L6" s="589">
        <f>+GDP!AG4</f>
        <v>104.1423139284166</v>
      </c>
      <c r="M6" s="589"/>
      <c r="N6" s="589">
        <f>+GDP!AH4</f>
        <v>104.11542184451834</v>
      </c>
      <c r="O6" s="618"/>
      <c r="P6" s="618">
        <f>+GDP!AI4</f>
        <v>103.99879613927943</v>
      </c>
      <c r="Q6" s="618"/>
      <c r="R6" s="618">
        <f>GDP!AJ4</f>
        <v>105.14926386330478</v>
      </c>
      <c r="S6" s="618"/>
      <c r="T6" s="618">
        <f>GDP!AK4</f>
        <v>103.99465173946309</v>
      </c>
      <c r="U6" s="618"/>
      <c r="V6" s="618">
        <f>+GDP!AL4</f>
        <v>104.0912234170238</v>
      </c>
      <c r="W6" s="618"/>
      <c r="X6" s="618">
        <f>+GDP!AM4</f>
        <v>103.99980249987213</v>
      </c>
      <c r="Y6" s="618"/>
      <c r="Z6" s="618">
        <f>+GDP!AN4</f>
        <v>102.88509198118591</v>
      </c>
      <c r="AA6" s="618"/>
      <c r="AB6" s="618">
        <f>+GDP!AO4</f>
        <v>102.54920611630706</v>
      </c>
      <c r="AC6" s="618"/>
      <c r="AD6" s="618">
        <f>+GDP!AP4</f>
        <v>102.45581242644181</v>
      </c>
    </row>
    <row r="7" spans="1:43">
      <c r="A7" s="592" t="s">
        <v>1124</v>
      </c>
      <c r="B7" s="588" t="s">
        <v>1123</v>
      </c>
      <c r="C7" s="589"/>
      <c r="D7" s="589">
        <f>+Monetary!AC15</f>
        <v>104.2</v>
      </c>
      <c r="E7" s="589"/>
      <c r="F7" s="589">
        <f>+Monetary!AD15</f>
        <v>103.8</v>
      </c>
      <c r="G7" s="589"/>
      <c r="H7" s="589">
        <f>Monetary!AE15</f>
        <v>103.6</v>
      </c>
      <c r="I7" s="589"/>
      <c r="J7" s="589">
        <f>Monetary!AF15</f>
        <v>103.5</v>
      </c>
      <c r="K7" s="589"/>
      <c r="L7" s="589">
        <f>Monetary!AG3</f>
        <v>103.9340651277351</v>
      </c>
      <c r="M7" s="589"/>
      <c r="N7" s="589">
        <f>Monetary!AH3</f>
        <v>104.0327205752226</v>
      </c>
      <c r="O7" s="618"/>
      <c r="P7" s="618">
        <f>Monetary!AI3</f>
        <v>103.79573354705161</v>
      </c>
      <c r="Q7" s="618"/>
      <c r="R7" s="618">
        <f>Monetary!AJ3</f>
        <v>103.90476385361526</v>
      </c>
      <c r="S7" s="618"/>
      <c r="T7" s="618">
        <f>Monetary!AK3</f>
        <v>104.0610370987884</v>
      </c>
      <c r="U7" s="618"/>
      <c r="V7" s="618">
        <f>Monetary!AL3</f>
        <v>104.42699610043036</v>
      </c>
      <c r="W7" s="618"/>
      <c r="X7" s="618">
        <f>Monetary!AM3</f>
        <v>104.43908669485012</v>
      </c>
      <c r="Y7" s="618"/>
      <c r="Z7" s="618">
        <f>Monetary!AN3</f>
        <v>104.16683736568076</v>
      </c>
      <c r="AA7" s="618"/>
      <c r="AB7" s="618">
        <f>Monetary!AO3</f>
        <v>103.79412840036173</v>
      </c>
      <c r="AC7" s="618"/>
      <c r="AD7" s="618">
        <f>Monetary!AP3</f>
        <v>104.06564674917327</v>
      </c>
    </row>
    <row r="8" spans="1:43">
      <c r="A8" s="592" t="s">
        <v>1125</v>
      </c>
      <c r="B8" s="588" t="s">
        <v>1126</v>
      </c>
      <c r="C8" s="589">
        <f>+C5/C4*1000</f>
        <v>11838.769458858413</v>
      </c>
      <c r="D8" s="589">
        <f>+C8/10312*100</f>
        <v>114.80575503159827</v>
      </c>
      <c r="E8" s="607">
        <f>+E5/E4*1000</f>
        <v>13039.181797649097</v>
      </c>
      <c r="F8" s="607">
        <f>+E8/C8*100</f>
        <v>110.13967155085082</v>
      </c>
      <c r="G8" s="590">
        <f>+G5/G4*1000</f>
        <v>14981.526004000616</v>
      </c>
      <c r="H8" s="589">
        <f>+G8/E8*100</f>
        <v>114.89621232753817</v>
      </c>
      <c r="I8" s="590">
        <f>+I5/I4*1000</f>
        <v>16667.371664422451</v>
      </c>
      <c r="J8" s="589">
        <f>+I8/G8*100</f>
        <v>111.25283005196968</v>
      </c>
      <c r="K8" s="590">
        <f>+K5/K4*1000</f>
        <v>18444.872147682945</v>
      </c>
      <c r="L8" s="589">
        <f>+K8/I8*100</f>
        <v>110.66455179045825</v>
      </c>
      <c r="M8" s="590">
        <f>+M5/M4*1000</f>
        <v>20355.422974119279</v>
      </c>
      <c r="N8" s="589">
        <f>+M8/K8*100</f>
        <v>110.35816790238006</v>
      </c>
      <c r="O8" s="590">
        <f>+O5/O4*1000</f>
        <v>22492.683174877533</v>
      </c>
      <c r="P8" s="589">
        <f>+O8/M8*100</f>
        <v>110.49970911179616</v>
      </c>
      <c r="Q8" s="590">
        <f>+Q5/Q4*1000</f>
        <v>25150.142481016548</v>
      </c>
      <c r="R8" s="589">
        <f>+Q8/O8*100</f>
        <v>111.81477232163736</v>
      </c>
      <c r="S8" s="590">
        <f>+S5/S4*1000</f>
        <v>27571.754061863394</v>
      </c>
      <c r="T8" s="589">
        <f>+S8/Q8*100</f>
        <v>109.62861972919116</v>
      </c>
      <c r="U8" s="590">
        <f>+U5/U4*1000</f>
        <v>30482.491728130473</v>
      </c>
      <c r="V8" s="589">
        <f>+U8/S8*100</f>
        <v>110.55695499000966</v>
      </c>
      <c r="W8" s="590">
        <f>+W5/W4*1000</f>
        <v>33522.060303615843</v>
      </c>
      <c r="X8" s="589">
        <f>+W8/U8*100</f>
        <v>109.97152267798481</v>
      </c>
      <c r="Y8" s="590">
        <f>+Y5/Y4*1000</f>
        <v>36444.954918914089</v>
      </c>
      <c r="Z8" s="589">
        <f>+Y8/W8*100</f>
        <v>108.71931673896241</v>
      </c>
      <c r="AA8" s="590">
        <f>+AA5/AA4*1000</f>
        <v>39508.750234489875</v>
      </c>
      <c r="AB8" s="589">
        <f>+AA8/Y8*100</f>
        <v>108.40663768796637</v>
      </c>
      <c r="AC8" s="590">
        <f>+AC5/AC4*1000</f>
        <v>42975.210431673688</v>
      </c>
      <c r="AD8" s="589">
        <f>+AC8/AA8*100</f>
        <v>108.7739049618373</v>
      </c>
      <c r="AE8" s="589">
        <f>+AE5/AE4*1000</f>
        <v>14775.642692711495</v>
      </c>
    </row>
    <row r="9" spans="1:43" ht="31.5">
      <c r="A9" s="593" t="s">
        <v>1127</v>
      </c>
      <c r="B9" s="594" t="s">
        <v>1121</v>
      </c>
      <c r="C9" s="595">
        <f>Industry!AC4</f>
        <v>42221.4</v>
      </c>
      <c r="D9" s="595">
        <f>Industry!AC18</f>
        <v>115.4</v>
      </c>
      <c r="E9" s="608">
        <f>Industry!AD4</f>
        <v>46816</v>
      </c>
      <c r="F9" s="609">
        <f>Industry!AD18</f>
        <v>112</v>
      </c>
      <c r="G9" s="608">
        <f>Industry!AE4</f>
        <v>53818.999999999993</v>
      </c>
      <c r="H9" s="609">
        <f>Industry!AE18</f>
        <v>120</v>
      </c>
      <c r="I9" s="608">
        <f>+Industry!AF4</f>
        <v>66726.100000000006</v>
      </c>
      <c r="J9" s="609">
        <f>+Industry!AF18</f>
        <v>122.1</v>
      </c>
      <c r="K9" s="609">
        <f>+Industry!AG4</f>
        <v>83491.032306140944</v>
      </c>
      <c r="L9" s="609">
        <f>+Industry!AG18</f>
        <v>125.02096627281625</v>
      </c>
      <c r="M9" s="608">
        <f>+Industry!AH4</f>
        <v>104885.64945832182</v>
      </c>
      <c r="N9" s="609">
        <f>+Industry!AH18</f>
        <v>125.00010346903679</v>
      </c>
      <c r="O9" s="609">
        <f>+Industry!AI4</f>
        <v>131605.53347201648</v>
      </c>
      <c r="P9" s="609">
        <f>+Industry!AI18</f>
        <v>125.10772131494927</v>
      </c>
      <c r="Q9" s="608">
        <f>Industry!AJ4</f>
        <v>164803.16089586611</v>
      </c>
      <c r="R9" s="609">
        <f>Industry!AJ18</f>
        <v>125.07379530741514</v>
      </c>
      <c r="S9" s="608">
        <f>Industry!AK4</f>
        <v>167867.77460593067</v>
      </c>
      <c r="T9" s="609">
        <f>Industry!AK18</f>
        <v>119.95581243415236</v>
      </c>
      <c r="U9" s="608">
        <f>+Industry!AL4</f>
        <v>171881.25456641559</v>
      </c>
      <c r="V9" s="608">
        <f>+Industry!AL18</f>
        <v>119.92602525044774</v>
      </c>
      <c r="W9" s="608">
        <f>+Industry!AM4</f>
        <v>172762.8500399797</v>
      </c>
      <c r="X9" s="609">
        <f>+Industry!AM18</f>
        <v>120.07027383022358</v>
      </c>
      <c r="Y9" s="608">
        <f>+Industry!AN4</f>
        <v>196491.13487940727</v>
      </c>
      <c r="Z9" s="609">
        <f>+Industry!AN18</f>
        <v>111.30175408111008</v>
      </c>
      <c r="AA9" s="608">
        <f>+Industry!AO4</f>
        <v>216673.07420805254</v>
      </c>
      <c r="AB9" s="609">
        <f>+Industry!AO18</f>
        <v>109.17266964720974</v>
      </c>
      <c r="AC9" s="608">
        <f>+Industry!AP4</f>
        <v>241220.43643245698</v>
      </c>
      <c r="AD9" s="609">
        <f>+Industry!AP18</f>
        <v>122.33960441142446</v>
      </c>
    </row>
    <row r="10" spans="1:43" ht="36">
      <c r="A10" s="593" t="s">
        <v>1187</v>
      </c>
      <c r="B10" s="594" t="s">
        <v>1121</v>
      </c>
      <c r="C10" s="595">
        <f>Industry!AC5</f>
        <v>8890.9</v>
      </c>
      <c r="D10" s="595">
        <f>Industry!AC19</f>
        <v>97.7</v>
      </c>
      <c r="E10" s="595">
        <f>Industry!AD5</f>
        <v>9373</v>
      </c>
      <c r="F10" s="609">
        <f>Industry!AD19</f>
        <v>111.7</v>
      </c>
      <c r="G10" s="595">
        <f>Industry!AE5</f>
        <v>13363.1</v>
      </c>
      <c r="H10" s="609">
        <f>Industry!AE19</f>
        <v>143</v>
      </c>
      <c r="I10" s="595">
        <f>Industry!AF5</f>
        <v>20000.2</v>
      </c>
      <c r="J10" s="609">
        <f>+Industry!AF19</f>
        <v>136.19999999999999</v>
      </c>
      <c r="K10" s="595">
        <f>Industry!AG5</f>
        <v>26754.531741408595</v>
      </c>
      <c r="L10" s="608">
        <f>+Industry!AG19</f>
        <v>121.23928485715143</v>
      </c>
      <c r="M10" s="595">
        <f>Industry!AH5</f>
        <v>29788.981375210191</v>
      </c>
      <c r="N10" s="609">
        <f>+Industry!AH19</f>
        <v>127.31864585181219</v>
      </c>
      <c r="O10" s="595">
        <f>Industry!AI5</f>
        <v>40744.261742567498</v>
      </c>
      <c r="P10" s="609">
        <f>+Industry!AI19</f>
        <v>157.14609258494852</v>
      </c>
      <c r="Q10" s="595">
        <f>Industry!AJ5</f>
        <v>48047.334517555668</v>
      </c>
      <c r="R10" s="609">
        <f>Industry!AJ19</f>
        <v>118.05098737819198</v>
      </c>
      <c r="S10" s="595">
        <f>Industry!AK5</f>
        <v>51160.518338924099</v>
      </c>
      <c r="T10" s="609">
        <f>Industry!AK19</f>
        <v>77.117570047060596</v>
      </c>
      <c r="U10" s="595">
        <f>Industry!AL5</f>
        <v>37883.054050213053</v>
      </c>
      <c r="V10" s="609">
        <f>+Industry!AL19</f>
        <v>72.072546386405634</v>
      </c>
      <c r="W10" s="595">
        <f>Industry!AM5</f>
        <v>26182.762309147718</v>
      </c>
      <c r="X10" s="609">
        <f>+Industry!AM19</f>
        <v>67.986265370186331</v>
      </c>
      <c r="Y10" s="595">
        <f>Industry!AN5</f>
        <v>30415.986988575227</v>
      </c>
      <c r="Z10" s="609">
        <f>+Industry!AN19</f>
        <v>117.51327175308901</v>
      </c>
      <c r="AA10" s="595">
        <f>Industry!AO5</f>
        <v>36342.376666143347</v>
      </c>
      <c r="AB10" s="609">
        <f>+Industry!AO19</f>
        <v>119.45571309683619</v>
      </c>
      <c r="AC10" s="595">
        <f>Industry!AP5</f>
        <v>43559.3058322371</v>
      </c>
      <c r="AD10" s="609">
        <f>+Industry!AP19</f>
        <v>119.8637006731132</v>
      </c>
    </row>
    <row r="11" spans="1:43" ht="31.5">
      <c r="A11" s="593" t="s">
        <v>1188</v>
      </c>
      <c r="B11" s="594" t="s">
        <v>1121</v>
      </c>
      <c r="C11" s="595">
        <f>Industry!AC8</f>
        <v>25708.7</v>
      </c>
      <c r="D11" s="595">
        <f>Industry!AC22</f>
        <v>116.4</v>
      </c>
      <c r="E11" s="595">
        <f>Industry!AD8</f>
        <v>28459.8</v>
      </c>
      <c r="F11" s="609">
        <f>Industry!AD22</f>
        <v>112.4</v>
      </c>
      <c r="G11" s="595">
        <f>Industry!AE8</f>
        <v>30275.599999999999</v>
      </c>
      <c r="H11" s="609">
        <f>Industry!AE22</f>
        <v>107.6</v>
      </c>
      <c r="I11" s="595">
        <f>Industry!AF8</f>
        <v>34595.4</v>
      </c>
      <c r="J11" s="609">
        <f>+Industry!AF22</f>
        <v>110.5</v>
      </c>
      <c r="K11" s="595">
        <f>Industry!AG8</f>
        <v>43621.320067966401</v>
      </c>
      <c r="L11" s="608">
        <f>+Industry!AG22</f>
        <v>132.91232080012878</v>
      </c>
      <c r="M11" s="595">
        <f>Industry!AH8</f>
        <v>60339.771492344909</v>
      </c>
      <c r="N11" s="609">
        <f>+Industry!AH22</f>
        <v>127.14443299873152</v>
      </c>
      <c r="O11" s="595">
        <f>Industry!AI8</f>
        <v>73035.004445359795</v>
      </c>
      <c r="P11" s="609">
        <f>+Industry!AI22</f>
        <v>110.19672560929948</v>
      </c>
      <c r="Q11" s="595">
        <f>Industry!AJ8</f>
        <v>95177.14810210072</v>
      </c>
      <c r="R11" s="609">
        <f>Industry!AJ22</f>
        <v>129.91494320209819</v>
      </c>
      <c r="S11" s="595">
        <f>Industry!AK8</f>
        <v>93137.600420206843</v>
      </c>
      <c r="T11" s="609">
        <f>Industry!AK22</f>
        <v>143.9584800044311</v>
      </c>
      <c r="U11" s="595">
        <f>Industry!AL8</f>
        <v>108597.03876551773</v>
      </c>
      <c r="V11" s="609">
        <f>+Industry!AL22</f>
        <v>149.21788693588729</v>
      </c>
      <c r="W11" s="595">
        <f>Industry!AM8</f>
        <v>119233.47531193127</v>
      </c>
      <c r="X11" s="609">
        <f>+Industry!AM22</f>
        <v>141.07613629143407</v>
      </c>
      <c r="Y11" s="595">
        <f>Industry!AN8</f>
        <v>136686.92637279021</v>
      </c>
      <c r="Z11" s="609">
        <f>+Industry!AN22</f>
        <v>110.79750474273503</v>
      </c>
      <c r="AA11" s="595">
        <f>Industry!AO8</f>
        <v>148738.68210948393</v>
      </c>
      <c r="AB11" s="609">
        <f>+Industry!AO22</f>
        <v>107.23611508915199</v>
      </c>
      <c r="AC11" s="595">
        <f>Industry!AP8</f>
        <v>163710.01507056947</v>
      </c>
      <c r="AD11" s="609">
        <f>+Industry!AP22</f>
        <v>126.03136673787191</v>
      </c>
    </row>
    <row r="12" spans="1:43" ht="36">
      <c r="A12" s="593" t="s">
        <v>1189</v>
      </c>
      <c r="B12" s="594" t="s">
        <v>1121</v>
      </c>
      <c r="C12" s="595">
        <f>Industry!AC15</f>
        <v>7621.8</v>
      </c>
      <c r="D12" s="595">
        <f>Industry!AC29</f>
        <v>117.5</v>
      </c>
      <c r="E12" s="595">
        <f>Industry!AD15</f>
        <v>8983.2000000000007</v>
      </c>
      <c r="F12" s="609">
        <f>Industry!AD29</f>
        <v>107.1</v>
      </c>
      <c r="G12" s="595">
        <f>Industry!AE15+Industry!AE17</f>
        <v>10180.300000000001</v>
      </c>
      <c r="H12" s="609">
        <f>Industry!AE29</f>
        <v>105.7</v>
      </c>
      <c r="I12" s="595">
        <f>Industry!AF15+Industry!AF17</f>
        <v>12130.5</v>
      </c>
      <c r="J12" s="609">
        <f>+Industry!AF29</f>
        <v>113</v>
      </c>
      <c r="K12" s="595">
        <f>Industry!AG15+Industry!AG17</f>
        <v>13115.180496765961</v>
      </c>
      <c r="L12" s="1283">
        <f>+Industry!AG29+2</f>
        <v>110.22722005796955</v>
      </c>
      <c r="M12" s="595">
        <f>Industry!AH15+Industry!AH17</f>
        <v>14756.896590766721</v>
      </c>
      <c r="N12" s="609">
        <f>+Industry!AH29</f>
        <v>112.76928853806145</v>
      </c>
      <c r="O12" s="595">
        <f>Industry!AI15+Industry!AI17</f>
        <v>17826.267284089194</v>
      </c>
      <c r="P12" s="609">
        <f>+Industry!AI29</f>
        <v>121.29668523878343</v>
      </c>
      <c r="Q12" s="595">
        <f>Industry!AJ15+Industry!AJ17</f>
        <v>21578.678276209706</v>
      </c>
      <c r="R12" s="609">
        <f>Industry!AJ29</f>
        <v>121.19792219999404</v>
      </c>
      <c r="S12" s="595">
        <f>Industry!AK15+Industry!AK17</f>
        <v>23569.655846799709</v>
      </c>
      <c r="T12" s="609">
        <f>Industry!AK29</f>
        <v>109.22659648151406</v>
      </c>
      <c r="U12" s="595">
        <f>Industry!AL15+Industry!AL17</f>
        <v>25401.161750684802</v>
      </c>
      <c r="V12" s="609">
        <f>+Industry!AL29</f>
        <v>107.77060944712001</v>
      </c>
      <c r="W12" s="595">
        <f>Industry!AM15+Industry!AM17</f>
        <v>27346.61241890071</v>
      </c>
      <c r="X12" s="609">
        <f>+Industry!AM29</f>
        <v>107.65890429465676</v>
      </c>
      <c r="Y12" s="595">
        <f>Industry!AN15+Industry!AN17</f>
        <v>29388.221518041835</v>
      </c>
      <c r="Z12" s="609">
        <f>+Industry!AN29</f>
        <v>107.46567460666559</v>
      </c>
      <c r="AA12" s="595">
        <f>Industry!AO15+Industry!AO17</f>
        <v>31592.015432425251</v>
      </c>
      <c r="AB12" s="609">
        <f>+Industry!AO29</f>
        <v>107.49890194284291</v>
      </c>
      <c r="AC12" s="595">
        <f>Industry!AP15+Industry!AP17</f>
        <v>33951.1155296504</v>
      </c>
      <c r="AD12" s="609">
        <f>+Industry!AP29</f>
        <v>107.4673934693126</v>
      </c>
    </row>
    <row r="13" spans="1:43" ht="36">
      <c r="A13" s="593" t="s">
        <v>1128</v>
      </c>
      <c r="B13" s="594" t="s">
        <v>1121</v>
      </c>
      <c r="C13" s="595">
        <f>Agriculture!AC2</f>
        <v>61337.9</v>
      </c>
      <c r="D13" s="595">
        <f>Agriculture!AC3</f>
        <v>108</v>
      </c>
      <c r="E13" s="608">
        <f>+Agriculture!AD2</f>
        <v>66907.199999999997</v>
      </c>
      <c r="F13" s="609">
        <f>+Agriculture!AD3</f>
        <v>109</v>
      </c>
      <c r="G13" s="608">
        <f>+Agriculture!AE2</f>
        <v>73976.600000000006</v>
      </c>
      <c r="H13" s="609">
        <f>+Agriculture!AE3</f>
        <v>110.6</v>
      </c>
      <c r="I13" s="608">
        <f>+Agriculture!AF2</f>
        <v>84653.8</v>
      </c>
      <c r="J13" s="609">
        <f>+Agriculture!AF3</f>
        <v>109.5</v>
      </c>
      <c r="K13" s="608">
        <f>+Agriculture!AG2</f>
        <v>95155.364905574694</v>
      </c>
      <c r="L13" s="609">
        <f>+Agriculture!AG3</f>
        <v>108.91987241566737</v>
      </c>
      <c r="M13" s="608">
        <f>+Agriculture!AH2</f>
        <v>104591.33871634123</v>
      </c>
      <c r="N13" s="609">
        <f>+Agriculture!AH3</f>
        <v>108.61303019155473</v>
      </c>
      <c r="O13" s="608">
        <f>Agriculture!AI2</f>
        <v>114715.98328108198</v>
      </c>
      <c r="P13" s="609">
        <f>+Agriculture!AI3</f>
        <v>108.27264962165613</v>
      </c>
      <c r="Q13" s="608">
        <f>Agriculture!AJ2</f>
        <v>125434.66879246393</v>
      </c>
      <c r="R13" s="609">
        <f>Agriculture!AJ3</f>
        <v>108.15397849978116</v>
      </c>
      <c r="S13" s="608">
        <f>Agriculture!AK2</f>
        <v>136949.66205418564</v>
      </c>
      <c r="T13" s="609">
        <f>+Agriculture!AK3</f>
        <v>108.3135637717354</v>
      </c>
      <c r="U13" s="608">
        <f>Agriculture!AL2</f>
        <v>148095.74720289503</v>
      </c>
      <c r="V13" s="609">
        <f>+Agriculture!AL3</f>
        <v>107.60081494935515</v>
      </c>
      <c r="W13" s="608">
        <f>Agriculture!AM2</f>
        <v>159589.22939203866</v>
      </c>
      <c r="X13" s="609">
        <f>+Agriculture!AM3</f>
        <v>107.54575403019618</v>
      </c>
      <c r="Y13" s="608">
        <f>Agriculture!AN2</f>
        <v>172013.1801808544</v>
      </c>
      <c r="Z13" s="609">
        <f>+Agriculture!AN3</f>
        <v>107.24871212600701</v>
      </c>
      <c r="AA13" s="608">
        <f>Agriculture!AO2</f>
        <v>184982.76954834524</v>
      </c>
      <c r="AB13" s="609">
        <f>+Agriculture!AO3</f>
        <v>107.00485687696262</v>
      </c>
      <c r="AC13" s="608">
        <f>Agriculture!AP2</f>
        <v>199395.93071211304</v>
      </c>
      <c r="AD13" s="609">
        <f>+Agriculture!AP3</f>
        <v>107.25534688487758</v>
      </c>
    </row>
    <row r="14" spans="1:43" ht="31.5">
      <c r="A14" s="593" t="s">
        <v>1190</v>
      </c>
      <c r="B14" s="594" t="s">
        <v>1121</v>
      </c>
      <c r="C14" s="595">
        <f>Agriculture!AC5</f>
        <v>42115</v>
      </c>
      <c r="D14" s="595">
        <f>Agriculture!AC6</f>
        <v>107.7</v>
      </c>
      <c r="E14" s="608">
        <f>+Agriculture!AD5</f>
        <v>44976.1</v>
      </c>
      <c r="F14" s="609">
        <f>+Agriculture!AD6</f>
        <v>106.8</v>
      </c>
      <c r="G14" s="608">
        <f>+Agriculture!AE5</f>
        <v>50984.9</v>
      </c>
      <c r="H14" s="609">
        <f>+Agriculture!AE6</f>
        <v>113.4</v>
      </c>
      <c r="I14" s="608">
        <f>+Agriculture!AF5</f>
        <v>56588</v>
      </c>
      <c r="J14" s="609">
        <f>+Agriculture!AF6</f>
        <v>109.9</v>
      </c>
      <c r="K14" s="608">
        <f>+Agriculture!AG5</f>
        <v>61242.178263449699</v>
      </c>
      <c r="L14" s="609">
        <f>+Agriculture!AG6</f>
        <v>107.25933948574951</v>
      </c>
      <c r="M14" s="608">
        <f>+Agriculture!AH5</f>
        <v>66836.043930076368</v>
      </c>
      <c r="N14" s="609">
        <f>+Agriculture!AH6</f>
        <v>106.99412581783922</v>
      </c>
      <c r="O14" s="608">
        <f>Agriculture!AI5</f>
        <v>72556.837504824551</v>
      </c>
      <c r="P14" s="609">
        <f>+Agriculture!AI6</f>
        <v>108.34275821834399</v>
      </c>
      <c r="Q14" s="608">
        <f>Agriculture!AJ5</f>
        <v>78788.347222391312</v>
      </c>
      <c r="R14" s="609">
        <f>Agriculture!AJ6</f>
        <v>107.51331957024452</v>
      </c>
      <c r="S14" s="608">
        <f>Agriculture!AK5</f>
        <v>85058.319781999962</v>
      </c>
      <c r="T14" s="609">
        <f>+Agriculture!AK6</f>
        <v>107.42089032886649</v>
      </c>
      <c r="U14" s="608">
        <f>Agriculture!AL5</f>
        <v>90393.17158246602</v>
      </c>
      <c r="V14" s="609">
        <f>+Agriculture!AL6</f>
        <v>105.74327654417797</v>
      </c>
      <c r="W14" s="608">
        <f>Agriculture!AM5</f>
        <v>95752.602340394369</v>
      </c>
      <c r="X14" s="609">
        <f>+Agriculture!AM6</f>
        <v>105.61218514399904</v>
      </c>
      <c r="Y14" s="608">
        <f>Agriculture!AN5</f>
        <v>100785.75325530593</v>
      </c>
      <c r="Z14" s="609">
        <f>+Agriculture!AN6</f>
        <v>104.94158685842078</v>
      </c>
      <c r="AA14" s="608">
        <f>Agriculture!AO5</f>
        <v>105499.67246285305</v>
      </c>
      <c r="AB14" s="609">
        <f>+Agriculture!AO6</f>
        <v>104.4682317426262</v>
      </c>
      <c r="AC14" s="608">
        <f>Agriculture!AP5</f>
        <v>109860.01776743868</v>
      </c>
      <c r="AD14" s="609">
        <f>+Agriculture!AP6</f>
        <v>101.29673303136077</v>
      </c>
    </row>
    <row r="15" spans="1:43" ht="31.5">
      <c r="A15" s="593" t="s">
        <v>1191</v>
      </c>
      <c r="B15" s="594" t="s">
        <v>1121</v>
      </c>
      <c r="C15" s="595">
        <f>Agriculture!AC8</f>
        <v>19222.900000000001</v>
      </c>
      <c r="D15" s="595">
        <f>Agriculture!AC9</f>
        <v>108.7</v>
      </c>
      <c r="E15" s="608">
        <f>+Agriculture!AD8</f>
        <v>21931.1</v>
      </c>
      <c r="F15" s="609">
        <f>+Agriculture!AD9</f>
        <v>114.1</v>
      </c>
      <c r="G15" s="608">
        <f>+Agriculture!AE8</f>
        <v>22991.7</v>
      </c>
      <c r="H15" s="609">
        <f>+Agriculture!AE9</f>
        <v>104.8</v>
      </c>
      <c r="I15" s="608">
        <f>+Agriculture!AF8</f>
        <v>28065.8</v>
      </c>
      <c r="J15" s="609">
        <f>+Agriculture!AF9</f>
        <v>108.5</v>
      </c>
      <c r="K15" s="608">
        <f>+Agriculture!AG8</f>
        <v>33724.206642124998</v>
      </c>
      <c r="L15" s="609">
        <f>+Agriculture!AG9</f>
        <v>107.4085</v>
      </c>
      <c r="M15" s="608">
        <f>+Agriculture!AH8</f>
        <v>37549.306586264844</v>
      </c>
      <c r="N15" s="609">
        <f>+Agriculture!AH9</f>
        <v>106.622</v>
      </c>
      <c r="O15" s="608">
        <f>Agriculture!AI8</f>
        <v>41934.824626457434</v>
      </c>
      <c r="P15" s="609">
        <f>+Agriculture!AI9</f>
        <v>104.4435</v>
      </c>
      <c r="Q15" s="608">
        <f>Agriculture!AJ8</f>
        <v>46401.587195640808</v>
      </c>
      <c r="R15" s="609">
        <f>Agriculture!AJ9</f>
        <v>103.5132</v>
      </c>
      <c r="S15" s="608">
        <f>Agriculture!AK8</f>
        <v>51624.557330617587</v>
      </c>
      <c r="T15" s="609">
        <f>+Agriculture!AK9</f>
        <v>105.0056</v>
      </c>
      <c r="U15" s="608">
        <f>Agriculture!AL8</f>
        <v>57411.246464236632</v>
      </c>
      <c r="V15" s="609">
        <f>+Agriculture!AL9</f>
        <v>105.44670000000001</v>
      </c>
      <c r="W15" s="608">
        <f>Agriculture!AM8</f>
        <v>63518.786942238425</v>
      </c>
      <c r="X15" s="609">
        <f>+Agriculture!AM9</f>
        <v>105.89700000000001</v>
      </c>
      <c r="Y15" s="608">
        <f>Agriculture!AN8</f>
        <v>70880.981206296085</v>
      </c>
      <c r="Z15" s="609">
        <f>+Agriculture!AN9</f>
        <v>107</v>
      </c>
      <c r="AA15" s="608">
        <f>Agriculture!AO8</f>
        <v>79106.510588664809</v>
      </c>
      <c r="AB15" s="609">
        <f>+Agriculture!AO9</f>
        <v>107</v>
      </c>
      <c r="AC15" s="608">
        <f>Agriculture!AP8</f>
        <v>89127.316595616678</v>
      </c>
      <c r="AD15" s="609">
        <f>+Agriculture!AP9</f>
        <v>108</v>
      </c>
    </row>
    <row r="16" spans="1:43" ht="54">
      <c r="A16" s="593" t="s">
        <v>1129</v>
      </c>
      <c r="B16" s="594" t="s">
        <v>1121</v>
      </c>
      <c r="C16" s="595">
        <v>16279.5</v>
      </c>
      <c r="D16" s="595">
        <v>111.4</v>
      </c>
      <c r="E16" s="608">
        <f>+OEA!AD22</f>
        <v>19859</v>
      </c>
      <c r="F16" s="596">
        <f>+E16/C16*100</f>
        <v>121.98777603734759</v>
      </c>
      <c r="G16" s="608">
        <f>OEA!AE22</f>
        <v>22543</v>
      </c>
      <c r="H16" s="609">
        <v>108.4</v>
      </c>
      <c r="I16" s="608">
        <f>OEA!AF22</f>
        <v>28736</v>
      </c>
      <c r="J16" s="596">
        <v>123</v>
      </c>
      <c r="K16" s="608">
        <f>OEA!AG22</f>
        <v>32767.971999999998</v>
      </c>
      <c r="L16" s="596">
        <f>+K16/I16*100</f>
        <v>114.03108296213809</v>
      </c>
      <c r="M16" s="608">
        <f>+OEA!AH22</f>
        <v>38923.921560000003</v>
      </c>
      <c r="N16" s="596">
        <f>+M16/K16*100</f>
        <v>118.78648321598908</v>
      </c>
      <c r="O16" s="608">
        <f>+OEA!AI22</f>
        <v>44524.430810400008</v>
      </c>
      <c r="P16" s="596">
        <f>+O16/M16*100</f>
        <v>114.38834790006192</v>
      </c>
      <c r="Q16" s="608">
        <f>OEA!AJ22</f>
        <v>51375.483912360003</v>
      </c>
      <c r="R16" s="596">
        <f>+Q16/O16*100</f>
        <v>115.3871772805678</v>
      </c>
      <c r="S16" s="608">
        <f>+OEA!AK22</f>
        <v>55564.061765779203</v>
      </c>
      <c r="T16" s="596">
        <f>+S16/Q16*100</f>
        <v>108.15287279933825</v>
      </c>
      <c r="U16" s="608">
        <f>+OEA!AL22</f>
        <v>63254.948836590629</v>
      </c>
      <c r="V16" s="596">
        <f>+U16/S16*100</f>
        <v>113.84147743415707</v>
      </c>
      <c r="W16" s="608">
        <f>+OEA!AM22</f>
        <v>73256.89332081945</v>
      </c>
      <c r="X16" s="596">
        <f>+W16/U16*100</f>
        <v>115.81211378427845</v>
      </c>
      <c r="Y16" s="608">
        <f>+OEA!AN22</f>
        <v>91342.98609508443</v>
      </c>
      <c r="Z16" s="596">
        <f>+Y16/W16*100</f>
        <v>124.68858827395148</v>
      </c>
      <c r="AA16" s="608">
        <f>+OEA!AO22</f>
        <v>114213.0994791697</v>
      </c>
      <c r="AB16" s="596">
        <f>+AA16/W16*100</f>
        <v>155.90764814307323</v>
      </c>
      <c r="AC16" s="608">
        <f>+OEA!AP22</f>
        <v>143190.44475016196</v>
      </c>
      <c r="AD16" s="596">
        <f>+AC16/Y16*100</f>
        <v>156.76129155785031</v>
      </c>
    </row>
    <row r="17" spans="1:41" ht="36">
      <c r="A17" s="593" t="s">
        <v>1130</v>
      </c>
      <c r="B17" s="594" t="s">
        <v>1121</v>
      </c>
      <c r="C17" s="595">
        <v>6736.9</v>
      </c>
      <c r="D17" s="595">
        <v>110.3</v>
      </c>
      <c r="E17" s="608">
        <f>+OEA!AD23</f>
        <v>7922.5</v>
      </c>
      <c r="F17" s="596">
        <f>+E17/C17*100</f>
        <v>117.5985987620419</v>
      </c>
      <c r="G17" s="608">
        <f>OEA!AE23</f>
        <v>9830.5</v>
      </c>
      <c r="H17" s="609">
        <v>118.5</v>
      </c>
      <c r="I17" s="608">
        <f>OEA!AF23</f>
        <v>13280.5</v>
      </c>
      <c r="J17" s="596">
        <v>130.4</v>
      </c>
      <c r="K17" s="608">
        <f>OEA!AG23</f>
        <v>14210.135</v>
      </c>
      <c r="L17" s="596">
        <f>+K17/I17*100</f>
        <v>107</v>
      </c>
      <c r="M17" s="608">
        <f>+OEA!AH23</f>
        <v>15631.148500000001</v>
      </c>
      <c r="N17" s="596">
        <f>+M17/K17*100</f>
        <v>110.00000000000001</v>
      </c>
      <c r="O17" s="608">
        <f>+OEA!AI23</f>
        <v>16881.640380000001</v>
      </c>
      <c r="P17" s="596">
        <f>+O17/M17*100</f>
        <v>108</v>
      </c>
      <c r="Q17" s="608">
        <f>OEA!AJ23</f>
        <v>18063.355206600001</v>
      </c>
      <c r="R17" s="596">
        <f>+Q17/O17*100</f>
        <v>107</v>
      </c>
      <c r="S17" s="608">
        <f>+OEA!AK23</f>
        <v>18785.889414864003</v>
      </c>
      <c r="T17" s="596">
        <f>+S17/Q17*100</f>
        <v>104</v>
      </c>
      <c r="U17" s="608">
        <f>+OEA!AL23</f>
        <v>19725.183885607203</v>
      </c>
      <c r="V17" s="596">
        <f>+U17/S17*100</f>
        <v>105</v>
      </c>
      <c r="W17" s="608">
        <f>+OEA!AM23</f>
        <v>21697.702274167925</v>
      </c>
      <c r="X17" s="596">
        <f>+W17/U17*100</f>
        <v>110.00000000000001</v>
      </c>
      <c r="Y17" s="608">
        <f>+OEA!AN23</f>
        <v>26037.242729001508</v>
      </c>
      <c r="Z17" s="596">
        <f>+Y17/W17*100</f>
        <v>120</v>
      </c>
      <c r="AA17" s="608">
        <f>+OEA!AO23</f>
        <v>31244.691274801808</v>
      </c>
      <c r="AB17" s="596">
        <f>+AA17/Y17*100</f>
        <v>120</v>
      </c>
      <c r="AC17" s="608">
        <f>+OEA!AP23</f>
        <v>37493.629529762169</v>
      </c>
      <c r="AD17" s="596">
        <f>+AC17/AA17*100</f>
        <v>120</v>
      </c>
    </row>
    <row r="18" spans="1:41" ht="36">
      <c r="A18" s="593" t="s">
        <v>1131</v>
      </c>
      <c r="B18" s="594" t="s">
        <v>1132</v>
      </c>
      <c r="C18" s="595">
        <v>2577</v>
      </c>
      <c r="D18" s="595"/>
      <c r="E18" s="601">
        <v>2690</v>
      </c>
      <c r="F18" s="597">
        <f>+E18/C18*100</f>
        <v>104.38494373302289</v>
      </c>
      <c r="G18" s="616">
        <f>OEA!AE34</f>
        <v>5126.6000000000004</v>
      </c>
      <c r="H18" s="615">
        <f>+G18/E18*100</f>
        <v>190.57992565055764</v>
      </c>
      <c r="I18" s="616">
        <f>OEA!AF34</f>
        <v>6925.3</v>
      </c>
      <c r="J18" s="615">
        <f>+I18/G18*100</f>
        <v>135.08563180275425</v>
      </c>
      <c r="K18" s="616">
        <f>OEA!AG34</f>
        <v>7624.7552999999998</v>
      </c>
      <c r="L18" s="615">
        <f>+K18/I18*100</f>
        <v>110.1</v>
      </c>
      <c r="M18" s="616">
        <f>OEA!AH34</f>
        <v>8562.6002018999989</v>
      </c>
      <c r="N18" s="615">
        <f>+M18/K18*100</f>
        <v>112.29999999999998</v>
      </c>
      <c r="O18" s="610">
        <f>OEA!AI34</f>
        <v>9598.6748263298996</v>
      </c>
      <c r="P18" s="615">
        <f>+O18/M18*100</f>
        <v>112.1</v>
      </c>
      <c r="Q18" s="610">
        <f>OEA!AJ34</f>
        <v>10769.713155142148</v>
      </c>
      <c r="R18" s="615">
        <f>+Q18/O18*100</f>
        <v>112.20000000000002</v>
      </c>
      <c r="S18" s="610">
        <f>OEA!AK34</f>
        <v>12094.387873224632</v>
      </c>
      <c r="T18" s="615">
        <f>+S18/Q18*100</f>
        <v>112.3</v>
      </c>
      <c r="U18" s="610">
        <f>OEA!AL34</f>
        <v>13545.71441801159</v>
      </c>
      <c r="V18" s="615">
        <f>+U18/S18*100</f>
        <v>112.00000000000001</v>
      </c>
      <c r="W18" s="610">
        <f>OEA!AM34</f>
        <v>15184.745862590993</v>
      </c>
      <c r="X18" s="615">
        <f>+W18/U18*100</f>
        <v>112.1</v>
      </c>
      <c r="Y18" s="610">
        <f>OEA!AN34</f>
        <v>17037.284857827097</v>
      </c>
      <c r="Z18" s="615">
        <f>+Y18/W18*100</f>
        <v>112.20000000000002</v>
      </c>
      <c r="AA18" s="610">
        <f>OEA!AO34</f>
        <v>19132.870895339831</v>
      </c>
      <c r="AB18" s="615">
        <f>+AA18/Y18*100</f>
        <v>112.3</v>
      </c>
      <c r="AC18" s="610">
        <f>OEA!AP34</f>
        <v>21428.815402780612</v>
      </c>
      <c r="AD18" s="615">
        <f>+AC18/AA18*100</f>
        <v>112.00000000000001</v>
      </c>
    </row>
    <row r="19" spans="1:41" ht="36">
      <c r="A19" s="593" t="s">
        <v>1133</v>
      </c>
      <c r="B19" s="594" t="s">
        <v>1121</v>
      </c>
      <c r="C19" s="598">
        <v>47563.4</v>
      </c>
      <c r="D19" s="598">
        <v>111.2</v>
      </c>
      <c r="E19" s="601">
        <f>+Household!AD3</f>
        <v>56124.4</v>
      </c>
      <c r="F19" s="602">
        <f>+Household!AD4</f>
        <v>113.4</v>
      </c>
      <c r="G19" s="601">
        <f>+Household!AE3</f>
        <v>65783.8</v>
      </c>
      <c r="H19" s="611">
        <f>+Household!AE4</f>
        <v>113.6</v>
      </c>
      <c r="I19" s="601">
        <f>+Household!AF3</f>
        <v>77307.100000000006</v>
      </c>
      <c r="J19" s="602">
        <f>+Household!AF4</f>
        <v>113.9</v>
      </c>
      <c r="K19" s="601">
        <f>+Household!AG3</f>
        <v>89946.541177669904</v>
      </c>
      <c r="L19" s="602">
        <f>+Household!AG4</f>
        <v>114.3279423781605</v>
      </c>
      <c r="M19" s="601">
        <f>+Household!AH3</f>
        <v>105319.77392904399</v>
      </c>
      <c r="N19" s="602">
        <f>+Household!AH4</f>
        <v>114.4652322077294</v>
      </c>
      <c r="O19" s="608">
        <f>+Household!AI3</f>
        <v>120054.47057104275</v>
      </c>
      <c r="P19" s="609">
        <f>+Household!AI4</f>
        <v>113.63166095807681</v>
      </c>
      <c r="Q19" s="608">
        <f>Household!AJ3</f>
        <v>138358.42123583407</v>
      </c>
      <c r="R19" s="609">
        <f>+Household!AJ4</f>
        <v>113.89224358350485</v>
      </c>
      <c r="S19" s="608">
        <f>+Household!AK3</f>
        <v>149157.7179315917</v>
      </c>
      <c r="T19" s="609">
        <f>+Household!AK4</f>
        <v>108.36872265199328</v>
      </c>
      <c r="U19" s="608">
        <f>+Household!AL3</f>
        <v>160879.07437051309</v>
      </c>
      <c r="V19" s="609">
        <f>+Household!AL4</f>
        <v>109.8489746524762</v>
      </c>
      <c r="W19" s="608">
        <f>+Household!AM3</f>
        <v>174656.34444130448</v>
      </c>
      <c r="X19" s="609">
        <f>+Household!AM4</f>
        <v>109.32916297519593</v>
      </c>
      <c r="Y19" s="608">
        <f>+Household!AN3</f>
        <v>194923.91701782183</v>
      </c>
      <c r="Z19" s="609">
        <f>+Household!AN4</f>
        <v>109.35302151139886</v>
      </c>
      <c r="AA19" s="608">
        <f>+Household!AO3</f>
        <v>210618.08386618146</v>
      </c>
      <c r="AB19" s="609">
        <f>+Household!AO4</f>
        <v>106.10895341643496</v>
      </c>
      <c r="AC19" s="608">
        <f>+Household!AP3</f>
        <v>228337.24860437328</v>
      </c>
      <c r="AD19" s="609">
        <f>+Household!AP4</f>
        <v>106.39788604260637</v>
      </c>
      <c r="AN19" s="585">
        <f>K18*L18/100</f>
        <v>8394.8555852999998</v>
      </c>
      <c r="AO19" s="585">
        <f>M18/K18*100</f>
        <v>112.29999999999998</v>
      </c>
    </row>
    <row r="20" spans="1:41" s="600" customFormat="1" ht="36">
      <c r="A20" s="599" t="s">
        <v>1134</v>
      </c>
      <c r="B20" s="594" t="s">
        <v>1121</v>
      </c>
      <c r="C20" s="598">
        <v>39586.199999999997</v>
      </c>
      <c r="D20" s="598">
        <v>110.2</v>
      </c>
      <c r="E20" s="601">
        <f>+Household!AD9</f>
        <v>47540.5</v>
      </c>
      <c r="F20" s="602">
        <f>+Household!AD11</f>
        <v>115.4</v>
      </c>
      <c r="G20" s="601">
        <f>+Household!AE9</f>
        <v>55663</v>
      </c>
      <c r="H20" s="611">
        <f>+Household!AE11</f>
        <v>113.5</v>
      </c>
      <c r="I20" s="601">
        <f>+Household!AF9</f>
        <v>65705.600000000006</v>
      </c>
      <c r="J20" s="602">
        <f>+Household!AF11</f>
        <v>114.4</v>
      </c>
      <c r="K20" s="601">
        <f>+Household!AG9</f>
        <v>78696.140877782163</v>
      </c>
      <c r="L20" s="602">
        <f>+Household!AG11</f>
        <v>113.99325954883291</v>
      </c>
      <c r="M20" s="601">
        <f>+Household!AH9</f>
        <v>91582.412112212172</v>
      </c>
      <c r="N20" s="602">
        <f>+Household!AH11</f>
        <v>114.21110359633519</v>
      </c>
      <c r="O20" s="608">
        <f>+Household!AI9</f>
        <v>104395.19180090674</v>
      </c>
      <c r="P20" s="609">
        <f>+Household!AI11</f>
        <v>113.29285214305288</v>
      </c>
      <c r="Q20" s="608">
        <f>Household!AJ9</f>
        <v>119274.50106537421</v>
      </c>
      <c r="R20" s="609">
        <f>+Household!AJ11</f>
        <v>113.47110306859477</v>
      </c>
      <c r="S20" s="608">
        <f>+Household!AK9</f>
        <v>129702.36341877539</v>
      </c>
      <c r="T20" s="609">
        <f>+Household!AK11</f>
        <v>108.2231716384932</v>
      </c>
      <c r="U20" s="608">
        <f>+Household!AL9</f>
        <v>139894.84727870702</v>
      </c>
      <c r="V20" s="609">
        <f>+Household!AL11</f>
        <v>107.54876769822792</v>
      </c>
      <c r="W20" s="608">
        <f>+Household!AM9</f>
        <v>151875.08212287346</v>
      </c>
      <c r="X20" s="609">
        <f>+Household!AM11</f>
        <v>107.27653819659493</v>
      </c>
      <c r="Y20" s="608">
        <f>+Household!AN9</f>
        <v>163801.61093934608</v>
      </c>
      <c r="Z20" s="609">
        <f>+Household!AN11</f>
        <v>103.74587966777594</v>
      </c>
      <c r="AA20" s="608">
        <f>+Household!AO9</f>
        <v>176989.98644216929</v>
      </c>
      <c r="AB20" s="609">
        <f>+Household!AO11</f>
        <v>104.16539073371999</v>
      </c>
      <c r="AC20" s="608">
        <f>+Household!AP9</f>
        <v>191880.04084401115</v>
      </c>
      <c r="AD20" s="609">
        <f>+Household!AP11</f>
        <v>104.45021841231811</v>
      </c>
    </row>
    <row r="21" spans="1:41" s="600" customFormat="1" ht="36">
      <c r="A21" s="593" t="s">
        <v>1135</v>
      </c>
      <c r="B21" s="594" t="s">
        <v>1121</v>
      </c>
      <c r="C21" s="598">
        <v>18696.8</v>
      </c>
      <c r="D21" s="598">
        <v>116</v>
      </c>
      <c r="E21" s="601">
        <f>+Household!AD15</f>
        <v>21760.3</v>
      </c>
      <c r="F21" s="602">
        <f>+Household!AD16</f>
        <v>114.1</v>
      </c>
      <c r="G21" s="601">
        <f>+Household!AE15</f>
        <v>25722.9</v>
      </c>
      <c r="H21" s="611">
        <f>+Household!AE16</f>
        <v>113</v>
      </c>
      <c r="I21" s="601">
        <f>+Household!AF15</f>
        <v>30470.2</v>
      </c>
      <c r="J21" s="602">
        <f>+Household!AF16</f>
        <v>113.2</v>
      </c>
      <c r="K21" s="601">
        <f>+Household!AG15</f>
        <v>35439.755165198461</v>
      </c>
      <c r="L21" s="602">
        <f>+Household!AG16</f>
        <v>114.9303940053814</v>
      </c>
      <c r="M21" s="601">
        <f>+Household!AH15</f>
        <v>41254.484715362232</v>
      </c>
      <c r="N21" s="602">
        <f>+Household!AH16</f>
        <v>113.901530110427</v>
      </c>
      <c r="O21" s="608">
        <f>+Household!AI15</f>
        <v>47612.182093920492</v>
      </c>
      <c r="P21" s="609">
        <f>+Household!AI16</f>
        <v>113.70534406322643</v>
      </c>
      <c r="Q21" s="608">
        <f>Household!AJ15</f>
        <v>51548.635208337779</v>
      </c>
      <c r="R21" s="609">
        <f>+Household!AJ16</f>
        <v>108.1595839667325</v>
      </c>
      <c r="S21" s="608">
        <f>+Household!AK15</f>
        <v>56661.403904945022</v>
      </c>
      <c r="T21" s="609">
        <f>+Household!AK16</f>
        <v>109.69894171168636</v>
      </c>
      <c r="U21" s="608">
        <f>+Household!AL15</f>
        <v>62425.439388689359</v>
      </c>
      <c r="V21" s="609">
        <f>+Household!AL16</f>
        <v>109.62464884840513</v>
      </c>
      <c r="W21" s="608">
        <f>+Household!AM15</f>
        <v>64323.564193216989</v>
      </c>
      <c r="X21" s="609">
        <f>+Household!AM16</f>
        <v>102.52798712780707</v>
      </c>
      <c r="Y21" s="608">
        <f>+Household!AN15</f>
        <v>76394.868967510149</v>
      </c>
      <c r="Z21" s="609">
        <f>+Household!AN16</f>
        <v>118.17565762402712</v>
      </c>
      <c r="AA21" s="608">
        <f>+Household!AO15</f>
        <v>87007.682410646259</v>
      </c>
      <c r="AB21" s="609">
        <f>+Household!AO16</f>
        <v>113.32542294904846</v>
      </c>
      <c r="AC21" s="608">
        <f>+Household!AP15</f>
        <v>83427.506834194428</v>
      </c>
      <c r="AD21" s="609">
        <f>+Household!AP16</f>
        <v>95.408178118512126</v>
      </c>
    </row>
    <row r="22" spans="1:41" ht="36">
      <c r="A22" s="599" t="s">
        <v>1136</v>
      </c>
      <c r="B22" s="594" t="s">
        <v>1121</v>
      </c>
      <c r="C22" s="598">
        <v>13866.9</v>
      </c>
      <c r="D22" s="598">
        <v>110.9</v>
      </c>
      <c r="E22" s="601">
        <f>+Household!AD18</f>
        <v>16740.8</v>
      </c>
      <c r="F22" s="602">
        <f>+Household!AD20</f>
        <v>118.4</v>
      </c>
      <c r="G22" s="601">
        <f>+Household!AE18</f>
        <v>19094.900000000001</v>
      </c>
      <c r="H22" s="611">
        <f>+Household!AE20</f>
        <v>109</v>
      </c>
      <c r="I22" s="601">
        <f>+Household!AF18</f>
        <v>22148.5</v>
      </c>
      <c r="J22" s="602">
        <f>+Household!AF20</f>
        <v>110.9</v>
      </c>
      <c r="K22" s="601">
        <f>+Household!AG18</f>
        <v>25868.434427152159</v>
      </c>
      <c r="L22" s="602">
        <f>+Household!AG20</f>
        <v>111.2337368956606</v>
      </c>
      <c r="M22" s="601">
        <f>+Household!AH18</f>
        <v>29679.485406735421</v>
      </c>
      <c r="N22" s="602">
        <f>+Household!AH20</f>
        <v>111.39071618971383</v>
      </c>
      <c r="O22" s="608">
        <f>+Household!AI18</f>
        <v>33529.70569994401</v>
      </c>
      <c r="P22" s="609">
        <f>+Household!AI20</f>
        <v>111.85412402147747</v>
      </c>
      <c r="Q22" s="608">
        <f>+Household!AJ18</f>
        <v>37085.349070746604</v>
      </c>
      <c r="R22" s="609">
        <f>+Household!AJ20</f>
        <v>110.49396347680587</v>
      </c>
      <c r="S22" s="608">
        <f>+Household!AK18</f>
        <v>40763.599931615128</v>
      </c>
      <c r="T22" s="609">
        <f>+Household!AK20</f>
        <v>108.83003920307897</v>
      </c>
      <c r="U22" s="608">
        <f>+Household!AL18</f>
        <v>43350.999575478723</v>
      </c>
      <c r="V22" s="609">
        <f>+Household!AL20</f>
        <v>105.81823743005772</v>
      </c>
      <c r="W22" s="608">
        <f>+Household!AM18</f>
        <v>45945.402995154996</v>
      </c>
      <c r="X22" s="609">
        <f>+Household!AM20</f>
        <v>103.906514685828</v>
      </c>
      <c r="Y22" s="608">
        <f>+Household!AN18</f>
        <v>50929.912645006763</v>
      </c>
      <c r="Z22" s="609">
        <f>+Household!AN20</f>
        <v>108.67526161895826</v>
      </c>
      <c r="AA22" s="608">
        <f>+Household!AO18</f>
        <v>58005.121607097506</v>
      </c>
      <c r="AB22" s="609">
        <f>+Household!AO20</f>
        <v>108.26240500360619</v>
      </c>
      <c r="AC22" s="608">
        <f>+Household!AP18</f>
        <v>64175.00525707264</v>
      </c>
      <c r="AD22" s="609">
        <f>+Household!AP20</f>
        <v>109.5413773904471</v>
      </c>
    </row>
    <row r="23" spans="1:41">
      <c r="A23" s="729" t="s">
        <v>1137</v>
      </c>
      <c r="B23" s="1289" t="s">
        <v>1132</v>
      </c>
      <c r="C23" s="602">
        <v>7309.5</v>
      </c>
      <c r="D23" s="602">
        <v>114.9</v>
      </c>
      <c r="E23" s="601">
        <f>+E24+E25</f>
        <v>8733.3590000000004</v>
      </c>
      <c r="F23" s="602">
        <f>+E23/C23*100</f>
        <v>119.47956768588823</v>
      </c>
      <c r="G23" s="602">
        <f>+G24+G25</f>
        <v>8955.1</v>
      </c>
      <c r="H23" s="602">
        <f>+G23/E23*100</f>
        <v>102.53901162198875</v>
      </c>
      <c r="I23" s="687">
        <f>+I24+I25</f>
        <v>10793.1</v>
      </c>
      <c r="J23" s="602">
        <f>+I23/G23*100</f>
        <v>120.52461725720538</v>
      </c>
      <c r="K23" s="688">
        <f>+K24+K25</f>
        <v>11021.821093391853</v>
      </c>
      <c r="L23" s="602">
        <f>+K23/I23*100</f>
        <v>102.1191417979251</v>
      </c>
      <c r="M23" s="688">
        <f>+M24+M25</f>
        <v>11200.54343210759</v>
      </c>
      <c r="N23" s="602">
        <f>+M23/K23*100</f>
        <v>101.62153184307165</v>
      </c>
      <c r="O23" s="688">
        <f>+O24+O25</f>
        <v>11336.519473618624</v>
      </c>
      <c r="P23" s="602">
        <f>+O23/M23*100</f>
        <v>101.2140128944212</v>
      </c>
      <c r="Q23" s="688">
        <f>+Q24+Q25</f>
        <v>11664.518684381677</v>
      </c>
      <c r="R23" s="602">
        <f>+Q23/O23*100</f>
        <v>102.89329729046331</v>
      </c>
      <c r="S23" s="688">
        <f>+S24+S25</f>
        <v>11979.383323665872</v>
      </c>
      <c r="T23" s="602">
        <f>+S23/Q23*100</f>
        <v>102.69933674765154</v>
      </c>
      <c r="U23" s="688">
        <f>+U24+U25</f>
        <v>11976.166589603115</v>
      </c>
      <c r="V23" s="602">
        <f>+U23/S23*100</f>
        <v>99.973147749129936</v>
      </c>
      <c r="W23" s="688">
        <f>+W24+W25</f>
        <v>12300.475923843846</v>
      </c>
      <c r="X23" s="602">
        <f>+W23/U23*100</f>
        <v>102.70795610443724</v>
      </c>
      <c r="Y23" s="688">
        <f>+Y24+Y25</f>
        <v>11840.392579337022</v>
      </c>
      <c r="Z23" s="602">
        <f>+Y23/W23*100</f>
        <v>96.259629730139338</v>
      </c>
      <c r="AA23" s="688">
        <f>+AA24+AA25</f>
        <v>11378.756557283907</v>
      </c>
      <c r="AB23" s="602">
        <f>+AA23/Y23*100</f>
        <v>96.101176384482983</v>
      </c>
      <c r="AC23" s="688">
        <f>+AC24+AC25</f>
        <v>13564.672488222486</v>
      </c>
      <c r="AD23" s="602">
        <f>+AC23/AA23*100</f>
        <v>119.21049914315378</v>
      </c>
    </row>
    <row r="24" spans="1:41">
      <c r="A24" s="729" t="s">
        <v>1138</v>
      </c>
      <c r="B24" s="1290"/>
      <c r="C24" s="602">
        <v>2142</v>
      </c>
      <c r="D24" s="602">
        <v>99.6</v>
      </c>
      <c r="E24" s="601">
        <f>Results!L31+Trade!AD4</f>
        <v>2104.9780000000001</v>
      </c>
      <c r="F24" s="602">
        <f>+E24/C24*100</f>
        <v>98.271615312791781</v>
      </c>
      <c r="G24" s="602">
        <f>Results!M31</f>
        <v>1947.5</v>
      </c>
      <c r="H24" s="602">
        <f>+G24/E24*100</f>
        <v>92.518781668977056</v>
      </c>
      <c r="I24" s="687">
        <f>Results!N31</f>
        <v>2487.9</v>
      </c>
      <c r="J24" s="602">
        <f>+I24/G24*100</f>
        <v>127.74839537869063</v>
      </c>
      <c r="K24" s="688">
        <f>Results!O31</f>
        <v>2672.7851308695854</v>
      </c>
      <c r="L24" s="602">
        <f>+K24/I24*100</f>
        <v>107.431373080493</v>
      </c>
      <c r="M24" s="688">
        <f>Results!P31</f>
        <v>2840.4586402822802</v>
      </c>
      <c r="N24" s="602">
        <f>+M24/K24*100</f>
        <v>106.27336284821902</v>
      </c>
      <c r="O24" s="689">
        <f>Results!Q31</f>
        <v>2973.4668221584402</v>
      </c>
      <c r="P24" s="602">
        <f>+O24/M24*100</f>
        <v>104.68263047346966</v>
      </c>
      <c r="Q24" s="689">
        <f>Results!R31</f>
        <v>3140.6395578060606</v>
      </c>
      <c r="R24" s="602">
        <f>+Q24/O24*100</f>
        <v>105.62214901480789</v>
      </c>
      <c r="S24" s="689">
        <f>Results!S31</f>
        <v>3298.4752801084705</v>
      </c>
      <c r="T24" s="602">
        <f>+S24/Q24*100</f>
        <v>105.02559174325208</v>
      </c>
      <c r="U24" s="689">
        <f>Results!T31</f>
        <v>3051.7187217447872</v>
      </c>
      <c r="V24" s="602">
        <f>+U24/S24*100</f>
        <v>92.519072073944159</v>
      </c>
      <c r="W24" s="689">
        <f>Results!U31</f>
        <v>3206.4233036194364</v>
      </c>
      <c r="X24" s="602">
        <f>+W24/U24*100</f>
        <v>105.06942467444046</v>
      </c>
      <c r="Y24" s="689">
        <f>Results!V31</f>
        <v>3486.8409223060944</v>
      </c>
      <c r="Z24" s="602">
        <f>+Y24/W24*100</f>
        <v>108.74549590411597</v>
      </c>
      <c r="AA24" s="689">
        <f>Results!W31</f>
        <v>3794.5847221810568</v>
      </c>
      <c r="AB24" s="602">
        <f>+AA24/Y24*100</f>
        <v>108.82586291523243</v>
      </c>
      <c r="AC24" s="689">
        <f>Results!X31</f>
        <v>4161.3641181863914</v>
      </c>
      <c r="AD24" s="602">
        <f>+AC24/AA24*100</f>
        <v>109.6658639313373</v>
      </c>
    </row>
    <row r="25" spans="1:41">
      <c r="A25" s="729" t="s">
        <v>1139</v>
      </c>
      <c r="B25" s="1291"/>
      <c r="C25" s="602">
        <v>5167.5</v>
      </c>
      <c r="D25" s="602">
        <v>122.8</v>
      </c>
      <c r="E25" s="601">
        <f>Results!L33+Trade!AD42</f>
        <v>6628.3810000000003</v>
      </c>
      <c r="F25" s="602">
        <f>+E25/C25*100</f>
        <v>128.27055636187711</v>
      </c>
      <c r="G25" s="602">
        <f>Results!M33</f>
        <v>7007.6</v>
      </c>
      <c r="H25" s="602">
        <f>+G25/E25*100</f>
        <v>105.72114065259677</v>
      </c>
      <c r="I25" s="687">
        <f>Results!N33</f>
        <v>8305.2000000000007</v>
      </c>
      <c r="J25" s="602">
        <f>+I25/G25*100</f>
        <v>118.5170386437582</v>
      </c>
      <c r="K25" s="688">
        <f>Results!O33</f>
        <v>8349.0359625222663</v>
      </c>
      <c r="L25" s="602">
        <f>+K25/I25*100</f>
        <v>100.52781344846922</v>
      </c>
      <c r="M25" s="688">
        <f>Results!P33</f>
        <v>8360.0847918253094</v>
      </c>
      <c r="N25" s="602">
        <f>+M25/K25*100</f>
        <v>100.13233658775265</v>
      </c>
      <c r="O25" s="689">
        <f>Results!Q33</f>
        <v>8363.0526514601843</v>
      </c>
      <c r="P25" s="602">
        <f>+O25/M25*100</f>
        <v>100.03550035327126</v>
      </c>
      <c r="Q25" s="689">
        <f>Results!R33</f>
        <v>8523.8791265756172</v>
      </c>
      <c r="R25" s="602">
        <f>+Q25/O25*100</f>
        <v>101.92305945948281</v>
      </c>
      <c r="S25" s="689">
        <f>Results!S33</f>
        <v>8680.9080435574015</v>
      </c>
      <c r="T25" s="602">
        <f>+S25/Q25*100</f>
        <v>101.84222364782487</v>
      </c>
      <c r="U25" s="689">
        <f>Results!T33</f>
        <v>8924.4478678583273</v>
      </c>
      <c r="V25" s="602">
        <f>+U25/S25*100</f>
        <v>102.80546485550749</v>
      </c>
      <c r="W25" s="689">
        <f>Results!U33</f>
        <v>9094.0526202244091</v>
      </c>
      <c r="X25" s="602">
        <f>+W25/U25*100</f>
        <v>101.90045092847613</v>
      </c>
      <c r="Y25" s="689">
        <f>Results!V33</f>
        <v>8353.5516570309264</v>
      </c>
      <c r="Z25" s="602">
        <f>+Y25/W25*100</f>
        <v>91.857305052901594</v>
      </c>
      <c r="AA25" s="689">
        <f>Results!W33</f>
        <v>7584.1718351028503</v>
      </c>
      <c r="AB25" s="602">
        <f>+AA25/Y25*100</f>
        <v>90.789787942706823</v>
      </c>
      <c r="AC25" s="689">
        <f>Results!X33</f>
        <v>9403.3083700360949</v>
      </c>
      <c r="AD25" s="602">
        <f>+AC25/AA25*100</f>
        <v>123.9859614798479</v>
      </c>
    </row>
    <row r="26" spans="1:41">
      <c r="A26" s="603"/>
    </row>
    <row r="27" spans="1:41">
      <c r="E27" s="604">
        <f>+G8-E8</f>
        <v>1942.3442063515195</v>
      </c>
      <c r="F27" s="604">
        <f t="shared" ref="F27:N27" si="0">+H8-F8</f>
        <v>4.7565407766873449</v>
      </c>
      <c r="G27" s="604">
        <f t="shared" si="0"/>
        <v>1685.8456604218354</v>
      </c>
      <c r="H27" s="604">
        <f t="shared" si="0"/>
        <v>-3.6433822755684844</v>
      </c>
      <c r="I27" s="604">
        <f t="shared" si="0"/>
        <v>1777.5004832604936</v>
      </c>
      <c r="J27" s="604">
        <f t="shared" si="0"/>
        <v>-0.5882782615114337</v>
      </c>
      <c r="K27" s="604">
        <f>+M8-K8</f>
        <v>1910.5508264363343</v>
      </c>
      <c r="L27" s="604">
        <f t="shared" si="0"/>
        <v>-0.30638388807818728</v>
      </c>
      <c r="M27" s="604">
        <f t="shared" si="0"/>
        <v>2137.2602007582536</v>
      </c>
      <c r="N27" s="604">
        <f t="shared" si="0"/>
        <v>0.14154120941610415</v>
      </c>
    </row>
    <row r="28" spans="1:41">
      <c r="I28" s="585">
        <f>3119*109.8</f>
        <v>342466.2</v>
      </c>
    </row>
    <row r="29" spans="1:41">
      <c r="E29" s="585">
        <f>+E24/E23*100</f>
        <v>24.10273069044797</v>
      </c>
      <c r="G29" s="585">
        <f>+G24/G23*100</f>
        <v>21.747384172147711</v>
      </c>
      <c r="I29" s="585">
        <f>+I24/I23*100</f>
        <v>23.050838035411513</v>
      </c>
      <c r="K29" s="585">
        <f>+K24/K23*100</f>
        <v>24.249941168724444</v>
      </c>
      <c r="M29" s="585">
        <f>+M24/M23*100</f>
        <v>25.360007373747536</v>
      </c>
    </row>
    <row r="30" spans="1:41">
      <c r="E30" s="585">
        <f>+E25/E23*100</f>
        <v>75.89726930955203</v>
      </c>
      <c r="G30" s="585">
        <f>+G25/G23*100</f>
        <v>78.252615827852296</v>
      </c>
      <c r="I30" s="585">
        <f>+I25/I23*100</f>
        <v>76.949161964588484</v>
      </c>
      <c r="K30" s="585">
        <f>+K25/K23*100</f>
        <v>75.750058831275553</v>
      </c>
      <c r="M30" s="585">
        <f>+M25/M23*100</f>
        <v>74.639992626252464</v>
      </c>
    </row>
    <row r="32" spans="1:41">
      <c r="C32" s="604">
        <f>C33+C34</f>
        <v>7013.8240000000005</v>
      </c>
      <c r="D32" s="604">
        <f t="shared" ref="D32:P32" si="1">D33+D34</f>
        <v>0</v>
      </c>
      <c r="E32" s="604">
        <f t="shared" si="1"/>
        <v>8036.4809999999998</v>
      </c>
      <c r="F32" s="604">
        <f t="shared" si="1"/>
        <v>232.83270635551941</v>
      </c>
      <c r="G32" s="604">
        <f t="shared" si="1"/>
        <v>8524.4879999999994</v>
      </c>
      <c r="H32" s="604">
        <f t="shared" si="1"/>
        <v>193.28926396799827</v>
      </c>
      <c r="I32" s="604">
        <f t="shared" si="1"/>
        <v>11393.136</v>
      </c>
      <c r="J32" s="604">
        <f t="shared" si="1"/>
        <v>286.7798447862985</v>
      </c>
      <c r="K32" s="604">
        <f t="shared" si="1"/>
        <v>11665.742183740324</v>
      </c>
      <c r="L32" s="604">
        <f t="shared" si="1"/>
        <v>208.48990763205009</v>
      </c>
      <c r="M32" s="604">
        <f t="shared" si="1"/>
        <v>12116.557542668475</v>
      </c>
      <c r="N32" s="604">
        <f t="shared" si="1"/>
        <v>209.31246314512086</v>
      </c>
      <c r="O32" s="604">
        <f t="shared" si="1"/>
        <v>12525.952792010956</v>
      </c>
      <c r="P32" s="604">
        <f t="shared" si="1"/>
        <v>207.58787083540295</v>
      </c>
      <c r="Q32" s="604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04"/>
      <c r="AC32" s="604"/>
      <c r="AD32" s="604"/>
    </row>
    <row r="33" spans="1:30" ht="40.5" customHeight="1">
      <c r="A33" s="593" t="s">
        <v>1142</v>
      </c>
      <c r="C33" s="605">
        <f>BoP!AC14</f>
        <v>1752.9</v>
      </c>
      <c r="E33" s="605">
        <f>BoP!AD14</f>
        <v>2105</v>
      </c>
      <c r="F33" s="602">
        <f>+E33/C33*100</f>
        <v>120.08671344628901</v>
      </c>
      <c r="G33" s="605">
        <f>BoP!AE14</f>
        <v>1617.5700000000002</v>
      </c>
      <c r="H33" s="602">
        <f>+G33/E33*100</f>
        <v>76.844180522565324</v>
      </c>
      <c r="I33" s="605">
        <f>BoP!AF14</f>
        <v>2573.297</v>
      </c>
      <c r="J33" s="602">
        <f>+I33/G33*100</f>
        <v>159.08412000717124</v>
      </c>
      <c r="K33" s="605">
        <f>BoP!AG14</f>
        <v>2769.4660644385394</v>
      </c>
      <c r="L33" s="602">
        <f>+K33/I33*100</f>
        <v>107.62325780656252</v>
      </c>
      <c r="M33" s="605">
        <f>BoP!AH14</f>
        <v>2940.1716603143595</v>
      </c>
      <c r="N33" s="602">
        <f>+M33/K33*100</f>
        <v>106.16384501214056</v>
      </c>
      <c r="O33" s="605">
        <f>BoP!AI14</f>
        <v>3075.4342686189498</v>
      </c>
      <c r="P33" s="602">
        <f>+O33/M33*100</f>
        <v>104.60050037657081</v>
      </c>
      <c r="Q33" s="766"/>
      <c r="R33" s="766"/>
      <c r="S33" s="766"/>
      <c r="T33" s="766"/>
      <c r="U33" s="766"/>
      <c r="V33" s="766"/>
      <c r="W33" s="766"/>
      <c r="X33" s="766"/>
      <c r="Y33" s="766"/>
      <c r="Z33" s="766"/>
      <c r="AA33" s="766"/>
      <c r="AB33" s="766"/>
      <c r="AC33" s="766"/>
      <c r="AD33" s="766"/>
    </row>
    <row r="34" spans="1:30" ht="36">
      <c r="A34" s="593" t="s">
        <v>1143</v>
      </c>
      <c r="C34" s="605">
        <f>BoP!AC15</f>
        <v>5260.924</v>
      </c>
      <c r="E34" s="605">
        <f>BoP!AD15</f>
        <v>5931.4809999999998</v>
      </c>
      <c r="F34" s="602">
        <f>+E34/C34*100</f>
        <v>112.7459929092304</v>
      </c>
      <c r="G34" s="605">
        <f>BoP!AE15</f>
        <v>6906.9179999999997</v>
      </c>
      <c r="H34" s="602">
        <f>+G34/E34*100</f>
        <v>116.44508344543294</v>
      </c>
      <c r="I34" s="605">
        <f>BoP!AF15</f>
        <v>8819.8389999999999</v>
      </c>
      <c r="J34" s="602">
        <f>+I34/G34*100</f>
        <v>127.69572477912725</v>
      </c>
      <c r="K34" s="605">
        <f>BoP!AG15</f>
        <v>8896.2761193017832</v>
      </c>
      <c r="L34" s="602">
        <f>+K34/I34*100</f>
        <v>100.86664982548757</v>
      </c>
      <c r="M34" s="605">
        <f>BoP!AH15</f>
        <v>9176.3858823541159</v>
      </c>
      <c r="N34" s="602">
        <f>+M34/K34*100</f>
        <v>103.1486181329803</v>
      </c>
      <c r="O34" s="605">
        <f>BoP!AI15</f>
        <v>9450.5185233920056</v>
      </c>
      <c r="P34" s="602">
        <f>+O34/M34*100</f>
        <v>102.98737045883213</v>
      </c>
      <c r="Q34" s="766"/>
      <c r="R34" s="766"/>
      <c r="S34" s="766"/>
      <c r="T34" s="766"/>
      <c r="U34" s="766"/>
      <c r="V34" s="766"/>
      <c r="W34" s="766"/>
      <c r="X34" s="766"/>
      <c r="Y34" s="766"/>
      <c r="Z34" s="766"/>
      <c r="AA34" s="766"/>
      <c r="AB34" s="766"/>
      <c r="AC34" s="766"/>
      <c r="AD34" s="766"/>
    </row>
  </sheetData>
  <mergeCells count="24">
    <mergeCell ref="B23:B25"/>
    <mergeCell ref="I2:J2"/>
    <mergeCell ref="K2:L2"/>
    <mergeCell ref="M2:N2"/>
    <mergeCell ref="C2:D2"/>
    <mergeCell ref="E2:F2"/>
    <mergeCell ref="G2:H2"/>
    <mergeCell ref="B2:B3"/>
    <mergeCell ref="A1:L1"/>
    <mergeCell ref="O2:P2"/>
    <mergeCell ref="Q2:R2"/>
    <mergeCell ref="S2:T2"/>
    <mergeCell ref="U2:V2"/>
    <mergeCell ref="A2:A3"/>
    <mergeCell ref="W2:X2"/>
    <mergeCell ref="Y2:Z2"/>
    <mergeCell ref="AA2:AB2"/>
    <mergeCell ref="AC2:AD2"/>
    <mergeCell ref="AF3:AG3"/>
    <mergeCell ref="AH3:AI3"/>
    <mergeCell ref="AJ3:AK3"/>
    <mergeCell ref="AL3:AM3"/>
    <mergeCell ref="AN3:AO3"/>
    <mergeCell ref="AP3:AQ3"/>
  </mergeCells>
  <pageMargins left="0.11811023622047245" right="0.11811023622047245" top="0.55118110236220474" bottom="0.55118110236220474" header="0.31496062992125984" footer="0.31496062992125984"/>
  <pageSetup paperSize="9" scale="65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L147"/>
  <sheetViews>
    <sheetView zoomScaleNormal="100" workbookViewId="0">
      <pane xSplit="3" ySplit="10" topLeftCell="AG98" activePane="bottomRight" state="frozen"/>
      <selection pane="topRight" activeCell="D1" sqref="D1"/>
      <selection pane="bottomLeft" activeCell="A11" sqref="A11"/>
      <selection pane="bottomRight" activeCell="AP101" sqref="AP101"/>
    </sheetView>
  </sheetViews>
  <sheetFormatPr defaultRowHeight="15"/>
  <cols>
    <col min="1" max="1" width="4.140625" customWidth="1"/>
    <col min="2" max="2" width="4.85546875" customWidth="1"/>
    <col min="3" max="3" width="31.42578125" style="156" customWidth="1"/>
    <col min="4" max="20" width="8.85546875" style="156" customWidth="1"/>
    <col min="21" max="21" width="9.140625" style="156" customWidth="1"/>
    <col min="39" max="39" width="10" bestFit="1" customWidth="1"/>
    <col min="45" max="45" width="9.140625" style="204"/>
    <col min="46" max="64" width="9.140625" style="156"/>
  </cols>
  <sheetData>
    <row r="1" spans="2:64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</row>
    <row r="2" spans="2:64" ht="18">
      <c r="B2" s="7" t="s">
        <v>621</v>
      </c>
      <c r="C2" s="155" t="s">
        <v>542</v>
      </c>
      <c r="D2" s="157">
        <v>518.4</v>
      </c>
      <c r="E2" s="157">
        <v>1025.2</v>
      </c>
      <c r="F2" s="808">
        <v>1345</v>
      </c>
      <c r="G2" s="788">
        <v>1786.8</v>
      </c>
      <c r="H2" s="788">
        <v>2563.8000000000002</v>
      </c>
      <c r="I2" s="788">
        <v>3375.3</v>
      </c>
      <c r="J2" s="788">
        <v>4761.5</v>
      </c>
      <c r="K2" s="788">
        <v>6167.2</v>
      </c>
      <c r="L2" s="259">
        <v>7206.5999999999995</v>
      </c>
      <c r="M2" s="259">
        <v>9335.3000000000011</v>
      </c>
      <c r="N2" s="259">
        <v>12804.3</v>
      </c>
      <c r="O2" s="259">
        <v>17706.900000000001</v>
      </c>
      <c r="P2" s="791">
        <v>20629</v>
      </c>
      <c r="Q2" s="792">
        <v>24707.100000000002</v>
      </c>
      <c r="R2" s="792">
        <v>30071.1</v>
      </c>
      <c r="S2" s="258">
        <v>36163.1</v>
      </c>
      <c r="T2" s="258">
        <v>40525.199999999997</v>
      </c>
      <c r="U2" s="258">
        <v>45606.6</v>
      </c>
      <c r="V2" s="197">
        <f t="shared" ref="V2:AP2" si="0">V13</f>
        <v>50977.399999999994</v>
      </c>
      <c r="W2" s="197">
        <f t="shared" si="0"/>
        <v>54790.299999999996</v>
      </c>
      <c r="X2" s="197">
        <f t="shared" si="0"/>
        <v>64434.3</v>
      </c>
      <c r="Y2" s="197">
        <f t="shared" si="0"/>
        <v>71059.199999999997</v>
      </c>
      <c r="Z2" s="197">
        <f t="shared" si="0"/>
        <v>79109.799999999988</v>
      </c>
      <c r="AA2" s="197">
        <f t="shared" si="0"/>
        <v>83958.3</v>
      </c>
      <c r="AB2" s="197">
        <f t="shared" si="0"/>
        <v>101076.30000000002</v>
      </c>
      <c r="AC2" s="197">
        <f t="shared" si="0"/>
        <v>118181.70000000001</v>
      </c>
      <c r="AD2" s="197">
        <f t="shared" si="0"/>
        <v>132781.90000000002</v>
      </c>
      <c r="AE2" s="197">
        <f t="shared" si="0"/>
        <v>155783.9</v>
      </c>
      <c r="AF2" s="198">
        <f t="shared" si="0"/>
        <v>176919</v>
      </c>
      <c r="AG2" s="198">
        <f t="shared" si="0"/>
        <v>199898.1373681862</v>
      </c>
      <c r="AH2" s="198">
        <f t="shared" si="0"/>
        <v>225457.20835606457</v>
      </c>
      <c r="AI2" s="198">
        <f t="shared" si="0"/>
        <v>254610.40971193821</v>
      </c>
      <c r="AJ2" s="198">
        <f t="shared" si="0"/>
        <v>290955.27502497676</v>
      </c>
      <c r="AK2" s="198">
        <f t="shared" si="0"/>
        <v>325987.59758401546</v>
      </c>
      <c r="AL2" s="198">
        <f t="shared" si="0"/>
        <v>368330.80468772119</v>
      </c>
      <c r="AM2" s="1267">
        <f t="shared" si="0"/>
        <v>413970.29228411877</v>
      </c>
      <c r="AN2" s="198">
        <f t="shared" si="0"/>
        <v>460417.1837588718</v>
      </c>
      <c r="AO2" s="198">
        <f t="shared" si="0"/>
        <v>511101.7351686334</v>
      </c>
      <c r="AP2" s="198">
        <f t="shared" si="0"/>
        <v>568732.0579310552</v>
      </c>
      <c r="AS2" t="s">
        <v>626</v>
      </c>
    </row>
    <row r="3" spans="2:64" ht="18">
      <c r="B3" s="7" t="s">
        <v>622</v>
      </c>
      <c r="C3" s="156" t="s">
        <v>543</v>
      </c>
      <c r="D3" s="157">
        <v>101.7</v>
      </c>
      <c r="E3" s="157">
        <v>105.3</v>
      </c>
      <c r="F3" s="808">
        <v>103.7</v>
      </c>
      <c r="G3" s="200">
        <v>108.3</v>
      </c>
      <c r="H3" s="200">
        <v>109.6</v>
      </c>
      <c r="I3" s="200">
        <v>110.8</v>
      </c>
      <c r="J3" s="200">
        <v>111.1</v>
      </c>
      <c r="K3" s="200">
        <v>110.3</v>
      </c>
      <c r="L3" s="199">
        <v>106.7</v>
      </c>
      <c r="M3" s="199">
        <v>107</v>
      </c>
      <c r="N3" s="199">
        <v>107.8</v>
      </c>
      <c r="O3" s="199">
        <v>107.9</v>
      </c>
      <c r="P3" s="199">
        <v>103.9</v>
      </c>
      <c r="Q3" s="199">
        <v>106.5</v>
      </c>
      <c r="R3" s="199">
        <v>107.4</v>
      </c>
      <c r="S3" s="199">
        <v>107.5</v>
      </c>
      <c r="T3" s="199">
        <v>107.4</v>
      </c>
      <c r="U3" s="199">
        <v>106.7</v>
      </c>
      <c r="V3" s="199">
        <f>V30</f>
        <v>106</v>
      </c>
      <c r="W3" s="199">
        <f t="shared" ref="W3:AP3" si="1">W30</f>
        <v>106.89999999999999</v>
      </c>
      <c r="X3" s="199">
        <f t="shared" si="1"/>
        <v>107.1</v>
      </c>
      <c r="Y3" s="199">
        <f t="shared" si="1"/>
        <v>106.95738760256572</v>
      </c>
      <c r="Z3" s="199">
        <f t="shared" si="1"/>
        <v>107.4424302553364</v>
      </c>
      <c r="AA3" s="199">
        <f t="shared" si="1"/>
        <v>104.63389377801489</v>
      </c>
      <c r="AB3" s="199">
        <f t="shared" si="1"/>
        <v>110.98124580893132</v>
      </c>
      <c r="AC3" s="199">
        <f t="shared" si="1"/>
        <v>108.03592118033602</v>
      </c>
      <c r="AD3" s="199">
        <f t="shared" si="1"/>
        <v>108.31976837361451</v>
      </c>
      <c r="AE3" s="199">
        <f t="shared" si="1"/>
        <v>108.4291832644482</v>
      </c>
      <c r="AF3" s="199">
        <f>AF30</f>
        <v>108.43562605134716</v>
      </c>
      <c r="AG3" s="200">
        <f t="shared" si="1"/>
        <v>108.49433156989561</v>
      </c>
      <c r="AH3" s="200">
        <f t="shared" si="1"/>
        <v>108.43204362986133</v>
      </c>
      <c r="AI3" s="200">
        <f t="shared" si="1"/>
        <v>108.5884711213525</v>
      </c>
      <c r="AJ3" s="200">
        <f t="shared" si="1"/>
        <v>108.78200675581428</v>
      </c>
      <c r="AK3" s="200">
        <f t="shared" si="1"/>
        <v>108.04843594512415</v>
      </c>
      <c r="AL3" s="200">
        <f t="shared" si="1"/>
        <v>108.54825631851573</v>
      </c>
      <c r="AM3" s="200">
        <f t="shared" si="1"/>
        <v>108.06837462699862</v>
      </c>
      <c r="AN3" s="200">
        <f t="shared" si="1"/>
        <v>108.10104640261854</v>
      </c>
      <c r="AO3" s="200">
        <f t="shared" si="1"/>
        <v>108.24890917885453</v>
      </c>
      <c r="AP3" s="200">
        <f t="shared" si="1"/>
        <v>108.60848412660823</v>
      </c>
      <c r="AS3" t="s">
        <v>627</v>
      </c>
      <c r="AT3" s="204"/>
    </row>
    <row r="4" spans="2:64" ht="18">
      <c r="B4" s="7" t="s">
        <v>623</v>
      </c>
      <c r="C4" s="156" t="s">
        <v>544</v>
      </c>
      <c r="D4" s="157">
        <v>165.22998809540883</v>
      </c>
      <c r="E4" s="157">
        <v>187.80849542166419</v>
      </c>
      <c r="F4" s="808">
        <v>126.51293479532744</v>
      </c>
      <c r="G4" s="200">
        <v>122.66628221894985</v>
      </c>
      <c r="H4" s="200">
        <v>130.91748246263353</v>
      </c>
      <c r="I4" s="200">
        <v>118.81970664596184</v>
      </c>
      <c r="J4" s="200">
        <v>126.97474529250097</v>
      </c>
      <c r="K4" s="200">
        <v>117.42720706056025</v>
      </c>
      <c r="L4" s="199">
        <v>109.51609889389134</v>
      </c>
      <c r="M4" s="199">
        <v>121.06373933966556</v>
      </c>
      <c r="N4" s="199">
        <v>127.23564656244146</v>
      </c>
      <c r="O4" s="199">
        <v>128.16376264122408</v>
      </c>
      <c r="P4" s="199">
        <v>112.12955373301864</v>
      </c>
      <c r="Q4" s="199">
        <v>112.4480169104208</v>
      </c>
      <c r="R4" s="199">
        <v>113.32435620195481</v>
      </c>
      <c r="S4" s="199">
        <v>111.86851503023107</v>
      </c>
      <c r="T4" s="199">
        <v>104.34105730386703</v>
      </c>
      <c r="U4" s="199">
        <v>105.47222559175718</v>
      </c>
      <c r="V4" s="199">
        <f t="shared" ref="V4:AD4" si="2">V64</f>
        <v>105.44940160514669</v>
      </c>
      <c r="W4" s="199">
        <f t="shared" si="2"/>
        <v>100.54217866635985</v>
      </c>
      <c r="X4" s="199">
        <f t="shared" si="2"/>
        <v>109.80546757006118</v>
      </c>
      <c r="Y4" s="199">
        <f t="shared" si="2"/>
        <v>103.10801169007861</v>
      </c>
      <c r="Z4" s="199">
        <f t="shared" si="2"/>
        <v>103.61774809722768</v>
      </c>
      <c r="AA4" s="199">
        <f t="shared" si="2"/>
        <v>101.42872414598965</v>
      </c>
      <c r="AB4" s="199">
        <f t="shared" si="2"/>
        <v>108.47660979185154</v>
      </c>
      <c r="AC4" s="199">
        <f t="shared" si="2"/>
        <v>108.22627671327531</v>
      </c>
      <c r="AD4" s="199">
        <f t="shared" si="2"/>
        <v>103.72439807211711</v>
      </c>
      <c r="AE4" s="199">
        <f>AE64</f>
        <v>108.20255272739531</v>
      </c>
      <c r="AF4" s="199">
        <f>AF64</f>
        <v>106.43212434365169</v>
      </c>
      <c r="AG4" s="200">
        <f>AG64</f>
        <v>104.1423139284166</v>
      </c>
      <c r="AH4" s="200">
        <f>AH64</f>
        <v>104.11542184451834</v>
      </c>
      <c r="AI4" s="200">
        <f>AI64</f>
        <v>103.99879613927943</v>
      </c>
      <c r="AJ4" s="200">
        <f t="shared" ref="AJ4:AP4" si="3">AJ64</f>
        <v>105.14926386330478</v>
      </c>
      <c r="AK4" s="200">
        <f t="shared" si="3"/>
        <v>103.99465173946309</v>
      </c>
      <c r="AL4" s="200">
        <f t="shared" si="3"/>
        <v>104.0912234170238</v>
      </c>
      <c r="AM4" s="200">
        <f t="shared" si="3"/>
        <v>103.99980249987213</v>
      </c>
      <c r="AN4" s="200">
        <f t="shared" si="3"/>
        <v>102.88509198118591</v>
      </c>
      <c r="AO4" s="200">
        <f t="shared" si="3"/>
        <v>102.54920611630706</v>
      </c>
      <c r="AP4" s="200">
        <f t="shared" si="3"/>
        <v>102.45581242644181</v>
      </c>
      <c r="AS4" t="s">
        <v>628</v>
      </c>
      <c r="AT4" s="204"/>
    </row>
    <row r="5" spans="2:64" ht="18.75">
      <c r="B5" s="7" t="s">
        <v>624</v>
      </c>
      <c r="C5" s="157" t="s">
        <v>545</v>
      </c>
      <c r="D5" s="807">
        <v>8495.6919273727799</v>
      </c>
      <c r="E5" s="807">
        <v>8945.9635995235367</v>
      </c>
      <c r="F5" s="809">
        <v>9276.9642527059077</v>
      </c>
      <c r="G5" s="789">
        <v>10046.952285680498</v>
      </c>
      <c r="H5" s="789">
        <v>11011.459705105824</v>
      </c>
      <c r="I5" s="789">
        <v>12200.697353257252</v>
      </c>
      <c r="J5" s="789">
        <v>13554.974759468805</v>
      </c>
      <c r="K5" s="789">
        <v>14951.137159694093</v>
      </c>
      <c r="L5" s="789">
        <v>15952.863349393598</v>
      </c>
      <c r="M5" s="789">
        <v>17069.56378385115</v>
      </c>
      <c r="N5" s="789">
        <v>18400.989758991542</v>
      </c>
      <c r="O5" s="789">
        <v>19854.667949951876</v>
      </c>
      <c r="P5" s="794">
        <v>20629</v>
      </c>
      <c r="Q5" s="795">
        <v>21969.884999999998</v>
      </c>
      <c r="R5" s="201">
        <v>23595.656489999998</v>
      </c>
      <c r="S5" s="201">
        <v>25365.330726749999</v>
      </c>
      <c r="T5" s="201">
        <v>27242.365200529501</v>
      </c>
      <c r="U5" s="201">
        <v>29067.603668964981</v>
      </c>
      <c r="V5" s="201">
        <f t="shared" ref="V5:AP5" si="4">V47</f>
        <v>30811.659889102881</v>
      </c>
      <c r="W5" s="201">
        <f t="shared" si="4"/>
        <v>32937.664421450972</v>
      </c>
      <c r="X5" s="201">
        <f t="shared" si="4"/>
        <v>35276.238595373987</v>
      </c>
      <c r="Y5" s="201">
        <f t="shared" si="4"/>
        <v>37730.543246060035</v>
      </c>
      <c r="Z5" s="201">
        <f t="shared" si="4"/>
        <v>40538.612612107594</v>
      </c>
      <c r="AA5" s="201">
        <f t="shared" si="4"/>
        <v>42417.128859633609</v>
      </c>
      <c r="AB5" s="201">
        <f t="shared" si="4"/>
        <v>47075.058044801124</v>
      </c>
      <c r="AC5" s="201">
        <f t="shared" si="4"/>
        <v>50857.972604878771</v>
      </c>
      <c r="AD5" s="201">
        <f t="shared" si="4"/>
        <v>55089.23812512101</v>
      </c>
      <c r="AE5" s="201">
        <f t="shared" si="4"/>
        <v>59732.81096567573</v>
      </c>
      <c r="AF5" s="201">
        <f t="shared" si="4"/>
        <v>64771.647528698224</v>
      </c>
      <c r="AG5" s="201">
        <f t="shared" si="4"/>
        <v>70273.566033069947</v>
      </c>
      <c r="AH5" s="201">
        <f t="shared" si="4"/>
        <v>76199.063781237812</v>
      </c>
      <c r="AI5" s="201">
        <f t="shared" si="4"/>
        <v>82743.398368830385</v>
      </c>
      <c r="AJ5" s="201">
        <f t="shared" si="4"/>
        <v>90009.929203571402</v>
      </c>
      <c r="AK5" s="201">
        <f t="shared" si="4"/>
        <v>97254.320699772448</v>
      </c>
      <c r="AL5" s="201">
        <f t="shared" si="4"/>
        <v>105567.8693140203</v>
      </c>
      <c r="AM5" s="201">
        <f t="shared" si="4"/>
        <v>114085.48049601578</v>
      </c>
      <c r="AN5" s="201">
        <f t="shared" si="4"/>
        <v>123327.59820964833</v>
      </c>
      <c r="AO5" s="201">
        <f t="shared" si="4"/>
        <v>133500.77977842485</v>
      </c>
      <c r="AP5" s="201">
        <f t="shared" si="4"/>
        <v>144993.17321454876</v>
      </c>
      <c r="AS5" t="s">
        <v>629</v>
      </c>
      <c r="AT5" s="204"/>
    </row>
    <row r="6" spans="2:64" ht="18.75">
      <c r="B6" s="7" t="s">
        <v>625</v>
      </c>
      <c r="C6" s="157" t="s">
        <v>546</v>
      </c>
      <c r="D6" s="157"/>
      <c r="E6" s="157"/>
      <c r="F6" s="808"/>
      <c r="G6" s="789">
        <v>147.60888816569724</v>
      </c>
      <c r="H6" s="789">
        <v>170.46641481383818</v>
      </c>
      <c r="I6" s="789">
        <v>187.4138966028126</v>
      </c>
      <c r="J6" s="789">
        <v>234.21412074794262</v>
      </c>
      <c r="K6" s="789">
        <v>306.17540784746751</v>
      </c>
      <c r="L6" s="789">
        <v>334.15137809507098</v>
      </c>
      <c r="M6" s="789">
        <v>400.65841319405627</v>
      </c>
      <c r="N6" s="789">
        <v>515.44860368389777</v>
      </c>
      <c r="O6" s="789">
        <v>702.80129597497285</v>
      </c>
      <c r="P6" s="789">
        <v>661.30181601383913</v>
      </c>
      <c r="Q6" s="199">
        <v>750.4</v>
      </c>
      <c r="R6" s="199">
        <v>845.64821242624078</v>
      </c>
      <c r="S6" s="199">
        <v>961.47143427047683</v>
      </c>
      <c r="T6" s="199">
        <v>1053.5032114520802</v>
      </c>
      <c r="U6" s="199">
        <v>1119.3134612656791</v>
      </c>
      <c r="V6">
        <f>V7/Assumptions!V12</f>
        <v>978.45729580663465</v>
      </c>
      <c r="W6">
        <f>W7/Assumptions!W12</f>
        <v>808.65536780846389</v>
      </c>
      <c r="X6">
        <f>X7/Assumptions!X12</f>
        <v>852.82524533024548</v>
      </c>
      <c r="Y6">
        <f>Y7/Assumptions!Y12</f>
        <v>860.01835824809871</v>
      </c>
      <c r="Z6">
        <f>Z7/Assumptions!Z12</f>
        <v>900.31584138676419</v>
      </c>
      <c r="AA6">
        <f>AA7/Assumptions!AA12</f>
        <v>864.39921869330192</v>
      </c>
      <c r="AB6">
        <f>AB7/Assumptions!AB12</f>
        <v>911.84819036334216</v>
      </c>
      <c r="AC6">
        <f>AC7/Assumptions!AC12</f>
        <v>1073.7361461299859</v>
      </c>
      <c r="AD6" s="704">
        <f>AD7/Assumptions!AD12</f>
        <v>1202.3774076858404</v>
      </c>
      <c r="AE6" s="704">
        <f>AE7/Assumptions!AE12</f>
        <v>1387.3581764303349</v>
      </c>
      <c r="AF6" s="704">
        <f>AF7/Assumptions!AF12</f>
        <v>1661.6528862633938</v>
      </c>
      <c r="AG6" s="704">
        <f>AG7/Assumptions!AG12</f>
        <v>2012.1262721139838</v>
      </c>
      <c r="AH6" s="704">
        <f>AH7/Assumptions!AH12</f>
        <v>2164.3994045475984</v>
      </c>
      <c r="AI6" s="704">
        <f>AI7/Assumptions!AI12</f>
        <v>2323.1359227383955</v>
      </c>
      <c r="AJ6" s="704">
        <f>AJ7/Assumptions!AJ12</f>
        <v>2547.457060212856</v>
      </c>
      <c r="AK6" s="704">
        <f>AK7/Assumptions!AK12</f>
        <v>2756.1174034487226</v>
      </c>
      <c r="AL6" s="704">
        <f>AL7/Assumptions!AL12</f>
        <v>2962.9663718928732</v>
      </c>
      <c r="AM6" s="704">
        <f>AM7/Assumptions!AM12</f>
        <v>3207.0265533890383</v>
      </c>
      <c r="AN6" s="704">
        <f>AN7/Assumptions!AN12</f>
        <v>3609.1858027247831</v>
      </c>
      <c r="AO6" s="704">
        <f>AO7/Assumptions!AO12</f>
        <v>4006.4993040848663</v>
      </c>
      <c r="AP6" s="704">
        <f>AP7/Assumptions!AP12</f>
        <v>4458.2603374643504</v>
      </c>
      <c r="AS6" t="s">
        <v>630</v>
      </c>
      <c r="AT6" s="204"/>
    </row>
    <row r="7" spans="2:64">
      <c r="B7" s="7"/>
      <c r="C7" s="157" t="s">
        <v>547</v>
      </c>
      <c r="D7" s="157"/>
      <c r="E7" s="157"/>
      <c r="F7" s="808"/>
      <c r="G7" s="789"/>
      <c r="H7" s="789"/>
      <c r="I7" s="789"/>
      <c r="J7" s="789"/>
      <c r="K7" s="789"/>
      <c r="L7" s="789"/>
      <c r="M7" s="789"/>
      <c r="N7" s="789"/>
      <c r="O7" s="199"/>
      <c r="P7" s="199"/>
      <c r="Q7" s="199">
        <v>3285.8</v>
      </c>
      <c r="R7" s="199">
        <v>3898.1</v>
      </c>
      <c r="S7" s="199">
        <v>4579.2</v>
      </c>
      <c r="T7" s="199">
        <v>5019.1000000000004</v>
      </c>
      <c r="U7" s="199">
        <v>5523.7</v>
      </c>
      <c r="V7" s="199">
        <v>6031.7</v>
      </c>
      <c r="W7" s="199">
        <v>6336.3</v>
      </c>
      <c r="X7" s="199">
        <v>7291.4</v>
      </c>
      <c r="Y7" s="199">
        <v>7870.2</v>
      </c>
      <c r="Z7" s="199">
        <v>8580.1</v>
      </c>
      <c r="AA7" s="199">
        <v>8922.2422954303929</v>
      </c>
      <c r="AB7" s="199">
        <v>10312</v>
      </c>
      <c r="AC7" s="199">
        <v>11838.8</v>
      </c>
      <c r="AD7" s="704">
        <f>AD2/Assumptions!AD63</f>
        <v>13039.181797649095</v>
      </c>
      <c r="AE7" s="704">
        <f>AE2/Assumptions!AE63</f>
        <v>14981.526004000614</v>
      </c>
      <c r="AF7" s="704">
        <f>AF2/Assumptions!AF63</f>
        <v>16684.490465682113</v>
      </c>
      <c r="AG7" s="704">
        <f>AG2/Assumptions!AG63</f>
        <v>18464.634894530409</v>
      </c>
      <c r="AH7" s="704">
        <f>AH2/Assumptions!AH63</f>
        <v>20375.707939996799</v>
      </c>
      <c r="AI7" s="704">
        <f>AI2/Assumptions!AI63</f>
        <v>22515.954166248514</v>
      </c>
      <c r="AJ7" s="704">
        <f>AJ2/Assumptions!AJ63</f>
        <v>25175.674917796725</v>
      </c>
      <c r="AK7" s="704">
        <f>AK2/Assumptions!AK63</f>
        <v>27600.338462790234</v>
      </c>
      <c r="AL7" s="704">
        <f>AL2/Assumptions!AL63</f>
        <v>30513.69436564669</v>
      </c>
      <c r="AM7" s="704">
        <f>AM2/Assumptions!AM63</f>
        <v>33555.182968640576</v>
      </c>
      <c r="AN7" s="704">
        <f>AN2/Assumptions!AN63</f>
        <v>37320.027864057047</v>
      </c>
      <c r="AO7" s="704">
        <f>AO2/Assumptions!AO63</f>
        <v>41428.364689035698</v>
      </c>
      <c r="AP7" s="704">
        <f>AP2/Assumptions!AP63</f>
        <v>46099.704784879243</v>
      </c>
      <c r="AS7"/>
      <c r="AT7" s="204"/>
    </row>
    <row r="8" spans="2:64">
      <c r="B8" s="7" t="s">
        <v>517</v>
      </c>
      <c r="C8" s="7" t="s">
        <v>1198</v>
      </c>
      <c r="D8" s="7"/>
      <c r="E8" s="7"/>
      <c r="F8" s="7"/>
      <c r="G8" s="790">
        <v>160.62781434678166</v>
      </c>
      <c r="H8" s="790">
        <v>112.47905011763029</v>
      </c>
      <c r="I8" s="790">
        <v>114.50566951061211</v>
      </c>
      <c r="J8" s="790">
        <v>113.6526454751114</v>
      </c>
      <c r="K8" s="790">
        <v>105.62006340585056</v>
      </c>
      <c r="L8" s="790">
        <v>106.89378796987587</v>
      </c>
      <c r="M8" s="790">
        <v>111.9</v>
      </c>
      <c r="N8" s="790">
        <v>121.5</v>
      </c>
      <c r="O8" s="790">
        <v>120.4</v>
      </c>
      <c r="P8" s="790">
        <v>106.4</v>
      </c>
      <c r="Q8" s="790">
        <v>106.5</v>
      </c>
      <c r="R8" s="793">
        <v>112.5</v>
      </c>
      <c r="S8" s="793">
        <v>105.8</v>
      </c>
      <c r="T8" s="793">
        <v>103.7</v>
      </c>
      <c r="U8" s="793">
        <v>107.4</v>
      </c>
      <c r="V8">
        <f>Monetary!V15</f>
        <v>105.1</v>
      </c>
      <c r="W8">
        <f>Monetary!W15</f>
        <v>106.1</v>
      </c>
      <c r="X8">
        <f>Monetary!X15</f>
        <v>106.7411</v>
      </c>
      <c r="Y8">
        <f>Monetary!Y15</f>
        <v>105.37888685927308</v>
      </c>
      <c r="Z8">
        <f>Monetary!Z15</f>
        <v>108</v>
      </c>
      <c r="AA8">
        <f>Monetary!AA15</f>
        <v>109.4</v>
      </c>
      <c r="AB8">
        <f>Monetary!AB15</f>
        <v>108</v>
      </c>
      <c r="AC8">
        <f>Monetary!AC15</f>
        <v>104.2</v>
      </c>
      <c r="AD8">
        <f>Monetary!AD15</f>
        <v>103.8</v>
      </c>
      <c r="AE8">
        <f>Monetary!AE15</f>
        <v>103.6</v>
      </c>
      <c r="AF8">
        <f>Monetary!AF15</f>
        <v>103.5</v>
      </c>
      <c r="AG8">
        <f>Monetary!AG15</f>
        <v>102.41615783032842</v>
      </c>
      <c r="AH8">
        <f>Monetary!AH15</f>
        <v>104.26809893578867</v>
      </c>
      <c r="AI8">
        <f>Monetary!AI15</f>
        <v>104.80070002414024</v>
      </c>
      <c r="AJ8">
        <f>Monetary!AJ15</f>
        <v>104.1809609368155</v>
      </c>
      <c r="AK8">
        <f>Monetary!AK15</f>
        <v>103.90637291476378</v>
      </c>
      <c r="AL8">
        <f>Monetary!AL15</f>
        <v>105.03247240189455</v>
      </c>
      <c r="AM8">
        <f>Monetary!AM15</f>
        <v>104.72672897287403</v>
      </c>
      <c r="AN8">
        <f>Monetary!AN15</f>
        <v>104.57101867456707</v>
      </c>
      <c r="AO8">
        <f>Monetary!AO15</f>
        <v>104.69616681622347</v>
      </c>
      <c r="AP8">
        <f>Monetary!AP15</f>
        <v>104.91717480500677</v>
      </c>
      <c r="AT8" s="204"/>
    </row>
    <row r="9" spans="2:64">
      <c r="W9" s="719">
        <f t="shared" ref="W9" si="5">W2-V2</f>
        <v>3812.9000000000015</v>
      </c>
      <c r="X9" s="719">
        <f t="shared" ref="X9" si="6">X2-W2</f>
        <v>9644.0000000000073</v>
      </c>
      <c r="Y9" s="719">
        <f t="shared" ref="Y9" si="7">Y2-X2</f>
        <v>6624.8999999999942</v>
      </c>
      <c r="Z9" s="719">
        <f t="shared" ref="Z9" si="8">Z2-Y2</f>
        <v>8050.5999999999913</v>
      </c>
      <c r="AA9" s="719">
        <f t="shared" ref="AA9:AD9" si="9">AA2-Z2</f>
        <v>4848.5000000000146</v>
      </c>
      <c r="AB9" s="719">
        <f t="shared" si="9"/>
        <v>17118.000000000015</v>
      </c>
      <c r="AC9" s="719">
        <f t="shared" si="9"/>
        <v>17105.399999999994</v>
      </c>
      <c r="AD9" s="719">
        <f t="shared" si="9"/>
        <v>14600.200000000012</v>
      </c>
      <c r="AE9" s="719">
        <f>AE2-AD2</f>
        <v>23001.999999999971</v>
      </c>
      <c r="AF9" s="719">
        <f t="shared" ref="AF9:AK9" si="10">AF2-AE2</f>
        <v>21135.100000000006</v>
      </c>
      <c r="AG9" s="719">
        <f t="shared" si="10"/>
        <v>22979.137368186202</v>
      </c>
      <c r="AH9" s="719">
        <f>AH2-AG2</f>
        <v>25559.070987878367</v>
      </c>
      <c r="AI9" s="719">
        <f>AI2-AH2</f>
        <v>29153.201355873636</v>
      </c>
      <c r="AJ9" s="719">
        <f>AJ2-AI2</f>
        <v>36344.86531303855</v>
      </c>
      <c r="AK9" s="719">
        <f t="shared" si="10"/>
        <v>35032.322559038701</v>
      </c>
      <c r="AL9" s="719">
        <f t="shared" ref="AL9" si="11">AL2-AK2</f>
        <v>42343.207103705732</v>
      </c>
      <c r="AM9" s="719">
        <f t="shared" ref="AM9" si="12">AM2-AL2</f>
        <v>45639.487596397579</v>
      </c>
      <c r="AN9" s="719">
        <f t="shared" ref="AN9" si="13">AN2-AM2</f>
        <v>46446.891474753036</v>
      </c>
      <c r="AO9" s="719">
        <f t="shared" ref="AO9" si="14">AO2-AN2</f>
        <v>50684.551409761596</v>
      </c>
      <c r="AP9" s="719">
        <f t="shared" ref="AP9" si="15">AP2-AO2</f>
        <v>57630.322762421798</v>
      </c>
      <c r="AT9" s="204"/>
    </row>
    <row r="10" spans="2:64">
      <c r="AT10" s="204"/>
    </row>
    <row r="11" spans="2:64"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205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</row>
    <row r="12" spans="2:64"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AS12" s="206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</row>
    <row r="13" spans="2:64" ht="18">
      <c r="C13" s="157" t="s">
        <v>542</v>
      </c>
      <c r="D13" s="157">
        <v>518.4</v>
      </c>
      <c r="E13" s="157">
        <v>1025.2</v>
      </c>
      <c r="F13" s="808">
        <v>1345</v>
      </c>
      <c r="G13" s="811">
        <v>1786.8</v>
      </c>
      <c r="H13" s="811">
        <v>2563.8000000000002</v>
      </c>
      <c r="I13" s="811">
        <v>3375.3</v>
      </c>
      <c r="J13" s="811">
        <v>4761.5</v>
      </c>
      <c r="K13" s="811">
        <v>6167.2</v>
      </c>
      <c r="L13" s="218">
        <v>7206.5999999999995</v>
      </c>
      <c r="M13" s="218">
        <v>9335.3000000000011</v>
      </c>
      <c r="N13" s="218">
        <v>12804.3</v>
      </c>
      <c r="O13" s="218">
        <v>17706.900000000001</v>
      </c>
      <c r="P13" s="218">
        <v>20629</v>
      </c>
      <c r="Q13" s="196">
        <v>24707.100000000002</v>
      </c>
      <c r="R13" s="196">
        <v>30071.1</v>
      </c>
      <c r="S13" s="196">
        <v>36163.1</v>
      </c>
      <c r="T13" s="196">
        <v>40525.199999999997</v>
      </c>
      <c r="U13" s="196">
        <v>45606.6</v>
      </c>
      <c r="V13" s="196">
        <f t="shared" ref="V13:AD13" si="16">V14+V15</f>
        <v>50977.399999999994</v>
      </c>
      <c r="W13" s="196">
        <f t="shared" si="16"/>
        <v>54790.299999999996</v>
      </c>
      <c r="X13" s="196">
        <f t="shared" si="16"/>
        <v>64434.3</v>
      </c>
      <c r="Y13" s="196">
        <f t="shared" si="16"/>
        <v>71059.199999999997</v>
      </c>
      <c r="Z13" s="196">
        <f t="shared" si="16"/>
        <v>79109.799999999988</v>
      </c>
      <c r="AA13" s="196">
        <f t="shared" si="16"/>
        <v>83958.3</v>
      </c>
      <c r="AB13" s="196">
        <f t="shared" si="16"/>
        <v>101076.30000000002</v>
      </c>
      <c r="AC13" s="196">
        <f t="shared" si="16"/>
        <v>118181.70000000001</v>
      </c>
      <c r="AD13" s="707">
        <f t="shared" si="16"/>
        <v>132781.90000000002</v>
      </c>
      <c r="AE13" s="707">
        <f>AE14+AE15</f>
        <v>155783.9</v>
      </c>
      <c r="AF13" s="707">
        <f t="shared" ref="AF13:AP13" si="17">AF14+AF15</f>
        <v>176919</v>
      </c>
      <c r="AG13" s="207">
        <f t="shared" si="17"/>
        <v>199898.1373681862</v>
      </c>
      <c r="AH13" s="207">
        <f t="shared" si="17"/>
        <v>225457.20835606457</v>
      </c>
      <c r="AI13" s="207">
        <f t="shared" si="17"/>
        <v>254610.40971193821</v>
      </c>
      <c r="AJ13" s="207">
        <f t="shared" si="17"/>
        <v>290955.27502497676</v>
      </c>
      <c r="AK13" s="207">
        <f t="shared" si="17"/>
        <v>325987.59758401546</v>
      </c>
      <c r="AL13" s="207">
        <f t="shared" si="17"/>
        <v>368330.80468772119</v>
      </c>
      <c r="AM13" s="207">
        <f t="shared" si="17"/>
        <v>413970.29228411877</v>
      </c>
      <c r="AN13" s="207">
        <f t="shared" si="17"/>
        <v>460417.1837588718</v>
      </c>
      <c r="AO13" s="207">
        <f t="shared" si="17"/>
        <v>511101.7351686334</v>
      </c>
      <c r="AP13" s="207">
        <f t="shared" si="17"/>
        <v>568732.0579310552</v>
      </c>
      <c r="AS13" t="s">
        <v>631</v>
      </c>
    </row>
    <row r="14" spans="2:64" ht="18">
      <c r="C14" s="160" t="s">
        <v>548</v>
      </c>
      <c r="D14" s="160">
        <v>49.8</v>
      </c>
      <c r="E14" s="160">
        <v>77.8</v>
      </c>
      <c r="F14" s="816">
        <v>98</v>
      </c>
      <c r="G14" s="208">
        <v>149.69999999999999</v>
      </c>
      <c r="H14" s="208">
        <v>230.3</v>
      </c>
      <c r="I14" s="208">
        <v>332.8</v>
      </c>
      <c r="J14" s="208">
        <v>508.4</v>
      </c>
      <c r="K14" s="208">
        <v>679.7</v>
      </c>
      <c r="L14" s="208">
        <v>831.2</v>
      </c>
      <c r="M14" s="208">
        <v>1059.7</v>
      </c>
      <c r="N14" s="208">
        <v>1603.5</v>
      </c>
      <c r="O14" s="208">
        <v>2235.8999999999996</v>
      </c>
      <c r="P14" s="174">
        <v>2286.6</v>
      </c>
      <c r="Q14" s="174">
        <v>2781.7</v>
      </c>
      <c r="R14" s="174">
        <v>3727.5</v>
      </c>
      <c r="S14" s="174">
        <v>4455.8</v>
      </c>
      <c r="T14" s="174">
        <v>5159.5</v>
      </c>
      <c r="U14" s="174">
        <v>6361.6</v>
      </c>
      <c r="V14" s="174">
        <f>5453.6-83.4</f>
        <v>5370.2000000000007</v>
      </c>
      <c r="W14" s="174">
        <f>5755.1-95</f>
        <v>5660.1</v>
      </c>
      <c r="X14" s="174">
        <f>6467.9-130.8</f>
        <v>6337.0999999999995</v>
      </c>
      <c r="Y14" s="174">
        <f>7131.5-112.4</f>
        <v>7019.1</v>
      </c>
      <c r="Z14" s="174">
        <f>7827.1-134.4</f>
        <v>7692.7000000000007</v>
      </c>
      <c r="AA14" s="174">
        <f>7718-175.3</f>
        <v>7542.7</v>
      </c>
      <c r="AB14" s="174">
        <f>9880.8-184.3</f>
        <v>9696.5</v>
      </c>
      <c r="AC14" s="174">
        <v>10687.4</v>
      </c>
      <c r="AD14" s="707">
        <f>13443.4-246.2</f>
        <v>13197.199999999999</v>
      </c>
      <c r="AE14" s="707">
        <f>14824.4-299.5</f>
        <v>14524.9</v>
      </c>
      <c r="AF14" s="707">
        <f>18541.5-384.5</f>
        <v>18157</v>
      </c>
      <c r="AG14" s="94">
        <f>gateway!AG12</f>
        <v>18610.317492499998</v>
      </c>
      <c r="AH14">
        <f>gateway!AH12</f>
        <v>20494.298679300002</v>
      </c>
      <c r="AI14">
        <f>gateway!AI12</f>
        <v>21611.49022430585</v>
      </c>
      <c r="AJ14">
        <f>gateway!AJ12</f>
        <v>21722.855640801459</v>
      </c>
      <c r="AK14">
        <f>gateway!AK12</f>
        <v>21977.797977323473</v>
      </c>
      <c r="AL14">
        <f>gateway!AL12</f>
        <v>22429.216625017085</v>
      </c>
      <c r="AM14">
        <f>gateway!AM12</f>
        <v>23764.34544755895</v>
      </c>
      <c r="AN14">
        <f>gateway!AN12</f>
        <v>26851.731562470981</v>
      </c>
      <c r="AO14">
        <f>gateway!AO12</f>
        <v>30340.39270820206</v>
      </c>
      <c r="AP14">
        <f>gateway!AP12</f>
        <v>34282.490793819001</v>
      </c>
      <c r="AS14" t="s">
        <v>632</v>
      </c>
    </row>
    <row r="15" spans="2:64" ht="18">
      <c r="C15" s="161" t="s">
        <v>549</v>
      </c>
      <c r="D15" s="157">
        <v>468.59999999999997</v>
      </c>
      <c r="E15" s="157">
        <v>947.40000000000009</v>
      </c>
      <c r="F15" s="808">
        <v>1247</v>
      </c>
      <c r="G15" s="811">
        <v>1637.1</v>
      </c>
      <c r="H15" s="811">
        <v>2333.5</v>
      </c>
      <c r="I15" s="811">
        <v>3042.5</v>
      </c>
      <c r="J15" s="811">
        <v>4253.1000000000004</v>
      </c>
      <c r="K15" s="811">
        <v>5487.5</v>
      </c>
      <c r="L15" s="811">
        <v>6375.4</v>
      </c>
      <c r="M15" s="811">
        <v>8275.6</v>
      </c>
      <c r="N15" s="811">
        <v>11200.8</v>
      </c>
      <c r="O15" s="811">
        <v>15471.000000000002</v>
      </c>
      <c r="P15" s="174">
        <v>18342</v>
      </c>
      <c r="Q15" s="174">
        <v>21925.4</v>
      </c>
      <c r="R15" s="174">
        <v>26343.599999999999</v>
      </c>
      <c r="S15" s="174">
        <v>31707.3</v>
      </c>
      <c r="T15" s="174">
        <v>35365.699999999997</v>
      </c>
      <c r="U15" s="174">
        <v>39245</v>
      </c>
      <c r="V15" s="174">
        <f>SUM(V16:V22)</f>
        <v>45607.19999999999</v>
      </c>
      <c r="W15" s="174">
        <f t="shared" ref="W15:AC15" si="18">SUM(W16:W22)</f>
        <v>49130.2</v>
      </c>
      <c r="X15" s="174">
        <f t="shared" si="18"/>
        <v>58097.200000000004</v>
      </c>
      <c r="Y15" s="174">
        <f t="shared" si="18"/>
        <v>64040.1</v>
      </c>
      <c r="Z15" s="174">
        <f t="shared" si="18"/>
        <v>71417.099999999991</v>
      </c>
      <c r="AA15" s="174">
        <f t="shared" si="18"/>
        <v>76415.600000000006</v>
      </c>
      <c r="AB15" s="174">
        <f t="shared" si="18"/>
        <v>91379.800000000017</v>
      </c>
      <c r="AC15" s="174">
        <f t="shared" si="18"/>
        <v>107494.30000000002</v>
      </c>
      <c r="AD15" s="707">
        <f>SUM(AD16:AD22)</f>
        <v>119584.70000000001</v>
      </c>
      <c r="AE15" s="707">
        <f>SUM(AE16:AE22)</f>
        <v>141259</v>
      </c>
      <c r="AF15" s="707">
        <f t="shared" ref="AF15:AP15" si="19">SUM(AF16:AF22)</f>
        <v>158762</v>
      </c>
      <c r="AG15" s="207">
        <f t="shared" si="19"/>
        <v>181287.8198756862</v>
      </c>
      <c r="AH15" s="208">
        <f t="shared" si="19"/>
        <v>204962.90967676457</v>
      </c>
      <c r="AI15" s="208">
        <f t="shared" si="19"/>
        <v>232998.91948763235</v>
      </c>
      <c r="AJ15" s="207">
        <f t="shared" si="19"/>
        <v>269232.41938417527</v>
      </c>
      <c r="AK15" s="207">
        <f>SUM(AK16:AK22)</f>
        <v>304009.79960669199</v>
      </c>
      <c r="AL15" s="208">
        <f t="shared" si="19"/>
        <v>345901.58806270408</v>
      </c>
      <c r="AM15" s="208">
        <f t="shared" si="19"/>
        <v>390205.9468365598</v>
      </c>
      <c r="AN15" s="208">
        <f t="shared" si="19"/>
        <v>433565.45219640085</v>
      </c>
      <c r="AO15" s="208">
        <f t="shared" si="19"/>
        <v>480761.34246043133</v>
      </c>
      <c r="AP15" s="208">
        <f t="shared" si="19"/>
        <v>534449.56713723624</v>
      </c>
      <c r="AS15" t="s">
        <v>633</v>
      </c>
    </row>
    <row r="16" spans="2:64" ht="18">
      <c r="C16" s="157" t="s">
        <v>550</v>
      </c>
      <c r="D16" s="157">
        <v>165.9</v>
      </c>
      <c r="E16" s="157">
        <v>257.39999999999998</v>
      </c>
      <c r="F16" s="808">
        <v>341.4</v>
      </c>
      <c r="G16" s="216">
        <v>448.9</v>
      </c>
      <c r="H16" s="216">
        <v>610.4</v>
      </c>
      <c r="I16" s="216">
        <v>750.5</v>
      </c>
      <c r="J16" s="216">
        <v>1151.9000000000001</v>
      </c>
      <c r="K16" s="216">
        <v>1185.5999999999999</v>
      </c>
      <c r="L16" s="216">
        <v>1527.2</v>
      </c>
      <c r="M16" s="216">
        <v>2002.6</v>
      </c>
      <c r="N16" s="216">
        <v>2488.3000000000002</v>
      </c>
      <c r="O16" s="216">
        <v>3517.9</v>
      </c>
      <c r="P16" s="812">
        <v>3827</v>
      </c>
      <c r="Q16" s="174">
        <v>4839.3</v>
      </c>
      <c r="R16" s="174">
        <v>7167.6</v>
      </c>
      <c r="S16" s="174">
        <v>8435.7000000000007</v>
      </c>
      <c r="T16" s="174">
        <v>8279.6</v>
      </c>
      <c r="U16" s="174">
        <v>10692.6</v>
      </c>
      <c r="V16" s="174">
        <v>11006.4</v>
      </c>
      <c r="W16" s="174">
        <f>11399.2+28.4</f>
        <v>11427.6</v>
      </c>
      <c r="X16" s="174">
        <f>13069.4</f>
        <v>13069.4</v>
      </c>
      <c r="Y16" s="174">
        <v>14049.8</v>
      </c>
      <c r="Z16" s="174">
        <v>16507.900000000001</v>
      </c>
      <c r="AA16" s="174">
        <v>19050.5</v>
      </c>
      <c r="AB16" s="174">
        <v>22690.7</v>
      </c>
      <c r="AC16" s="174">
        <v>27104.799999999999</v>
      </c>
      <c r="AD16" s="706">
        <v>30352.5</v>
      </c>
      <c r="AE16" s="706">
        <v>35915.699999999997</v>
      </c>
      <c r="AF16" s="706">
        <v>38820.5</v>
      </c>
      <c r="AG16" s="92">
        <f>AF16*AG33*AG67/10000+1248.5</f>
        <v>44884.802721400127</v>
      </c>
      <c r="AH16" s="92">
        <f>AG16*AH33*AH67/10000+1704.63810892211</f>
        <v>51040.391372110782</v>
      </c>
      <c r="AI16" s="92">
        <f>AH16*AI33*AI67/10000+8291.37299199111</f>
        <v>64272.57330134463</v>
      </c>
      <c r="AJ16" s="92">
        <f>AI16*AJ33*AJ67/10000-3122.74235819066</f>
        <v>67155.249547607207</v>
      </c>
      <c r="AK16" s="92">
        <f>AJ16*AK33*AK67/10000-4017.1778005868</f>
        <v>69302.972196587318</v>
      </c>
      <c r="AL16" s="92">
        <f>AK16*AL33*AL67/10000+12207.0045852159</f>
        <v>87150.420267207126</v>
      </c>
      <c r="AM16" s="92">
        <f>AL16*AM33*AM67/10000-6139.99815483247</f>
        <v>87774.031615254062</v>
      </c>
      <c r="AN16" s="92">
        <f t="shared" ref="AN16:AP16" si="20">AM16*AN33*AN67/10000</f>
        <v>94607.201080876373</v>
      </c>
      <c r="AO16" s="92">
        <f t="shared" si="20"/>
        <v>101740.47161245145</v>
      </c>
      <c r="AP16" s="92">
        <f t="shared" si="20"/>
        <v>109667.70622899644</v>
      </c>
      <c r="AS16" t="s">
        <v>634</v>
      </c>
    </row>
    <row r="17" spans="3:45" ht="18">
      <c r="C17" s="157" t="s">
        <v>551</v>
      </c>
      <c r="D17" s="157">
        <v>114</v>
      </c>
      <c r="E17" s="157">
        <v>206.1</v>
      </c>
      <c r="F17" s="808">
        <v>291.60000000000002</v>
      </c>
      <c r="G17" s="811">
        <v>592.29999999999995</v>
      </c>
      <c r="H17" s="811">
        <v>858</v>
      </c>
      <c r="I17" s="811">
        <v>1117.2</v>
      </c>
      <c r="J17" s="811">
        <v>1440.2</v>
      </c>
      <c r="K17" s="811">
        <v>1644.4</v>
      </c>
      <c r="L17" s="811">
        <v>1645.1</v>
      </c>
      <c r="M17" s="811">
        <v>1987</v>
      </c>
      <c r="N17" s="811">
        <v>2349.4</v>
      </c>
      <c r="O17" s="811">
        <v>2515.8000000000002</v>
      </c>
      <c r="P17" s="208">
        <v>2957.4</v>
      </c>
      <c r="Q17" s="174">
        <v>3642.7</v>
      </c>
      <c r="R17" s="174">
        <v>4368.8999999999996</v>
      </c>
      <c r="S17" s="173">
        <v>4947.8</v>
      </c>
      <c r="T17" s="173">
        <v>5103.1000000000004</v>
      </c>
      <c r="U17" s="173">
        <v>5510.9</v>
      </c>
      <c r="V17" s="173">
        <f>811.2+5471.4+1443.7</f>
        <v>7726.2999999999993</v>
      </c>
      <c r="W17" s="173">
        <f>1550+6233.9+1483</f>
        <v>9266.9</v>
      </c>
      <c r="X17" s="173">
        <f>2463.1+8251+2074.6+51.2</f>
        <v>12839.900000000001</v>
      </c>
      <c r="Y17" s="174">
        <f>2528.5+9400.4+3025.7+76.9</f>
        <v>15031.499999999998</v>
      </c>
      <c r="Z17" s="174">
        <f>2642.3+10626.3+3505.5+99.7</f>
        <v>16873.8</v>
      </c>
      <c r="AA17" s="174">
        <f>2410.7+13119.2+3890.1+91.3</f>
        <v>19511.3</v>
      </c>
      <c r="AB17" s="174">
        <f>4669.7+15160.3+4189.5+119.5</f>
        <v>24139</v>
      </c>
      <c r="AC17" s="174">
        <f>5027.2+17893.5+4728.3+113</f>
        <v>27762</v>
      </c>
      <c r="AD17" s="707">
        <f>5407.1+19402.9+4817.5+115.2</f>
        <v>29742.7</v>
      </c>
      <c r="AE17" s="706">
        <f>6456.6+20620.3+5452+137.8</f>
        <v>32666.7</v>
      </c>
      <c r="AF17" s="706">
        <v>28632</v>
      </c>
      <c r="AG17" s="46">
        <f>Industry!AG57-617.266632765852</f>
        <v>45302.801135611669</v>
      </c>
      <c r="AH17" s="46">
        <f>Industry!AH57-4154.07814403639</f>
        <v>51435.316068874177</v>
      </c>
      <c r="AI17" s="46">
        <f>Industry!AI57-8880.00859164027</f>
        <v>59554.868813808302</v>
      </c>
      <c r="AJ17" s="92">
        <f>Industry!AJ57-14262.8971884416</f>
        <v>70610.730672929451</v>
      </c>
      <c r="AK17" s="92">
        <f>Industry!AK57+2034.25522852303</f>
        <v>86152.797083554891</v>
      </c>
      <c r="AL17" s="92">
        <f>Industry!AL57+7027.27848704623</f>
        <v>96405.530861582345</v>
      </c>
      <c r="AM17" s="92">
        <f>Industry!AM57+35248.2981221771</f>
        <v>126812.60864336634</v>
      </c>
      <c r="AN17" s="92">
        <f>Industry!AN57</f>
        <v>106105.21283487993</v>
      </c>
      <c r="AO17" s="92">
        <f>Industry!AO57+1000</f>
        <v>118003.46007234837</v>
      </c>
      <c r="AP17" s="92">
        <f>Industry!AP57+1000</f>
        <v>131259.03567352676</v>
      </c>
      <c r="AS17" t="s">
        <v>635</v>
      </c>
    </row>
    <row r="18" spans="3:45" ht="18.75">
      <c r="C18" s="157" t="s">
        <v>552</v>
      </c>
      <c r="D18" s="157">
        <v>14.3</v>
      </c>
      <c r="E18" s="157">
        <v>39.5</v>
      </c>
      <c r="F18" s="808">
        <v>73</v>
      </c>
      <c r="G18" s="216">
        <v>38</v>
      </c>
      <c r="H18" s="216">
        <v>69.7</v>
      </c>
      <c r="I18" s="216">
        <v>68.900000000000006</v>
      </c>
      <c r="J18" s="216">
        <v>136.6</v>
      </c>
      <c r="K18" s="216">
        <v>262.3</v>
      </c>
      <c r="L18" s="216">
        <v>327.10000000000002</v>
      </c>
      <c r="M18" s="216">
        <v>567.5</v>
      </c>
      <c r="N18" s="216">
        <v>1034.5999999999999</v>
      </c>
      <c r="O18" s="216">
        <v>1832.6</v>
      </c>
      <c r="P18" s="812">
        <v>2098.4</v>
      </c>
      <c r="Q18" s="174">
        <v>2528.1999999999998</v>
      </c>
      <c r="R18" s="174">
        <v>2387.5</v>
      </c>
      <c r="S18" s="173">
        <v>3023.5</v>
      </c>
      <c r="T18" s="173">
        <v>4200.8</v>
      </c>
      <c r="U18" s="173">
        <v>4660</v>
      </c>
      <c r="V18" s="173">
        <v>7679.3</v>
      </c>
      <c r="W18" s="195">
        <v>8382.9</v>
      </c>
      <c r="X18" s="195">
        <v>7680.4</v>
      </c>
      <c r="Y18" s="196">
        <v>9411.7000000000007</v>
      </c>
      <c r="Z18" s="196">
        <v>9281.6</v>
      </c>
      <c r="AA18" s="196">
        <v>8863.7000000000007</v>
      </c>
      <c r="AB18" s="196">
        <v>11417.3</v>
      </c>
      <c r="AC18" s="196">
        <v>13250.1</v>
      </c>
      <c r="AD18" s="707">
        <v>14923.6</v>
      </c>
      <c r="AE18" s="707">
        <v>17873.3</v>
      </c>
      <c r="AF18" s="707">
        <v>12608.5</v>
      </c>
      <c r="AG18" s="92">
        <f>0.44*OEA!AG22+10484.5</f>
        <v>24902.407679999997</v>
      </c>
      <c r="AH18" s="92">
        <f>0.49*OEA!AH22+8390.09</f>
        <v>27462.811564400003</v>
      </c>
      <c r="AI18" s="92">
        <f>0.55*OEA!AI22+4741.75560268844</f>
        <v>29230.19254840845</v>
      </c>
      <c r="AJ18" s="92">
        <f>0.69*OEA!AJ22-362.524</f>
        <v>35086.559899528402</v>
      </c>
      <c r="AK18" s="92">
        <f>0.67*OEA!AK22+1692.83849206156</f>
        <v>38920.759875133626</v>
      </c>
      <c r="AL18" s="92">
        <f>0.63*OEA!AL22+3693.52</f>
        <v>43544.137767052096</v>
      </c>
      <c r="AM18" s="92">
        <f>0.602*OEA!AM22+3836.468</f>
        <v>47937.11777913331</v>
      </c>
      <c r="AN18" s="92">
        <f>0.7*OEA!AN22</f>
        <v>63940.090266559098</v>
      </c>
      <c r="AO18" s="92">
        <f>0.69*OEA!AO22</f>
        <v>78807.038640627085</v>
      </c>
      <c r="AP18" s="92">
        <f>0.69*OEA!AP22</f>
        <v>98801.406877611749</v>
      </c>
      <c r="AS18" t="s">
        <v>636</v>
      </c>
    </row>
    <row r="19" spans="3:45" ht="18">
      <c r="C19" s="157" t="s">
        <v>553</v>
      </c>
      <c r="D19" s="157">
        <v>5.9999999999999822</v>
      </c>
      <c r="E19" s="157">
        <v>10.200000000000074</v>
      </c>
      <c r="F19" s="808">
        <v>4.7999999999999545</v>
      </c>
      <c r="G19" s="216">
        <v>5.8999999999999773</v>
      </c>
      <c r="H19" s="216">
        <v>7.4999999999999289</v>
      </c>
      <c r="I19" s="216">
        <v>13.399999999999949</v>
      </c>
      <c r="J19" s="216">
        <v>14.499999999999687</v>
      </c>
      <c r="K19" s="216">
        <v>24.199999999999989</v>
      </c>
      <c r="L19" s="216">
        <v>20.900000000000205</v>
      </c>
      <c r="M19" s="216">
        <v>20.799999999999727</v>
      </c>
      <c r="N19" s="216">
        <v>29.099999999999454</v>
      </c>
      <c r="O19" s="216">
        <v>34.899999999999181</v>
      </c>
      <c r="P19" s="812">
        <v>29.499999999999091</v>
      </c>
      <c r="Q19" s="174">
        <v>13.8</v>
      </c>
      <c r="R19" s="818"/>
      <c r="S19" s="174"/>
      <c r="T19" s="174"/>
      <c r="U19" s="207"/>
      <c r="AS19" t="s">
        <v>637</v>
      </c>
    </row>
    <row r="20" spans="3:45" ht="18">
      <c r="C20" s="156" t="s">
        <v>554</v>
      </c>
      <c r="D20" s="157">
        <v>108.6</v>
      </c>
      <c r="E20" s="157">
        <v>231.8</v>
      </c>
      <c r="F20" s="808">
        <v>270</v>
      </c>
      <c r="G20" s="216">
        <v>193.9</v>
      </c>
      <c r="H20" s="216">
        <v>274.89999999999998</v>
      </c>
      <c r="I20" s="216">
        <v>394.7</v>
      </c>
      <c r="J20" s="216">
        <v>544.1</v>
      </c>
      <c r="K20" s="216">
        <v>1017.5</v>
      </c>
      <c r="L20" s="216">
        <v>1191.5999999999999</v>
      </c>
      <c r="M20" s="216">
        <v>1593.8</v>
      </c>
      <c r="N20" s="216">
        <v>2119.6999999999998</v>
      </c>
      <c r="O20" s="216">
        <v>3577.3</v>
      </c>
      <c r="P20" s="812">
        <v>4345.8</v>
      </c>
      <c r="Q20" s="174">
        <v>4999.8999999999996</v>
      </c>
      <c r="R20" s="174">
        <v>3949.2</v>
      </c>
      <c r="S20" s="174">
        <v>5032.7</v>
      </c>
      <c r="T20" s="174">
        <v>5823.3</v>
      </c>
      <c r="U20" s="174">
        <v>6419.6</v>
      </c>
      <c r="V20" s="174">
        <f>4102.8+1331.1</f>
        <v>5433.9</v>
      </c>
      <c r="W20" s="174">
        <f>4625.3+1485.7</f>
        <v>6111</v>
      </c>
      <c r="X20" s="174">
        <f>6353.5</f>
        <v>6353.5</v>
      </c>
      <c r="Y20" s="174">
        <f>7359.6+1699.1</f>
        <v>9058.7000000000007</v>
      </c>
      <c r="Z20" s="174">
        <f>8764.1+1938.6</f>
        <v>10702.7</v>
      </c>
      <c r="AA20" s="174">
        <f>8978.4+1744.5</f>
        <v>10722.9</v>
      </c>
      <c r="AB20" s="174">
        <f>10956+2405.8</f>
        <v>13361.8</v>
      </c>
      <c r="AC20" s="174">
        <f>13042+3060.8</f>
        <v>16102.8</v>
      </c>
      <c r="AD20" s="706">
        <f>13851.7+3687.1</f>
        <v>17538.8</v>
      </c>
      <c r="AE20" s="706">
        <f>16467.3+4495.4</f>
        <v>20962.699999999997</v>
      </c>
      <c r="AF20" s="706">
        <v>29189.200000000001</v>
      </c>
      <c r="AG20" s="92">
        <f>(Household!AG3)*0.2718062-93</f>
        <v>24355.02756064598</v>
      </c>
      <c r="AH20" s="46">
        <f>(Household!AH3-600)*0.31-4486.97</f>
        <v>27976.159918003636</v>
      </c>
      <c r="AI20" s="46">
        <f>(Household!AI3-600)*0.29-3258</f>
        <v>31383.796465602398</v>
      </c>
      <c r="AJ20" s="46">
        <f>(Household!AJ3)*0.29-3080.55</f>
        <v>37043.392158391878</v>
      </c>
      <c r="AK20" s="46">
        <f>(Household!AK3)*0.31-2552.221</f>
        <v>43686.67155879343</v>
      </c>
      <c r="AL20" s="92">
        <f>(Household!AL3-600)*0.31-1982.426</f>
        <v>47704.087054859061</v>
      </c>
      <c r="AM20" s="92">
        <f>(Household!AM3-600)*0.31-3149.142</f>
        <v>50808.324776804388</v>
      </c>
      <c r="AN20" s="92">
        <f>(Household!AN3-600)*0.4</f>
        <v>77729.566807128736</v>
      </c>
      <c r="AO20" s="92">
        <f>(Household!AO3-600)*0.39</f>
        <v>81907.05270781077</v>
      </c>
      <c r="AP20" s="92">
        <f>(Household!AP3-600)*0.38</f>
        <v>86540.154469661851</v>
      </c>
      <c r="AS20" s="46" t="s">
        <v>638</v>
      </c>
    </row>
    <row r="21" spans="3:45" ht="18">
      <c r="C21" s="156" t="s">
        <v>555</v>
      </c>
      <c r="D21" s="157">
        <v>15.1</v>
      </c>
      <c r="E21" s="157">
        <v>42.7</v>
      </c>
      <c r="F21" s="808">
        <v>99</v>
      </c>
      <c r="G21" s="216">
        <v>85</v>
      </c>
      <c r="H21" s="216">
        <v>127.6</v>
      </c>
      <c r="I21" s="216">
        <v>185.7</v>
      </c>
      <c r="J21" s="216">
        <v>260.2</v>
      </c>
      <c r="K21" s="216">
        <v>409</v>
      </c>
      <c r="L21" s="216">
        <v>533.29999999999995</v>
      </c>
      <c r="M21" s="216">
        <v>673.1</v>
      </c>
      <c r="N21" s="216">
        <v>1221.9000000000001</v>
      </c>
      <c r="O21" s="216">
        <v>1782.2</v>
      </c>
      <c r="P21" s="812">
        <v>2264.9</v>
      </c>
      <c r="Q21" s="174">
        <v>2758</v>
      </c>
      <c r="R21" s="174">
        <v>4356.3</v>
      </c>
      <c r="S21" s="174">
        <v>5535.2</v>
      </c>
      <c r="T21" s="174">
        <v>6172.2</v>
      </c>
      <c r="U21" s="174">
        <v>6523.8</v>
      </c>
      <c r="V21" s="174">
        <v>4859.2</v>
      </c>
      <c r="W21" s="174">
        <v>4875.2</v>
      </c>
      <c r="X21" s="174">
        <v>4870</v>
      </c>
      <c r="Y21" s="173">
        <v>4277.6000000000004</v>
      </c>
      <c r="Z21" s="173">
        <v>4829.2</v>
      </c>
      <c r="AA21" s="173">
        <v>3818.8</v>
      </c>
      <c r="AB21" s="173">
        <f>3735+1473.6</f>
        <v>5208.6000000000004</v>
      </c>
      <c r="AC21" s="173">
        <f>4401.1+1622.4</f>
        <v>6023.5</v>
      </c>
      <c r="AD21" s="708">
        <f>5272.4+1967.1</f>
        <v>7239.5</v>
      </c>
      <c r="AE21" s="708">
        <f>6358.5+2407.1</f>
        <v>8765.6</v>
      </c>
      <c r="AF21" s="708">
        <v>15892.7</v>
      </c>
      <c r="AG21" s="92">
        <f>AF21+(Household!AG9+Household!AG18-Household!AF9-Household!AF18)*0.001-4289.5</f>
        <v>11619.910475304934</v>
      </c>
      <c r="AH21" s="92">
        <f>AG21+(Household!AH9+Household!AH18-Household!AG9-Household!AG18)*0.02+1094.44</f>
        <v>13048.2969195852</v>
      </c>
      <c r="AI21" s="92">
        <f>AH21+(Household!AI9+Household!AI18-Household!AH9-Household!AH18)*0.02-507.6</f>
        <v>12873.956919223263</v>
      </c>
      <c r="AJ21" s="92">
        <f>AI21+(Household!AJ9+Household!AJ18-Household!AI9-Household!AI18)*0.13+1568.47</f>
        <v>16838.97076180837</v>
      </c>
      <c r="AK21" s="92">
        <f>AJ21+(Household!AK9+Household!AK18-Household!AJ9-Household!AJ18)*0.03+2122.039</f>
        <v>19384.193158236463</v>
      </c>
      <c r="AL21" s="92">
        <f>AK21+(Household!AL9+Household!AL18-Household!AK9-Household!AK18)*0.09+199.3816</f>
        <v>20733.764273578035</v>
      </c>
      <c r="AM21" s="92">
        <f>AL21+(Household!AM9+Household!AM18-Household!AL9-Household!AL18)*0.099+737.1796</f>
        <v>22913.833061698464</v>
      </c>
      <c r="AN21" s="92">
        <f>AM21+(Household!AN9+Household!AN18-Household!AM9-Household!AM18)*0.5</f>
        <v>31369.352294860655</v>
      </c>
      <c r="AO21" s="92">
        <f>AN21+(Household!AO9+Household!AO18-Household!AN9-Household!AN18)*0.04</f>
        <v>32179.895673457213</v>
      </c>
      <c r="AP21" s="92">
        <f>AO21+(Household!AP9+Household!AP18-Household!AO9-Household!AO18)*0.03</f>
        <v>32811.69381501172</v>
      </c>
      <c r="AS21" t="s">
        <v>639</v>
      </c>
    </row>
    <row r="22" spans="3:45" ht="18">
      <c r="C22" s="155" t="s">
        <v>556</v>
      </c>
      <c r="D22" s="157">
        <v>44.699999999999953</v>
      </c>
      <c r="E22" s="157">
        <v>159.70000000000005</v>
      </c>
      <c r="F22" s="808">
        <v>167.20000000000005</v>
      </c>
      <c r="G22" s="810">
        <v>273.19999999999982</v>
      </c>
      <c r="H22" s="810">
        <v>385.59999999999991</v>
      </c>
      <c r="I22" s="810">
        <v>512.19999999999982</v>
      </c>
      <c r="J22" s="810">
        <v>706.10000000000036</v>
      </c>
      <c r="K22" s="810">
        <v>945</v>
      </c>
      <c r="L22" s="810">
        <v>1130.6999999999998</v>
      </c>
      <c r="M22" s="810">
        <v>1431.2000000000007</v>
      </c>
      <c r="N22" s="810">
        <v>1958.0999999999985</v>
      </c>
      <c r="O22" s="810">
        <v>2214.1999999999989</v>
      </c>
      <c r="P22" s="810">
        <v>2823.7999999999993</v>
      </c>
      <c r="Q22" s="819">
        <v>3143.4</v>
      </c>
      <c r="R22" s="212">
        <v>4114.1000000000004</v>
      </c>
      <c r="S22" s="819">
        <v>4732.3999999999978</v>
      </c>
      <c r="T22" s="819">
        <v>5786.7</v>
      </c>
      <c r="U22" s="212">
        <v>5438.1</v>
      </c>
      <c r="V22" s="212">
        <f>2197.5+694+1492.8+2522.7+1152.2+1619.3-776.4</f>
        <v>8902.1</v>
      </c>
      <c r="W22" s="212">
        <f>1091.7+765.3+1708.6+2871.3+1292.1+1644.1-306.5</f>
        <v>9066.6</v>
      </c>
      <c r="X22" s="213">
        <f>1697.8+1533.8+1994.4+740.6+237.2+57.7+1874.8+3022.7+1359.1+296.7+736.4+275-542.2</f>
        <v>13284</v>
      </c>
      <c r="Y22" s="212">
        <f>1366.8+2078.9+791.4+237.7+60.1+2005.6+3256.3+1440.9+328.2+923.2+286-564.3</f>
        <v>12210.800000000001</v>
      </c>
      <c r="Z22" s="212">
        <f>1424.1+1925.1+852.7+288.9+81.5+2139.9+3752.6+1651.2+366+972.3+347.6-580</f>
        <v>13221.9</v>
      </c>
      <c r="AA22" s="212">
        <f>1492.9+2157.1+1103.3+269.5+97.4+2247.4+4086.8+1842.9+408+888+462.1-607</f>
        <v>14448.400000000001</v>
      </c>
      <c r="AB22" s="212">
        <f>2055.7+1228.9+568.4+207.9+2411.3+4778.7+2072.3+525.4+844.2+471.6-602</f>
        <v>14562.400000000001</v>
      </c>
      <c r="AC22" s="212">
        <f>4066.6+1323+474.1+242.5+2620.7+5058.3+2146.1+571.5+1142.2+541.1-935</f>
        <v>17251.100000000002</v>
      </c>
      <c r="AD22" s="709">
        <f>4831.1+1339.3+464.6+320.1+3473.8+6075.3+2451.3+559.2+1173.7+619.5-1520.3</f>
        <v>19787.600000000002</v>
      </c>
      <c r="AE22" s="709">
        <f>5899.9+1692.9+665.1+351.4+4308.3+7589+3376.6+737.4+1725.8+714.2-1985.6</f>
        <v>25075</v>
      </c>
      <c r="AF22" s="709">
        <v>33619.1</v>
      </c>
      <c r="AG22" s="92">
        <f>AF22*(Household!AG18/Household!AF18)-9042.7</f>
        <v>30222.870302723484</v>
      </c>
      <c r="AH22" s="92">
        <f>AG22*(Household!AH18/Household!AG18)-675.502</f>
        <v>33999.933833790783</v>
      </c>
      <c r="AI22" s="92">
        <f>AH22*(Household!AI18/Household!AH18)-2727.1</f>
        <v>35683.531439245315</v>
      </c>
      <c r="AJ22" s="92">
        <f>AI22*(Household!AJ18/Household!AI18)+3029.94</f>
        <v>42497.516343909971</v>
      </c>
      <c r="AK22" s="92">
        <f>AJ22*(Household!AK18/Household!AJ18)-150.1586</f>
        <v>46562.40573438623</v>
      </c>
      <c r="AL22" s="92">
        <f>AK22*(Household!AL18/Household!AK18)+845.7732</f>
        <v>50363.647838425437</v>
      </c>
      <c r="AM22" s="92">
        <f>AL22*(Household!AM18/Household!AL18)+582.2976</f>
        <v>53960.030960303266</v>
      </c>
      <c r="AN22" s="92">
        <f>AM22*(Household!AN18/Household!AM18)</f>
        <v>59814.028912096059</v>
      </c>
      <c r="AO22" s="92">
        <f>AN22*(Household!AO18/Household!AN18)</f>
        <v>68123.423753736482</v>
      </c>
      <c r="AP22" s="92">
        <f>AO22*(Household!AP18/Household!AO18)</f>
        <v>75369.570072427698</v>
      </c>
      <c r="AS22" t="s">
        <v>640</v>
      </c>
    </row>
    <row r="23" spans="3:45">
      <c r="C23" s="162" t="s">
        <v>429</v>
      </c>
      <c r="D23" s="162"/>
      <c r="E23" s="162"/>
      <c r="F23" s="817"/>
      <c r="G23" s="216"/>
      <c r="H23" s="813"/>
      <c r="I23" s="814"/>
      <c r="J23"/>
      <c r="K23"/>
      <c r="L23"/>
      <c r="M23"/>
      <c r="N23"/>
      <c r="O23"/>
      <c r="P23"/>
      <c r="Q23"/>
      <c r="R23" s="214"/>
      <c r="S23" s="214"/>
      <c r="T23"/>
      <c r="U23"/>
      <c r="V23" s="156"/>
      <c r="W23" s="156"/>
      <c r="X23" s="156"/>
      <c r="Y23" s="156"/>
      <c r="Z23" s="214"/>
      <c r="AA23" s="156"/>
      <c r="AB23" s="214"/>
      <c r="AC23" s="214"/>
      <c r="AD23" s="215"/>
      <c r="AE23" s="156"/>
    </row>
    <row r="24" spans="3:45" ht="18">
      <c r="C24" s="157" t="s">
        <v>557</v>
      </c>
      <c r="D24" s="807">
        <v>300.2</v>
      </c>
      <c r="E24" s="807">
        <v>513.20000000000005</v>
      </c>
      <c r="F24" s="809">
        <v>710.8</v>
      </c>
      <c r="G24" s="815">
        <v>1085.0999999999999</v>
      </c>
      <c r="H24" s="815">
        <v>1545.6000000000001</v>
      </c>
      <c r="I24" s="815">
        <v>1950</v>
      </c>
      <c r="J24" s="815">
        <v>2743.2</v>
      </c>
      <c r="K24" s="815">
        <v>3116.5</v>
      </c>
      <c r="L24" s="815">
        <v>3520.3</v>
      </c>
      <c r="M24" s="815">
        <v>4577.8999999999996</v>
      </c>
      <c r="N24" s="815">
        <v>5901.4000000000005</v>
      </c>
      <c r="O24" s="174">
        <v>7901.2000000000007</v>
      </c>
      <c r="P24" s="174">
        <v>8912.2999999999993</v>
      </c>
      <c r="Q24" s="174">
        <v>11024</v>
      </c>
      <c r="R24" s="196">
        <v>13924</v>
      </c>
      <c r="S24" s="174">
        <v>16407</v>
      </c>
      <c r="T24" s="174">
        <v>17583.5</v>
      </c>
      <c r="U24" s="196">
        <v>20863.5</v>
      </c>
      <c r="V24" s="196">
        <f>V16+V17+V18+V19</f>
        <v>26411.999999999996</v>
      </c>
      <c r="W24" s="196">
        <f>W16+W17+W18+W19</f>
        <v>29077.4</v>
      </c>
      <c r="X24" s="174">
        <f t="shared" ref="X24:AI24" si="21">X16+X17+X18+X19</f>
        <v>33589.700000000004</v>
      </c>
      <c r="Y24" s="174">
        <f t="shared" si="21"/>
        <v>38493</v>
      </c>
      <c r="Z24" s="174">
        <f t="shared" si="21"/>
        <v>42663.299999999996</v>
      </c>
      <c r="AA24" s="174">
        <f t="shared" si="21"/>
        <v>47425.5</v>
      </c>
      <c r="AB24" s="174">
        <f t="shared" si="21"/>
        <v>58247</v>
      </c>
      <c r="AC24" s="174">
        <f t="shared" si="21"/>
        <v>68116.900000000009</v>
      </c>
      <c r="AD24" s="174">
        <f t="shared" si="21"/>
        <v>75018.8</v>
      </c>
      <c r="AE24" s="174">
        <f t="shared" ref="AE24" si="22">AE16+AE17+AE18+AE19</f>
        <v>86455.7</v>
      </c>
      <c r="AF24" s="208">
        <f t="shared" si="21"/>
        <v>80061</v>
      </c>
      <c r="AG24" s="208">
        <f t="shared" si="21"/>
        <v>115090.0115370118</v>
      </c>
      <c r="AH24" s="208">
        <f t="shared" si="21"/>
        <v>129938.51900538497</v>
      </c>
      <c r="AI24" s="208">
        <f t="shared" si="21"/>
        <v>153057.63466356136</v>
      </c>
      <c r="AJ24" s="208">
        <f>AJ16+AJ17+AJ18+AJ19</f>
        <v>172852.54012006504</v>
      </c>
      <c r="AK24" s="208">
        <f>AK16+AK17+AK18+AK19</f>
        <v>194376.52915527584</v>
      </c>
      <c r="AL24" s="208">
        <f>AL16+AL17+AL18+AL19</f>
        <v>227100.08889584156</v>
      </c>
      <c r="AM24" s="208">
        <f>AM16+AM17+AM18+AM19</f>
        <v>262523.75803775369</v>
      </c>
      <c r="AN24" s="208">
        <f t="shared" ref="AN24:AP24" si="23">AN16+AN17+AN18+AN19</f>
        <v>264652.50418231543</v>
      </c>
      <c r="AO24" s="208">
        <f t="shared" si="23"/>
        <v>298550.9703254269</v>
      </c>
      <c r="AP24" s="208">
        <f t="shared" si="23"/>
        <v>339728.14878013497</v>
      </c>
      <c r="AS24" t="s">
        <v>641</v>
      </c>
    </row>
    <row r="25" spans="3:45" ht="18">
      <c r="C25" s="157" t="s">
        <v>558</v>
      </c>
      <c r="D25" s="807">
        <v>168.39999999999998</v>
      </c>
      <c r="E25" s="807">
        <v>434.20000000000005</v>
      </c>
      <c r="F25" s="809">
        <v>536.20000000000005</v>
      </c>
      <c r="G25" s="216">
        <v>552</v>
      </c>
      <c r="H25" s="216">
        <v>787.89999999999986</v>
      </c>
      <c r="I25" s="216">
        <v>1092.5</v>
      </c>
      <c r="J25" s="216">
        <v>1509.9000000000005</v>
      </c>
      <c r="K25" s="216">
        <v>2371</v>
      </c>
      <c r="L25" s="216">
        <v>2855.0999999999995</v>
      </c>
      <c r="M25" s="216">
        <v>3697.7000000000007</v>
      </c>
      <c r="N25" s="216">
        <v>5299.3999999999987</v>
      </c>
      <c r="O25" s="212">
        <v>7744.3</v>
      </c>
      <c r="P25" s="212">
        <v>9429.7000000000007</v>
      </c>
      <c r="Q25" s="212">
        <v>10901.3</v>
      </c>
      <c r="R25" s="819">
        <v>12419.6</v>
      </c>
      <c r="S25" s="212">
        <v>15300.299999999997</v>
      </c>
      <c r="T25" s="212">
        <v>17782.2</v>
      </c>
      <c r="U25" s="212">
        <v>18381.5</v>
      </c>
      <c r="V25" s="212">
        <f t="shared" ref="V25:Y25" si="24">V20+V21+V22</f>
        <v>19195.199999999997</v>
      </c>
      <c r="W25" s="212">
        <f t="shared" si="24"/>
        <v>20052.800000000003</v>
      </c>
      <c r="X25" s="212">
        <f t="shared" si="24"/>
        <v>24507.5</v>
      </c>
      <c r="Y25" s="212">
        <f t="shared" si="24"/>
        <v>25547.100000000002</v>
      </c>
      <c r="Z25" s="212">
        <f t="shared" ref="Z25:AP25" si="25">Z15-Z24</f>
        <v>28753.799999999996</v>
      </c>
      <c r="AA25" s="212">
        <f t="shared" si="25"/>
        <v>28990.100000000006</v>
      </c>
      <c r="AB25" s="212">
        <f t="shared" si="25"/>
        <v>33132.800000000017</v>
      </c>
      <c r="AC25" s="212">
        <f t="shared" si="25"/>
        <v>39377.400000000009</v>
      </c>
      <c r="AD25" s="212">
        <f>AD15-AD24</f>
        <v>44565.900000000009</v>
      </c>
      <c r="AE25" s="212">
        <f>AE15-AE24</f>
        <v>54803.3</v>
      </c>
      <c r="AF25" s="216">
        <f t="shared" si="25"/>
        <v>78701</v>
      </c>
      <c r="AG25" s="216">
        <f t="shared" si="25"/>
        <v>66197.808338674397</v>
      </c>
      <c r="AH25" s="216">
        <f t="shared" si="25"/>
        <v>75024.390671379602</v>
      </c>
      <c r="AI25" s="216">
        <f t="shared" si="25"/>
        <v>79941.284824070986</v>
      </c>
      <c r="AJ25" s="216">
        <f t="shared" si="25"/>
        <v>96379.879264110234</v>
      </c>
      <c r="AK25" s="216">
        <f t="shared" si="25"/>
        <v>109633.27045141615</v>
      </c>
      <c r="AL25" s="216">
        <f t="shared" si="25"/>
        <v>118801.49916686252</v>
      </c>
      <c r="AM25" s="216">
        <f t="shared" si="25"/>
        <v>127682.18879880611</v>
      </c>
      <c r="AN25" s="216">
        <f t="shared" si="25"/>
        <v>168912.94801408541</v>
      </c>
      <c r="AO25" s="216">
        <f t="shared" si="25"/>
        <v>182210.37213500444</v>
      </c>
      <c r="AP25" s="216">
        <f t="shared" si="25"/>
        <v>194721.41835710127</v>
      </c>
      <c r="AS25" t="s">
        <v>642</v>
      </c>
    </row>
    <row r="26" spans="3:45"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217"/>
      <c r="W26" s="217"/>
      <c r="X26" s="216"/>
      <c r="Y26" s="216"/>
      <c r="Z26" s="216"/>
      <c r="AA26" s="216"/>
      <c r="AB26" s="216"/>
      <c r="AC26" s="212"/>
      <c r="AD26" s="216"/>
      <c r="AE26" s="216"/>
    </row>
    <row r="27" spans="3:45"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218">
        <v>5370.7999999999956</v>
      </c>
      <c r="W27" s="218">
        <f t="shared" ref="W27:AD27" si="26">W13-V13</f>
        <v>3812.9000000000015</v>
      </c>
      <c r="X27" s="218">
        <f t="shared" si="26"/>
        <v>9644.0000000000073</v>
      </c>
      <c r="Y27" s="218">
        <f t="shared" si="26"/>
        <v>6624.8999999999942</v>
      </c>
      <c r="Z27" s="218">
        <f t="shared" si="26"/>
        <v>8050.5999999999913</v>
      </c>
      <c r="AA27" s="218">
        <f t="shared" si="26"/>
        <v>4848.5000000000146</v>
      </c>
      <c r="AB27" s="218">
        <f t="shared" si="26"/>
        <v>17118.000000000015</v>
      </c>
      <c r="AC27" s="174">
        <f t="shared" si="26"/>
        <v>17105.399999999994</v>
      </c>
      <c r="AD27" s="174">
        <f t="shared" si="26"/>
        <v>14600.200000000012</v>
      </c>
      <c r="AE27" s="706">
        <f>AE13-AD13</f>
        <v>23001.999999999971</v>
      </c>
      <c r="AF27" s="706">
        <f>AF13-AE13</f>
        <v>21135.100000000006</v>
      </c>
      <c r="AG27" s="218">
        <f t="shared" ref="AG27" si="27">AG13-AF13</f>
        <v>22979.137368186202</v>
      </c>
      <c r="AH27" s="218">
        <f t="shared" ref="AH27" si="28">AH13-AG13</f>
        <v>25559.070987878367</v>
      </c>
      <c r="AI27" s="218">
        <f t="shared" ref="AI27" si="29">AI13-AH13</f>
        <v>29153.201355873636</v>
      </c>
      <c r="AJ27" s="218">
        <f t="shared" ref="AJ27:AL27" si="30">AJ13-AI13</f>
        <v>36344.86531303855</v>
      </c>
      <c r="AK27" s="218">
        <f t="shared" si="30"/>
        <v>35032.322559038701</v>
      </c>
      <c r="AL27" s="218">
        <f t="shared" si="30"/>
        <v>42343.207103705732</v>
      </c>
      <c r="AM27" s="218">
        <f t="shared" ref="AM27" si="31">AM13-AL13</f>
        <v>45639.487596397579</v>
      </c>
      <c r="AN27" s="218">
        <f t="shared" ref="AN27" si="32">AN13-AM13</f>
        <v>46446.891474753036</v>
      </c>
      <c r="AO27" s="218">
        <f t="shared" ref="AO27" si="33">AO13-AN13</f>
        <v>50684.551409761596</v>
      </c>
      <c r="AP27" s="218">
        <f t="shared" ref="AP27" si="34">AP13-AO13</f>
        <v>57630.322762421798</v>
      </c>
    </row>
    <row r="30" spans="3:45" ht="18">
      <c r="C30" s="164" t="s">
        <v>559</v>
      </c>
      <c r="D30" s="161">
        <v>101.7</v>
      </c>
      <c r="E30" s="161">
        <v>105.3</v>
      </c>
      <c r="F30" s="831">
        <v>103.7</v>
      </c>
      <c r="G30" s="820">
        <v>108.3</v>
      </c>
      <c r="H30" s="820">
        <v>109.6</v>
      </c>
      <c r="I30" s="820">
        <v>110.8</v>
      </c>
      <c r="J30" s="820">
        <v>111.1</v>
      </c>
      <c r="K30" s="820">
        <v>110.3</v>
      </c>
      <c r="L30" s="820">
        <v>106.7</v>
      </c>
      <c r="M30" s="828">
        <v>107</v>
      </c>
      <c r="N30" s="828">
        <v>107.8</v>
      </c>
      <c r="O30" s="828">
        <v>107.9</v>
      </c>
      <c r="P30" s="828">
        <v>103.9</v>
      </c>
      <c r="Q30" s="219">
        <v>106.5</v>
      </c>
      <c r="R30" s="219">
        <v>107.4</v>
      </c>
      <c r="S30" s="219">
        <v>107.5</v>
      </c>
      <c r="T30" s="219">
        <v>107.4</v>
      </c>
      <c r="U30" s="219">
        <v>106.7</v>
      </c>
      <c r="V30" s="94">
        <v>106</v>
      </c>
      <c r="W30">
        <f t="shared" ref="W30:AH30" si="35">(V14*W31+W32*V15)/(V14+V15)</f>
        <v>106.89999999999999</v>
      </c>
      <c r="X30">
        <f t="shared" si="35"/>
        <v>107.1</v>
      </c>
      <c r="Y30" s="94">
        <f>(X14*Y31+Y32*X15)/(X14+X15)</f>
        <v>106.95738760256572</v>
      </c>
      <c r="Z30" s="94">
        <f t="shared" si="35"/>
        <v>107.4424302553364</v>
      </c>
      <c r="AA30" s="94">
        <f t="shared" si="35"/>
        <v>104.63389377801489</v>
      </c>
      <c r="AB30" s="94">
        <f t="shared" si="35"/>
        <v>110.98124580893132</v>
      </c>
      <c r="AC30" s="94">
        <f t="shared" si="35"/>
        <v>108.03592118033602</v>
      </c>
      <c r="AD30" s="94">
        <f>(AC14*AD31+AD32*AC15)/(AC14+AC15)</f>
        <v>108.31976837361451</v>
      </c>
      <c r="AE30" s="94">
        <f>(AD14*AE31+AE32*AD15)/(AD14+AD15)</f>
        <v>108.4291832644482</v>
      </c>
      <c r="AF30" s="94">
        <f>(AE14*AF31+AF32*AE15)/(AE14+AE15)</f>
        <v>108.43562605134716</v>
      </c>
      <c r="AG30" s="94">
        <f>(AF14*AG31+AG32*AF15)/(AF14+AF15)</f>
        <v>108.49433156989561</v>
      </c>
      <c r="AH30" s="94">
        <f t="shared" si="35"/>
        <v>108.43204362986133</v>
      </c>
      <c r="AI30" s="94">
        <f>(AH14*AI31+AI32*AH15)/(AH14+AH15)</f>
        <v>108.5884711213525</v>
      </c>
      <c r="AJ30" s="94">
        <f t="shared" ref="AJ30" si="36">(AI14*AJ31+AJ32*AI15)/(AI14+AI15)</f>
        <v>108.78200675581428</v>
      </c>
      <c r="AK30" s="94">
        <f>(AJ14*AK31+AK32*AJ15)/(AJ14+AJ15)</f>
        <v>108.04843594512415</v>
      </c>
      <c r="AL30" s="94">
        <f t="shared" ref="AL30" si="37">(AK14*AL31+AL32*AK15)/(AK14+AK15)</f>
        <v>108.54825631851573</v>
      </c>
      <c r="AM30" s="94">
        <f t="shared" ref="AM30" si="38">(AL14*AM31+AM32*AL15)/(AL14+AL15)</f>
        <v>108.06837462699862</v>
      </c>
      <c r="AN30" s="94">
        <f t="shared" ref="AN30" si="39">(AM14*AN31+AN32*AM15)/(AM14+AM15)</f>
        <v>108.10104640261854</v>
      </c>
      <c r="AO30" s="94">
        <f t="shared" ref="AO30" si="40">(AN14*AO31+AO32*AN15)/(AN14+AN15)</f>
        <v>108.24890917885453</v>
      </c>
      <c r="AP30" s="94">
        <f t="shared" ref="AP30" si="41">(AO14*AP31+AP32*AO15)/(AO14+AO15)</f>
        <v>108.60848412660823</v>
      </c>
      <c r="AS30" t="s">
        <v>643</v>
      </c>
    </row>
    <row r="31" spans="3:45" ht="18">
      <c r="C31" s="164" t="s">
        <v>548</v>
      </c>
      <c r="D31" s="164"/>
      <c r="E31" s="164"/>
      <c r="F31" s="164"/>
      <c r="G31" s="820"/>
      <c r="H31" s="820">
        <v>110</v>
      </c>
      <c r="I31" s="820">
        <v>111.8</v>
      </c>
      <c r="J31" s="820">
        <v>111.9</v>
      </c>
      <c r="K31" s="820">
        <v>111</v>
      </c>
      <c r="L31" s="820">
        <v>107.3</v>
      </c>
      <c r="M31" s="820">
        <v>107.4</v>
      </c>
      <c r="N31" s="820">
        <v>108.3</v>
      </c>
      <c r="O31" s="820">
        <v>107.9</v>
      </c>
      <c r="P31" s="828">
        <v>102</v>
      </c>
      <c r="Q31" s="219">
        <v>106.5</v>
      </c>
      <c r="R31" s="219">
        <v>107.4</v>
      </c>
      <c r="S31" s="219">
        <v>107.5</v>
      </c>
      <c r="T31" s="219">
        <v>107.4</v>
      </c>
      <c r="U31" s="219">
        <v>106.7</v>
      </c>
      <c r="V31" s="219">
        <v>106</v>
      </c>
      <c r="W31" s="219">
        <v>106.9</v>
      </c>
      <c r="X31" s="219">
        <v>107.1</v>
      </c>
      <c r="Y31" s="219">
        <v>104.8</v>
      </c>
      <c r="Z31" s="219">
        <v>103</v>
      </c>
      <c r="AA31" s="219">
        <v>100</v>
      </c>
      <c r="AB31" s="94">
        <v>100</v>
      </c>
      <c r="AC31" s="94">
        <v>100</v>
      </c>
      <c r="AD31" s="94">
        <v>100</v>
      </c>
      <c r="AE31" s="94">
        <f>(AE32/100)^1*100</f>
        <v>108.42918326444821</v>
      </c>
      <c r="AF31" s="94">
        <f t="shared" ref="AF31:AH31" si="42">(AF32/100)^1*100</f>
        <v>108.43562605134719</v>
      </c>
      <c r="AG31" s="94">
        <f>(AG32/100)^1*100</f>
        <v>108.49433156989561</v>
      </c>
      <c r="AH31" s="94">
        <f t="shared" si="42"/>
        <v>108.43204362986134</v>
      </c>
      <c r="AI31" s="94">
        <f>(AI32/100)^1*100</f>
        <v>108.5884711213525</v>
      </c>
      <c r="AJ31" s="94">
        <f t="shared" ref="AJ31:AP31" si="43">(AJ32/100)^1*100</f>
        <v>108.78200675581428</v>
      </c>
      <c r="AK31" s="94">
        <f>(AK32/100)^1*100</f>
        <v>108.04843594512417</v>
      </c>
      <c r="AL31" s="94">
        <f t="shared" si="43"/>
        <v>108.54825631851573</v>
      </c>
      <c r="AM31" s="94">
        <f t="shared" si="43"/>
        <v>108.0683746269986</v>
      </c>
      <c r="AN31" s="94">
        <f t="shared" si="43"/>
        <v>108.10104640261852</v>
      </c>
      <c r="AO31" s="94">
        <f t="shared" si="43"/>
        <v>108.24890917885452</v>
      </c>
      <c r="AP31" s="94">
        <f t="shared" si="43"/>
        <v>108.60848412660825</v>
      </c>
      <c r="AS31" s="46" t="s">
        <v>644</v>
      </c>
    </row>
    <row r="32" spans="3:45" ht="18">
      <c r="C32" s="164" t="s">
        <v>549</v>
      </c>
      <c r="D32" s="164"/>
      <c r="E32" s="164"/>
      <c r="F32" s="164"/>
      <c r="G32" s="820"/>
      <c r="H32" s="821">
        <v>109.60139270661536</v>
      </c>
      <c r="I32" s="821">
        <v>110.72988215127491</v>
      </c>
      <c r="J32" s="821">
        <v>111.03319638455218</v>
      </c>
      <c r="K32" s="821">
        <v>110.16365944840234</v>
      </c>
      <c r="L32" s="821">
        <v>106.664145785877</v>
      </c>
      <c r="M32" s="821">
        <v>106.90175675251749</v>
      </c>
      <c r="N32" s="821">
        <v>107.66178283145634</v>
      </c>
      <c r="O32" s="821">
        <v>107.89470573530463</v>
      </c>
      <c r="P32" s="220">
        <v>103.9</v>
      </c>
      <c r="Q32" s="220">
        <v>106.5</v>
      </c>
      <c r="R32" s="220">
        <v>107.4</v>
      </c>
      <c r="S32" s="220">
        <v>107.5</v>
      </c>
      <c r="T32" s="220">
        <v>107.4</v>
      </c>
      <c r="U32" s="220">
        <v>106.7</v>
      </c>
      <c r="V32" s="220">
        <v>106</v>
      </c>
      <c r="W32" s="220">
        <v>106.9</v>
      </c>
      <c r="X32" s="220">
        <v>107.1</v>
      </c>
      <c r="Y32" s="220">
        <f t="shared" ref="Y32:AI32" si="44">SUMPRODUCT(Y33:Y39,X16:X22)/SUM(X16:X22)</f>
        <v>107.19271014782123</v>
      </c>
      <c r="Z32" s="220">
        <f t="shared" si="44"/>
        <v>107.92934177179612</v>
      </c>
      <c r="AA32" s="220">
        <f t="shared" si="44"/>
        <v>105.13303410527733</v>
      </c>
      <c r="AB32" s="94">
        <f t="shared" si="44"/>
        <v>112.06516378854576</v>
      </c>
      <c r="AC32" s="94">
        <f t="shared" si="44"/>
        <v>108.88862943451394</v>
      </c>
      <c r="AD32" s="581">
        <f>SUMPRODUCT(AD33:AD39,AC16:AC22)/SUM(AC16:AC22)</f>
        <v>109.14694425657916</v>
      </c>
      <c r="AE32" s="94">
        <f>SUMPRODUCT(AE33:AE39,AD16:AD22)/SUM(AD16:AD22)</f>
        <v>108.42918326444821</v>
      </c>
      <c r="AF32" s="94">
        <f t="shared" si="44"/>
        <v>108.43562605134717</v>
      </c>
      <c r="AG32" s="94">
        <f t="shared" si="44"/>
        <v>108.49433156989561</v>
      </c>
      <c r="AH32" s="94">
        <f t="shared" si="44"/>
        <v>108.43204362986134</v>
      </c>
      <c r="AI32" s="94">
        <f t="shared" si="44"/>
        <v>108.5884711213525</v>
      </c>
      <c r="AJ32" s="94">
        <f t="shared" ref="AJ32" si="45">SUMPRODUCT(AJ33:AJ39,AI16:AI22)/SUM(AI16:AI22)</f>
        <v>108.78200675581428</v>
      </c>
      <c r="AK32" s="94">
        <f>SUMPRODUCT(AK33:AK39,AJ16:AJ22)/SUM(AJ16:AJ22)</f>
        <v>108.04843594512417</v>
      </c>
      <c r="AL32" s="94">
        <f t="shared" ref="AL32" si="46">SUMPRODUCT(AL33:AL39,AK16:AK22)/SUM(AK16:AK22)</f>
        <v>108.54825631851573</v>
      </c>
      <c r="AM32" s="94">
        <f t="shared" ref="AM32" si="47">SUMPRODUCT(AM33:AM39,AL16:AL22)/SUM(AL16:AL22)</f>
        <v>108.06837462699862</v>
      </c>
      <c r="AN32" s="94">
        <f t="shared" ref="AN32" si="48">SUMPRODUCT(AN33:AN39,AM16:AM22)/SUM(AM16:AM22)</f>
        <v>108.10104640261854</v>
      </c>
      <c r="AO32" s="94">
        <f t="shared" ref="AO32" si="49">SUMPRODUCT(AO33:AO39,AN16:AN22)/SUM(AN16:AN22)</f>
        <v>108.24890917885452</v>
      </c>
      <c r="AP32" s="94">
        <f t="shared" ref="AP32" si="50">SUMPRODUCT(AP33:AP39,AO16:AO22)/SUM(AO16:AO22)</f>
        <v>108.60848412660823</v>
      </c>
      <c r="AS32" t="s">
        <v>645</v>
      </c>
    </row>
    <row r="33" spans="3:45" ht="18">
      <c r="C33" s="157" t="s">
        <v>550</v>
      </c>
      <c r="D33" s="157"/>
      <c r="E33" s="157"/>
      <c r="F33" s="157"/>
      <c r="G33" s="820"/>
      <c r="H33" s="820"/>
      <c r="I33" s="820"/>
      <c r="J33" s="820"/>
      <c r="K33" s="820"/>
      <c r="L33" s="820">
        <v>101.4</v>
      </c>
      <c r="M33" s="828">
        <v>105.7</v>
      </c>
      <c r="N33" s="828">
        <v>103.5</v>
      </c>
      <c r="O33" s="828">
        <v>106.1</v>
      </c>
      <c r="P33" s="828">
        <v>110.5</v>
      </c>
      <c r="Q33" s="219">
        <v>106.8</v>
      </c>
      <c r="R33" s="219">
        <v>107.9</v>
      </c>
      <c r="S33" s="219">
        <v>110.4</v>
      </c>
      <c r="T33" s="219">
        <v>107.6</v>
      </c>
      <c r="U33" s="219">
        <v>104.5</v>
      </c>
      <c r="V33" s="220">
        <f>Agriculture!V3</f>
        <v>103.2</v>
      </c>
      <c r="W33" s="220">
        <f>Agriculture!W3</f>
        <v>105.2</v>
      </c>
      <c r="X33" s="220">
        <f>Agriculture!X3</f>
        <v>106.8</v>
      </c>
      <c r="Y33" s="220">
        <f>Agriculture!Y3</f>
        <v>104</v>
      </c>
      <c r="Z33" s="220">
        <f>Agriculture!Z3</f>
        <v>107.1</v>
      </c>
      <c r="AA33" s="220">
        <f>Agriculture!AA3</f>
        <v>108.8</v>
      </c>
      <c r="AB33" s="94">
        <f>Agriculture!AB3</f>
        <v>106.6</v>
      </c>
      <c r="AC33" s="94">
        <f>Agriculture!AC3</f>
        <v>108</v>
      </c>
      <c r="AD33" s="691">
        <v>112.2</v>
      </c>
      <c r="AE33" s="94">
        <f>Agriculture!AE3</f>
        <v>110.6</v>
      </c>
      <c r="AF33" s="94">
        <f>Agriculture!AF3</f>
        <v>109.5</v>
      </c>
      <c r="AG33" s="94">
        <f>Agriculture!AG3</f>
        <v>108.91987241566737</v>
      </c>
      <c r="AH33" s="94">
        <f>Agriculture!AH3</f>
        <v>108.61303019155473</v>
      </c>
      <c r="AI33" s="94">
        <f>Agriculture!AI3</f>
        <v>108.27264962165613</v>
      </c>
      <c r="AJ33" s="94">
        <f>Agriculture!AJ3</f>
        <v>108.15397849978116</v>
      </c>
      <c r="AK33" s="94">
        <f>Agriculture!AK3</f>
        <v>108.3135637717354</v>
      </c>
      <c r="AL33" s="94">
        <f>Agriculture!AL3</f>
        <v>107.60081494935515</v>
      </c>
      <c r="AM33" s="94">
        <f>Agriculture!AM3</f>
        <v>107.54575403019618</v>
      </c>
      <c r="AN33" s="94">
        <f>Agriculture!AN3</f>
        <v>107.24871212600701</v>
      </c>
      <c r="AO33" s="94">
        <f>Agriculture!AO3</f>
        <v>107.00485687696262</v>
      </c>
      <c r="AP33" s="94">
        <f>Agriculture!AP3</f>
        <v>107.25534688487758</v>
      </c>
      <c r="AS33" t="s">
        <v>646</v>
      </c>
    </row>
    <row r="34" spans="3:45" ht="18">
      <c r="C34" s="157" t="s">
        <v>551</v>
      </c>
      <c r="D34" s="157"/>
      <c r="E34" s="157"/>
      <c r="F34" s="157"/>
      <c r="G34" s="820"/>
      <c r="H34" s="820"/>
      <c r="I34" s="820"/>
      <c r="J34" s="820"/>
      <c r="K34" s="820"/>
      <c r="L34" s="820">
        <v>106.4</v>
      </c>
      <c r="M34" s="828">
        <v>105.5</v>
      </c>
      <c r="N34" s="828">
        <v>109.9</v>
      </c>
      <c r="O34" s="828">
        <v>96.5</v>
      </c>
      <c r="P34" s="828">
        <v>93.5</v>
      </c>
      <c r="Q34" s="219">
        <v>109.2</v>
      </c>
      <c r="R34" s="219">
        <v>105.7</v>
      </c>
      <c r="S34" s="219">
        <v>110.8</v>
      </c>
      <c r="T34" s="829">
        <v>103.8</v>
      </c>
      <c r="U34" s="219">
        <v>105</v>
      </c>
      <c r="V34" s="220">
        <f>Industry!V58</f>
        <v>111.3</v>
      </c>
      <c r="W34" s="220">
        <f>Industry!W58</f>
        <v>116</v>
      </c>
      <c r="X34" s="220">
        <f>Industry!X58</f>
        <v>121.3</v>
      </c>
      <c r="Y34" s="220">
        <f>Industry!Y58</f>
        <v>110.6</v>
      </c>
      <c r="Z34" s="220">
        <f>Industry!Z58</f>
        <v>113.2</v>
      </c>
      <c r="AA34" s="220">
        <f>Industry!AA58</f>
        <v>108.8</v>
      </c>
      <c r="AB34" s="94">
        <f>Industry!AB58</f>
        <v>120.8</v>
      </c>
      <c r="AC34" s="94">
        <f>Industry!AC58</f>
        <v>115.4</v>
      </c>
      <c r="AD34" s="691">
        <v>109.7</v>
      </c>
      <c r="AE34" s="94">
        <f>Industry!AE58</f>
        <v>120</v>
      </c>
      <c r="AF34" s="94">
        <f>Industry!AF58</f>
        <v>122.1</v>
      </c>
      <c r="AG34" s="94">
        <f>Industry!AG58</f>
        <v>125.02096627281625</v>
      </c>
      <c r="AH34" s="94">
        <f>Industry!AH58</f>
        <v>125.00010346903679</v>
      </c>
      <c r="AI34" s="94">
        <f>Industry!AI58</f>
        <v>125.10772131494927</v>
      </c>
      <c r="AJ34" s="94">
        <f>Industry!AJ58</f>
        <v>125.07379530741514</v>
      </c>
      <c r="AK34" s="94">
        <f>Industry!AK58</f>
        <v>119.95581243415236</v>
      </c>
      <c r="AL34" s="94">
        <f>Industry!AL58</f>
        <v>119.92602525044774</v>
      </c>
      <c r="AM34" s="94">
        <f>Industry!AM58</f>
        <v>120.07027383022358</v>
      </c>
      <c r="AN34" s="94">
        <f>Industry!AN58</f>
        <v>111.30175408111008</v>
      </c>
      <c r="AO34" s="94">
        <f>Industry!AO58</f>
        <v>109.17266964720974</v>
      </c>
      <c r="AP34" s="94">
        <f>Industry!AP58</f>
        <v>122.33960441142446</v>
      </c>
      <c r="AS34" t="s">
        <v>647</v>
      </c>
    </row>
    <row r="35" spans="3:45" ht="18">
      <c r="C35" s="157" t="s">
        <v>552</v>
      </c>
      <c r="D35" s="157"/>
      <c r="E35" s="157"/>
      <c r="F35" s="157"/>
      <c r="G35" s="820"/>
      <c r="H35" s="822"/>
      <c r="I35" s="822"/>
      <c r="J35" s="822"/>
      <c r="K35" s="822"/>
      <c r="L35" s="822">
        <v>116.4</v>
      </c>
      <c r="M35" s="822">
        <v>107.2</v>
      </c>
      <c r="N35" s="822">
        <v>110.4</v>
      </c>
      <c r="O35" s="822">
        <v>121.2</v>
      </c>
      <c r="P35" s="822">
        <v>84.5</v>
      </c>
      <c r="Q35" s="219">
        <v>109.52933837036008</v>
      </c>
      <c r="R35" s="219">
        <v>105.5</v>
      </c>
      <c r="S35" s="219">
        <v>75.599999999999994</v>
      </c>
      <c r="T35" s="219">
        <v>117.2</v>
      </c>
      <c r="U35" s="219">
        <v>125.3</v>
      </c>
      <c r="V35" s="220">
        <f>OEA!V39</f>
        <v>121.2</v>
      </c>
      <c r="W35" s="220">
        <f>OEA!W39</f>
        <v>120.3</v>
      </c>
      <c r="X35" s="220">
        <f>OEA!X39</f>
        <v>104.1</v>
      </c>
      <c r="Y35" s="220">
        <f>OEA!Y39</f>
        <v>110.2</v>
      </c>
      <c r="Z35" s="220">
        <f>OEA!Z39</f>
        <v>104.6</v>
      </c>
      <c r="AA35" s="220">
        <f>OEA!AA39</f>
        <v>104</v>
      </c>
      <c r="AB35" s="189">
        <v>132.1</v>
      </c>
      <c r="AC35" s="94">
        <f>OEA!AC39</f>
        <v>111.4</v>
      </c>
      <c r="AD35" s="691">
        <f>OEA!AD39</f>
        <v>112.3</v>
      </c>
      <c r="AE35" s="94">
        <f>OEA!AE39</f>
        <v>114.38905264772578</v>
      </c>
      <c r="AF35" s="94">
        <f>OEA!AF39</f>
        <v>68.092444010713166</v>
      </c>
      <c r="AG35" s="94">
        <f>OEA!AG39</f>
        <v>173.24992872393935</v>
      </c>
      <c r="AH35" s="94">
        <f>OEA!AH39</f>
        <v>116.08605509492818</v>
      </c>
      <c r="AI35" s="94">
        <f>OEA!AI39</f>
        <v>110.87035705184428</v>
      </c>
      <c r="AJ35" s="94">
        <f>OEA!AJ39</f>
        <v>125.03680854928925</v>
      </c>
      <c r="AK35" s="94">
        <f>OEA!AK39</f>
        <v>115.54982397635719</v>
      </c>
      <c r="AL35" s="94">
        <f>OEA!AL39</f>
        <v>116.54057368406799</v>
      </c>
      <c r="AM35" s="94">
        <f>OEA!AM39</f>
        <v>114.67559181842475</v>
      </c>
      <c r="AN35" s="94">
        <f>OEA!AN39</f>
        <v>138.94089544808796</v>
      </c>
      <c r="AO35" s="94">
        <f>OEA!AO39</f>
        <v>128.38684604357985</v>
      </c>
      <c r="AP35" s="94">
        <f>OEA!AP39</f>
        <v>130.59510157906368</v>
      </c>
      <c r="AS35" t="s">
        <v>648</v>
      </c>
    </row>
    <row r="36" spans="3:45" ht="18">
      <c r="C36" s="157" t="s">
        <v>553</v>
      </c>
      <c r="D36" s="157"/>
      <c r="E36" s="157"/>
      <c r="F36" s="157"/>
      <c r="G36" s="820"/>
      <c r="H36" s="820"/>
      <c r="I36" s="820"/>
      <c r="J36" s="820"/>
      <c r="K36" s="820"/>
      <c r="L36" s="820">
        <v>100</v>
      </c>
      <c r="M36" s="820">
        <v>100</v>
      </c>
      <c r="N36" s="820">
        <v>110.2</v>
      </c>
      <c r="O36" s="820">
        <v>100</v>
      </c>
      <c r="P36" s="820">
        <v>100</v>
      </c>
      <c r="Q36" s="219">
        <v>109.2</v>
      </c>
      <c r="R36" s="219">
        <v>105.7</v>
      </c>
      <c r="S36" s="219">
        <v>110.8</v>
      </c>
      <c r="T36" s="219">
        <v>103.8</v>
      </c>
      <c r="U36" s="219">
        <v>105</v>
      </c>
      <c r="V36" s="220">
        <f>V34</f>
        <v>111.3</v>
      </c>
      <c r="W36" s="220">
        <f t="shared" ref="W36:AP36" si="51">W34</f>
        <v>116</v>
      </c>
      <c r="X36" s="220">
        <f t="shared" si="51"/>
        <v>121.3</v>
      </c>
      <c r="Y36" s="220">
        <f t="shared" si="51"/>
        <v>110.6</v>
      </c>
      <c r="Z36" s="220">
        <f t="shared" si="51"/>
        <v>113.2</v>
      </c>
      <c r="AA36" s="220">
        <f t="shared" si="51"/>
        <v>108.8</v>
      </c>
      <c r="AB36" s="94">
        <f t="shared" si="51"/>
        <v>120.8</v>
      </c>
      <c r="AC36" s="94">
        <f>AC34</f>
        <v>115.4</v>
      </c>
      <c r="AD36" s="94">
        <f>AD34</f>
        <v>109.7</v>
      </c>
      <c r="AE36" s="94">
        <f t="shared" si="51"/>
        <v>120</v>
      </c>
      <c r="AF36" s="94">
        <f t="shared" si="51"/>
        <v>122.1</v>
      </c>
      <c r="AG36" s="94">
        <f t="shared" si="51"/>
        <v>125.02096627281625</v>
      </c>
      <c r="AH36" s="94">
        <f t="shared" si="51"/>
        <v>125.00010346903679</v>
      </c>
      <c r="AI36" s="94">
        <f t="shared" si="51"/>
        <v>125.10772131494927</v>
      </c>
      <c r="AJ36" s="94">
        <f t="shared" si="51"/>
        <v>125.07379530741514</v>
      </c>
      <c r="AK36" s="94">
        <f t="shared" si="51"/>
        <v>119.95581243415236</v>
      </c>
      <c r="AL36" s="94">
        <f t="shared" si="51"/>
        <v>119.92602525044774</v>
      </c>
      <c r="AM36" s="94">
        <f t="shared" si="51"/>
        <v>120.07027383022358</v>
      </c>
      <c r="AN36" s="94">
        <f t="shared" si="51"/>
        <v>111.30175408111008</v>
      </c>
      <c r="AO36" s="94">
        <f t="shared" si="51"/>
        <v>109.17266964720974</v>
      </c>
      <c r="AP36" s="94">
        <f t="shared" si="51"/>
        <v>122.33960441142446</v>
      </c>
      <c r="AS36" t="s">
        <v>649</v>
      </c>
    </row>
    <row r="37" spans="3:45" ht="18">
      <c r="C37" s="156" t="s">
        <v>554</v>
      </c>
      <c r="G37" s="820"/>
      <c r="H37" s="820"/>
      <c r="I37" s="820"/>
      <c r="J37" s="820"/>
      <c r="K37" s="820"/>
      <c r="L37" s="822">
        <v>108.9</v>
      </c>
      <c r="M37" s="830">
        <v>110.8</v>
      </c>
      <c r="N37" s="830">
        <v>105.3</v>
      </c>
      <c r="O37" s="830">
        <v>112.4</v>
      </c>
      <c r="P37" s="830">
        <v>112.5</v>
      </c>
      <c r="Q37" s="219">
        <v>107.5</v>
      </c>
      <c r="R37" s="219">
        <v>109.1</v>
      </c>
      <c r="S37" s="219">
        <v>115.9</v>
      </c>
      <c r="T37" s="219">
        <v>118.8</v>
      </c>
      <c r="U37" s="219">
        <v>106.7</v>
      </c>
      <c r="V37" s="220">
        <v>105.6</v>
      </c>
      <c r="W37" s="220">
        <v>106</v>
      </c>
      <c r="X37" s="220">
        <v>106.6</v>
      </c>
      <c r="Y37" s="220">
        <v>112.2</v>
      </c>
      <c r="Z37" s="219">
        <v>109.6</v>
      </c>
      <c r="AA37" s="220">
        <v>94.1</v>
      </c>
      <c r="AB37" s="189">
        <v>110.2</v>
      </c>
      <c r="AC37" s="94">
        <f>Household!AC4</f>
        <v>111.2</v>
      </c>
      <c r="AD37" s="691">
        <v>98.6</v>
      </c>
      <c r="AE37" s="94">
        <f>Household!AE4</f>
        <v>113.6</v>
      </c>
      <c r="AF37" s="94">
        <f>Household!AF4</f>
        <v>113.9</v>
      </c>
      <c r="AG37" s="94">
        <f>Household!AG4</f>
        <v>114.3279423781605</v>
      </c>
      <c r="AH37" s="94">
        <f>Household!AH4</f>
        <v>114.4652322077294</v>
      </c>
      <c r="AI37" s="94">
        <f>Household!AI4</f>
        <v>113.63166095807681</v>
      </c>
      <c r="AJ37" s="94">
        <f>Household!AJ4</f>
        <v>113.89224358350485</v>
      </c>
      <c r="AK37" s="94">
        <f>Household!AK4</f>
        <v>108.36872265199328</v>
      </c>
      <c r="AL37" s="94">
        <f>Household!AL4</f>
        <v>109.8489746524762</v>
      </c>
      <c r="AM37" s="94">
        <f>Household!AM4</f>
        <v>109.32916297519593</v>
      </c>
      <c r="AN37" s="94">
        <f>Household!AN4</f>
        <v>109.35302151139886</v>
      </c>
      <c r="AO37" s="94">
        <f>Household!AO4</f>
        <v>106.10895341643496</v>
      </c>
      <c r="AP37" s="94">
        <f>Household!AP4</f>
        <v>106.39788604260637</v>
      </c>
      <c r="AS37" t="s">
        <v>650</v>
      </c>
    </row>
    <row r="38" spans="3:45" ht="18">
      <c r="C38" s="156" t="s">
        <v>555</v>
      </c>
      <c r="G38" s="820"/>
      <c r="H38" s="820"/>
      <c r="I38" s="820"/>
      <c r="J38" s="820"/>
      <c r="K38" s="820"/>
      <c r="L38" s="822">
        <v>130</v>
      </c>
      <c r="M38" s="822">
        <v>118.1</v>
      </c>
      <c r="N38" s="822">
        <v>183.8</v>
      </c>
      <c r="O38" s="822">
        <v>143.30000000000001</v>
      </c>
      <c r="P38" s="822">
        <v>153.5</v>
      </c>
      <c r="Q38" s="825">
        <v>119.39625560290752</v>
      </c>
      <c r="R38" s="256">
        <v>150.89372037898082</v>
      </c>
      <c r="S38" s="256">
        <v>124.05491734420137</v>
      </c>
      <c r="T38" s="256">
        <v>110.30012518958152</v>
      </c>
      <c r="U38" s="256">
        <v>105.11255273591338</v>
      </c>
      <c r="V38" s="256">
        <v>102.1</v>
      </c>
      <c r="W38" s="256">
        <f>(W21/V21)^0.4*100</f>
        <v>100.13157904696681</v>
      </c>
      <c r="X38" s="256">
        <f>(X21/W21)^3*100</f>
        <v>99.680354311646752</v>
      </c>
      <c r="Y38" s="219">
        <v>93.3</v>
      </c>
      <c r="Z38" s="219">
        <v>115.7</v>
      </c>
      <c r="AA38" s="219">
        <v>79.400000000000006</v>
      </c>
      <c r="AB38" s="219">
        <v>95.3</v>
      </c>
      <c r="AC38" s="219">
        <v>96</v>
      </c>
      <c r="AD38" s="691">
        <v>121.7</v>
      </c>
      <c r="AE38" s="189">
        <f>(AE21/AD21)^0.82*100</f>
        <v>116.9822371476569</v>
      </c>
      <c r="AF38">
        <f>(AF21/AE21)^0.54*100</f>
        <v>137.89377462473459</v>
      </c>
      <c r="AG38">
        <f>(AG21/AF21)^2.85*100</f>
        <v>40.965147727175591</v>
      </c>
      <c r="AH38">
        <f>(AH21/AG21)^0.2*100</f>
        <v>102.34584351535983</v>
      </c>
      <c r="AI38">
        <f>(AI21/AH21)^1.22*100</f>
        <v>98.372346164684473</v>
      </c>
      <c r="AJ38">
        <f>(AJ21/AI21)^0.11*100</f>
        <v>102.99742899438145</v>
      </c>
      <c r="AK38">
        <f>(AK21/AJ21)^0.1*100</f>
        <v>101.41757422707715</v>
      </c>
      <c r="AL38">
        <f>(AL21/AK21)^0.2*100</f>
        <v>101.35521181284058</v>
      </c>
      <c r="AM38">
        <f>(AM21/AL21)^0.1*100</f>
        <v>101.00478738947717</v>
      </c>
      <c r="AN38">
        <f t="shared" ref="AN38" si="52">(AN21/AM21)^1.22*100</f>
        <v>146.69574748178383</v>
      </c>
      <c r="AO38">
        <f t="shared" ref="AO38" si="53">(AO21/AN21)^1.22*100</f>
        <v>103.16122197133922</v>
      </c>
      <c r="AP38">
        <f t="shared" ref="AP38" si="54">(AP21/AO21)^1.22*100</f>
        <v>102.40041165062075</v>
      </c>
      <c r="AS38" s="46" t="s">
        <v>651</v>
      </c>
    </row>
    <row r="39" spans="3:45" ht="18">
      <c r="C39" s="155" t="s">
        <v>556</v>
      </c>
      <c r="D39" s="155"/>
      <c r="E39" s="155"/>
      <c r="F39" s="155"/>
      <c r="G39"/>
      <c r="H39"/>
      <c r="I39"/>
      <c r="J39"/>
      <c r="K39"/>
      <c r="L39" s="823">
        <v>97.001641079936462</v>
      </c>
      <c r="M39" s="823">
        <v>96.376862502212006</v>
      </c>
      <c r="N39" s="823">
        <v>78.004340229242416</v>
      </c>
      <c r="O39" s="823">
        <v>92.627551333129034</v>
      </c>
      <c r="P39" s="823">
        <v>73.250436592317783</v>
      </c>
      <c r="Q39" s="827">
        <v>93</v>
      </c>
      <c r="R39" s="257">
        <v>97</v>
      </c>
      <c r="S39" s="257">
        <v>95</v>
      </c>
      <c r="T39" s="257">
        <v>95</v>
      </c>
      <c r="U39" s="257">
        <v>102</v>
      </c>
      <c r="V39" s="257">
        <v>97</v>
      </c>
      <c r="W39" s="257">
        <v>97</v>
      </c>
      <c r="X39" s="257">
        <v>101</v>
      </c>
      <c r="Y39" s="258">
        <v>108</v>
      </c>
      <c r="Z39" s="258">
        <v>101</v>
      </c>
      <c r="AA39" s="258">
        <v>115</v>
      </c>
      <c r="AB39" s="258">
        <v>101</v>
      </c>
      <c r="AC39" s="258">
        <v>100</v>
      </c>
      <c r="AD39" s="259">
        <v>106.5</v>
      </c>
      <c r="AE39" s="259">
        <v>75.5</v>
      </c>
      <c r="AF39" s="259">
        <v>103</v>
      </c>
      <c r="AG39" s="259">
        <v>96.5</v>
      </c>
      <c r="AH39" s="259">
        <v>74.5</v>
      </c>
      <c r="AI39" s="259">
        <v>82</v>
      </c>
      <c r="AJ39" s="259">
        <v>67</v>
      </c>
      <c r="AK39" s="259">
        <v>84</v>
      </c>
      <c r="AL39" s="259">
        <v>84</v>
      </c>
      <c r="AM39" s="259">
        <v>82</v>
      </c>
      <c r="AN39" s="259">
        <v>57</v>
      </c>
      <c r="AO39" s="259">
        <v>92.5</v>
      </c>
      <c r="AP39" s="259">
        <v>67</v>
      </c>
      <c r="AS39" t="s">
        <v>652</v>
      </c>
    </row>
    <row r="40" spans="3:45">
      <c r="C40" s="162" t="s">
        <v>429</v>
      </c>
      <c r="D40" s="162"/>
      <c r="E40" s="162"/>
      <c r="F40" s="162"/>
      <c r="G40" s="820"/>
      <c r="H40" s="820"/>
      <c r="I40" s="820"/>
      <c r="J40" s="820"/>
      <c r="K40" s="820"/>
      <c r="L40" s="826"/>
      <c r="M40" s="826"/>
      <c r="N40" s="826"/>
      <c r="O40" s="826"/>
      <c r="P40" s="826"/>
      <c r="Q40" s="826"/>
      <c r="R40" s="826"/>
      <c r="S40" s="826"/>
      <c r="T40" s="204"/>
      <c r="U40" s="204"/>
    </row>
    <row r="41" spans="3:45" ht="18">
      <c r="C41" s="157" t="s">
        <v>557</v>
      </c>
      <c r="D41" s="157"/>
      <c r="E41" s="157"/>
      <c r="F41" s="157"/>
      <c r="G41" s="820"/>
      <c r="H41" s="821">
        <v>112.4</v>
      </c>
      <c r="I41" s="821">
        <v>111</v>
      </c>
      <c r="J41" s="821">
        <v>111.5</v>
      </c>
      <c r="K41" s="821">
        <v>105.3</v>
      </c>
      <c r="L41" s="821">
        <v>105.8</v>
      </c>
      <c r="M41" s="821">
        <v>105.2</v>
      </c>
      <c r="N41" s="821">
        <v>104.4</v>
      </c>
      <c r="O41" s="821">
        <v>103.4</v>
      </c>
      <c r="P41" s="220">
        <v>99</v>
      </c>
      <c r="Q41" s="219">
        <v>106.1</v>
      </c>
      <c r="R41" s="219">
        <v>106.9</v>
      </c>
      <c r="S41" s="219">
        <v>103.6</v>
      </c>
      <c r="T41" s="219">
        <v>105.9</v>
      </c>
      <c r="U41" s="219">
        <v>112.2</v>
      </c>
      <c r="V41" s="219">
        <v>109.7</v>
      </c>
      <c r="W41" s="219">
        <v>114.1</v>
      </c>
      <c r="X41" s="219">
        <v>107.4</v>
      </c>
      <c r="Y41" s="219">
        <f>SUMPRODUCT(Y33:Y36,X16:X19)/SUM(X16:X19)</f>
        <v>107.94054784651246</v>
      </c>
      <c r="Z41" s="219">
        <f t="shared" ref="Z41:AH41" si="55">SUMPRODUCT(Z33:Z36,Y16:Y19)/SUM(Y16:Y19)</f>
        <v>108.87078689631882</v>
      </c>
      <c r="AA41" s="219">
        <f t="shared" si="55"/>
        <v>107.75573760117011</v>
      </c>
      <c r="AB41" s="219">
        <f t="shared" si="55"/>
        <v>117.20789680657029</v>
      </c>
      <c r="AC41" s="219">
        <f t="shared" si="55"/>
        <v>111.73319518601816</v>
      </c>
      <c r="AD41" s="94">
        <f t="shared" si="55"/>
        <v>111.20054186259208</v>
      </c>
      <c r="AE41" s="94">
        <f t="shared" si="55"/>
        <v>115.08057934935775</v>
      </c>
      <c r="AF41">
        <f t="shared" si="55"/>
        <v>105.70049053488295</v>
      </c>
      <c r="AG41">
        <f t="shared" si="55"/>
        <v>124.80915726447934</v>
      </c>
      <c r="AH41">
        <f t="shared" si="55"/>
        <v>116.68042563475072</v>
      </c>
      <c r="AI41">
        <f>SUMPRODUCT(AI33:AI36,AH16:AH19)/SUM(AH16:AH19)</f>
        <v>115.48573462843956</v>
      </c>
      <c r="AJ41">
        <f t="shared" ref="AJ41:AL41" si="56">SUMPRODUCT(AJ33:AJ36,AI16:AI19)/SUM(AI16:AI19)</f>
        <v>117.96169470251213</v>
      </c>
      <c r="AK41">
        <f t="shared" si="56"/>
        <v>114.53830979571552</v>
      </c>
      <c r="AL41">
        <f t="shared" si="56"/>
        <v>114.85371503592557</v>
      </c>
      <c r="AM41">
        <f t="shared" ref="AM41" si="57">SUMPRODUCT(AM33:AM36,AL16:AL19)/SUM(AL16:AL19)</f>
        <v>114.22957184108034</v>
      </c>
      <c r="AN41">
        <f t="shared" ref="AN41" si="58">SUMPRODUCT(AN33:AN36,AM16:AM19)/SUM(AM16:AM19)</f>
        <v>114.99356829846707</v>
      </c>
      <c r="AO41">
        <f t="shared" ref="AO41" si="59">SUMPRODUCT(AO33:AO36,AN16:AN19)/SUM(AN16:AN19)</f>
        <v>113.0398745984086</v>
      </c>
      <c r="AP41">
        <f t="shared" ref="AP41" si="60">SUMPRODUCT(AP33:AP36,AO16:AO19)/SUM(AO16:AO19)</f>
        <v>119.37834057957977</v>
      </c>
      <c r="AS41" t="s">
        <v>653</v>
      </c>
    </row>
    <row r="42" spans="3:45" ht="18">
      <c r="C42" s="157" t="s">
        <v>558</v>
      </c>
      <c r="D42" s="157"/>
      <c r="E42" s="157"/>
      <c r="F42" s="157"/>
      <c r="G42" s="820"/>
      <c r="H42" s="821">
        <v>104.1</v>
      </c>
      <c r="I42" s="821">
        <v>110.2</v>
      </c>
      <c r="J42" s="821">
        <v>110.2</v>
      </c>
      <c r="K42" s="821">
        <v>119</v>
      </c>
      <c r="L42" s="824">
        <v>107.8</v>
      </c>
      <c r="M42" s="824">
        <v>109</v>
      </c>
      <c r="N42" s="824">
        <v>111.7</v>
      </c>
      <c r="O42" s="824">
        <v>112.9</v>
      </c>
      <c r="P42" s="220">
        <v>109.7</v>
      </c>
      <c r="Q42" s="219">
        <v>106.9</v>
      </c>
      <c r="R42" s="219">
        <v>107.7</v>
      </c>
      <c r="S42" s="219">
        <v>112</v>
      </c>
      <c r="T42" s="219">
        <v>109.1</v>
      </c>
      <c r="U42" s="219">
        <v>101.2</v>
      </c>
      <c r="V42" s="219">
        <v>101.7</v>
      </c>
      <c r="W42" s="219">
        <v>98.9</v>
      </c>
      <c r="X42" s="219">
        <v>106.6</v>
      </c>
      <c r="Y42" s="219">
        <f>(Y37*X20+X21*Y38+Y39*X22)/X25</f>
        <v>106.16773232683873</v>
      </c>
      <c r="Z42" s="219">
        <f t="shared" ref="Z42:AC42" si="61">(Z37*Y20+Y21*Z38+Z39*Y22)/Y25</f>
        <v>106.51082275483323</v>
      </c>
      <c r="AA42" s="219">
        <f t="shared" si="61"/>
        <v>101.24161154351773</v>
      </c>
      <c r="AB42" s="219">
        <f t="shared" si="61"/>
        <v>103.65206122089953</v>
      </c>
      <c r="AC42" s="219">
        <f t="shared" si="61"/>
        <v>103.8879225420127</v>
      </c>
      <c r="AD42" s="94">
        <f t="shared" ref="AD42:AH42" si="62">(AD37*AC20+AC21*AD38+AD39*AC22)/AC25</f>
        <v>105.59453341256656</v>
      </c>
      <c r="AE42" s="94">
        <f t="shared" si="62"/>
        <v>97.232735922094278</v>
      </c>
      <c r="AF42">
        <f t="shared" si="62"/>
        <v>112.75047672039044</v>
      </c>
      <c r="AG42">
        <f t="shared" si="62"/>
        <v>91.897576002189126</v>
      </c>
      <c r="AH42">
        <f t="shared" si="62"/>
        <v>94.091593335077306</v>
      </c>
      <c r="AI42">
        <f>(AI37*AH20+AH21*AI38+AI39*AH22)/AH25</f>
        <v>96.642753238399138</v>
      </c>
      <c r="AJ42">
        <f t="shared" ref="AJ42:AL42" si="63">(AJ37*AI20+AI21*AJ38+AJ39*AI22)/AI25</f>
        <v>91.206340725886861</v>
      </c>
      <c r="AK42">
        <f t="shared" si="63"/>
        <v>96.409168613615535</v>
      </c>
      <c r="AL42">
        <f t="shared" si="63"/>
        <v>97.368865471417479</v>
      </c>
      <c r="AM42">
        <f t="shared" ref="AM42" si="64">(AM37*AL20+AL21*AM38+AM39*AL22)/AL25</f>
        <v>96.290674473084636</v>
      </c>
      <c r="AN42">
        <f t="shared" ref="AN42" si="65">(AN37*AM20+AM21*AN38+AN39*AM22)/AM25</f>
        <v>93.92952594641082</v>
      </c>
      <c r="AO42">
        <f t="shared" ref="AO42" si="66">(AO37*AN20+AN21*AO38+AO39*AN22)/AN25</f>
        <v>100.74243314701037</v>
      </c>
      <c r="AP42">
        <f t="shared" ref="AP42" si="67">(AP37*AO20+AO21*AP38+AP39*AO22)/AO25</f>
        <v>90.962117146369181</v>
      </c>
      <c r="AS42" t="s">
        <v>654</v>
      </c>
    </row>
    <row r="43" spans="3:45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</row>
    <row r="46" spans="3:45">
      <c r="C46" s="165" t="s">
        <v>560</v>
      </c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</row>
    <row r="47" spans="3:45" ht="18.75">
      <c r="C47" s="157" t="s">
        <v>545</v>
      </c>
      <c r="D47" s="157"/>
      <c r="E47" s="157"/>
      <c r="F47" s="157"/>
      <c r="G47" s="832">
        <v>10046.952285680498</v>
      </c>
      <c r="H47" s="832">
        <v>11011.459705105824</v>
      </c>
      <c r="I47" s="832">
        <v>12200.697353257252</v>
      </c>
      <c r="J47" s="832">
        <v>13554.974759468805</v>
      </c>
      <c r="K47" s="807">
        <v>14951.137159694093</v>
      </c>
      <c r="L47" s="807">
        <v>15952.863349393598</v>
      </c>
      <c r="M47" s="807">
        <v>17069.56378385115</v>
      </c>
      <c r="N47" s="807">
        <v>18400.989758991542</v>
      </c>
      <c r="O47" s="807">
        <v>19854.667949951876</v>
      </c>
      <c r="P47" s="834">
        <v>20629</v>
      </c>
      <c r="Q47" s="835">
        <v>21969.884999999998</v>
      </c>
      <c r="R47" s="835">
        <v>23595.656489999998</v>
      </c>
      <c r="S47" s="835">
        <v>25365.330726749999</v>
      </c>
      <c r="T47" s="835">
        <v>27242.365200529501</v>
      </c>
      <c r="U47" s="835">
        <v>29067.603668964981</v>
      </c>
      <c r="V47" s="94">
        <v>30811.659889102881</v>
      </c>
      <c r="W47" s="94">
        <f t="shared" ref="W47:AH47" si="68">V47*W30/100</f>
        <v>32937.664421450972</v>
      </c>
      <c r="X47" s="94">
        <f t="shared" si="68"/>
        <v>35276.238595373987</v>
      </c>
      <c r="Y47" s="94">
        <f t="shared" si="68"/>
        <v>37730.543246060035</v>
      </c>
      <c r="Z47" s="94">
        <f t="shared" si="68"/>
        <v>40538.612612107594</v>
      </c>
      <c r="AA47" s="94">
        <f t="shared" si="68"/>
        <v>42417.128859633609</v>
      </c>
      <c r="AB47" s="94">
        <f t="shared" si="68"/>
        <v>47075.058044801124</v>
      </c>
      <c r="AC47" s="94">
        <f t="shared" si="68"/>
        <v>50857.972604878771</v>
      </c>
      <c r="AD47" s="94">
        <f>AC47*AD30/100</f>
        <v>55089.23812512101</v>
      </c>
      <c r="AE47" s="94">
        <f>AD47*AE30/100</f>
        <v>59732.81096567573</v>
      </c>
      <c r="AF47">
        <f t="shared" si="68"/>
        <v>64771.647528698224</v>
      </c>
      <c r="AG47">
        <f t="shared" si="68"/>
        <v>70273.566033069947</v>
      </c>
      <c r="AH47">
        <f t="shared" si="68"/>
        <v>76199.063781237812</v>
      </c>
      <c r="AI47">
        <f t="shared" ref="AI47:AI52" si="69">AH47*AI30/100</f>
        <v>82743.398368830385</v>
      </c>
      <c r="AJ47">
        <f t="shared" ref="AJ47:AP52" si="70">AI47*AJ30/100</f>
        <v>90009.929203571402</v>
      </c>
      <c r="AK47">
        <f t="shared" si="70"/>
        <v>97254.320699772448</v>
      </c>
      <c r="AL47">
        <f t="shared" ref="AL47:AL48" si="71">AK47*AL30/100</f>
        <v>105567.8693140203</v>
      </c>
      <c r="AM47">
        <f t="shared" ref="AM47:AM48" si="72">AL47*AM30/100</f>
        <v>114085.48049601578</v>
      </c>
      <c r="AN47">
        <f t="shared" ref="AN47:AN48" si="73">AM47*AN30/100</f>
        <v>123327.59820964833</v>
      </c>
      <c r="AO47">
        <f t="shared" ref="AO47:AO48" si="74">AN47*AO30/100</f>
        <v>133500.77977842485</v>
      </c>
      <c r="AP47">
        <f t="shared" ref="AP47:AP48" si="75">AO47*AP30/100</f>
        <v>144993.17321454876</v>
      </c>
      <c r="AS47" t="s">
        <v>655</v>
      </c>
    </row>
    <row r="48" spans="3:45" ht="18.75">
      <c r="C48" s="157" t="s">
        <v>548</v>
      </c>
      <c r="D48" s="157"/>
      <c r="E48" s="157"/>
      <c r="F48" s="157"/>
      <c r="G48" s="204"/>
      <c r="H48" s="204">
        <v>1198.9945784724509</v>
      </c>
      <c r="I48" s="204">
        <v>1340.4759387322001</v>
      </c>
      <c r="J48" s="204">
        <v>1499.9925754413321</v>
      </c>
      <c r="K48" s="215">
        <v>1664.9917587398786</v>
      </c>
      <c r="L48" s="215">
        <v>1786.5361571278895</v>
      </c>
      <c r="M48" s="215">
        <v>1918.7398327553537</v>
      </c>
      <c r="N48" s="215">
        <v>2077.995238874048</v>
      </c>
      <c r="O48" s="215">
        <v>2242.1568627450979</v>
      </c>
      <c r="P48" s="834">
        <v>2287</v>
      </c>
      <c r="Q48" s="835">
        <v>2435.6550000000002</v>
      </c>
      <c r="R48" s="835">
        <v>2615.8934700000004</v>
      </c>
      <c r="S48" s="835">
        <v>2812.0854802500003</v>
      </c>
      <c r="T48" s="835">
        <v>3020.1798057885003</v>
      </c>
      <c r="U48" s="835">
        <v>3222.5318527763297</v>
      </c>
      <c r="V48" s="94">
        <v>3415.8837639429094</v>
      </c>
      <c r="W48" s="94">
        <f t="shared" ref="W48:AH48" si="76">V48*W31/100</f>
        <v>3651.5797436549701</v>
      </c>
      <c r="X48" s="94">
        <f t="shared" si="76"/>
        <v>3910.8419054544729</v>
      </c>
      <c r="Y48" s="94">
        <f t="shared" si="76"/>
        <v>4098.5623169162873</v>
      </c>
      <c r="Z48" s="94">
        <f t="shared" si="76"/>
        <v>4221.5191864237759</v>
      </c>
      <c r="AA48" s="94">
        <f t="shared" si="76"/>
        <v>4221.5191864237759</v>
      </c>
      <c r="AB48" s="94">
        <f t="shared" si="76"/>
        <v>4221.5191864237759</v>
      </c>
      <c r="AC48" s="94">
        <f t="shared" si="76"/>
        <v>4221.5191864237759</v>
      </c>
      <c r="AD48" s="94">
        <f t="shared" si="76"/>
        <v>4221.5191864237759</v>
      </c>
      <c r="AE48" s="94">
        <f t="shared" si="76"/>
        <v>4577.3587751912792</v>
      </c>
      <c r="AF48">
        <f>AE48*AF31/100</f>
        <v>4963.4876444949414</v>
      </c>
      <c r="AG48">
        <f>AF48*AG31/100</f>
        <v>5385.1027424491431</v>
      </c>
      <c r="AH48">
        <f t="shared" si="76"/>
        <v>5839.1769552053138</v>
      </c>
      <c r="AI48">
        <f t="shared" si="69"/>
        <v>6340.6729817277928</v>
      </c>
      <c r="AJ48">
        <f t="shared" si="70"/>
        <v>6897.511311347218</v>
      </c>
      <c r="AK48">
        <f t="shared" si="70"/>
        <v>7452.6530910486927</v>
      </c>
      <c r="AL48">
        <f t="shared" si="71"/>
        <v>8089.7249798013199</v>
      </c>
      <c r="AM48">
        <f t="shared" si="72"/>
        <v>8742.4342974655774</v>
      </c>
      <c r="AN48">
        <f t="shared" si="73"/>
        <v>9450.6629566216998</v>
      </c>
      <c r="AO48">
        <f t="shared" si="74"/>
        <v>10230.239560713071</v>
      </c>
      <c r="AP48">
        <f t="shared" si="75"/>
        <v>11110.908109411052</v>
      </c>
      <c r="AS48" t="s">
        <v>656</v>
      </c>
    </row>
    <row r="49" spans="3:45" ht="18.75">
      <c r="C49" s="164" t="s">
        <v>549</v>
      </c>
      <c r="D49" s="164"/>
      <c r="E49" s="164"/>
      <c r="F49" s="164"/>
      <c r="G49" s="215"/>
      <c r="H49" s="215"/>
      <c r="I49" s="215"/>
      <c r="J49" s="215"/>
      <c r="K49" s="215">
        <v>13293.539958004505</v>
      </c>
      <c r="L49" s="215">
        <v>14180.584209468001</v>
      </c>
      <c r="M49" s="215">
        <v>15155.604568772746</v>
      </c>
      <c r="N49" s="215">
        <v>16320.035841941259</v>
      </c>
      <c r="O49" s="215">
        <v>17598.221135696069</v>
      </c>
      <c r="P49" s="834">
        <v>18342</v>
      </c>
      <c r="Q49" s="835">
        <v>19534.23</v>
      </c>
      <c r="R49" s="835">
        <v>20979.763020000002</v>
      </c>
      <c r="S49" s="835">
        <v>22553.245246499999</v>
      </c>
      <c r="T49" s="835">
        <v>24222.185394740998</v>
      </c>
      <c r="U49" s="835">
        <v>25845.071816188647</v>
      </c>
      <c r="V49" s="94">
        <v>27395.776125159966</v>
      </c>
      <c r="W49" s="94">
        <f t="shared" ref="W49:AH49" si="77">V49*W32/100</f>
        <v>29286.084677796007</v>
      </c>
      <c r="X49" s="94">
        <f t="shared" si="77"/>
        <v>31365.396689919522</v>
      </c>
      <c r="Y49" s="94">
        <f t="shared" si="77"/>
        <v>33621.418760539753</v>
      </c>
      <c r="Z49" s="94">
        <f t="shared" si="77"/>
        <v>36287.375962589729</v>
      </c>
      <c r="AA49" s="94">
        <f t="shared" si="77"/>
        <v>38150.019346659668</v>
      </c>
      <c r="AB49" s="94">
        <f t="shared" si="77"/>
        <v>42752.881666196052</v>
      </c>
      <c r="AC49" s="94">
        <f t="shared" si="77"/>
        <v>46553.026890080466</v>
      </c>
      <c r="AD49" s="94">
        <f t="shared" si="77"/>
        <v>50811.206309466434</v>
      </c>
      <c r="AE49" s="94">
        <f t="shared" si="77"/>
        <v>55094.176008168237</v>
      </c>
      <c r="AF49">
        <f t="shared" si="77"/>
        <v>59741.714672288334</v>
      </c>
      <c r="AG49">
        <f t="shared" si="77"/>
        <v>64816.374002093478</v>
      </c>
      <c r="AH49">
        <f t="shared" si="77"/>
        <v>70281.718937244092</v>
      </c>
      <c r="AI49">
        <f t="shared" si="69"/>
        <v>76317.844071759435</v>
      </c>
      <c r="AJ49">
        <f t="shared" si="70"/>
        <v>83020.082294033156</v>
      </c>
      <c r="AK49">
        <f t="shared" si="70"/>
        <v>89701.900439057776</v>
      </c>
      <c r="AL49">
        <f t="shared" si="70"/>
        <v>97369.848811168224</v>
      </c>
      <c r="AM49">
        <f t="shared" si="70"/>
        <v>105226.01298699543</v>
      </c>
      <c r="AN49">
        <f t="shared" si="70"/>
        <v>113750.42112669733</v>
      </c>
      <c r="AO49">
        <f t="shared" si="70"/>
        <v>123133.59005600313</v>
      </c>
      <c r="AP49">
        <f t="shared" si="70"/>
        <v>133733.52561049702</v>
      </c>
      <c r="AS49" t="s">
        <v>657</v>
      </c>
    </row>
    <row r="50" spans="3:45" ht="18.75">
      <c r="C50" s="157" t="s">
        <v>550</v>
      </c>
      <c r="D50" s="157"/>
      <c r="E50" s="157"/>
      <c r="F50" s="157"/>
      <c r="G50" s="833"/>
      <c r="H50" s="833"/>
      <c r="I50" s="833"/>
      <c r="J50" s="833"/>
      <c r="K50" s="807">
        <v>4438.6239267339033</v>
      </c>
      <c r="L50" s="807">
        <v>4722.6958580448736</v>
      </c>
      <c r="M50" s="807">
        <v>4921.0490840827588</v>
      </c>
      <c r="N50" s="807">
        <v>4492.917813767559</v>
      </c>
      <c r="O50" s="807">
        <v>4093.0481283422459</v>
      </c>
      <c r="P50" s="834">
        <v>3827</v>
      </c>
      <c r="Q50" s="835">
        <v>4087.2359999999999</v>
      </c>
      <c r="R50" s="835">
        <v>4410.1276440000001</v>
      </c>
      <c r="S50" s="835">
        <v>4868.7809189760001</v>
      </c>
      <c r="T50" s="835">
        <v>5238.8082688181757</v>
      </c>
      <c r="U50" s="835">
        <v>5474.5546409149938</v>
      </c>
      <c r="V50" s="94">
        <v>5649.7403894242734</v>
      </c>
      <c r="W50" s="94">
        <f t="shared" ref="W50:AH50" si="78">V50*W33/100</f>
        <v>5943.5268896743355</v>
      </c>
      <c r="X50" s="94">
        <f t="shared" si="78"/>
        <v>6347.68671817219</v>
      </c>
      <c r="Y50" s="94">
        <f t="shared" si="78"/>
        <v>6601.5941868990776</v>
      </c>
      <c r="Z50" s="94">
        <f t="shared" si="78"/>
        <v>7070.3073741689113</v>
      </c>
      <c r="AA50" s="94">
        <f t="shared" si="78"/>
        <v>7692.4944230957744</v>
      </c>
      <c r="AB50" s="94">
        <f t="shared" si="78"/>
        <v>8200.1990550200953</v>
      </c>
      <c r="AC50" s="94">
        <f t="shared" si="78"/>
        <v>8856.2149794217021</v>
      </c>
      <c r="AD50" s="94">
        <f t="shared" si="78"/>
        <v>9936.6732069111495</v>
      </c>
      <c r="AE50" s="94">
        <f t="shared" si="78"/>
        <v>10989.960566843733</v>
      </c>
      <c r="AF50" s="94">
        <f t="shared" si="78"/>
        <v>12034.006820693887</v>
      </c>
      <c r="AG50" s="94">
        <f t="shared" si="78"/>
        <v>13107.424875592491</v>
      </c>
      <c r="AH50" s="94">
        <f t="shared" si="78"/>
        <v>14236.371337462626</v>
      </c>
      <c r="AI50" s="94">
        <f t="shared" si="69"/>
        <v>15414.09645704879</v>
      </c>
      <c r="AJ50" s="94">
        <f t="shared" si="70"/>
        <v>16670.958568092079</v>
      </c>
      <c r="AK50" s="94">
        <f t="shared" si="70"/>
        <v>18056.909340010003</v>
      </c>
      <c r="AL50" s="94">
        <f t="shared" si="70"/>
        <v>19429.381604516992</v>
      </c>
      <c r="AM50" s="94">
        <f t="shared" si="70"/>
        <v>20895.474949982028</v>
      </c>
      <c r="AN50" s="94">
        <f t="shared" si="70"/>
        <v>22410.127776468129</v>
      </c>
      <c r="AO50" s="94">
        <f t="shared" si="70"/>
        <v>23979.925153154167</v>
      </c>
      <c r="AP50" s="94">
        <f t="shared" si="70"/>
        <v>25719.751905749516</v>
      </c>
      <c r="AS50" t="s">
        <v>658</v>
      </c>
    </row>
    <row r="51" spans="3:45" ht="18.75">
      <c r="C51" s="157" t="s">
        <v>551</v>
      </c>
      <c r="D51" s="157"/>
      <c r="E51" s="157"/>
      <c r="F51" s="157"/>
      <c r="G51" s="832"/>
      <c r="H51" s="832"/>
      <c r="I51" s="832"/>
      <c r="J51" s="832"/>
      <c r="K51" s="807">
        <v>2181.2269553956048</v>
      </c>
      <c r="L51" s="807">
        <v>2211.7641327711435</v>
      </c>
      <c r="M51" s="807">
        <v>2331.1993959407855</v>
      </c>
      <c r="N51" s="807">
        <v>2482.7273566769363</v>
      </c>
      <c r="O51" s="807">
        <v>2676.3800904977375</v>
      </c>
      <c r="P51" s="834">
        <v>2957.4</v>
      </c>
      <c r="Q51" s="835">
        <v>3229.4808000000003</v>
      </c>
      <c r="R51" s="835">
        <v>3413.5612056</v>
      </c>
      <c r="S51" s="835">
        <v>3782.2258158047998</v>
      </c>
      <c r="T51" s="835">
        <v>3925.9503968053823</v>
      </c>
      <c r="U51" s="835">
        <v>4122.2479166456515</v>
      </c>
      <c r="V51" s="94">
        <v>4588.0619312266099</v>
      </c>
      <c r="W51" s="94">
        <f t="shared" ref="W51:AH51" si="79">V51*W34/100</f>
        <v>5322.1518402228676</v>
      </c>
      <c r="X51" s="94">
        <f t="shared" si="79"/>
        <v>6455.7701821903383</v>
      </c>
      <c r="Y51" s="94">
        <f t="shared" si="79"/>
        <v>7140.0818215025138</v>
      </c>
      <c r="Z51" s="94">
        <f t="shared" si="79"/>
        <v>8082.5726219408461</v>
      </c>
      <c r="AA51" s="94">
        <f t="shared" si="79"/>
        <v>8793.8390126716404</v>
      </c>
      <c r="AB51" s="94">
        <f t="shared" si="79"/>
        <v>10622.957527307342</v>
      </c>
      <c r="AC51" s="94">
        <f t="shared" si="79"/>
        <v>12258.892986512674</v>
      </c>
      <c r="AD51" s="94">
        <f t="shared" si="79"/>
        <v>13448.005606204404</v>
      </c>
      <c r="AE51" s="94">
        <f t="shared" si="79"/>
        <v>16137.606727445283</v>
      </c>
      <c r="AF51">
        <f t="shared" si="79"/>
        <v>19704.017814210689</v>
      </c>
      <c r="AG51">
        <f t="shared" si="79"/>
        <v>24634.153465894051</v>
      </c>
      <c r="AH51">
        <f t="shared" si="79"/>
        <v>30792.717321088876</v>
      </c>
      <c r="AI51">
        <f t="shared" si="69"/>
        <v>38524.066971367982</v>
      </c>
      <c r="AJ51">
        <f t="shared" si="70"/>
        <v>48183.512667860312</v>
      </c>
      <c r="AK51">
        <f t="shared" si="70"/>
        <v>57798.924080044562</v>
      </c>
      <c r="AL51">
        <f t="shared" si="70"/>
        <v>69315.952286721353</v>
      </c>
      <c r="AM51">
        <f t="shared" si="70"/>
        <v>83227.853718693455</v>
      </c>
      <c r="AN51">
        <f t="shared" si="70"/>
        <v>92634.061072966215</v>
      </c>
      <c r="AO51">
        <f t="shared" si="70"/>
        <v>101131.07747598393</v>
      </c>
      <c r="AP51">
        <f t="shared" si="70"/>
        <v>123723.36012112992</v>
      </c>
      <c r="AS51" t="s">
        <v>659</v>
      </c>
    </row>
    <row r="52" spans="3:45" ht="18.75">
      <c r="C52" s="157" t="s">
        <v>552</v>
      </c>
      <c r="D52" s="157"/>
      <c r="E52" s="157"/>
      <c r="F52" s="157"/>
      <c r="G52" s="157"/>
      <c r="H52" s="157"/>
      <c r="I52" s="157"/>
      <c r="J52" s="157"/>
      <c r="K52" s="807">
        <v>1487.3463421926385</v>
      </c>
      <c r="L52" s="807">
        <v>1731.2711423122312</v>
      </c>
      <c r="M52" s="807">
        <v>1855.9226645587121</v>
      </c>
      <c r="N52" s="807">
        <v>2048.938621672818</v>
      </c>
      <c r="O52" s="807">
        <v>2483.3136094674555</v>
      </c>
      <c r="P52" s="834">
        <v>2098.4</v>
      </c>
      <c r="Q52" s="835">
        <v>2298.363636363636</v>
      </c>
      <c r="R52" s="835">
        <v>2424.7736363636359</v>
      </c>
      <c r="S52" s="835">
        <v>1833.1288690909087</v>
      </c>
      <c r="T52" s="835">
        <v>2148.4270345745449</v>
      </c>
      <c r="U52" s="835">
        <v>2691.979074321905</v>
      </c>
      <c r="V52">
        <v>3262.6786380781491</v>
      </c>
      <c r="W52">
        <f t="shared" ref="W52:AH52" si="80">V52*W35/100</f>
        <v>3925.0024016080133</v>
      </c>
      <c r="X52">
        <f t="shared" si="80"/>
        <v>4085.9275000739417</v>
      </c>
      <c r="Y52">
        <f t="shared" si="80"/>
        <v>4502.6921050814835</v>
      </c>
      <c r="Z52">
        <f t="shared" si="80"/>
        <v>4709.8159419152316</v>
      </c>
      <c r="AA52">
        <f t="shared" si="80"/>
        <v>4898.208579591841</v>
      </c>
      <c r="AB52">
        <f t="shared" si="80"/>
        <v>6470.5335336408216</v>
      </c>
      <c r="AC52">
        <f t="shared" si="80"/>
        <v>7208.1743564758754</v>
      </c>
      <c r="AD52">
        <f t="shared" si="80"/>
        <v>8094.7798023224077</v>
      </c>
      <c r="AE52">
        <f t="shared" si="80"/>
        <v>9259.5419297960525</v>
      </c>
      <c r="AF52">
        <f t="shared" si="80"/>
        <v>6305.0484041948857</v>
      </c>
      <c r="AG52">
        <f t="shared" si="80"/>
        <v>10923.491866277514</v>
      </c>
      <c r="AH52">
        <f t="shared" si="80"/>
        <v>12680.650786176915</v>
      </c>
      <c r="AI52">
        <f t="shared" si="69"/>
        <v>14059.082803131845</v>
      </c>
      <c r="AJ52">
        <f t="shared" si="70"/>
        <v>17579.028448338013</v>
      </c>
      <c r="AK52">
        <f t="shared" si="70"/>
        <v>20312.536428808329</v>
      </c>
      <c r="AL52">
        <f t="shared" ref="AL52" si="81">AK52*AL35/100</f>
        <v>23672.346483918525</v>
      </c>
      <c r="AM52">
        <f t="shared" ref="AM52" si="82">AL52*AM35/100</f>
        <v>27146.403427741629</v>
      </c>
      <c r="AN52">
        <f t="shared" si="70"/>
        <v>37717.45600445466</v>
      </c>
      <c r="AO52">
        <f t="shared" si="70"/>
        <v>48424.252171994165</v>
      </c>
      <c r="AP52">
        <f t="shared" si="70"/>
        <v>63239.701312917729</v>
      </c>
      <c r="AS52" t="s">
        <v>660</v>
      </c>
    </row>
    <row r="53" spans="3:45" ht="18.75">
      <c r="C53" s="157" t="s">
        <v>553</v>
      </c>
      <c r="D53" s="157"/>
      <c r="E53" s="157"/>
      <c r="F53" s="157"/>
      <c r="G53" s="157"/>
      <c r="H53" s="157"/>
      <c r="I53" s="157"/>
      <c r="J53" s="157"/>
      <c r="K53" s="807"/>
      <c r="L53" s="807"/>
      <c r="M53" s="807"/>
      <c r="N53" s="807"/>
      <c r="O53" s="807"/>
      <c r="P53" s="834"/>
      <c r="Q53" s="835"/>
      <c r="R53" s="835"/>
      <c r="S53" s="835"/>
      <c r="T53" s="835"/>
      <c r="U53" s="835"/>
      <c r="AS53" t="s">
        <v>661</v>
      </c>
    </row>
    <row r="54" spans="3:45" ht="18.75">
      <c r="C54" s="156" t="s">
        <v>554</v>
      </c>
      <c r="G54"/>
      <c r="H54"/>
      <c r="I54"/>
      <c r="J54" s="832"/>
      <c r="K54" s="807">
        <v>2430.5119431567068</v>
      </c>
      <c r="L54" s="807">
        <v>2646.8275060976539</v>
      </c>
      <c r="M54" s="807">
        <v>3094.1413546281574</v>
      </c>
      <c r="N54" s="807">
        <v>3449.9676104103955</v>
      </c>
      <c r="O54" s="807">
        <v>3936.413043478261</v>
      </c>
      <c r="P54" s="834">
        <v>4345.8</v>
      </c>
      <c r="Q54" s="835">
        <v>4671.7349999999997</v>
      </c>
      <c r="R54" s="835">
        <v>5096.8628849999996</v>
      </c>
      <c r="S54" s="835">
        <v>5907.2640837149993</v>
      </c>
      <c r="T54" s="835">
        <v>7017.8297314534184</v>
      </c>
      <c r="U54" s="835">
        <v>7488.0243234607969</v>
      </c>
      <c r="V54" s="94">
        <v>7907.3536855746015</v>
      </c>
      <c r="W54" s="94">
        <f t="shared" ref="W54:AH54" si="83">V54*W37/100</f>
        <v>8381.7949067090776</v>
      </c>
      <c r="X54" s="94">
        <f t="shared" si="83"/>
        <v>8934.9933705518761</v>
      </c>
      <c r="Y54" s="94">
        <f t="shared" si="83"/>
        <v>10025.062561759205</v>
      </c>
      <c r="Z54" s="94">
        <f t="shared" si="83"/>
        <v>10987.468567688087</v>
      </c>
      <c r="AA54" s="94">
        <f t="shared" si="83"/>
        <v>10339.20792219449</v>
      </c>
      <c r="AB54" s="94">
        <f t="shared" si="83"/>
        <v>11393.807130258328</v>
      </c>
      <c r="AC54" s="94">
        <f t="shared" si="83"/>
        <v>12669.913528847261</v>
      </c>
      <c r="AD54" s="94">
        <f t="shared" si="83"/>
        <v>12492.534739443399</v>
      </c>
      <c r="AE54">
        <f t="shared" si="83"/>
        <v>14191.519464007701</v>
      </c>
      <c r="AF54">
        <f t="shared" si="83"/>
        <v>16164.140669504772</v>
      </c>
      <c r="AG54">
        <f t="shared" si="83"/>
        <v>18480.129430556222</v>
      </c>
      <c r="AH54">
        <f t="shared" si="83"/>
        <v>21153.32306497512</v>
      </c>
      <c r="AI54">
        <f>AH54*AI37/100</f>
        <v>24036.87234655919</v>
      </c>
      <c r="AJ54">
        <f t="shared" ref="AJ54:AP54" si="84">AI54*AJ37/100</f>
        <v>27376.133202799312</v>
      </c>
      <c r="AK54">
        <f t="shared" si="84"/>
        <v>29667.165863381833</v>
      </c>
      <c r="AL54">
        <f t="shared" si="84"/>
        <v>32589.07750937438</v>
      </c>
      <c r="AM54">
        <f t="shared" si="84"/>
        <v>35629.365662336837</v>
      </c>
      <c r="AN54">
        <f t="shared" si="84"/>
        <v>38961.78789711016</v>
      </c>
      <c r="AO54">
        <f t="shared" si="84"/>
        <v>41341.94536995481</v>
      </c>
      <c r="AP54">
        <f t="shared" si="84"/>
        <v>43986.955922521098</v>
      </c>
      <c r="AS54" t="s">
        <v>662</v>
      </c>
    </row>
    <row r="55" spans="3:45" ht="18.75">
      <c r="C55" s="156" t="s">
        <v>555</v>
      </c>
      <c r="G55"/>
      <c r="H55"/>
      <c r="I55"/>
      <c r="J55" s="832"/>
      <c r="K55" s="807">
        <v>364.88474307940686</v>
      </c>
      <c r="L55" s="807">
        <v>474.35016600322894</v>
      </c>
      <c r="M55" s="807">
        <v>560.20754604981335</v>
      </c>
      <c r="N55" s="807">
        <v>1029.661469639557</v>
      </c>
      <c r="O55" s="807">
        <v>1475.5048859934855</v>
      </c>
      <c r="P55" s="834">
        <v>2264.9</v>
      </c>
      <c r="Q55" s="835">
        <v>2704.2057931502522</v>
      </c>
      <c r="R55" s="835">
        <v>4080.4767279883422</v>
      </c>
      <c r="S55" s="835">
        <v>5062.0320321553108</v>
      </c>
      <c r="T55" s="835">
        <v>5583.4276686040257</v>
      </c>
      <c r="U55" s="835">
        <v>5868.8833526329863</v>
      </c>
      <c r="V55" s="94">
        <v>5992.1299030382788</v>
      </c>
      <c r="W55" s="94">
        <f t="shared" ref="W55:AH55" si="85">V55*W38/100</f>
        <v>6000.0142904577106</v>
      </c>
      <c r="X55" s="94">
        <f t="shared" si="85"/>
        <v>5980.8355034776832</v>
      </c>
      <c r="Y55" s="94">
        <f t="shared" si="85"/>
        <v>5580.1195247446776</v>
      </c>
      <c r="Z55" s="94">
        <f t="shared" si="85"/>
        <v>6456.1982901295924</v>
      </c>
      <c r="AA55" s="94">
        <f t="shared" si="85"/>
        <v>5126.2214423628966</v>
      </c>
      <c r="AB55" s="94">
        <f t="shared" si="85"/>
        <v>4885.2890345718406</v>
      </c>
      <c r="AC55" s="94">
        <f t="shared" si="85"/>
        <v>4689.8774731889671</v>
      </c>
      <c r="AD55" s="94">
        <f t="shared" si="85"/>
        <v>5707.580884870973</v>
      </c>
      <c r="AE55" s="94">
        <f t="shared" si="85"/>
        <v>6676.8558061340964</v>
      </c>
      <c r="AF55" s="94">
        <f t="shared" si="85"/>
        <v>9206.9684973290568</v>
      </c>
      <c r="AG55" s="94">
        <f t="shared" si="85"/>
        <v>3771.6482461253672</v>
      </c>
      <c r="AH55" s="94">
        <f t="shared" si="85"/>
        <v>3860.1252119292822</v>
      </c>
      <c r="AI55" s="94">
        <f>AH55*AI38/100</f>
        <v>3797.2957358693338</v>
      </c>
      <c r="AJ55" s="94">
        <f t="shared" ref="AJ55:AP55" si="86">AI55*AJ38/100</f>
        <v>3911.116979258692</v>
      </c>
      <c r="AK55" s="94">
        <f t="shared" si="86"/>
        <v>3966.5599655475021</v>
      </c>
      <c r="AL55" s="94">
        <f t="shared" si="86"/>
        <v>4020.315254764007</v>
      </c>
      <c r="AM55" s="94">
        <f t="shared" si="86"/>
        <v>4060.7108754611027</v>
      </c>
      <c r="AN55" s="94">
        <f t="shared" si="86"/>
        <v>5956.890171831752</v>
      </c>
      <c r="AO55" s="94">
        <f t="shared" si="86"/>
        <v>6145.2006927522434</v>
      </c>
      <c r="AP55" s="94">
        <f t="shared" si="86"/>
        <v>6292.7108061350955</v>
      </c>
      <c r="AS55" t="s">
        <v>663</v>
      </c>
    </row>
    <row r="56" spans="3:45" ht="18.75">
      <c r="C56" s="155" t="s">
        <v>556</v>
      </c>
      <c r="D56" s="155"/>
      <c r="E56" s="155"/>
      <c r="F56" s="155"/>
      <c r="G56"/>
      <c r="H56"/>
      <c r="I56"/>
      <c r="J56"/>
      <c r="K56" s="807">
        <v>5707.0660572740017</v>
      </c>
      <c r="L56" s="807">
        <v>5535.9477330718082</v>
      </c>
      <c r="M56" s="807">
        <v>5335.3727348969396</v>
      </c>
      <c r="N56" s="807">
        <v>4161.8223006272447</v>
      </c>
      <c r="O56" s="807">
        <v>3854.9940879071128</v>
      </c>
      <c r="P56" s="834">
        <v>2823.7999999999993</v>
      </c>
      <c r="Q56" s="835">
        <v>2626.1339999999991</v>
      </c>
      <c r="R56" s="835">
        <v>2547.3499799999991</v>
      </c>
      <c r="S56" s="835">
        <v>2419.9824809999991</v>
      </c>
      <c r="T56" s="835">
        <v>2298.9833569499988</v>
      </c>
      <c r="U56" s="835">
        <v>2344.9630240889987</v>
      </c>
      <c r="V56" s="94">
        <v>2274.614133366329</v>
      </c>
      <c r="W56" s="94">
        <f t="shared" ref="W56:AH56" si="87">V56*W39/100</f>
        <v>2206.3757093653389</v>
      </c>
      <c r="X56" s="94">
        <f t="shared" si="87"/>
        <v>2228.4394664589922</v>
      </c>
      <c r="Y56" s="94">
        <f t="shared" si="87"/>
        <v>2406.7146237757115</v>
      </c>
      <c r="Z56" s="94">
        <f t="shared" si="87"/>
        <v>2430.7817700134688</v>
      </c>
      <c r="AA56" s="94">
        <f t="shared" si="87"/>
        <v>2795.3990355154888</v>
      </c>
      <c r="AB56" s="94">
        <f t="shared" si="87"/>
        <v>2823.3530258706437</v>
      </c>
      <c r="AC56" s="94">
        <f t="shared" si="87"/>
        <v>2823.3530258706437</v>
      </c>
      <c r="AD56" s="94">
        <f t="shared" si="87"/>
        <v>3006.8709725522353</v>
      </c>
      <c r="AE56" s="94">
        <f t="shared" si="87"/>
        <v>2270.1875842769377</v>
      </c>
      <c r="AF56" s="94">
        <f t="shared" si="87"/>
        <v>2338.2932118052458</v>
      </c>
      <c r="AG56" s="94">
        <f t="shared" si="87"/>
        <v>2256.4529493920622</v>
      </c>
      <c r="AH56" s="94">
        <f t="shared" si="87"/>
        <v>1681.0574472970866</v>
      </c>
      <c r="AI56" s="94">
        <f>AH56*AI39/100</f>
        <v>1378.4671067836109</v>
      </c>
      <c r="AJ56" s="94">
        <f t="shared" ref="AJ56:AP56" si="88">AI56*AJ39/100</f>
        <v>923.57296154501933</v>
      </c>
      <c r="AK56" s="94">
        <f t="shared" si="88"/>
        <v>775.80128769781629</v>
      </c>
      <c r="AL56" s="94">
        <f t="shared" si="88"/>
        <v>651.67308166616567</v>
      </c>
      <c r="AM56" s="94">
        <f t="shared" si="88"/>
        <v>534.37192696625584</v>
      </c>
      <c r="AN56" s="94">
        <f t="shared" si="88"/>
        <v>304.59199837076585</v>
      </c>
      <c r="AO56" s="94">
        <f t="shared" si="88"/>
        <v>281.74759849295845</v>
      </c>
      <c r="AP56" s="94">
        <f t="shared" si="88"/>
        <v>188.77089099028217</v>
      </c>
      <c r="AS56" t="s">
        <v>664</v>
      </c>
    </row>
    <row r="57" spans="3:45">
      <c r="C57" s="162" t="s">
        <v>429</v>
      </c>
      <c r="D57" s="162"/>
      <c r="E57" s="162"/>
      <c r="F57" s="162"/>
      <c r="G57" s="162"/>
      <c r="H57"/>
      <c r="I57"/>
      <c r="J57"/>
      <c r="K57"/>
      <c r="L57"/>
      <c r="M57"/>
      <c r="N57"/>
      <c r="O57"/>
      <c r="P57" s="163"/>
      <c r="Q57" s="836"/>
      <c r="R57" s="836"/>
      <c r="S57" s="836"/>
      <c r="T57" s="836"/>
      <c r="U57" s="836"/>
    </row>
    <row r="58" spans="3:45" ht="18.75">
      <c r="C58" s="157" t="s">
        <v>557</v>
      </c>
      <c r="D58" s="157"/>
      <c r="E58" s="157"/>
      <c r="F58" s="157"/>
      <c r="G58" s="157"/>
      <c r="H58" s="204">
        <v>5749.1804502696214</v>
      </c>
      <c r="I58" s="204">
        <v>6381.5902997992798</v>
      </c>
      <c r="J58" s="204">
        <v>7115.4731842761976</v>
      </c>
      <c r="K58" s="215">
        <v>7492.5932630428351</v>
      </c>
      <c r="L58" s="215">
        <v>7927.1636722993189</v>
      </c>
      <c r="M58" s="215">
        <v>8339.3761832588843</v>
      </c>
      <c r="N58" s="215">
        <v>8706.3087353222745</v>
      </c>
      <c r="O58" s="215">
        <v>9002.3232323232314</v>
      </c>
      <c r="P58" s="834">
        <v>8912.2999999999993</v>
      </c>
      <c r="Q58" s="835">
        <v>9280.3927130909069</v>
      </c>
      <c r="R58" s="835">
        <v>9920.7398102941788</v>
      </c>
      <c r="S58" s="835">
        <v>10277.886443464769</v>
      </c>
      <c r="T58" s="835">
        <v>10884.28174362919</v>
      </c>
      <c r="U58" s="835">
        <v>12212.164116351951</v>
      </c>
      <c r="V58" s="94">
        <v>13396.74403563809</v>
      </c>
      <c r="W58" s="94">
        <f t="shared" ref="W58:AH58" si="89">V58*W41/100</f>
        <v>15285.684944663059</v>
      </c>
      <c r="X58" s="94">
        <f t="shared" si="89"/>
        <v>16416.825630568128</v>
      </c>
      <c r="Y58" s="94">
        <f t="shared" si="89"/>
        <v>17720.411524641913</v>
      </c>
      <c r="Z58" s="94">
        <f t="shared" si="89"/>
        <v>19292.351468143617</v>
      </c>
      <c r="AA58" s="94">
        <f t="shared" si="89"/>
        <v>20788.615625108327</v>
      </c>
      <c r="AB58" s="94">
        <f t="shared" si="89"/>
        <v>24365.899149391516</v>
      </c>
      <c r="AC58" s="94">
        <f t="shared" si="89"/>
        <v>27224.797655417962</v>
      </c>
      <c r="AD58" s="94">
        <f t="shared" si="89"/>
        <v>30274.122513819038</v>
      </c>
      <c r="AE58" s="94">
        <f t="shared" si="89"/>
        <v>34839.635581837298</v>
      </c>
      <c r="AF58">
        <f t="shared" si="89"/>
        <v>36825.665710567642</v>
      </c>
      <c r="AG58">
        <f t="shared" si="89"/>
        <v>45961.803030393814</v>
      </c>
      <c r="AH58">
        <f t="shared" si="89"/>
        <v>53628.427405269256</v>
      </c>
      <c r="AI58">
        <f>AH58*AI41/100</f>
        <v>61933.183358654605</v>
      </c>
      <c r="AJ58">
        <f t="shared" ref="AJ58:AP58" si="90">AI58*AJ41/100</f>
        <v>73057.432673083196</v>
      </c>
      <c r="AK58">
        <f t="shared" si="90"/>
        <v>83678.748563892324</v>
      </c>
      <c r="AL58">
        <f t="shared" si="90"/>
        <v>96108.151421201546</v>
      </c>
      <c r="AM58">
        <f t="shared" si="90"/>
        <v>109783.9298728157</v>
      </c>
      <c r="AN58">
        <f t="shared" si="90"/>
        <v>126244.4583790375</v>
      </c>
      <c r="AO58">
        <f t="shared" si="90"/>
        <v>142706.57743910412</v>
      </c>
      <c r="AP58">
        <f t="shared" si="90"/>
        <v>170360.74404471545</v>
      </c>
      <c r="AS58" t="s">
        <v>665</v>
      </c>
    </row>
    <row r="59" spans="3:45" ht="18.75">
      <c r="C59" s="157" t="s">
        <v>558</v>
      </c>
      <c r="D59" s="157"/>
      <c r="E59" s="157"/>
      <c r="F59" s="157"/>
      <c r="G59" s="157"/>
      <c r="H59" s="832">
        <v>4014.1049616244095</v>
      </c>
      <c r="I59" s="832">
        <v>4423.5436677100997</v>
      </c>
      <c r="J59" s="832">
        <v>4874.7451218165306</v>
      </c>
      <c r="K59" s="807">
        <v>5800.9466949616708</v>
      </c>
      <c r="L59" s="807">
        <v>6253.4205371686812</v>
      </c>
      <c r="M59" s="807">
        <v>6816.2283855138621</v>
      </c>
      <c r="N59" s="807">
        <v>7613.7271066189851</v>
      </c>
      <c r="O59" s="807">
        <v>8595.8979033728356</v>
      </c>
      <c r="P59" s="834">
        <v>9429.7000000000007</v>
      </c>
      <c r="Q59" s="835">
        <v>10783.190066409104</v>
      </c>
      <c r="R59" s="835">
        <v>11613.495701522606</v>
      </c>
      <c r="S59" s="835">
        <v>13007.115185705319</v>
      </c>
      <c r="T59" s="835">
        <v>14190.762667604504</v>
      </c>
      <c r="U59" s="835">
        <v>14361.051819615757</v>
      </c>
      <c r="V59" s="94">
        <v>14605.189700549226</v>
      </c>
      <c r="W59" s="94">
        <f t="shared" ref="W59:AH59" si="91">V59*W42/100</f>
        <v>14444.532613843186</v>
      </c>
      <c r="X59" s="94">
        <f t="shared" si="91"/>
        <v>15397.871766356835</v>
      </c>
      <c r="Y59" s="94">
        <f t="shared" si="91"/>
        <v>16347.571280935599</v>
      </c>
      <c r="Z59" s="94">
        <f t="shared" si="91"/>
        <v>17411.932671757335</v>
      </c>
      <c r="AA59" s="94">
        <f t="shared" si="91"/>
        <v>17628.121237759409</v>
      </c>
      <c r="AB59" s="94">
        <f t="shared" si="91"/>
        <v>18271.911017456776</v>
      </c>
      <c r="AC59" s="94">
        <f t="shared" si="91"/>
        <v>18982.308764760979</v>
      </c>
      <c r="AD59" s="94">
        <f t="shared" si="91"/>
        <v>20044.280371082084</v>
      </c>
      <c r="AE59" s="94">
        <f t="shared" si="91"/>
        <v>19489.60220069842</v>
      </c>
      <c r="AF59">
        <f t="shared" si="91"/>
        <v>21974.619392195178</v>
      </c>
      <c r="AG59">
        <f t="shared" si="91"/>
        <v>20194.142557134353</v>
      </c>
      <c r="AH59">
        <f t="shared" si="91"/>
        <v>19000.990492364635</v>
      </c>
      <c r="AI59">
        <f>AH59*AI42/100</f>
        <v>18363.080354387635</v>
      </c>
      <c r="AJ59">
        <f t="shared" ref="AJ59:AP59" si="92">AI59*AJ42/100</f>
        <v>16748.293635791179</v>
      </c>
      <c r="AK59">
        <f t="shared" si="92"/>
        <v>16146.890651233356</v>
      </c>
      <c r="AL59">
        <f t="shared" si="92"/>
        <v>15722.044236016292</v>
      </c>
      <c r="AM59">
        <f t="shared" si="92"/>
        <v>15138.862435816814</v>
      </c>
      <c r="AN59">
        <f t="shared" si="92"/>
        <v>14219.861719641995</v>
      </c>
      <c r="AO59">
        <f t="shared" si="92"/>
        <v>14325.434686507657</v>
      </c>
      <c r="AP59">
        <f t="shared" si="92"/>
        <v>13030.718681267701</v>
      </c>
      <c r="AS59" t="s">
        <v>666</v>
      </c>
    </row>
    <row r="63" spans="3:45">
      <c r="C63" s="166" t="s">
        <v>561</v>
      </c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</row>
    <row r="64" spans="3:45" ht="18">
      <c r="C64" s="164" t="s">
        <v>559</v>
      </c>
      <c r="D64" s="164"/>
      <c r="E64" s="164"/>
      <c r="F64" s="164"/>
      <c r="G64" s="164"/>
      <c r="H64" s="204">
        <v>130.91748246263353</v>
      </c>
      <c r="I64" s="204">
        <v>118.81970664596184</v>
      </c>
      <c r="J64" s="204">
        <v>126.97474529250097</v>
      </c>
      <c r="K64" s="204">
        <v>117.42720706056025</v>
      </c>
      <c r="L64" s="204">
        <v>109.51609889389134</v>
      </c>
      <c r="M64" s="262">
        <v>121.06373933966556</v>
      </c>
      <c r="N64" s="262">
        <v>127.23564656244146</v>
      </c>
      <c r="O64" s="262">
        <v>128.16376264122408</v>
      </c>
      <c r="P64" s="262">
        <v>112.12955373301864</v>
      </c>
      <c r="Q64" s="262">
        <v>112.45894095485707</v>
      </c>
      <c r="R64" s="262">
        <v>113.32435620195481</v>
      </c>
      <c r="S64" s="262">
        <v>111.86851503023107</v>
      </c>
      <c r="T64" s="262">
        <v>104.34105730386703</v>
      </c>
      <c r="U64" s="262">
        <v>105.47222559175718</v>
      </c>
      <c r="V64" s="94">
        <v>105.44940160514669</v>
      </c>
      <c r="W64" s="94">
        <f t="shared" ref="W64:AE64" si="93">W13/V13/W30*10000</f>
        <v>100.54217866635985</v>
      </c>
      <c r="X64" s="94">
        <f t="shared" si="93"/>
        <v>109.80546757006118</v>
      </c>
      <c r="Y64" s="94">
        <f t="shared" si="93"/>
        <v>103.10801169007861</v>
      </c>
      <c r="Z64" s="94">
        <f t="shared" si="93"/>
        <v>103.61774809722768</v>
      </c>
      <c r="AA64" s="94">
        <f t="shared" si="93"/>
        <v>101.42872414598965</v>
      </c>
      <c r="AB64" s="94">
        <f t="shared" si="93"/>
        <v>108.47660979185154</v>
      </c>
      <c r="AC64" s="94">
        <f t="shared" si="93"/>
        <v>108.22627671327531</v>
      </c>
      <c r="AD64" s="94">
        <f>AD13/AC13/AD30*10000</f>
        <v>103.72439807211711</v>
      </c>
      <c r="AE64" s="94">
        <f t="shared" si="93"/>
        <v>108.20255272739531</v>
      </c>
      <c r="AF64" s="96">
        <f>AF13/AE13/AF30*10000+1.7</f>
        <v>106.43212434365169</v>
      </c>
      <c r="AG64" s="94">
        <f>AG13/AF13/AG30*10000</f>
        <v>104.1423139284166</v>
      </c>
      <c r="AH64" s="94">
        <f>AH13/AG13/AH30*10000+0.1</f>
        <v>104.11542184451834</v>
      </c>
      <c r="AI64" s="94">
        <f>AI13/AH13/AI30*10000</f>
        <v>103.99879613927943</v>
      </c>
      <c r="AJ64" s="94">
        <f>AJ13/AI13/AJ30*10000+0.1</f>
        <v>105.14926386330478</v>
      </c>
      <c r="AK64" s="94">
        <f>AK13/AJ13/AK30*10000+0.3</f>
        <v>103.99465173946309</v>
      </c>
      <c r="AL64" s="94">
        <f>AL13/AK13/AL30*10000</f>
        <v>104.0912234170238</v>
      </c>
      <c r="AM64" s="94">
        <f>AM13/AL13/AM30*10000</f>
        <v>103.99980249987213</v>
      </c>
      <c r="AN64" s="94">
        <f t="shared" ref="AN64:AN66" si="94">AN13/AM13/AN30*10000</f>
        <v>102.88509198118591</v>
      </c>
      <c r="AO64" s="94">
        <f t="shared" ref="AO64:AO66" si="95">AO13/AN13/AO30*10000</f>
        <v>102.54920611630706</v>
      </c>
      <c r="AP64" s="94">
        <f t="shared" ref="AP64:AP66" si="96">AP13/AO13/AP30*10000</f>
        <v>102.45581242644181</v>
      </c>
      <c r="AS64" t="s">
        <v>667</v>
      </c>
    </row>
    <row r="65" spans="3:53" ht="18">
      <c r="C65" s="164" t="s">
        <v>548</v>
      </c>
      <c r="D65" s="164"/>
      <c r="E65" s="164"/>
      <c r="F65" s="164"/>
      <c r="G65" s="164"/>
      <c r="H65"/>
      <c r="I65"/>
      <c r="J65" s="204"/>
      <c r="K65" s="204"/>
      <c r="L65" s="620">
        <v>113.96947367684967</v>
      </c>
      <c r="M65" s="620">
        <v>118.70612230998506</v>
      </c>
      <c r="N65" s="620">
        <v>139.7196771050815</v>
      </c>
      <c r="O65" s="620">
        <v>129.22959016031021</v>
      </c>
      <c r="P65" s="620">
        <v>100.26229732467253</v>
      </c>
      <c r="Q65" s="620">
        <v>114.22745047796326</v>
      </c>
      <c r="R65" s="620">
        <v>118.9</v>
      </c>
      <c r="S65" s="620">
        <v>111.19866485736122</v>
      </c>
      <c r="T65" s="620">
        <v>107.81461745129461</v>
      </c>
      <c r="U65" s="620">
        <v>115.55648478030672</v>
      </c>
      <c r="V65" s="94">
        <v>79.637613416347151</v>
      </c>
      <c r="W65" s="94">
        <f t="shared" ref="W65:AH65" si="97">W14/V14/W31*10000</f>
        <v>98.595237780860373</v>
      </c>
      <c r="X65" s="94">
        <f t="shared" si="97"/>
        <v>104.53867359326314</v>
      </c>
      <c r="Y65" s="620">
        <v>105.2</v>
      </c>
      <c r="Z65" s="620">
        <v>106.6</v>
      </c>
      <c r="AA65" s="620">
        <v>98.7</v>
      </c>
      <c r="AB65" s="94">
        <f t="shared" si="97"/>
        <v>128.55476155753246</v>
      </c>
      <c r="AC65" s="94">
        <f t="shared" si="97"/>
        <v>110.21915124013819</v>
      </c>
      <c r="AD65" s="94">
        <f>AD14/AC14/AD31*10000</f>
        <v>123.48372850272283</v>
      </c>
      <c r="AE65" s="94">
        <f t="shared" si="97"/>
        <v>101.50446960707986</v>
      </c>
      <c r="AF65" s="94">
        <f>AF14/AE14/AF31*10000</f>
        <v>115.28132283633988</v>
      </c>
      <c r="AG65" s="94">
        <f t="shared" si="97"/>
        <v>94.471897894150942</v>
      </c>
      <c r="AH65" s="94">
        <f t="shared" si="97"/>
        <v>101.55975298692981</v>
      </c>
      <c r="AI65" s="94">
        <f>AI14/AH14/AI31*10000</f>
        <v>97.110890156230596</v>
      </c>
      <c r="AJ65" s="94">
        <f t="shared" ref="AJ65:AL65" si="98">AJ14/AI14/AJ31*10000</f>
        <v>92.400673153388169</v>
      </c>
      <c r="AK65" s="94">
        <f t="shared" si="98"/>
        <v>93.637277094790292</v>
      </c>
      <c r="AL65" s="94">
        <f t="shared" si="98"/>
        <v>94.017148909083318</v>
      </c>
      <c r="AM65" s="94">
        <f t="shared" ref="AM65:AM66" si="99">AM14/AL14/AM31*10000</f>
        <v>98.042218914987444</v>
      </c>
      <c r="AN65" s="94">
        <f t="shared" si="94"/>
        <v>104.52412537019285</v>
      </c>
      <c r="AO65" s="94">
        <f t="shared" si="95"/>
        <v>104.38194191580254</v>
      </c>
      <c r="AP65" s="94">
        <f t="shared" si="96"/>
        <v>104.03690362543605</v>
      </c>
      <c r="AS65" t="s">
        <v>668</v>
      </c>
    </row>
    <row r="66" spans="3:53" ht="18">
      <c r="C66" s="164" t="s">
        <v>549</v>
      </c>
      <c r="D66" s="164"/>
      <c r="E66" s="164"/>
      <c r="F66" s="164"/>
      <c r="G66" s="164"/>
      <c r="H66"/>
      <c r="I66"/>
      <c r="J66"/>
      <c r="K66"/>
      <c r="L66" s="620">
        <v>108.92170857113079</v>
      </c>
      <c r="M66" s="620">
        <v>121.42474795297122</v>
      </c>
      <c r="N66" s="620">
        <v>125.71525608978165</v>
      </c>
      <c r="O66" s="620">
        <v>128.0174607508693</v>
      </c>
      <c r="P66" s="620">
        <v>114.10712296078307</v>
      </c>
      <c r="Q66" s="620">
        <v>112.24092272897371</v>
      </c>
      <c r="R66" s="620">
        <v>111.87249318193386</v>
      </c>
      <c r="S66" s="620">
        <v>111.96329579365644</v>
      </c>
      <c r="T66" s="620">
        <v>103.85292083986957</v>
      </c>
      <c r="U66" s="620">
        <v>104.00103358132556</v>
      </c>
      <c r="V66" s="94">
        <v>109.63348293377113</v>
      </c>
      <c r="W66" s="94">
        <f t="shared" ref="W66:AH66" si="100">W15/V15/W32*10000</f>
        <v>100.77142891507735</v>
      </c>
      <c r="X66" s="94">
        <f t="shared" si="100"/>
        <v>110.41223449932411</v>
      </c>
      <c r="Y66" s="94">
        <f t="shared" si="100"/>
        <v>102.83277320711115</v>
      </c>
      <c r="Z66" s="94">
        <f t="shared" si="100"/>
        <v>103.32625315759738</v>
      </c>
      <c r="AA66" s="94">
        <f t="shared" si="100"/>
        <v>101.7748845107195</v>
      </c>
      <c r="AB66" s="94">
        <f t="shared" si="100"/>
        <v>106.70813892584188</v>
      </c>
      <c r="AC66" s="94">
        <f t="shared" si="100"/>
        <v>108.03207090116163</v>
      </c>
      <c r="AD66" s="94">
        <f t="shared" si="100"/>
        <v>101.92450265710393</v>
      </c>
      <c r="AE66" s="94">
        <f t="shared" si="100"/>
        <v>108.94174379912461</v>
      </c>
      <c r="AF66" s="94">
        <f t="shared" si="100"/>
        <v>103.64740724112055</v>
      </c>
      <c r="AG66" s="94">
        <f t="shared" si="100"/>
        <v>105.2482822579549</v>
      </c>
      <c r="AH66" s="94">
        <f t="shared" si="100"/>
        <v>104.26751146161176</v>
      </c>
      <c r="AI66" s="94">
        <f>AI15/AH15/AI32*10000</f>
        <v>104.68751978549504</v>
      </c>
      <c r="AJ66" s="94">
        <f t="shared" ref="AJ66:AL66" si="101">AJ15/AI15/AJ32*10000</f>
        <v>106.22246627591561</v>
      </c>
      <c r="AK66" s="94">
        <f t="shared" si="101"/>
        <v>104.50612495666113</v>
      </c>
      <c r="AL66" s="94">
        <f t="shared" si="101"/>
        <v>104.81950906646819</v>
      </c>
      <c r="AM66" s="94">
        <f t="shared" si="99"/>
        <v>104.38610871354234</v>
      </c>
      <c r="AN66" s="94">
        <f t="shared" si="94"/>
        <v>102.78527147365079</v>
      </c>
      <c r="AO66" s="94">
        <f t="shared" si="95"/>
        <v>102.4357004634381</v>
      </c>
      <c r="AP66" s="94">
        <f t="shared" si="96"/>
        <v>102.35603125926342</v>
      </c>
      <c r="AS66" t="s">
        <v>669</v>
      </c>
    </row>
    <row r="67" spans="3:53" ht="18">
      <c r="C67" s="157" t="s">
        <v>550</v>
      </c>
      <c r="D67" s="157"/>
      <c r="E67" s="157"/>
      <c r="F67" s="157"/>
      <c r="G67" s="157"/>
      <c r="H67"/>
      <c r="I67"/>
      <c r="J67" s="204"/>
      <c r="K67" s="204"/>
      <c r="L67" s="620">
        <v>127.03394048769322</v>
      </c>
      <c r="M67" s="620">
        <v>124.05758115345674</v>
      </c>
      <c r="N67" s="620">
        <v>120.05166230759917</v>
      </c>
      <c r="O67" s="620">
        <v>133.24943203561185</v>
      </c>
      <c r="P67" s="620">
        <v>98.449313973950154</v>
      </c>
      <c r="Q67" s="620">
        <v>118.40030768959757</v>
      </c>
      <c r="R67" s="620">
        <v>137.26814670593504</v>
      </c>
      <c r="S67" s="620">
        <v>106.60517619141207</v>
      </c>
      <c r="T67" s="620">
        <v>91.217036393345623</v>
      </c>
      <c r="U67" s="620">
        <v>123.58269856089483</v>
      </c>
      <c r="V67" s="94">
        <v>99.74296503254368</v>
      </c>
      <c r="W67" s="94">
        <f t="shared" ref="W67:AD67" si="102">W16/V16/W33*10000</f>
        <v>98.694737994126612</v>
      </c>
      <c r="X67" s="94">
        <f t="shared" si="102"/>
        <v>107.08517901924286</v>
      </c>
      <c r="Y67" s="94">
        <f t="shared" si="102"/>
        <v>103.36681926425906</v>
      </c>
      <c r="Z67" s="94">
        <f t="shared" si="102"/>
        <v>109.70646378477183</v>
      </c>
      <c r="AA67" s="94">
        <f t="shared" si="102"/>
        <v>106.06831114371978</v>
      </c>
      <c r="AB67" s="94">
        <f t="shared" si="102"/>
        <v>111.73373348106615</v>
      </c>
      <c r="AC67" s="94">
        <f t="shared" si="102"/>
        <v>110.60494844600225</v>
      </c>
      <c r="AD67" s="94">
        <f t="shared" si="102"/>
        <v>99.805713517285326</v>
      </c>
      <c r="AE67" s="94">
        <f>AE16/AD16/AE33*10000</f>
        <v>106.98791907563525</v>
      </c>
      <c r="AF67" s="94">
        <f>AF16/AE16/AF33*10000</f>
        <v>98.710345101237394</v>
      </c>
      <c r="AG67">
        <f>Assumptions!AG57+100</f>
        <v>103.2</v>
      </c>
      <c r="AH67">
        <f>Assumptions!AH57+100</f>
        <v>101.2</v>
      </c>
      <c r="AI67">
        <f>Assumptions!AI57+100</f>
        <v>101.3</v>
      </c>
      <c r="AJ67">
        <f>Assumptions!AJ57+100</f>
        <v>101.1</v>
      </c>
      <c r="AK67">
        <f>Assumptions!AK57+100</f>
        <v>100.8</v>
      </c>
      <c r="AL67">
        <f>Assumptions!AL57+100</f>
        <v>100.5</v>
      </c>
      <c r="AM67">
        <f>Assumptions!AM57+100</f>
        <v>100.2</v>
      </c>
      <c r="AN67">
        <f>Assumptions!AN57+100</f>
        <v>100.5</v>
      </c>
      <c r="AO67">
        <f>Assumptions!AO57+100</f>
        <v>100.5</v>
      </c>
      <c r="AP67">
        <f>Assumptions!AP57+100</f>
        <v>100.5</v>
      </c>
      <c r="AS67" t="s">
        <v>670</v>
      </c>
    </row>
    <row r="68" spans="3:53" ht="18">
      <c r="C68" s="157" t="s">
        <v>551</v>
      </c>
      <c r="D68" s="157"/>
      <c r="E68" s="157"/>
      <c r="F68" s="157"/>
      <c r="G68" s="157"/>
      <c r="H68"/>
      <c r="I68"/>
      <c r="J68" s="204"/>
      <c r="K68" s="204"/>
      <c r="L68" s="620">
        <v>94.024970599693077</v>
      </c>
      <c r="M68" s="620">
        <v>114.48619064341872</v>
      </c>
      <c r="N68" s="620">
        <v>107.5873981608389</v>
      </c>
      <c r="O68" s="620">
        <v>110.96648642735816</v>
      </c>
      <c r="P68" s="620">
        <v>125.72520281446923</v>
      </c>
      <c r="Q68" s="620">
        <v>112.79522082930481</v>
      </c>
      <c r="R68" s="620">
        <v>113.46808130068926</v>
      </c>
      <c r="S68" s="620">
        <v>102.21161998910418</v>
      </c>
      <c r="T68" s="620">
        <v>99.362975670236196</v>
      </c>
      <c r="U68" s="620">
        <v>102.84878192620543</v>
      </c>
      <c r="V68" s="94">
        <v>125.96615476602548</v>
      </c>
      <c r="W68" s="94">
        <f t="shared" ref="W68:AH68" si="103">W17/V17/W34*10000</f>
        <v>103.39628148728015</v>
      </c>
      <c r="X68" s="94">
        <f t="shared" si="103"/>
        <v>114.22636694774907</v>
      </c>
      <c r="Y68" s="94">
        <f t="shared" si="103"/>
        <v>105.84870593047239</v>
      </c>
      <c r="Z68" s="94">
        <f t="shared" si="103"/>
        <v>99.166309054871704</v>
      </c>
      <c r="AA68" s="94">
        <f t="shared" si="103"/>
        <v>106.27825473253696</v>
      </c>
      <c r="AB68" s="94">
        <f t="shared" si="103"/>
        <v>102.4156047728226</v>
      </c>
      <c r="AC68" s="94">
        <f t="shared" si="103"/>
        <v>99.661097702266389</v>
      </c>
      <c r="AD68" s="94">
        <f t="shared" si="103"/>
        <v>97.661415166038566</v>
      </c>
      <c r="AE68" s="94">
        <f t="shared" si="103"/>
        <v>91.525819780988272</v>
      </c>
      <c r="AF68" s="94">
        <f t="shared" si="103"/>
        <v>71.784512820797474</v>
      </c>
      <c r="AG68" s="94">
        <f t="shared" si="103"/>
        <v>126.5582670098262</v>
      </c>
      <c r="AH68" s="94">
        <f t="shared" si="103"/>
        <v>90.829303626042218</v>
      </c>
      <c r="AI68" s="94">
        <f>AI17/AH17/AI34*10000</f>
        <v>92.549003169940562</v>
      </c>
      <c r="AJ68" s="94">
        <f t="shared" ref="AJ68:AM69" si="104">AJ17/AI17/AJ34*10000</f>
        <v>94.795365348517365</v>
      </c>
      <c r="AK68" s="94">
        <f t="shared" si="104"/>
        <v>101.71321455934742</v>
      </c>
      <c r="AL68" s="94">
        <f t="shared" si="104"/>
        <v>93.308053227574774</v>
      </c>
      <c r="AM68" s="94">
        <f t="shared" si="104"/>
        <v>109.55317913926741</v>
      </c>
      <c r="AN68" s="94">
        <f t="shared" ref="AN68:AN69" si="105">AN17/AM17/AN34*10000</f>
        <v>75.174799015873006</v>
      </c>
      <c r="AO68" s="94">
        <f t="shared" ref="AO68:AO69" si="106">AO17/AN17/AO34*10000</f>
        <v>101.86948028876658</v>
      </c>
      <c r="AP68" s="94">
        <f t="shared" ref="AP68:AP69" si="107">AP17/AO17/AP34*10000</f>
        <v>90.921668246990961</v>
      </c>
      <c r="AQ68" s="94"/>
      <c r="AS68" t="s">
        <v>671</v>
      </c>
    </row>
    <row r="69" spans="3:53" ht="18">
      <c r="C69" s="157" t="s">
        <v>552</v>
      </c>
      <c r="D69" s="157"/>
      <c r="E69" s="157"/>
      <c r="F69" s="157"/>
      <c r="G69" s="157"/>
      <c r="H69"/>
      <c r="I69"/>
      <c r="J69" s="204"/>
      <c r="K69" s="204"/>
      <c r="L69" s="620">
        <v>107.13448177829483</v>
      </c>
      <c r="M69" s="620">
        <v>161.84173902727267</v>
      </c>
      <c r="N69" s="620">
        <v>165.13439315584498</v>
      </c>
      <c r="O69" s="620">
        <v>146.147903017636</v>
      </c>
      <c r="P69" s="620">
        <v>135.50767267638631</v>
      </c>
      <c r="Q69" s="620">
        <v>110.00000000000001</v>
      </c>
      <c r="R69" s="620">
        <v>89.511635762813469</v>
      </c>
      <c r="S69" s="620">
        <v>167.51156541732456</v>
      </c>
      <c r="T69" s="620">
        <v>118.54805163872757</v>
      </c>
      <c r="U69" s="620">
        <v>88.532522897246182</v>
      </c>
      <c r="V69" s="94">
        <v>135.96686921911075</v>
      </c>
      <c r="W69" s="94">
        <f t="shared" ref="W69:AH69" si="108">W18/V18/W35*10000</f>
        <v>90.741723556279297</v>
      </c>
      <c r="X69" s="94">
        <f t="shared" si="108"/>
        <v>88.011378636870774</v>
      </c>
      <c r="Y69" s="94">
        <f t="shared" si="108"/>
        <v>111.1994507243129</v>
      </c>
      <c r="Z69" s="94">
        <f t="shared" si="108"/>
        <v>94.280762902998319</v>
      </c>
      <c r="AA69" s="94">
        <f t="shared" si="108"/>
        <v>91.824561083632801</v>
      </c>
      <c r="AB69" s="94">
        <f t="shared" si="108"/>
        <v>97.509189489333863</v>
      </c>
      <c r="AC69" s="94">
        <f t="shared" si="108"/>
        <v>104.17668950239158</v>
      </c>
      <c r="AD69">
        <f>AD18/AC18/AD35*10000</f>
        <v>100.29393887603382</v>
      </c>
      <c r="AE69">
        <f t="shared" si="108"/>
        <v>104.7</v>
      </c>
      <c r="AF69">
        <f t="shared" si="108"/>
        <v>103.6</v>
      </c>
      <c r="AG69">
        <f t="shared" si="108"/>
        <v>114</v>
      </c>
      <c r="AH69">
        <f t="shared" si="108"/>
        <v>95</v>
      </c>
      <c r="AI69">
        <f>AI18/AH18/AI35*10000</f>
        <v>96.000000000000014</v>
      </c>
      <c r="AJ69">
        <f t="shared" ref="AJ69:AL69" si="109">AJ18/AI18/AJ35*10000</f>
        <v>95.999999999999986</v>
      </c>
      <c r="AK69">
        <f t="shared" si="109"/>
        <v>96.000000000000014</v>
      </c>
      <c r="AL69">
        <f t="shared" si="109"/>
        <v>95.999999999999986</v>
      </c>
      <c r="AM69">
        <f t="shared" si="104"/>
        <v>96.000000000000014</v>
      </c>
      <c r="AN69">
        <f t="shared" si="105"/>
        <v>96.000000000000014</v>
      </c>
      <c r="AO69">
        <f t="shared" si="106"/>
        <v>96.000000000000014</v>
      </c>
      <c r="AP69">
        <f t="shared" si="107"/>
        <v>95.999999999999986</v>
      </c>
      <c r="AS69" t="s">
        <v>672</v>
      </c>
    </row>
    <row r="70" spans="3:53" ht="18">
      <c r="C70" s="157" t="s">
        <v>553</v>
      </c>
      <c r="D70" s="157"/>
      <c r="E70" s="157"/>
      <c r="F70" s="157"/>
      <c r="G70" s="157"/>
      <c r="H70"/>
      <c r="I70"/>
      <c r="J70"/>
      <c r="K70"/>
      <c r="L70" s="204">
        <v>86.363636363637255</v>
      </c>
      <c r="M70" s="204">
        <v>99.521531100476182</v>
      </c>
      <c r="N70" s="204"/>
      <c r="O70" s="204"/>
      <c r="P70" s="204"/>
      <c r="Q70" s="204"/>
      <c r="R70" s="204"/>
      <c r="S70" s="204"/>
      <c r="T70" s="204"/>
      <c r="U70" s="620"/>
      <c r="AS70" t="s">
        <v>673</v>
      </c>
    </row>
    <row r="71" spans="3:53" ht="18">
      <c r="C71" s="156" t="s">
        <v>554</v>
      </c>
      <c r="H71"/>
      <c r="I71"/>
      <c r="J71" s="204"/>
      <c r="K71" s="204"/>
      <c r="L71" s="620">
        <v>107.57262057265518</v>
      </c>
      <c r="M71" s="620">
        <v>111.11833029245668</v>
      </c>
      <c r="N71" s="620">
        <v>120.71606559941551</v>
      </c>
      <c r="O71" s="620">
        <v>120.39901768188102</v>
      </c>
      <c r="P71" s="620">
        <v>105.22753483447715</v>
      </c>
      <c r="Q71" s="620">
        <v>101.60389822562543</v>
      </c>
      <c r="R71" s="620">
        <v>113.18213393170431</v>
      </c>
      <c r="S71" s="620">
        <v>105.78987746500097</v>
      </c>
      <c r="T71" s="620">
        <v>97.398368207277954</v>
      </c>
      <c r="U71" s="620">
        <v>103.31761793760968</v>
      </c>
      <c r="V71" s="94">
        <v>80.156686341261704</v>
      </c>
      <c r="W71" s="94">
        <f t="shared" ref="W71:AD71" si="110">W20/V20/W37*10000</f>
        <v>106.09496567148166</v>
      </c>
      <c r="X71" s="94">
        <f t="shared" si="110"/>
        <v>97.531195092170705</v>
      </c>
      <c r="Y71" s="94">
        <f t="shared" si="110"/>
        <v>127.07496127935997</v>
      </c>
      <c r="Z71" s="94">
        <f t="shared" si="110"/>
        <v>107.79954327085976</v>
      </c>
      <c r="AA71" s="94">
        <f t="shared" si="110"/>
        <v>106.47049672837231</v>
      </c>
      <c r="AB71" s="94">
        <f t="shared" si="110"/>
        <v>113.07617689291904</v>
      </c>
      <c r="AC71" s="94">
        <f t="shared" si="110"/>
        <v>108.37563241328684</v>
      </c>
      <c r="AD71" s="94">
        <f t="shared" si="110"/>
        <v>110.46420258963946</v>
      </c>
      <c r="AE71" s="94">
        <f>AE20/AD20/AE37*10000</f>
        <v>105.21290502152652</v>
      </c>
      <c r="AF71" s="94">
        <f>AF20/AE20/AF37*10000</f>
        <v>122.25067030614808</v>
      </c>
      <c r="AG71" s="94">
        <f>Household!AG12</f>
        <v>105.06834179574399</v>
      </c>
      <c r="AH71" s="94">
        <f>Household!AH12</f>
        <v>101.89439944837954</v>
      </c>
      <c r="AI71" s="94">
        <f>Household!AI12</f>
        <v>100.61573600148478</v>
      </c>
      <c r="AJ71" s="94">
        <f>Household!AJ12</f>
        <v>100.68895540190937</v>
      </c>
      <c r="AK71" s="94">
        <f>Household!AK12</f>
        <v>100.48009195612114</v>
      </c>
      <c r="AL71" s="94">
        <f>Household!AL12</f>
        <v>100.28786598707968</v>
      </c>
      <c r="AM71" s="94">
        <f>Household!AM12</f>
        <v>101.19989382299526</v>
      </c>
      <c r="AN71" s="94">
        <f>Household!AN12</f>
        <v>103.95868691760049</v>
      </c>
      <c r="AO71" s="94">
        <f>Household!AO12</f>
        <v>103.73064541947359</v>
      </c>
      <c r="AP71" s="94">
        <f>Household!AP12</f>
        <v>103.79388163422473</v>
      </c>
      <c r="AS71" t="s">
        <v>674</v>
      </c>
    </row>
    <row r="72" spans="3:53" ht="18">
      <c r="C72" s="156" t="s">
        <v>555</v>
      </c>
      <c r="H72"/>
      <c r="I72"/>
      <c r="J72" s="204"/>
      <c r="K72" s="204"/>
      <c r="L72" s="620">
        <v>100.3009215723152</v>
      </c>
      <c r="M72" s="620">
        <v>106.87056594720489</v>
      </c>
      <c r="N72" s="620">
        <v>98.766705427553376</v>
      </c>
      <c r="O72" s="620">
        <v>101.78284457065166</v>
      </c>
      <c r="P72" s="620">
        <v>82.79120671044133</v>
      </c>
      <c r="Q72" s="620">
        <v>101.98927932874075</v>
      </c>
      <c r="R72" s="620">
        <v>104.67726136744366</v>
      </c>
      <c r="S72" s="620">
        <v>102.4239578466119</v>
      </c>
      <c r="T72" s="620">
        <v>101.09523060674023</v>
      </c>
      <c r="U72" s="620">
        <v>100.55555441033404</v>
      </c>
      <c r="V72" s="94">
        <v>72.952200124675713</v>
      </c>
      <c r="W72" s="94">
        <f t="shared" ref="W72:AH72" si="111">W21/V21/W38*10000</f>
        <v>100.1974334801405</v>
      </c>
      <c r="X72" s="94">
        <f t="shared" si="111"/>
        <v>100.21366637292394</v>
      </c>
      <c r="Y72" s="94">
        <f t="shared" si="111"/>
        <v>94.143332210902557</v>
      </c>
      <c r="Z72" s="94">
        <f t="shared" si="111"/>
        <v>97.575696935203354</v>
      </c>
      <c r="AA72" s="94">
        <f t="shared" si="111"/>
        <v>99.593551487059926</v>
      </c>
      <c r="AB72" s="94">
        <f t="shared" si="111"/>
        <v>143.12028489746041</v>
      </c>
      <c r="AC72" s="94">
        <f t="shared" si="111"/>
        <v>120.46383225178869</v>
      </c>
      <c r="AD72" s="94">
        <f t="shared" si="111"/>
        <v>98.75727080711475</v>
      </c>
      <c r="AE72" s="94">
        <f t="shared" si="111"/>
        <v>103.50305144432004</v>
      </c>
      <c r="AF72" s="94">
        <f>AF21/AE21/AF38*10000</f>
        <v>131.48353655987947</v>
      </c>
      <c r="AG72" s="94">
        <f t="shared" si="111"/>
        <v>178.48041671808562</v>
      </c>
      <c r="AH72" s="94">
        <f t="shared" si="111"/>
        <v>109.71874690582818</v>
      </c>
      <c r="AI72" s="94">
        <f>AI21/AH21/AI38*10000</f>
        <v>100.29636455585489</v>
      </c>
      <c r="AJ72" s="94">
        <f t="shared" ref="AJ72:AP73" si="112">AJ21/AI21/AJ38*10000</f>
        <v>126.99221765595233</v>
      </c>
      <c r="AK72" s="94">
        <f t="shared" si="112"/>
        <v>113.50603870913145</v>
      </c>
      <c r="AL72" s="94">
        <f t="shared" si="112"/>
        <v>105.53204216021348</v>
      </c>
      <c r="AM72" s="94">
        <f t="shared" si="112"/>
        <v>109.41519262665004</v>
      </c>
      <c r="AN72" s="94">
        <f t="shared" si="112"/>
        <v>93.323341908969837</v>
      </c>
      <c r="AO72" s="94">
        <f t="shared" si="112"/>
        <v>99.440340414729945</v>
      </c>
      <c r="AP72" s="94">
        <f t="shared" si="112"/>
        <v>99.573165974609637</v>
      </c>
      <c r="AS72" t="s">
        <v>675</v>
      </c>
    </row>
    <row r="73" spans="3:53" ht="18">
      <c r="C73" s="155" t="s">
        <v>556</v>
      </c>
      <c r="D73" s="155"/>
      <c r="E73" s="155"/>
      <c r="F73" s="155"/>
      <c r="G73" s="155"/>
      <c r="H73"/>
      <c r="I73"/>
      <c r="J73" s="204"/>
      <c r="K73" s="204"/>
      <c r="L73" s="620">
        <v>123.3492467948997</v>
      </c>
      <c r="M73" s="620">
        <v>131.33490111186379</v>
      </c>
      <c r="N73" s="620">
        <v>175.39441974595951</v>
      </c>
      <c r="O73" s="620">
        <v>122.07923401902318</v>
      </c>
      <c r="P73" s="620">
        <v>174.1032466763217</v>
      </c>
      <c r="Q73" s="620">
        <v>119.69686238402157</v>
      </c>
      <c r="R73" s="620">
        <v>134.92842801379294</v>
      </c>
      <c r="S73" s="620">
        <v>121.08295092998527</v>
      </c>
      <c r="T73" s="620">
        <v>128.71403849832515</v>
      </c>
      <c r="U73" s="620">
        <v>92.133177600969375</v>
      </c>
      <c r="V73" s="94">
        <v>168.76156526015282</v>
      </c>
      <c r="W73" s="94">
        <f t="shared" ref="W73:AH73" si="113">W22/V22/W39*10000</f>
        <v>104.99781297984016</v>
      </c>
      <c r="X73" s="94">
        <f t="shared" si="113"/>
        <v>145.06513188543394</v>
      </c>
      <c r="Y73" s="94">
        <f t="shared" si="113"/>
        <v>85.112137129601749</v>
      </c>
      <c r="Z73" s="94">
        <f t="shared" si="113"/>
        <v>107.20829183190207</v>
      </c>
      <c r="AA73" s="94">
        <f t="shared" si="113"/>
        <v>95.022849113641172</v>
      </c>
      <c r="AB73" s="94">
        <f t="shared" si="113"/>
        <v>99.791103663950182</v>
      </c>
      <c r="AC73" s="94">
        <f t="shared" si="113"/>
        <v>118.46330275229357</v>
      </c>
      <c r="AD73" s="94">
        <f t="shared" si="113"/>
        <v>107.70273259842203</v>
      </c>
      <c r="AE73" s="94">
        <f t="shared" si="113"/>
        <v>167.84208559805796</v>
      </c>
      <c r="AF73" s="94">
        <f t="shared" si="113"/>
        <v>130.16910433747302</v>
      </c>
      <c r="AG73" s="94">
        <f t="shared" si="113"/>
        <v>93.158462252508698</v>
      </c>
      <c r="AH73" s="94">
        <f t="shared" si="113"/>
        <v>151.00317945248653</v>
      </c>
      <c r="AI73" s="94">
        <f>AI22/AH22/AI39*10000</f>
        <v>127.98996012141767</v>
      </c>
      <c r="AJ73" s="94">
        <f t="shared" ref="AJ73:AM73" si="114">AJ22/AI22/AJ39*10000</f>
        <v>177.75462885309341</v>
      </c>
      <c r="AK73" s="94">
        <f t="shared" si="114"/>
        <v>130.43452927813826</v>
      </c>
      <c r="AL73" s="94">
        <f t="shared" si="114"/>
        <v>128.76637852260978</v>
      </c>
      <c r="AM73" s="94">
        <f t="shared" si="114"/>
        <v>130.65955034941172</v>
      </c>
      <c r="AN73" s="94">
        <f t="shared" si="112"/>
        <v>194.47152079182004</v>
      </c>
      <c r="AO73" s="94">
        <f t="shared" si="112"/>
        <v>123.1265406095067</v>
      </c>
      <c r="AP73" s="94">
        <f t="shared" si="112"/>
        <v>165.129539051271</v>
      </c>
      <c r="AS73" t="s">
        <v>676</v>
      </c>
    </row>
    <row r="74" spans="3:53">
      <c r="C74" s="162" t="s">
        <v>429</v>
      </c>
      <c r="D74" s="162"/>
      <c r="E74" s="162"/>
      <c r="F74" s="162"/>
      <c r="G74" s="162"/>
      <c r="H74"/>
      <c r="I74"/>
      <c r="J74" s="204"/>
      <c r="K74" s="204"/>
      <c r="L74" s="620"/>
      <c r="M74" s="620"/>
      <c r="N74" s="620"/>
      <c r="O74" s="620"/>
      <c r="P74" s="620"/>
      <c r="Q74" s="620"/>
      <c r="R74" s="620"/>
      <c r="S74" s="620"/>
      <c r="T74" s="620"/>
      <c r="U74" s="620"/>
    </row>
    <row r="75" spans="3:53" ht="18">
      <c r="C75" s="164" t="s">
        <v>562</v>
      </c>
      <c r="D75" s="164"/>
      <c r="E75" s="164"/>
      <c r="F75" s="164"/>
      <c r="G75" s="164"/>
      <c r="H75"/>
      <c r="I75"/>
      <c r="J75" s="204"/>
      <c r="K75" s="204"/>
      <c r="L75" s="620">
        <v>106.76450152353912</v>
      </c>
      <c r="M75" s="620">
        <v>123.61491831894296</v>
      </c>
      <c r="N75" s="620">
        <v>123.47762057574796</v>
      </c>
      <c r="O75" s="620">
        <v>129.48440454643455</v>
      </c>
      <c r="P75" s="620">
        <v>113.93615187975536</v>
      </c>
      <c r="Q75" s="620">
        <v>116.58267704727679</v>
      </c>
      <c r="R75" s="620">
        <v>137.9</v>
      </c>
      <c r="S75" s="620">
        <v>113.73795308009615</v>
      </c>
      <c r="T75" s="620">
        <v>101.19992428207102</v>
      </c>
      <c r="U75" s="620">
        <v>105.75209592001738</v>
      </c>
      <c r="V75" s="94">
        <v>115.40044800907683</v>
      </c>
      <c r="W75" s="94">
        <f t="shared" ref="W75:AH75" si="115">W24/V24/W41*10000</f>
        <v>96.486963206775485</v>
      </c>
      <c r="X75" s="94">
        <f t="shared" si="115"/>
        <v>107.55888038319713</v>
      </c>
      <c r="Y75" s="94">
        <f t="shared" si="115"/>
        <v>106.16735964085099</v>
      </c>
      <c r="Z75" s="94">
        <f t="shared" si="115"/>
        <v>101.80317513525935</v>
      </c>
      <c r="AA75" s="94">
        <f t="shared" si="115"/>
        <v>103.16136244702706</v>
      </c>
      <c r="AB75" s="94">
        <f t="shared" si="115"/>
        <v>104.7863639513277</v>
      </c>
      <c r="AC75" s="94">
        <f t="shared" si="115"/>
        <v>104.66442567863903</v>
      </c>
      <c r="AD75" s="94">
        <f t="shared" si="115"/>
        <v>99.039476112449449</v>
      </c>
      <c r="AE75" s="94">
        <f t="shared" si="115"/>
        <v>100.14320326102403</v>
      </c>
      <c r="AF75" s="94">
        <f t="shared" si="115"/>
        <v>87.609333440010317</v>
      </c>
      <c r="AG75" s="94">
        <f t="shared" si="115"/>
        <v>115.17816960195655</v>
      </c>
      <c r="AH75" s="94">
        <f t="shared" si="115"/>
        <v>96.761429155513099</v>
      </c>
      <c r="AI75" s="94">
        <f>AI24/AH24/AI41*10000</f>
        <v>101.99731598845081</v>
      </c>
      <c r="AJ75" s="94">
        <f t="shared" ref="AJ75:AP76" si="116">AJ24/AI24/AJ41*10000</f>
        <v>95.73698917572716</v>
      </c>
      <c r="AK75" s="94">
        <f t="shared" si="116"/>
        <v>98.17870217764235</v>
      </c>
      <c r="AL75" s="94">
        <f t="shared" si="116"/>
        <v>101.72517224457712</v>
      </c>
      <c r="AM75" s="94">
        <f t="shared" si="116"/>
        <v>101.1981933732667</v>
      </c>
      <c r="AN75" s="94">
        <f t="shared" si="116"/>
        <v>87.666535627992701</v>
      </c>
      <c r="AO75" s="94">
        <f t="shared" si="116"/>
        <v>99.79546641379072</v>
      </c>
      <c r="AP75" s="94">
        <f t="shared" si="116"/>
        <v>95.320762533228958</v>
      </c>
      <c r="AS75" t="s">
        <v>677</v>
      </c>
    </row>
    <row r="76" spans="3:53" ht="18">
      <c r="C76" s="164" t="s">
        <v>525</v>
      </c>
      <c r="D76" s="164"/>
      <c r="E76" s="164"/>
      <c r="F76" s="164"/>
      <c r="G76" s="164"/>
      <c r="H76"/>
      <c r="I76"/>
      <c r="J76" s="204"/>
      <c r="K76" s="204"/>
      <c r="L76" s="620">
        <v>111.70458751346861</v>
      </c>
      <c r="M76" s="620">
        <v>118.81844142415042</v>
      </c>
      <c r="N76" s="620">
        <v>128.30449008334895</v>
      </c>
      <c r="O76" s="620">
        <v>129.43791989019067</v>
      </c>
      <c r="P76" s="620">
        <v>110.99644775348109</v>
      </c>
      <c r="Q76" s="620">
        <v>108.14406996789285</v>
      </c>
      <c r="R76" s="620">
        <v>102.8</v>
      </c>
      <c r="S76" s="620">
        <v>110</v>
      </c>
      <c r="T76" s="620">
        <v>106.52726907764846</v>
      </c>
      <c r="U76" s="620">
        <v>102.14449027345948</v>
      </c>
      <c r="V76" s="94">
        <v>102.68115378606663</v>
      </c>
      <c r="W76" s="94">
        <f t="shared" ref="W76:AH76" si="117">W25/V25/W42*10000</f>
        <v>105.62971042726979</v>
      </c>
      <c r="X76" s="94">
        <f t="shared" si="117"/>
        <v>114.64807953906002</v>
      </c>
      <c r="Y76" s="94">
        <f t="shared" si="117"/>
        <v>98.186110280630075</v>
      </c>
      <c r="Z76" s="94">
        <f t="shared" si="117"/>
        <v>105.67199343851514</v>
      </c>
      <c r="AA76" s="94">
        <f t="shared" si="117"/>
        <v>99.58534132878232</v>
      </c>
      <c r="AB76" s="94">
        <f t="shared" si="117"/>
        <v>110.2631721890115</v>
      </c>
      <c r="AC76" s="94">
        <f t="shared" si="117"/>
        <v>114.39942368167952</v>
      </c>
      <c r="AD76" s="94">
        <f t="shared" si="117"/>
        <v>107.18011252123715</v>
      </c>
      <c r="AE76" s="94">
        <f t="shared" si="117"/>
        <v>126.47116612409756</v>
      </c>
      <c r="AF76" s="94">
        <f t="shared" si="117"/>
        <v>127.36648203643462</v>
      </c>
      <c r="AG76" s="94">
        <f t="shared" si="117"/>
        <v>91.529123690806074</v>
      </c>
      <c r="AH76" s="94">
        <f t="shared" si="117"/>
        <v>120.45034349631857</v>
      </c>
      <c r="AI76" s="94">
        <f>AI25/AH25/AI42*10000</f>
        <v>110.25526898695091</v>
      </c>
      <c r="AJ76" s="94">
        <f t="shared" ref="AJ76:AM76" si="118">AJ25/AI25/AJ42*10000</f>
        <v>132.18744918241345</v>
      </c>
      <c r="AK76" s="94">
        <f t="shared" si="118"/>
        <v>117.98794960261965</v>
      </c>
      <c r="AL76" s="94">
        <f t="shared" si="118"/>
        <v>111.29084546575582</v>
      </c>
      <c r="AM76" s="94">
        <f t="shared" si="118"/>
        <v>111.61541263398091</v>
      </c>
      <c r="AN76" s="94">
        <f t="shared" si="116"/>
        <v>140.84145148758421</v>
      </c>
      <c r="AO76" s="94">
        <f t="shared" si="116"/>
        <v>107.07737542153602</v>
      </c>
      <c r="AP76" s="94">
        <f t="shared" si="116"/>
        <v>117.48436373415923</v>
      </c>
      <c r="AS76" t="s">
        <v>678</v>
      </c>
    </row>
    <row r="77" spans="3:53">
      <c r="C77" s="156" t="s">
        <v>563</v>
      </c>
      <c r="AS77" s="156">
        <v>2021</v>
      </c>
      <c r="AT77" s="156">
        <v>2022</v>
      </c>
      <c r="AU77" s="156">
        <v>2023</v>
      </c>
      <c r="AV77" s="156">
        <v>2024</v>
      </c>
      <c r="AW77" s="156">
        <v>2025</v>
      </c>
      <c r="AX77" s="156">
        <v>2026</v>
      </c>
    </row>
    <row r="78" spans="3:53">
      <c r="C78" s="164" t="s">
        <v>559</v>
      </c>
      <c r="D78" s="164"/>
      <c r="E78" s="164"/>
      <c r="F78" s="164"/>
      <c r="G78" s="164"/>
      <c r="H78" s="164"/>
      <c r="I78" s="164"/>
      <c r="J78" s="164"/>
      <c r="K78" s="164"/>
      <c r="L78" s="261">
        <v>100.00693808453362</v>
      </c>
      <c r="M78" s="261">
        <v>100.00428481141472</v>
      </c>
      <c r="N78" s="261">
        <v>100.0023429629109</v>
      </c>
      <c r="O78" s="261">
        <v>100.02202531216642</v>
      </c>
      <c r="P78" s="261">
        <v>100.02132919676184</v>
      </c>
      <c r="Q78" s="261">
        <v>99.999595258043229</v>
      </c>
      <c r="R78" s="261">
        <v>100.00000000000001</v>
      </c>
      <c r="S78" s="261">
        <v>100</v>
      </c>
      <c r="T78" s="261">
        <v>100.00000000000001</v>
      </c>
      <c r="U78" s="261">
        <v>100</v>
      </c>
      <c r="V78" s="261">
        <f t="shared" ref="V78:AE78" si="119">V79+V80</f>
        <v>100</v>
      </c>
      <c r="W78" s="262">
        <f t="shared" si="119"/>
        <v>100.00000000000001</v>
      </c>
      <c r="X78" s="262">
        <f t="shared" si="119"/>
        <v>100</v>
      </c>
      <c r="Y78" s="262">
        <f t="shared" si="119"/>
        <v>100.00000000000001</v>
      </c>
      <c r="Z78" s="262">
        <f t="shared" si="119"/>
        <v>100.00000000000001</v>
      </c>
      <c r="AA78" s="262">
        <f>AA79+AA80</f>
        <v>100</v>
      </c>
      <c r="AB78" s="262">
        <f t="shared" si="119"/>
        <v>99.999999999999986</v>
      </c>
      <c r="AC78" s="262">
        <f t="shared" si="119"/>
        <v>99.999999999999986</v>
      </c>
      <c r="AD78" s="262">
        <f t="shared" si="119"/>
        <v>99.999999999999986</v>
      </c>
      <c r="AE78" s="262">
        <f t="shared" si="119"/>
        <v>100</v>
      </c>
      <c r="AF78" s="261">
        <f>AF79+AF80</f>
        <v>100</v>
      </c>
      <c r="AG78" s="261">
        <f>AG79+AG80</f>
        <v>100</v>
      </c>
      <c r="AH78" s="261">
        <f>AH79+AH80</f>
        <v>100</v>
      </c>
      <c r="AI78" s="261">
        <f>AI79+AI80</f>
        <v>100</v>
      </c>
      <c r="AJ78" s="261">
        <f t="shared" ref="AJ78:AP78" si="120">AJ79+AJ80</f>
        <v>100</v>
      </c>
      <c r="AK78" s="261">
        <f t="shared" si="120"/>
        <v>100</v>
      </c>
      <c r="AL78" s="261">
        <f t="shared" si="120"/>
        <v>99.999999999999986</v>
      </c>
      <c r="AM78" s="261">
        <f t="shared" si="120"/>
        <v>100.00000000000001</v>
      </c>
      <c r="AN78" s="261">
        <f t="shared" si="120"/>
        <v>100</v>
      </c>
      <c r="AO78" s="261">
        <f t="shared" si="120"/>
        <v>100.00000000000001</v>
      </c>
      <c r="AP78" s="261">
        <f t="shared" si="120"/>
        <v>100</v>
      </c>
      <c r="AS78" s="204">
        <f>AS79+AS81+AS82+AS83+AS85+AS86+AS87</f>
        <v>0</v>
      </c>
      <c r="AT78" s="204">
        <f t="shared" ref="AT78:AX78" si="121">AT79+AT81+AT82+AT83+AT85+AT86+AT87</f>
        <v>0</v>
      </c>
      <c r="AU78" s="204">
        <f t="shared" si="121"/>
        <v>0</v>
      </c>
      <c r="AV78" s="204">
        <f t="shared" si="121"/>
        <v>0</v>
      </c>
      <c r="AW78" s="204">
        <f t="shared" si="121"/>
        <v>0</v>
      </c>
      <c r="AX78" s="204">
        <f t="shared" si="121"/>
        <v>0</v>
      </c>
    </row>
    <row r="79" spans="3:53">
      <c r="C79" s="164" t="s">
        <v>548</v>
      </c>
      <c r="D79" s="164"/>
      <c r="E79" s="164"/>
      <c r="F79" s="164"/>
      <c r="G79" s="164"/>
      <c r="H79" s="164"/>
      <c r="I79" s="164"/>
      <c r="J79" s="164"/>
      <c r="K79" s="164"/>
      <c r="L79" s="261">
        <v>11.533871728693144</v>
      </c>
      <c r="M79" s="261">
        <v>11.35153664049361</v>
      </c>
      <c r="N79" s="261">
        <v>12.52313675874511</v>
      </c>
      <c r="O79" s="261">
        <v>12.627280890500311</v>
      </c>
      <c r="P79" s="261">
        <v>11.084395753550826</v>
      </c>
      <c r="Q79" s="261">
        <v>11.258707011344915</v>
      </c>
      <c r="R79" s="261">
        <v>12.395622374971319</v>
      </c>
      <c r="S79" s="261">
        <v>12.321399437548219</v>
      </c>
      <c r="T79" s="261">
        <v>12.731584298165094</v>
      </c>
      <c r="U79" s="261">
        <v>13.94885827928414</v>
      </c>
      <c r="V79" s="94">
        <f t="shared" ref="V79:AH79" si="122">V14/V13*100</f>
        <v>10.534472138633985</v>
      </c>
      <c r="W79" s="94">
        <f t="shared" si="122"/>
        <v>10.330478205083748</v>
      </c>
      <c r="X79" s="94">
        <f t="shared" si="122"/>
        <v>9.8349791958630721</v>
      </c>
      <c r="Y79" s="94">
        <f t="shared" si="122"/>
        <v>9.8778201837341264</v>
      </c>
      <c r="Z79" s="94">
        <f t="shared" si="122"/>
        <v>9.7240796968264398</v>
      </c>
      <c r="AA79" s="94">
        <f t="shared" si="122"/>
        <v>8.9838646089785055</v>
      </c>
      <c r="AB79" s="94">
        <f t="shared" si="122"/>
        <v>9.5932478731413777</v>
      </c>
      <c r="AC79" s="94">
        <f t="shared" si="122"/>
        <v>9.0431936585782733</v>
      </c>
      <c r="AD79" s="94">
        <f t="shared" si="122"/>
        <v>9.9390052409251535</v>
      </c>
      <c r="AE79" s="94">
        <f t="shared" si="122"/>
        <v>9.3237491165646773</v>
      </c>
      <c r="AF79" s="94">
        <f>AF14/AF13*100</f>
        <v>10.262888666564924</v>
      </c>
      <c r="AG79" s="94">
        <f t="shared" si="122"/>
        <v>9.3099004010338682</v>
      </c>
      <c r="AH79" s="94">
        <f t="shared" si="122"/>
        <v>9.0901057583101785</v>
      </c>
      <c r="AI79" s="94">
        <f>AI14/AI13*100</f>
        <v>8.4880623100825741</v>
      </c>
      <c r="AJ79" s="94">
        <f t="shared" ref="AJ79:AP79" si="123">AJ14/AJ13*100</f>
        <v>7.4660463327006816</v>
      </c>
      <c r="AK79" s="94">
        <f t="shared" si="123"/>
        <v>6.7419123120655611</v>
      </c>
      <c r="AL79" s="94">
        <f t="shared" si="123"/>
        <v>6.089421883687697</v>
      </c>
      <c r="AM79" s="94">
        <f t="shared" si="123"/>
        <v>5.7405919918642017</v>
      </c>
      <c r="AN79" s="94">
        <f t="shared" si="123"/>
        <v>5.8320437441652224</v>
      </c>
      <c r="AO79" s="94">
        <f t="shared" si="123"/>
        <v>5.9362726871180591</v>
      </c>
      <c r="AP79" s="94">
        <f t="shared" si="123"/>
        <v>6.0278808475352221</v>
      </c>
      <c r="AS79" s="204">
        <f>$BG$44*AB79/100</f>
        <v>0</v>
      </c>
      <c r="AT79" s="204">
        <f>$BH$44*AC79/100</f>
        <v>0</v>
      </c>
      <c r="AU79" s="204">
        <f>$BI$44*AD79/100</f>
        <v>0</v>
      </c>
      <c r="AV79" s="204">
        <f>$BJ$44*AE79/100</f>
        <v>0</v>
      </c>
      <c r="AW79" s="204">
        <f>$BK$44*AF79/100</f>
        <v>0</v>
      </c>
      <c r="AX79" s="204">
        <f>$BL$44*AG79/100</f>
        <v>0</v>
      </c>
      <c r="AY79" s="204"/>
      <c r="AZ79" s="204"/>
      <c r="BA79" s="204"/>
    </row>
    <row r="80" spans="3:53">
      <c r="C80" s="164" t="s">
        <v>549</v>
      </c>
      <c r="D80" s="164"/>
      <c r="E80" s="164"/>
      <c r="F80" s="164"/>
      <c r="G80" s="164"/>
      <c r="H80" s="164"/>
      <c r="I80" s="164"/>
      <c r="J80" s="164"/>
      <c r="K80" s="164"/>
      <c r="L80" s="261">
        <v>88.473066355840473</v>
      </c>
      <c r="M80" s="261">
        <v>88.652748170921114</v>
      </c>
      <c r="N80" s="261">
        <v>87.479206204165791</v>
      </c>
      <c r="O80" s="261">
        <v>87.394744421666104</v>
      </c>
      <c r="P80" s="261">
        <v>88.936933443211018</v>
      </c>
      <c r="Q80" s="261">
        <v>88.740888246698319</v>
      </c>
      <c r="R80" s="261">
        <v>87.60437762502869</v>
      </c>
      <c r="S80" s="261">
        <v>87.678600562451777</v>
      </c>
      <c r="T80" s="261">
        <v>87.268415701834925</v>
      </c>
      <c r="U80" s="261">
        <v>86.051141720715862</v>
      </c>
      <c r="V80" s="94">
        <f t="shared" ref="V80:AH80" si="124">V81+V82+V83+V84+V85+V86+V87</f>
        <v>89.465527861366013</v>
      </c>
      <c r="W80" s="94">
        <f t="shared" si="124"/>
        <v>89.669521794916264</v>
      </c>
      <c r="X80" s="94">
        <f t="shared" si="124"/>
        <v>90.16502080413693</v>
      </c>
      <c r="Y80" s="94">
        <f t="shared" si="124"/>
        <v>90.122179816265884</v>
      </c>
      <c r="Z80" s="94">
        <f t="shared" si="124"/>
        <v>90.275920303173578</v>
      </c>
      <c r="AA80" s="94">
        <f t="shared" si="124"/>
        <v>91.016135391021493</v>
      </c>
      <c r="AB80" s="94">
        <f t="shared" si="124"/>
        <v>90.406752126858606</v>
      </c>
      <c r="AC80" s="94">
        <f t="shared" si="124"/>
        <v>90.956806341421711</v>
      </c>
      <c r="AD80" s="94">
        <f t="shared" si="124"/>
        <v>90.060994759074831</v>
      </c>
      <c r="AE80" s="94">
        <f t="shared" si="124"/>
        <v>90.67625088343533</v>
      </c>
      <c r="AF80" s="94">
        <f t="shared" si="124"/>
        <v>89.737111333435081</v>
      </c>
      <c r="AG80" s="94">
        <f t="shared" si="124"/>
        <v>90.690099598966128</v>
      </c>
      <c r="AH80" s="94">
        <f t="shared" si="124"/>
        <v>90.909894241689827</v>
      </c>
      <c r="AI80" s="94">
        <f>AI81+AI82+AI83+AI84+AI85+AI86+AI87</f>
        <v>91.511937689917431</v>
      </c>
      <c r="AJ80" s="94">
        <f t="shared" ref="AJ80:AP80" si="125">AJ81+AJ82+AJ83+AJ84+AJ85+AJ86+AJ87</f>
        <v>92.533953667299315</v>
      </c>
      <c r="AK80" s="94">
        <f t="shared" si="125"/>
        <v>93.258087687934434</v>
      </c>
      <c r="AL80" s="94">
        <f t="shared" si="125"/>
        <v>93.910578116312294</v>
      </c>
      <c r="AM80" s="94">
        <f t="shared" si="125"/>
        <v>94.259408008135807</v>
      </c>
      <c r="AN80" s="94">
        <f t="shared" si="125"/>
        <v>94.167956255834781</v>
      </c>
      <c r="AO80" s="94">
        <f t="shared" si="125"/>
        <v>94.063727312881952</v>
      </c>
      <c r="AP80" s="94">
        <f t="shared" si="125"/>
        <v>93.972119152464771</v>
      </c>
      <c r="AS80" s="204">
        <f t="shared" ref="AS80:AX80" si="126">AS81+AS82+AS83+AS85+AS86+AS87</f>
        <v>0</v>
      </c>
      <c r="AT80" s="204">
        <f t="shared" si="126"/>
        <v>0</v>
      </c>
      <c r="AU80" s="204">
        <f t="shared" si="126"/>
        <v>0</v>
      </c>
      <c r="AV80" s="204">
        <f t="shared" si="126"/>
        <v>0</v>
      </c>
      <c r="AW80" s="204">
        <f t="shared" si="126"/>
        <v>0</v>
      </c>
      <c r="AX80" s="204">
        <f t="shared" si="126"/>
        <v>0</v>
      </c>
      <c r="AY80" s="204"/>
      <c r="AZ80" s="204"/>
      <c r="BA80" s="204"/>
    </row>
    <row r="81" spans="3:64">
      <c r="C81" s="157" t="s">
        <v>550</v>
      </c>
      <c r="D81" s="157"/>
      <c r="E81" s="157"/>
      <c r="F81" s="157"/>
      <c r="G81" s="157"/>
      <c r="H81" s="157"/>
      <c r="I81" s="157"/>
      <c r="J81" s="157"/>
      <c r="K81" s="157"/>
      <c r="L81" s="261">
        <v>21.191685399494908</v>
      </c>
      <c r="M81" s="261">
        <v>21.451908347883837</v>
      </c>
      <c r="N81" s="261">
        <v>19.433315370617684</v>
      </c>
      <c r="O81" s="261">
        <v>19.867396325726126</v>
      </c>
      <c r="P81" s="261">
        <v>18.551553638082311</v>
      </c>
      <c r="Q81" s="261">
        <v>19.586677513751109</v>
      </c>
      <c r="R81" s="261">
        <v>23.835509841675233</v>
      </c>
      <c r="S81" s="261">
        <v>23.326816561633272</v>
      </c>
      <c r="T81" s="261">
        <v>20.430744326986666</v>
      </c>
      <c r="U81" s="261">
        <v>23.445290813171781</v>
      </c>
      <c r="V81" s="94">
        <f t="shared" ref="V81:AH81" si="127">V16/V13*100</f>
        <v>21.590744133674924</v>
      </c>
      <c r="W81" s="94">
        <f t="shared" si="127"/>
        <v>20.856976508615581</v>
      </c>
      <c r="X81" s="94">
        <f t="shared" si="127"/>
        <v>20.283296318886059</v>
      </c>
      <c r="Y81" s="94">
        <f t="shared" si="127"/>
        <v>19.771964784292535</v>
      </c>
      <c r="Z81" s="94">
        <f t="shared" si="127"/>
        <v>20.867073358800052</v>
      </c>
      <c r="AA81" s="94">
        <f t="shared" si="127"/>
        <v>22.690430844836065</v>
      </c>
      <c r="AB81" s="94">
        <f t="shared" si="127"/>
        <v>22.449080546082513</v>
      </c>
      <c r="AC81" s="94">
        <f t="shared" si="127"/>
        <v>22.934853704084471</v>
      </c>
      <c r="AD81" s="94">
        <f t="shared" si="127"/>
        <v>22.858913752552112</v>
      </c>
      <c r="AE81" s="94">
        <f t="shared" si="127"/>
        <v>23.054821454591906</v>
      </c>
      <c r="AF81" s="94">
        <f t="shared" si="127"/>
        <v>21.942527371282903</v>
      </c>
      <c r="AG81" s="94">
        <f t="shared" si="127"/>
        <v>22.453837395557215</v>
      </c>
      <c r="AH81" s="94">
        <f t="shared" si="127"/>
        <v>22.638615879383504</v>
      </c>
      <c r="AI81" s="94">
        <f>AI16/AI13*100</f>
        <v>25.24349784993532</v>
      </c>
      <c r="AJ81" s="96">
        <f>AJ16/AJ13*100</f>
        <v>23.080952748439547</v>
      </c>
      <c r="AK81" s="96">
        <f>AK16/AK13*100</f>
        <v>21.259389225299021</v>
      </c>
      <c r="AL81" s="94">
        <f t="shared" ref="AL81:AP81" si="128">AL16/AL13*100</f>
        <v>23.660910018399122</v>
      </c>
      <c r="AM81" s="94">
        <f t="shared" si="128"/>
        <v>21.202978390297734</v>
      </c>
      <c r="AN81" s="94">
        <f t="shared" si="128"/>
        <v>20.548147292961104</v>
      </c>
      <c r="AO81" s="94">
        <f t="shared" si="128"/>
        <v>19.906109608272626</v>
      </c>
      <c r="AP81" s="94">
        <f t="shared" si="128"/>
        <v>19.282842368328559</v>
      </c>
      <c r="AS81" s="204">
        <f>$BG$44*AB81/100</f>
        <v>0</v>
      </c>
      <c r="AT81" s="204">
        <f t="shared" ref="AT81:AT90" si="129">$BH$44*AC81/100</f>
        <v>0</v>
      </c>
      <c r="AU81" s="204">
        <f t="shared" ref="AU81:AU90" si="130">$BI$44*AD81/100</f>
        <v>0</v>
      </c>
      <c r="AV81" s="204">
        <f t="shared" ref="AV81:AV90" si="131">$BJ$44*AE81/100</f>
        <v>0</v>
      </c>
      <c r="AW81" s="204">
        <f t="shared" ref="AW81:AW90" si="132">$BK$44*AF81/100</f>
        <v>0</v>
      </c>
      <c r="AX81" s="204">
        <f t="shared" ref="AX81:AX90" si="133">$BL$44*AG81/100</f>
        <v>0</v>
      </c>
      <c r="AY81" s="204"/>
      <c r="AZ81" s="204"/>
      <c r="BA81" s="204"/>
    </row>
    <row r="82" spans="3:64">
      <c r="C82" s="157" t="s">
        <v>551</v>
      </c>
      <c r="D82" s="157"/>
      <c r="E82" s="157"/>
      <c r="F82" s="157"/>
      <c r="G82" s="157"/>
      <c r="H82" s="157"/>
      <c r="I82" s="157"/>
      <c r="J82" s="157"/>
      <c r="K82" s="157"/>
      <c r="L82" s="261">
        <v>22.827685732522966</v>
      </c>
      <c r="M82" s="261">
        <v>21.28480070270907</v>
      </c>
      <c r="N82" s="261">
        <v>18.348523542872318</v>
      </c>
      <c r="O82" s="261">
        <v>14.208020602138149</v>
      </c>
      <c r="P82" s="261">
        <v>14.336128750787728</v>
      </c>
      <c r="Q82" s="261">
        <v>14.743535259095561</v>
      </c>
      <c r="R82" s="261">
        <v>14.528567295509642</v>
      </c>
      <c r="S82" s="261">
        <v>13.681902270546498</v>
      </c>
      <c r="T82" s="261">
        <v>12.592411635229439</v>
      </c>
      <c r="U82" s="261">
        <v>12.083558081505746</v>
      </c>
      <c r="V82" s="94">
        <f t="shared" ref="V82:AH82" si="134">V17/V13*100</f>
        <v>15.156324175026581</v>
      </c>
      <c r="W82" s="94">
        <f t="shared" si="134"/>
        <v>16.91339525426946</v>
      </c>
      <c r="X82" s="94">
        <f t="shared" si="134"/>
        <v>19.927119562096589</v>
      </c>
      <c r="Y82" s="94">
        <f t="shared" si="134"/>
        <v>21.153488921912995</v>
      </c>
      <c r="Z82" s="94">
        <f t="shared" si="134"/>
        <v>21.329595069131766</v>
      </c>
      <c r="AA82" s="94">
        <f t="shared" si="134"/>
        <v>23.239274735195924</v>
      </c>
      <c r="AB82" s="94">
        <f t="shared" si="134"/>
        <v>23.881958480870388</v>
      </c>
      <c r="AC82" s="94">
        <f t="shared" si="134"/>
        <v>23.490946567869642</v>
      </c>
      <c r="AD82" s="94">
        <f t="shared" si="134"/>
        <v>22.399664412092307</v>
      </c>
      <c r="AE82" s="94">
        <f t="shared" si="134"/>
        <v>20.969240081934011</v>
      </c>
      <c r="AF82" s="94">
        <f t="shared" si="134"/>
        <v>16.183677276041578</v>
      </c>
      <c r="AG82" s="94">
        <f t="shared" si="134"/>
        <v>22.662943102951399</v>
      </c>
      <c r="AH82" s="94">
        <f t="shared" si="134"/>
        <v>22.813782022725299</v>
      </c>
      <c r="AI82" s="94">
        <f>AI17/AI13*100</f>
        <v>23.39058677184002</v>
      </c>
      <c r="AJ82" s="94">
        <f t="shared" ref="AJ82:AP82" si="135">AJ17/AJ13*100</f>
        <v>24.268585839135568</v>
      </c>
      <c r="AK82" s="94">
        <f t="shared" si="135"/>
        <v>26.428243811131829</v>
      </c>
      <c r="AL82" s="94">
        <f t="shared" si="135"/>
        <v>26.173626977335505</v>
      </c>
      <c r="AM82" s="126">
        <f t="shared" si="135"/>
        <v>30.633263064280829</v>
      </c>
      <c r="AN82" s="94">
        <f t="shared" si="135"/>
        <v>23.045450208576273</v>
      </c>
      <c r="AO82" s="94">
        <f t="shared" si="135"/>
        <v>23.088057025166272</v>
      </c>
      <c r="AP82" s="94">
        <f t="shared" si="135"/>
        <v>23.079239835894512</v>
      </c>
      <c r="AS82" s="204">
        <f t="shared" ref="AS82:AS90" si="136">$BG$44*AB82/100</f>
        <v>0</v>
      </c>
      <c r="AT82" s="204">
        <f t="shared" si="129"/>
        <v>0</v>
      </c>
      <c r="AU82" s="204">
        <f t="shared" si="130"/>
        <v>0</v>
      </c>
      <c r="AV82" s="204">
        <f t="shared" si="131"/>
        <v>0</v>
      </c>
      <c r="AW82" s="204">
        <f t="shared" si="132"/>
        <v>0</v>
      </c>
      <c r="AX82" s="204">
        <f t="shared" si="133"/>
        <v>0</v>
      </c>
      <c r="AY82" s="204"/>
      <c r="AZ82" s="204"/>
      <c r="BA82" s="204"/>
    </row>
    <row r="83" spans="3:64">
      <c r="C83" s="157" t="s">
        <v>552</v>
      </c>
      <c r="D83" s="157"/>
      <c r="E83" s="157"/>
      <c r="F83" s="157"/>
      <c r="G83" s="157"/>
      <c r="H83" s="157"/>
      <c r="I83" s="157"/>
      <c r="J83" s="157"/>
      <c r="K83" s="157"/>
      <c r="L83" s="261">
        <v>4.5388949018954854</v>
      </c>
      <c r="M83" s="261">
        <v>6.079076194658982</v>
      </c>
      <c r="N83" s="261">
        <v>8.0800980920472032</v>
      </c>
      <c r="O83" s="261">
        <v>10.34963771185244</v>
      </c>
      <c r="P83" s="261">
        <v>10.172087837510302</v>
      </c>
      <c r="Q83" s="261">
        <v>10.232686150944463</v>
      </c>
      <c r="R83" s="261">
        <v>7.9395166788045675</v>
      </c>
      <c r="S83" s="261">
        <v>8.360732348720104</v>
      </c>
      <c r="T83" s="261">
        <v>10.365895788299627</v>
      </c>
      <c r="U83" s="261">
        <v>10.217819350708011</v>
      </c>
      <c r="V83" s="94">
        <f t="shared" ref="V83:AH83" si="137">V18/V13*100</f>
        <v>15.064126456037382</v>
      </c>
      <c r="W83" s="94">
        <f t="shared" si="137"/>
        <v>15.299970980264755</v>
      </c>
      <c r="X83" s="94">
        <f t="shared" si="137"/>
        <v>11.919738400199892</v>
      </c>
      <c r="Y83" s="94">
        <f t="shared" si="137"/>
        <v>13.244871881473477</v>
      </c>
      <c r="Z83" s="94">
        <f t="shared" si="137"/>
        <v>11.73255399457463</v>
      </c>
      <c r="AA83" s="94">
        <f t="shared" si="137"/>
        <v>10.557264737375577</v>
      </c>
      <c r="AB83" s="94">
        <f t="shared" si="137"/>
        <v>11.295724121282632</v>
      </c>
      <c r="AC83" s="94">
        <f t="shared" si="137"/>
        <v>11.211634288557365</v>
      </c>
      <c r="AD83" s="94">
        <f t="shared" si="137"/>
        <v>11.239182448812675</v>
      </c>
      <c r="AE83" s="94">
        <f t="shared" si="137"/>
        <v>11.473136826077662</v>
      </c>
      <c r="AF83" s="94">
        <f t="shared" si="137"/>
        <v>7.1267077023948815</v>
      </c>
      <c r="AG83" s="94">
        <f t="shared" si="137"/>
        <v>12.457548633448756</v>
      </c>
      <c r="AH83" s="94">
        <f t="shared" si="137"/>
        <v>12.180941902300141</v>
      </c>
      <c r="AI83" s="94">
        <f>AI18/AI13*100</f>
        <v>11.480360359766509</v>
      </c>
      <c r="AJ83" s="94">
        <f t="shared" ref="AJ83:AP83" si="138">AJ18/AJ13*100</f>
        <v>12.059090489600655</v>
      </c>
      <c r="AK83" s="94">
        <f t="shared" si="138"/>
        <v>11.939337620077014</v>
      </c>
      <c r="AL83" s="94">
        <f t="shared" si="138"/>
        <v>11.822019014665297</v>
      </c>
      <c r="AM83" s="94">
        <f t="shared" si="138"/>
        <v>11.579844900134233</v>
      </c>
      <c r="AN83" s="94">
        <f t="shared" si="138"/>
        <v>13.887424822972202</v>
      </c>
      <c r="AO83" s="94">
        <f t="shared" si="138"/>
        <v>15.419051280392429</v>
      </c>
      <c r="AP83" s="94">
        <f t="shared" si="138"/>
        <v>17.372223967299025</v>
      </c>
      <c r="AS83" s="204">
        <f t="shared" si="136"/>
        <v>0</v>
      </c>
      <c r="AT83" s="204">
        <f t="shared" si="129"/>
        <v>0</v>
      </c>
      <c r="AU83" s="204">
        <f t="shared" si="130"/>
        <v>0</v>
      </c>
      <c r="AV83" s="204">
        <f t="shared" si="131"/>
        <v>0</v>
      </c>
      <c r="AW83" s="204">
        <f t="shared" si="132"/>
        <v>0</v>
      </c>
      <c r="AX83" s="204">
        <f t="shared" si="133"/>
        <v>0</v>
      </c>
    </row>
    <row r="84" spans="3:64">
      <c r="C84" s="157" t="s">
        <v>553</v>
      </c>
      <c r="D84" s="157"/>
      <c r="E84" s="157"/>
      <c r="F84" s="157"/>
      <c r="G84" s="157"/>
      <c r="H84" s="157"/>
      <c r="I84" s="157"/>
      <c r="J84" s="157"/>
      <c r="K84" s="157"/>
      <c r="L84" s="261">
        <v>0.29001193350540067</v>
      </c>
      <c r="M84" s="261">
        <v>0.22281019356635273</v>
      </c>
      <c r="N84" s="261">
        <v>0.22726740235701642</v>
      </c>
      <c r="O84" s="261">
        <v>0.19709830630996492</v>
      </c>
      <c r="P84" s="261">
        <v>0.14300256919869644</v>
      </c>
      <c r="Q84" s="261">
        <v>5.5854390033634051E-2</v>
      </c>
      <c r="R84" s="261">
        <v>0</v>
      </c>
      <c r="S84" s="261">
        <v>0</v>
      </c>
      <c r="T84" s="261">
        <v>0</v>
      </c>
      <c r="U84" s="261">
        <v>0</v>
      </c>
      <c r="V84">
        <f t="shared" ref="V84:AH84" si="139">V19/V13*100</f>
        <v>0</v>
      </c>
      <c r="W84">
        <f t="shared" si="139"/>
        <v>0</v>
      </c>
      <c r="X84">
        <f t="shared" si="139"/>
        <v>0</v>
      </c>
      <c r="Y84">
        <f t="shared" si="139"/>
        <v>0</v>
      </c>
      <c r="Z84">
        <f t="shared" si="139"/>
        <v>0</v>
      </c>
      <c r="AA84">
        <f t="shared" si="139"/>
        <v>0</v>
      </c>
      <c r="AB84">
        <f t="shared" si="139"/>
        <v>0</v>
      </c>
      <c r="AC84">
        <f t="shared" si="139"/>
        <v>0</v>
      </c>
      <c r="AD84">
        <f t="shared" si="139"/>
        <v>0</v>
      </c>
      <c r="AE84">
        <f t="shared" si="139"/>
        <v>0</v>
      </c>
      <c r="AF84" s="94">
        <f t="shared" si="139"/>
        <v>0</v>
      </c>
      <c r="AG84" s="94">
        <f t="shared" si="139"/>
        <v>0</v>
      </c>
      <c r="AH84" s="94">
        <f t="shared" si="139"/>
        <v>0</v>
      </c>
      <c r="AI84" s="94">
        <f>AI19/AI13*100</f>
        <v>0</v>
      </c>
      <c r="AJ84" s="94">
        <f t="shared" ref="AJ84:AP84" si="140">AJ19/AJ13*100</f>
        <v>0</v>
      </c>
      <c r="AK84" s="94">
        <f t="shared" si="140"/>
        <v>0</v>
      </c>
      <c r="AL84" s="94">
        <f t="shared" si="140"/>
        <v>0</v>
      </c>
      <c r="AM84" s="94">
        <f t="shared" si="140"/>
        <v>0</v>
      </c>
      <c r="AN84" s="94">
        <f t="shared" si="140"/>
        <v>0</v>
      </c>
      <c r="AO84" s="94">
        <f t="shared" si="140"/>
        <v>0</v>
      </c>
      <c r="AP84" s="94">
        <f t="shared" si="140"/>
        <v>0</v>
      </c>
      <c r="AT84" s="204"/>
      <c r="AU84" s="204"/>
      <c r="AV84" s="204"/>
      <c r="AW84" s="204"/>
      <c r="AX84" s="204"/>
    </row>
    <row r="85" spans="3:64">
      <c r="C85" s="156" t="s">
        <v>554</v>
      </c>
      <c r="L85" s="261">
        <v>16.534843060527848</v>
      </c>
      <c r="M85" s="261">
        <v>17.072831082021999</v>
      </c>
      <c r="N85" s="261">
        <v>16.554594940762087</v>
      </c>
      <c r="O85" s="261">
        <v>20.202858772568884</v>
      </c>
      <c r="P85" s="261">
        <v>21.066459838092008</v>
      </c>
      <c r="Q85" s="261">
        <v>20.23669309631644</v>
      </c>
      <c r="R85" s="261">
        <v>13.13287508604607</v>
      </c>
      <c r="S85" s="261">
        <v>13.916671966728517</v>
      </c>
      <c r="T85" s="261">
        <v>14.369577448106366</v>
      </c>
      <c r="U85" s="261">
        <v>14.076032854893811</v>
      </c>
      <c r="V85" s="94">
        <f t="shared" ref="V85:AH85" si="141">V20/V13*100</f>
        <v>10.659429472668281</v>
      </c>
      <c r="W85" s="94">
        <f t="shared" si="141"/>
        <v>11.153434093261035</v>
      </c>
      <c r="X85" s="94">
        <f t="shared" si="141"/>
        <v>9.8604314782654576</v>
      </c>
      <c r="Y85" s="94">
        <f t="shared" si="141"/>
        <v>12.748102990182836</v>
      </c>
      <c r="Z85" s="94">
        <f t="shared" si="141"/>
        <v>13.528918035439355</v>
      </c>
      <c r="AA85" s="94">
        <f t="shared" si="141"/>
        <v>12.77169737834139</v>
      </c>
      <c r="AB85" s="94">
        <f t="shared" si="141"/>
        <v>13.219518324275818</v>
      </c>
      <c r="AC85" s="94">
        <f t="shared" si="141"/>
        <v>13.625459779305931</v>
      </c>
      <c r="AD85" s="94">
        <f t="shared" si="141"/>
        <v>13.208727996812817</v>
      </c>
      <c r="AE85" s="94">
        <f t="shared" si="141"/>
        <v>13.456268587447095</v>
      </c>
      <c r="AF85" s="94">
        <f t="shared" si="141"/>
        <v>16.498623663936606</v>
      </c>
      <c r="AG85" s="94">
        <f t="shared" si="141"/>
        <v>12.183719108791498</v>
      </c>
      <c r="AH85" s="94">
        <f t="shared" si="141"/>
        <v>12.408634047229434</v>
      </c>
      <c r="AI85" s="94">
        <f>AI20/AI13*100</f>
        <v>12.326203198490383</v>
      </c>
      <c r="AJ85" s="94">
        <f t="shared" ref="AJ85:AP85" si="142">AJ20/AJ13*100</f>
        <v>12.731644805275288</v>
      </c>
      <c r="AK85" s="94">
        <f t="shared" si="142"/>
        <v>13.40132933969497</v>
      </c>
      <c r="AL85" s="94">
        <f t="shared" si="142"/>
        <v>12.951424764839754</v>
      </c>
      <c r="AM85" s="94">
        <f t="shared" si="142"/>
        <v>12.273422930052499</v>
      </c>
      <c r="AN85" s="94">
        <f t="shared" si="142"/>
        <v>16.882420888929509</v>
      </c>
      <c r="AO85" s="94">
        <f t="shared" si="142"/>
        <v>16.025586898230014</v>
      </c>
      <c r="AP85" s="94">
        <f t="shared" si="142"/>
        <v>15.216331357243929</v>
      </c>
      <c r="AS85" s="204">
        <f t="shared" si="136"/>
        <v>0</v>
      </c>
      <c r="AT85" s="204">
        <f t="shared" si="129"/>
        <v>0</v>
      </c>
      <c r="AU85" s="204">
        <f t="shared" si="130"/>
        <v>0</v>
      </c>
      <c r="AV85" s="204">
        <f t="shared" si="131"/>
        <v>0</v>
      </c>
      <c r="AW85" s="204">
        <f t="shared" si="132"/>
        <v>0</v>
      </c>
      <c r="AX85" s="204">
        <f t="shared" si="133"/>
        <v>0</v>
      </c>
    </row>
    <row r="86" spans="3:64">
      <c r="C86" s="156" t="s">
        <v>555</v>
      </c>
      <c r="L86" s="261">
        <v>7.4001609635611798</v>
      </c>
      <c r="M86" s="261">
        <v>7.2102664081497112</v>
      </c>
      <c r="N86" s="261">
        <v>9.5428879360839733</v>
      </c>
      <c r="O86" s="261">
        <v>10.065002908470708</v>
      </c>
      <c r="P86" s="261">
        <v>10.979204033157206</v>
      </c>
      <c r="Q86" s="261">
        <v>11.162783167591501</v>
      </c>
      <c r="R86" s="261">
        <v>14.486666600157626</v>
      </c>
      <c r="S86" s="261">
        <v>15.306209921162733</v>
      </c>
      <c r="T86" s="261">
        <v>15.230523229990228</v>
      </c>
      <c r="U86" s="261">
        <v>14.304508557971873</v>
      </c>
      <c r="V86" s="94">
        <f t="shared" ref="V86:AH86" si="143">V21/V13*100</f>
        <v>9.5320671513258812</v>
      </c>
      <c r="W86" s="94">
        <f t="shared" si="143"/>
        <v>8.897925362701061</v>
      </c>
      <c r="X86" s="94">
        <f t="shared" si="143"/>
        <v>7.5580862987570292</v>
      </c>
      <c r="Y86" s="94">
        <f t="shared" si="143"/>
        <v>6.0197694316851313</v>
      </c>
      <c r="Z86" s="94">
        <f t="shared" si="143"/>
        <v>6.1044270115712598</v>
      </c>
      <c r="AA86" s="94">
        <f t="shared" si="143"/>
        <v>4.5484484559596847</v>
      </c>
      <c r="AB86" s="94">
        <f t="shared" si="143"/>
        <v>5.1531367887427608</v>
      </c>
      <c r="AC86" s="94">
        <f t="shared" si="143"/>
        <v>5.0968127891204809</v>
      </c>
      <c r="AD86" s="94">
        <f t="shared" si="143"/>
        <v>5.4521738279087728</v>
      </c>
      <c r="AE86" s="94">
        <f t="shared" si="143"/>
        <v>5.6267688766297415</v>
      </c>
      <c r="AF86" s="94">
        <f t="shared" si="143"/>
        <v>8.9830374352104645</v>
      </c>
      <c r="AG86" s="94">
        <f t="shared" si="143"/>
        <v>5.8129158321783558</v>
      </c>
      <c r="AH86" s="94">
        <f t="shared" si="143"/>
        <v>5.7874826955978387</v>
      </c>
      <c r="AI86" s="94">
        <f>AI21/AI13*100</f>
        <v>5.0563356517074984</v>
      </c>
      <c r="AJ86" s="94">
        <f t="shared" ref="AJ86:AP86" si="144">AJ21/AJ13*100</f>
        <v>5.7874773916241402</v>
      </c>
      <c r="AK86" s="94">
        <f t="shared" si="144"/>
        <v>5.9462977431957835</v>
      </c>
      <c r="AL86" s="94">
        <f t="shared" si="144"/>
        <v>5.6291149178132329</v>
      </c>
      <c r="AM86" s="94">
        <f t="shared" si="144"/>
        <v>5.535139474687738</v>
      </c>
      <c r="AN86" s="94">
        <f t="shared" si="144"/>
        <v>6.8132453351891638</v>
      </c>
      <c r="AO86" s="94">
        <f t="shared" si="144"/>
        <v>6.2961820434516325</v>
      </c>
      <c r="AP86" s="94">
        <f t="shared" si="144"/>
        <v>5.7692710226982369</v>
      </c>
      <c r="AS86" s="204">
        <f t="shared" si="136"/>
        <v>0</v>
      </c>
      <c r="AT86" s="204">
        <f t="shared" si="129"/>
        <v>0</v>
      </c>
      <c r="AU86" s="204">
        <f t="shared" si="130"/>
        <v>0</v>
      </c>
      <c r="AV86" s="204">
        <f t="shared" si="131"/>
        <v>0</v>
      </c>
      <c r="AW86" s="204">
        <f t="shared" si="132"/>
        <v>0</v>
      </c>
      <c r="AX86" s="204">
        <f t="shared" si="133"/>
        <v>0</v>
      </c>
    </row>
    <row r="87" spans="3:64">
      <c r="C87" s="155" t="s">
        <v>556</v>
      </c>
      <c r="D87" s="155"/>
      <c r="E87" s="155"/>
      <c r="F87" s="155"/>
      <c r="G87" s="155"/>
      <c r="H87" s="155"/>
      <c r="I87" s="155"/>
      <c r="J87" s="155"/>
      <c r="K87" s="155"/>
      <c r="L87" s="261">
        <v>15.689784364332693</v>
      </c>
      <c r="M87" s="261">
        <v>15.331055241931171</v>
      </c>
      <c r="N87" s="261">
        <v>15.292518919425497</v>
      </c>
      <c r="O87" s="261">
        <v>12.504729794599839</v>
      </c>
      <c r="P87" s="261">
        <v>13.688496776382758</v>
      </c>
      <c r="Q87" s="261">
        <v>12.7226586689656</v>
      </c>
      <c r="R87" s="261">
        <v>13.681242122835549</v>
      </c>
      <c r="S87" s="261">
        <v>13.08626749366066</v>
      </c>
      <c r="T87" s="261">
        <v>14.27926327322259</v>
      </c>
      <c r="U87" s="261">
        <v>11.923932062464644</v>
      </c>
      <c r="V87" s="94">
        <f t="shared" ref="V87:AH87" si="145">V22/V13*100</f>
        <v>17.462836472632972</v>
      </c>
      <c r="W87" s="94">
        <f t="shared" si="145"/>
        <v>16.54781959580437</v>
      </c>
      <c r="X87" s="94">
        <f t="shared" si="145"/>
        <v>20.616348745931901</v>
      </c>
      <c r="Y87" s="94">
        <f t="shared" si="145"/>
        <v>17.183981806718908</v>
      </c>
      <c r="Z87" s="94">
        <f t="shared" si="145"/>
        <v>16.713352833656515</v>
      </c>
      <c r="AA87" s="94">
        <f t="shared" si="145"/>
        <v>17.209019239312852</v>
      </c>
      <c r="AB87" s="94">
        <f t="shared" si="145"/>
        <v>14.407333865604496</v>
      </c>
      <c r="AC87" s="94">
        <f t="shared" si="145"/>
        <v>14.597099212483828</v>
      </c>
      <c r="AD87" s="94">
        <f t="shared" si="145"/>
        <v>14.902332320896145</v>
      </c>
      <c r="AE87" s="94">
        <f t="shared" si="145"/>
        <v>16.096015056754904</v>
      </c>
      <c r="AF87" s="94">
        <f t="shared" si="145"/>
        <v>19.002537884568643</v>
      </c>
      <c r="AG87" s="94">
        <f t="shared" si="145"/>
        <v>15.119135526038901</v>
      </c>
      <c r="AH87" s="94">
        <f t="shared" si="145"/>
        <v>15.080437694453613</v>
      </c>
      <c r="AI87" s="94">
        <f>AI22/AI13*100</f>
        <v>14.014953858177693</v>
      </c>
      <c r="AJ87" s="94">
        <f t="shared" ref="AJ87:AP87" si="146">AJ22/AJ13*100</f>
        <v>14.606202393224118</v>
      </c>
      <c r="AK87" s="94">
        <f t="shared" si="146"/>
        <v>14.283489948535816</v>
      </c>
      <c r="AL87" s="94">
        <f t="shared" si="146"/>
        <v>13.673482423259392</v>
      </c>
      <c r="AM87" s="94">
        <f t="shared" si="146"/>
        <v>13.03475924868277</v>
      </c>
      <c r="AN87" s="94">
        <f t="shared" si="146"/>
        <v>12.99126770720653</v>
      </c>
      <c r="AO87" s="94">
        <f t="shared" si="146"/>
        <v>13.328740457368976</v>
      </c>
      <c r="AP87" s="94">
        <f t="shared" si="146"/>
        <v>13.252210601000517</v>
      </c>
      <c r="AS87" s="204">
        <f t="shared" si="136"/>
        <v>0</v>
      </c>
      <c r="AT87" s="204">
        <f t="shared" si="129"/>
        <v>0</v>
      </c>
      <c r="AU87" s="204">
        <f t="shared" si="130"/>
        <v>0</v>
      </c>
      <c r="AV87" s="204">
        <f t="shared" si="131"/>
        <v>0</v>
      </c>
      <c r="AW87" s="204">
        <f t="shared" si="132"/>
        <v>0</v>
      </c>
      <c r="AX87" s="204">
        <f t="shared" si="133"/>
        <v>0</v>
      </c>
    </row>
    <row r="88" spans="3:64">
      <c r="C88" s="162" t="s">
        <v>429</v>
      </c>
      <c r="D88" s="162"/>
      <c r="E88" s="162"/>
      <c r="F88" s="162"/>
      <c r="G88" s="162"/>
      <c r="H88" s="162"/>
      <c r="I88" s="162"/>
      <c r="J88" s="162"/>
      <c r="K88" s="162"/>
      <c r="L88" s="261"/>
      <c r="M88" s="261"/>
      <c r="N88" s="261"/>
      <c r="O88" s="261"/>
      <c r="P88" s="261"/>
      <c r="Q88" s="261"/>
      <c r="R88" s="261"/>
      <c r="S88" s="261"/>
      <c r="T88" s="261"/>
      <c r="U88" s="261"/>
      <c r="AT88" s="204"/>
      <c r="AU88" s="204"/>
      <c r="AV88" s="204"/>
      <c r="AW88" s="204"/>
      <c r="AX88" s="204"/>
    </row>
    <row r="89" spans="3:64">
      <c r="C89" s="157" t="s">
        <v>557</v>
      </c>
      <c r="D89" s="157"/>
      <c r="E89" s="157"/>
      <c r="F89" s="157"/>
      <c r="G89" s="157"/>
      <c r="H89" s="157"/>
      <c r="I89" s="157"/>
      <c r="J89" s="157"/>
      <c r="K89" s="157"/>
      <c r="L89" s="261">
        <v>48.848277967418753</v>
      </c>
      <c r="M89" s="261">
        <v>49.038595438818241</v>
      </c>
      <c r="N89" s="261">
        <v>46.089204407894222</v>
      </c>
      <c r="O89" s="261">
        <v>44.622152946026681</v>
      </c>
      <c r="P89" s="261">
        <v>43.202772795579044</v>
      </c>
      <c r="Q89" s="261">
        <v>44.618753313824776</v>
      </c>
      <c r="R89" s="261">
        <v>46.303593815989444</v>
      </c>
      <c r="S89" s="261">
        <v>45.369451180899873</v>
      </c>
      <c r="T89" s="261">
        <v>43.389051750515733</v>
      </c>
      <c r="U89" s="261">
        <v>45.746668245385536</v>
      </c>
      <c r="V89" s="261">
        <f t="shared" ref="V89:AE89" si="147">V81+V82+V83+V84</f>
        <v>51.811194764738886</v>
      </c>
      <c r="W89" s="262">
        <f t="shared" si="147"/>
        <v>53.070342743149794</v>
      </c>
      <c r="X89" s="262">
        <f t="shared" si="147"/>
        <v>52.130154281182541</v>
      </c>
      <c r="Y89" s="262">
        <f t="shared" si="147"/>
        <v>54.17032558767901</v>
      </c>
      <c r="Z89" s="262">
        <f t="shared" si="147"/>
        <v>53.929222422506449</v>
      </c>
      <c r="AA89" s="262">
        <f t="shared" si="147"/>
        <v>56.486970317407568</v>
      </c>
      <c r="AB89" s="262">
        <f t="shared" si="147"/>
        <v>57.626763148235533</v>
      </c>
      <c r="AC89" s="262">
        <f t="shared" si="147"/>
        <v>57.63743456051148</v>
      </c>
      <c r="AD89" s="262">
        <f t="shared" si="147"/>
        <v>56.497760613457096</v>
      </c>
      <c r="AE89" s="261">
        <f t="shared" si="147"/>
        <v>55.497198362603584</v>
      </c>
      <c r="AF89" s="261">
        <f>AF81+AF82+AF83+AF84</f>
        <v>45.252912349719367</v>
      </c>
      <c r="AG89" s="261">
        <f>AG81+AG82+AG83+AG84</f>
        <v>57.57432913195737</v>
      </c>
      <c r="AH89" s="261">
        <f>AH81+AH82+AH83+AH84</f>
        <v>57.633339804408941</v>
      </c>
      <c r="AI89" s="261">
        <f>AI81+AI82+AI83+AI84</f>
        <v>60.114444981541851</v>
      </c>
      <c r="AJ89" s="261">
        <f t="shared" ref="AJ89:AP89" si="148">AJ81+AJ82+AJ83+AJ84</f>
        <v>59.408629077175767</v>
      </c>
      <c r="AK89" s="261">
        <f t="shared" si="148"/>
        <v>59.626970656507865</v>
      </c>
      <c r="AL89" s="261">
        <f t="shared" si="148"/>
        <v>61.656556010399925</v>
      </c>
      <c r="AM89" s="261">
        <f t="shared" si="148"/>
        <v>63.416086354712796</v>
      </c>
      <c r="AN89" s="261">
        <f t="shared" si="148"/>
        <v>57.481022324509574</v>
      </c>
      <c r="AO89" s="261">
        <f t="shared" si="148"/>
        <v>58.413217913831325</v>
      </c>
      <c r="AP89" s="261">
        <f t="shared" si="148"/>
        <v>59.734306171522093</v>
      </c>
      <c r="AS89" s="204">
        <f t="shared" si="136"/>
        <v>0</v>
      </c>
      <c r="AT89" s="204">
        <f t="shared" si="129"/>
        <v>0</v>
      </c>
      <c r="AU89" s="204">
        <f t="shared" si="130"/>
        <v>0</v>
      </c>
      <c r="AV89" s="204">
        <f t="shared" si="131"/>
        <v>0</v>
      </c>
      <c r="AW89" s="204">
        <f t="shared" si="132"/>
        <v>0</v>
      </c>
      <c r="AX89" s="204">
        <f t="shared" si="133"/>
        <v>0</v>
      </c>
    </row>
    <row r="90" spans="3:64">
      <c r="C90" s="157" t="s">
        <v>558</v>
      </c>
      <c r="D90" s="157"/>
      <c r="E90" s="157"/>
      <c r="F90" s="157"/>
      <c r="G90" s="157"/>
      <c r="H90" s="157"/>
      <c r="I90" s="157"/>
      <c r="J90" s="157"/>
      <c r="K90" s="157"/>
      <c r="L90" s="261">
        <v>39.62478838842172</v>
      </c>
      <c r="M90" s="261">
        <v>39.61415273210288</v>
      </c>
      <c r="N90" s="261">
        <v>41.390001796271555</v>
      </c>
      <c r="O90" s="261">
        <v>42.77259147563943</v>
      </c>
      <c r="P90" s="261">
        <v>45.734160647631974</v>
      </c>
      <c r="Q90" s="261">
        <v>44.122134932873543</v>
      </c>
      <c r="R90" s="261">
        <v>41.300783809039245</v>
      </c>
      <c r="S90" s="261">
        <v>42.309149381551904</v>
      </c>
      <c r="T90" s="261">
        <v>43.879363951319185</v>
      </c>
      <c r="U90" s="261">
        <v>40.304473475330326</v>
      </c>
      <c r="V90" s="261">
        <f t="shared" ref="V90:AE90" si="149">V85+V86+V87</f>
        <v>37.654333096627134</v>
      </c>
      <c r="W90" s="262">
        <f t="shared" si="149"/>
        <v>36.59917905176647</v>
      </c>
      <c r="X90" s="262">
        <f t="shared" si="149"/>
        <v>38.034866522954388</v>
      </c>
      <c r="Y90" s="262">
        <f t="shared" si="149"/>
        <v>35.951854228586875</v>
      </c>
      <c r="Z90" s="262">
        <f t="shared" si="149"/>
        <v>36.346697880667129</v>
      </c>
      <c r="AA90" s="262">
        <f t="shared" si="149"/>
        <v>34.529165073613925</v>
      </c>
      <c r="AB90" s="262">
        <f t="shared" si="149"/>
        <v>32.779988978623074</v>
      </c>
      <c r="AC90" s="262">
        <f t="shared" si="149"/>
        <v>33.319371780910238</v>
      </c>
      <c r="AD90" s="262">
        <f t="shared" si="149"/>
        <v>33.563234145617734</v>
      </c>
      <c r="AE90" s="261">
        <f t="shared" si="149"/>
        <v>35.179052520831746</v>
      </c>
      <c r="AF90" s="261">
        <f>AF85+AF86+AF87</f>
        <v>44.484198983715714</v>
      </c>
      <c r="AG90" s="261">
        <f>AG85+AG86+AG87</f>
        <v>33.115770467008758</v>
      </c>
      <c r="AH90" s="261">
        <f>AH85+AH86+AH87</f>
        <v>33.276554437280886</v>
      </c>
      <c r="AI90" s="261">
        <f>AI85+AI86+AI87</f>
        <v>31.397492708375573</v>
      </c>
      <c r="AJ90" s="261">
        <f t="shared" ref="AJ90:AP90" si="150">AJ85+AJ86+AJ87</f>
        <v>33.125324590123547</v>
      </c>
      <c r="AK90" s="261">
        <f t="shared" si="150"/>
        <v>33.631117031426569</v>
      </c>
      <c r="AL90" s="261">
        <f t="shared" si="150"/>
        <v>32.254022105912377</v>
      </c>
      <c r="AM90" s="261">
        <f t="shared" si="150"/>
        <v>30.843321653423004</v>
      </c>
      <c r="AN90" s="261">
        <f t="shared" si="150"/>
        <v>36.686933931325207</v>
      </c>
      <c r="AO90" s="261">
        <f t="shared" si="150"/>
        <v>35.65050939905062</v>
      </c>
      <c r="AP90" s="261">
        <f t="shared" si="150"/>
        <v>34.237812980942678</v>
      </c>
      <c r="AS90" s="204">
        <f t="shared" si="136"/>
        <v>0</v>
      </c>
      <c r="AT90" s="204">
        <f t="shared" si="129"/>
        <v>0</v>
      </c>
      <c r="AU90" s="204">
        <f t="shared" si="130"/>
        <v>0</v>
      </c>
      <c r="AV90" s="204">
        <f t="shared" si="131"/>
        <v>0</v>
      </c>
      <c r="AW90" s="204">
        <f t="shared" si="132"/>
        <v>0</v>
      </c>
      <c r="AX90" s="204">
        <f t="shared" si="133"/>
        <v>0</v>
      </c>
    </row>
    <row r="91" spans="3:64"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205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8"/>
      <c r="BI91" s="158"/>
      <c r="BJ91" s="158"/>
      <c r="BK91" s="158"/>
      <c r="BL91" s="158"/>
    </row>
    <row r="92" spans="3:64"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</row>
    <row r="93" spans="3:64" ht="18">
      <c r="C93" s="156" t="s">
        <v>564</v>
      </c>
      <c r="J93" s="838">
        <v>4761.5</v>
      </c>
      <c r="K93" s="838">
        <v>6167.2</v>
      </c>
      <c r="L93" s="838">
        <v>7206.5999999999995</v>
      </c>
      <c r="M93" s="838">
        <v>9335.3000000000011</v>
      </c>
      <c r="N93" s="838">
        <v>12804.3</v>
      </c>
      <c r="O93" s="266">
        <v>17706.900000000001</v>
      </c>
      <c r="P93" s="266">
        <v>20629</v>
      </c>
      <c r="Q93" s="266">
        <v>24707.100000000002</v>
      </c>
      <c r="R93" s="266">
        <v>30071.1</v>
      </c>
      <c r="S93" s="266">
        <v>36163.1</v>
      </c>
      <c r="T93" s="266">
        <v>40525.199999999997</v>
      </c>
      <c r="U93" s="266">
        <v>45606.6</v>
      </c>
      <c r="V93" s="94">
        <f>V13</f>
        <v>50977.399999999994</v>
      </c>
      <c r="W93" s="94">
        <f t="shared" ref="W93:AP93" si="151">W13</f>
        <v>54790.299999999996</v>
      </c>
      <c r="X93" s="94">
        <f t="shared" si="151"/>
        <v>64434.3</v>
      </c>
      <c r="Y93" s="94">
        <f t="shared" si="151"/>
        <v>71059.199999999997</v>
      </c>
      <c r="Z93" s="94">
        <f t="shared" si="151"/>
        <v>79109.799999999988</v>
      </c>
      <c r="AA93" s="94">
        <f t="shared" si="151"/>
        <v>83958.3</v>
      </c>
      <c r="AB93" s="94">
        <f t="shared" si="151"/>
        <v>101076.30000000002</v>
      </c>
      <c r="AC93" s="94">
        <f t="shared" si="151"/>
        <v>118181.70000000001</v>
      </c>
      <c r="AD93" s="94">
        <f t="shared" si="151"/>
        <v>132781.90000000002</v>
      </c>
      <c r="AE93" s="94">
        <f>AE13</f>
        <v>155783.9</v>
      </c>
      <c r="AF93" s="94">
        <f t="shared" si="151"/>
        <v>176919</v>
      </c>
      <c r="AG93" s="94">
        <f t="shared" si="151"/>
        <v>199898.1373681862</v>
      </c>
      <c r="AH93" s="94">
        <f t="shared" si="151"/>
        <v>225457.20835606457</v>
      </c>
      <c r="AI93" s="94">
        <f t="shared" si="151"/>
        <v>254610.40971193821</v>
      </c>
      <c r="AJ93" s="94">
        <f t="shared" si="151"/>
        <v>290955.27502497676</v>
      </c>
      <c r="AK93" s="94">
        <f t="shared" si="151"/>
        <v>325987.59758401546</v>
      </c>
      <c r="AL93" s="94">
        <f t="shared" si="151"/>
        <v>368330.80468772119</v>
      </c>
      <c r="AM93" s="94">
        <f t="shared" si="151"/>
        <v>413970.29228411877</v>
      </c>
      <c r="AN93" s="94">
        <f t="shared" si="151"/>
        <v>460417.1837588718</v>
      </c>
      <c r="AO93" s="94">
        <f t="shared" si="151"/>
        <v>511101.7351686334</v>
      </c>
      <c r="AP93" s="94">
        <f t="shared" si="151"/>
        <v>568732.0579310552</v>
      </c>
      <c r="AS93" t="s">
        <v>626</v>
      </c>
    </row>
    <row r="94" spans="3:64" ht="18">
      <c r="C94" s="156" t="s">
        <v>565</v>
      </c>
      <c r="J94" s="839">
        <v>4752.9317179999998</v>
      </c>
      <c r="K94" s="839">
        <v>6083.4018778400005</v>
      </c>
      <c r="L94" s="839">
        <v>7701.1369009799982</v>
      </c>
      <c r="M94" s="839">
        <v>10421.343840640002</v>
      </c>
      <c r="N94" s="839">
        <v>16540.416076000001</v>
      </c>
      <c r="O94" s="263">
        <v>17156.5</v>
      </c>
      <c r="P94" s="263">
        <v>20380.2</v>
      </c>
      <c r="Q94" s="263">
        <v>23726.2</v>
      </c>
      <c r="R94" s="263">
        <v>33314.9</v>
      </c>
      <c r="S94" s="263">
        <v>41047.699999999997</v>
      </c>
      <c r="T94" s="263">
        <v>46141.599999999999</v>
      </c>
      <c r="U94" s="263">
        <v>51376.3</v>
      </c>
      <c r="V94">
        <f>V98+V95+V99</f>
        <v>42206.3</v>
      </c>
      <c r="W94">
        <f t="shared" ref="W94:AP94" si="152">W98+W95+W99</f>
        <v>50109.599999999999</v>
      </c>
      <c r="X94">
        <f t="shared" si="152"/>
        <v>59167.4</v>
      </c>
      <c r="Y94">
        <f t="shared" si="152"/>
        <v>62273.399999999994</v>
      </c>
      <c r="Z94">
        <f t="shared" si="152"/>
        <v>69139</v>
      </c>
      <c r="AA94">
        <f t="shared" si="152"/>
        <v>74861.600000000006</v>
      </c>
      <c r="AB94">
        <f t="shared" si="152"/>
        <v>92235.3</v>
      </c>
      <c r="AC94">
        <f t="shared" si="152"/>
        <v>115547</v>
      </c>
      <c r="AD94" s="93">
        <f>AD98+AD95+AD99</f>
        <v>133104.30000000002</v>
      </c>
      <c r="AE94">
        <f t="shared" si="152"/>
        <v>161955.20000000001</v>
      </c>
      <c r="AF94">
        <f t="shared" si="152"/>
        <v>163129.42226810416</v>
      </c>
      <c r="AG94">
        <f t="shared" si="152"/>
        <v>179844.37485575455</v>
      </c>
      <c r="AH94">
        <f t="shared" si="152"/>
        <v>196983.31364556632</v>
      </c>
      <c r="AI94">
        <f t="shared" si="152"/>
        <v>212475.27645251172</v>
      </c>
      <c r="AJ94">
        <f t="shared" si="152"/>
        <v>236261.4104138476</v>
      </c>
      <c r="AK94">
        <f t="shared" si="152"/>
        <v>258756.0105729163</v>
      </c>
      <c r="AL94">
        <f t="shared" si="152"/>
        <v>280866.47143267293</v>
      </c>
      <c r="AM94">
        <f t="shared" si="152"/>
        <v>308320.30236369028</v>
      </c>
      <c r="AN94">
        <f t="shared" si="152"/>
        <v>335624.03311565123</v>
      </c>
      <c r="AO94">
        <f t="shared" si="152"/>
        <v>366029.27578607632</v>
      </c>
      <c r="AP94">
        <f t="shared" si="152"/>
        <v>400502.89614980627</v>
      </c>
      <c r="AS94" t="s">
        <v>679</v>
      </c>
    </row>
    <row r="95" spans="3:64" ht="18.75">
      <c r="C95" s="156" t="s">
        <v>566</v>
      </c>
      <c r="J95" s="839">
        <v>4172.8317179999995</v>
      </c>
      <c r="K95" s="839">
        <v>5356.6018778400003</v>
      </c>
      <c r="L95" s="839">
        <v>6648.8369009799981</v>
      </c>
      <c r="M95" s="839">
        <v>9384.7438406400015</v>
      </c>
      <c r="N95" s="839">
        <v>15400.316076000001</v>
      </c>
      <c r="O95" s="263">
        <v>15145</v>
      </c>
      <c r="P95" s="263">
        <v>17605.3</v>
      </c>
      <c r="Q95" s="263">
        <v>20717.099999999999</v>
      </c>
      <c r="R95" s="263">
        <v>28935.7</v>
      </c>
      <c r="S95" s="263">
        <v>27407.100000000002</v>
      </c>
      <c r="T95" s="263">
        <v>41354.9</v>
      </c>
      <c r="U95" s="263">
        <v>44082</v>
      </c>
      <c r="V95" s="263">
        <v>36003</v>
      </c>
      <c r="W95" s="263">
        <v>43219.8</v>
      </c>
      <c r="X95" s="263">
        <v>51499.4</v>
      </c>
      <c r="Y95" s="263">
        <v>53938.7</v>
      </c>
      <c r="Z95" s="263">
        <v>59925</v>
      </c>
      <c r="AA95" s="263">
        <v>64584</v>
      </c>
      <c r="AB95" s="263">
        <v>80377.100000000006</v>
      </c>
      <c r="AC95" s="263">
        <v>102715.8</v>
      </c>
      <c r="AD95" s="737">
        <v>118160.2</v>
      </c>
      <c r="AE95" s="737">
        <v>143478</v>
      </c>
      <c r="AF95">
        <f>AE95*Household!AF43/Household!AE43</f>
        <v>142970.5048312477</v>
      </c>
      <c r="AG95">
        <f>AF95*Household!AG43/Household!AF43</f>
        <v>156795.4531059429</v>
      </c>
      <c r="AH95">
        <f>AG95*Household!AH43/Household!AG43</f>
        <v>170643.49002913773</v>
      </c>
      <c r="AI95">
        <f>AH95*Household!AI43/Household!AH43</f>
        <v>182359.93127978497</v>
      </c>
      <c r="AJ95">
        <f>AI95*Household!AJ43/Household!AI43</f>
        <v>201698.21258047849</v>
      </c>
      <c r="AK95" s="131">
        <f>AJ95*Household!AK43/Household!AJ43</f>
        <v>219332.16769183526</v>
      </c>
      <c r="AL95" s="131">
        <f>AK95*Household!AL43/Household!AK43</f>
        <v>235775.56493457354</v>
      </c>
      <c r="AM95">
        <f>AL95*Household!AM43/Household!AL43</f>
        <v>256827.1703178795</v>
      </c>
      <c r="AN95">
        <f>AM95*Household!AN43/Household!AM43</f>
        <v>276995.43363556557</v>
      </c>
      <c r="AO95">
        <f>AN95*Household!AO43/Household!AN43</f>
        <v>299297.53292753099</v>
      </c>
      <c r="AP95">
        <f>AO95*Household!AP43/Household!AO43</f>
        <v>324477.24301855441</v>
      </c>
      <c r="AS95" t="s">
        <v>680</v>
      </c>
    </row>
    <row r="96" spans="3:64" ht="18.75">
      <c r="C96" s="168" t="s">
        <v>567</v>
      </c>
      <c r="D96" s="168"/>
      <c r="E96" s="168"/>
      <c r="F96" s="168"/>
      <c r="G96" s="168"/>
      <c r="H96" s="168"/>
      <c r="I96" s="168"/>
      <c r="J96" s="840">
        <v>2191.3000000000002</v>
      </c>
      <c r="K96" s="840">
        <v>3010.9</v>
      </c>
      <c r="L96" s="840">
        <v>3679.6000000000004</v>
      </c>
      <c r="M96" s="840">
        <v>4597.8999999999996</v>
      </c>
      <c r="N96" s="840">
        <v>5864</v>
      </c>
      <c r="O96" s="845">
        <v>8712.6</v>
      </c>
      <c r="P96" s="845">
        <v>10201</v>
      </c>
      <c r="Q96" s="845">
        <v>6079.2</v>
      </c>
      <c r="R96" s="845">
        <v>7506.7</v>
      </c>
      <c r="S96" s="845">
        <v>9204.7999999999993</v>
      </c>
      <c r="T96" s="845">
        <v>23152.6</v>
      </c>
      <c r="U96" s="845">
        <v>25879.7</v>
      </c>
      <c r="V96">
        <f>Household!V3+Household!V15</f>
        <v>26479.599999999999</v>
      </c>
      <c r="W96">
        <f>Household!W3+Household!W15</f>
        <v>28302.400000000001</v>
      </c>
      <c r="X96">
        <f>Household!X3+Household!X15</f>
        <v>30958.399999999998</v>
      </c>
      <c r="Y96">
        <f>Household!Y3+Household!Y15</f>
        <v>33119.800000000003</v>
      </c>
      <c r="Z96">
        <f>Household!Z3+Household!Z15</f>
        <v>38440.400000000001</v>
      </c>
      <c r="AA96">
        <f>Household!AA3+Household!AA15</f>
        <v>40710.1</v>
      </c>
      <c r="AB96">
        <f>Household!AB3+Household!AB15</f>
        <v>48909.7</v>
      </c>
      <c r="AC96">
        <f>Household!AC3+Household!AC15</f>
        <v>66260.2</v>
      </c>
      <c r="AD96">
        <f>Household!AD3+Household!AD15</f>
        <v>77884.7</v>
      </c>
      <c r="AE96">
        <f>Household!AE3+Household!AE15</f>
        <v>91506.700000000012</v>
      </c>
      <c r="AF96">
        <f>Household!AF3+Household!AF15</f>
        <v>107777.3</v>
      </c>
      <c r="AG96">
        <f>Household!AG3+Household!AG15</f>
        <v>125386.29634286836</v>
      </c>
      <c r="AH96">
        <f>Household!AH3+Household!AH15</f>
        <v>146574.25864440622</v>
      </c>
      <c r="AI96">
        <f>Household!AI3+Household!AI15</f>
        <v>167666.65266496324</v>
      </c>
      <c r="AJ96">
        <f>Household!AJ3+Household!AJ15</f>
        <v>189907.05644417185</v>
      </c>
      <c r="AK96">
        <f>Household!AK3+Household!AK15</f>
        <v>205819.12183653674</v>
      </c>
      <c r="AL96">
        <f>Household!AL3+Household!AL15</f>
        <v>223304.51375920244</v>
      </c>
      <c r="AM96">
        <f>Household!AM3+Household!AM15</f>
        <v>238979.90863452147</v>
      </c>
      <c r="AN96">
        <f>Household!AN3+Household!AN15</f>
        <v>271318.78598533198</v>
      </c>
      <c r="AO96">
        <f>Household!AO3+Household!AO15</f>
        <v>297625.76627682772</v>
      </c>
      <c r="AP96">
        <f>Household!AP3+Household!AP15</f>
        <v>311764.75543856772</v>
      </c>
      <c r="AS96" t="s">
        <v>681</v>
      </c>
    </row>
    <row r="97" spans="3:45" ht="18.75">
      <c r="C97" s="168" t="s">
        <v>568</v>
      </c>
      <c r="D97" s="168"/>
      <c r="E97" s="168"/>
      <c r="F97" s="168"/>
      <c r="G97" s="168"/>
      <c r="H97" s="168"/>
      <c r="I97" s="168"/>
      <c r="J97" s="840">
        <v>1981.5317179999993</v>
      </c>
      <c r="K97" s="840">
        <v>2345.7018778400002</v>
      </c>
      <c r="L97" s="840">
        <v>2969.2369009799977</v>
      </c>
      <c r="M97" s="840">
        <v>4786.8438406400019</v>
      </c>
      <c r="N97" s="840">
        <v>9536.316076000001</v>
      </c>
      <c r="O97" s="845">
        <v>6432.4</v>
      </c>
      <c r="P97" s="845">
        <v>7404.2999999999993</v>
      </c>
      <c r="Q97" s="845">
        <v>14637.899999999998</v>
      </c>
      <c r="R97" s="845">
        <v>21429</v>
      </c>
      <c r="S97" s="845">
        <v>18202.300000000003</v>
      </c>
      <c r="T97" s="845">
        <v>18202.300000000003</v>
      </c>
      <c r="U97" s="845">
        <v>18202.3</v>
      </c>
      <c r="V97" s="93">
        <f>V95-V96</f>
        <v>9523.4000000000015</v>
      </c>
      <c r="W97" s="93">
        <f t="shared" ref="W97:AP97" si="153">W95-W96</f>
        <v>14917.400000000001</v>
      </c>
      <c r="X97" s="93">
        <f t="shared" si="153"/>
        <v>20541.000000000004</v>
      </c>
      <c r="Y97" s="93">
        <f t="shared" si="153"/>
        <v>20818.899999999994</v>
      </c>
      <c r="Z97" s="93">
        <f t="shared" si="153"/>
        <v>21484.6</v>
      </c>
      <c r="AA97" s="93">
        <f t="shared" si="153"/>
        <v>23873.9</v>
      </c>
      <c r="AB97" s="93">
        <f t="shared" si="153"/>
        <v>31467.400000000009</v>
      </c>
      <c r="AC97" s="93">
        <f t="shared" si="153"/>
        <v>36455.600000000006</v>
      </c>
      <c r="AD97" s="93">
        <f t="shared" si="153"/>
        <v>40275.5</v>
      </c>
      <c r="AE97" s="93">
        <f t="shared" si="153"/>
        <v>51971.299999999988</v>
      </c>
      <c r="AF97" s="93">
        <f t="shared" si="153"/>
        <v>35193.204831247698</v>
      </c>
      <c r="AG97" s="93">
        <f t="shared" si="153"/>
        <v>31409.156763074541</v>
      </c>
      <c r="AH97" s="93">
        <f t="shared" si="153"/>
        <v>24069.231384731509</v>
      </c>
      <c r="AI97" s="93">
        <f t="shared" si="153"/>
        <v>14693.278614821727</v>
      </c>
      <c r="AJ97" s="93">
        <f t="shared" si="153"/>
        <v>11791.156136306643</v>
      </c>
      <c r="AK97" s="93">
        <f>AK95-AK96</f>
        <v>13513.045855298522</v>
      </c>
      <c r="AL97" s="93">
        <f t="shared" si="153"/>
        <v>12471.051175371103</v>
      </c>
      <c r="AM97" s="93">
        <f t="shared" si="153"/>
        <v>17847.261683358025</v>
      </c>
      <c r="AN97" s="93">
        <f t="shared" si="153"/>
        <v>5676.6476502335863</v>
      </c>
      <c r="AO97" s="93">
        <f t="shared" si="153"/>
        <v>1671.76665070327</v>
      </c>
      <c r="AP97" s="93">
        <f t="shared" si="153"/>
        <v>12712.487579986686</v>
      </c>
      <c r="AS97" t="s">
        <v>682</v>
      </c>
    </row>
    <row r="98" spans="3:45" ht="18.75">
      <c r="C98" s="156" t="s">
        <v>569</v>
      </c>
      <c r="J98" s="839">
        <v>580.1</v>
      </c>
      <c r="K98" s="839">
        <v>726.8</v>
      </c>
      <c r="L98" s="839">
        <v>1052.3</v>
      </c>
      <c r="M98" s="839">
        <v>1036.5999999999999</v>
      </c>
      <c r="N98" s="839">
        <v>1140.0999999999999</v>
      </c>
      <c r="O98" s="263">
        <v>1652.7</v>
      </c>
      <c r="P98" s="263">
        <v>2570.8000000000002</v>
      </c>
      <c r="Q98" s="264">
        <v>2798.5</v>
      </c>
      <c r="R98" s="264">
        <v>4105.7</v>
      </c>
      <c r="S98" s="264">
        <v>4644</v>
      </c>
      <c r="T98" s="264">
        <v>5352.2</v>
      </c>
      <c r="U98" s="264">
        <v>6317.1</v>
      </c>
      <c r="V98" s="264">
        <v>5892.5</v>
      </c>
      <c r="W98" s="264">
        <v>6441.6</v>
      </c>
      <c r="X98" s="264">
        <v>7336.8</v>
      </c>
      <c r="Y98" s="264">
        <v>7973.6</v>
      </c>
      <c r="Z98" s="264">
        <v>8824.2999999999993</v>
      </c>
      <c r="AA98" s="264">
        <v>9712.2999999999993</v>
      </c>
      <c r="AB98" s="264">
        <v>11001.4</v>
      </c>
      <c r="AC98" s="264">
        <v>11977.8</v>
      </c>
      <c r="AD98" s="738">
        <v>14157.5</v>
      </c>
      <c r="AE98" s="738">
        <v>17602.5</v>
      </c>
      <c r="AF98">
        <f t="shared" ref="AF98:AH98" si="154">(AE98-AE100)*AF93/AE93+AF100</f>
        <v>20158.917436856442</v>
      </c>
      <c r="AG98">
        <f t="shared" si="154"/>
        <v>23048.921749811634</v>
      </c>
      <c r="AH98">
        <f t="shared" si="154"/>
        <v>26339.823616428581</v>
      </c>
      <c r="AI98">
        <f>(AH98-AH100)*AI93/AH93+AI100</f>
        <v>30115.345172726746</v>
      </c>
      <c r="AJ98">
        <f t="shared" ref="AJ98:AN98" si="155">(AI98-AI100)*AJ93/AI93+AJ100</f>
        <v>34563.197833369115</v>
      </c>
      <c r="AK98">
        <f t="shared" si="155"/>
        <v>39423.842881081058</v>
      </c>
      <c r="AL98">
        <f t="shared" si="155"/>
        <v>45090.906498099372</v>
      </c>
      <c r="AM98">
        <f t="shared" si="155"/>
        <v>51493.132045810795</v>
      </c>
      <c r="AN98">
        <f t="shared" si="155"/>
        <v>58628.599480085672</v>
      </c>
      <c r="AO98">
        <f t="shared" ref="AO98" si="156">(AN98-AN100)*AO93/AN93+AO100</f>
        <v>66731.74285854536</v>
      </c>
      <c r="AP98">
        <f t="shared" ref="AP98" si="157">(AO98-AO100)*AP93/AO93+AP100</f>
        <v>76025.653131251864</v>
      </c>
      <c r="AS98" t="s">
        <v>683</v>
      </c>
    </row>
    <row r="99" spans="3:45">
      <c r="C99" s="156" t="s">
        <v>570</v>
      </c>
      <c r="J99" s="839"/>
      <c r="K99" s="839"/>
      <c r="L99" s="839"/>
      <c r="M99" s="839"/>
      <c r="N99" s="839"/>
      <c r="O99" s="263"/>
      <c r="P99" s="263"/>
      <c r="Q99" s="264"/>
      <c r="R99" s="264"/>
      <c r="S99" s="264"/>
      <c r="T99" s="264"/>
      <c r="U99" s="264"/>
      <c r="V99" s="264">
        <v>310.8</v>
      </c>
      <c r="W99" s="264">
        <v>448.2</v>
      </c>
      <c r="X99" s="264">
        <v>331.2</v>
      </c>
      <c r="Y99" s="264">
        <v>361.1</v>
      </c>
      <c r="Z99" s="264">
        <v>389.7</v>
      </c>
      <c r="AA99" s="264">
        <v>565.29999999999995</v>
      </c>
      <c r="AB99" s="264">
        <v>856.8</v>
      </c>
      <c r="AC99" s="264">
        <v>853.4</v>
      </c>
      <c r="AD99" s="738">
        <v>786.6</v>
      </c>
      <c r="AE99" s="738">
        <v>874.7</v>
      </c>
      <c r="AS99"/>
    </row>
    <row r="100" spans="3:45" ht="25.5">
      <c r="C100" s="169" t="s">
        <v>571</v>
      </c>
      <c r="D100" s="169"/>
      <c r="E100" s="169"/>
      <c r="F100" s="169"/>
      <c r="G100" s="169"/>
      <c r="H100" s="169"/>
      <c r="I100" s="169"/>
      <c r="J100" s="789"/>
      <c r="K100" s="789"/>
      <c r="L100" s="789">
        <v>768.1</v>
      </c>
      <c r="M100" s="789">
        <v>662.5</v>
      </c>
      <c r="N100" s="789">
        <v>904</v>
      </c>
      <c r="O100" s="789">
        <v>1088.8</v>
      </c>
      <c r="P100" s="789">
        <v>2242</v>
      </c>
      <c r="Q100" s="789">
        <v>2267.4</v>
      </c>
      <c r="R100" s="846">
        <v>2898.8</v>
      </c>
      <c r="S100" s="846">
        <v>3838.8</v>
      </c>
      <c r="T100" s="846">
        <v>4525.3</v>
      </c>
      <c r="U100" s="846">
        <v>5399.5</v>
      </c>
      <c r="V100">
        <f>Household!V40</f>
        <v>4055.1</v>
      </c>
      <c r="W100">
        <f>Household!W40</f>
        <v>4817.8999999999996</v>
      </c>
      <c r="X100">
        <f>Household!X40</f>
        <v>5466.7</v>
      </c>
      <c r="Y100">
        <f>Household!Y40</f>
        <v>5744</v>
      </c>
      <c r="Z100">
        <f>Household!Z40</f>
        <v>6433.2</v>
      </c>
      <c r="AA100">
        <f>Household!AA40</f>
        <v>7283.3</v>
      </c>
      <c r="AB100">
        <f>Household!AB40</f>
        <v>8932.6</v>
      </c>
      <c r="AC100">
        <f>Household!AC40</f>
        <v>10146.4</v>
      </c>
      <c r="AD100">
        <f>Household!AD40</f>
        <v>10448.9</v>
      </c>
      <c r="AE100">
        <f>Household!AE40</f>
        <v>11743.9</v>
      </c>
      <c r="AF100">
        <f>Household!AF40</f>
        <v>13505.484999999999</v>
      </c>
      <c r="AG100">
        <f>Household!AG40</f>
        <v>15531.307749999998</v>
      </c>
      <c r="AH100">
        <f>Household!AH40</f>
        <v>17861.003912499997</v>
      </c>
      <c r="AI100">
        <f>Household!AI40</f>
        <v>20540.154499374996</v>
      </c>
      <c r="AJ100">
        <f>Household!AJ40</f>
        <v>23621.177674281244</v>
      </c>
      <c r="AK100">
        <f>Household!AK40</f>
        <v>27164.354325423428</v>
      </c>
      <c r="AL100">
        <f>Household!AL40</f>
        <v>31239.00747423694</v>
      </c>
      <c r="AM100">
        <f>Household!AM40</f>
        <v>35924.858595372476</v>
      </c>
      <c r="AN100">
        <f>Household!AN40</f>
        <v>41313.587384678343</v>
      </c>
      <c r="AO100">
        <f>Household!AO40</f>
        <v>47510.625492380088</v>
      </c>
      <c r="AP100">
        <f>Household!AP40</f>
        <v>54637.219316237097</v>
      </c>
      <c r="AS100" t="s">
        <v>684</v>
      </c>
    </row>
    <row r="101" spans="3:45" ht="18.75">
      <c r="C101" s="156" t="s">
        <v>572</v>
      </c>
      <c r="J101" s="837">
        <v>475.6</v>
      </c>
      <c r="K101" s="837">
        <v>752.6</v>
      </c>
      <c r="L101" s="837">
        <v>839.4</v>
      </c>
      <c r="M101" s="837">
        <v>1490.5</v>
      </c>
      <c r="N101" s="837">
        <v>3154.1</v>
      </c>
      <c r="O101" s="842">
        <v>4693.8999999999996</v>
      </c>
      <c r="P101" s="842">
        <v>5125.1000000000004</v>
      </c>
      <c r="Q101" s="265">
        <v>5891.6</v>
      </c>
      <c r="R101" s="265">
        <v>8783.6</v>
      </c>
      <c r="S101" s="265">
        <v>8414.2000000000007</v>
      </c>
      <c r="T101" s="265">
        <v>10024.700000000001</v>
      </c>
      <c r="U101" s="265">
        <v>11930.5</v>
      </c>
      <c r="V101" s="265">
        <v>22781.7</v>
      </c>
      <c r="W101" s="265">
        <v>22202.3</v>
      </c>
      <c r="X101" s="265">
        <v>19284.900000000001</v>
      </c>
      <c r="Y101" s="265">
        <v>26479.1</v>
      </c>
      <c r="Z101" s="265">
        <v>27995.9</v>
      </c>
      <c r="AA101" s="265">
        <v>28105</v>
      </c>
      <c r="AB101" s="265">
        <v>35249.199999999997</v>
      </c>
      <c r="AC101" s="265">
        <v>41916.1</v>
      </c>
      <c r="AD101" s="739">
        <v>42027.3</v>
      </c>
      <c r="AE101" s="739">
        <v>50513.5</v>
      </c>
      <c r="AF101" s="94">
        <f>AF93-AF104-AF105-AF94</f>
        <v>67378.841856213287</v>
      </c>
      <c r="AG101" s="94">
        <f t="shared" ref="AG101:AH101" si="158">AG93-AG104-AG105-AG94</f>
        <v>65109.329168535536</v>
      </c>
      <c r="AH101" s="94">
        <f t="shared" si="158"/>
        <v>74206.219239389902</v>
      </c>
      <c r="AI101" s="94">
        <f>AI93-AI104-AI105-AI94</f>
        <v>88434.814048958884</v>
      </c>
      <c r="AJ101" s="94">
        <f t="shared" ref="AJ101:AP101" si="159">AJ93-AJ104-AJ105-AJ94</f>
        <v>102847.45886424772</v>
      </c>
      <c r="AK101" s="94">
        <f t="shared" si="159"/>
        <v>117794.22283420531</v>
      </c>
      <c r="AL101" s="94">
        <f t="shared" si="159"/>
        <v>147556.6701353353</v>
      </c>
      <c r="AM101" s="94">
        <f t="shared" si="159"/>
        <v>171355.69292483135</v>
      </c>
      <c r="AN101" s="94">
        <f t="shared" si="159"/>
        <v>185587.85821232927</v>
      </c>
      <c r="AO101" s="94">
        <f t="shared" si="159"/>
        <v>203894.71545573953</v>
      </c>
      <c r="AP101" s="94">
        <f t="shared" si="159"/>
        <v>254856.99432424753</v>
      </c>
      <c r="AS101" t="s">
        <v>685</v>
      </c>
    </row>
    <row r="102" spans="3:45" ht="18.75">
      <c r="C102" s="156" t="s">
        <v>573</v>
      </c>
      <c r="J102" s="268">
        <v>382.6</v>
      </c>
      <c r="K102" s="268">
        <v>640</v>
      </c>
      <c r="L102" s="268">
        <v>801.3</v>
      </c>
      <c r="M102" s="268">
        <v>1445.3</v>
      </c>
      <c r="N102" s="268">
        <v>2973.9</v>
      </c>
      <c r="O102" s="265">
        <v>4341.3999999999996</v>
      </c>
      <c r="P102" s="265">
        <v>5423.9</v>
      </c>
      <c r="Q102" s="265">
        <v>6050.6</v>
      </c>
      <c r="R102" s="265">
        <v>8598.2000000000007</v>
      </c>
      <c r="S102" s="265">
        <v>7855.8</v>
      </c>
      <c r="T102" s="265">
        <v>9736.2999999999993</v>
      </c>
      <c r="U102" s="265">
        <v>11781.5</v>
      </c>
      <c r="V102" s="265">
        <v>19736.900000000001</v>
      </c>
      <c r="W102" s="266">
        <v>21954</v>
      </c>
      <c r="X102" s="266">
        <v>20133</v>
      </c>
      <c r="Y102" s="266">
        <v>25146.799999999999</v>
      </c>
      <c r="Z102" s="266">
        <v>24926.6</v>
      </c>
      <c r="AA102" s="266">
        <v>23150.400000000001</v>
      </c>
      <c r="AB102" s="266">
        <v>32314.3</v>
      </c>
      <c r="AC102" s="266">
        <v>37469.9</v>
      </c>
      <c r="AD102" s="740">
        <v>37577.800000000003</v>
      </c>
      <c r="AE102" s="740">
        <v>47110.6</v>
      </c>
      <c r="AF102">
        <f t="shared" ref="AF102:AH102" si="160">AF101*0.94</f>
        <v>63336.111344840487</v>
      </c>
      <c r="AG102">
        <f t="shared" si="160"/>
        <v>61202.769418423399</v>
      </c>
      <c r="AH102">
        <f t="shared" si="160"/>
        <v>69753.846085026511</v>
      </c>
      <c r="AI102">
        <f>AI101*0.94</f>
        <v>83128.72520602135</v>
      </c>
      <c r="AJ102">
        <f t="shared" ref="AJ102:AP102" si="161">AJ101*0.94</f>
        <v>96676.611332392844</v>
      </c>
      <c r="AK102">
        <f t="shared" si="161"/>
        <v>110726.56946415298</v>
      </c>
      <c r="AL102">
        <f t="shared" si="161"/>
        <v>138703.26992721518</v>
      </c>
      <c r="AM102">
        <f t="shared" si="161"/>
        <v>161074.35134934145</v>
      </c>
      <c r="AN102">
        <f t="shared" si="161"/>
        <v>174452.58671958951</v>
      </c>
      <c r="AO102">
        <f t="shared" si="161"/>
        <v>191661.03252839515</v>
      </c>
      <c r="AP102">
        <f t="shared" si="161"/>
        <v>239565.57466479266</v>
      </c>
      <c r="AS102" s="46" t="s">
        <v>686</v>
      </c>
    </row>
    <row r="103" spans="3:45" ht="18.75">
      <c r="C103" s="156" t="s">
        <v>574</v>
      </c>
      <c r="J103" s="268">
        <v>93</v>
      </c>
      <c r="K103" s="268">
        <v>112.60000000000002</v>
      </c>
      <c r="L103" s="268">
        <v>38.100000000000023</v>
      </c>
      <c r="M103" s="268">
        <v>45.200000000000045</v>
      </c>
      <c r="N103" s="268">
        <v>180.19999999999982</v>
      </c>
      <c r="O103" s="265">
        <v>352.5</v>
      </c>
      <c r="P103" s="265">
        <v>-298.8</v>
      </c>
      <c r="Q103" s="265">
        <v>-158.9</v>
      </c>
      <c r="R103" s="265">
        <v>185.4</v>
      </c>
      <c r="S103" s="265">
        <v>558.4</v>
      </c>
      <c r="T103" s="265">
        <v>288.3</v>
      </c>
      <c r="U103" s="267">
        <v>149</v>
      </c>
      <c r="V103" s="267">
        <v>3044.8</v>
      </c>
      <c r="W103" s="267">
        <v>248.3</v>
      </c>
      <c r="X103" s="267">
        <v>-848.1</v>
      </c>
      <c r="Y103" s="265">
        <v>1332.3</v>
      </c>
      <c r="Z103" s="265">
        <v>3069.3</v>
      </c>
      <c r="AA103" s="265">
        <v>4954.6000000000004</v>
      </c>
      <c r="AB103" s="265">
        <v>2934.9</v>
      </c>
      <c r="AC103" s="265">
        <v>4446.2</v>
      </c>
      <c r="AD103" s="739">
        <v>4449.5</v>
      </c>
      <c r="AE103" s="739">
        <v>3402.9</v>
      </c>
      <c r="AF103" s="94">
        <f t="shared" ref="AF103:AH103" si="162">AF101-AF102</f>
        <v>4042.7305113727998</v>
      </c>
      <c r="AG103" s="94">
        <f t="shared" si="162"/>
        <v>3906.5597501121374</v>
      </c>
      <c r="AH103" s="94">
        <f t="shared" si="162"/>
        <v>4452.3731543633912</v>
      </c>
      <c r="AI103" s="94">
        <f>AI101-AI102</f>
        <v>5306.0888429375336</v>
      </c>
      <c r="AJ103" s="94">
        <f t="shared" ref="AJ103:AP103" si="163">AJ101-AJ102</f>
        <v>6170.8475318548735</v>
      </c>
      <c r="AK103" s="94">
        <f t="shared" si="163"/>
        <v>7067.6533700523287</v>
      </c>
      <c r="AL103" s="94">
        <f t="shared" si="163"/>
        <v>8853.4002081201179</v>
      </c>
      <c r="AM103" s="94">
        <f t="shared" si="163"/>
        <v>10281.341575489903</v>
      </c>
      <c r="AN103" s="94">
        <f t="shared" si="163"/>
        <v>11135.271492739761</v>
      </c>
      <c r="AO103" s="94">
        <f t="shared" si="163"/>
        <v>12233.682927344373</v>
      </c>
      <c r="AP103" s="94">
        <f t="shared" si="163"/>
        <v>15291.41965945487</v>
      </c>
      <c r="AS103" t="s">
        <v>687</v>
      </c>
    </row>
    <row r="104" spans="3:45" ht="18.75">
      <c r="C104" s="156" t="s">
        <v>575</v>
      </c>
      <c r="J104" s="268">
        <v>3045.5486139899999</v>
      </c>
      <c r="K104" s="268">
        <v>3624.0277065299997</v>
      </c>
      <c r="L104" s="268">
        <v>3909.5708743600007</v>
      </c>
      <c r="M104" s="268">
        <v>5243.2217387199998</v>
      </c>
      <c r="N104" s="268">
        <v>5871.4188727500004</v>
      </c>
      <c r="O104" s="265">
        <v>5782.4</v>
      </c>
      <c r="P104" s="265">
        <v>5048</v>
      </c>
      <c r="Q104" s="265">
        <v>6620.7</v>
      </c>
      <c r="R104" s="265">
        <v>5335</v>
      </c>
      <c r="S104" s="265">
        <v>7829.5</v>
      </c>
      <c r="T104" s="265">
        <v>7582.6</v>
      </c>
      <c r="U104" s="265">
        <v>5143.3999999999996</v>
      </c>
      <c r="V104" s="265">
        <v>4997.2</v>
      </c>
      <c r="W104" s="265">
        <v>7232.5</v>
      </c>
      <c r="X104" s="265">
        <v>9619.1</v>
      </c>
      <c r="Y104" s="265">
        <v>10215.1</v>
      </c>
      <c r="Z104" s="265">
        <v>11850.6</v>
      </c>
      <c r="AA104" s="265">
        <v>14545.2</v>
      </c>
      <c r="AB104" s="265">
        <v>24442.2</v>
      </c>
      <c r="AC104" s="265">
        <v>19326.400000000001</v>
      </c>
      <c r="AD104" s="739">
        <v>22827.7</v>
      </c>
      <c r="AE104" s="739">
        <v>17467.5</v>
      </c>
      <c r="AF104">
        <f>(Trade!AF5+Trade!AF4-Trade!AF6)*Assumptions!AF12+Industry!AF12</f>
        <v>33946.689580782579</v>
      </c>
      <c r="AG104">
        <f>(Trade!AG5+Trade!AG4-Trade!AG6)*Assumptions!AG12+Industry!AG12</f>
        <v>35600.83602720817</v>
      </c>
      <c r="AH104">
        <f>(Trade!AH5+Trade!AH4-Trade!AH6)*Assumptions!AH12+Industry!AH12</f>
        <v>39596.776228077171</v>
      </c>
      <c r="AI104">
        <f>(Trade!AI5+Trade!AI4-Trade!AI6)*Assumptions!AI12+Industry!AI12</f>
        <v>44151.942449272814</v>
      </c>
      <c r="AJ104">
        <f>(Trade!AJ5+Trade!AJ4-Trade!AJ6)*Assumptions!AJ12+Industry!AJ12</f>
        <v>49171.80942785657</v>
      </c>
      <c r="AK104">
        <f>(Trade!AK5+Trade!AK4-Trade!AK6)*Assumptions!AK12+Industry!AK12</f>
        <v>54369.440452802992</v>
      </c>
      <c r="AL104">
        <f>(Trade!AL5+Trade!AL4-Trade!AL6)*Assumptions!AL12+Industry!AL12</f>
        <v>56441.620122337801</v>
      </c>
      <c r="AM104">
        <f>(Trade!AM5+Trade!AM4-Trade!AM6)*Assumptions!AM12+Industry!AM12</f>
        <v>62629.97571208467</v>
      </c>
      <c r="AN104">
        <f>(Trade!AN5+Trade!AN4-Trade!AN6)*Assumptions!AN12+Industry!AN12</f>
        <v>68972.931340895026</v>
      </c>
      <c r="AO104">
        <f>(Trade!AO5+Trade!AO4-Trade!AO6)*Assumptions!AO12+Industry!AO12</f>
        <v>76895.798371511744</v>
      </c>
      <c r="AP104">
        <f>(Trade!AP5+Trade!AP4-Trade!AP6)*Assumptions!AP12+Industry!AP12</f>
        <v>86147.805041390602</v>
      </c>
      <c r="AS104" t="s">
        <v>688</v>
      </c>
    </row>
    <row r="105" spans="3:45" ht="18.75">
      <c r="C105" s="156" t="s">
        <v>576</v>
      </c>
      <c r="J105" s="268">
        <v>-3512.5803319900001</v>
      </c>
      <c r="K105" s="268">
        <v>-4292.8295843700007</v>
      </c>
      <c r="L105" s="268">
        <v>-5243.5077753400001</v>
      </c>
      <c r="M105" s="268">
        <v>-7819.7655793599997</v>
      </c>
      <c r="N105" s="268">
        <v>-12761.634948750001</v>
      </c>
      <c r="O105" s="265">
        <v>-14004.9</v>
      </c>
      <c r="P105" s="265">
        <v>-12686.7</v>
      </c>
      <c r="Q105" s="265">
        <v>-14577.7</v>
      </c>
      <c r="R105" s="265">
        <v>-22286.1</v>
      </c>
      <c r="S105" s="265">
        <v>-25114</v>
      </c>
      <c r="T105" s="265">
        <v>-26051.9</v>
      </c>
      <c r="U105" s="265">
        <v>-26676.2</v>
      </c>
      <c r="V105" s="265">
        <v>-20460</v>
      </c>
      <c r="W105" s="265">
        <v>-23299.3</v>
      </c>
      <c r="X105" s="265">
        <v>-25037.599999999999</v>
      </c>
      <c r="Y105" s="265">
        <v>-29468.7</v>
      </c>
      <c r="Z105" s="265">
        <v>-32486.5</v>
      </c>
      <c r="AA105" s="265">
        <v>-32260.799999999999</v>
      </c>
      <c r="AB105" s="265">
        <v>-48156.800000000003</v>
      </c>
      <c r="AC105" s="265">
        <v>-58006.400000000001</v>
      </c>
      <c r="AD105" s="739">
        <v>-64323.5</v>
      </c>
      <c r="AE105" s="739">
        <v>-74585.100000000006</v>
      </c>
      <c r="AF105">
        <f>-(Trade!AF42+Trade!AF43-Trade!AF49)*Assumptions!AF12</f>
        <v>-87535.953705100008</v>
      </c>
      <c r="AG105">
        <f>-(Trade!AG42+Trade!AG43-Trade!AG49)*Assumptions!AG12</f>
        <v>-80656.402683312044</v>
      </c>
      <c r="AH105">
        <f>-(Trade!AH42+Trade!AH43-Trade!AH49)*Assumptions!AH12</f>
        <v>-85329.100756968823</v>
      </c>
      <c r="AI105">
        <f>-(Trade!AI42+Trade!AI43-Trade!AI49)*Assumptions!AI12</f>
        <v>-90451.623238805187</v>
      </c>
      <c r="AJ105">
        <f>-(Trade!AJ42+Trade!AJ43-Trade!AJ49)*Assumptions!AJ12</f>
        <v>-97325.403680975127</v>
      </c>
      <c r="AK105">
        <f>-(Trade!AK42+Trade!AK43-Trade!AK49)*Assumptions!AK12</f>
        <v>-104932.07627590917</v>
      </c>
      <c r="AL105">
        <f>-(Trade!AL42+Trade!AL43-Trade!AL49)*Assumptions!AL12</f>
        <v>-116533.95700262485</v>
      </c>
      <c r="AM105">
        <f>-(Trade!AM42+Trade!AM43-Trade!AM49)*Assumptions!AM12</f>
        <v>-128335.67871648754</v>
      </c>
      <c r="AN105">
        <f>-(Trade!AN42+Trade!AN43-Trade!AN49)*Assumptions!AN12</f>
        <v>-129767.63891000372</v>
      </c>
      <c r="AO105">
        <f>-(Trade!AO42+Trade!AO43-Trade!AO49)*Assumptions!AO12</f>
        <v>-135718.05444469416</v>
      </c>
      <c r="AP105">
        <f>-(Trade!AP42+Trade!AP43-Trade!AP49)*Assumptions!AP12</f>
        <v>-172775.63758438913</v>
      </c>
      <c r="AS105" t="s">
        <v>689</v>
      </c>
    </row>
    <row r="106" spans="3:45">
      <c r="C106" s="156" t="s">
        <v>577</v>
      </c>
      <c r="J106" s="268"/>
      <c r="K106" s="268"/>
      <c r="L106" s="268"/>
      <c r="M106" s="268"/>
      <c r="N106" s="268"/>
      <c r="O106" s="844">
        <v>-8222.5</v>
      </c>
      <c r="P106" s="265">
        <v>-7638.6</v>
      </c>
      <c r="Q106" s="265">
        <v>-7957.0000000000009</v>
      </c>
      <c r="R106" s="265">
        <v>-16951.099999999999</v>
      </c>
      <c r="S106" s="265">
        <v>-17284.5</v>
      </c>
      <c r="T106" s="265">
        <v>-18469.300000000003</v>
      </c>
      <c r="U106" s="265">
        <v>-21532.800000000003</v>
      </c>
      <c r="V106" s="265">
        <f t="shared" ref="V106:AB106" si="164">V105+V104</f>
        <v>-15462.8</v>
      </c>
      <c r="W106" s="265">
        <f t="shared" si="164"/>
        <v>-16066.8</v>
      </c>
      <c r="X106" s="265">
        <f>X105+X104</f>
        <v>-15418.499999999998</v>
      </c>
      <c r="Y106" s="265">
        <f>Y105+Y104</f>
        <v>-19253.599999999999</v>
      </c>
      <c r="Z106" s="265">
        <f t="shared" si="164"/>
        <v>-20635.900000000001</v>
      </c>
      <c r="AA106" s="265">
        <f t="shared" si="164"/>
        <v>-17715.599999999999</v>
      </c>
      <c r="AB106" s="265">
        <f t="shared" si="164"/>
        <v>-23714.600000000002</v>
      </c>
      <c r="AC106" s="265">
        <f>AC105+AC104</f>
        <v>-38680</v>
      </c>
      <c r="AD106" s="268">
        <f>AD105+AD104</f>
        <v>-41495.800000000003</v>
      </c>
      <c r="AE106" s="268">
        <f>AE105+AE104</f>
        <v>-57117.600000000006</v>
      </c>
      <c r="AF106" s="268">
        <f t="shared" ref="AF106:AG106" si="165">AF105+AF104</f>
        <v>-53589.264124317429</v>
      </c>
      <c r="AG106" s="268">
        <f t="shared" si="165"/>
        <v>-45055.566656103874</v>
      </c>
      <c r="AH106" s="268">
        <f>AH105+AH104</f>
        <v>-45732.324528891651</v>
      </c>
      <c r="AI106" s="741">
        <f>AI105+AI104</f>
        <v>-46299.680789532373</v>
      </c>
      <c r="AJ106" s="741">
        <f t="shared" ref="AJ106:AP106" si="166">AJ105+AJ104</f>
        <v>-48153.594253118557</v>
      </c>
      <c r="AK106" s="741">
        <f t="shared" si="166"/>
        <v>-50562.635823106182</v>
      </c>
      <c r="AL106" s="741">
        <f t="shared" si="166"/>
        <v>-60092.336880287054</v>
      </c>
      <c r="AM106" s="741">
        <f t="shared" si="166"/>
        <v>-65705.703004402865</v>
      </c>
      <c r="AN106" s="741">
        <f t="shared" si="166"/>
        <v>-60794.707569108694</v>
      </c>
      <c r="AO106" s="741">
        <f t="shared" si="166"/>
        <v>-58822.25607318242</v>
      </c>
      <c r="AP106" s="741">
        <f t="shared" si="166"/>
        <v>-86627.832542998527</v>
      </c>
    </row>
    <row r="107" spans="3:45">
      <c r="C107" s="156" t="s">
        <v>578</v>
      </c>
      <c r="J107" s="841"/>
      <c r="K107" s="841"/>
      <c r="L107" s="841"/>
      <c r="M107" s="841"/>
      <c r="N107" s="841"/>
      <c r="O107" s="828">
        <v>4079</v>
      </c>
      <c r="P107" s="828">
        <v>2761.9</v>
      </c>
      <c r="Q107" s="843">
        <v>3046.4</v>
      </c>
      <c r="R107" s="265">
        <v>4923.7</v>
      </c>
      <c r="S107" s="265">
        <v>3985.6</v>
      </c>
      <c r="T107" s="265">
        <v>2828.6</v>
      </c>
      <c r="U107" s="265">
        <v>3832.6</v>
      </c>
      <c r="V107" s="265">
        <v>1452.6</v>
      </c>
      <c r="W107" s="265">
        <v>-1454.8</v>
      </c>
      <c r="X107" s="265">
        <v>1400.6</v>
      </c>
      <c r="Y107" s="265">
        <v>1560.3</v>
      </c>
      <c r="Z107" s="265">
        <v>2610.8000000000002</v>
      </c>
      <c r="AA107" s="265">
        <v>-1292.7</v>
      </c>
      <c r="AB107" s="265">
        <v>-2963.6</v>
      </c>
      <c r="AC107" s="265">
        <v>-601.4</v>
      </c>
      <c r="AD107" s="739">
        <f>AD93-AD94-AD101-AD104-AD105</f>
        <v>-853.89999999999418</v>
      </c>
      <c r="AE107" s="739">
        <f>AE93-AE94-AE101-AE104-AE105</f>
        <v>432.79999999998836</v>
      </c>
      <c r="AF107" s="739">
        <f t="shared" ref="AF107:AP107" si="167">AF93-AF94-AF101-AF104-AF105</f>
        <v>0</v>
      </c>
      <c r="AG107" s="739">
        <f t="shared" si="167"/>
        <v>0</v>
      </c>
      <c r="AH107" s="739">
        <f t="shared" si="167"/>
        <v>0</v>
      </c>
      <c r="AI107" s="739">
        <f t="shared" si="167"/>
        <v>0</v>
      </c>
      <c r="AJ107" s="739">
        <f t="shared" si="167"/>
        <v>0</v>
      </c>
      <c r="AK107" s="739">
        <f t="shared" si="167"/>
        <v>0</v>
      </c>
      <c r="AL107" s="739">
        <f t="shared" si="167"/>
        <v>0</v>
      </c>
      <c r="AM107" s="739">
        <f t="shared" si="167"/>
        <v>0</v>
      </c>
      <c r="AN107" s="739">
        <f t="shared" si="167"/>
        <v>0</v>
      </c>
      <c r="AO107" s="739">
        <f t="shared" si="167"/>
        <v>0</v>
      </c>
      <c r="AP107" s="739">
        <f t="shared" si="167"/>
        <v>0</v>
      </c>
    </row>
    <row r="108" spans="3:45">
      <c r="AC108" s="93">
        <f>AC94+AC101+AC104+AC105</f>
        <v>118783.1</v>
      </c>
      <c r="AD108" s="93">
        <f>AD94+AD101+AD104+AD105</f>
        <v>133635.80000000005</v>
      </c>
      <c r="AE108" s="93">
        <f>AE94+AE101+AE104+AE105</f>
        <v>155351.1</v>
      </c>
      <c r="AF108" s="93">
        <f>AF94+AF101+AF104+AF105</f>
        <v>176919</v>
      </c>
      <c r="AG108" s="93">
        <f t="shared" ref="AG108:AP108" si="168">AG94+AG101+AG104+AG105</f>
        <v>199898.13736818623</v>
      </c>
      <c r="AH108" s="93">
        <f t="shared" si="168"/>
        <v>225457.20835606457</v>
      </c>
      <c r="AI108" s="93">
        <f t="shared" si="168"/>
        <v>254610.40971193826</v>
      </c>
      <c r="AJ108" s="93">
        <f t="shared" si="168"/>
        <v>290955.27502497676</v>
      </c>
      <c r="AK108" s="93">
        <f t="shared" si="168"/>
        <v>325987.59758401546</v>
      </c>
      <c r="AL108" s="93">
        <f t="shared" si="168"/>
        <v>368330.80468772119</v>
      </c>
      <c r="AM108" s="93">
        <f t="shared" si="168"/>
        <v>413970.29228411877</v>
      </c>
      <c r="AN108" s="93">
        <f t="shared" si="168"/>
        <v>460417.18375887186</v>
      </c>
      <c r="AO108" s="93">
        <f t="shared" si="168"/>
        <v>511101.7351686334</v>
      </c>
      <c r="AP108" s="93">
        <f t="shared" si="168"/>
        <v>568732.05793105531</v>
      </c>
    </row>
    <row r="109" spans="3:45"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</row>
    <row r="110" spans="3:45" ht="18.75">
      <c r="C110" s="156" t="s">
        <v>579</v>
      </c>
      <c r="L110" s="160"/>
      <c r="M110" s="853"/>
      <c r="N110" s="854">
        <v>110.55184112043024</v>
      </c>
      <c r="O110" s="854">
        <v>116.24527330016349</v>
      </c>
      <c r="P110" s="619">
        <v>105.79427718517209</v>
      </c>
      <c r="Q110" s="619">
        <v>111.8125831564048</v>
      </c>
      <c r="R110" s="619">
        <v>113.43717147183612</v>
      </c>
      <c r="S110" s="619">
        <v>99.965562327968271</v>
      </c>
      <c r="T110" s="619">
        <v>121.399677854996</v>
      </c>
      <c r="U110" s="619">
        <v>111.0709491237149</v>
      </c>
      <c r="V110" s="94">
        <v>109.32499927581014</v>
      </c>
      <c r="W110" s="619">
        <v>111.5</v>
      </c>
      <c r="X110" s="619">
        <v>103.1</v>
      </c>
      <c r="Y110" s="619">
        <v>107.1</v>
      </c>
      <c r="Z110" s="619">
        <v>107.8</v>
      </c>
      <c r="AA110" s="619">
        <v>104.7</v>
      </c>
      <c r="AB110" s="619">
        <v>109.8</v>
      </c>
      <c r="AC110" s="619">
        <v>108.6</v>
      </c>
      <c r="AD110" s="704">
        <v>107.7</v>
      </c>
      <c r="AE110" s="704">
        <v>107.6</v>
      </c>
      <c r="AF110" s="94">
        <f t="shared" ref="AF110:AH110" si="169">(AF116*AE104+AF117*AE105+AF115*AE101+AF113*AE97+AE96*AF112+AF114*AE98)/(AE104+AE105+AE101+AE98+AE96+AE97)</f>
        <v>129.0617444653987</v>
      </c>
      <c r="AG110" s="94">
        <f t="shared" si="169"/>
        <v>112.67962650987833</v>
      </c>
      <c r="AH110" s="94">
        <f t="shared" si="169"/>
        <v>118.96681193487905</v>
      </c>
      <c r="AI110" s="94">
        <f>(AI116*AH104+AI117*AH105+AI115*AH101+AI113*AH97+AH96*AI112+AI114*AH98)/(AH104+AH105+AH101+AH98+AH96+AH97)</f>
        <v>120.40685498112786</v>
      </c>
      <c r="AJ110" s="94">
        <f t="shared" ref="AJ110:AM110" si="170">(AJ116*AI104+AJ117*AI105+AJ115*AI101+AJ113*AI97+AI96*AJ112+AJ114*AI98)/(AI104+AI105+AI101+AI98+AI96+AI97)</f>
        <v>120.04093618520884</v>
      </c>
      <c r="AK110" s="94">
        <f t="shared" si="170"/>
        <v>116.39986832115231</v>
      </c>
      <c r="AL110" s="94">
        <f t="shared" si="170"/>
        <v>118.39567343191115</v>
      </c>
      <c r="AM110" s="94">
        <f t="shared" si="170"/>
        <v>117.4217988939521</v>
      </c>
      <c r="AN110" s="94">
        <f t="shared" ref="AN110" si="171">(AN116*AM104+AN117*AM105+AN115*AM101+AN113*AM97+AM96*AN112+AN114*AM98)/(AM104+AM105+AM101+AM98+AM96+AM97)</f>
        <v>112.68482845936637</v>
      </c>
      <c r="AO110" s="94">
        <f t="shared" ref="AO110" si="172">(AO116*AN104+AO117*AN105+AO115*AN101+AO113*AN97+AN96*AO112+AO114*AN98)/(AN104+AN105+AN101+AN98+AN96+AN97)</f>
        <v>113.81178219359894</v>
      </c>
      <c r="AP110" s="94">
        <f t="shared" ref="AP110" si="173">(AP116*AO104+AP117*AO105+AP115*AO101+AP113*AO97+AO96*AP112+AP114*AO98)/(AO104+AO105+AO101+AO98+AO96+AO97)</f>
        <v>121.83308251339126</v>
      </c>
      <c r="AS110" t="s">
        <v>690</v>
      </c>
    </row>
    <row r="111" spans="3:45" ht="18.75">
      <c r="C111" s="156" t="s">
        <v>580</v>
      </c>
      <c r="L111" s="852">
        <v>107.75619762862291</v>
      </c>
      <c r="M111" s="852">
        <v>107.71047666461055</v>
      </c>
      <c r="N111" s="852">
        <v>105.0184957800317</v>
      </c>
      <c r="O111" s="852">
        <v>113.73118093230819</v>
      </c>
      <c r="P111" s="269">
        <v>107.9</v>
      </c>
      <c r="Q111" s="269">
        <v>110.6</v>
      </c>
      <c r="R111" s="269">
        <v>124.4</v>
      </c>
      <c r="S111" s="269">
        <v>115.2</v>
      </c>
      <c r="T111" s="269">
        <v>109.4</v>
      </c>
      <c r="U111" s="269">
        <v>101.8</v>
      </c>
      <c r="V111" s="269">
        <v>85</v>
      </c>
      <c r="W111" s="269">
        <v>113</v>
      </c>
      <c r="X111" s="269">
        <v>105</v>
      </c>
      <c r="Y111" s="269">
        <v>104</v>
      </c>
      <c r="Z111" s="269">
        <v>105</v>
      </c>
      <c r="AA111" s="269">
        <v>103.1</v>
      </c>
      <c r="AB111" s="269">
        <v>104.3</v>
      </c>
      <c r="AC111" s="269">
        <v>115.7</v>
      </c>
      <c r="AD111" s="742">
        <v>109.2</v>
      </c>
      <c r="AE111" s="742">
        <v>115.5</v>
      </c>
      <c r="AF111" s="94">
        <f t="shared" ref="AF111:AH111" si="174">SUMPRODUCT(AF112:AF113,AE96:AE97)/SUM(AE96:AE97)</f>
        <v>112.05493921911139</v>
      </c>
      <c r="AG111" s="94">
        <f t="shared" si="174"/>
        <v>112.21996772947476</v>
      </c>
      <c r="AH111" s="94">
        <f t="shared" si="174"/>
        <v>112.53173127954599</v>
      </c>
      <c r="AI111" s="94">
        <f>SUMPRODUCT(AI112:AI113,AH96:AH97)/SUM(AH96:AH97)</f>
        <v>112.28228604199856</v>
      </c>
      <c r="AJ111" s="94">
        <f t="shared" ref="AJ111:AP111" si="175">SUMPRODUCT(AJ112:AJ113,AI96:AI97)/SUM(AI96:AI97)</f>
        <v>112.37725483876014</v>
      </c>
      <c r="AK111" s="94">
        <f t="shared" si="175"/>
        <v>108.36397800257988</v>
      </c>
      <c r="AL111" s="94">
        <f t="shared" si="175"/>
        <v>107.16364745630877</v>
      </c>
      <c r="AM111" s="94">
        <f t="shared" si="175"/>
        <v>106.53569168858334</v>
      </c>
      <c r="AN111" s="94">
        <f t="shared" si="175"/>
        <v>105.05462502640906</v>
      </c>
      <c r="AO111" s="94">
        <f t="shared" si="175"/>
        <v>105.17539525549979</v>
      </c>
      <c r="AP111" s="94">
        <f t="shared" si="175"/>
        <v>105.71554597007987</v>
      </c>
      <c r="AS111" t="s">
        <v>691</v>
      </c>
    </row>
    <row r="112" spans="3:45" ht="18.75">
      <c r="C112" s="168" t="s">
        <v>567</v>
      </c>
      <c r="D112" s="168"/>
      <c r="E112" s="168"/>
      <c r="F112" s="168"/>
      <c r="G112" s="168"/>
      <c r="H112" s="168"/>
      <c r="I112" s="168"/>
      <c r="J112" s="168"/>
      <c r="K112" s="168"/>
      <c r="L112" s="855">
        <v>112.70812054648232</v>
      </c>
      <c r="M112" s="855">
        <v>109.57490556215781</v>
      </c>
      <c r="N112" s="855">
        <v>103.47611135448147</v>
      </c>
      <c r="O112" s="855">
        <v>123.37674983995404</v>
      </c>
      <c r="P112" s="847">
        <v>107.16028434655173</v>
      </c>
      <c r="Q112" s="847">
        <v>110.09000490148026</v>
      </c>
      <c r="R112" s="270">
        <v>113.5896985631628</v>
      </c>
      <c r="S112" s="270">
        <v>113.80106981625077</v>
      </c>
      <c r="T112" s="270">
        <v>114.0566337585924</v>
      </c>
      <c r="U112" s="270">
        <v>101.66358987094934</v>
      </c>
      <c r="V112" s="94">
        <v>99.818532518305716</v>
      </c>
      <c r="W112">
        <f>(Household!V9*Household!W11+Household!V18*Household!W20)/(Household!V9+Household!V18)</f>
        <v>103.63470856690356</v>
      </c>
      <c r="X112">
        <f>(Household!W9*Household!X11+Household!W18*Household!X20)/(Household!W9+Household!W18)</f>
        <v>104.76179294972594</v>
      </c>
      <c r="Y112">
        <f>(Household!X9*Household!Y11+Household!X18*Household!Y20)/(Household!X9+Household!X18)</f>
        <v>106.94157275778329</v>
      </c>
      <c r="Z112">
        <f>(Household!Y9*Household!Z11+Household!Y18*Household!Z20)/(Household!Y9+Household!Y18)</f>
        <v>107.10766286932125</v>
      </c>
      <c r="AA112">
        <f>(Household!Z9*Household!AA11+Household!Z18*Household!AA20)/(Household!Z9+Household!Z18)</f>
        <v>96.01941611150508</v>
      </c>
      <c r="AB112">
        <f>(Household!AA9*Household!AB11+Household!AA18*Household!AB20)/(Household!AA9+Household!AA18)</f>
        <v>109.71002819170359</v>
      </c>
      <c r="AC112">
        <f>(Household!AB9*Household!AC11+Household!AB18*Household!AC20)/(Household!AB9+Household!AB18)</f>
        <v>110.35767333190464</v>
      </c>
      <c r="AD112">
        <f>(Household!AC9*Household!AD11+Household!AC18*Household!AD20)/(Household!AC9+Household!AC18)</f>
        <v>116.17826543268771</v>
      </c>
      <c r="AE112" s="94">
        <f>(Household!AD9*Household!AE11+Household!AD18*Household!AE20)/(Household!AD9+Household!AD18)</f>
        <v>112.32806352702886</v>
      </c>
      <c r="AF112" s="94">
        <f>(Household!AE9*Household!AF11+Household!AE18*Household!AF20)/(Household!AE9+Household!AE18)</f>
        <v>113.50601889566187</v>
      </c>
      <c r="AG112" s="94">
        <f>(Household!AF9*Household!AG11+Household!AF18*Household!AG20)/(Household!AF9+Household!AF18)</f>
        <v>113.29756876736924</v>
      </c>
      <c r="AH112" s="94">
        <f>(Household!AG9*Household!AH11+Household!AG18*Household!AH20)/(Household!AG9+Household!AG18)</f>
        <v>113.51336244954065</v>
      </c>
      <c r="AI112" s="94">
        <f>(Household!AH9*Household!AI11+Household!AH18*Household!AI20)/(Household!AH9+Household!AH18)</f>
        <v>112.94071588952045</v>
      </c>
      <c r="AJ112" s="94">
        <f>(Household!AI9*Household!AJ11+Household!AI18*Household!AJ20)/(Household!AI9+Household!AI18)</f>
        <v>112.74735691290365</v>
      </c>
      <c r="AK112" s="94">
        <f>(Household!AJ9*Household!AK11+Household!AJ18*Household!AK20)/(Household!AJ9+Household!AJ18)</f>
        <v>108.36710817624751</v>
      </c>
      <c r="AL112" s="94">
        <f>(Household!AK9*Household!AL11+Household!AK18*Household!AL20)/(Household!AK9+Household!AK18)</f>
        <v>107.13494524279591</v>
      </c>
      <c r="AM112" s="94">
        <f>(Household!AL9*Household!AM11+Household!AL18*Household!AM20)/(Household!AL9+Household!AL18)</f>
        <v>106.47928199519866</v>
      </c>
      <c r="AN112" s="94">
        <f>(Household!AM9*Household!AN11+Household!AM18*Household!AN20)/(Household!AM9+Household!AM18)</f>
        <v>104.89076837901828</v>
      </c>
      <c r="AO112" s="94">
        <f>(Household!AN9*Household!AO11+Household!AN18*Household!AO20)/(Household!AN9+Household!AN18)</f>
        <v>105.13711847721865</v>
      </c>
      <c r="AP112" s="94">
        <f>(Household!AO9*Household!AP11+Household!AO18*Household!AP20)/(Household!AO9+Household!AO18)</f>
        <v>105.70689689426133</v>
      </c>
      <c r="AS112" t="s">
        <v>692</v>
      </c>
    </row>
    <row r="113" spans="3:64" ht="18.75">
      <c r="C113" s="168" t="s">
        <v>568</v>
      </c>
      <c r="D113" s="168"/>
      <c r="E113" s="168"/>
      <c r="F113" s="168"/>
      <c r="G113" s="168"/>
      <c r="H113" s="168"/>
      <c r="I113" s="168"/>
      <c r="J113" s="168"/>
      <c r="K113" s="168"/>
      <c r="L113" s="855">
        <v>101.4</v>
      </c>
      <c r="M113" s="855">
        <v>105.4</v>
      </c>
      <c r="N113" s="855">
        <v>106.5</v>
      </c>
      <c r="O113" s="855">
        <v>107.8</v>
      </c>
      <c r="P113" s="847">
        <v>110.5</v>
      </c>
      <c r="Q113" s="847">
        <v>106.8</v>
      </c>
      <c r="R113" s="270">
        <v>107.9</v>
      </c>
      <c r="S113" s="270">
        <v>110.4</v>
      </c>
      <c r="T113" s="270">
        <v>107.6</v>
      </c>
      <c r="U113" s="270">
        <v>104.5</v>
      </c>
      <c r="V113" s="270">
        <f t="shared" ref="V113:AB113" si="176">V33</f>
        <v>103.2</v>
      </c>
      <c r="W113" s="270">
        <f t="shared" si="176"/>
        <v>105.2</v>
      </c>
      <c r="X113" s="270">
        <f t="shared" si="176"/>
        <v>106.8</v>
      </c>
      <c r="Y113" s="270">
        <f t="shared" si="176"/>
        <v>104</v>
      </c>
      <c r="Z113" s="270">
        <f t="shared" si="176"/>
        <v>107.1</v>
      </c>
      <c r="AA113" s="270">
        <f t="shared" si="176"/>
        <v>108.8</v>
      </c>
      <c r="AB113" s="270">
        <f t="shared" si="176"/>
        <v>106.6</v>
      </c>
      <c r="AC113" s="270">
        <f t="shared" ref="AC113:AI113" si="177">AC33</f>
        <v>108</v>
      </c>
      <c r="AD113" s="743">
        <f t="shared" si="177"/>
        <v>112.2</v>
      </c>
      <c r="AE113" s="743">
        <f t="shared" si="177"/>
        <v>110.6</v>
      </c>
      <c r="AF113" s="271">
        <f t="shared" si="177"/>
        <v>109.5</v>
      </c>
      <c r="AG113" s="271">
        <f t="shared" si="177"/>
        <v>108.91987241566737</v>
      </c>
      <c r="AH113" s="271">
        <f t="shared" si="177"/>
        <v>108.61303019155473</v>
      </c>
      <c r="AI113" s="271">
        <f t="shared" si="177"/>
        <v>108.27264962165613</v>
      </c>
      <c r="AJ113" s="271">
        <f t="shared" ref="AJ113:AP113" si="178">AJ33</f>
        <v>108.15397849978116</v>
      </c>
      <c r="AK113" s="271">
        <f t="shared" si="178"/>
        <v>108.3135637717354</v>
      </c>
      <c r="AL113" s="271">
        <f t="shared" si="178"/>
        <v>107.60081494935515</v>
      </c>
      <c r="AM113" s="271">
        <f t="shared" si="178"/>
        <v>107.54575403019618</v>
      </c>
      <c r="AN113" s="271">
        <f t="shared" si="178"/>
        <v>107.24871212600701</v>
      </c>
      <c r="AO113" s="271">
        <f t="shared" si="178"/>
        <v>107.00485687696262</v>
      </c>
      <c r="AP113" s="271">
        <f t="shared" si="178"/>
        <v>107.25534688487758</v>
      </c>
      <c r="AS113" t="s">
        <v>693</v>
      </c>
    </row>
    <row r="114" spans="3:64" ht="18.75">
      <c r="C114" s="156" t="s">
        <v>581</v>
      </c>
      <c r="L114" s="855">
        <v>133.528995228832</v>
      </c>
      <c r="M114" s="855">
        <v>86.3821139196248</v>
      </c>
      <c r="N114" s="855">
        <v>89.235446408639888</v>
      </c>
      <c r="O114" s="855">
        <v>94.240434177279568</v>
      </c>
      <c r="P114" s="272">
        <v>106.9</v>
      </c>
      <c r="Q114" s="272">
        <v>100.9</v>
      </c>
      <c r="R114" s="272">
        <v>107.8</v>
      </c>
      <c r="S114" s="272">
        <v>102.1</v>
      </c>
      <c r="T114" s="272">
        <v>102.3</v>
      </c>
      <c r="U114" s="272">
        <v>104.1</v>
      </c>
      <c r="V114" s="272">
        <v>103.3</v>
      </c>
      <c r="W114" s="272">
        <v>101.7</v>
      </c>
      <c r="X114" s="272">
        <v>105.7</v>
      </c>
      <c r="Y114" s="272">
        <v>104.5</v>
      </c>
      <c r="Z114" s="272">
        <v>100.7</v>
      </c>
      <c r="AA114" s="272">
        <v>102.3</v>
      </c>
      <c r="AB114" s="272">
        <v>104.6</v>
      </c>
      <c r="AC114" s="272">
        <v>99.3</v>
      </c>
      <c r="AD114" s="704">
        <v>90.9</v>
      </c>
      <c r="AE114" s="704">
        <v>76.900000000000006</v>
      </c>
      <c r="AF114" s="94">
        <f t="shared" ref="AF114:AH114" si="179">AF98/AE98/(AF96/AE96/AF112)</f>
        <v>110.36651743032651</v>
      </c>
      <c r="AG114" s="94">
        <f t="shared" si="179"/>
        <v>111.34769292304831</v>
      </c>
      <c r="AH114" s="94">
        <f t="shared" si="179"/>
        <v>110.96898288441085</v>
      </c>
      <c r="AI114" s="94">
        <f>AI98/AH98/(AI96/AH96/AI112)</f>
        <v>112.88507641587098</v>
      </c>
      <c r="AJ114" s="94">
        <f t="shared" ref="AJ114:AP114" si="180">AJ98/AI98/(AJ96/AI96/AJ112)</f>
        <v>114.24521870126787</v>
      </c>
      <c r="AK114" s="94">
        <f t="shared" si="180"/>
        <v>114.05068649538003</v>
      </c>
      <c r="AL114" s="94">
        <f t="shared" si="180"/>
        <v>112.94041575631798</v>
      </c>
      <c r="AM114" s="94">
        <f t="shared" si="180"/>
        <v>113.62177433463309</v>
      </c>
      <c r="AN114" s="94">
        <f t="shared" si="180"/>
        <v>105.1911017763268</v>
      </c>
      <c r="AO114" s="94">
        <f t="shared" si="180"/>
        <v>109.09085771279878</v>
      </c>
      <c r="AP114" s="94">
        <f t="shared" si="180"/>
        <v>114.96735118930209</v>
      </c>
      <c r="AS114" t="s">
        <v>694</v>
      </c>
    </row>
    <row r="115" spans="3:64" ht="18.75">
      <c r="C115" s="156" t="s">
        <v>572</v>
      </c>
      <c r="L115" s="160"/>
      <c r="M115" s="852">
        <v>163.97218156858739</v>
      </c>
      <c r="N115" s="852">
        <v>187.0577357327513</v>
      </c>
      <c r="O115" s="852">
        <v>132.71217165093893</v>
      </c>
      <c r="P115" s="269">
        <v>76.8</v>
      </c>
      <c r="Q115" s="269">
        <v>107.5</v>
      </c>
      <c r="R115" s="269">
        <v>113.3</v>
      </c>
      <c r="S115" s="269">
        <v>78.099999999999994</v>
      </c>
      <c r="T115" s="269">
        <v>115.1</v>
      </c>
      <c r="U115" s="269">
        <v>117.6</v>
      </c>
      <c r="V115" s="269">
        <v>125.2</v>
      </c>
      <c r="W115" s="269">
        <v>93.4</v>
      </c>
      <c r="X115" s="269">
        <v>88</v>
      </c>
      <c r="Y115" s="269">
        <v>125.5</v>
      </c>
      <c r="Z115" s="269">
        <v>108.9</v>
      </c>
      <c r="AA115" s="269">
        <v>95.4</v>
      </c>
      <c r="AB115" s="269">
        <v>112</v>
      </c>
      <c r="AC115" s="272">
        <v>111.9</v>
      </c>
      <c r="AD115" s="743">
        <v>90.1</v>
      </c>
      <c r="AE115" s="743">
        <v>107.9</v>
      </c>
      <c r="AF115" s="94">
        <f t="shared" ref="AF115:AH115" si="181">AF102/AE102/0.88*100</f>
        <v>152.77422448653826</v>
      </c>
      <c r="AG115" s="94">
        <f t="shared" si="181"/>
        <v>109.8087649132415</v>
      </c>
      <c r="AH115" s="94">
        <f t="shared" si="181"/>
        <v>129.5133127810216</v>
      </c>
      <c r="AI115" s="94">
        <f>AI102/AH102/0.88*100</f>
        <v>135.42545072889652</v>
      </c>
      <c r="AJ115" s="94">
        <f t="shared" ref="AJ115:AP115" si="182">AJ102/AI102/0.88*100</f>
        <v>132.1562255799326</v>
      </c>
      <c r="AK115" s="94">
        <f t="shared" si="182"/>
        <v>130.15107313364845</v>
      </c>
      <c r="AL115" s="94">
        <f t="shared" si="182"/>
        <v>142.34826650259842</v>
      </c>
      <c r="AM115" s="94">
        <f t="shared" si="182"/>
        <v>131.9644704269061</v>
      </c>
      <c r="AN115" s="94">
        <f t="shared" si="182"/>
        <v>123.07457652755951</v>
      </c>
      <c r="AO115" s="94">
        <f t="shared" si="182"/>
        <v>124.84574288557664</v>
      </c>
      <c r="AP115" s="94">
        <f t="shared" si="182"/>
        <v>142.03910100155377</v>
      </c>
      <c r="AS115" s="46" t="s">
        <v>695</v>
      </c>
    </row>
    <row r="116" spans="3:64" ht="18.75">
      <c r="C116" s="156" t="s">
        <v>575</v>
      </c>
      <c r="L116" s="160"/>
      <c r="M116" s="852">
        <v>131.19999999999999</v>
      </c>
      <c r="N116" s="852">
        <v>127.9</v>
      </c>
      <c r="O116" s="852">
        <v>86</v>
      </c>
      <c r="P116" s="269">
        <v>98</v>
      </c>
      <c r="Q116" s="269">
        <v>123</v>
      </c>
      <c r="R116" s="269">
        <v>101.1</v>
      </c>
      <c r="S116" s="269">
        <v>78.099999999999994</v>
      </c>
      <c r="T116" s="269">
        <v>115.1</v>
      </c>
      <c r="U116" s="269">
        <v>117.6</v>
      </c>
      <c r="V116" s="269">
        <v>125.2</v>
      </c>
      <c r="W116" s="269">
        <v>115.1</v>
      </c>
      <c r="X116" s="269">
        <v>106.8</v>
      </c>
      <c r="Y116" s="269">
        <v>94.8</v>
      </c>
      <c r="Z116" s="269">
        <v>121.5</v>
      </c>
      <c r="AA116" s="269">
        <v>121.8</v>
      </c>
      <c r="AB116" s="269">
        <v>155.4</v>
      </c>
      <c r="AC116" s="272">
        <v>76</v>
      </c>
      <c r="AD116" s="743">
        <v>113.4</v>
      </c>
      <c r="AE116" s="743">
        <v>74.7</v>
      </c>
      <c r="AF116" s="94">
        <f>Trade!AF33</f>
        <v>116.28013063042694</v>
      </c>
      <c r="AG116" s="94">
        <f>Trade!AG33</f>
        <v>103.88041327226118</v>
      </c>
      <c r="AH116" s="94">
        <f>Trade!AH33</f>
        <v>103.82112050743117</v>
      </c>
      <c r="AI116" s="94">
        <f>Trade!AI33</f>
        <v>101.23180736657095</v>
      </c>
      <c r="AJ116" s="94">
        <f>Trade!AJ33</f>
        <v>102.61587274300092</v>
      </c>
      <c r="AK116" s="94">
        <f>Trade!AK33</f>
        <v>101.66728246836846</v>
      </c>
      <c r="AL116" s="94">
        <f>Trade!AL33</f>
        <v>91.844563150593999</v>
      </c>
      <c r="AM116" s="94">
        <f>Trade!AM33</f>
        <v>104.33090998086502</v>
      </c>
      <c r="AN116" s="94">
        <f>Trade!AN33</f>
        <v>108.01094092538014</v>
      </c>
      <c r="AO116" s="94">
        <f>Trade!AO33</f>
        <v>108.12165535380856</v>
      </c>
      <c r="AP116" s="94">
        <f>Trade!AP33</f>
        <v>109.00228519969562</v>
      </c>
      <c r="AS116" t="s">
        <v>696</v>
      </c>
    </row>
    <row r="117" spans="3:64" ht="18.75">
      <c r="C117" s="156" t="s">
        <v>576</v>
      </c>
      <c r="L117" s="160"/>
      <c r="M117" s="852">
        <v>139.6</v>
      </c>
      <c r="N117" s="852">
        <v>127.3</v>
      </c>
      <c r="O117" s="852">
        <v>101.4</v>
      </c>
      <c r="P117" s="269">
        <v>96</v>
      </c>
      <c r="Q117" s="273">
        <v>108</v>
      </c>
      <c r="R117" s="269">
        <v>101.2</v>
      </c>
      <c r="S117" s="269">
        <v>101.2</v>
      </c>
      <c r="T117" s="269">
        <v>101.1</v>
      </c>
      <c r="U117" s="269">
        <v>101.1</v>
      </c>
      <c r="V117" s="269">
        <v>100</v>
      </c>
      <c r="W117" s="269">
        <v>92.5</v>
      </c>
      <c r="X117" s="273">
        <v>93.5</v>
      </c>
      <c r="Y117" s="273">
        <v>109.3</v>
      </c>
      <c r="Z117" s="273">
        <v>106.4</v>
      </c>
      <c r="AA117" s="273">
        <v>99.6</v>
      </c>
      <c r="AB117" s="273">
        <v>120</v>
      </c>
      <c r="AC117" s="272">
        <v>104</v>
      </c>
      <c r="AD117" s="743">
        <v>95.7</v>
      </c>
      <c r="AE117" s="743">
        <v>102.6</v>
      </c>
      <c r="AF117" s="271">
        <v>105</v>
      </c>
      <c r="AG117" s="271">
        <v>106</v>
      </c>
      <c r="AH117" s="271">
        <v>106</v>
      </c>
      <c r="AI117" s="271">
        <v>106</v>
      </c>
      <c r="AJ117" s="271">
        <v>106</v>
      </c>
      <c r="AK117" s="271">
        <v>106</v>
      </c>
      <c r="AL117" s="271">
        <v>106</v>
      </c>
      <c r="AM117" s="271">
        <v>106</v>
      </c>
      <c r="AN117" s="271">
        <v>106</v>
      </c>
      <c r="AO117" s="271">
        <v>106</v>
      </c>
      <c r="AP117" s="271">
        <v>106</v>
      </c>
      <c r="AS117" t="s">
        <v>697</v>
      </c>
    </row>
    <row r="118" spans="3:64">
      <c r="C118" s="162" t="s">
        <v>429</v>
      </c>
      <c r="D118" s="162"/>
      <c r="E118" s="162"/>
      <c r="F118" s="162"/>
      <c r="G118" s="162"/>
      <c r="H118" s="162"/>
      <c r="I118" s="162"/>
      <c r="J118" s="162"/>
      <c r="K118" s="162"/>
      <c r="L118" s="163"/>
      <c r="M118" s="163"/>
      <c r="N118" s="163"/>
      <c r="O118" s="163"/>
      <c r="P118" s="163"/>
      <c r="Q118" s="848"/>
      <c r="R118" s="849"/>
      <c r="S118" s="849"/>
      <c r="T118" s="849"/>
      <c r="U118" s="849"/>
    </row>
    <row r="119" spans="3:64" ht="18.75">
      <c r="C119" s="156" t="s">
        <v>582</v>
      </c>
      <c r="L119" s="850"/>
      <c r="M119" s="856">
        <v>113.39004724082518</v>
      </c>
      <c r="N119" s="856">
        <v>118.88895877243961</v>
      </c>
      <c r="O119" s="856">
        <v>123.00528052915213</v>
      </c>
      <c r="P119" s="856">
        <v>115.78285633609232</v>
      </c>
      <c r="Q119" s="856">
        <v>106.2865602242654</v>
      </c>
      <c r="R119" s="851">
        <v>112.37709813634901</v>
      </c>
      <c r="S119" s="851">
        <v>96.070877661779249</v>
      </c>
      <c r="T119" s="851">
        <v>111.99856813641878</v>
      </c>
      <c r="U119" s="851">
        <v>106.1484102011742</v>
      </c>
      <c r="V119" s="94">
        <v>107.13765007288394</v>
      </c>
      <c r="W119" s="94">
        <f>(+W115*V101+V96*W112+W114*V98)/(V101+V98+V96)</f>
        <v>99.200484082115452</v>
      </c>
      <c r="X119" s="94">
        <f t="shared" ref="X119:AH119" si="183">(+X115*W101+W96*X112+X114*W98)/(W101+W98+W96)</f>
        <v>98.332809836290039</v>
      </c>
      <c r="Y119" s="94">
        <f t="shared" si="183"/>
        <v>112.84611412735578</v>
      </c>
      <c r="Z119" s="94">
        <f t="shared" si="183"/>
        <v>107.05390332900731</v>
      </c>
      <c r="AA119" s="94">
        <f t="shared" si="183"/>
        <v>96.525399918319792</v>
      </c>
      <c r="AB119" s="94">
        <f t="shared" si="183"/>
        <v>109.89760005663085</v>
      </c>
      <c r="AC119" s="94">
        <f>(+AC115*AB101+AB96*AC112+AC114*AB98)/(AB101+AB98+AB96)</f>
        <v>109.65061265424191</v>
      </c>
      <c r="AD119" s="94">
        <f>(+AD115*AC101+AC96*AD112+AD114*AC98)/(AC101+AC98+AC96)</f>
        <v>104.56087418758888</v>
      </c>
      <c r="AE119" s="94">
        <f>(+AE115*AD101+AD96*AE112+AE114*AD98)/(AD101+AD98+AD96)</f>
        <v>107.19884052214401</v>
      </c>
      <c r="AF119" s="94">
        <f t="shared" si="183"/>
        <v>125.58645249671716</v>
      </c>
      <c r="AG119" s="94">
        <f t="shared" si="183"/>
        <v>111.89276695482337</v>
      </c>
      <c r="AH119" s="94">
        <f t="shared" si="183"/>
        <v>118.11708958714604</v>
      </c>
      <c r="AI119" s="94">
        <f>(+AI115*AH101+AH96*AI112+AI114*AH98)/(AH101+AH98+AH96)</f>
        <v>119.68658670218913</v>
      </c>
      <c r="AJ119" s="94">
        <f t="shared" ref="AJ119:AP119" si="184">(+AJ115*AI101+AI96*AJ112+AJ114*AI98)/(AI101+AI98+AI96)</f>
        <v>118.90188118642753</v>
      </c>
      <c r="AK119" s="94">
        <f t="shared" si="184"/>
        <v>115.81207062057</v>
      </c>
      <c r="AL119" s="94">
        <f t="shared" si="184"/>
        <v>119.1910097966805</v>
      </c>
      <c r="AM119" s="94">
        <f t="shared" si="184"/>
        <v>116.29428495176852</v>
      </c>
      <c r="AN119" s="94">
        <f t="shared" si="184"/>
        <v>111.67112638781205</v>
      </c>
      <c r="AO119" s="94">
        <f t="shared" si="184"/>
        <v>112.68167267414022</v>
      </c>
      <c r="AP119" s="94">
        <f t="shared" si="184"/>
        <v>119.83074951777066</v>
      </c>
      <c r="AS119" t="s">
        <v>698</v>
      </c>
    </row>
    <row r="121" spans="3:64"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</row>
    <row r="122" spans="3:64"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AE122" s="271"/>
    </row>
    <row r="124" spans="3:64"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AS124" s="205"/>
      <c r="AT124" s="158"/>
      <c r="AU124" s="158"/>
      <c r="AV124" s="158"/>
      <c r="AW124" s="158"/>
      <c r="AX124" s="158"/>
      <c r="AY124" s="158"/>
      <c r="AZ124" s="158"/>
      <c r="BA124" s="158"/>
      <c r="BB124" s="158"/>
      <c r="BC124" s="158"/>
      <c r="BD124" s="158"/>
      <c r="BE124" s="158"/>
      <c r="BF124" s="158"/>
      <c r="BG124" s="158"/>
      <c r="BH124" s="158"/>
      <c r="BI124" s="158"/>
      <c r="BJ124" s="158"/>
      <c r="BK124" s="158"/>
      <c r="BL124" s="158"/>
    </row>
    <row r="125" spans="3:64">
      <c r="C125" s="171" t="s">
        <v>583</v>
      </c>
      <c r="D125" s="157">
        <v>518.35239999999999</v>
      </c>
      <c r="E125" s="157">
        <v>1025.2112999999999</v>
      </c>
      <c r="F125" s="808">
        <v>1344.9530999999999</v>
      </c>
      <c r="G125" s="156">
        <v>1806.7670000000001</v>
      </c>
      <c r="H125" s="789">
        <v>2564.1</v>
      </c>
      <c r="I125" s="789">
        <v>3391.9000000000005</v>
      </c>
      <c r="J125" s="789">
        <v>4780.2999999999993</v>
      </c>
      <c r="K125" s="789">
        <v>6192.1</v>
      </c>
      <c r="L125" s="789">
        <v>7241.6</v>
      </c>
      <c r="M125" s="789">
        <v>9395.1999999999989</v>
      </c>
      <c r="N125" s="789">
        <v>12854.499999999996</v>
      </c>
      <c r="O125" s="789">
        <v>17787.599999999999</v>
      </c>
      <c r="P125" s="789">
        <v>19995.294865201722</v>
      </c>
      <c r="Q125" s="789">
        <f>Q126+Q127-Q128+Q129-Q130</f>
        <v>24723</v>
      </c>
      <c r="R125" s="789">
        <f>R126+R127-R128+R129-R130</f>
        <v>30138.900000000005</v>
      </c>
      <c r="S125" s="789">
        <f t="shared" ref="S125:AB125" si="185">S126+S127-S128+S129-S130</f>
        <v>36197.4</v>
      </c>
      <c r="T125" s="789">
        <f>T126+T127-T128+T129-T130</f>
        <v>40641.399999999994</v>
      </c>
      <c r="U125" s="789">
        <f t="shared" si="185"/>
        <v>45606.700000000004</v>
      </c>
      <c r="V125" s="789">
        <f t="shared" si="185"/>
        <v>50977.9</v>
      </c>
      <c r="W125" s="789">
        <f t="shared" si="185"/>
        <v>54790.2</v>
      </c>
      <c r="X125" s="789">
        <f t="shared" si="185"/>
        <v>64434.299999999988</v>
      </c>
      <c r="Y125" s="789">
        <f t="shared" si="185"/>
        <v>71059.200000000012</v>
      </c>
      <c r="Z125" s="789">
        <f t="shared" si="185"/>
        <v>79109.8</v>
      </c>
      <c r="AA125" s="789">
        <f t="shared" si="185"/>
        <v>83958.3</v>
      </c>
      <c r="AB125" s="789">
        <f t="shared" si="185"/>
        <v>101076.29999999999</v>
      </c>
      <c r="AC125" s="789">
        <f>AC126+AC127-AC128+AC129-AC130</f>
        <v>118181.7</v>
      </c>
      <c r="AD125" s="789">
        <f>AD126+AD127-AD128+AD129-AD130</f>
        <v>132782</v>
      </c>
      <c r="AE125" s="789">
        <f>AE126+AE127-AE128+AE129-AE130</f>
        <v>155783.9</v>
      </c>
    </row>
    <row r="126" spans="3:64">
      <c r="C126" s="170" t="s">
        <v>584</v>
      </c>
      <c r="D126" s="157">
        <v>333.96069999999997</v>
      </c>
      <c r="E126" s="157">
        <v>648.52970000000005</v>
      </c>
      <c r="F126" s="808">
        <v>855.54700000000003</v>
      </c>
      <c r="G126" s="156">
        <v>1156.3853999999999</v>
      </c>
      <c r="H126" s="858">
        <v>1658.1</v>
      </c>
      <c r="I126" s="858">
        <v>2252.1</v>
      </c>
      <c r="J126" s="858">
        <v>3448.6</v>
      </c>
      <c r="K126" s="858">
        <v>4514.6000000000004</v>
      </c>
      <c r="L126" s="858">
        <v>5251</v>
      </c>
      <c r="M126" s="858">
        <v>6868.4</v>
      </c>
      <c r="N126" s="858">
        <v>9210.9</v>
      </c>
      <c r="O126" s="858">
        <v>12852.8</v>
      </c>
      <c r="P126" s="858">
        <v>15325.9</v>
      </c>
      <c r="Q126" s="857">
        <v>17296.7</v>
      </c>
      <c r="R126" s="857">
        <v>20768.400000000001</v>
      </c>
      <c r="S126" s="857">
        <v>24639.9</v>
      </c>
      <c r="T126" s="857">
        <v>26705.7</v>
      </c>
      <c r="U126" s="170">
        <v>28908.2</v>
      </c>
      <c r="V126">
        <v>34929.9</v>
      </c>
      <c r="W126">
        <v>37383.599999999999</v>
      </c>
      <c r="X126">
        <v>44805.9</v>
      </c>
      <c r="Y126">
        <v>49017.4</v>
      </c>
      <c r="Z126">
        <v>55102.9</v>
      </c>
      <c r="AA126">
        <v>59794.400000000001</v>
      </c>
      <c r="AB126">
        <v>71966.7</v>
      </c>
      <c r="AC126">
        <v>82452.800000000003</v>
      </c>
      <c r="AD126">
        <v>91281.2</v>
      </c>
      <c r="AE126">
        <v>106825.60000000001</v>
      </c>
    </row>
    <row r="127" spans="3:64">
      <c r="C127" s="170" t="s">
        <v>585</v>
      </c>
      <c r="D127" s="157">
        <v>118.83020000000002</v>
      </c>
      <c r="E127" s="157">
        <v>275.4797999999999</v>
      </c>
      <c r="F127" s="808">
        <v>362.31309999999991</v>
      </c>
      <c r="G127" s="156">
        <v>431.79430000000013</v>
      </c>
      <c r="H127" s="859">
        <v>1194.7</v>
      </c>
      <c r="I127" s="859">
        <v>1405.7</v>
      </c>
      <c r="J127" s="859">
        <v>1913.2</v>
      </c>
      <c r="K127" s="859">
        <v>2807.5</v>
      </c>
      <c r="L127" s="859">
        <v>3148.1</v>
      </c>
      <c r="M127" s="859">
        <v>4768.3999999999996</v>
      </c>
      <c r="N127" s="859">
        <v>5980.2</v>
      </c>
      <c r="O127" s="859">
        <v>10129</v>
      </c>
      <c r="P127" s="859">
        <v>8085</v>
      </c>
      <c r="Q127" s="857">
        <v>10452.700000000001</v>
      </c>
      <c r="R127" s="857">
        <v>10841.8</v>
      </c>
      <c r="S127" s="857">
        <v>15027.3</v>
      </c>
      <c r="T127" s="857">
        <v>23449</v>
      </c>
      <c r="U127" s="170">
        <v>23121.200000000001</v>
      </c>
      <c r="V127">
        <v>18383.900000000001</v>
      </c>
      <c r="W127">
        <v>19345.2</v>
      </c>
      <c r="X127">
        <v>23675.8</v>
      </c>
      <c r="Y127">
        <v>25377.599999999999</v>
      </c>
      <c r="Z127">
        <v>27759.9</v>
      </c>
      <c r="AA127">
        <v>28359.8</v>
      </c>
      <c r="AB127">
        <v>37372.199999999997</v>
      </c>
      <c r="AC127">
        <v>57482.6</v>
      </c>
      <c r="AD127" s="93">
        <f>18845.2+AD128</f>
        <v>53979.5</v>
      </c>
      <c r="AE127" s="93">
        <f>23641.2+AE128</f>
        <v>75089.899999999994</v>
      </c>
    </row>
    <row r="128" spans="3:64" ht="18.75">
      <c r="C128" s="170" t="s">
        <v>586</v>
      </c>
      <c r="D128" s="796" t="e">
        <v>#REF!</v>
      </c>
      <c r="E128" s="796" t="e">
        <v>#REF!</v>
      </c>
      <c r="F128" s="805" t="e">
        <v>#REF!</v>
      </c>
      <c r="G128" s="802" t="e">
        <v>#REF!</v>
      </c>
      <c r="H128" s="859">
        <v>594.29999999999995</v>
      </c>
      <c r="I128" s="859">
        <v>710.7</v>
      </c>
      <c r="J128" s="859">
        <v>1251.3</v>
      </c>
      <c r="K128" s="859">
        <v>1975.4</v>
      </c>
      <c r="L128" s="859">
        <v>2134.6</v>
      </c>
      <c r="M128" s="859">
        <v>3494.6</v>
      </c>
      <c r="N128" s="859">
        <v>4234.5</v>
      </c>
      <c r="O128" s="859">
        <v>7967.4</v>
      </c>
      <c r="P128" s="858">
        <v>5203.8</v>
      </c>
      <c r="Q128" s="274">
        <v>6902.5</v>
      </c>
      <c r="R128" s="274">
        <v>6570.9</v>
      </c>
      <c r="S128" s="274">
        <v>9751.6</v>
      </c>
      <c r="T128" s="274">
        <v>16880.8</v>
      </c>
      <c r="U128" s="274">
        <v>15462.8</v>
      </c>
      <c r="V128" s="274">
        <v>10044.9</v>
      </c>
      <c r="W128" s="275">
        <v>10242.4</v>
      </c>
      <c r="X128" s="275">
        <v>13528.8</v>
      </c>
      <c r="Y128" s="275">
        <v>13957.4</v>
      </c>
      <c r="Z128" s="275">
        <v>15415.3</v>
      </c>
      <c r="AA128" s="275">
        <v>15724.9</v>
      </c>
      <c r="AB128" s="275">
        <v>22981.1</v>
      </c>
      <c r="AC128" s="275">
        <v>41149.9</v>
      </c>
      <c r="AD128" s="744">
        <v>35134.300000000003</v>
      </c>
      <c r="AE128" s="744">
        <v>51448.7</v>
      </c>
      <c r="AF128">
        <f>AE128*gateway!AF27/gateway!AE27*Assumptions!AF12/Assumptions!AE12</f>
        <v>36489.614659299761</v>
      </c>
      <c r="AG128">
        <f>AF128*gateway!AG27/gateway!AF27*Assumptions!AG12/Assumptions!AF12</f>
        <v>32237.593918490285</v>
      </c>
      <c r="AH128">
        <f>AG128*gateway!AH27/gateway!AG27*Assumptions!AH12/Assumptions!AG12</f>
        <v>30612.011241110071</v>
      </c>
      <c r="AI128">
        <f>AH128*gateway!AI27/gateway!AH27*Assumptions!AI12/Assumptions!AH12</f>
        <v>28916.616261591214</v>
      </c>
      <c r="AJ128">
        <f>AI128*gateway!AJ27/gateway!AI27*Assumptions!AJ12/Assumptions!AI12</f>
        <v>30537.725313593481</v>
      </c>
      <c r="AK128">
        <f>AJ128*gateway!AK27/gateway!AJ27*Assumptions!AK12/Assumptions!AJ12</f>
        <v>31990.618025492171</v>
      </c>
      <c r="AL128">
        <f>AK128*gateway!AL27/gateway!AK27*Assumptions!AL12/Assumptions!AK12</f>
        <v>34009.710759704496</v>
      </c>
      <c r="AM128">
        <f>AL128*gateway!AM27/gateway!AL27*Assumptions!AM12/Assumptions!AL12</f>
        <v>35888.415248195335</v>
      </c>
      <c r="AN128">
        <f>AM128*gateway!AN27/gateway!AM27*Assumptions!AN12/Assumptions!AM12</f>
        <v>37190.336693696758</v>
      </c>
      <c r="AO128">
        <f>AN128*gateway!AO27/gateway!AN27*Assumptions!AO12/Assumptions!AN12</f>
        <v>38892.465405861243</v>
      </c>
      <c r="AP128">
        <f>AO128*gateway!AP27/gateway!AO27*Assumptions!AP12/Assumptions!AO12</f>
        <v>40827.852507784606</v>
      </c>
      <c r="AS128" t="s">
        <v>699</v>
      </c>
    </row>
    <row r="129" spans="3:42">
      <c r="C129" s="170" t="s">
        <v>587</v>
      </c>
      <c r="D129" s="157">
        <v>67.119299999999996</v>
      </c>
      <c r="E129" s="157">
        <v>102.39490000000001</v>
      </c>
      <c r="F129" s="808">
        <v>135.1309</v>
      </c>
      <c r="G129" s="156">
        <v>223.08080000000001</v>
      </c>
      <c r="H129" s="859">
        <v>311.7</v>
      </c>
      <c r="I129" s="859">
        <v>436.9</v>
      </c>
      <c r="J129" s="859">
        <v>660.4</v>
      </c>
      <c r="K129" s="859">
        <v>833.1</v>
      </c>
      <c r="L129" s="859">
        <v>960.1</v>
      </c>
      <c r="M129" s="859">
        <v>1228.7</v>
      </c>
      <c r="N129" s="859">
        <v>1872.8</v>
      </c>
      <c r="O129" s="859">
        <v>2735.9</v>
      </c>
      <c r="P129" s="860">
        <v>3182</v>
      </c>
      <c r="Q129" s="276">
        <v>3925.3</v>
      </c>
      <c r="R129" s="276">
        <v>5161.8999999999996</v>
      </c>
      <c r="S129" s="276">
        <v>6370</v>
      </c>
      <c r="T129" s="276">
        <v>7457.3</v>
      </c>
      <c r="U129" s="276">
        <v>9139.4</v>
      </c>
      <c r="V129" s="276">
        <v>7792.4</v>
      </c>
      <c r="W129" s="276">
        <v>8398.7999999999993</v>
      </c>
      <c r="X129" s="214">
        <v>9612.2000000000007</v>
      </c>
      <c r="Y129" s="214">
        <v>10734</v>
      </c>
      <c r="Z129" s="214">
        <v>11796.7</v>
      </c>
      <c r="AA129" s="214">
        <v>11704.3</v>
      </c>
      <c r="AB129" s="214">
        <v>14902.8</v>
      </c>
      <c r="AC129" s="214">
        <v>19666.8</v>
      </c>
      <c r="AD129" s="745">
        <v>22901.8</v>
      </c>
      <c r="AE129" s="745">
        <v>25616.6</v>
      </c>
    </row>
    <row r="130" spans="3:42">
      <c r="C130" s="170" t="s">
        <v>588</v>
      </c>
      <c r="D130" s="157">
        <v>1.5578000000000001</v>
      </c>
      <c r="E130" s="157">
        <v>1.1931</v>
      </c>
      <c r="F130" s="808">
        <v>8.0379000000000005</v>
      </c>
      <c r="G130" s="156">
        <v>4.4935</v>
      </c>
      <c r="H130" s="859">
        <v>6.1</v>
      </c>
      <c r="I130" s="859">
        <v>7.9</v>
      </c>
      <c r="J130" s="859">
        <v>9.4</v>
      </c>
      <c r="K130" s="859">
        <v>12.3</v>
      </c>
      <c r="L130" s="859">
        <v>17</v>
      </c>
      <c r="M130" s="859">
        <v>24.3</v>
      </c>
      <c r="N130" s="859">
        <v>25.1</v>
      </c>
      <c r="O130" s="859">
        <v>37.299999999999997</v>
      </c>
      <c r="P130" s="860">
        <v>51</v>
      </c>
      <c r="Q130" s="276">
        <v>49.2</v>
      </c>
      <c r="R130" s="276">
        <v>62.3</v>
      </c>
      <c r="S130" s="276">
        <v>88.2</v>
      </c>
      <c r="T130" s="276">
        <v>89.8</v>
      </c>
      <c r="U130" s="276">
        <v>99.3</v>
      </c>
      <c r="V130" s="276">
        <v>83.4</v>
      </c>
      <c r="W130" s="276">
        <v>95</v>
      </c>
      <c r="X130" s="214">
        <v>130.80000000000001</v>
      </c>
      <c r="Y130" s="214">
        <v>112.4</v>
      </c>
      <c r="Z130" s="214">
        <v>134.4</v>
      </c>
      <c r="AA130" s="214">
        <v>175.3</v>
      </c>
      <c r="AB130" s="214">
        <v>184.3</v>
      </c>
      <c r="AC130" s="214">
        <v>270.60000000000002</v>
      </c>
      <c r="AD130" s="745">
        <v>246.2</v>
      </c>
      <c r="AE130" s="745">
        <v>299.5</v>
      </c>
    </row>
    <row r="131" spans="3:42"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</row>
    <row r="132" spans="3:42"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</row>
    <row r="133" spans="3:42">
      <c r="C133" s="160" t="s">
        <v>589</v>
      </c>
      <c r="D133" s="277"/>
      <c r="E133" s="277"/>
      <c r="F133" s="277"/>
      <c r="G133" s="277"/>
      <c r="H133" s="277"/>
      <c r="I133" s="277"/>
      <c r="J133" s="277">
        <f t="shared" ref="J133:U133" si="186">J95/J93</f>
        <v>0.87636915215793332</v>
      </c>
      <c r="K133" s="277">
        <f t="shared" si="186"/>
        <v>0.86856302338824753</v>
      </c>
      <c r="L133" s="277">
        <f t="shared" si="186"/>
        <v>0.9226038493852855</v>
      </c>
      <c r="M133" s="277">
        <f t="shared" si="186"/>
        <v>1.0052964383190686</v>
      </c>
      <c r="N133" s="277">
        <f t="shared" si="186"/>
        <v>1.2027456460720227</v>
      </c>
      <c r="O133" s="277">
        <f t="shared" si="186"/>
        <v>0.85531628913022595</v>
      </c>
      <c r="P133" s="277">
        <f t="shared" si="186"/>
        <v>0.8534247903436909</v>
      </c>
      <c r="Q133" s="277">
        <f t="shared" si="186"/>
        <v>0.83850795925057964</v>
      </c>
      <c r="R133" s="277">
        <f t="shared" si="186"/>
        <v>0.96224281785501697</v>
      </c>
      <c r="S133" s="277">
        <f t="shared" si="186"/>
        <v>0.75787473972087582</v>
      </c>
      <c r="T133" s="277">
        <f t="shared" si="186"/>
        <v>1.0204736805740626</v>
      </c>
      <c r="U133" s="277">
        <f t="shared" si="186"/>
        <v>0.96657062793543047</v>
      </c>
      <c r="V133" s="277">
        <f t="shared" ref="V133:AH133" si="187">V95/V93</f>
        <v>0.70625414399322062</v>
      </c>
      <c r="W133" s="277">
        <f t="shared" si="187"/>
        <v>0.78882210902294758</v>
      </c>
      <c r="X133" s="277">
        <f t="shared" si="187"/>
        <v>0.79925443436182275</v>
      </c>
      <c r="Y133" s="277">
        <f t="shared" si="187"/>
        <v>0.75906708772403853</v>
      </c>
      <c r="Z133" s="277">
        <f t="shared" si="187"/>
        <v>0.75749148651620923</v>
      </c>
      <c r="AA133" s="277">
        <f t="shared" si="187"/>
        <v>0.76923901508248738</v>
      </c>
      <c r="AB133" s="277">
        <f t="shared" si="187"/>
        <v>0.7952121318251657</v>
      </c>
      <c r="AC133" s="277">
        <f t="shared" si="187"/>
        <v>0.86913456144225365</v>
      </c>
      <c r="AD133" s="277">
        <f t="shared" si="187"/>
        <v>0.8898818287733492</v>
      </c>
      <c r="AE133" s="277">
        <f t="shared" si="187"/>
        <v>0.92100659952665198</v>
      </c>
      <c r="AF133" s="277">
        <f t="shared" si="187"/>
        <v>0.80811277947110094</v>
      </c>
      <c r="AG133" s="277">
        <f t="shared" si="187"/>
        <v>0.78437675893470782</v>
      </c>
      <c r="AH133" s="277">
        <f t="shared" si="187"/>
        <v>0.7568775080353185</v>
      </c>
      <c r="AI133" s="277">
        <f>AI95/AI93</f>
        <v>0.71623124712812736</v>
      </c>
      <c r="AJ133" s="277">
        <f t="shared" ref="AJ133:AP133" si="188">AJ95/AJ93</f>
        <v>0.69322755039641026</v>
      </c>
      <c r="AK133" s="277">
        <f t="shared" si="188"/>
        <v>0.6728236574561941</v>
      </c>
      <c r="AL133" s="277">
        <f t="shared" si="188"/>
        <v>0.64011905041303607</v>
      </c>
      <c r="AM133" s="277">
        <f t="shared" si="188"/>
        <v>0.62040000237894422</v>
      </c>
      <c r="AN133" s="277">
        <f t="shared" si="188"/>
        <v>0.60161836570511829</v>
      </c>
      <c r="AO133" s="277">
        <f t="shared" si="188"/>
        <v>0.58559287189424325</v>
      </c>
      <c r="AP133" s="277">
        <f t="shared" si="188"/>
        <v>0.57052743641521486</v>
      </c>
    </row>
    <row r="134" spans="3:42">
      <c r="C134" s="160" t="s">
        <v>590</v>
      </c>
      <c r="D134" s="277"/>
      <c r="E134" s="277"/>
      <c r="F134" s="277"/>
      <c r="G134" s="277"/>
      <c r="H134" s="277"/>
      <c r="I134" s="277"/>
      <c r="J134" s="277">
        <f t="shared" ref="J134:U134" si="189">J98/J93</f>
        <v>0.12183135566523155</v>
      </c>
      <c r="K134" s="277">
        <f t="shared" si="189"/>
        <v>0.1178492670904138</v>
      </c>
      <c r="L134" s="277">
        <f t="shared" si="189"/>
        <v>0.14601892709460773</v>
      </c>
      <c r="M134" s="277">
        <f t="shared" si="189"/>
        <v>0.11104088781292511</v>
      </c>
      <c r="N134" s="277">
        <f t="shared" si="189"/>
        <v>8.9040400490460234E-2</v>
      </c>
      <c r="O134" s="277">
        <f t="shared" si="189"/>
        <v>9.333649594225979E-2</v>
      </c>
      <c r="P134" s="277">
        <f t="shared" si="189"/>
        <v>0.12462067962576956</v>
      </c>
      <c r="Q134" s="277">
        <f t="shared" si="189"/>
        <v>0.11326703660081514</v>
      </c>
      <c r="R134" s="277">
        <f t="shared" si="189"/>
        <v>0.13653308325934202</v>
      </c>
      <c r="S134" s="277">
        <f t="shared" si="189"/>
        <v>0.12841819423666667</v>
      </c>
      <c r="T134" s="277">
        <f t="shared" si="189"/>
        <v>0.13207090896528581</v>
      </c>
      <c r="U134" s="277">
        <f t="shared" si="189"/>
        <v>0.13851284682480169</v>
      </c>
      <c r="V134" s="277">
        <f t="shared" ref="V134:AH134" si="190">V98/V93</f>
        <v>0.11559043811571404</v>
      </c>
      <c r="W134" s="277">
        <f t="shared" si="190"/>
        <v>0.11756825569489492</v>
      </c>
      <c r="X134" s="277">
        <f t="shared" si="190"/>
        <v>0.11386482044501142</v>
      </c>
      <c r="Y134" s="277">
        <f t="shared" si="190"/>
        <v>0.11221066378456274</v>
      </c>
      <c r="Z134" s="277">
        <f t="shared" si="190"/>
        <v>0.11154496661601977</v>
      </c>
      <c r="AA134" s="277">
        <f t="shared" si="190"/>
        <v>0.11568004592756165</v>
      </c>
      <c r="AB134" s="277">
        <f t="shared" si="190"/>
        <v>0.10884252787250817</v>
      </c>
      <c r="AC134" s="277">
        <f t="shared" si="190"/>
        <v>0.10135071673533211</v>
      </c>
      <c r="AD134" s="277">
        <f t="shared" si="190"/>
        <v>0.10662221281665647</v>
      </c>
      <c r="AE134" s="277">
        <f t="shared" si="190"/>
        <v>0.11299306282613288</v>
      </c>
      <c r="AF134" s="277">
        <f t="shared" si="190"/>
        <v>0.113944332925556</v>
      </c>
      <c r="AG134" s="277">
        <f t="shared" si="190"/>
        <v>0.1153033342544785</v>
      </c>
      <c r="AH134" s="277">
        <f t="shared" si="190"/>
        <v>0.11682848292359807</v>
      </c>
      <c r="AI134" s="277">
        <f>AI98/AI93</f>
        <v>0.11828010177116766</v>
      </c>
      <c r="AJ134" s="277">
        <f t="shared" ref="AJ134:AP134" si="191">AJ98/AJ93</f>
        <v>0.11879213336277224</v>
      </c>
      <c r="AK134" s="277">
        <f t="shared" si="191"/>
        <v>0.12093663431756943</v>
      </c>
      <c r="AL134" s="277">
        <f t="shared" si="191"/>
        <v>0.12241959109645585</v>
      </c>
      <c r="AM134" s="277">
        <f t="shared" si="191"/>
        <v>0.12438847184345705</v>
      </c>
      <c r="AN134" s="277">
        <f t="shared" si="191"/>
        <v>0.12733799160456716</v>
      </c>
      <c r="AO134" s="277">
        <f t="shared" si="191"/>
        <v>0.13056450069872649</v>
      </c>
      <c r="AP134" s="277">
        <f t="shared" si="191"/>
        <v>0.13367569503259497</v>
      </c>
    </row>
    <row r="135" spans="3:42">
      <c r="C135" s="160" t="s">
        <v>591</v>
      </c>
      <c r="D135" s="278"/>
      <c r="E135" s="278"/>
      <c r="F135" s="278"/>
      <c r="G135" s="278"/>
      <c r="H135" s="278"/>
      <c r="I135" s="278"/>
      <c r="J135" s="278">
        <f t="shared" ref="J135:U135" si="192">J102/J93</f>
        <v>8.0352829990549199E-2</v>
      </c>
      <c r="K135" s="278">
        <f t="shared" si="192"/>
        <v>0.10377480866519653</v>
      </c>
      <c r="L135" s="278">
        <f t="shared" si="192"/>
        <v>0.11118974273582549</v>
      </c>
      <c r="M135" s="278">
        <f t="shared" si="192"/>
        <v>0.15482094844300662</v>
      </c>
      <c r="N135" s="278">
        <f t="shared" si="192"/>
        <v>0.23225791335723159</v>
      </c>
      <c r="O135" s="278">
        <f t="shared" si="192"/>
        <v>0.2451812570240979</v>
      </c>
      <c r="P135" s="278">
        <f t="shared" si="192"/>
        <v>0.26292597799214695</v>
      </c>
      <c r="Q135" s="278">
        <f t="shared" si="192"/>
        <v>0.24489316836051175</v>
      </c>
      <c r="R135" s="278">
        <f t="shared" si="192"/>
        <v>0.28592901490135053</v>
      </c>
      <c r="S135" s="278">
        <f t="shared" si="192"/>
        <v>0.21723248283471275</v>
      </c>
      <c r="T135" s="278">
        <f t="shared" si="192"/>
        <v>0.24025297839369084</v>
      </c>
      <c r="U135" s="278">
        <f t="shared" si="192"/>
        <v>0.25832883836988507</v>
      </c>
      <c r="V135" s="278">
        <f t="shared" ref="V135:AH135" si="193">V102/V93</f>
        <v>0.3871696084931755</v>
      </c>
      <c r="W135" s="278">
        <f t="shared" si="193"/>
        <v>0.40069136325225452</v>
      </c>
      <c r="X135" s="278">
        <f t="shared" si="193"/>
        <v>0.31245780585806004</v>
      </c>
      <c r="Y135" s="278">
        <f t="shared" si="193"/>
        <v>0.35388521120417904</v>
      </c>
      <c r="Z135" s="278">
        <f t="shared" si="193"/>
        <v>0.31508864894109201</v>
      </c>
      <c r="AA135" s="278">
        <f t="shared" si="193"/>
        <v>0.27573688366724913</v>
      </c>
      <c r="AB135" s="278">
        <f t="shared" si="193"/>
        <v>0.31970204686954307</v>
      </c>
      <c r="AC135" s="278">
        <f t="shared" si="193"/>
        <v>0.31705331705331702</v>
      </c>
      <c r="AD135" s="278">
        <f>AD102/AD93</f>
        <v>0.28300393351804726</v>
      </c>
      <c r="AE135" s="278">
        <f t="shared" si="193"/>
        <v>0.30240994095025225</v>
      </c>
      <c r="AF135" s="278">
        <f t="shared" si="193"/>
        <v>0.35799496574613515</v>
      </c>
      <c r="AG135" s="278">
        <f t="shared" si="193"/>
        <v>0.30616978339170769</v>
      </c>
      <c r="AH135" s="278">
        <f t="shared" si="193"/>
        <v>0.30938840498221848</v>
      </c>
      <c r="AI135" s="278">
        <f>AI102/AI93</f>
        <v>0.32649381971488028</v>
      </c>
      <c r="AJ135" s="278">
        <f t="shared" ref="AJ135:AP135" si="194">AJ102/AJ93</f>
        <v>0.33227310047598807</v>
      </c>
      <c r="AK135" s="278">
        <f t="shared" si="194"/>
        <v>0.33966497586036498</v>
      </c>
      <c r="AL135" s="278">
        <f t="shared" si="194"/>
        <v>0.37657254881195945</v>
      </c>
      <c r="AM135" s="278">
        <f t="shared" si="194"/>
        <v>0.38909640220944131</v>
      </c>
      <c r="AN135" s="278">
        <f t="shared" si="194"/>
        <v>0.37890112027389761</v>
      </c>
      <c r="AO135" s="278">
        <f t="shared" si="194"/>
        <v>0.37499585569819738</v>
      </c>
      <c r="AP135" s="278">
        <f t="shared" si="194"/>
        <v>0.42122748546352229</v>
      </c>
    </row>
    <row r="136" spans="3:42"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</row>
    <row r="137" spans="3:42"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</row>
    <row r="139" spans="3:42">
      <c r="V139">
        <v>2015</v>
      </c>
      <c r="W139">
        <v>2016</v>
      </c>
      <c r="X139">
        <v>2017</v>
      </c>
      <c r="Y139">
        <v>2018</v>
      </c>
      <c r="Z139">
        <v>2019</v>
      </c>
      <c r="AA139">
        <v>2020</v>
      </c>
      <c r="AB139">
        <v>2021</v>
      </c>
      <c r="AC139">
        <v>2022</v>
      </c>
      <c r="AD139">
        <v>2023</v>
      </c>
      <c r="AE139">
        <v>2024</v>
      </c>
      <c r="AF139">
        <v>2025</v>
      </c>
      <c r="AG139">
        <v>2026</v>
      </c>
      <c r="AH139">
        <v>2027</v>
      </c>
      <c r="AI139">
        <v>2028</v>
      </c>
      <c r="AJ139">
        <v>2029</v>
      </c>
      <c r="AK139">
        <v>2030</v>
      </c>
      <c r="AL139">
        <v>2031</v>
      </c>
      <c r="AM139">
        <v>2032</v>
      </c>
      <c r="AN139">
        <v>2033</v>
      </c>
      <c r="AO139">
        <v>2034</v>
      </c>
      <c r="AP139">
        <v>2035</v>
      </c>
    </row>
    <row r="140" spans="3:42">
      <c r="V140">
        <v>50977.399999999994</v>
      </c>
      <c r="W140">
        <v>54790.299999999996</v>
      </c>
      <c r="X140">
        <v>64434.3</v>
      </c>
      <c r="Y140">
        <v>71059.199999999997</v>
      </c>
      <c r="Z140">
        <v>79109.799999999988</v>
      </c>
      <c r="AA140">
        <v>83958.3</v>
      </c>
      <c r="AB140">
        <v>101076.30000000002</v>
      </c>
      <c r="AC140">
        <v>118181.70000000001</v>
      </c>
      <c r="AD140">
        <v>132781.90000000002</v>
      </c>
      <c r="AE140">
        <v>155783.9</v>
      </c>
      <c r="AF140">
        <v>176919</v>
      </c>
      <c r="AG140" s="85">
        <v>197133.36109253703</v>
      </c>
      <c r="AH140" s="85">
        <v>222553.49157880465</v>
      </c>
      <c r="AI140" s="85">
        <v>251180.3253733537</v>
      </c>
      <c r="AJ140" s="85">
        <v>285665.63747641945</v>
      </c>
      <c r="AK140" s="85">
        <v>325113.48970921582</v>
      </c>
      <c r="AL140" s="85">
        <v>364354.00019474875</v>
      </c>
      <c r="AM140" s="85">
        <v>407459.96310146258</v>
      </c>
      <c r="AN140">
        <v>448641.00206945452</v>
      </c>
      <c r="AO140">
        <v>500924.19925089169</v>
      </c>
      <c r="AP140">
        <v>561735.19072854589</v>
      </c>
    </row>
    <row r="141" spans="3:42">
      <c r="W141" s="46">
        <f>W140-V140</f>
        <v>3812.9000000000015</v>
      </c>
      <c r="X141" s="46">
        <f t="shared" ref="X141:AP141" si="195">X140-W140</f>
        <v>9644.0000000000073</v>
      </c>
      <c r="Y141" s="46">
        <f t="shared" si="195"/>
        <v>6624.8999999999942</v>
      </c>
      <c r="Z141" s="46">
        <f t="shared" si="195"/>
        <v>8050.5999999999913</v>
      </c>
      <c r="AA141" s="46">
        <f t="shared" si="195"/>
        <v>4848.5000000000146</v>
      </c>
      <c r="AB141" s="46">
        <f t="shared" si="195"/>
        <v>17118.000000000015</v>
      </c>
      <c r="AC141" s="46">
        <f t="shared" si="195"/>
        <v>17105.399999999994</v>
      </c>
      <c r="AD141" s="46">
        <f t="shared" ref="AD141:AF141" si="196">AD140-AC140</f>
        <v>14600.200000000012</v>
      </c>
      <c r="AE141" s="46">
        <f t="shared" si="196"/>
        <v>23001.999999999971</v>
      </c>
      <c r="AF141" s="46">
        <f t="shared" si="196"/>
        <v>21135.100000000006</v>
      </c>
      <c r="AG141" s="46">
        <f>AG140-AF140</f>
        <v>20214.36109253703</v>
      </c>
      <c r="AH141" s="46">
        <f>AH140-AG140</f>
        <v>25420.130486267619</v>
      </c>
      <c r="AI141" s="46">
        <f>AI140-AH140</f>
        <v>28626.833794549049</v>
      </c>
      <c r="AJ141" s="46">
        <f>AJ140-AI140</f>
        <v>34485.312103065749</v>
      </c>
      <c r="AK141" s="46">
        <f t="shared" si="195"/>
        <v>39447.852232796373</v>
      </c>
      <c r="AL141" s="46">
        <f>AL140-AK140</f>
        <v>39240.510485532926</v>
      </c>
      <c r="AM141" s="46">
        <f>AM140-AL140</f>
        <v>43105.96290671383</v>
      </c>
      <c r="AN141" s="46">
        <f t="shared" si="195"/>
        <v>41181.038967991946</v>
      </c>
      <c r="AO141" s="46">
        <f t="shared" si="195"/>
        <v>52283.197181437165</v>
      </c>
      <c r="AP141" s="46">
        <f t="shared" si="195"/>
        <v>60810.991477654199</v>
      </c>
    </row>
    <row r="142" spans="3:42">
      <c r="AF142" s="94">
        <f>AF140-AE2</f>
        <v>21135.100000000006</v>
      </c>
    </row>
    <row r="145" spans="32:42">
      <c r="AF145" s="447">
        <v>173423.84277369303</v>
      </c>
      <c r="AG145" s="447">
        <v>195459.65593619589</v>
      </c>
      <c r="AH145" s="447">
        <v>221947.31715478675</v>
      </c>
      <c r="AI145" s="447">
        <v>250924.59826628535</v>
      </c>
      <c r="AJ145" s="447">
        <v>285257.47851163207</v>
      </c>
      <c r="AK145" s="447">
        <v>325079.10980638064</v>
      </c>
      <c r="AL145" s="447">
        <v>357321.76495177788</v>
      </c>
      <c r="AM145" s="447">
        <v>401870.58608060336</v>
      </c>
      <c r="AN145" s="447">
        <v>448641.00206945452</v>
      </c>
      <c r="AO145" s="447">
        <v>500924.19925089169</v>
      </c>
      <c r="AP145" s="447">
        <v>561735.19072854589</v>
      </c>
    </row>
    <row r="146" spans="32:42">
      <c r="AF146" s="149">
        <v>108.23402606435066</v>
      </c>
      <c r="AG146" s="149">
        <v>108.45979031335237</v>
      </c>
      <c r="AH146" s="149">
        <v>108.2753822020864</v>
      </c>
      <c r="AI146" s="149">
        <v>108.57389222212439</v>
      </c>
      <c r="AJ146" s="149">
        <v>109.03082677417264</v>
      </c>
      <c r="AK146" s="149">
        <v>109.6</v>
      </c>
    </row>
    <row r="147" spans="32:42">
      <c r="AG147" s="447">
        <f>AG145-AF145</f>
        <v>22035.813162502862</v>
      </c>
      <c r="AH147" s="447">
        <f t="shared" ref="AH147:AI147" si="197">AH145-AG145</f>
        <v>26487.66121859086</v>
      </c>
      <c r="AI147" s="447">
        <f t="shared" si="197"/>
        <v>28977.281111498596</v>
      </c>
      <c r="AJ147" s="447">
        <f>AJ145-AI145</f>
        <v>34332.880245346721</v>
      </c>
      <c r="AK147" s="447">
        <f>AK145-AJ145</f>
        <v>39821.631294748571</v>
      </c>
      <c r="AL147" s="447">
        <f>AL145-AK145</f>
        <v>32242.655145397235</v>
      </c>
      <c r="AM147" s="447">
        <f t="shared" ref="AM147:AP147" si="198">AM145-AL145</f>
        <v>44548.821128825482</v>
      </c>
      <c r="AN147" s="447">
        <f t="shared" si="198"/>
        <v>46770.415988851164</v>
      </c>
      <c r="AO147" s="447">
        <f t="shared" si="198"/>
        <v>52283.197181437165</v>
      </c>
      <c r="AP147" s="447">
        <f t="shared" si="198"/>
        <v>60810.991477654199</v>
      </c>
    </row>
  </sheetData>
  <pageMargins left="0.11811023622047245" right="0.11811023622047245" top="0.15748031496062992" bottom="0" header="0.31496062992125984" footer="0.31496062992125984"/>
  <pageSetup paperSize="9" scale="8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9123-D471-432A-8A7B-1E50C6F1D959}">
  <dimension ref="B1:AR158"/>
  <sheetViews>
    <sheetView workbookViewId="0">
      <pane xSplit="3" ySplit="13" topLeftCell="X14" activePane="bottomRight" state="frozen"/>
      <selection pane="topRight" activeCell="D1" sqref="D1"/>
      <selection pane="bottomLeft" activeCell="A13" sqref="A13"/>
      <selection pane="bottomRight" activeCell="AO9" sqref="AO9"/>
    </sheetView>
  </sheetViews>
  <sheetFormatPr defaultRowHeight="15"/>
  <cols>
    <col min="1" max="1" width="2.28515625" customWidth="1"/>
    <col min="2" max="2" width="19.7109375" style="29" customWidth="1"/>
    <col min="3" max="3" width="15.7109375" style="29" customWidth="1"/>
    <col min="4" max="11" width="8.42578125" style="29" customWidth="1"/>
    <col min="12" max="13" width="9.28515625" style="29" customWidth="1"/>
    <col min="14" max="14" width="9.140625" style="29" customWidth="1"/>
    <col min="15" max="15" width="8.85546875" style="29" customWidth="1"/>
    <col min="16" max="16" width="9.28515625" style="29" customWidth="1"/>
    <col min="17" max="17" width="8.85546875" style="29" customWidth="1"/>
    <col min="18" max="18" width="9.5703125" style="29" customWidth="1"/>
    <col min="19" max="19" width="9.7109375" style="29" customWidth="1"/>
    <col min="20" max="20" width="9.28515625" style="29" customWidth="1"/>
    <col min="21" max="21" width="8.7109375" style="29" customWidth="1"/>
    <col min="25" max="25" width="9.42578125" bestFit="1" customWidth="1"/>
    <col min="26" max="26" width="10.140625" customWidth="1"/>
    <col min="27" max="27" width="10.5703125" customWidth="1"/>
    <col min="28" max="28" width="10.28515625" customWidth="1"/>
    <col min="29" max="29" width="10.42578125" customWidth="1"/>
    <col min="30" max="30" width="10.7109375" customWidth="1"/>
    <col min="31" max="31" width="10.28515625" customWidth="1"/>
    <col min="32" max="33" width="10.85546875" style="112" customWidth="1"/>
    <col min="34" max="34" width="10.5703125" style="112" customWidth="1"/>
    <col min="35" max="42" width="10.140625" style="112" customWidth="1"/>
  </cols>
  <sheetData>
    <row r="1" spans="2:43">
      <c r="C1" s="221"/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</row>
    <row r="2" spans="2:43">
      <c r="B2" s="222" t="s">
        <v>721</v>
      </c>
      <c r="C2" s="221" t="s">
        <v>722</v>
      </c>
      <c r="D2" s="221"/>
      <c r="E2" s="221"/>
      <c r="F2" s="221"/>
      <c r="G2" s="221"/>
      <c r="H2" s="221"/>
      <c r="I2" s="221"/>
      <c r="J2" s="221"/>
      <c r="K2" s="221"/>
      <c r="L2" s="861">
        <v>6855.9</v>
      </c>
      <c r="M2" s="861">
        <v>7246.7</v>
      </c>
      <c r="N2" s="861">
        <v>7500.4</v>
      </c>
      <c r="O2" s="861">
        <v>7957.9</v>
      </c>
      <c r="P2" s="861">
        <v>8793.5</v>
      </c>
      <c r="Q2" s="862">
        <v>9391.4</v>
      </c>
      <c r="R2" s="255">
        <v>14853.3</v>
      </c>
      <c r="S2" s="255">
        <v>16477.5</v>
      </c>
      <c r="T2" s="255">
        <v>16756.599999999999</v>
      </c>
      <c r="U2" s="255">
        <v>21021.9</v>
      </c>
      <c r="V2" s="255">
        <v>21577.8</v>
      </c>
      <c r="W2" s="255">
        <f>W5+W8</f>
        <v>22907.671731113471</v>
      </c>
      <c r="X2" s="255">
        <f t="shared" ref="X2:AA2" si="0">X5+X8</f>
        <v>24576</v>
      </c>
      <c r="Y2" s="1228">
        <f t="shared" si="0"/>
        <v>45645.8</v>
      </c>
      <c r="Z2" s="1228">
        <f t="shared" si="0"/>
        <v>48889.8</v>
      </c>
      <c r="AA2" s="1228">
        <f t="shared" si="0"/>
        <v>53235.199999999997</v>
      </c>
      <c r="AB2" s="1228">
        <f>AB5+AB8</f>
        <v>56806.7</v>
      </c>
      <c r="AC2" s="1228">
        <f>AC5+AC8</f>
        <v>61337.9</v>
      </c>
      <c r="AD2" s="1228">
        <f>AD5+AD8</f>
        <v>66907.199999999997</v>
      </c>
      <c r="AE2" s="313">
        <f>AE5+AE8</f>
        <v>73976.600000000006</v>
      </c>
      <c r="AF2" s="313">
        <f>AF5+AF8</f>
        <v>84653.8</v>
      </c>
      <c r="AG2" s="313">
        <f t="shared" ref="AG2:AP2" si="1">AG5+AG8+AG125</f>
        <v>95155.364905574694</v>
      </c>
      <c r="AH2" s="313">
        <f t="shared" si="1"/>
        <v>104591.33871634123</v>
      </c>
      <c r="AI2" s="313">
        <f t="shared" si="1"/>
        <v>114715.98328108198</v>
      </c>
      <c r="AJ2" s="313">
        <f t="shared" si="1"/>
        <v>125434.66879246393</v>
      </c>
      <c r="AK2" s="313">
        <f t="shared" si="1"/>
        <v>136949.66205418564</v>
      </c>
      <c r="AL2" s="313">
        <f t="shared" si="1"/>
        <v>148095.74720289503</v>
      </c>
      <c r="AM2" s="313">
        <f t="shared" si="1"/>
        <v>159589.22939203866</v>
      </c>
      <c r="AN2" s="313">
        <f t="shared" si="1"/>
        <v>172013.1801808544</v>
      </c>
      <c r="AO2" s="313">
        <f t="shared" si="1"/>
        <v>184982.76954834524</v>
      </c>
      <c r="AP2" s="313">
        <f t="shared" si="1"/>
        <v>199395.93071211304</v>
      </c>
      <c r="AQ2" t="s">
        <v>1084</v>
      </c>
    </row>
    <row r="3" spans="2:43">
      <c r="B3" s="223" t="s">
        <v>723</v>
      </c>
      <c r="C3" s="221" t="s">
        <v>724</v>
      </c>
      <c r="D3" s="221"/>
      <c r="E3" s="221"/>
      <c r="F3" s="221"/>
      <c r="G3" s="221"/>
      <c r="H3" s="221"/>
      <c r="I3" s="221"/>
      <c r="J3" s="221"/>
      <c r="K3" s="221"/>
      <c r="L3" s="861">
        <v>101.6</v>
      </c>
      <c r="M3" s="861">
        <v>105.7</v>
      </c>
      <c r="N3" s="861">
        <v>103.5</v>
      </c>
      <c r="O3" s="861">
        <v>107.9</v>
      </c>
      <c r="P3" s="861">
        <v>110.5</v>
      </c>
      <c r="Q3" s="863">
        <v>106.8</v>
      </c>
      <c r="R3" s="328">
        <v>107.9</v>
      </c>
      <c r="S3" s="328">
        <v>110.4</v>
      </c>
      <c r="T3" s="328">
        <v>107.6</v>
      </c>
      <c r="U3" s="328">
        <v>104.5</v>
      </c>
      <c r="V3" s="255">
        <v>103.2</v>
      </c>
      <c r="W3" s="255">
        <v>105.2</v>
      </c>
      <c r="X3" s="255">
        <v>106.8</v>
      </c>
      <c r="Y3" s="690">
        <v>104</v>
      </c>
      <c r="Z3" s="1230">
        <v>107.1</v>
      </c>
      <c r="AA3" s="1230">
        <v>108.8</v>
      </c>
      <c r="AB3" s="1230">
        <v>106.6</v>
      </c>
      <c r="AC3" s="1233">
        <v>108</v>
      </c>
      <c r="AD3" s="1233">
        <v>109</v>
      </c>
      <c r="AE3" s="642">
        <v>110.6</v>
      </c>
      <c r="AF3" s="642">
        <v>109.5</v>
      </c>
      <c r="AG3" s="314">
        <f>AG2/AF2/AG4*10000</f>
        <v>108.91987241566737</v>
      </c>
      <c r="AH3" s="314">
        <f>AH2/AG2/AH4*10000</f>
        <v>108.61303019155473</v>
      </c>
      <c r="AI3" s="314">
        <f>AI2/AH2/AI4*10000</f>
        <v>108.27264962165613</v>
      </c>
      <c r="AJ3" s="314">
        <f>AJ2/AI2/AJ4*10000</f>
        <v>108.15397849978116</v>
      </c>
      <c r="AK3" s="314">
        <f t="shared" ref="AK3" si="2">AK2/AJ2/AK4*10000</f>
        <v>108.3135637717354</v>
      </c>
      <c r="AL3" s="314">
        <f t="shared" ref="AL3" si="3">AL2/AK2/AL4*10000</f>
        <v>107.60081494935515</v>
      </c>
      <c r="AM3" s="314">
        <f>AM2/AL2/AM4*10000</f>
        <v>107.54575403019618</v>
      </c>
      <c r="AN3" s="314">
        <f t="shared" ref="AN3" si="4">AN2/AM2/AN4*10000</f>
        <v>107.24871212600701</v>
      </c>
      <c r="AO3" s="314">
        <f t="shared" ref="AO3" si="5">AO2/AN2/AO4*10000</f>
        <v>107.00485687696262</v>
      </c>
      <c r="AP3" s="314">
        <f t="shared" ref="AP3" si="6">AP2/AO2/AP4*10000</f>
        <v>107.25534688487758</v>
      </c>
      <c r="AQ3" t="s">
        <v>1085</v>
      </c>
    </row>
    <row r="4" spans="2:43">
      <c r="B4" s="223" t="s">
        <v>725</v>
      </c>
      <c r="C4" s="221" t="s">
        <v>724</v>
      </c>
      <c r="D4" s="803"/>
      <c r="E4" s="803"/>
      <c r="F4" s="803"/>
      <c r="G4" s="803"/>
      <c r="H4" s="803"/>
      <c r="I4" s="803"/>
      <c r="J4" s="803"/>
      <c r="K4" s="803"/>
      <c r="L4" s="861"/>
      <c r="M4" s="868">
        <v>100.00018905192572</v>
      </c>
      <c r="N4" s="868">
        <v>100.00087329438442</v>
      </c>
      <c r="O4" s="868">
        <v>98.331487195567036</v>
      </c>
      <c r="P4" s="868">
        <v>100.00023312728484</v>
      </c>
      <c r="Q4" s="870">
        <v>99.99938241751174</v>
      </c>
      <c r="R4" s="315">
        <v>146.57880260889013</v>
      </c>
      <c r="S4" s="315">
        <v>100.48455049807406</v>
      </c>
      <c r="T4" s="315">
        <v>94.510989695873448</v>
      </c>
      <c r="U4" s="315">
        <v>120.05210315758181</v>
      </c>
      <c r="V4" s="94">
        <v>99.461613508924287</v>
      </c>
      <c r="W4" s="315">
        <f>W2/V2/W3*10000</f>
        <v>100.9155398445242</v>
      </c>
      <c r="X4" s="315">
        <f t="shared" ref="X4:AD4" si="7">X2/W2/X3*10000</f>
        <v>100.45209406332661</v>
      </c>
      <c r="Y4" s="315">
        <f t="shared" si="7"/>
        <v>178.5896496895032</v>
      </c>
      <c r="Z4" s="315">
        <f t="shared" si="7"/>
        <v>100.00643979467624</v>
      </c>
      <c r="AA4" s="315">
        <f t="shared" si="7"/>
        <v>100.08102255420533</v>
      </c>
      <c r="AB4" s="315">
        <f t="shared" si="7"/>
        <v>100.10216406067089</v>
      </c>
      <c r="AC4" s="315">
        <f t="shared" si="7"/>
        <v>99.978262866619346</v>
      </c>
      <c r="AD4" s="315">
        <f t="shared" si="7"/>
        <v>100.07312329502312</v>
      </c>
      <c r="AE4" s="315">
        <f>AE2/AD2/AE3*10000</f>
        <v>99.969238654205071</v>
      </c>
      <c r="AF4" s="315">
        <f>AF2/AE2/AF3*10000</f>
        <v>104.50521704524682</v>
      </c>
      <c r="AG4" s="316">
        <v>103.2</v>
      </c>
      <c r="AH4" s="316">
        <v>101.2</v>
      </c>
      <c r="AI4" s="316">
        <v>101.3</v>
      </c>
      <c r="AJ4" s="768">
        <v>101.1</v>
      </c>
      <c r="AK4" s="768">
        <v>100.8</v>
      </c>
      <c r="AL4" s="768">
        <v>100.5</v>
      </c>
      <c r="AM4" s="768">
        <v>100.2</v>
      </c>
      <c r="AN4" s="768">
        <v>100.5</v>
      </c>
      <c r="AO4" s="768">
        <v>100.5</v>
      </c>
      <c r="AP4" s="768">
        <v>100.5</v>
      </c>
    </row>
    <row r="5" spans="2:43" s="625" customFormat="1">
      <c r="B5" s="621" t="s">
        <v>726</v>
      </c>
      <c r="C5" s="622" t="s">
        <v>722</v>
      </c>
      <c r="D5" s="622"/>
      <c r="E5" s="622"/>
      <c r="F5" s="622"/>
      <c r="G5" s="622"/>
      <c r="H5" s="622"/>
      <c r="I5" s="622"/>
      <c r="J5" s="622"/>
      <c r="K5" s="622"/>
      <c r="L5" s="861">
        <v>4724.8999999999996</v>
      </c>
      <c r="M5" s="861">
        <v>5032</v>
      </c>
      <c r="N5" s="861">
        <v>5147.7</v>
      </c>
      <c r="O5" s="861">
        <v>5523.5</v>
      </c>
      <c r="P5" s="861">
        <v>6219.5</v>
      </c>
      <c r="Q5" s="864">
        <v>6617.5</v>
      </c>
      <c r="R5" s="325">
        <v>10894.7</v>
      </c>
      <c r="S5" s="325">
        <v>11836.3</v>
      </c>
      <c r="T5" s="325">
        <v>11502.5</v>
      </c>
      <c r="U5" s="325">
        <v>14532.8</v>
      </c>
      <c r="V5" s="623">
        <v>14623.7</v>
      </c>
      <c r="W5" s="623">
        <v>15066.6</v>
      </c>
      <c r="X5" s="623">
        <v>16977.8</v>
      </c>
      <c r="Y5" s="1227">
        <v>31669.599999999999</v>
      </c>
      <c r="Z5" s="1227">
        <v>34124</v>
      </c>
      <c r="AA5" s="1227">
        <v>36919.4</v>
      </c>
      <c r="AB5" s="1227">
        <v>39115.599999999999</v>
      </c>
      <c r="AC5" s="1227">
        <v>42115</v>
      </c>
      <c r="AD5" s="1227">
        <v>44976.1</v>
      </c>
      <c r="AE5" s="643">
        <v>50984.9</v>
      </c>
      <c r="AF5" s="643">
        <v>56588</v>
      </c>
      <c r="AG5" s="624">
        <f>AG28+AG40+AG50+AG56+AG66+AG72+AG78+AG82</f>
        <v>61242.178263449699</v>
      </c>
      <c r="AH5" s="624">
        <f t="shared" ref="AH5" si="8">AH28+AH40+AH50+AH56+AH66+AH72+AH78+AH82</f>
        <v>66836.043930076368</v>
      </c>
      <c r="AI5" s="624">
        <f t="shared" ref="AI5:AP5" si="9">AI28+AI40+AI50+AI56+AI66+AI72+AI78+AI82</f>
        <v>72556.837504824551</v>
      </c>
      <c r="AJ5" s="624">
        <f>AJ28+AJ40+AJ50+AJ56+AJ66+AJ72+AJ78+AJ82</f>
        <v>78788.347222391312</v>
      </c>
      <c r="AK5" s="624">
        <f t="shared" si="9"/>
        <v>85058.319781999962</v>
      </c>
      <c r="AL5" s="624">
        <f t="shared" si="9"/>
        <v>90393.17158246602</v>
      </c>
      <c r="AM5" s="624">
        <f t="shared" si="9"/>
        <v>95752.602340394369</v>
      </c>
      <c r="AN5" s="624">
        <f t="shared" si="9"/>
        <v>100785.75325530593</v>
      </c>
      <c r="AO5" s="624">
        <f t="shared" si="9"/>
        <v>105499.67246285305</v>
      </c>
      <c r="AP5" s="624">
        <f t="shared" si="9"/>
        <v>109860.01776743868</v>
      </c>
      <c r="AQ5" s="625" t="s">
        <v>1086</v>
      </c>
    </row>
    <row r="6" spans="2:43">
      <c r="B6" s="223" t="s">
        <v>723</v>
      </c>
      <c r="C6" s="221" t="s">
        <v>724</v>
      </c>
      <c r="D6" s="221"/>
      <c r="E6" s="221"/>
      <c r="F6" s="221"/>
      <c r="G6" s="221"/>
      <c r="H6" s="221"/>
      <c r="I6" s="221"/>
      <c r="J6" s="221"/>
      <c r="K6" s="221"/>
      <c r="L6" s="861">
        <v>98.6</v>
      </c>
      <c r="M6" s="861">
        <v>106.5</v>
      </c>
      <c r="N6" s="861">
        <v>102.3</v>
      </c>
      <c r="O6" s="861">
        <v>108.4</v>
      </c>
      <c r="P6" s="861">
        <v>112.6</v>
      </c>
      <c r="Q6" s="863">
        <v>106.4</v>
      </c>
      <c r="R6" s="328">
        <v>108.2</v>
      </c>
      <c r="S6" s="328">
        <v>110.6</v>
      </c>
      <c r="T6" s="328">
        <v>107.6</v>
      </c>
      <c r="U6" s="328">
        <v>104.5</v>
      </c>
      <c r="V6" s="317">
        <v>101.4</v>
      </c>
      <c r="W6" s="317">
        <v>105.1</v>
      </c>
      <c r="X6" s="317">
        <v>107.4</v>
      </c>
      <c r="Y6" s="690">
        <v>103.4</v>
      </c>
      <c r="Z6" s="690">
        <v>107.8</v>
      </c>
      <c r="AA6" s="690">
        <v>108.2</v>
      </c>
      <c r="AB6" s="690">
        <v>105.9</v>
      </c>
      <c r="AC6" s="690">
        <v>107.7</v>
      </c>
      <c r="AD6" s="690">
        <v>106.8</v>
      </c>
      <c r="AE6" s="644">
        <v>113.4</v>
      </c>
      <c r="AF6" s="644">
        <v>109.9</v>
      </c>
      <c r="AG6" s="319">
        <f>AG5/AF5/AG7*10000</f>
        <v>107.25933948574951</v>
      </c>
      <c r="AH6" s="319">
        <f t="shared" ref="AH6" si="10">AH5/AG5/AH7*10000</f>
        <v>106.99412581783922</v>
      </c>
      <c r="AI6" s="319">
        <f>AI5/AH5/AI7*10000</f>
        <v>108.34275821834399</v>
      </c>
      <c r="AJ6" s="319">
        <f t="shared" ref="AJ6" si="11">AJ5/AI5/AJ7*10000</f>
        <v>107.51331957024452</v>
      </c>
      <c r="AK6" s="319">
        <f t="shared" ref="AK6" si="12">AK5/AJ5/AK7*10000</f>
        <v>107.42089032886649</v>
      </c>
      <c r="AL6" s="319">
        <f t="shared" ref="AL6" si="13">AL5/AK5/AL7*10000</f>
        <v>105.74327654417797</v>
      </c>
      <c r="AM6" s="319">
        <f t="shared" ref="AM6" si="14">AM5/AL5/AM7*10000</f>
        <v>105.61218514399904</v>
      </c>
      <c r="AN6" s="319">
        <f t="shared" ref="AN6" si="15">AN5/AM5/AN7*10000</f>
        <v>104.94158685842078</v>
      </c>
      <c r="AO6" s="319">
        <f t="shared" ref="AO6" si="16">AO5/AN5/AO7*10000</f>
        <v>104.4682317426262</v>
      </c>
      <c r="AP6" s="319">
        <f t="shared" ref="AP6" si="17">AP5/AO5/AP7*10000</f>
        <v>101.29673303136077</v>
      </c>
      <c r="AQ6" t="s">
        <v>1087</v>
      </c>
    </row>
    <row r="7" spans="2:43">
      <c r="B7" s="223" t="s">
        <v>725</v>
      </c>
      <c r="C7" s="221" t="s">
        <v>724</v>
      </c>
      <c r="D7" s="803"/>
      <c r="E7" s="803"/>
      <c r="F7" s="803"/>
      <c r="G7" s="803"/>
      <c r="H7" s="803"/>
      <c r="I7" s="803"/>
      <c r="J7" s="803"/>
      <c r="K7" s="803"/>
      <c r="L7" s="861"/>
      <c r="M7" s="870">
        <v>99.999632354292814</v>
      </c>
      <c r="N7" s="870">
        <v>99.999300663437296</v>
      </c>
      <c r="O7" s="870">
        <v>98.98556063478928</v>
      </c>
      <c r="P7" s="870">
        <v>100.00062706398515</v>
      </c>
      <c r="Q7" s="870">
        <v>99.99927465580906</v>
      </c>
      <c r="R7" s="315">
        <v>152.15774562909778</v>
      </c>
      <c r="S7" s="315">
        <v>98.230320561164731</v>
      </c>
      <c r="T7" s="315">
        <v>90.315856830950423</v>
      </c>
      <c r="U7" s="315">
        <v>120.90402648061736</v>
      </c>
      <c r="V7" s="94">
        <v>99.236175216027689</v>
      </c>
      <c r="W7" s="315">
        <f>W5/V5/W6*10000</f>
        <v>98.029158212454789</v>
      </c>
      <c r="X7" s="315">
        <f t="shared" ref="X7:AC7" si="18">X5/W5/X6*10000</f>
        <v>104.92086767279658</v>
      </c>
      <c r="Y7" s="315">
        <f t="shared" si="18"/>
        <v>180.401700133475</v>
      </c>
      <c r="Z7" s="315">
        <f t="shared" si="18"/>
        <v>99.953635385541247</v>
      </c>
      <c r="AA7" s="315">
        <f t="shared" si="18"/>
        <v>99.992503148785843</v>
      </c>
      <c r="AB7" s="315">
        <f t="shared" si="18"/>
        <v>100.04592450564142</v>
      </c>
      <c r="AC7" s="315">
        <f t="shared" si="18"/>
        <v>99.970325322784632</v>
      </c>
      <c r="AD7" s="315">
        <f>AD5/AC5/AD6*10000</f>
        <v>99.993952709297403</v>
      </c>
      <c r="AE7" s="644">
        <f>AE5/AD5/AE6*10000</f>
        <v>99.964712985109742</v>
      </c>
      <c r="AF7" s="644">
        <f>AF5/AE5/AF6*10000</f>
        <v>100.99155997142803</v>
      </c>
      <c r="AG7" s="316">
        <v>100.9</v>
      </c>
      <c r="AH7" s="316">
        <v>102</v>
      </c>
      <c r="AI7" s="316">
        <v>100.2</v>
      </c>
      <c r="AJ7" s="768">
        <v>101</v>
      </c>
      <c r="AK7" s="768">
        <v>100.5</v>
      </c>
      <c r="AL7" s="768">
        <v>100.5</v>
      </c>
      <c r="AM7" s="768">
        <v>100.3</v>
      </c>
      <c r="AN7" s="768">
        <v>100.3</v>
      </c>
      <c r="AO7" s="768">
        <v>100.2</v>
      </c>
      <c r="AP7" s="768">
        <v>102.8</v>
      </c>
    </row>
    <row r="8" spans="2:43">
      <c r="B8" s="222" t="s">
        <v>727</v>
      </c>
      <c r="C8" s="221" t="s">
        <v>722</v>
      </c>
      <c r="D8" s="221"/>
      <c r="E8" s="221"/>
      <c r="F8" s="221"/>
      <c r="G8" s="221"/>
      <c r="H8" s="221"/>
      <c r="I8" s="221"/>
      <c r="J8" s="221"/>
      <c r="K8" s="221"/>
      <c r="L8" s="866">
        <v>2134.1</v>
      </c>
      <c r="M8" s="866">
        <v>2208.8000000000002</v>
      </c>
      <c r="N8" s="866">
        <v>2356.8000000000002</v>
      </c>
      <c r="O8" s="866">
        <v>2429.8000000000002</v>
      </c>
      <c r="P8" s="866">
        <v>2573.1999999999998</v>
      </c>
      <c r="Q8" s="865">
        <v>2773.9</v>
      </c>
      <c r="R8" s="317">
        <v>3958.6</v>
      </c>
      <c r="S8" s="317">
        <v>3958.6</v>
      </c>
      <c r="T8" s="317">
        <v>3958.6</v>
      </c>
      <c r="U8" s="317">
        <v>3958.6</v>
      </c>
      <c r="V8" s="317">
        <v>6954.1</v>
      </c>
      <c r="W8" s="320">
        <v>7841.0717311134686</v>
      </c>
      <c r="X8" s="317">
        <v>7598.2</v>
      </c>
      <c r="Y8" s="690">
        <v>13976.2</v>
      </c>
      <c r="Z8" s="690">
        <v>14765.8</v>
      </c>
      <c r="AA8" s="690">
        <v>16315.8</v>
      </c>
      <c r="AB8" s="690">
        <v>17691.099999999999</v>
      </c>
      <c r="AC8" s="690">
        <v>19222.900000000001</v>
      </c>
      <c r="AD8" s="690">
        <v>21931.1</v>
      </c>
      <c r="AE8" s="644">
        <v>22991.7</v>
      </c>
      <c r="AF8" s="644">
        <v>28065.8</v>
      </c>
      <c r="AG8" s="1247">
        <f t="shared" ref="AG8:AP8" si="19">AF8*AG9*AG10/10000-AG125</f>
        <v>33724.206642124998</v>
      </c>
      <c r="AH8" s="1247">
        <f t="shared" si="19"/>
        <v>37549.306586264844</v>
      </c>
      <c r="AI8" s="1247">
        <f t="shared" si="19"/>
        <v>41934.824626457434</v>
      </c>
      <c r="AJ8" s="1247">
        <f t="shared" si="19"/>
        <v>46401.587195640808</v>
      </c>
      <c r="AK8" s="1247">
        <f t="shared" si="19"/>
        <v>51624.557330617587</v>
      </c>
      <c r="AL8" s="1247">
        <f t="shared" si="19"/>
        <v>57411.246464236632</v>
      </c>
      <c r="AM8" s="1247">
        <f t="shared" si="19"/>
        <v>63518.786942238425</v>
      </c>
      <c r="AN8" s="1247">
        <f t="shared" si="19"/>
        <v>70880.981206296085</v>
      </c>
      <c r="AO8" s="1247">
        <f t="shared" si="19"/>
        <v>79106.510588664809</v>
      </c>
      <c r="AP8" s="1247">
        <f t="shared" si="19"/>
        <v>89127.316595616678</v>
      </c>
    </row>
    <row r="9" spans="2:43">
      <c r="B9" s="223" t="s">
        <v>723</v>
      </c>
      <c r="C9" s="221" t="s">
        <v>724</v>
      </c>
      <c r="D9" s="221"/>
      <c r="E9" s="221"/>
      <c r="F9" s="221"/>
      <c r="G9" s="221"/>
      <c r="H9" s="221"/>
      <c r="I9" s="221"/>
      <c r="J9" s="221"/>
      <c r="K9" s="221"/>
      <c r="L9" s="861">
        <v>110.1</v>
      </c>
      <c r="M9" s="861">
        <v>103.5</v>
      </c>
      <c r="N9" s="861">
        <v>106.7</v>
      </c>
      <c r="O9" s="861">
        <v>106.7</v>
      </c>
      <c r="P9" s="861">
        <v>105.9</v>
      </c>
      <c r="Q9" s="863">
        <v>107.7</v>
      </c>
      <c r="R9" s="328">
        <v>107</v>
      </c>
      <c r="S9" s="328">
        <v>109.7</v>
      </c>
      <c r="T9" s="328">
        <v>107.5</v>
      </c>
      <c r="U9" s="328">
        <v>112.5</v>
      </c>
      <c r="V9" s="317">
        <v>107.2</v>
      </c>
      <c r="W9" s="317">
        <v>105.5</v>
      </c>
      <c r="X9" s="317">
        <v>105.6</v>
      </c>
      <c r="Y9" s="690">
        <v>105.3</v>
      </c>
      <c r="Z9" s="690">
        <v>105.7</v>
      </c>
      <c r="AA9" s="690">
        <v>110.5</v>
      </c>
      <c r="AB9" s="690">
        <v>108.4</v>
      </c>
      <c r="AC9" s="690">
        <v>108.7</v>
      </c>
      <c r="AD9" s="690">
        <v>114.1</v>
      </c>
      <c r="AE9" s="644">
        <v>104.8</v>
      </c>
      <c r="AF9" s="319">
        <v>108.5</v>
      </c>
      <c r="AG9" s="319">
        <v>107.4085</v>
      </c>
      <c r="AH9" s="319">
        <v>106.622</v>
      </c>
      <c r="AI9" s="319">
        <v>104.4435</v>
      </c>
      <c r="AJ9" s="319">
        <v>103.5132</v>
      </c>
      <c r="AK9" s="319">
        <v>105.0056</v>
      </c>
      <c r="AL9" s="319">
        <v>105.44670000000001</v>
      </c>
      <c r="AM9" s="319">
        <v>105.89700000000001</v>
      </c>
      <c r="AN9" s="319">
        <v>107</v>
      </c>
      <c r="AO9" s="319">
        <v>107</v>
      </c>
      <c r="AP9" s="319">
        <v>108</v>
      </c>
    </row>
    <row r="10" spans="2:43">
      <c r="B10" s="223" t="s">
        <v>725</v>
      </c>
      <c r="C10" s="221" t="s">
        <v>724</v>
      </c>
      <c r="D10" s="803"/>
      <c r="E10" s="803"/>
      <c r="F10" s="803"/>
      <c r="G10" s="803"/>
      <c r="H10" s="803"/>
      <c r="I10" s="803"/>
      <c r="J10" s="803"/>
      <c r="K10" s="803"/>
      <c r="L10" s="230"/>
      <c r="M10" s="869">
        <v>100.00029427830171</v>
      </c>
      <c r="N10" s="869">
        <v>100.00044127825412</v>
      </c>
      <c r="O10" s="869">
        <v>96.623636579963872</v>
      </c>
      <c r="P10" s="869">
        <v>100.00162446288765</v>
      </c>
      <c r="Q10" s="867">
        <v>100.09250410740465</v>
      </c>
      <c r="R10" s="315">
        <v>133.37273038769598</v>
      </c>
      <c r="S10" s="315">
        <v>91.157702825888776</v>
      </c>
      <c r="T10" s="315">
        <v>93.023255813953483</v>
      </c>
      <c r="U10" s="315">
        <v>88.888888888888886</v>
      </c>
      <c r="V10" s="94">
        <v>163.87191386069702</v>
      </c>
      <c r="W10" s="315">
        <f t="shared" ref="W10" si="20">W8/V8/W9*10000</f>
        <v>106.87645388660511</v>
      </c>
      <c r="X10" s="315">
        <f t="shared" ref="X10" si="21">X8/W8/X9*10000</f>
        <v>91.763797070804131</v>
      </c>
      <c r="Y10" s="315">
        <f>Y8/X8/Y9*10000</f>
        <v>174.68274774829837</v>
      </c>
      <c r="Z10" s="315">
        <f t="shared" ref="Z10" si="22">Z8/Y8/Z9*10000</f>
        <v>99.952321974793279</v>
      </c>
      <c r="AA10" s="315">
        <f>AA8/Z8/AA9*10000</f>
        <v>99.997493290261232</v>
      </c>
      <c r="AB10" s="315">
        <f t="shared" ref="AB10" si="23">AB8/AA8/AB9*10000</f>
        <v>100.02698581760943</v>
      </c>
      <c r="AC10" s="315">
        <f t="shared" ref="AC10" si="24">AC8/AB8/AC9*10000</f>
        <v>99.96190528330618</v>
      </c>
      <c r="AD10" s="315">
        <f>AD8/AC8/AD9*10000</f>
        <v>99.989837839891237</v>
      </c>
      <c r="AE10" s="315">
        <f>AE8/AD8/AE9*10000</f>
        <v>100.03440337314562</v>
      </c>
      <c r="AF10" s="315">
        <f>AF8/AE8/AF9*10000</f>
        <v>112.50623822594042</v>
      </c>
      <c r="AG10" s="319">
        <v>112.5</v>
      </c>
      <c r="AH10" s="786">
        <v>105</v>
      </c>
      <c r="AI10" s="786">
        <v>107.5</v>
      </c>
      <c r="AJ10" s="786">
        <v>107.46</v>
      </c>
      <c r="AK10" s="786">
        <v>106.5</v>
      </c>
      <c r="AL10" s="319">
        <v>106</v>
      </c>
      <c r="AM10" s="319">
        <v>105</v>
      </c>
      <c r="AN10" s="319">
        <v>104.8</v>
      </c>
      <c r="AO10" s="319">
        <f t="shared" ref="AO10:AP10" si="25">AN10</f>
        <v>104.8</v>
      </c>
      <c r="AP10" s="319">
        <f t="shared" si="25"/>
        <v>104.8</v>
      </c>
    </row>
    <row r="11" spans="2:43">
      <c r="B11" s="224"/>
      <c r="C11" s="225"/>
      <c r="D11" s="803"/>
      <c r="E11" s="803"/>
      <c r="F11" s="803"/>
      <c r="G11" s="803"/>
      <c r="H11" s="803"/>
      <c r="I11" s="803"/>
      <c r="J11" s="803"/>
      <c r="K11" s="803"/>
      <c r="L11" s="803"/>
      <c r="M11" s="803"/>
      <c r="N11" s="803"/>
      <c r="O11" s="803"/>
      <c r="P11" s="803"/>
      <c r="Q11" s="803"/>
      <c r="R11" s="803"/>
      <c r="S11" s="803"/>
      <c r="T11" s="803"/>
      <c r="U11" s="803"/>
      <c r="W11" s="703">
        <f t="shared" ref="W11:AA11" si="26">W2-V2</f>
        <v>1329.8717311134715</v>
      </c>
      <c r="X11" s="703">
        <f t="shared" si="26"/>
        <v>1668.3282688865293</v>
      </c>
      <c r="Y11" s="703">
        <f t="shared" si="26"/>
        <v>21069.800000000003</v>
      </c>
      <c r="Z11" s="703">
        <f t="shared" si="26"/>
        <v>3244</v>
      </c>
      <c r="AA11" s="703">
        <f t="shared" si="26"/>
        <v>4345.3999999999942</v>
      </c>
      <c r="AB11" s="703">
        <f>AB2-AA2</f>
        <v>3571.5</v>
      </c>
      <c r="AC11" s="703">
        <f t="shared" ref="AC11" si="27">AC2-AB2</f>
        <v>4531.2000000000044</v>
      </c>
      <c r="AD11" s="703">
        <f t="shared" ref="AD11:AF11" si="28">AD2-AC2</f>
        <v>5569.2999999999956</v>
      </c>
      <c r="AE11" s="703">
        <f t="shared" si="28"/>
        <v>7069.4000000000087</v>
      </c>
      <c r="AF11" s="703">
        <f t="shared" si="28"/>
        <v>10677.199999999997</v>
      </c>
      <c r="AG11" s="703">
        <f>AG2-AF2</f>
        <v>10501.564905574691</v>
      </c>
      <c r="AH11" s="703">
        <f>AH2-AG2</f>
        <v>9435.9738107665326</v>
      </c>
      <c r="AI11" s="703">
        <f>AI2-AH2</f>
        <v>10124.644564740753</v>
      </c>
      <c r="AJ11" s="703">
        <f>AJ2-AI2</f>
        <v>10718.685511381947</v>
      </c>
      <c r="AK11" s="703">
        <f>AK2-AJ2</f>
        <v>11514.993261721713</v>
      </c>
      <c r="AL11" s="703">
        <f t="shared" ref="AL11" si="29">AL2-AK2</f>
        <v>11146.08514870939</v>
      </c>
      <c r="AM11" s="703">
        <f>AM2-AL2</f>
        <v>11493.48218914363</v>
      </c>
      <c r="AN11" s="703">
        <f t="shared" ref="AN11" si="30">AN2-AM2</f>
        <v>12423.950788815739</v>
      </c>
      <c r="AO11" s="703">
        <f t="shared" ref="AO11" si="31">AO2-AN2</f>
        <v>12969.589367490844</v>
      </c>
      <c r="AP11" s="703">
        <f t="shared" ref="AP11" si="32">AP2-AO2</f>
        <v>14413.1611637678</v>
      </c>
    </row>
    <row r="12" spans="2:43">
      <c r="B12" s="224"/>
      <c r="C12" s="225"/>
      <c r="D12" s="803"/>
      <c r="E12" s="803"/>
      <c r="F12" s="803"/>
      <c r="G12" s="803"/>
      <c r="H12" s="803"/>
      <c r="I12" s="803"/>
      <c r="J12" s="803"/>
      <c r="K12" s="803"/>
      <c r="L12" s="803"/>
      <c r="M12" s="803"/>
      <c r="N12" s="803"/>
      <c r="O12" s="803"/>
      <c r="P12" s="803"/>
      <c r="Q12" s="803"/>
      <c r="R12" s="803"/>
      <c r="S12" s="803"/>
      <c r="T12" s="803"/>
      <c r="U12" s="803"/>
      <c r="V12" s="1249">
        <f t="shared" ref="V12:AO12" si="33">V5-U5</f>
        <v>90.900000000001455</v>
      </c>
      <c r="W12" s="1249">
        <f t="shared" si="33"/>
        <v>442.89999999999964</v>
      </c>
      <c r="X12" s="1249">
        <f t="shared" si="33"/>
        <v>1911.1999999999989</v>
      </c>
      <c r="Y12" s="1249">
        <f t="shared" si="33"/>
        <v>14691.8</v>
      </c>
      <c r="Z12" s="1249">
        <f t="shared" si="33"/>
        <v>2454.4000000000015</v>
      </c>
      <c r="AA12" s="1249">
        <f t="shared" si="33"/>
        <v>2795.4000000000015</v>
      </c>
      <c r="AB12" s="1249">
        <f t="shared" si="33"/>
        <v>2196.1999999999971</v>
      </c>
      <c r="AC12" s="1249">
        <f t="shared" si="33"/>
        <v>2999.4000000000015</v>
      </c>
      <c r="AD12" s="1249">
        <f t="shared" si="33"/>
        <v>2861.0999999999985</v>
      </c>
      <c r="AE12" s="1249">
        <f t="shared" si="33"/>
        <v>6008.8000000000029</v>
      </c>
      <c r="AF12" s="1249">
        <f t="shared" si="33"/>
        <v>5603.0999999999985</v>
      </c>
      <c r="AG12" s="1249">
        <f>AG5-AF5</f>
        <v>4654.1782634496994</v>
      </c>
      <c r="AH12" s="1249">
        <f t="shared" si="33"/>
        <v>5593.8656666266688</v>
      </c>
      <c r="AI12" s="1249">
        <f>AI5-AH5</f>
        <v>5720.7935747481824</v>
      </c>
      <c r="AJ12" s="1249">
        <f>AJ5-AI5</f>
        <v>6231.5097175667615</v>
      </c>
      <c r="AK12" s="1249">
        <f>AK5-AJ5</f>
        <v>6269.97255960865</v>
      </c>
      <c r="AL12" s="1249">
        <f>AL5-AK5</f>
        <v>5334.8518004660582</v>
      </c>
      <c r="AM12" s="1249">
        <f>AM5-AL5</f>
        <v>5359.4307579283486</v>
      </c>
      <c r="AN12" s="1249">
        <f t="shared" si="33"/>
        <v>5033.1509149115591</v>
      </c>
      <c r="AO12" s="1249">
        <f t="shared" si="33"/>
        <v>4713.9192075471219</v>
      </c>
      <c r="AP12" s="1249">
        <f>AP5-AO5</f>
        <v>4360.3453045856295</v>
      </c>
    </row>
    <row r="13" spans="2:43">
      <c r="B13" s="224"/>
      <c r="C13" s="225"/>
      <c r="D13" s="803"/>
      <c r="E13" s="803"/>
      <c r="F13" s="803"/>
      <c r="G13" s="803"/>
      <c r="H13" s="803"/>
      <c r="I13" s="803"/>
      <c r="J13" s="803"/>
      <c r="K13" s="803"/>
      <c r="L13" s="803"/>
      <c r="M13" s="803"/>
      <c r="N13" s="803"/>
      <c r="O13" s="803"/>
      <c r="P13" s="803"/>
      <c r="Q13" s="803"/>
      <c r="R13" s="803"/>
      <c r="S13" s="803"/>
      <c r="T13" s="803"/>
      <c r="U13" s="803"/>
      <c r="AB13" s="114">
        <f t="shared" ref="AB13:AH13" si="34">AB8-AA8</f>
        <v>1375.2999999999993</v>
      </c>
      <c r="AC13" s="114">
        <f t="shared" si="34"/>
        <v>1531.8000000000029</v>
      </c>
      <c r="AD13" s="114">
        <f t="shared" si="34"/>
        <v>2708.1999999999971</v>
      </c>
      <c r="AE13" s="114">
        <f t="shared" si="34"/>
        <v>1060.6000000000022</v>
      </c>
      <c r="AF13" s="114">
        <f t="shared" si="34"/>
        <v>5074.0999999999985</v>
      </c>
      <c r="AG13" s="114">
        <f t="shared" si="34"/>
        <v>5658.4066421249991</v>
      </c>
      <c r="AH13" s="114">
        <f t="shared" si="34"/>
        <v>3825.0999441398453</v>
      </c>
      <c r="AI13" s="114">
        <f>AI8-AH8</f>
        <v>4385.51804019259</v>
      </c>
      <c r="AJ13" s="114">
        <f>AJ8-AI8</f>
        <v>4466.7625691833746</v>
      </c>
      <c r="AK13" s="114">
        <f t="shared" ref="AK13" si="35">AK8-AJ8</f>
        <v>5222.9701349767784</v>
      </c>
      <c r="AL13" s="114">
        <f t="shared" ref="AL13" si="36">AL8-AK8</f>
        <v>5786.6891336190456</v>
      </c>
      <c r="AM13" s="114">
        <f>AM8-AL8</f>
        <v>6107.5404780017925</v>
      </c>
      <c r="AN13" s="114">
        <f>AN8-AM8</f>
        <v>7362.1942640576599</v>
      </c>
      <c r="AO13" s="114">
        <f t="shared" ref="AO13" si="37">AO8-AN8</f>
        <v>8225.5293823687243</v>
      </c>
      <c r="AP13" s="114">
        <f t="shared" ref="AP13" si="38">AP8-AO8</f>
        <v>10020.806006951869</v>
      </c>
    </row>
    <row r="14" spans="2:43" ht="15.75">
      <c r="B14" s="222" t="s">
        <v>728</v>
      </c>
      <c r="C14" s="226" t="s">
        <v>729</v>
      </c>
      <c r="D14" s="226"/>
      <c r="E14" s="226"/>
      <c r="F14" s="226"/>
      <c r="G14" s="226"/>
      <c r="H14" s="226"/>
      <c r="I14" s="226"/>
      <c r="J14" s="226"/>
      <c r="K14" s="226"/>
      <c r="L14" s="875">
        <v>14255397</v>
      </c>
      <c r="M14" s="875">
        <v>14255397</v>
      </c>
      <c r="N14" s="875">
        <v>14255397</v>
      </c>
      <c r="O14" s="875">
        <v>14255397</v>
      </c>
      <c r="P14" s="875">
        <v>14255397</v>
      </c>
      <c r="Q14" s="876">
        <v>14255397</v>
      </c>
      <c r="R14" s="321">
        <v>14255397</v>
      </c>
      <c r="S14" s="321">
        <v>14255397</v>
      </c>
      <c r="T14" s="321">
        <v>14255397</v>
      </c>
      <c r="U14" s="321">
        <v>14137685</v>
      </c>
      <c r="V14" s="321">
        <v>14137685</v>
      </c>
      <c r="W14" s="321">
        <v>14137685</v>
      </c>
      <c r="X14" s="321">
        <v>14137685</v>
      </c>
      <c r="Y14" s="321">
        <v>14137900</v>
      </c>
      <c r="Z14" s="317">
        <f t="shared" ref="Z14:AF22" si="39">Y14</f>
        <v>14137900</v>
      </c>
      <c r="AA14" s="317">
        <v>14137907</v>
      </c>
      <c r="AB14" s="317">
        <v>14137907</v>
      </c>
      <c r="AC14" s="317">
        <f t="shared" si="39"/>
        <v>14137907</v>
      </c>
      <c r="AD14" s="317">
        <f t="shared" si="39"/>
        <v>14137907</v>
      </c>
      <c r="AE14" s="317">
        <f t="shared" si="39"/>
        <v>14137907</v>
      </c>
      <c r="AF14" s="319">
        <f t="shared" si="39"/>
        <v>14137907</v>
      </c>
      <c r="AG14" s="319">
        <f t="shared" ref="AG14:AG22" si="40">AF14</f>
        <v>14137907</v>
      </c>
      <c r="AH14" s="319">
        <f t="shared" ref="AH14:AH22" si="41">AG14</f>
        <v>14137907</v>
      </c>
      <c r="AI14" s="319">
        <f t="shared" ref="AI14:AI22" si="42">AH14</f>
        <v>14137907</v>
      </c>
      <c r="AJ14" s="319">
        <f t="shared" ref="AJ14:AJ22" si="43">AI14</f>
        <v>14137907</v>
      </c>
      <c r="AK14" s="319">
        <f t="shared" ref="AK14:AK22" si="44">AJ14</f>
        <v>14137907</v>
      </c>
      <c r="AL14" s="319">
        <f t="shared" ref="AL14:AL22" si="45">AK14</f>
        <v>14137907</v>
      </c>
      <c r="AM14" s="319">
        <f t="shared" ref="AM14:AM22" si="46">AL14</f>
        <v>14137907</v>
      </c>
      <c r="AN14" s="319">
        <f t="shared" ref="AN14:AN22" si="47">AM14</f>
        <v>14137907</v>
      </c>
      <c r="AO14" s="319">
        <f t="shared" ref="AO14:AO22" si="48">AN14</f>
        <v>14137907</v>
      </c>
      <c r="AP14" s="319">
        <f t="shared" ref="AP14:AP22" si="49">AO14</f>
        <v>14137907</v>
      </c>
    </row>
    <row r="15" spans="2:43" ht="15.75">
      <c r="B15" s="222" t="s">
        <v>730</v>
      </c>
      <c r="C15" s="226" t="s">
        <v>729</v>
      </c>
      <c r="D15" s="226"/>
      <c r="E15" s="226"/>
      <c r="F15" s="226"/>
      <c r="G15" s="226"/>
      <c r="H15" s="226"/>
      <c r="I15" s="226"/>
      <c r="J15" s="226"/>
      <c r="K15" s="226"/>
      <c r="L15" s="871">
        <v>737694</v>
      </c>
      <c r="M15" s="871">
        <v>741539</v>
      </c>
      <c r="N15" s="871">
        <v>742051</v>
      </c>
      <c r="O15" s="871">
        <v>741626</v>
      </c>
      <c r="P15" s="871">
        <v>743621</v>
      </c>
      <c r="Q15" s="872">
        <v>743856</v>
      </c>
      <c r="R15" s="322">
        <v>748256</v>
      </c>
      <c r="S15" s="322">
        <v>749000</v>
      </c>
      <c r="T15" s="322">
        <v>749995</v>
      </c>
      <c r="U15" s="322">
        <v>753000</v>
      </c>
      <c r="V15" s="322">
        <v>753000</v>
      </c>
      <c r="W15" s="322">
        <v>753000</v>
      </c>
      <c r="X15" s="690">
        <v>598522</v>
      </c>
      <c r="Y15" s="690">
        <v>602593</v>
      </c>
      <c r="Z15" s="690">
        <v>604142</v>
      </c>
      <c r="AA15" s="690">
        <v>604537</v>
      </c>
      <c r="AB15" s="690">
        <v>605065</v>
      </c>
      <c r="AC15" s="690">
        <v>604289</v>
      </c>
      <c r="AD15" s="690">
        <v>606920</v>
      </c>
      <c r="AE15" s="690">
        <v>608046</v>
      </c>
      <c r="AF15" s="319">
        <f t="shared" si="39"/>
        <v>608046</v>
      </c>
      <c r="AG15" s="319">
        <f t="shared" si="40"/>
        <v>608046</v>
      </c>
      <c r="AH15" s="319">
        <f t="shared" si="41"/>
        <v>608046</v>
      </c>
      <c r="AI15" s="319">
        <f t="shared" si="42"/>
        <v>608046</v>
      </c>
      <c r="AJ15" s="319">
        <f t="shared" si="43"/>
        <v>608046</v>
      </c>
      <c r="AK15" s="319">
        <f t="shared" si="44"/>
        <v>608046</v>
      </c>
      <c r="AL15" s="319">
        <f t="shared" si="45"/>
        <v>608046</v>
      </c>
      <c r="AM15" s="319">
        <f t="shared" si="46"/>
        <v>608046</v>
      </c>
      <c r="AN15" s="319">
        <f t="shared" si="47"/>
        <v>608046</v>
      </c>
      <c r="AO15" s="319">
        <f t="shared" si="48"/>
        <v>608046</v>
      </c>
      <c r="AP15" s="319">
        <f t="shared" si="49"/>
        <v>608046</v>
      </c>
    </row>
    <row r="16" spans="2:43" ht="15.75">
      <c r="B16" s="222" t="s">
        <v>731</v>
      </c>
      <c r="C16" s="226" t="s">
        <v>729</v>
      </c>
      <c r="D16" s="226"/>
      <c r="E16" s="226"/>
      <c r="F16" s="226"/>
      <c r="G16" s="226"/>
      <c r="H16" s="226"/>
      <c r="I16" s="226"/>
      <c r="J16" s="226"/>
      <c r="K16" s="226"/>
      <c r="L16" s="871">
        <v>4668470</v>
      </c>
      <c r="M16" s="871">
        <v>4728417</v>
      </c>
      <c r="N16" s="871">
        <v>4725644</v>
      </c>
      <c r="O16" s="871">
        <v>4719198</v>
      </c>
      <c r="P16" s="871">
        <v>4719486</v>
      </c>
      <c r="Q16" s="872">
        <v>4705044</v>
      </c>
      <c r="R16" s="322">
        <v>3695161</v>
      </c>
      <c r="S16" s="322">
        <v>3614663</v>
      </c>
      <c r="T16" s="322">
        <v>3617515</v>
      </c>
      <c r="U16" s="322">
        <v>3604616</v>
      </c>
      <c r="V16" s="322">
        <v>3611907</v>
      </c>
      <c r="W16" s="322">
        <v>3638485</v>
      </c>
      <c r="X16" s="323">
        <v>3658200</v>
      </c>
      <c r="Y16" s="690">
        <v>3669400</v>
      </c>
      <c r="Z16" s="690">
        <v>3674067</v>
      </c>
      <c r="AA16" s="690">
        <v>3673662</v>
      </c>
      <c r="AB16" s="690">
        <v>3666434</v>
      </c>
      <c r="AC16" s="690">
        <v>3668881</v>
      </c>
      <c r="AD16" s="690">
        <v>3683519</v>
      </c>
      <c r="AE16" s="690">
        <v>3692335</v>
      </c>
      <c r="AF16" s="319">
        <f t="shared" si="39"/>
        <v>3692335</v>
      </c>
      <c r="AG16" s="319">
        <f t="shared" si="40"/>
        <v>3692335</v>
      </c>
      <c r="AH16" s="319">
        <f t="shared" si="41"/>
        <v>3692335</v>
      </c>
      <c r="AI16" s="319">
        <f t="shared" si="42"/>
        <v>3692335</v>
      </c>
      <c r="AJ16" s="319">
        <f t="shared" si="43"/>
        <v>3692335</v>
      </c>
      <c r="AK16" s="319">
        <f t="shared" si="44"/>
        <v>3692335</v>
      </c>
      <c r="AL16" s="319">
        <f t="shared" si="45"/>
        <v>3692335</v>
      </c>
      <c r="AM16" s="319">
        <f t="shared" si="46"/>
        <v>3692335</v>
      </c>
      <c r="AN16" s="319">
        <f t="shared" si="47"/>
        <v>3692335</v>
      </c>
      <c r="AO16" s="319">
        <f t="shared" si="48"/>
        <v>3692335</v>
      </c>
      <c r="AP16" s="319">
        <f t="shared" si="49"/>
        <v>3692335</v>
      </c>
    </row>
    <row r="17" spans="2:44" ht="15.75">
      <c r="B17" s="222" t="s">
        <v>732</v>
      </c>
      <c r="C17" s="226" t="s">
        <v>729</v>
      </c>
      <c r="D17" s="226"/>
      <c r="E17" s="226"/>
      <c r="F17" s="226"/>
      <c r="G17" s="226"/>
      <c r="H17" s="226"/>
      <c r="I17" s="226"/>
      <c r="J17" s="226"/>
      <c r="K17" s="226"/>
      <c r="L17" s="230"/>
      <c r="M17" s="230"/>
      <c r="N17" s="230"/>
      <c r="O17" s="230"/>
      <c r="P17" s="230"/>
      <c r="Q17" s="872"/>
      <c r="R17" s="322"/>
      <c r="S17" s="322"/>
      <c r="T17" s="322"/>
      <c r="U17" s="322"/>
      <c r="V17" s="322"/>
      <c r="W17" s="322"/>
      <c r="X17" s="324"/>
      <c r="Y17" s="319"/>
      <c r="Z17" s="319"/>
      <c r="AA17" s="319"/>
      <c r="AB17" s="319"/>
      <c r="AC17" s="319"/>
      <c r="AD17" s="319"/>
      <c r="AE17" s="318"/>
      <c r="AF17" s="319">
        <f t="shared" si="39"/>
        <v>0</v>
      </c>
      <c r="AG17" s="319">
        <f t="shared" si="40"/>
        <v>0</v>
      </c>
      <c r="AH17" s="319">
        <f t="shared" si="41"/>
        <v>0</v>
      </c>
      <c r="AI17" s="319">
        <f t="shared" si="42"/>
        <v>0</v>
      </c>
      <c r="AJ17" s="319">
        <f t="shared" si="43"/>
        <v>0</v>
      </c>
      <c r="AK17" s="319">
        <f t="shared" si="44"/>
        <v>0</v>
      </c>
      <c r="AL17" s="319">
        <f t="shared" si="45"/>
        <v>0</v>
      </c>
      <c r="AM17" s="319">
        <f t="shared" si="46"/>
        <v>0</v>
      </c>
      <c r="AN17" s="319">
        <f t="shared" si="47"/>
        <v>0</v>
      </c>
      <c r="AO17" s="319">
        <f t="shared" si="48"/>
        <v>0</v>
      </c>
      <c r="AP17" s="319">
        <f t="shared" si="49"/>
        <v>0</v>
      </c>
    </row>
    <row r="18" spans="2:44" ht="15.75">
      <c r="B18" s="222" t="s">
        <v>733</v>
      </c>
      <c r="C18" s="226" t="s">
        <v>729</v>
      </c>
      <c r="D18" s="226"/>
      <c r="E18" s="226"/>
      <c r="F18" s="226"/>
      <c r="G18" s="226"/>
      <c r="H18" s="226"/>
      <c r="I18" s="226"/>
      <c r="J18" s="226"/>
      <c r="K18" s="226"/>
      <c r="L18" s="875">
        <v>718560</v>
      </c>
      <c r="M18" s="875">
        <v>714162</v>
      </c>
      <c r="N18" s="875">
        <v>710493</v>
      </c>
      <c r="O18" s="875">
        <v>704823</v>
      </c>
      <c r="P18" s="875">
        <v>701856</v>
      </c>
      <c r="Q18" s="876">
        <v>685441</v>
      </c>
      <c r="R18" s="321">
        <v>666077</v>
      </c>
      <c r="S18" s="321">
        <v>662011</v>
      </c>
      <c r="T18" s="321">
        <v>658410</v>
      </c>
      <c r="U18" s="321">
        <v>655643</v>
      </c>
      <c r="V18" s="322">
        <v>653195</v>
      </c>
      <c r="W18" s="322">
        <v>650644</v>
      </c>
      <c r="X18" s="690">
        <v>657345</v>
      </c>
      <c r="Y18" s="690">
        <v>659009</v>
      </c>
      <c r="Z18" s="690">
        <v>663960</v>
      </c>
      <c r="AA18" s="690">
        <v>661976</v>
      </c>
      <c r="AB18" s="690">
        <v>660884</v>
      </c>
      <c r="AC18" s="690">
        <v>660054</v>
      </c>
      <c r="AD18" s="690">
        <v>661713</v>
      </c>
      <c r="AE18" s="690">
        <v>663122</v>
      </c>
      <c r="AF18" s="319">
        <f t="shared" si="39"/>
        <v>663122</v>
      </c>
      <c r="AG18" s="319">
        <f t="shared" si="40"/>
        <v>663122</v>
      </c>
      <c r="AH18" s="319">
        <f t="shared" si="41"/>
        <v>663122</v>
      </c>
      <c r="AI18" s="319">
        <f t="shared" si="42"/>
        <v>663122</v>
      </c>
      <c r="AJ18" s="319">
        <f t="shared" si="43"/>
        <v>663122</v>
      </c>
      <c r="AK18" s="319">
        <f t="shared" si="44"/>
        <v>663122</v>
      </c>
      <c r="AL18" s="319">
        <f t="shared" si="45"/>
        <v>663122</v>
      </c>
      <c r="AM18" s="319">
        <f t="shared" si="46"/>
        <v>663122</v>
      </c>
      <c r="AN18" s="319">
        <f t="shared" si="47"/>
        <v>663122</v>
      </c>
      <c r="AO18" s="319">
        <f t="shared" si="48"/>
        <v>663122</v>
      </c>
      <c r="AP18" s="319">
        <f t="shared" si="49"/>
        <v>663122</v>
      </c>
    </row>
    <row r="19" spans="2:44" ht="15.75">
      <c r="B19" s="222" t="s">
        <v>734</v>
      </c>
      <c r="C19" s="227" t="s">
        <v>729</v>
      </c>
      <c r="D19" s="227"/>
      <c r="E19" s="227"/>
      <c r="F19" s="227"/>
      <c r="G19" s="227"/>
      <c r="H19" s="227"/>
      <c r="I19" s="227"/>
      <c r="J19" s="227"/>
      <c r="K19" s="227"/>
      <c r="L19" s="861">
        <v>101635</v>
      </c>
      <c r="M19" s="861">
        <v>103135</v>
      </c>
      <c r="N19" s="861">
        <v>105571</v>
      </c>
      <c r="O19" s="861">
        <v>105104</v>
      </c>
      <c r="P19" s="861">
        <v>109671</v>
      </c>
      <c r="Q19" s="863">
        <v>120662</v>
      </c>
      <c r="R19" s="322">
        <v>121000</v>
      </c>
      <c r="S19" s="322">
        <v>126500</v>
      </c>
      <c r="T19" s="322">
        <v>131800</v>
      </c>
      <c r="U19" s="322">
        <v>137000</v>
      </c>
      <c r="V19" s="322">
        <v>140400</v>
      </c>
      <c r="W19" s="322">
        <v>144400</v>
      </c>
      <c r="X19" s="323">
        <v>148200</v>
      </c>
      <c r="Y19" s="690">
        <v>150900</v>
      </c>
      <c r="Z19" s="690">
        <v>152800</v>
      </c>
      <c r="AA19" s="690">
        <v>153800</v>
      </c>
      <c r="AB19" s="690">
        <v>154700</v>
      </c>
      <c r="AC19" s="690">
        <v>155400</v>
      </c>
      <c r="AD19" s="690">
        <v>156900</v>
      </c>
      <c r="AE19" s="1231">
        <v>157100</v>
      </c>
      <c r="AF19" s="319">
        <f t="shared" si="39"/>
        <v>157100</v>
      </c>
      <c r="AG19" s="319">
        <f t="shared" si="40"/>
        <v>157100</v>
      </c>
      <c r="AH19" s="319">
        <f t="shared" si="41"/>
        <v>157100</v>
      </c>
      <c r="AI19" s="319">
        <f t="shared" si="42"/>
        <v>157100</v>
      </c>
      <c r="AJ19" s="319">
        <f t="shared" si="43"/>
        <v>157100</v>
      </c>
      <c r="AK19" s="319">
        <f t="shared" si="44"/>
        <v>157100</v>
      </c>
      <c r="AL19" s="319">
        <f t="shared" si="45"/>
        <v>157100</v>
      </c>
      <c r="AM19" s="319">
        <f t="shared" si="46"/>
        <v>157100</v>
      </c>
      <c r="AN19" s="319">
        <f t="shared" si="47"/>
        <v>157100</v>
      </c>
      <c r="AO19" s="319">
        <f t="shared" si="48"/>
        <v>157100</v>
      </c>
      <c r="AP19" s="319">
        <f t="shared" si="49"/>
        <v>157100</v>
      </c>
    </row>
    <row r="20" spans="2:44" ht="15.75">
      <c r="B20" s="222" t="s">
        <v>735</v>
      </c>
      <c r="C20" s="227" t="s">
        <v>729</v>
      </c>
      <c r="D20" s="227"/>
      <c r="E20" s="227"/>
      <c r="F20" s="227"/>
      <c r="G20" s="227"/>
      <c r="H20" s="227"/>
      <c r="I20" s="227"/>
      <c r="J20" s="227"/>
      <c r="K20" s="227"/>
      <c r="L20" s="861">
        <v>20619</v>
      </c>
      <c r="M20" s="861">
        <v>21259</v>
      </c>
      <c r="N20" s="861">
        <v>21259</v>
      </c>
      <c r="O20" s="861">
        <v>21211</v>
      </c>
      <c r="P20" s="861">
        <v>21264</v>
      </c>
      <c r="Q20" s="863">
        <v>21269</v>
      </c>
      <c r="R20" s="322">
        <v>17200</v>
      </c>
      <c r="S20" s="322">
        <v>17300</v>
      </c>
      <c r="T20" s="322">
        <v>17300</v>
      </c>
      <c r="U20" s="322">
        <v>17500</v>
      </c>
      <c r="V20" s="322">
        <v>17600</v>
      </c>
      <c r="W20" s="322">
        <v>17400</v>
      </c>
      <c r="X20" s="323">
        <v>15800</v>
      </c>
      <c r="Y20" s="690">
        <f t="shared" ref="Y20:Z20" si="50">X20</f>
        <v>15800</v>
      </c>
      <c r="Z20" s="690">
        <f t="shared" si="50"/>
        <v>15800</v>
      </c>
      <c r="AA20" s="1231">
        <v>16200</v>
      </c>
      <c r="AB20" s="1231">
        <f t="shared" ref="AB20" si="51">AA20</f>
        <v>16200</v>
      </c>
      <c r="AC20" s="1231">
        <v>16100</v>
      </c>
      <c r="AD20" s="1231">
        <v>16200</v>
      </c>
      <c r="AE20" s="1231">
        <v>16200</v>
      </c>
      <c r="AF20" s="319">
        <f t="shared" si="39"/>
        <v>16200</v>
      </c>
      <c r="AG20" s="319">
        <f t="shared" si="40"/>
        <v>16200</v>
      </c>
      <c r="AH20" s="319">
        <f t="shared" si="41"/>
        <v>16200</v>
      </c>
      <c r="AI20" s="319">
        <f t="shared" si="42"/>
        <v>16200</v>
      </c>
      <c r="AJ20" s="319">
        <f t="shared" si="43"/>
        <v>16200</v>
      </c>
      <c r="AK20" s="319">
        <f t="shared" si="44"/>
        <v>16200</v>
      </c>
      <c r="AL20" s="319">
        <f t="shared" si="45"/>
        <v>16200</v>
      </c>
      <c r="AM20" s="319">
        <f t="shared" si="46"/>
        <v>16200</v>
      </c>
      <c r="AN20" s="319">
        <f t="shared" si="47"/>
        <v>16200</v>
      </c>
      <c r="AO20" s="319">
        <f t="shared" si="48"/>
        <v>16200</v>
      </c>
      <c r="AP20" s="319">
        <f t="shared" si="49"/>
        <v>16200</v>
      </c>
    </row>
    <row r="21" spans="2:44" ht="15.75">
      <c r="B21" s="222" t="s">
        <v>736</v>
      </c>
      <c r="C21" s="227" t="s">
        <v>729</v>
      </c>
      <c r="D21" s="227"/>
      <c r="E21" s="227"/>
      <c r="F21" s="227"/>
      <c r="G21" s="227"/>
      <c r="H21" s="227"/>
      <c r="I21" s="227"/>
      <c r="J21" s="227"/>
      <c r="K21" s="227"/>
      <c r="L21" s="861">
        <v>3797566</v>
      </c>
      <c r="M21" s="861">
        <v>3857776</v>
      </c>
      <c r="N21" s="861">
        <v>3856246</v>
      </c>
      <c r="O21" s="861">
        <v>3856236</v>
      </c>
      <c r="P21" s="861">
        <v>3854742</v>
      </c>
      <c r="Q21" s="863">
        <v>3846564</v>
      </c>
      <c r="R21" s="322">
        <v>2857000</v>
      </c>
      <c r="S21" s="322">
        <v>2777900</v>
      </c>
      <c r="T21" s="322">
        <v>2780000</v>
      </c>
      <c r="U21" s="322">
        <v>2764800</v>
      </c>
      <c r="V21" s="322">
        <v>2771500</v>
      </c>
      <c r="W21" s="322">
        <v>2797500</v>
      </c>
      <c r="X21" s="323">
        <v>2809600</v>
      </c>
      <c r="Y21" s="690">
        <v>2818000</v>
      </c>
      <c r="Z21" s="1231">
        <v>2820800</v>
      </c>
      <c r="AA21" s="1231">
        <v>2821700</v>
      </c>
      <c r="AB21" s="1231">
        <v>2814800</v>
      </c>
      <c r="AC21" s="1231">
        <v>2818100</v>
      </c>
      <c r="AD21" s="1231">
        <v>2829700</v>
      </c>
      <c r="AE21" s="1231">
        <v>2837200</v>
      </c>
      <c r="AF21" s="319">
        <f t="shared" si="39"/>
        <v>2837200</v>
      </c>
      <c r="AG21" s="319">
        <f t="shared" si="40"/>
        <v>2837200</v>
      </c>
      <c r="AH21" s="319">
        <f t="shared" si="41"/>
        <v>2837200</v>
      </c>
      <c r="AI21" s="319">
        <f t="shared" si="42"/>
        <v>2837200</v>
      </c>
      <c r="AJ21" s="319">
        <f t="shared" si="43"/>
        <v>2837200</v>
      </c>
      <c r="AK21" s="319">
        <f t="shared" si="44"/>
        <v>2837200</v>
      </c>
      <c r="AL21" s="319">
        <f t="shared" si="45"/>
        <v>2837200</v>
      </c>
      <c r="AM21" s="319">
        <f t="shared" si="46"/>
        <v>2837200</v>
      </c>
      <c r="AN21" s="319">
        <f t="shared" si="47"/>
        <v>2837200</v>
      </c>
      <c r="AO21" s="319">
        <f t="shared" si="48"/>
        <v>2837200</v>
      </c>
      <c r="AP21" s="319">
        <f t="shared" si="49"/>
        <v>2837200</v>
      </c>
    </row>
    <row r="22" spans="2:44" ht="15.75">
      <c r="B22" s="222" t="s">
        <v>737</v>
      </c>
      <c r="C22" s="228" t="s">
        <v>729</v>
      </c>
      <c r="D22" s="228"/>
      <c r="E22" s="228"/>
      <c r="F22" s="228"/>
      <c r="G22" s="228"/>
      <c r="H22" s="228"/>
      <c r="I22" s="228"/>
      <c r="J22" s="228"/>
      <c r="K22" s="228"/>
      <c r="L22" s="873">
        <v>30090</v>
      </c>
      <c r="M22" s="873">
        <v>32084</v>
      </c>
      <c r="N22" s="873">
        <v>32075</v>
      </c>
      <c r="O22" s="873">
        <v>31824</v>
      </c>
      <c r="P22" s="873">
        <v>31953</v>
      </c>
      <c r="Q22" s="874">
        <v>31108</v>
      </c>
      <c r="R22" s="322">
        <v>33800</v>
      </c>
      <c r="S22" s="322">
        <v>31000</v>
      </c>
      <c r="T22" s="322">
        <v>30000</v>
      </c>
      <c r="U22" s="322">
        <v>29700</v>
      </c>
      <c r="V22" s="322">
        <v>29300</v>
      </c>
      <c r="W22" s="322">
        <v>28500</v>
      </c>
      <c r="X22" s="323">
        <v>27100</v>
      </c>
      <c r="Y22" s="315">
        <v>25700</v>
      </c>
      <c r="Z22" s="315">
        <v>20686</v>
      </c>
      <c r="AA22" s="315">
        <v>20000</v>
      </c>
      <c r="AB22" s="315">
        <v>19800</v>
      </c>
      <c r="AC22" s="315">
        <v>19300</v>
      </c>
      <c r="AD22" s="315">
        <v>19000</v>
      </c>
      <c r="AE22" s="315">
        <v>18700</v>
      </c>
      <c r="AF22" s="319">
        <f t="shared" si="39"/>
        <v>18700</v>
      </c>
      <c r="AG22" s="319">
        <f t="shared" si="40"/>
        <v>18700</v>
      </c>
      <c r="AH22" s="319">
        <f t="shared" si="41"/>
        <v>18700</v>
      </c>
      <c r="AI22" s="319">
        <f t="shared" si="42"/>
        <v>18700</v>
      </c>
      <c r="AJ22" s="319">
        <f t="shared" si="43"/>
        <v>18700</v>
      </c>
      <c r="AK22" s="319">
        <f t="shared" si="44"/>
        <v>18700</v>
      </c>
      <c r="AL22" s="319">
        <f t="shared" si="45"/>
        <v>18700</v>
      </c>
      <c r="AM22" s="319">
        <f t="shared" si="46"/>
        <v>18700</v>
      </c>
      <c r="AN22" s="319">
        <f t="shared" si="47"/>
        <v>18700</v>
      </c>
      <c r="AO22" s="319">
        <f t="shared" si="48"/>
        <v>18700</v>
      </c>
      <c r="AP22" s="319">
        <f t="shared" si="49"/>
        <v>18700</v>
      </c>
    </row>
    <row r="23" spans="2:44" ht="15.75">
      <c r="B23" s="222"/>
      <c r="C23" s="228"/>
      <c r="D23" s="806"/>
      <c r="E23" s="806"/>
      <c r="F23" s="806"/>
      <c r="G23" s="806"/>
      <c r="H23" s="806"/>
      <c r="I23" s="806"/>
      <c r="J23" s="806"/>
      <c r="K23" s="806"/>
      <c r="L23" s="806"/>
      <c r="M23" s="806"/>
      <c r="N23" s="806"/>
      <c r="O23" s="806"/>
      <c r="P23" s="806"/>
      <c r="Q23" s="806"/>
      <c r="R23" s="806"/>
      <c r="S23" s="806"/>
      <c r="T23" s="806"/>
      <c r="U23" s="806"/>
      <c r="AF23"/>
    </row>
    <row r="24" spans="2:44" ht="15.75" thickBot="1">
      <c r="B24" s="229" t="s">
        <v>726</v>
      </c>
      <c r="C24" s="230"/>
      <c r="D24" s="804"/>
      <c r="E24" s="804"/>
      <c r="F24" s="804"/>
      <c r="G24" s="804"/>
      <c r="H24" s="804"/>
      <c r="I24" s="804"/>
      <c r="J24" s="804"/>
      <c r="K24" s="804"/>
      <c r="L24" s="804"/>
      <c r="M24" s="804"/>
      <c r="N24" s="804"/>
      <c r="O24" s="804"/>
      <c r="P24" s="804"/>
      <c r="Q24" s="804"/>
      <c r="R24" s="804"/>
      <c r="S24" s="804"/>
      <c r="T24" s="804"/>
      <c r="U24" s="804"/>
      <c r="AE24">
        <f>AE26*AE29/1000</f>
        <v>2920.0999999999995</v>
      </c>
      <c r="AF24"/>
    </row>
    <row r="25" spans="2:44">
      <c r="B25" s="1294" t="s">
        <v>738</v>
      </c>
      <c r="C25" s="231" t="s">
        <v>739</v>
      </c>
      <c r="D25" s="254"/>
      <c r="E25" s="254"/>
      <c r="F25" s="254"/>
      <c r="G25" s="254"/>
      <c r="H25" s="254"/>
      <c r="I25" s="254"/>
      <c r="J25" s="254"/>
      <c r="K25" s="254"/>
      <c r="L25" s="880">
        <v>395565</v>
      </c>
      <c r="M25" s="880">
        <v>401912</v>
      </c>
      <c r="N25" s="880">
        <v>396880</v>
      </c>
      <c r="O25" s="880">
        <v>438152</v>
      </c>
      <c r="P25" s="880">
        <v>461741</v>
      </c>
      <c r="Q25" s="881">
        <v>459942</v>
      </c>
      <c r="R25" s="322">
        <v>427178</v>
      </c>
      <c r="S25" s="322">
        <v>424332</v>
      </c>
      <c r="T25" s="322">
        <v>437440</v>
      </c>
      <c r="U25" s="322">
        <v>412626</v>
      </c>
      <c r="V25" s="322">
        <v>422947</v>
      </c>
      <c r="W25" s="322">
        <v>423449</v>
      </c>
      <c r="X25" s="326">
        <v>411581.1</v>
      </c>
      <c r="Y25" s="1229">
        <v>374941.2</v>
      </c>
      <c r="Z25" s="1229">
        <v>383771</v>
      </c>
      <c r="AA25" s="1229">
        <v>391483.8</v>
      </c>
      <c r="AB25" s="1229">
        <v>394546</v>
      </c>
      <c r="AC25" s="1229">
        <v>390531</v>
      </c>
      <c r="AD25" s="1229">
        <v>398318</v>
      </c>
      <c r="AE25" s="1229">
        <v>390228</v>
      </c>
      <c r="AF25" s="327">
        <f t="shared" ref="AF25" si="52">AE25</f>
        <v>390228</v>
      </c>
      <c r="AG25" s="327">
        <f t="shared" ref="AG25" si="53">AF25</f>
        <v>390228</v>
      </c>
      <c r="AH25" s="327">
        <f t="shared" ref="AH25" si="54">AG25</f>
        <v>390228</v>
      </c>
      <c r="AI25" s="327">
        <f t="shared" ref="AI25" si="55">AH25</f>
        <v>390228</v>
      </c>
      <c r="AJ25" s="327">
        <f t="shared" ref="AJ25" si="56">AI25</f>
        <v>390228</v>
      </c>
      <c r="AK25" s="327">
        <f t="shared" ref="AK25" si="57">AJ25</f>
        <v>390228</v>
      </c>
      <c r="AL25" s="327">
        <f t="shared" ref="AL25" si="58">AK25</f>
        <v>390228</v>
      </c>
      <c r="AM25" s="327">
        <f t="shared" ref="AM25" si="59">AL25</f>
        <v>390228</v>
      </c>
      <c r="AN25" s="327">
        <f t="shared" ref="AN25" si="60">AM25</f>
        <v>390228</v>
      </c>
      <c r="AO25" s="327">
        <f t="shared" ref="AO25" si="61">AN25</f>
        <v>390228</v>
      </c>
      <c r="AP25" s="327">
        <f t="shared" ref="AP25" si="62">AO25</f>
        <v>390228</v>
      </c>
    </row>
    <row r="26" spans="2:44">
      <c r="B26" s="1293"/>
      <c r="C26" s="223" t="s">
        <v>740</v>
      </c>
      <c r="D26" s="223"/>
      <c r="E26" s="223"/>
      <c r="F26" s="223"/>
      <c r="G26" s="223"/>
      <c r="H26" s="223"/>
      <c r="I26" s="223"/>
      <c r="J26" s="223"/>
      <c r="K26" s="223"/>
      <c r="L26" s="861">
        <v>934.9</v>
      </c>
      <c r="M26" s="861">
        <v>912.3</v>
      </c>
      <c r="N26" s="861">
        <v>931.2</v>
      </c>
      <c r="O26" s="861">
        <v>942.9</v>
      </c>
      <c r="P26" s="861">
        <v>1294.5</v>
      </c>
      <c r="Q26" s="865">
        <v>1261.0999999999999</v>
      </c>
      <c r="R26" s="322">
        <v>1098.2</v>
      </c>
      <c r="S26" s="322">
        <v>1232.5999999999999</v>
      </c>
      <c r="T26" s="322">
        <v>1392.6</v>
      </c>
      <c r="U26" s="322">
        <v>1317.8</v>
      </c>
      <c r="V26" s="323">
        <v>1392.6</v>
      </c>
      <c r="W26" s="323">
        <v>1435.8</v>
      </c>
      <c r="X26" s="323">
        <v>1447.6</v>
      </c>
      <c r="Y26" s="315">
        <v>1296.2</v>
      </c>
      <c r="Z26" s="315">
        <v>1414.6379999999999</v>
      </c>
      <c r="AA26" s="315">
        <v>1561.356</v>
      </c>
      <c r="AB26" s="315">
        <v>1586.2919999999999</v>
      </c>
      <c r="AC26" s="315">
        <v>1756.364</v>
      </c>
      <c r="AD26" s="315">
        <v>1754.89</v>
      </c>
      <c r="AE26" s="315">
        <v>1828.3209999999999</v>
      </c>
      <c r="AF26" s="315">
        <v>1740.5</v>
      </c>
      <c r="AG26" s="319">
        <f t="shared" ref="AG26:AI26" si="63">AF26*1.05</f>
        <v>1827.5250000000001</v>
      </c>
      <c r="AH26" s="319">
        <f t="shared" si="63"/>
        <v>1918.9012500000001</v>
      </c>
      <c r="AI26" s="319">
        <f t="shared" si="63"/>
        <v>2014.8463125000003</v>
      </c>
      <c r="AJ26" s="319">
        <f t="shared" ref="AJ26" si="64">AI26*1.05</f>
        <v>2115.5886281250005</v>
      </c>
      <c r="AK26" s="319">
        <f t="shared" ref="AK26" si="65">AJ26*1.05</f>
        <v>2221.3680595312508</v>
      </c>
      <c r="AL26" s="319">
        <f t="shared" ref="AL26" si="66">AK26*1.05</f>
        <v>2332.4364625078133</v>
      </c>
      <c r="AM26" s="319">
        <f t="shared" ref="AM26" si="67">AL26*1.05</f>
        <v>2449.0582856332039</v>
      </c>
      <c r="AN26" s="319">
        <f t="shared" ref="AN26" si="68">AM26*1.05</f>
        <v>2571.5111999148644</v>
      </c>
      <c r="AO26" s="319">
        <f t="shared" ref="AO26" si="69">AN26*1.05</f>
        <v>2700.0867599106077</v>
      </c>
      <c r="AP26" s="319">
        <f t="shared" ref="AP26" si="70">AO26*1.05</f>
        <v>2835.0910979061382</v>
      </c>
    </row>
    <row r="27" spans="2:44">
      <c r="B27" s="1293"/>
      <c r="C27" s="223" t="s">
        <v>741</v>
      </c>
      <c r="D27" s="223"/>
      <c r="E27" s="223"/>
      <c r="F27" s="223"/>
      <c r="G27" s="223"/>
      <c r="H27" s="223"/>
      <c r="I27" s="223"/>
      <c r="J27" s="223"/>
      <c r="K27" s="223"/>
      <c r="L27" s="861"/>
      <c r="M27" s="861"/>
      <c r="N27" s="861"/>
      <c r="O27" s="861"/>
      <c r="P27" s="861"/>
      <c r="Q27" s="865"/>
      <c r="R27" s="322"/>
      <c r="S27" s="322"/>
      <c r="T27" s="322"/>
      <c r="U27" s="323">
        <v>94.628751974723542</v>
      </c>
      <c r="V27" s="323">
        <v>105.67612687813022</v>
      </c>
      <c r="W27" s="323">
        <f>W26/V26*100</f>
        <v>103.10211115898321</v>
      </c>
      <c r="X27" s="323">
        <f>X26/W26*100</f>
        <v>100.82184148210057</v>
      </c>
      <c r="Y27" s="315">
        <f>Y26/X26*100</f>
        <v>89.541309754075712</v>
      </c>
      <c r="Z27" s="315">
        <f>Z26/Y26*100</f>
        <v>109.13732448696187</v>
      </c>
      <c r="AA27" s="317">
        <v>110.4</v>
      </c>
      <c r="AB27" s="317">
        <f t="shared" ref="AB27:AD27" si="71">AB26/AA26*100</f>
        <v>101.59707331319699</v>
      </c>
      <c r="AC27" s="317">
        <f t="shared" si="71"/>
        <v>110.72135521076827</v>
      </c>
      <c r="AD27" s="317">
        <f t="shared" si="71"/>
        <v>99.916076621930301</v>
      </c>
      <c r="AE27" s="317">
        <f>AE26/AD26*100</f>
        <v>104.18436483198377</v>
      </c>
      <c r="AF27" s="317">
        <f>AF26/AE26*100</f>
        <v>95.196631226135892</v>
      </c>
      <c r="AG27" s="319">
        <f>AG26/AF26*100</f>
        <v>105</v>
      </c>
      <c r="AH27" s="319">
        <f>AH26/AG26*100</f>
        <v>105</v>
      </c>
      <c r="AI27" s="319">
        <f t="shared" ref="AI27" si="72">AI26/AH26*100</f>
        <v>105</v>
      </c>
      <c r="AJ27" s="319">
        <f t="shared" ref="AJ27" si="73">AJ26/AI26*100</f>
        <v>105</v>
      </c>
      <c r="AK27" s="319">
        <f t="shared" ref="AK27" si="74">AK26/AJ26*100</f>
        <v>105</v>
      </c>
      <c r="AL27" s="319">
        <f t="shared" ref="AL27" si="75">AL26/AK26*100</f>
        <v>105</v>
      </c>
      <c r="AM27" s="319">
        <f t="shared" ref="AM27" si="76">AM26/AL26*100</f>
        <v>105</v>
      </c>
      <c r="AN27" s="319">
        <f t="shared" ref="AN27" si="77">AN26/AM26*100</f>
        <v>105</v>
      </c>
      <c r="AO27" s="319">
        <f t="shared" ref="AO27" si="78">AO26/AN26*100</f>
        <v>105</v>
      </c>
      <c r="AP27" s="319">
        <f t="shared" ref="AP27" si="79">AP26/AO26*100</f>
        <v>105</v>
      </c>
    </row>
    <row r="28" spans="2:44" s="625" customFormat="1">
      <c r="B28" s="1293"/>
      <c r="C28" s="626" t="s">
        <v>742</v>
      </c>
      <c r="D28" s="626"/>
      <c r="E28" s="626"/>
      <c r="F28" s="626"/>
      <c r="G28" s="626"/>
      <c r="H28" s="626"/>
      <c r="I28" s="626"/>
      <c r="J28" s="626"/>
      <c r="K28" s="626"/>
      <c r="L28" s="882" t="s">
        <v>1181</v>
      </c>
      <c r="M28" s="861" t="s">
        <v>1181</v>
      </c>
      <c r="N28" s="861" t="s">
        <v>1181</v>
      </c>
      <c r="O28" s="861" t="s">
        <v>1181</v>
      </c>
      <c r="P28" s="882">
        <v>1344.6</v>
      </c>
      <c r="Q28" s="863">
        <v>1301.7</v>
      </c>
      <c r="R28" s="322">
        <v>2120.5</v>
      </c>
      <c r="S28" s="323">
        <v>2697</v>
      </c>
      <c r="T28" s="322">
        <v>2088.1</v>
      </c>
      <c r="U28" s="323">
        <v>2371.1</v>
      </c>
      <c r="V28" s="627">
        <v>2509.8000000000002</v>
      </c>
      <c r="W28" s="627">
        <v>2541.6999999999998</v>
      </c>
      <c r="X28" s="627">
        <v>2578.3000000000002</v>
      </c>
      <c r="Y28" s="623">
        <v>2307.5749378281298</v>
      </c>
      <c r="Z28" s="623">
        <v>2519.8803813208078</v>
      </c>
      <c r="AA28" s="623">
        <v>2782.2343395965745</v>
      </c>
      <c r="AB28" s="623">
        <v>3527.8521089120891</v>
      </c>
      <c r="AC28" s="623">
        <v>4674.9295035985406</v>
      </c>
      <c r="AD28" s="623">
        <v>3851.8991456953195</v>
      </c>
      <c r="AE28" s="623">
        <v>2920.1</v>
      </c>
      <c r="AF28" s="623">
        <v>2392.0729162508574</v>
      </c>
      <c r="AG28" s="624">
        <f>AG29*AG26/1000</f>
        <v>2552.3124379505794</v>
      </c>
      <c r="AH28" s="624">
        <f t="shared" ref="AH28" si="80">AH29*AH26/1000</f>
        <v>2775.526796498918</v>
      </c>
      <c r="AI28" s="624">
        <f>AI29*AI26/1000</f>
        <v>3031.9989232707799</v>
      </c>
      <c r="AJ28" s="624">
        <f>AJ29*AJ26/1000</f>
        <v>4048.7721273095581</v>
      </c>
      <c r="AK28" s="624">
        <f>AK29*AK26/1000</f>
        <v>4268.486502646223</v>
      </c>
      <c r="AL28" s="624">
        <f t="shared" ref="AL28:AP28" si="81">AL29*AL26/1000</f>
        <v>4550.5948742917644</v>
      </c>
      <c r="AM28" s="624">
        <f t="shared" si="81"/>
        <v>4836.739257055463</v>
      </c>
      <c r="AN28" s="624">
        <f t="shared" si="81"/>
        <v>5132.9687196255763</v>
      </c>
      <c r="AO28" s="624">
        <f t="shared" si="81"/>
        <v>5454.0859675437132</v>
      </c>
      <c r="AP28" s="624">
        <f t="shared" si="81"/>
        <v>5807.9488947051104</v>
      </c>
    </row>
    <row r="29" spans="2:44">
      <c r="B29" s="1293"/>
      <c r="C29" s="223" t="s">
        <v>743</v>
      </c>
      <c r="D29" s="223"/>
      <c r="E29" s="223"/>
      <c r="F29" s="223"/>
      <c r="G29" s="223"/>
      <c r="H29" s="223"/>
      <c r="I29" s="223"/>
      <c r="J29" s="223"/>
      <c r="K29" s="223"/>
      <c r="L29" s="877"/>
      <c r="M29" s="877"/>
      <c r="N29" s="877"/>
      <c r="O29" s="877"/>
      <c r="P29" s="877"/>
      <c r="Q29" s="863"/>
      <c r="R29" s="323">
        <v>1930.8869058459297</v>
      </c>
      <c r="S29" s="323">
        <v>2188.0577640759375</v>
      </c>
      <c r="T29" s="323">
        <v>1499.4255349705588</v>
      </c>
      <c r="U29" s="323">
        <v>1799.286689937775</v>
      </c>
      <c r="V29" s="323">
        <f t="shared" ref="V29:AD29" si="82">V28/V26*1000</f>
        <v>1802.2404136148214</v>
      </c>
      <c r="W29" s="323">
        <f t="shared" si="82"/>
        <v>1770.2326229279843</v>
      </c>
      <c r="X29" s="323">
        <f t="shared" si="82"/>
        <v>1781.0859353412548</v>
      </c>
      <c r="Y29" s="323">
        <f t="shared" si="82"/>
        <v>1780.2614857492129</v>
      </c>
      <c r="Z29" s="323">
        <f t="shared" si="82"/>
        <v>1781.2898998336027</v>
      </c>
      <c r="AA29" s="323">
        <f t="shared" si="82"/>
        <v>1781.93463860681</v>
      </c>
      <c r="AB29" s="323">
        <f t="shared" si="82"/>
        <v>2223.9613569961198</v>
      </c>
      <c r="AC29" s="323">
        <f t="shared" si="82"/>
        <v>2661.7087936205367</v>
      </c>
      <c r="AD29" s="323">
        <f t="shared" si="82"/>
        <v>2194.9519033644951</v>
      </c>
      <c r="AE29" s="323">
        <f>AE28/AE26*1000</f>
        <v>1597.1484219674771</v>
      </c>
      <c r="AF29" s="323">
        <f>AF28/AF26*1000</f>
        <v>1374.3596186445604</v>
      </c>
      <c r="AG29" s="114">
        <f>AF29*Assumptions!AG10/Assumptions!AF10*(Monetary!AG15/100-Assumptions!AG11/100)</f>
        <v>1396.5950878650522</v>
      </c>
      <c r="AH29" s="114">
        <f>AG29*Assumptions!AH10/Assumptions!AG10*(Monetary!AH15/100-Assumptions!AH11/100)</f>
        <v>1446.4146065353377</v>
      </c>
      <c r="AI29" s="114">
        <f>AH29*Assumptions!AI10/Assumptions!AH10*(Monetary!AI15/100-Assumptions!AI11/100)</f>
        <v>1504.8288817168923</v>
      </c>
      <c r="AJ29" s="114">
        <f>AI29*Assumptions!AJ10/Assumptions!AI10*(Monetary!AJ15/100-Assumptions!AJ11/100)</f>
        <v>1913.780436085013</v>
      </c>
      <c r="AK29" s="114">
        <f>AJ29*Assumptions!AK10/Assumptions!AJ10*(Monetary!AK15/100-Assumptions!AK11/100)</f>
        <v>1921.5575214253111</v>
      </c>
      <c r="AL29" s="114">
        <f>AK29*Assumptions!AL10/Assumptions!AK10*(Monetary!AL15/100-Assumptions!AL11/100)</f>
        <v>1951.0048601276831</v>
      </c>
      <c r="AM29" s="114">
        <f>AL29*Assumptions!AM10/Assumptions!AL10*(Monetary!AM15/100-Assumptions!AM11/100)</f>
        <v>1974.9384020090499</v>
      </c>
      <c r="AN29" s="114">
        <f>AM29*Assumptions!AN10/Assumptions!AM10*(Monetary!AN15/100-Assumptions!AN11/100)</f>
        <v>1996.0903611057633</v>
      </c>
      <c r="AO29" s="114">
        <f>AN29*Assumptions!AO10/Assumptions!AN10*(Monetary!AO15/100-Assumptions!AO11/100)</f>
        <v>2019.9669316271459</v>
      </c>
      <c r="AP29" s="114">
        <f>AO29*Assumptions!AP10/Assumptions!AO10*(Monetary!AP15/100-Assumptions!AP11/100)</f>
        <v>2048.5933940516343</v>
      </c>
      <c r="AR29" t="s">
        <v>1088</v>
      </c>
    </row>
    <row r="30" spans="2:44" ht="27" thickBot="1">
      <c r="B30" s="1295"/>
      <c r="C30" s="233" t="s">
        <v>744</v>
      </c>
      <c r="D30" s="239"/>
      <c r="E30" s="239"/>
      <c r="F30" s="239"/>
      <c r="G30" s="239"/>
      <c r="H30" s="239"/>
      <c r="I30" s="239"/>
      <c r="J30" s="239"/>
      <c r="K30" s="239"/>
      <c r="L30" s="879">
        <v>19.5</v>
      </c>
      <c r="M30" s="879">
        <v>20.6</v>
      </c>
      <c r="N30" s="879">
        <v>20.5</v>
      </c>
      <c r="O30" s="879">
        <v>20.9</v>
      </c>
      <c r="P30" s="879">
        <v>25.2</v>
      </c>
      <c r="Q30" s="878">
        <v>27.418674528527507</v>
      </c>
      <c r="R30" s="323">
        <v>23.6</v>
      </c>
      <c r="S30" s="323">
        <v>25.3</v>
      </c>
      <c r="T30" s="323">
        <v>27.7</v>
      </c>
      <c r="U30" s="323">
        <v>28.1</v>
      </c>
      <c r="V30" s="323">
        <v>27.7</v>
      </c>
      <c r="W30" s="323">
        <v>28.4</v>
      </c>
      <c r="X30" s="323">
        <f t="shared" ref="X30:AD30" si="83">X26/X25*10000</f>
        <v>35.171683053473544</v>
      </c>
      <c r="Y30" s="317">
        <f t="shared" si="83"/>
        <v>34.57075402756486</v>
      </c>
      <c r="Z30" s="317">
        <f t="shared" si="83"/>
        <v>36.861513767324787</v>
      </c>
      <c r="AA30" s="317">
        <f t="shared" si="83"/>
        <v>39.883029642605898</v>
      </c>
      <c r="AB30" s="317">
        <f>AB26/AB25*10000</f>
        <v>40.205502020043284</v>
      </c>
      <c r="AC30" s="317">
        <f t="shared" si="83"/>
        <v>44.973740881005611</v>
      </c>
      <c r="AD30" s="319">
        <f t="shared" si="83"/>
        <v>44.057511837275754</v>
      </c>
      <c r="AE30" s="319">
        <f t="shared" ref="AE30:AJ30" si="84">AE26/AE25*10000</f>
        <v>46.85263486987094</v>
      </c>
      <c r="AF30" s="319">
        <f>AF26/AF25*10000</f>
        <v>44.602130036799004</v>
      </c>
      <c r="AG30" s="319">
        <f t="shared" si="84"/>
        <v>46.832236538638959</v>
      </c>
      <c r="AH30" s="319">
        <f t="shared" si="84"/>
        <v>49.173848365570905</v>
      </c>
      <c r="AI30" s="319">
        <f t="shared" si="84"/>
        <v>51.63254078384945</v>
      </c>
      <c r="AJ30" s="319">
        <f t="shared" si="84"/>
        <v>54.214167823041926</v>
      </c>
      <c r="AK30" s="319">
        <f t="shared" ref="AK30:AP30" si="85">AK26/AK25*10000</f>
        <v>56.924876214194036</v>
      </c>
      <c r="AL30" s="319">
        <f t="shared" si="85"/>
        <v>59.77112002490373</v>
      </c>
      <c r="AM30" s="319">
        <f t="shared" si="85"/>
        <v>62.759676026148917</v>
      </c>
      <c r="AN30" s="319">
        <f t="shared" si="85"/>
        <v>65.897659827456366</v>
      </c>
      <c r="AO30" s="319">
        <f t="shared" si="85"/>
        <v>69.192542818829182</v>
      </c>
      <c r="AP30" s="319">
        <f t="shared" si="85"/>
        <v>72.652169959770646</v>
      </c>
    </row>
    <row r="31" spans="2:44" ht="26.25">
      <c r="B31" s="234"/>
      <c r="C31" s="235" t="s">
        <v>745</v>
      </c>
      <c r="D31" s="801"/>
      <c r="E31" s="801"/>
      <c r="F31" s="801"/>
      <c r="G31" s="801"/>
      <c r="H31" s="801"/>
      <c r="I31" s="801"/>
      <c r="J31" s="801"/>
      <c r="K31" s="801"/>
      <c r="L31" s="801"/>
      <c r="M31" s="801"/>
      <c r="N31" s="801"/>
      <c r="O31" s="801"/>
      <c r="P31" s="801"/>
      <c r="Q31" s="801"/>
      <c r="R31" s="801"/>
      <c r="S31" s="801"/>
      <c r="T31" s="801"/>
      <c r="U31" s="801"/>
      <c r="AF31"/>
    </row>
    <row r="32" spans="2:44">
      <c r="B32" s="236" t="s">
        <v>732</v>
      </c>
      <c r="C32" s="236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AF32"/>
    </row>
    <row r="33" spans="2:42">
      <c r="B33" s="1313" t="s">
        <v>746</v>
      </c>
      <c r="C33" s="236" t="s">
        <v>739</v>
      </c>
      <c r="D33" s="236"/>
      <c r="E33" s="236"/>
      <c r="F33" s="236"/>
      <c r="G33" s="236"/>
      <c r="H33" s="236"/>
      <c r="I33" s="236"/>
      <c r="J33" s="236"/>
      <c r="K33" s="236"/>
      <c r="L33" s="883">
        <v>317738</v>
      </c>
      <c r="M33" s="883">
        <v>320694</v>
      </c>
      <c r="N33" s="883">
        <v>307961</v>
      </c>
      <c r="O33" s="883">
        <v>331766</v>
      </c>
      <c r="P33" s="883">
        <v>358766</v>
      </c>
      <c r="Q33" s="863">
        <v>342566</v>
      </c>
      <c r="R33" s="322">
        <v>311179</v>
      </c>
      <c r="S33" s="322">
        <v>303677</v>
      </c>
      <c r="T33" s="322">
        <v>318601</v>
      </c>
      <c r="U33" s="322">
        <v>292573</v>
      </c>
      <c r="V33" s="322">
        <v>295632</v>
      </c>
      <c r="W33" s="322">
        <v>297479</v>
      </c>
      <c r="X33" s="322">
        <v>285867</v>
      </c>
      <c r="Y33" s="1231">
        <v>255548.79999999999</v>
      </c>
      <c r="Z33" s="1231">
        <v>263960</v>
      </c>
      <c r="AA33" s="1231">
        <v>269645.3</v>
      </c>
      <c r="AB33" s="1231">
        <v>274796</v>
      </c>
      <c r="AC33" s="1231">
        <v>271067</v>
      </c>
      <c r="AD33" s="1231">
        <v>275037</v>
      </c>
      <c r="AE33" s="1231">
        <v>263562</v>
      </c>
      <c r="AF33" s="319">
        <f t="shared" ref="AF33" si="86">AE33</f>
        <v>263562</v>
      </c>
      <c r="AG33" s="319">
        <f t="shared" ref="AG33" si="87">AF33</f>
        <v>263562</v>
      </c>
      <c r="AH33" s="319">
        <f t="shared" ref="AH33" si="88">AG33</f>
        <v>263562</v>
      </c>
      <c r="AI33" s="319">
        <f t="shared" ref="AI33" si="89">AH33</f>
        <v>263562</v>
      </c>
      <c r="AJ33" s="319">
        <f t="shared" ref="AJ33" si="90">AI33</f>
        <v>263562</v>
      </c>
      <c r="AK33" s="319">
        <f t="shared" ref="AK33" si="91">AJ33</f>
        <v>263562</v>
      </c>
      <c r="AL33" s="319">
        <f t="shared" ref="AL33" si="92">AK33</f>
        <v>263562</v>
      </c>
      <c r="AM33" s="319">
        <f t="shared" ref="AM33" si="93">AL33</f>
        <v>263562</v>
      </c>
      <c r="AN33" s="319">
        <f t="shared" ref="AN33" si="94">AM33</f>
        <v>263562</v>
      </c>
      <c r="AO33" s="319">
        <f t="shared" ref="AO33" si="95">AN33</f>
        <v>263562</v>
      </c>
      <c r="AP33" s="319">
        <f t="shared" ref="AP33" si="96">AO33</f>
        <v>263562</v>
      </c>
    </row>
    <row r="34" spans="2:42">
      <c r="B34" s="1305"/>
      <c r="C34" s="236" t="s">
        <v>740</v>
      </c>
      <c r="D34" s="236"/>
      <c r="E34" s="236"/>
      <c r="F34" s="236"/>
      <c r="G34" s="236"/>
      <c r="H34" s="236"/>
      <c r="I34" s="236"/>
      <c r="J34" s="236"/>
      <c r="K34" s="236"/>
      <c r="L34" s="883">
        <v>618.5</v>
      </c>
      <c r="M34" s="883">
        <v>640.29999999999995</v>
      </c>
      <c r="N34" s="883">
        <v>649.29999999999995</v>
      </c>
      <c r="O34" s="883">
        <v>659.1</v>
      </c>
      <c r="P34" s="883">
        <v>938.4</v>
      </c>
      <c r="Q34" s="863">
        <v>857.5</v>
      </c>
      <c r="R34" s="322">
        <v>726.9</v>
      </c>
      <c r="S34" s="322">
        <v>812.6</v>
      </c>
      <c r="T34" s="322">
        <v>947.4</v>
      </c>
      <c r="U34" s="322">
        <v>868.4</v>
      </c>
      <c r="V34" s="323">
        <v>896.4</v>
      </c>
      <c r="W34" s="323">
        <v>917.1</v>
      </c>
      <c r="X34" s="323">
        <v>900.2</v>
      </c>
      <c r="Y34" s="317">
        <v>779</v>
      </c>
      <c r="Z34" s="690">
        <v>836.88400000000001</v>
      </c>
      <c r="AA34" s="690">
        <v>864.17399999999998</v>
      </c>
      <c r="AB34" s="690">
        <v>876.15200000000004</v>
      </c>
      <c r="AC34" s="690">
        <v>934.274</v>
      </c>
      <c r="AD34" s="690">
        <v>860.48900000000003</v>
      </c>
      <c r="AE34" s="690">
        <v>880.75599999999997</v>
      </c>
      <c r="AF34" s="690">
        <v>811.3</v>
      </c>
      <c r="AG34" s="319">
        <f t="shared" ref="AG34" si="97">AF34*1.05</f>
        <v>851.86500000000001</v>
      </c>
      <c r="AH34" s="319">
        <f t="shared" ref="AH34" si="98">AG34*1.05</f>
        <v>894.45825000000002</v>
      </c>
      <c r="AI34" s="319">
        <f t="shared" ref="AI34" si="99">AH34*1.05</f>
        <v>939.18116250000003</v>
      </c>
      <c r="AJ34" s="319">
        <f t="shared" ref="AJ34" si="100">AI34*1.05</f>
        <v>986.1402206250001</v>
      </c>
      <c r="AK34" s="319">
        <f t="shared" ref="AK34" si="101">AJ34*1.05</f>
        <v>1035.4472316562501</v>
      </c>
      <c r="AL34" s="319">
        <f t="shared" ref="AL34" si="102">AK34*1.05</f>
        <v>1087.2195932390628</v>
      </c>
      <c r="AM34" s="319">
        <f t="shared" ref="AM34" si="103">AL34*1.05</f>
        <v>1141.580572901016</v>
      </c>
      <c r="AN34" s="319">
        <f t="shared" ref="AN34" si="104">AM34*1.05</f>
        <v>1198.6596015460668</v>
      </c>
      <c r="AO34" s="319">
        <f t="shared" ref="AO34" si="105">AN34*1.05</f>
        <v>1258.5925816233703</v>
      </c>
      <c r="AP34" s="319">
        <f t="shared" ref="AP34" si="106">AO34*1.05</f>
        <v>1321.5222107045388</v>
      </c>
    </row>
    <row r="35" spans="2:42">
      <c r="B35" s="1305"/>
      <c r="C35" s="236" t="s">
        <v>742</v>
      </c>
      <c r="D35" s="801"/>
      <c r="E35" s="801"/>
      <c r="F35" s="801"/>
      <c r="G35" s="801"/>
      <c r="H35" s="801"/>
      <c r="I35" s="801"/>
      <c r="J35" s="801"/>
      <c r="K35" s="801"/>
      <c r="L35" s="883"/>
      <c r="M35" s="883"/>
      <c r="N35" s="883"/>
      <c r="O35" s="883"/>
      <c r="P35" s="883"/>
      <c r="Q35" s="863"/>
      <c r="R35" s="322"/>
      <c r="S35" s="322"/>
      <c r="T35" s="322"/>
      <c r="U35" s="322"/>
      <c r="W35" s="322">
        <v>1336.4</v>
      </c>
      <c r="X35" s="323">
        <v>1295.97</v>
      </c>
      <c r="AF35"/>
    </row>
    <row r="36" spans="2:42" ht="26.25">
      <c r="B36" s="1306"/>
      <c r="C36" s="236" t="s">
        <v>744</v>
      </c>
      <c r="D36" s="236"/>
      <c r="E36" s="236"/>
      <c r="F36" s="236"/>
      <c r="G36" s="236"/>
      <c r="H36" s="236"/>
      <c r="I36" s="236"/>
      <c r="J36" s="236"/>
      <c r="K36" s="236"/>
      <c r="L36" s="883">
        <v>19.600000000000001</v>
      </c>
      <c r="M36" s="883">
        <v>19.899999999999999</v>
      </c>
      <c r="N36" s="883">
        <v>20.6</v>
      </c>
      <c r="O36" s="883">
        <v>20.6</v>
      </c>
      <c r="P36" s="883">
        <v>25.1</v>
      </c>
      <c r="Q36" s="863">
        <v>23.9</v>
      </c>
      <c r="R36" s="323">
        <v>23.359545470613376</v>
      </c>
      <c r="S36" s="323">
        <v>26.758694270557207</v>
      </c>
      <c r="T36" s="323">
        <v>29.736253181879526</v>
      </c>
      <c r="U36" s="323">
        <v>29.681481202981818</v>
      </c>
      <c r="V36" s="323">
        <f t="shared" ref="V36:AA36" si="107">V34/V33*10000</f>
        <v>30.321480759863615</v>
      </c>
      <c r="W36" s="323">
        <f t="shared" si="107"/>
        <v>30.829066925732572</v>
      </c>
      <c r="X36" s="323">
        <f t="shared" si="107"/>
        <v>31.490168504934115</v>
      </c>
      <c r="Y36" s="323">
        <f t="shared" si="107"/>
        <v>30.483414518088129</v>
      </c>
      <c r="Z36" s="323">
        <f t="shared" si="107"/>
        <v>31.704955296257012</v>
      </c>
      <c r="AA36" s="323">
        <f t="shared" si="107"/>
        <v>32.048546738993785</v>
      </c>
      <c r="AB36" s="323">
        <f>AB34/AB33*10000</f>
        <v>31.883724653925093</v>
      </c>
      <c r="AC36" s="323">
        <f>AC34/AC33*10000</f>
        <v>34.46653410411448</v>
      </c>
      <c r="AD36" s="323">
        <f t="shared" ref="AD36:AP36" si="108">AD34/AD33*10000</f>
        <v>31.286299661500088</v>
      </c>
      <c r="AE36" s="329">
        <f>AE34/AE33*10000</f>
        <v>33.417412221792212</v>
      </c>
      <c r="AF36" s="329">
        <f>AF34/AF33*10000</f>
        <v>30.782130959698286</v>
      </c>
      <c r="AG36" s="329">
        <f t="shared" si="108"/>
        <v>32.3212375076832</v>
      </c>
      <c r="AH36" s="329">
        <f t="shared" si="108"/>
        <v>33.937299383067362</v>
      </c>
      <c r="AI36" s="329">
        <f t="shared" si="108"/>
        <v>35.634164352220729</v>
      </c>
      <c r="AJ36" s="329">
        <f t="shared" si="108"/>
        <v>37.41587256983177</v>
      </c>
      <c r="AK36" s="329">
        <f t="shared" si="108"/>
        <v>39.286666198323353</v>
      </c>
      <c r="AL36" s="329">
        <f t="shared" si="108"/>
        <v>41.250999508239538</v>
      </c>
      <c r="AM36" s="329">
        <f t="shared" si="108"/>
        <v>43.313549483651514</v>
      </c>
      <c r="AN36" s="329">
        <f t="shared" si="108"/>
        <v>45.479226957834086</v>
      </c>
      <c r="AO36" s="329">
        <f t="shared" si="108"/>
        <v>47.7531883057258</v>
      </c>
      <c r="AP36" s="329">
        <f t="shared" si="108"/>
        <v>50.140847721012086</v>
      </c>
    </row>
    <row r="37" spans="2:42" ht="15.75" thickBot="1">
      <c r="B37" s="237"/>
      <c r="C37" s="239"/>
      <c r="D37" s="801"/>
      <c r="E37" s="801"/>
      <c r="F37" s="801"/>
      <c r="G37" s="801"/>
      <c r="H37" s="801"/>
      <c r="I37" s="801"/>
      <c r="J37" s="801"/>
      <c r="K37" s="801"/>
      <c r="L37" s="801"/>
      <c r="M37" s="801"/>
      <c r="N37" s="801"/>
      <c r="O37" s="801"/>
      <c r="P37" s="801"/>
      <c r="Q37" s="801"/>
      <c r="R37" s="801"/>
      <c r="S37" s="801"/>
      <c r="T37" s="801"/>
      <c r="U37" s="801"/>
      <c r="AE37">
        <f>AE39*AE42/1000</f>
        <v>1289.7</v>
      </c>
      <c r="AF37"/>
    </row>
    <row r="38" spans="2:42">
      <c r="B38" s="1294" t="s">
        <v>199</v>
      </c>
      <c r="C38" s="231" t="s">
        <v>739</v>
      </c>
      <c r="D38" s="254"/>
      <c r="E38" s="254"/>
      <c r="F38" s="254"/>
      <c r="G38" s="254"/>
      <c r="H38" s="254"/>
      <c r="I38" s="254"/>
      <c r="J38" s="254"/>
      <c r="K38" s="254"/>
      <c r="L38" s="880">
        <v>288655</v>
      </c>
      <c r="M38" s="880">
        <v>262894</v>
      </c>
      <c r="N38" s="880">
        <v>254830</v>
      </c>
      <c r="O38" s="880">
        <v>237130</v>
      </c>
      <c r="P38" s="880">
        <v>168916</v>
      </c>
      <c r="Q38" s="881">
        <v>162428</v>
      </c>
      <c r="R38" s="322">
        <v>204110</v>
      </c>
      <c r="S38" s="322">
        <v>199254</v>
      </c>
      <c r="T38" s="322">
        <v>190925</v>
      </c>
      <c r="U38" s="322">
        <v>177637</v>
      </c>
      <c r="V38" s="321">
        <v>159492</v>
      </c>
      <c r="W38" s="321">
        <v>162558</v>
      </c>
      <c r="X38" s="321">
        <v>173979</v>
      </c>
      <c r="Y38" s="1231">
        <v>185816.8</v>
      </c>
      <c r="Z38" s="1231">
        <v>185671</v>
      </c>
      <c r="AA38" s="1231">
        <v>185435</v>
      </c>
      <c r="AB38" s="1231">
        <v>173770</v>
      </c>
      <c r="AC38" s="1231">
        <v>181542</v>
      </c>
      <c r="AD38" s="1231">
        <v>166326</v>
      </c>
      <c r="AE38" s="1231">
        <v>170705</v>
      </c>
      <c r="AF38" s="319">
        <f>AE38</f>
        <v>170705</v>
      </c>
      <c r="AG38" s="319">
        <f t="shared" ref="AG38:AI38" si="109">AF38</f>
        <v>170705</v>
      </c>
      <c r="AH38" s="319">
        <f t="shared" si="109"/>
        <v>170705</v>
      </c>
      <c r="AI38" s="319">
        <f t="shared" si="109"/>
        <v>170705</v>
      </c>
      <c r="AJ38" s="319">
        <f t="shared" ref="AJ38" si="110">AI38</f>
        <v>170705</v>
      </c>
      <c r="AK38" s="319">
        <f t="shared" ref="AK38" si="111">AJ38</f>
        <v>170705</v>
      </c>
      <c r="AL38" s="319">
        <f t="shared" ref="AL38" si="112">AK38</f>
        <v>170705</v>
      </c>
      <c r="AM38" s="319">
        <f t="shared" ref="AM38" si="113">AL38</f>
        <v>170705</v>
      </c>
      <c r="AN38" s="319">
        <f t="shared" ref="AN38" si="114">AM38</f>
        <v>170705</v>
      </c>
      <c r="AO38" s="319">
        <f t="shared" ref="AO38" si="115">AN38</f>
        <v>170705</v>
      </c>
      <c r="AP38" s="319">
        <f t="shared" ref="AP38" si="116">AO38</f>
        <v>170705</v>
      </c>
    </row>
    <row r="39" spans="2:42">
      <c r="B39" s="1293"/>
      <c r="C39" s="236" t="s">
        <v>740</v>
      </c>
      <c r="D39" s="236"/>
      <c r="E39" s="236"/>
      <c r="F39" s="236"/>
      <c r="G39" s="236"/>
      <c r="H39" s="236"/>
      <c r="I39" s="236"/>
      <c r="J39" s="236"/>
      <c r="K39" s="236"/>
      <c r="L39" s="883">
        <v>447.9</v>
      </c>
      <c r="M39" s="883">
        <v>437.9</v>
      </c>
      <c r="N39" s="883">
        <v>419.7</v>
      </c>
      <c r="O39" s="883">
        <v>353.1</v>
      </c>
      <c r="P39" s="883">
        <v>296</v>
      </c>
      <c r="Q39" s="863">
        <v>310.89999999999998</v>
      </c>
      <c r="R39" s="322">
        <v>416.5</v>
      </c>
      <c r="S39" s="322">
        <v>418</v>
      </c>
      <c r="T39" s="322">
        <v>392.8</v>
      </c>
      <c r="U39" s="323">
        <v>372.7</v>
      </c>
      <c r="V39" s="323">
        <v>270</v>
      </c>
      <c r="W39" s="323">
        <v>284.7</v>
      </c>
      <c r="X39" s="323">
        <v>386.5</v>
      </c>
      <c r="Y39" s="317">
        <v>300.39999999999998</v>
      </c>
      <c r="Z39" s="691">
        <v>403.00799999999998</v>
      </c>
      <c r="AA39" s="691">
        <v>396.01499999999999</v>
      </c>
      <c r="AB39" s="691">
        <v>388.80399999999997</v>
      </c>
      <c r="AC39" s="691">
        <v>404.65699999999998</v>
      </c>
      <c r="AD39" s="691">
        <v>344.35</v>
      </c>
      <c r="AE39" s="691">
        <v>253.73599999999999</v>
      </c>
      <c r="AF39" s="691">
        <v>382.9</v>
      </c>
      <c r="AG39" s="94">
        <f>Assumptions!AG47</f>
        <v>387.4948</v>
      </c>
      <c r="AH39" s="94">
        <f>Assumptions!AH47</f>
        <v>392.14473759999998</v>
      </c>
      <c r="AI39" s="94">
        <f>Assumptions!AI47</f>
        <v>396.8504744512</v>
      </c>
      <c r="AJ39" s="94">
        <f>Assumptions!AJ47</f>
        <v>401.61268014461439</v>
      </c>
      <c r="AK39" s="94">
        <f>Assumptions!AK47</f>
        <v>406.43203230634975</v>
      </c>
      <c r="AL39" s="94">
        <f>Assumptions!AL47</f>
        <v>411.30921669402596</v>
      </c>
      <c r="AM39" s="94">
        <f>Assumptions!AM47</f>
        <v>416.24492729435428</v>
      </c>
      <c r="AN39" s="94">
        <f>Assumptions!AN47</f>
        <v>421.23986642188652</v>
      </c>
      <c r="AO39" s="94">
        <f>Assumptions!AO47</f>
        <v>426.29474481894914</v>
      </c>
      <c r="AP39" s="94">
        <f>Assumptions!AP47</f>
        <v>431.41028175677656</v>
      </c>
    </row>
    <row r="40" spans="2:42" s="625" customFormat="1">
      <c r="B40" s="1293"/>
      <c r="C40" s="626" t="s">
        <v>742</v>
      </c>
      <c r="D40" s="626"/>
      <c r="E40" s="626"/>
      <c r="F40" s="626"/>
      <c r="G40" s="626"/>
      <c r="H40" s="626"/>
      <c r="I40" s="626"/>
      <c r="J40" s="626"/>
      <c r="K40" s="626"/>
      <c r="L40" s="861">
        <v>0</v>
      </c>
      <c r="M40" s="861">
        <v>0</v>
      </c>
      <c r="N40" s="861">
        <v>0</v>
      </c>
      <c r="O40" s="861">
        <v>0</v>
      </c>
      <c r="P40" s="861">
        <v>550.79999999999995</v>
      </c>
      <c r="Q40" s="863">
        <v>789.4</v>
      </c>
      <c r="R40" s="322">
        <v>1509.3</v>
      </c>
      <c r="S40" s="322">
        <v>1107.5</v>
      </c>
      <c r="T40" s="322">
        <v>1327.3</v>
      </c>
      <c r="U40" s="323">
        <v>1098.8</v>
      </c>
      <c r="V40" s="627">
        <v>807.5</v>
      </c>
      <c r="W40" s="627">
        <v>1276.2</v>
      </c>
      <c r="X40" s="627">
        <v>1744.98</v>
      </c>
      <c r="Y40" s="623">
        <v>1346.5770284510013</v>
      </c>
      <c r="Z40" s="623">
        <v>1806.4931506849323</v>
      </c>
      <c r="AA40" s="623">
        <v>1775.1148577449956</v>
      </c>
      <c r="AB40" s="623">
        <v>1742.8400421496319</v>
      </c>
      <c r="AC40" s="628">
        <v>1851.5952790671356</v>
      </c>
      <c r="AD40" s="628">
        <v>1922.3223959104421</v>
      </c>
      <c r="AE40" s="628">
        <v>1289.7</v>
      </c>
      <c r="AF40" s="628">
        <v>1755.6387803092728</v>
      </c>
      <c r="AG40" s="629">
        <f t="shared" ref="AG40:AP40" si="117">AG39*AG42/1000</f>
        <v>1794.6529754272567</v>
      </c>
      <c r="AH40" s="629">
        <f t="shared" si="117"/>
        <v>1839.1785429188694</v>
      </c>
      <c r="AI40" s="629">
        <f t="shared" si="117"/>
        <v>1977.5767282735146</v>
      </c>
      <c r="AJ40" s="629">
        <f>AJ39*AJ42/1000</f>
        <v>2119.0316283664906</v>
      </c>
      <c r="AK40" s="629">
        <f t="shared" si="117"/>
        <v>2318.3995418815584</v>
      </c>
      <c r="AL40" s="629">
        <f t="shared" si="117"/>
        <v>2346.2203363841372</v>
      </c>
      <c r="AM40" s="629">
        <f t="shared" si="117"/>
        <v>2374.3749804207469</v>
      </c>
      <c r="AN40" s="629">
        <f t="shared" si="117"/>
        <v>2402.8674801857956</v>
      </c>
      <c r="AO40" s="629">
        <f t="shared" si="117"/>
        <v>2431.7018899480249</v>
      </c>
      <c r="AP40" s="629">
        <f t="shared" si="117"/>
        <v>2460.8823126274015</v>
      </c>
    </row>
    <row r="41" spans="2:42" ht="26.25">
      <c r="B41" s="1293"/>
      <c r="C41" s="236" t="s">
        <v>744</v>
      </c>
      <c r="D41" s="236"/>
      <c r="E41" s="236"/>
      <c r="F41" s="236"/>
      <c r="G41" s="236"/>
      <c r="H41" s="236"/>
      <c r="I41" s="236"/>
      <c r="J41" s="236"/>
      <c r="K41" s="236"/>
      <c r="L41" s="883">
        <v>15.6</v>
      </c>
      <c r="M41" s="883">
        <v>17</v>
      </c>
      <c r="N41" s="883">
        <v>16.600000000000001</v>
      </c>
      <c r="O41" s="883">
        <v>15.6</v>
      </c>
      <c r="P41" s="883">
        <v>17.8</v>
      </c>
      <c r="Q41" s="863">
        <v>19.3</v>
      </c>
      <c r="R41" s="322">
        <v>20.399999999999999</v>
      </c>
      <c r="S41" s="322">
        <v>21</v>
      </c>
      <c r="T41" s="331">
        <v>20.573523634935185</v>
      </c>
      <c r="U41" s="331">
        <v>20.980989320918503</v>
      </c>
      <c r="V41" s="331">
        <v>17.3</v>
      </c>
      <c r="W41" s="331">
        <f t="shared" ref="W41:AP41" si="118">W39/W38*10000</f>
        <v>17.51374893884029</v>
      </c>
      <c r="X41" s="331">
        <f>22.4</f>
        <v>22.4</v>
      </c>
      <c r="Y41" s="332">
        <f t="shared" si="118"/>
        <v>16.166460729062173</v>
      </c>
      <c r="Z41" s="332">
        <f t="shared" si="118"/>
        <v>21.705489818011429</v>
      </c>
      <c r="AA41" s="332">
        <f t="shared" si="118"/>
        <v>21.35600075498153</v>
      </c>
      <c r="AB41" s="332">
        <f t="shared" si="118"/>
        <v>22.374633135754156</v>
      </c>
      <c r="AC41" s="332">
        <f t="shared" si="118"/>
        <v>22.289993500126691</v>
      </c>
      <c r="AD41" s="332">
        <f t="shared" si="118"/>
        <v>20.703317581135845</v>
      </c>
      <c r="AE41" s="333">
        <f t="shared" si="118"/>
        <v>14.864005155092119</v>
      </c>
      <c r="AF41" s="333">
        <f t="shared" si="118"/>
        <v>22.430508772443687</v>
      </c>
      <c r="AG41" s="333">
        <f t="shared" si="118"/>
        <v>22.699674877713015</v>
      </c>
      <c r="AH41" s="333">
        <f t="shared" si="118"/>
        <v>22.972070976245568</v>
      </c>
      <c r="AI41" s="333">
        <f t="shared" si="118"/>
        <v>23.247735827960515</v>
      </c>
      <c r="AJ41" s="333">
        <f t="shared" si="118"/>
        <v>23.526708657896044</v>
      </c>
      <c r="AK41" s="333">
        <f t="shared" si="118"/>
        <v>23.809029161790797</v>
      </c>
      <c r="AL41" s="333">
        <f t="shared" si="118"/>
        <v>24.094737511732284</v>
      </c>
      <c r="AM41" s="333">
        <f t="shared" si="118"/>
        <v>24.383874361873072</v>
      </c>
      <c r="AN41" s="333">
        <f t="shared" si="118"/>
        <v>24.676480854215551</v>
      </c>
      <c r="AO41" s="333">
        <f t="shared" si="118"/>
        <v>24.972598624466134</v>
      </c>
      <c r="AP41" s="333">
        <f t="shared" si="118"/>
        <v>25.272269807959731</v>
      </c>
    </row>
    <row r="42" spans="2:42" ht="15.75" thickBot="1">
      <c r="B42" s="1295"/>
      <c r="C42" s="233" t="s">
        <v>747</v>
      </c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323">
        <f t="shared" ref="V42:AD42" si="119">V40/V39*1000</f>
        <v>2990.7407407407409</v>
      </c>
      <c r="W42" s="323">
        <f t="shared" si="119"/>
        <v>4482.6132771338262</v>
      </c>
      <c r="X42" s="323">
        <f t="shared" si="119"/>
        <v>4514.8253557567923</v>
      </c>
      <c r="Y42" s="323">
        <f t="shared" si="119"/>
        <v>4482.6132771338262</v>
      </c>
      <c r="Z42" s="323">
        <f t="shared" si="119"/>
        <v>4482.5242940212902</v>
      </c>
      <c r="AA42" s="323">
        <f t="shared" si="119"/>
        <v>4482.4434876077812</v>
      </c>
      <c r="AB42" s="323">
        <f t="shared" si="119"/>
        <v>4482.5671601877348</v>
      </c>
      <c r="AC42" s="323">
        <f t="shared" si="119"/>
        <v>4575.7154307651554</v>
      </c>
      <c r="AD42" s="323">
        <f t="shared" si="119"/>
        <v>5582.466664470574</v>
      </c>
      <c r="AE42" s="323">
        <f>AE40/AE39*1000</f>
        <v>5082.8420090172467</v>
      </c>
      <c r="AF42" s="323">
        <f>AF40/AF39*1000</f>
        <v>4585.1104212830314</v>
      </c>
      <c r="AG42" s="330">
        <f>AF42*Assumptions!AG9/Assumptions!AF9</f>
        <v>4631.4246679626585</v>
      </c>
      <c r="AH42" s="330">
        <f>AG42*Assumptions!AH9/Assumptions!AG9</f>
        <v>4690.0502966710465</v>
      </c>
      <c r="AI42" s="330">
        <f>AH42*Assumptions!AI9/Assumptions!AH9</f>
        <v>4983.178440212987</v>
      </c>
      <c r="AJ42" s="330">
        <f>AI42*Assumptions!AJ9/Assumptions!AI9</f>
        <v>5276.3065837549275</v>
      </c>
      <c r="AK42" s="330">
        <f>AJ42*Assumptions!AK9/Assumptions!AJ9</f>
        <v>5704.2736733261609</v>
      </c>
      <c r="AL42" s="330">
        <f>AK42*Assumptions!AL9/Assumptions!AK9</f>
        <v>5704.27367332616</v>
      </c>
      <c r="AM42" s="330">
        <f>AL42*Assumptions!AM9/Assumptions!AL9</f>
        <v>5704.27367332616</v>
      </c>
      <c r="AN42" s="330">
        <f>AM42*Assumptions!AN9/Assumptions!AM9</f>
        <v>5704.27367332616</v>
      </c>
      <c r="AO42" s="330">
        <f>AN42*Assumptions!AO9/Assumptions!AN9</f>
        <v>5704.27367332616</v>
      </c>
      <c r="AP42" s="330">
        <f>AO42*Assumptions!AP9/Assumptions!AO9</f>
        <v>5704.27367332616</v>
      </c>
    </row>
    <row r="43" spans="2:42">
      <c r="B43" s="234" t="s">
        <v>732</v>
      </c>
      <c r="C43" s="235"/>
      <c r="D43" s="801"/>
      <c r="E43" s="801"/>
      <c r="F43" s="801"/>
      <c r="G43" s="801"/>
      <c r="H43" s="801"/>
      <c r="I43" s="801"/>
      <c r="J43" s="801"/>
      <c r="K43" s="801"/>
      <c r="L43" s="801"/>
      <c r="M43" s="801"/>
      <c r="N43" s="801"/>
      <c r="O43" s="801"/>
      <c r="P43" s="801"/>
      <c r="Q43" s="801"/>
      <c r="R43" s="801"/>
      <c r="S43" s="801"/>
      <c r="T43" s="801"/>
      <c r="U43" s="801"/>
      <c r="AE43">
        <f>AE49*AE52/1000</f>
        <v>1051.0999999999997</v>
      </c>
      <c r="AF43"/>
    </row>
    <row r="44" spans="2:42">
      <c r="B44" s="1298" t="s">
        <v>748</v>
      </c>
      <c r="C44" s="236" t="s">
        <v>739</v>
      </c>
      <c r="D44" s="801"/>
      <c r="E44" s="801"/>
      <c r="F44" s="801"/>
      <c r="G44" s="801"/>
      <c r="H44" s="801"/>
      <c r="I44" s="801"/>
      <c r="J44" s="801"/>
      <c r="K44" s="801"/>
      <c r="L44" s="883">
        <v>17346</v>
      </c>
      <c r="M44" s="883">
        <v>25442</v>
      </c>
      <c r="N44" s="883">
        <v>14538</v>
      </c>
      <c r="O44" s="883">
        <v>8298</v>
      </c>
      <c r="P44" s="883">
        <v>897</v>
      </c>
      <c r="Q44" s="863">
        <v>775</v>
      </c>
      <c r="R44" s="322">
        <v>1943</v>
      </c>
      <c r="S44" s="322">
        <v>2023</v>
      </c>
      <c r="T44" s="322">
        <v>370</v>
      </c>
      <c r="U44" s="322">
        <v>135</v>
      </c>
      <c r="AC44" s="46"/>
      <c r="AD44" s="46">
        <f>AD45/1000</f>
        <v>5632.8243600000005</v>
      </c>
      <c r="AE44" s="46">
        <f>AE45/1000</f>
        <v>5776.2469300000002</v>
      </c>
      <c r="AF44"/>
    </row>
    <row r="45" spans="2:42">
      <c r="B45" s="1298"/>
      <c r="C45" s="236" t="s">
        <v>749</v>
      </c>
      <c r="D45" s="801"/>
      <c r="E45" s="801"/>
      <c r="F45" s="801"/>
      <c r="G45" s="801"/>
      <c r="H45" s="801"/>
      <c r="I45" s="801"/>
      <c r="J45" s="801"/>
      <c r="K45" s="801"/>
      <c r="L45" s="883">
        <v>28463</v>
      </c>
      <c r="M45" s="883">
        <v>37099</v>
      </c>
      <c r="N45" s="883">
        <v>28320</v>
      </c>
      <c r="O45" s="883">
        <v>10753</v>
      </c>
      <c r="P45" s="883">
        <v>1988</v>
      </c>
      <c r="Q45" s="863">
        <v>1717</v>
      </c>
      <c r="R45" s="322">
        <v>4133</v>
      </c>
      <c r="S45" s="322">
        <v>3813</v>
      </c>
      <c r="T45" s="322">
        <v>615</v>
      </c>
      <c r="U45" s="322">
        <v>411</v>
      </c>
      <c r="AC45" s="46"/>
      <c r="AD45" s="46">
        <f>AD47*AD46</f>
        <v>5632824.3600000003</v>
      </c>
      <c r="AE45" s="46">
        <f>AE47*AE46</f>
        <v>5776246.9300000006</v>
      </c>
      <c r="AF45"/>
    </row>
    <row r="46" spans="2:42">
      <c r="B46" s="1298"/>
      <c r="C46" s="236" t="s">
        <v>742</v>
      </c>
      <c r="D46" s="801"/>
      <c r="E46" s="801"/>
      <c r="F46" s="801"/>
      <c r="G46" s="801"/>
      <c r="H46" s="801"/>
      <c r="I46" s="801"/>
      <c r="J46" s="801"/>
      <c r="K46" s="801"/>
      <c r="L46" s="884"/>
      <c r="M46" s="884"/>
      <c r="N46" s="884"/>
      <c r="O46" s="884"/>
      <c r="P46" s="884"/>
      <c r="Q46" s="863"/>
      <c r="R46" s="322"/>
      <c r="S46" s="322"/>
      <c r="T46" s="322"/>
      <c r="U46" s="322"/>
      <c r="AC46" s="626">
        <f>AE49*AE44/1000</f>
        <v>7300.8815309265701</v>
      </c>
      <c r="AD46" s="46">
        <v>4.92</v>
      </c>
      <c r="AE46" s="46">
        <v>4.57</v>
      </c>
      <c r="AF46"/>
    </row>
    <row r="47" spans="2:42" ht="26.25" thickBot="1">
      <c r="B47" s="1314"/>
      <c r="C47" s="240" t="s">
        <v>744</v>
      </c>
      <c r="D47" s="193"/>
      <c r="E47" s="193"/>
      <c r="F47" s="193"/>
      <c r="G47" s="193"/>
      <c r="H47" s="193"/>
      <c r="I47" s="193"/>
      <c r="J47" s="193"/>
      <c r="K47" s="193"/>
      <c r="L47" s="787"/>
      <c r="M47" s="787"/>
      <c r="N47" s="787"/>
      <c r="O47" s="787"/>
      <c r="P47" s="787"/>
      <c r="Q47" s="872">
        <v>22.2</v>
      </c>
      <c r="R47" s="322">
        <v>21.3</v>
      </c>
      <c r="S47" s="322">
        <v>18.8</v>
      </c>
      <c r="T47" s="322">
        <v>16.600000000000001</v>
      </c>
      <c r="U47" s="322">
        <v>17.2</v>
      </c>
      <c r="AC47" s="626">
        <f>AD49*AD44/1000</f>
        <v>6448.9248517498809</v>
      </c>
      <c r="AD47" s="46">
        <f>AD49*1000</f>
        <v>1144883</v>
      </c>
      <c r="AE47" s="46">
        <f>AE49*1000</f>
        <v>1263949</v>
      </c>
      <c r="AF47"/>
    </row>
    <row r="48" spans="2:42">
      <c r="B48" s="1294" t="s">
        <v>750</v>
      </c>
      <c r="C48" s="231" t="s">
        <v>739</v>
      </c>
      <c r="D48" s="254"/>
      <c r="E48" s="254"/>
      <c r="F48" s="254"/>
      <c r="G48" s="254"/>
      <c r="H48" s="254"/>
      <c r="I48" s="254"/>
      <c r="J48" s="254"/>
      <c r="K48" s="254"/>
      <c r="L48" s="880">
        <v>27483</v>
      </c>
      <c r="M48" s="880">
        <v>27935</v>
      </c>
      <c r="N48" s="880">
        <v>29752</v>
      </c>
      <c r="O48" s="880">
        <v>28676</v>
      </c>
      <c r="P48" s="880">
        <v>29838</v>
      </c>
      <c r="Q48" s="881">
        <v>31764</v>
      </c>
      <c r="R48" s="322">
        <v>36720</v>
      </c>
      <c r="S48" s="322">
        <v>41738</v>
      </c>
      <c r="T48" s="322">
        <v>44380</v>
      </c>
      <c r="U48" s="322">
        <v>35543</v>
      </c>
      <c r="V48" s="321">
        <v>39782</v>
      </c>
      <c r="W48" s="321">
        <v>41577</v>
      </c>
      <c r="X48" s="321">
        <v>40615.1</v>
      </c>
      <c r="Y48" s="1229">
        <v>49600</v>
      </c>
      <c r="Z48" s="1229">
        <v>51756</v>
      </c>
      <c r="AA48" s="1229">
        <v>52730.8</v>
      </c>
      <c r="AB48" s="1229">
        <v>57204</v>
      </c>
      <c r="AC48" s="1229">
        <v>56092</v>
      </c>
      <c r="AD48" s="1229">
        <v>56577</v>
      </c>
      <c r="AE48" s="1229">
        <v>64504</v>
      </c>
      <c r="AF48" s="327">
        <f t="shared" ref="AF48" si="120">AE48</f>
        <v>64504</v>
      </c>
      <c r="AG48" s="327">
        <f t="shared" ref="AG48" si="121">AF48</f>
        <v>64504</v>
      </c>
      <c r="AH48" s="327">
        <f t="shared" ref="AH48" si="122">AG48</f>
        <v>64504</v>
      </c>
      <c r="AI48" s="327">
        <f t="shared" ref="AI48" si="123">AH48</f>
        <v>64504</v>
      </c>
      <c r="AJ48" s="327">
        <f t="shared" ref="AJ48" si="124">AI48</f>
        <v>64504</v>
      </c>
      <c r="AK48" s="327">
        <f t="shared" ref="AK48" si="125">AJ48</f>
        <v>64504</v>
      </c>
      <c r="AL48" s="327">
        <f t="shared" ref="AL48" si="126">AK48</f>
        <v>64504</v>
      </c>
      <c r="AM48" s="327">
        <f t="shared" ref="AM48" si="127">AL48</f>
        <v>64504</v>
      </c>
      <c r="AN48" s="327">
        <f t="shared" ref="AN48" si="128">AM48</f>
        <v>64504</v>
      </c>
      <c r="AO48" s="327">
        <f t="shared" ref="AO48" si="129">AN48</f>
        <v>64504</v>
      </c>
      <c r="AP48" s="327">
        <f t="shared" ref="AP48" si="130">AO48</f>
        <v>64504</v>
      </c>
    </row>
    <row r="49" spans="2:42">
      <c r="B49" s="1293"/>
      <c r="C49" s="223" t="s">
        <v>740</v>
      </c>
      <c r="D49" s="223"/>
      <c r="E49" s="223"/>
      <c r="F49" s="223"/>
      <c r="G49" s="223"/>
      <c r="H49" s="223"/>
      <c r="I49" s="223"/>
      <c r="J49" s="223"/>
      <c r="K49" s="223"/>
      <c r="L49" s="861">
        <v>555.1</v>
      </c>
      <c r="M49" s="861">
        <v>573.70000000000005</v>
      </c>
      <c r="N49" s="861">
        <v>662.1</v>
      </c>
      <c r="O49" s="861">
        <v>679.8</v>
      </c>
      <c r="P49" s="861">
        <v>690.8</v>
      </c>
      <c r="Q49" s="863">
        <v>760.1</v>
      </c>
      <c r="R49" s="322">
        <v>863.1</v>
      </c>
      <c r="S49" s="322">
        <v>991</v>
      </c>
      <c r="T49" s="322">
        <v>1115.7</v>
      </c>
      <c r="U49" s="322">
        <v>853.7</v>
      </c>
      <c r="V49" s="322">
        <v>887.4</v>
      </c>
      <c r="W49" s="323">
        <v>898.1</v>
      </c>
      <c r="X49" s="323">
        <v>782.9</v>
      </c>
      <c r="Y49" s="317">
        <v>964.6</v>
      </c>
      <c r="Z49" s="690">
        <v>994.43299999999999</v>
      </c>
      <c r="AA49" s="690">
        <v>1022.545</v>
      </c>
      <c r="AB49" s="690">
        <v>1041.316</v>
      </c>
      <c r="AC49" s="690">
        <v>1094.4380000000001</v>
      </c>
      <c r="AD49" s="690">
        <v>1144.883</v>
      </c>
      <c r="AE49" s="690">
        <v>1263.9490000000001</v>
      </c>
      <c r="AF49" s="315">
        <v>1332.5</v>
      </c>
      <c r="AG49" s="315">
        <f t="shared" ref="AG49:AI49" si="131">AF49*1.02</f>
        <v>1359.15</v>
      </c>
      <c r="AH49" s="315">
        <f t="shared" si="131"/>
        <v>1386.3330000000001</v>
      </c>
      <c r="AI49" s="315">
        <f t="shared" si="131"/>
        <v>1414.0596600000001</v>
      </c>
      <c r="AJ49" s="315">
        <f t="shared" ref="AJ49" si="132">AI49*1.02</f>
        <v>1442.3408532000001</v>
      </c>
      <c r="AK49" s="315">
        <f t="shared" ref="AK49" si="133">AJ49*1.02</f>
        <v>1471.1876702640002</v>
      </c>
      <c r="AL49" s="315">
        <f t="shared" ref="AL49" si="134">AK49*1.02</f>
        <v>1500.6114236692802</v>
      </c>
      <c r="AM49" s="315">
        <f t="shared" ref="AM49" si="135">AL49*1.02</f>
        <v>1530.6236521426658</v>
      </c>
      <c r="AN49" s="315">
        <f t="shared" ref="AN49" si="136">AM49*1.02</f>
        <v>1561.2361251855191</v>
      </c>
      <c r="AO49" s="315">
        <f t="shared" ref="AO49" si="137">AN49*1.02</f>
        <v>1592.4608476892295</v>
      </c>
      <c r="AP49" s="315">
        <f t="shared" ref="AP49" si="138">AO49*1.02</f>
        <v>1624.3100646430141</v>
      </c>
    </row>
    <row r="50" spans="2:42" s="625" customFormat="1">
      <c r="B50" s="1293"/>
      <c r="C50" s="626" t="s">
        <v>742</v>
      </c>
      <c r="D50" s="626"/>
      <c r="E50" s="626"/>
      <c r="F50" s="626"/>
      <c r="G50" s="626"/>
      <c r="H50" s="626"/>
      <c r="I50" s="626"/>
      <c r="J50" s="626"/>
      <c r="K50" s="626"/>
      <c r="L50" s="861" t="s">
        <v>1181</v>
      </c>
      <c r="M50" s="861" t="s">
        <v>1181</v>
      </c>
      <c r="N50" s="861" t="s">
        <v>1181</v>
      </c>
      <c r="O50" s="861" t="s">
        <v>1181</v>
      </c>
      <c r="P50" s="861">
        <v>824.7</v>
      </c>
      <c r="Q50" s="863">
        <v>860.9</v>
      </c>
      <c r="R50" s="322">
        <v>1400.6</v>
      </c>
      <c r="S50" s="322">
        <v>1685.7</v>
      </c>
      <c r="T50" s="322">
        <v>1748.9</v>
      </c>
      <c r="U50" s="322">
        <v>1978.1</v>
      </c>
      <c r="V50" s="627">
        <v>2058.6999999999998</v>
      </c>
      <c r="W50" s="627">
        <v>1491</v>
      </c>
      <c r="X50" s="627">
        <v>1318.5</v>
      </c>
      <c r="Y50" s="627">
        <v>1318.5</v>
      </c>
      <c r="Z50" s="627">
        <v>1318.5</v>
      </c>
      <c r="AA50" s="627">
        <v>1318.5</v>
      </c>
      <c r="AB50" s="623">
        <v>1013.1987576121257</v>
      </c>
      <c r="AC50" s="623">
        <v>1035.8011928182889</v>
      </c>
      <c r="AD50" s="623">
        <v>928.85119229195652</v>
      </c>
      <c r="AE50" s="623">
        <v>1051.0999999999999</v>
      </c>
      <c r="AF50" s="623">
        <v>1086.4756266160907</v>
      </c>
      <c r="AG50" s="624">
        <f t="shared" ref="AG50:AP50" si="139">AG49*AG52/1000</f>
        <v>1101.7349702195963</v>
      </c>
      <c r="AH50" s="624">
        <f t="shared" si="139"/>
        <v>1143.1861070922964</v>
      </c>
      <c r="AI50" s="624">
        <f t="shared" si="139"/>
        <v>1192.3601928486714</v>
      </c>
      <c r="AJ50" s="624">
        <f>AJ49*AJ52/1000</f>
        <v>1235.9331191653278</v>
      </c>
      <c r="AK50" s="624">
        <f t="shared" si="139"/>
        <v>1265.7747289383353</v>
      </c>
      <c r="AL50" s="624">
        <f t="shared" si="139"/>
        <v>1310.8758248760605</v>
      </c>
      <c r="AM50" s="624">
        <f t="shared" si="139"/>
        <v>1353.4958527865811</v>
      </c>
      <c r="AN50" s="624">
        <f t="shared" si="139"/>
        <v>1395.3518870520045</v>
      </c>
      <c r="AO50" s="624">
        <f t="shared" si="139"/>
        <v>1440.283475760358</v>
      </c>
      <c r="AP50" s="624">
        <f t="shared" si="139"/>
        <v>1489.9087065055</v>
      </c>
    </row>
    <row r="51" spans="2:42" ht="26.25">
      <c r="B51" s="1293"/>
      <c r="C51" s="236" t="s">
        <v>744</v>
      </c>
      <c r="D51" s="236"/>
      <c r="E51" s="236"/>
      <c r="F51" s="236"/>
      <c r="G51" s="236"/>
      <c r="H51" s="236"/>
      <c r="I51" s="236"/>
      <c r="J51" s="236"/>
      <c r="K51" s="236"/>
      <c r="L51" s="883">
        <v>196.2</v>
      </c>
      <c r="M51" s="883">
        <v>198.5</v>
      </c>
      <c r="N51" s="883">
        <v>218.4</v>
      </c>
      <c r="O51" s="883">
        <v>226.9</v>
      </c>
      <c r="P51" s="883">
        <v>223.1</v>
      </c>
      <c r="Q51" s="863">
        <v>229.7</v>
      </c>
      <c r="R51" s="322">
        <v>228.3</v>
      </c>
      <c r="S51" s="322">
        <v>233.2</v>
      </c>
      <c r="T51" s="323">
        <v>247.3</v>
      </c>
      <c r="U51" s="323">
        <v>231</v>
      </c>
      <c r="V51" s="323">
        <v>221.7</v>
      </c>
      <c r="W51" s="323">
        <v>214.4</v>
      </c>
      <c r="X51" s="334">
        <f t="shared" ref="X51:AP51" si="140">X49/X48*10000</f>
        <v>192.76082048302234</v>
      </c>
      <c r="Y51" s="334">
        <f t="shared" si="140"/>
        <v>194.47580645161293</v>
      </c>
      <c r="Z51" s="334">
        <f t="shared" si="140"/>
        <v>192.13868923409848</v>
      </c>
      <c r="AA51" s="334">
        <f t="shared" si="140"/>
        <v>193.91797583196157</v>
      </c>
      <c r="AB51" s="317">
        <f t="shared" si="140"/>
        <v>182.03552199146912</v>
      </c>
      <c r="AC51" s="317">
        <f t="shared" si="140"/>
        <v>195.11481138130216</v>
      </c>
      <c r="AD51" s="317">
        <f t="shared" si="140"/>
        <v>202.35837884652773</v>
      </c>
      <c r="AE51" s="690">
        <f t="shared" si="140"/>
        <v>195.94893339947913</v>
      </c>
      <c r="AF51" s="319">
        <f t="shared" si="140"/>
        <v>206.57633635123403</v>
      </c>
      <c r="AG51" s="319">
        <f t="shared" si="140"/>
        <v>210.70786307825873</v>
      </c>
      <c r="AH51" s="319">
        <f t="shared" si="140"/>
        <v>214.92202033982389</v>
      </c>
      <c r="AI51" s="319">
        <f t="shared" si="140"/>
        <v>219.22046074662038</v>
      </c>
      <c r="AJ51" s="319">
        <f t="shared" si="140"/>
        <v>223.60486996155279</v>
      </c>
      <c r="AK51" s="319">
        <f t="shared" si="140"/>
        <v>228.07696736078384</v>
      </c>
      <c r="AL51" s="319">
        <f t="shared" si="140"/>
        <v>232.63850670799954</v>
      </c>
      <c r="AM51" s="319">
        <f t="shared" si="140"/>
        <v>237.29127684215953</v>
      </c>
      <c r="AN51" s="319">
        <f t="shared" si="140"/>
        <v>242.03710237900273</v>
      </c>
      <c r="AO51" s="319">
        <f t="shared" si="140"/>
        <v>246.87784442658275</v>
      </c>
      <c r="AP51" s="319">
        <f t="shared" si="140"/>
        <v>251.81540131511443</v>
      </c>
    </row>
    <row r="52" spans="2:42" ht="15.75" thickBot="1">
      <c r="B52" s="1295"/>
      <c r="C52" s="233" t="s">
        <v>747</v>
      </c>
      <c r="D52" s="239"/>
      <c r="E52" s="239"/>
      <c r="F52" s="239"/>
      <c r="G52" s="239"/>
      <c r="H52" s="239"/>
      <c r="I52" s="239"/>
      <c r="J52" s="239"/>
      <c r="K52" s="239"/>
      <c r="L52" s="885"/>
      <c r="M52" s="885"/>
      <c r="N52" s="885"/>
      <c r="O52" s="885"/>
      <c r="P52" s="886">
        <v>1193.8332368268675</v>
      </c>
      <c r="Q52" s="878">
        <v>1132.6141297197737</v>
      </c>
      <c r="R52" s="323">
        <v>1622.7551847989803</v>
      </c>
      <c r="S52" s="323">
        <v>1701.0090817356206</v>
      </c>
      <c r="T52" s="323">
        <v>1567.5360760060948</v>
      </c>
      <c r="U52" s="323">
        <v>2317.0903127562374</v>
      </c>
      <c r="V52" s="323">
        <f>V50/V49*1000</f>
        <v>2319.9233716475096</v>
      </c>
      <c r="W52" s="323">
        <f t="shared" ref="W52:AD52" si="141">W50/W49*1000</f>
        <v>1660.1714731098987</v>
      </c>
      <c r="X52" s="323">
        <f t="shared" si="141"/>
        <v>1684.1231319453316</v>
      </c>
      <c r="Y52" s="323">
        <f t="shared" si="141"/>
        <v>1366.8878291519802</v>
      </c>
      <c r="Z52" s="323">
        <f t="shared" si="141"/>
        <v>1325.881180532022</v>
      </c>
      <c r="AA52" s="323">
        <f t="shared" si="141"/>
        <v>1289.4298050452549</v>
      </c>
      <c r="AB52" s="323">
        <f t="shared" si="141"/>
        <v>972.99835747470092</v>
      </c>
      <c r="AC52" s="323">
        <f t="shared" si="141"/>
        <v>946.42290638509326</v>
      </c>
      <c r="AD52" s="323">
        <f t="shared" si="141"/>
        <v>811.30665080358119</v>
      </c>
      <c r="AE52" s="323">
        <f>AE50/AE49*1000</f>
        <v>831.60000917758532</v>
      </c>
      <c r="AF52" s="323">
        <f>AF50/AF49*1000</f>
        <v>815.36632391451462</v>
      </c>
      <c r="AG52" s="319">
        <f>AF52*Assumptions!AG8/Assumptions!AF8*(Monetary!AG15/100-Assumptions!AG11/100)</f>
        <v>810.60587147820058</v>
      </c>
      <c r="AH52" s="319">
        <f>AG52*Assumptions!AH8/Assumptions!AG8*(Monetary!AH15/100-Assumptions!AH11/100)</f>
        <v>824.61148013666013</v>
      </c>
      <c r="AI52" s="319">
        <f>AH52*Assumptions!AI8/Assumptions!AH8*(Monetary!AI15/100-Assumptions!AI11/100)</f>
        <v>843.21774149802934</v>
      </c>
      <c r="AJ52" s="319">
        <f>AI52*Assumptions!AJ8/Assumptions!AI8*(Monetary!AJ15/100-Assumptions!AJ11/100)</f>
        <v>856.8939279666572</v>
      </c>
      <c r="AK52" s="319">
        <f>AJ52*Assumptions!AK8/Assumptions!AJ8*(Monetary!AK15/100-Assumptions!AK11/100)</f>
        <v>860.37611279816929</v>
      </c>
      <c r="AL52" s="319">
        <f>AK52*Assumptions!AL8/Assumptions!AK8*(Monetary!AL15/100-Assumptions!AL11/100)</f>
        <v>873.56113927929448</v>
      </c>
      <c r="AM52" s="319">
        <f>AL52*Assumptions!AM8/Assumptions!AL8*(Monetary!AM15/100-Assumptions!AM11/100)</f>
        <v>884.27736687060212</v>
      </c>
      <c r="AN52" s="319">
        <f>AM52*Assumptions!AN8/Assumptions!AM8*(Monetary!AN15/100-Assumptions!AN11/100)</f>
        <v>893.74814260475625</v>
      </c>
      <c r="AO52" s="319">
        <f>AN52*Assumptions!AO8/Assumptions!AN8*(Monetary!AO15/100-Assumptions!AO11/100)</f>
        <v>904.43886130720807</v>
      </c>
      <c r="AP52" s="319">
        <f>AO52*Assumptions!AP8/Assumptions!AO8*(Monetary!AP15/100-Assumptions!AP11/100)</f>
        <v>917.25634097634406</v>
      </c>
    </row>
    <row r="53" spans="2:42">
      <c r="B53" s="241"/>
      <c r="C53" s="242"/>
      <c r="D53" s="801"/>
      <c r="E53" s="801"/>
      <c r="F53" s="801"/>
      <c r="G53" s="801"/>
      <c r="H53" s="801"/>
      <c r="I53" s="801"/>
      <c r="J53" s="801"/>
      <c r="K53" s="801"/>
      <c r="L53" s="801"/>
      <c r="M53" s="801"/>
      <c r="N53" s="801"/>
      <c r="O53" s="801"/>
      <c r="P53" s="801"/>
      <c r="Q53" s="801"/>
      <c r="R53" s="801"/>
      <c r="S53" s="801"/>
      <c r="T53" s="801"/>
      <c r="U53" s="801"/>
      <c r="AE53">
        <f>AE55*AE58/1000</f>
        <v>7996.7</v>
      </c>
      <c r="AF53"/>
    </row>
    <row r="54" spans="2:42">
      <c r="B54" s="1311" t="s">
        <v>751</v>
      </c>
      <c r="C54" s="236" t="s">
        <v>739</v>
      </c>
      <c r="D54" s="236"/>
      <c r="E54" s="236"/>
      <c r="F54" s="236"/>
      <c r="G54" s="236"/>
      <c r="H54" s="236"/>
      <c r="I54" s="236"/>
      <c r="J54" s="236"/>
      <c r="K54" s="236"/>
      <c r="L54" s="883">
        <v>33429</v>
      </c>
      <c r="M54" s="883">
        <v>35768</v>
      </c>
      <c r="N54" s="883">
        <v>39110</v>
      </c>
      <c r="O54" s="883">
        <v>37162</v>
      </c>
      <c r="P54" s="883">
        <v>40803</v>
      </c>
      <c r="Q54" s="863">
        <v>44769</v>
      </c>
      <c r="R54" s="322">
        <v>46885</v>
      </c>
      <c r="S54" s="322">
        <v>48995</v>
      </c>
      <c r="T54" s="322">
        <v>50727</v>
      </c>
      <c r="U54" s="323">
        <v>48532</v>
      </c>
      <c r="V54" s="321">
        <v>55424</v>
      </c>
      <c r="W54" s="321">
        <v>58194</v>
      </c>
      <c r="X54" s="321">
        <v>59538</v>
      </c>
      <c r="Y54" s="1229">
        <v>68298.2</v>
      </c>
      <c r="Z54" s="1229">
        <v>67016</v>
      </c>
      <c r="AA54" s="1229">
        <v>70439.7</v>
      </c>
      <c r="AB54" s="1232">
        <v>71240</v>
      </c>
      <c r="AC54" s="1232">
        <v>69992</v>
      </c>
      <c r="AD54" s="1232">
        <v>73464</v>
      </c>
      <c r="AE54" s="1232">
        <v>75227</v>
      </c>
      <c r="AF54" s="1232">
        <f>AE54</f>
        <v>75227</v>
      </c>
      <c r="AG54" s="336">
        <f t="shared" ref="AG54:AI54" si="142">AF54</f>
        <v>75227</v>
      </c>
      <c r="AH54" s="336">
        <f t="shared" si="142"/>
        <v>75227</v>
      </c>
      <c r="AI54" s="336">
        <f t="shared" si="142"/>
        <v>75227</v>
      </c>
      <c r="AJ54" s="336">
        <f t="shared" ref="AJ54" si="143">AI54</f>
        <v>75227</v>
      </c>
      <c r="AK54" s="336">
        <f t="shared" ref="AK54" si="144">AJ54</f>
        <v>75227</v>
      </c>
      <c r="AL54" s="336">
        <f t="shared" ref="AL54" si="145">AK54</f>
        <v>75227</v>
      </c>
      <c r="AM54" s="336">
        <f t="shared" ref="AM54" si="146">AL54</f>
        <v>75227</v>
      </c>
      <c r="AN54" s="336">
        <f t="shared" ref="AN54" si="147">AM54</f>
        <v>75227</v>
      </c>
      <c r="AO54" s="336">
        <f t="shared" ref="AO54" si="148">AN54</f>
        <v>75227</v>
      </c>
      <c r="AP54" s="336">
        <f t="shared" ref="AP54" si="149">AO54</f>
        <v>75227</v>
      </c>
    </row>
    <row r="55" spans="2:42">
      <c r="B55" s="1293"/>
      <c r="C55" s="236" t="s">
        <v>740</v>
      </c>
      <c r="D55" s="236"/>
      <c r="E55" s="236"/>
      <c r="F55" s="236"/>
      <c r="G55" s="236"/>
      <c r="H55" s="236"/>
      <c r="I55" s="236"/>
      <c r="J55" s="236"/>
      <c r="K55" s="236"/>
      <c r="L55" s="883">
        <v>718.5</v>
      </c>
      <c r="M55" s="883">
        <v>759.7</v>
      </c>
      <c r="N55" s="883">
        <v>835.1</v>
      </c>
      <c r="O55" s="883">
        <v>908.2</v>
      </c>
      <c r="P55" s="883">
        <v>1046.8</v>
      </c>
      <c r="Q55" s="863">
        <v>1142.5999999999999</v>
      </c>
      <c r="R55" s="322">
        <v>1242</v>
      </c>
      <c r="S55" s="322">
        <v>1342.4</v>
      </c>
      <c r="T55" s="322">
        <v>1490.6</v>
      </c>
      <c r="U55" s="323">
        <v>1549.5</v>
      </c>
      <c r="V55" s="323">
        <v>1666.6</v>
      </c>
      <c r="W55" s="323">
        <v>1748.3</v>
      </c>
      <c r="X55" s="323">
        <v>1859.1</v>
      </c>
      <c r="Y55" s="317">
        <v>2119.4</v>
      </c>
      <c r="Z55" s="690">
        <v>2182.556</v>
      </c>
      <c r="AA55" s="690">
        <v>2479.36</v>
      </c>
      <c r="AB55" s="690">
        <v>2597.5770000000002</v>
      </c>
      <c r="AC55" s="690">
        <v>2714.8249999999998</v>
      </c>
      <c r="AD55" s="690">
        <v>3026.223</v>
      </c>
      <c r="AE55" s="690">
        <v>3298.6930000000002</v>
      </c>
      <c r="AF55" s="315">
        <v>3377.9</v>
      </c>
      <c r="AG55" s="315">
        <f t="shared" ref="AG55:AI55" si="150">AF55*1.05</f>
        <v>3546.7950000000001</v>
      </c>
      <c r="AH55" s="315">
        <f t="shared" si="150"/>
        <v>3724.1347500000002</v>
      </c>
      <c r="AI55" s="315">
        <f t="shared" si="150"/>
        <v>3910.3414875000003</v>
      </c>
      <c r="AJ55" s="315">
        <f t="shared" ref="AJ55" si="151">AI55*1.05</f>
        <v>4105.8585618750003</v>
      </c>
      <c r="AK55" s="315">
        <f t="shared" ref="AK55" si="152">AJ55*1.05</f>
        <v>4311.1514899687509</v>
      </c>
      <c r="AL55" s="315">
        <f t="shared" ref="AL55" si="153">AK55*1.05</f>
        <v>4526.7090644671889</v>
      </c>
      <c r="AM55" s="315">
        <f t="shared" ref="AM55" si="154">AL55*1.05</f>
        <v>4753.0445176905487</v>
      </c>
      <c r="AN55" s="315">
        <f t="shared" ref="AN55" si="155">AM55*1.05</f>
        <v>4990.6967435750767</v>
      </c>
      <c r="AO55" s="315">
        <f t="shared" ref="AO55" si="156">AN55*1.05</f>
        <v>5240.2315807538307</v>
      </c>
      <c r="AP55" s="315">
        <f t="shared" ref="AP55" si="157">AO55*1.05</f>
        <v>5502.2431597915229</v>
      </c>
    </row>
    <row r="56" spans="2:42" s="625" customFormat="1">
      <c r="B56" s="1293"/>
      <c r="C56" s="630" t="s">
        <v>742</v>
      </c>
      <c r="D56" s="630"/>
      <c r="E56" s="630"/>
      <c r="F56" s="630"/>
      <c r="G56" s="630"/>
      <c r="H56" s="630"/>
      <c r="I56" s="630"/>
      <c r="J56" s="630"/>
      <c r="K56" s="630"/>
      <c r="L56" s="883" t="s">
        <v>1181</v>
      </c>
      <c r="M56" s="883" t="s">
        <v>1181</v>
      </c>
      <c r="N56" s="883" t="s">
        <v>1181</v>
      </c>
      <c r="O56" s="883" t="s">
        <v>1181</v>
      </c>
      <c r="P56" s="883">
        <v>1443.9</v>
      </c>
      <c r="Q56" s="863">
        <v>1736.3</v>
      </c>
      <c r="R56" s="322">
        <v>3218.3</v>
      </c>
      <c r="S56" s="322">
        <v>3275.7</v>
      </c>
      <c r="T56" s="322">
        <v>2869.1</v>
      </c>
      <c r="U56" s="323">
        <v>3812.2</v>
      </c>
      <c r="V56" s="627">
        <v>4002.9</v>
      </c>
      <c r="W56" s="627">
        <v>4752.2</v>
      </c>
      <c r="X56" s="627">
        <v>5012.2</v>
      </c>
      <c r="Y56" s="627">
        <v>5012.2</v>
      </c>
      <c r="Z56" s="627">
        <v>5012.2</v>
      </c>
      <c r="AA56" s="627">
        <v>5012.2</v>
      </c>
      <c r="AB56" s="623">
        <v>5676.6344908113842</v>
      </c>
      <c r="AC56" s="623">
        <v>6157.9160875956568</v>
      </c>
      <c r="AD56" s="623">
        <v>7110.4164105233504</v>
      </c>
      <c r="AE56" s="623">
        <v>7996.7</v>
      </c>
      <c r="AF56" s="623">
        <v>8471.633874001458</v>
      </c>
      <c r="AG56" s="624">
        <f t="shared" ref="AG56:AP56" si="158">AG55*AG58/1000</f>
        <v>9108.1724700828163</v>
      </c>
      <c r="AH56" s="624">
        <f t="shared" si="158"/>
        <v>9974.2890195744949</v>
      </c>
      <c r="AI56" s="624">
        <f t="shared" si="158"/>
        <v>11012.383636821894</v>
      </c>
      <c r="AJ56" s="624">
        <f t="shared" si="158"/>
        <v>11641.74235098096</v>
      </c>
      <c r="AK56" s="624">
        <f t="shared" si="158"/>
        <v>12273.503800637032</v>
      </c>
      <c r="AL56" s="624">
        <f t="shared" si="158"/>
        <v>13084.671452083639</v>
      </c>
      <c r="AM56" s="624">
        <f t="shared" si="158"/>
        <v>13907.444153181314</v>
      </c>
      <c r="AN56" s="624">
        <f t="shared" si="158"/>
        <v>14759.215251077718</v>
      </c>
      <c r="AO56" s="624">
        <f t="shared" si="158"/>
        <v>15682.54809055841</v>
      </c>
      <c r="AP56" s="624">
        <f t="shared" si="158"/>
        <v>16700.037071424922</v>
      </c>
    </row>
    <row r="57" spans="2:42" ht="26.25">
      <c r="B57" s="1293"/>
      <c r="C57" s="236" t="s">
        <v>744</v>
      </c>
      <c r="D57" s="236"/>
      <c r="E57" s="236"/>
      <c r="F57" s="236"/>
      <c r="G57" s="236"/>
      <c r="H57" s="236"/>
      <c r="I57" s="236"/>
      <c r="J57" s="236"/>
      <c r="K57" s="236"/>
      <c r="L57" s="883">
        <v>186.8</v>
      </c>
      <c r="M57" s="883">
        <v>186.9</v>
      </c>
      <c r="N57" s="883">
        <v>190.2</v>
      </c>
      <c r="O57" s="883">
        <v>198.8</v>
      </c>
      <c r="P57" s="883">
        <v>208</v>
      </c>
      <c r="Q57" s="863">
        <v>205.8</v>
      </c>
      <c r="R57" s="323">
        <v>216.5</v>
      </c>
      <c r="S57" s="323">
        <v>225.1</v>
      </c>
      <c r="T57" s="323">
        <v>240.3</v>
      </c>
      <c r="U57" s="323">
        <v>251.1</v>
      </c>
      <c r="V57" s="323">
        <v>247.9</v>
      </c>
      <c r="W57" s="323">
        <v>248.6</v>
      </c>
      <c r="X57" s="323">
        <f>256.8</f>
        <v>256.8</v>
      </c>
      <c r="Y57" s="323">
        <f>256.8</f>
        <v>256.8</v>
      </c>
      <c r="Z57" s="323">
        <f>256.8</f>
        <v>256.8</v>
      </c>
      <c r="AA57" s="323">
        <f>256.8</f>
        <v>256.8</v>
      </c>
      <c r="AB57" s="317">
        <f t="shared" ref="AB57:AP57" si="159">AB55/AB54*10000</f>
        <v>364.62338573834927</v>
      </c>
      <c r="AC57" s="317">
        <f t="shared" si="159"/>
        <v>387.87647159675385</v>
      </c>
      <c r="AD57" s="317">
        <f t="shared" si="159"/>
        <v>411.93278340411626</v>
      </c>
      <c r="AE57" s="319">
        <f t="shared" si="159"/>
        <v>438.49854440559909</v>
      </c>
      <c r="AF57" s="319">
        <f t="shared" si="159"/>
        <v>449.0276097677696</v>
      </c>
      <c r="AG57" s="319">
        <f t="shared" si="159"/>
        <v>471.478990256158</v>
      </c>
      <c r="AH57" s="319">
        <f t="shared" si="159"/>
        <v>495.05293976896598</v>
      </c>
      <c r="AI57" s="319">
        <f t="shared" si="159"/>
        <v>519.80558675741429</v>
      </c>
      <c r="AJ57" s="319">
        <f t="shared" si="159"/>
        <v>545.79586609528496</v>
      </c>
      <c r="AK57" s="319">
        <f t="shared" si="159"/>
        <v>573.08565940004928</v>
      </c>
      <c r="AL57" s="319">
        <f t="shared" si="159"/>
        <v>601.73994237005184</v>
      </c>
      <c r="AM57" s="319">
        <f t="shared" si="159"/>
        <v>631.82693948855456</v>
      </c>
      <c r="AN57" s="319">
        <f t="shared" si="159"/>
        <v>663.41828646298234</v>
      </c>
      <c r="AO57" s="319">
        <f t="shared" si="159"/>
        <v>696.58920078613141</v>
      </c>
      <c r="AP57" s="319">
        <f t="shared" si="159"/>
        <v>731.418660825438</v>
      </c>
    </row>
    <row r="58" spans="2:42" ht="15.75" thickBot="1">
      <c r="B58" s="1312"/>
      <c r="C58" s="233" t="s">
        <v>747</v>
      </c>
      <c r="D58" s="239"/>
      <c r="E58" s="239"/>
      <c r="F58" s="239"/>
      <c r="G58" s="239"/>
      <c r="H58" s="239"/>
      <c r="I58" s="239"/>
      <c r="J58" s="239"/>
      <c r="K58" s="239"/>
      <c r="L58" s="887"/>
      <c r="M58" s="887"/>
      <c r="N58" s="887"/>
      <c r="O58" s="887"/>
      <c r="P58" s="886">
        <v>1379.3465800534966</v>
      </c>
      <c r="Q58" s="878">
        <v>1519.6044109924733</v>
      </c>
      <c r="R58" s="323">
        <v>2591.2238325281805</v>
      </c>
      <c r="S58" s="323">
        <v>2440.1817640047675</v>
      </c>
      <c r="T58" s="323">
        <v>1924.7953844089629</v>
      </c>
      <c r="U58" s="323">
        <v>2460.2775088738304</v>
      </c>
      <c r="V58" s="323">
        <f t="shared" ref="V58:AE58" si="160">V56/V55*1000</f>
        <v>2401.836073442938</v>
      </c>
      <c r="W58" s="323">
        <f t="shared" si="160"/>
        <v>2718.1833781387631</v>
      </c>
      <c r="X58" s="323">
        <f t="shared" si="160"/>
        <v>2696.0357162067671</v>
      </c>
      <c r="Y58" s="323">
        <f t="shared" si="160"/>
        <v>2364.914598471265</v>
      </c>
      <c r="Z58" s="323">
        <f t="shared" si="160"/>
        <v>2296.4817397583383</v>
      </c>
      <c r="AA58" s="323">
        <f t="shared" si="160"/>
        <v>2021.5700826019618</v>
      </c>
      <c r="AB58" s="323">
        <f t="shared" si="160"/>
        <v>2185.3575431301492</v>
      </c>
      <c r="AC58" s="323">
        <f t="shared" si="160"/>
        <v>2268.2552605032211</v>
      </c>
      <c r="AD58" s="323">
        <f t="shared" si="160"/>
        <v>2349.6009416765883</v>
      </c>
      <c r="AE58" s="323">
        <f t="shared" si="160"/>
        <v>2424.2025553757198</v>
      </c>
      <c r="AF58" s="323">
        <f>AF56/AF55*1000</f>
        <v>2507.9587536639501</v>
      </c>
      <c r="AG58" s="315">
        <f>AF58*Assumptions!AG20/Assumptions!AF20*(Monetary!AG15/100-Assumptions!AG11/100)</f>
        <v>2568.0008204823835</v>
      </c>
      <c r="AH58" s="315">
        <f>AG58*Assumptions!AH20/Assumptions!AG20*(Monetary!AH15/100-Assumptions!AH11/100)</f>
        <v>2678.2835985122438</v>
      </c>
      <c r="AI58" s="315">
        <f>AH58*Assumptions!AI20/Assumptions!AH20*(Monetary!AI15/100-Assumptions!AI11/100)</f>
        <v>2816.2204431568571</v>
      </c>
      <c r="AJ58" s="315">
        <f>AI58*Assumptions!AJ20/Assumptions!AI20*(Monetary!AJ15/100-Assumptions!AJ11/100)</f>
        <v>2835.397804269368</v>
      </c>
      <c r="AK58" s="315">
        <f>AJ58*Assumptions!AK20/Assumptions!AJ20*(Monetary!AK15/100-Assumptions!AK11/100)</f>
        <v>2846.9200929717263</v>
      </c>
      <c r="AL58" s="315">
        <f>AK58*Assumptions!AL20/Assumptions!AK20*(Monetary!AL15/100-Assumptions!AL11/100)</f>
        <v>2890.5483577005089</v>
      </c>
      <c r="AM58" s="315">
        <f>AL58*Assumptions!AM20/Assumptions!AL20*(Monetary!AM15/100-Assumptions!AM11/100)</f>
        <v>2926.0075518793556</v>
      </c>
      <c r="AN58" s="315">
        <f>AM58*Assumptions!AN20/Assumptions!AM20*(Monetary!AN15/100-Assumptions!AN11/100)</f>
        <v>2957.3456391792261</v>
      </c>
      <c r="AO58" s="315">
        <f>AN58*Assumptions!AO20/Assumptions!AN20*(Monetary!AO15/100-Assumptions!AO11/100)</f>
        <v>2992.7204263561202</v>
      </c>
      <c r="AP58" s="315">
        <f>AO58*Assumptions!AP20/Assumptions!AO20*(Monetary!AP15/100-Assumptions!AP11/100)</f>
        <v>3035.1325062227306</v>
      </c>
    </row>
    <row r="59" spans="2:42" ht="15.75" thickTop="1">
      <c r="B59" s="241" t="s">
        <v>732</v>
      </c>
      <c r="C59" s="235"/>
      <c r="D59" s="801"/>
      <c r="E59" s="801"/>
      <c r="F59" s="801"/>
      <c r="G59" s="801"/>
      <c r="H59" s="801"/>
      <c r="I59" s="801"/>
      <c r="J59" s="801"/>
      <c r="K59" s="801"/>
      <c r="L59" s="801"/>
      <c r="M59" s="801"/>
      <c r="N59" s="801"/>
      <c r="O59" s="801"/>
      <c r="P59" s="801"/>
      <c r="Q59" s="801"/>
      <c r="R59" s="801"/>
      <c r="S59" s="801"/>
      <c r="T59" s="801"/>
      <c r="U59" s="801"/>
      <c r="AF59"/>
    </row>
    <row r="60" spans="2:42">
      <c r="B60" s="1298" t="s">
        <v>752</v>
      </c>
      <c r="C60" s="236" t="s">
        <v>739</v>
      </c>
      <c r="D60" s="801"/>
      <c r="E60" s="801"/>
      <c r="F60" s="801"/>
      <c r="G60" s="801"/>
      <c r="H60" s="801"/>
      <c r="I60" s="801"/>
      <c r="J60" s="801"/>
      <c r="K60" s="801"/>
      <c r="L60" s="884"/>
      <c r="M60" s="884"/>
      <c r="N60" s="884"/>
      <c r="O60" s="884"/>
      <c r="P60" s="883">
        <v>12478</v>
      </c>
      <c r="Q60" s="863">
        <v>14499</v>
      </c>
      <c r="R60" s="322">
        <v>15595</v>
      </c>
      <c r="S60" s="322">
        <v>16215</v>
      </c>
      <c r="T60" s="322">
        <v>17449</v>
      </c>
      <c r="U60" s="322">
        <v>15565</v>
      </c>
      <c r="AF60"/>
    </row>
    <row r="61" spans="2:42">
      <c r="B61" s="1298"/>
      <c r="C61" s="236" t="s">
        <v>740</v>
      </c>
      <c r="D61" s="801"/>
      <c r="E61" s="801"/>
      <c r="F61" s="801"/>
      <c r="G61" s="801"/>
      <c r="H61" s="801"/>
      <c r="I61" s="801"/>
      <c r="J61" s="801"/>
      <c r="K61" s="801"/>
      <c r="L61" s="883">
        <v>201.4</v>
      </c>
      <c r="M61" s="883">
        <v>201.7</v>
      </c>
      <c r="N61" s="883">
        <v>251.6</v>
      </c>
      <c r="O61" s="883">
        <v>227.2</v>
      </c>
      <c r="P61" s="883">
        <v>268.5</v>
      </c>
      <c r="Q61" s="863">
        <v>302.3</v>
      </c>
      <c r="R61" s="322">
        <v>343.4</v>
      </c>
      <c r="S61" s="323">
        <v>368</v>
      </c>
      <c r="T61" s="322">
        <v>435.4</v>
      </c>
      <c r="U61" s="322">
        <v>420.8</v>
      </c>
      <c r="AF61"/>
    </row>
    <row r="62" spans="2:42">
      <c r="B62" s="1298"/>
      <c r="C62" s="236" t="s">
        <v>742</v>
      </c>
      <c r="D62" s="801"/>
      <c r="E62" s="801"/>
      <c r="F62" s="801"/>
      <c r="G62" s="801"/>
      <c r="H62" s="801"/>
      <c r="I62" s="801"/>
      <c r="J62" s="801"/>
      <c r="K62" s="801"/>
      <c r="L62" s="884"/>
      <c r="M62" s="884"/>
      <c r="N62" s="884"/>
      <c r="O62" s="884"/>
      <c r="P62" s="884"/>
      <c r="Q62" s="863"/>
      <c r="R62" s="322"/>
      <c r="S62" s="322"/>
      <c r="T62" s="322"/>
      <c r="U62" s="322"/>
      <c r="AC62" t="s">
        <v>358</v>
      </c>
      <c r="AF62"/>
    </row>
    <row r="63" spans="2:42" ht="27" thickBot="1">
      <c r="B63" s="1299"/>
      <c r="C63" s="233" t="s">
        <v>744</v>
      </c>
      <c r="D63" s="801"/>
      <c r="E63" s="801"/>
      <c r="F63" s="801"/>
      <c r="G63" s="801"/>
      <c r="H63" s="801"/>
      <c r="I63" s="801"/>
      <c r="J63" s="801"/>
      <c r="K63" s="801"/>
      <c r="L63" s="887">
        <v>189.5</v>
      </c>
      <c r="M63" s="887">
        <v>194.5</v>
      </c>
      <c r="N63" s="887">
        <v>203.1</v>
      </c>
      <c r="O63" s="887">
        <v>212.2</v>
      </c>
      <c r="P63" s="886">
        <v>215</v>
      </c>
      <c r="Q63" s="888">
        <v>210.4</v>
      </c>
      <c r="R63" s="322">
        <v>221.3</v>
      </c>
      <c r="S63" s="322">
        <v>227.3</v>
      </c>
      <c r="T63" s="322">
        <v>248.7</v>
      </c>
      <c r="U63" s="322">
        <v>269.7</v>
      </c>
      <c r="AE63">
        <f>AE65*AE68/1000</f>
        <v>2129.1999999999998</v>
      </c>
      <c r="AF63"/>
    </row>
    <row r="64" spans="2:42">
      <c r="B64" s="1294" t="s">
        <v>753</v>
      </c>
      <c r="C64" s="243" t="s">
        <v>739</v>
      </c>
      <c r="D64" s="235"/>
      <c r="E64" s="235"/>
      <c r="F64" s="235"/>
      <c r="G64" s="235"/>
      <c r="H64" s="235"/>
      <c r="I64" s="235"/>
      <c r="J64" s="235"/>
      <c r="K64" s="235"/>
      <c r="L64" s="890">
        <v>9193</v>
      </c>
      <c r="M64" s="890">
        <v>9110</v>
      </c>
      <c r="N64" s="890">
        <v>11118</v>
      </c>
      <c r="O64" s="890">
        <v>11570</v>
      </c>
      <c r="P64" s="890">
        <v>19313</v>
      </c>
      <c r="Q64" s="881">
        <v>20951</v>
      </c>
      <c r="R64" s="322">
        <v>17218</v>
      </c>
      <c r="S64" s="322">
        <v>18409</v>
      </c>
      <c r="T64" s="322">
        <v>17353</v>
      </c>
      <c r="U64" s="323">
        <v>19399</v>
      </c>
      <c r="V64" s="321">
        <v>21358</v>
      </c>
      <c r="W64" s="321">
        <v>20069.2</v>
      </c>
      <c r="X64" s="321">
        <v>20296</v>
      </c>
      <c r="Y64" s="1231">
        <v>19926.599999999999</v>
      </c>
      <c r="Z64" s="1231">
        <v>21883</v>
      </c>
      <c r="AA64" s="1231">
        <v>22753.9</v>
      </c>
      <c r="AB64" s="1231">
        <v>22595</v>
      </c>
      <c r="AC64" s="1231">
        <v>20664</v>
      </c>
      <c r="AD64" s="1231">
        <v>23801</v>
      </c>
      <c r="AE64" s="1231">
        <v>25131</v>
      </c>
      <c r="AF64" s="319">
        <f>AE64</f>
        <v>25131</v>
      </c>
      <c r="AG64" s="319">
        <f t="shared" ref="AG64:AI64" si="161">AF64</f>
        <v>25131</v>
      </c>
      <c r="AH64" s="319">
        <f t="shared" si="161"/>
        <v>25131</v>
      </c>
      <c r="AI64" s="319">
        <f t="shared" si="161"/>
        <v>25131</v>
      </c>
      <c r="AJ64" s="319">
        <f t="shared" ref="AJ64" si="162">AI64</f>
        <v>25131</v>
      </c>
      <c r="AK64" s="319">
        <f t="shared" ref="AK64" si="163">AJ64</f>
        <v>25131</v>
      </c>
      <c r="AL64" s="319">
        <f t="shared" ref="AL64" si="164">AK64</f>
        <v>25131</v>
      </c>
      <c r="AM64" s="319">
        <f t="shared" ref="AM64" si="165">AL64</f>
        <v>25131</v>
      </c>
      <c r="AN64" s="319">
        <f t="shared" ref="AN64" si="166">AM64</f>
        <v>25131</v>
      </c>
      <c r="AO64" s="319">
        <f t="shared" ref="AO64" si="167">AN64</f>
        <v>25131</v>
      </c>
      <c r="AP64" s="319">
        <f t="shared" ref="AP64" si="168">AO64</f>
        <v>25131</v>
      </c>
    </row>
    <row r="65" spans="2:42">
      <c r="B65" s="1293"/>
      <c r="C65" s="236" t="s">
        <v>740</v>
      </c>
      <c r="D65" s="236"/>
      <c r="E65" s="236"/>
      <c r="F65" s="236"/>
      <c r="G65" s="236"/>
      <c r="H65" s="236"/>
      <c r="I65" s="236"/>
      <c r="J65" s="236"/>
      <c r="K65" s="236"/>
      <c r="L65" s="883">
        <v>170.2</v>
      </c>
      <c r="M65" s="883">
        <v>218.2</v>
      </c>
      <c r="N65" s="883">
        <v>254.2</v>
      </c>
      <c r="O65" s="883">
        <v>285.2</v>
      </c>
      <c r="P65" s="883">
        <v>424.6</v>
      </c>
      <c r="Q65" s="863">
        <v>482.4</v>
      </c>
      <c r="R65" s="322">
        <v>423.3</v>
      </c>
      <c r="S65" s="322">
        <v>465</v>
      </c>
      <c r="T65" s="322">
        <v>495.2</v>
      </c>
      <c r="U65" s="323">
        <v>545.70000000000005</v>
      </c>
      <c r="V65" s="323">
        <v>592.4</v>
      </c>
      <c r="W65" s="323">
        <v>594.20000000000005</v>
      </c>
      <c r="X65" s="323">
        <v>631.20000000000005</v>
      </c>
      <c r="Y65" s="317">
        <v>641.70000000000005</v>
      </c>
      <c r="Z65" s="690">
        <v>701.26300000000003</v>
      </c>
      <c r="AA65" s="690">
        <v>756.96199999999999</v>
      </c>
      <c r="AB65" s="690">
        <v>818.82899999999995</v>
      </c>
      <c r="AC65" s="690">
        <v>842.63499999999999</v>
      </c>
      <c r="AD65" s="690">
        <v>1009.915</v>
      </c>
      <c r="AE65" s="690">
        <v>1144.806</v>
      </c>
      <c r="AF65" s="315">
        <v>1254.4000000000001</v>
      </c>
      <c r="AG65" s="315">
        <f t="shared" ref="AG65:AI65" si="169">AF65*1.005</f>
        <v>1260.672</v>
      </c>
      <c r="AH65" s="315">
        <f t="shared" si="169"/>
        <v>1266.9753599999999</v>
      </c>
      <c r="AI65" s="315">
        <f t="shared" si="169"/>
        <v>1273.3102367999998</v>
      </c>
      <c r="AJ65" s="315">
        <f t="shared" ref="AJ65" si="170">AI65*1.005</f>
        <v>1279.6767879839997</v>
      </c>
      <c r="AK65" s="315">
        <f t="shared" ref="AK65" si="171">AJ65*1.005</f>
        <v>1286.0751719239195</v>
      </c>
      <c r="AL65" s="315">
        <f t="shared" ref="AL65" si="172">AK65*1.005</f>
        <v>1292.505547783539</v>
      </c>
      <c r="AM65" s="315">
        <f t="shared" ref="AM65" si="173">AL65*1.005</f>
        <v>1298.9680755224565</v>
      </c>
      <c r="AN65" s="315">
        <f t="shared" ref="AN65" si="174">AM65*1.005</f>
        <v>1305.4629159000685</v>
      </c>
      <c r="AO65" s="315">
        <f t="shared" ref="AO65" si="175">AN65*1.005</f>
        <v>1311.9902304795687</v>
      </c>
      <c r="AP65" s="315">
        <f t="shared" ref="AP65" si="176">AO65*1.005</f>
        <v>1318.5501816319663</v>
      </c>
    </row>
    <row r="66" spans="2:42" s="625" customFormat="1">
      <c r="B66" s="1293"/>
      <c r="C66" s="630" t="s">
        <v>742</v>
      </c>
      <c r="D66" s="630"/>
      <c r="E66" s="630"/>
      <c r="F66" s="630"/>
      <c r="G66" s="630"/>
      <c r="H66" s="630"/>
      <c r="I66" s="630"/>
      <c r="J66" s="630"/>
      <c r="K66" s="630"/>
      <c r="L66" s="883" t="s">
        <v>1181</v>
      </c>
      <c r="M66" s="883" t="s">
        <v>1181</v>
      </c>
      <c r="N66" s="883" t="s">
        <v>1181</v>
      </c>
      <c r="O66" s="883" t="s">
        <v>1181</v>
      </c>
      <c r="P66" s="883">
        <v>223.8</v>
      </c>
      <c r="Q66" s="863">
        <v>347.7</v>
      </c>
      <c r="R66" s="322">
        <v>507.7</v>
      </c>
      <c r="S66" s="322">
        <v>373.5</v>
      </c>
      <c r="T66" s="322">
        <v>585.1</v>
      </c>
      <c r="U66" s="323">
        <v>1055.2</v>
      </c>
      <c r="V66" s="627">
        <v>1132.3</v>
      </c>
      <c r="W66" s="627">
        <v>1093.5</v>
      </c>
      <c r="X66" s="627">
        <v>1170.0999999999999</v>
      </c>
      <c r="Y66" s="627">
        <v>1170.0999999999999</v>
      </c>
      <c r="Z66" s="627">
        <v>1170.0999999999999</v>
      </c>
      <c r="AA66" s="627">
        <v>1170.0999999999999</v>
      </c>
      <c r="AB66" s="628">
        <v>1368.8376343353766</v>
      </c>
      <c r="AC66" s="628">
        <v>1462.0856946420286</v>
      </c>
      <c r="AD66" s="628">
        <v>1815.2281906954527</v>
      </c>
      <c r="AE66" s="628">
        <v>2129.1999999999998</v>
      </c>
      <c r="AF66" s="628">
        <v>2413.6377569509591</v>
      </c>
      <c r="AG66" s="629">
        <f t="shared" ref="AG66:AP66" si="177">AG65*AG68/1000</f>
        <v>2483.7788300137972</v>
      </c>
      <c r="AH66" s="629">
        <f t="shared" si="177"/>
        <v>2603.3969187034131</v>
      </c>
      <c r="AI66" s="629">
        <f t="shared" si="177"/>
        <v>2751.1643376070042</v>
      </c>
      <c r="AJ66" s="629">
        <f t="shared" si="177"/>
        <v>2783.7481855139754</v>
      </c>
      <c r="AK66" s="629">
        <f t="shared" si="177"/>
        <v>2809.0358870759078</v>
      </c>
      <c r="AL66" s="629">
        <f t="shared" si="177"/>
        <v>2866.3440047386839</v>
      </c>
      <c r="AM66" s="629">
        <f t="shared" si="177"/>
        <v>2916.0138084925861</v>
      </c>
      <c r="AN66" s="629">
        <f t="shared" si="177"/>
        <v>2961.9810852391684</v>
      </c>
      <c r="AO66" s="629">
        <f t="shared" si="177"/>
        <v>3012.3983766840324</v>
      </c>
      <c r="AP66" s="629">
        <f t="shared" si="177"/>
        <v>3070.3647741423551</v>
      </c>
    </row>
    <row r="67" spans="2:42" ht="26.25">
      <c r="B67" s="1293"/>
      <c r="C67" s="236" t="s">
        <v>744</v>
      </c>
      <c r="D67" s="236"/>
      <c r="E67" s="236"/>
      <c r="F67" s="236"/>
      <c r="G67" s="236"/>
      <c r="H67" s="236"/>
      <c r="I67" s="236"/>
      <c r="J67" s="236"/>
      <c r="K67" s="236"/>
      <c r="L67" s="883">
        <v>1145.7</v>
      </c>
      <c r="M67" s="883">
        <v>185.7</v>
      </c>
      <c r="N67" s="883">
        <v>189</v>
      </c>
      <c r="O67" s="883">
        <v>197.6</v>
      </c>
      <c r="P67" s="883">
        <v>202.9</v>
      </c>
      <c r="Q67" s="865">
        <v>230.25153930599973</v>
      </c>
      <c r="R67" s="323">
        <v>245.84736903240795</v>
      </c>
      <c r="S67" s="323">
        <v>252.5938399695801</v>
      </c>
      <c r="T67" s="323">
        <v>285.36852417449433</v>
      </c>
      <c r="U67" s="323">
        <v>281.30315995669883</v>
      </c>
      <c r="V67" s="323">
        <f t="shared" ref="V67:AP67" si="178">V65/V64*10000</f>
        <v>277.3667946436932</v>
      </c>
      <c r="W67" s="323">
        <f t="shared" si="178"/>
        <v>296.07557849839554</v>
      </c>
      <c r="X67" s="323">
        <f>263.3</f>
        <v>263.3</v>
      </c>
      <c r="Y67" s="323">
        <f>263.3</f>
        <v>263.3</v>
      </c>
      <c r="Z67" s="323">
        <f>263.3</f>
        <v>263.3</v>
      </c>
      <c r="AA67" s="323">
        <f>263.3</f>
        <v>263.3</v>
      </c>
      <c r="AB67" s="255">
        <f t="shared" si="178"/>
        <v>362.39389245408273</v>
      </c>
      <c r="AC67" s="255">
        <f t="shared" si="178"/>
        <v>407.77922957801007</v>
      </c>
      <c r="AD67" s="255">
        <f t="shared" si="178"/>
        <v>424.31620520146214</v>
      </c>
      <c r="AE67" s="330">
        <f t="shared" si="178"/>
        <v>455.53539453264892</v>
      </c>
      <c r="AF67" s="330">
        <f t="shared" si="178"/>
        <v>499.14448290955397</v>
      </c>
      <c r="AG67" s="330">
        <f t="shared" si="178"/>
        <v>501.64020532410177</v>
      </c>
      <c r="AH67" s="330">
        <f t="shared" si="178"/>
        <v>504.14840635072221</v>
      </c>
      <c r="AI67" s="330">
        <f t="shared" si="178"/>
        <v>506.66914838247578</v>
      </c>
      <c r="AJ67" s="330">
        <f t="shared" si="178"/>
        <v>509.20249412438807</v>
      </c>
      <c r="AK67" s="330">
        <f t="shared" si="178"/>
        <v>511.74850659500999</v>
      </c>
      <c r="AL67" s="330">
        <f t="shared" si="178"/>
        <v>514.30724912798496</v>
      </c>
      <c r="AM67" s="330">
        <f t="shared" si="178"/>
        <v>516.87878537362485</v>
      </c>
      <c r="AN67" s="330">
        <f t="shared" si="178"/>
        <v>519.46317930049281</v>
      </c>
      <c r="AO67" s="330">
        <f t="shared" si="178"/>
        <v>522.06049519699525</v>
      </c>
      <c r="AP67" s="330">
        <f t="shared" si="178"/>
        <v>524.67079767298014</v>
      </c>
    </row>
    <row r="68" spans="2:42" ht="15.75" thickBot="1">
      <c r="B68" s="1295"/>
      <c r="C68" s="233" t="s">
        <v>747</v>
      </c>
      <c r="D68" s="239"/>
      <c r="E68" s="239"/>
      <c r="F68" s="239"/>
      <c r="G68" s="239"/>
      <c r="H68" s="239"/>
      <c r="I68" s="239"/>
      <c r="J68" s="239"/>
      <c r="K68" s="239"/>
      <c r="L68" s="887"/>
      <c r="M68" s="887"/>
      <c r="N68" s="887"/>
      <c r="O68" s="887"/>
      <c r="P68" s="886">
        <v>527.08431464908142</v>
      </c>
      <c r="Q68" s="878">
        <v>720.77114427860704</v>
      </c>
      <c r="R68" s="323">
        <v>1199.3857784077486</v>
      </c>
      <c r="S68" s="323">
        <v>803.22580645161293</v>
      </c>
      <c r="T68" s="323">
        <v>1181.5428109854604</v>
      </c>
      <c r="U68" s="323">
        <v>1933.6631849001283</v>
      </c>
      <c r="V68" s="323">
        <f t="shared" ref="V68:AD68" si="179">V66/V65*1000</f>
        <v>1911.377447670493</v>
      </c>
      <c r="W68" s="323">
        <f t="shared" si="179"/>
        <v>1840.2894648266574</v>
      </c>
      <c r="X68" s="323">
        <f t="shared" si="179"/>
        <v>1853.7705956907475</v>
      </c>
      <c r="Y68" s="323">
        <f t="shared" si="179"/>
        <v>1823.4377434938442</v>
      </c>
      <c r="Z68" s="323">
        <f t="shared" si="179"/>
        <v>1668.5608680338189</v>
      </c>
      <c r="AA68" s="323">
        <f t="shared" si="179"/>
        <v>1545.7843326349275</v>
      </c>
      <c r="AB68" s="323">
        <f t="shared" si="179"/>
        <v>1671.7014594443733</v>
      </c>
      <c r="AC68" s="323">
        <f t="shared" si="179"/>
        <v>1735.1352538667732</v>
      </c>
      <c r="AD68" s="323">
        <f t="shared" si="179"/>
        <v>1797.4069012693669</v>
      </c>
      <c r="AE68" s="323">
        <f>AE66/AE65*1000</f>
        <v>1859.8784422862911</v>
      </c>
      <c r="AF68" s="323">
        <f>AF66/AF65*1000</f>
        <v>1924.1372424672822</v>
      </c>
      <c r="AG68" s="319">
        <f>AF68*Assumptions!AG20/Assumptions!AF20*(Monetary!AG15/100-Assumptions!AG11/100)</f>
        <v>1970.2022651520754</v>
      </c>
      <c r="AH68" s="319">
        <f>AG68*Assumptions!AH20/Assumptions!AG20*(Monetary!AH15/100-Assumptions!AH11/100)</f>
        <v>2054.8125882285613</v>
      </c>
      <c r="AI68" s="319">
        <f>AH68*Assumptions!AI20/Assumptions!AH20*(Monetary!AI15/100-Assumptions!AI11/100)</f>
        <v>2160.6394561949419</v>
      </c>
      <c r="AJ68" s="319">
        <f>AI68*Assumptions!AJ20/Assumptions!AI20*(Monetary!AJ15/100-Assumptions!AJ11/100)</f>
        <v>2175.3525668770526</v>
      </c>
      <c r="AK68" s="319">
        <f>AJ68*Assumptions!AK20/Assumptions!AJ20*(Monetary!AK15/100-Assumptions!AK11/100)</f>
        <v>2184.1926105094599</v>
      </c>
      <c r="AL68" s="319">
        <f>AK68*Assumptions!AL20/Assumptions!AK20*(Monetary!AL15/100-Assumptions!AL11/100)</f>
        <v>2217.6647594697379</v>
      </c>
      <c r="AM68" s="319">
        <f>AL68*Assumptions!AM20/Assumptions!AL20*(Monetary!AM15/100-Assumptions!AM11/100)</f>
        <v>2244.8694955953706</v>
      </c>
      <c r="AN68" s="319">
        <f>AM68*Assumptions!AN20/Assumptions!AM20*(Monetary!AN15/100-Assumptions!AN11/100)</f>
        <v>2268.9124671128566</v>
      </c>
      <c r="AO68" s="319">
        <f>AN68*Assumptions!AO20/Assumptions!AN20*(Monetary!AO15/100-Assumptions!AO11/100)</f>
        <v>2296.0524451336178</v>
      </c>
      <c r="AP68" s="319">
        <f>AO68*Assumptions!AP20/Assumptions!AO20*(Monetary!AP15/100-Assumptions!AP11/100)</f>
        <v>2328.5915218957934</v>
      </c>
    </row>
    <row r="69" spans="2:42" ht="15.75" thickBot="1">
      <c r="B69" s="232"/>
      <c r="C69" s="242"/>
      <c r="D69" s="801"/>
      <c r="E69" s="801"/>
      <c r="F69" s="801"/>
      <c r="G69" s="801"/>
      <c r="H69" s="801"/>
      <c r="I69" s="801"/>
      <c r="J69" s="801"/>
      <c r="K69" s="801"/>
      <c r="L69" s="889"/>
      <c r="M69" s="889"/>
      <c r="N69" s="893"/>
      <c r="O69" s="889"/>
      <c r="P69" s="892"/>
      <c r="Q69" s="891">
        <v>204.2</v>
      </c>
      <c r="R69" s="323">
        <v>205.9</v>
      </c>
      <c r="S69" s="323">
        <v>209.7</v>
      </c>
      <c r="T69" s="323">
        <v>223.8</v>
      </c>
      <c r="U69" s="323">
        <v>281.28865979381447</v>
      </c>
      <c r="AE69">
        <f>AE71*AE74/1000</f>
        <v>3538.5999999999995</v>
      </c>
    </row>
    <row r="70" spans="2:42">
      <c r="B70" s="1300" t="s">
        <v>754</v>
      </c>
      <c r="C70" s="243" t="s">
        <v>739</v>
      </c>
      <c r="D70" s="235"/>
      <c r="E70" s="235"/>
      <c r="F70" s="235"/>
      <c r="G70" s="235"/>
      <c r="H70" s="235"/>
      <c r="I70" s="235"/>
      <c r="J70" s="235"/>
      <c r="K70" s="235"/>
      <c r="L70" s="866">
        <v>60870</v>
      </c>
      <c r="M70" s="866">
        <v>67087</v>
      </c>
      <c r="N70" s="883">
        <v>69850</v>
      </c>
      <c r="O70" s="866">
        <v>73807</v>
      </c>
      <c r="P70" s="866">
        <v>73293</v>
      </c>
      <c r="Q70" s="881">
        <v>73850</v>
      </c>
      <c r="R70" s="323">
        <v>115423</v>
      </c>
      <c r="S70" s="322">
        <v>122009</v>
      </c>
      <c r="T70" s="323">
        <v>130682</v>
      </c>
      <c r="U70" s="323">
        <v>135430</v>
      </c>
      <c r="V70" s="337">
        <v>140344</v>
      </c>
      <c r="W70" s="321">
        <v>146565</v>
      </c>
      <c r="X70" s="337">
        <v>150312.79999999999</v>
      </c>
      <c r="Y70" s="325">
        <v>158940.70000000001</v>
      </c>
      <c r="Z70" s="1228">
        <v>160533</v>
      </c>
      <c r="AA70" s="1228">
        <v>161837</v>
      </c>
      <c r="AB70" s="1228">
        <v>160973</v>
      </c>
      <c r="AC70" s="1228">
        <v>164394</v>
      </c>
      <c r="AD70" s="1228">
        <v>166612</v>
      </c>
      <c r="AE70" s="1228">
        <v>170090</v>
      </c>
      <c r="AF70" s="319">
        <f>AE70+3000</f>
        <v>173090</v>
      </c>
      <c r="AG70" s="319">
        <f t="shared" ref="AG70:AI70" si="180">AF70+3000</f>
        <v>176090</v>
      </c>
      <c r="AH70" s="319">
        <f t="shared" si="180"/>
        <v>179090</v>
      </c>
      <c r="AI70" s="319">
        <f t="shared" si="180"/>
        <v>182090</v>
      </c>
      <c r="AJ70" s="319">
        <f t="shared" ref="AJ70" si="181">AI70+3000</f>
        <v>185090</v>
      </c>
      <c r="AK70" s="319">
        <f t="shared" ref="AK70" si="182">AJ70+3000</f>
        <v>188090</v>
      </c>
      <c r="AL70" s="319">
        <f t="shared" ref="AL70" si="183">AK70+3000</f>
        <v>191090</v>
      </c>
      <c r="AM70" s="319">
        <f t="shared" ref="AM70" si="184">AL70+3000</f>
        <v>194090</v>
      </c>
      <c r="AN70" s="319">
        <f t="shared" ref="AN70" si="185">AM70+3000</f>
        <v>197090</v>
      </c>
      <c r="AO70" s="319">
        <f t="shared" ref="AO70" si="186">AN70+3000</f>
        <v>200090</v>
      </c>
      <c r="AP70" s="319">
        <f t="shared" ref="AP70" si="187">AO70+3000</f>
        <v>203090</v>
      </c>
    </row>
    <row r="71" spans="2:42">
      <c r="B71" s="1301"/>
      <c r="C71" s="236" t="s">
        <v>740</v>
      </c>
      <c r="D71" s="236"/>
      <c r="E71" s="236"/>
      <c r="F71" s="236"/>
      <c r="G71" s="236"/>
      <c r="H71" s="236"/>
      <c r="I71" s="236"/>
      <c r="J71" s="236"/>
      <c r="K71" s="236"/>
      <c r="L71" s="883">
        <v>148.30000000000001</v>
      </c>
      <c r="M71" s="883">
        <v>208.8</v>
      </c>
      <c r="N71" s="883">
        <v>157.19999999999999</v>
      </c>
      <c r="O71" s="883">
        <v>262.39999999999998</v>
      </c>
      <c r="P71" s="883">
        <v>213.9</v>
      </c>
      <c r="Q71" s="863">
        <v>224.7</v>
      </c>
      <c r="R71" s="323">
        <v>263.10000000000002</v>
      </c>
      <c r="S71" s="322">
        <v>313.2</v>
      </c>
      <c r="T71" s="323">
        <v>328.5</v>
      </c>
      <c r="U71" s="323">
        <v>341.3</v>
      </c>
      <c r="V71" s="323">
        <v>299.3</v>
      </c>
      <c r="W71" s="323">
        <v>364.1</v>
      </c>
      <c r="X71" s="323">
        <v>405</v>
      </c>
      <c r="Y71" s="317">
        <v>447.7</v>
      </c>
      <c r="Z71" s="690">
        <v>473.75700000000001</v>
      </c>
      <c r="AA71" s="690">
        <v>467.80200000000002</v>
      </c>
      <c r="AB71" s="690">
        <v>444.37799999999999</v>
      </c>
      <c r="AC71" s="690">
        <v>512.04899999999998</v>
      </c>
      <c r="AD71" s="690">
        <v>664.34299999999996</v>
      </c>
      <c r="AE71" s="690">
        <v>823.05</v>
      </c>
      <c r="AF71" s="315">
        <v>954.3</v>
      </c>
      <c r="AG71" s="315">
        <f t="shared" ref="AG71:AI71" si="188">AF71*1.04</f>
        <v>992.47199999999998</v>
      </c>
      <c r="AH71" s="315">
        <f t="shared" si="188"/>
        <v>1032.1708800000001</v>
      </c>
      <c r="AI71" s="315">
        <f t="shared" si="188"/>
        <v>1073.4577152000002</v>
      </c>
      <c r="AJ71" s="315">
        <f t="shared" ref="AJ71" si="189">AI71*1.04</f>
        <v>1116.3960238080001</v>
      </c>
      <c r="AK71" s="315">
        <f t="shared" ref="AK71" si="190">AJ71*1.04</f>
        <v>1161.0518647603201</v>
      </c>
      <c r="AL71" s="315">
        <f t="shared" ref="AL71" si="191">AK71*1.04</f>
        <v>1207.4939393507329</v>
      </c>
      <c r="AM71" s="315">
        <f t="shared" ref="AM71" si="192">AL71*1.04</f>
        <v>1255.7936969247623</v>
      </c>
      <c r="AN71" s="315">
        <f t="shared" ref="AN71" si="193">AM71*1.04</f>
        <v>1306.0254448017529</v>
      </c>
      <c r="AO71" s="315">
        <f t="shared" ref="AO71" si="194">AN71*1.04</f>
        <v>1358.266462593823</v>
      </c>
      <c r="AP71" s="315">
        <f t="shared" ref="AP71" si="195">AO71*1.04</f>
        <v>1412.5971210975761</v>
      </c>
    </row>
    <row r="72" spans="2:42" s="625" customFormat="1">
      <c r="B72" s="1301"/>
      <c r="C72" s="630" t="s">
        <v>742</v>
      </c>
      <c r="D72" s="630"/>
      <c r="E72" s="630"/>
      <c r="F72" s="630"/>
      <c r="G72" s="630"/>
      <c r="H72" s="630"/>
      <c r="I72" s="630"/>
      <c r="J72" s="630"/>
      <c r="K72" s="630"/>
      <c r="L72" s="861" t="s">
        <v>1181</v>
      </c>
      <c r="M72" s="861" t="s">
        <v>1181</v>
      </c>
      <c r="N72" s="861" t="s">
        <v>1181</v>
      </c>
      <c r="O72" s="861" t="s">
        <v>1181</v>
      </c>
      <c r="P72" s="861">
        <v>457.9</v>
      </c>
      <c r="Q72" s="863">
        <v>595.4</v>
      </c>
      <c r="R72" s="323">
        <v>1111.7</v>
      </c>
      <c r="S72" s="322">
        <v>1092.2</v>
      </c>
      <c r="T72" s="323">
        <v>1209.0999999999999</v>
      </c>
      <c r="U72" s="323">
        <v>1717.7</v>
      </c>
      <c r="V72" s="627">
        <v>1525.1</v>
      </c>
      <c r="W72" s="627">
        <f>V72*1.02</f>
        <v>1555.6019999999999</v>
      </c>
      <c r="X72" s="627">
        <f t="shared" ref="X72:AB72" si="196">W72*1.02</f>
        <v>1586.7140399999998</v>
      </c>
      <c r="Y72" s="627">
        <f t="shared" si="196"/>
        <v>1618.4483207999999</v>
      </c>
      <c r="Z72" s="627">
        <f t="shared" si="196"/>
        <v>1650.8172872159998</v>
      </c>
      <c r="AA72" s="627">
        <f t="shared" si="196"/>
        <v>1683.8336329603198</v>
      </c>
      <c r="AB72" s="627">
        <f t="shared" si="196"/>
        <v>1717.5103056195262</v>
      </c>
      <c r="AC72" s="623">
        <v>2054.2691646618678</v>
      </c>
      <c r="AD72" s="623">
        <v>2760.3764026832428</v>
      </c>
      <c r="AE72" s="623">
        <v>3538.6</v>
      </c>
      <c r="AF72" s="623">
        <v>4244.6478228649521</v>
      </c>
      <c r="AG72" s="624">
        <f t="shared" ref="AG72:AP72" si="197">AG71*AG74/1000</f>
        <v>4520.1179799649854</v>
      </c>
      <c r="AH72" s="624">
        <f t="shared" si="197"/>
        <v>4902.8037929827096</v>
      </c>
      <c r="AI72" s="624">
        <f t="shared" si="197"/>
        <v>5361.5200904732092</v>
      </c>
      <c r="AJ72" s="624">
        <f t="shared" si="197"/>
        <v>5613.9511458252018</v>
      </c>
      <c r="AK72" s="624">
        <f t="shared" si="197"/>
        <v>5862.2353116391041</v>
      </c>
      <c r="AL72" s="624">
        <f t="shared" si="197"/>
        <v>6190.1553479210543</v>
      </c>
      <c r="AM72" s="624">
        <f t="shared" si="197"/>
        <v>6516.7354481215107</v>
      </c>
      <c r="AN72" s="624">
        <f t="shared" si="197"/>
        <v>6849.9921378127447</v>
      </c>
      <c r="AO72" s="624">
        <f t="shared" si="197"/>
        <v>7209.2066495063455</v>
      </c>
      <c r="AP72" s="624">
        <f t="shared" si="197"/>
        <v>7603.8286581753846</v>
      </c>
    </row>
    <row r="73" spans="2:42" ht="26.25">
      <c r="B73" s="1301"/>
      <c r="C73" s="236" t="s">
        <v>744</v>
      </c>
      <c r="D73" s="236"/>
      <c r="E73" s="236"/>
      <c r="F73" s="236"/>
      <c r="G73" s="236"/>
      <c r="H73" s="236"/>
      <c r="I73" s="236"/>
      <c r="J73" s="236"/>
      <c r="K73" s="236"/>
      <c r="L73" s="883">
        <v>24.3</v>
      </c>
      <c r="M73" s="883">
        <v>31.1</v>
      </c>
      <c r="N73" s="883">
        <v>22.5</v>
      </c>
      <c r="O73" s="883">
        <v>35.5</v>
      </c>
      <c r="P73" s="883">
        <v>29.2</v>
      </c>
      <c r="Q73" s="863">
        <v>30.4</v>
      </c>
      <c r="R73" s="323">
        <v>22.794417057258954</v>
      </c>
      <c r="S73" s="323">
        <v>25.670237441500213</v>
      </c>
      <c r="T73" s="323">
        <v>25.13735633063467</v>
      </c>
      <c r="U73" s="323">
        <v>25.201210957690321</v>
      </c>
      <c r="V73" s="323">
        <f t="shared" ref="V73:AP73" si="198">V71/V70*10000</f>
        <v>21.326169982329134</v>
      </c>
      <c r="W73" s="323">
        <f t="shared" si="198"/>
        <v>24.842220175348825</v>
      </c>
      <c r="X73" s="323">
        <f t="shared" si="198"/>
        <v>26.943813168273095</v>
      </c>
      <c r="Y73" s="323">
        <f t="shared" si="198"/>
        <v>28.167738030598834</v>
      </c>
      <c r="Z73" s="323">
        <f t="shared" si="198"/>
        <v>29.511502307936684</v>
      </c>
      <c r="AA73" s="323">
        <f t="shared" si="198"/>
        <v>28.905750848075535</v>
      </c>
      <c r="AB73" s="323">
        <f t="shared" si="198"/>
        <v>27.605747547725397</v>
      </c>
      <c r="AC73" s="317">
        <f t="shared" si="198"/>
        <v>31.147669622978938</v>
      </c>
      <c r="AD73" s="317">
        <f t="shared" si="198"/>
        <v>39.873658560007684</v>
      </c>
      <c r="AE73" s="319">
        <f t="shared" si="198"/>
        <v>48.389088129813622</v>
      </c>
      <c r="AF73" s="319">
        <f t="shared" si="198"/>
        <v>55.133167716216995</v>
      </c>
      <c r="AG73" s="319">
        <f t="shared" si="198"/>
        <v>56.361633255721507</v>
      </c>
      <c r="AH73" s="319">
        <f t="shared" si="198"/>
        <v>57.634199564464801</v>
      </c>
      <c r="AI73" s="319">
        <f t="shared" si="198"/>
        <v>58.952041034653199</v>
      </c>
      <c r="AJ73" s="319">
        <f t="shared" si="198"/>
        <v>60.316387909017237</v>
      </c>
      <c r="AK73" s="319">
        <f t="shared" si="198"/>
        <v>61.728527022187251</v>
      </c>
      <c r="AL73" s="319">
        <f t="shared" si="198"/>
        <v>63.189802676787536</v>
      </c>
      <c r="AM73" s="319">
        <f t="shared" si="198"/>
        <v>64.701617647728497</v>
      </c>
      <c r="AN73" s="319">
        <f t="shared" si="198"/>
        <v>66.265434309287784</v>
      </c>
      <c r="AO73" s="319">
        <f t="shared" si="198"/>
        <v>67.882775880544898</v>
      </c>
      <c r="AP73" s="319">
        <f t="shared" si="198"/>
        <v>69.555227785591413</v>
      </c>
    </row>
    <row r="74" spans="2:42" ht="15.75" thickBot="1">
      <c r="B74" s="1302"/>
      <c r="C74" s="233" t="s">
        <v>747</v>
      </c>
      <c r="D74" s="239"/>
      <c r="E74" s="239"/>
      <c r="F74" s="239"/>
      <c r="G74" s="239"/>
      <c r="H74" s="239"/>
      <c r="I74" s="239"/>
      <c r="J74" s="239"/>
      <c r="K74" s="239"/>
      <c r="L74" s="887"/>
      <c r="M74" s="887"/>
      <c r="N74" s="887"/>
      <c r="O74" s="887"/>
      <c r="P74" s="886">
        <v>2140.7199625993453</v>
      </c>
      <c r="Q74" s="878">
        <v>2649.7552291944817</v>
      </c>
      <c r="R74" s="323">
        <v>4225.3895857088555</v>
      </c>
      <c r="S74" s="323">
        <v>3487.2286079182632</v>
      </c>
      <c r="T74" s="323">
        <v>3680.6697108066969</v>
      </c>
      <c r="U74" s="323">
        <v>5032.8157046586575</v>
      </c>
      <c r="V74" s="323">
        <f t="shared" ref="V74:AF74" si="199">V72/V71*1000</f>
        <v>5095.5562980287332</v>
      </c>
      <c r="W74" s="323">
        <f t="shared" si="199"/>
        <v>4272.4581159022246</v>
      </c>
      <c r="X74" s="323">
        <f t="shared" si="199"/>
        <v>3917.8124444444438</v>
      </c>
      <c r="Y74" s="323">
        <f t="shared" si="199"/>
        <v>3615.0286370337276</v>
      </c>
      <c r="Z74" s="323">
        <f t="shared" si="199"/>
        <v>3484.5232623813472</v>
      </c>
      <c r="AA74" s="323">
        <f t="shared" si="199"/>
        <v>3599.4579607618602</v>
      </c>
      <c r="AB74" s="323">
        <f t="shared" si="199"/>
        <v>3864.9760015561669</v>
      </c>
      <c r="AC74" s="323">
        <f t="shared" si="199"/>
        <v>4011.8605146418959</v>
      </c>
      <c r="AD74" s="323">
        <f t="shared" si="199"/>
        <v>4155.0470204145195</v>
      </c>
      <c r="AE74" s="323">
        <f t="shared" si="199"/>
        <v>4299.3742785978975</v>
      </c>
      <c r="AF74" s="323">
        <f t="shared" si="199"/>
        <v>4447.9176599234543</v>
      </c>
      <c r="AG74" s="319">
        <f>AF74*Assumptions!AG20/Assumptions!AF20*(Monetary!AG15/100-Assumptions!AG11/100)</f>
        <v>4554.4035297368446</v>
      </c>
      <c r="AH74" s="319">
        <f>AG74*Assumptions!AH20/Assumptions!AG20*(Monetary!AH15/100-Assumptions!AH11/100)</f>
        <v>4749.992358806624</v>
      </c>
      <c r="AI74" s="319">
        <f>AH74*Assumptions!AI20/Assumptions!AH20*(Monetary!AI15/100-Assumptions!AI11/100)</f>
        <v>4994.6262573316953</v>
      </c>
      <c r="AJ74" s="319">
        <f>AI74*Assumptions!AJ20/Assumptions!AI20*(Monetary!AJ15/100-Assumptions!AJ11/100)</f>
        <v>5028.6377110840549</v>
      </c>
      <c r="AK74" s="319">
        <f>AJ74*Assumptions!AK20/Assumptions!AJ20*(Monetary!AK15/100-Assumptions!AK11/100)</f>
        <v>5049.072732723499</v>
      </c>
      <c r="AL74" s="319">
        <f>AK74*Assumptions!AL20/Assumptions!AK20*(Monetary!AL15/100-Assumptions!AL11/100)</f>
        <v>5126.4483789040696</v>
      </c>
      <c r="AM74" s="319">
        <f>AL74*Assumptions!AM20/Assumptions!AL20*(Monetary!AM15/100-Assumptions!AM11/100)</f>
        <v>5189.3360064475173</v>
      </c>
      <c r="AN74" s="319">
        <f>AM74*Assumptions!AN20/Assumptions!AM20*(Monetary!AN15/100-Assumptions!AN11/100)</f>
        <v>5244.9147641626032</v>
      </c>
      <c r="AO74" s="319">
        <f>AN74*Assumptions!AO20/Assumptions!AN20*(Monetary!AO15/100-Assumptions!AO11/100)</f>
        <v>5307.6526941107222</v>
      </c>
      <c r="AP74" s="319">
        <f>AO74*Assumptions!AP20/Assumptions!AO20*(Monetary!AP15/100-Assumptions!AP11/100)</f>
        <v>5382.8714108289232</v>
      </c>
    </row>
    <row r="75" spans="2:42" ht="15.75" thickBot="1">
      <c r="B75" s="244"/>
      <c r="C75" s="242"/>
      <c r="D75" s="801"/>
      <c r="E75" s="801"/>
      <c r="F75" s="801"/>
      <c r="G75" s="801"/>
      <c r="H75" s="801"/>
      <c r="I75" s="801"/>
      <c r="J75" s="801"/>
      <c r="K75" s="801"/>
      <c r="L75" s="801"/>
      <c r="M75" s="801"/>
      <c r="N75" s="801"/>
      <c r="O75" s="801"/>
      <c r="P75" s="801"/>
      <c r="Q75" s="801"/>
      <c r="R75" s="801"/>
      <c r="S75" s="801"/>
      <c r="T75" s="801"/>
      <c r="U75" s="801"/>
      <c r="AE75">
        <f>AE77*AE80/1000</f>
        <v>1908.6</v>
      </c>
    </row>
    <row r="76" spans="2:42">
      <c r="B76" s="1294" t="s">
        <v>755</v>
      </c>
      <c r="C76" s="243" t="s">
        <v>739</v>
      </c>
      <c r="D76" s="235"/>
      <c r="E76" s="235"/>
      <c r="F76" s="235"/>
      <c r="G76" s="235"/>
      <c r="H76" s="235"/>
      <c r="I76" s="235"/>
      <c r="J76" s="235"/>
      <c r="K76" s="235"/>
      <c r="L76" s="866">
        <v>31452</v>
      </c>
      <c r="M76" s="866">
        <v>31745</v>
      </c>
      <c r="N76" s="866">
        <v>32838</v>
      </c>
      <c r="O76" s="866">
        <v>31944</v>
      </c>
      <c r="P76" s="866">
        <v>31419</v>
      </c>
      <c r="Q76" s="881">
        <v>30470</v>
      </c>
      <c r="R76" s="322">
        <v>36508</v>
      </c>
      <c r="S76" s="322">
        <v>36511</v>
      </c>
      <c r="T76" s="322">
        <v>37812</v>
      </c>
      <c r="U76" s="322">
        <v>36125</v>
      </c>
      <c r="V76" s="321">
        <v>38707</v>
      </c>
      <c r="W76" s="321">
        <v>37061</v>
      </c>
      <c r="X76" s="321">
        <v>33300</v>
      </c>
      <c r="Y76" s="1232">
        <v>38106</v>
      </c>
      <c r="Z76" s="1232">
        <v>38570</v>
      </c>
      <c r="AA76" s="1232">
        <v>39815</v>
      </c>
      <c r="AB76" s="1232">
        <v>39449</v>
      </c>
      <c r="AC76" s="1232">
        <v>39721</v>
      </c>
      <c r="AD76" s="1232">
        <v>39923</v>
      </c>
      <c r="AE76" s="1232">
        <v>38306</v>
      </c>
      <c r="AF76" s="335">
        <f t="shared" ref="AF76:AI77" si="200">AE76*1.02</f>
        <v>39072.120000000003</v>
      </c>
      <c r="AG76" s="335">
        <f t="shared" si="200"/>
        <v>39853.562400000003</v>
      </c>
      <c r="AH76" s="335">
        <f t="shared" si="200"/>
        <v>40650.633648000003</v>
      </c>
      <c r="AI76" s="335">
        <f t="shared" si="200"/>
        <v>41463.646320960004</v>
      </c>
      <c r="AJ76" s="335">
        <f t="shared" ref="AJ76:AJ77" si="201">AI76*1.02</f>
        <v>42292.919247379206</v>
      </c>
      <c r="AK76" s="335">
        <f t="shared" ref="AK76:AK77" si="202">AJ76*1.02</f>
        <v>43138.77763232679</v>
      </c>
      <c r="AL76" s="335">
        <f t="shared" ref="AL76:AL77" si="203">AK76*1.02</f>
        <v>44001.553184973323</v>
      </c>
      <c r="AM76" s="335">
        <f t="shared" ref="AM76:AM77" si="204">AL76*1.02</f>
        <v>44881.584248672792</v>
      </c>
      <c r="AN76" s="335">
        <f t="shared" ref="AN76:AN77" si="205">AM76*1.02</f>
        <v>45779.21593364625</v>
      </c>
      <c r="AO76" s="335">
        <f t="shared" ref="AO76:AO77" si="206">AN76*1.02</f>
        <v>46694.800252319175</v>
      </c>
      <c r="AP76" s="335">
        <f t="shared" ref="AP76:AP77" si="207">AO76*1.02</f>
        <v>47628.696257365562</v>
      </c>
    </row>
    <row r="77" spans="2:42">
      <c r="B77" s="1293"/>
      <c r="C77" s="236" t="s">
        <v>740</v>
      </c>
      <c r="D77" s="236"/>
      <c r="E77" s="236"/>
      <c r="F77" s="236"/>
      <c r="G77" s="236"/>
      <c r="H77" s="236"/>
      <c r="I77" s="236"/>
      <c r="J77" s="236"/>
      <c r="K77" s="236"/>
      <c r="L77" s="883">
        <v>90.7</v>
      </c>
      <c r="M77" s="883">
        <v>107.2</v>
      </c>
      <c r="N77" s="883">
        <v>116.9</v>
      </c>
      <c r="O77" s="883">
        <v>117.9</v>
      </c>
      <c r="P77" s="883">
        <v>138.69999999999999</v>
      </c>
      <c r="Q77" s="863">
        <v>124.3</v>
      </c>
      <c r="R77" s="322">
        <v>154.69999999999999</v>
      </c>
      <c r="S77" s="322">
        <v>167.1</v>
      </c>
      <c r="T77" s="322">
        <v>175.2</v>
      </c>
      <c r="U77" s="322">
        <v>188.8</v>
      </c>
      <c r="V77" s="323">
        <v>203.8</v>
      </c>
      <c r="W77" s="323">
        <v>214.8</v>
      </c>
      <c r="X77" s="323">
        <v>228.3</v>
      </c>
      <c r="Y77" s="317">
        <v>241.8</v>
      </c>
      <c r="Z77" s="690">
        <v>247.167</v>
      </c>
      <c r="AA77" s="690">
        <v>239.096</v>
      </c>
      <c r="AB77" s="690">
        <v>267.47500000000002</v>
      </c>
      <c r="AC77" s="690">
        <v>301.11200000000002</v>
      </c>
      <c r="AD77" s="690">
        <v>190.376</v>
      </c>
      <c r="AE77" s="690">
        <v>289.93200000000002</v>
      </c>
      <c r="AF77" s="315">
        <v>346.1</v>
      </c>
      <c r="AG77" s="315">
        <f t="shared" si="200"/>
        <v>353.02200000000005</v>
      </c>
      <c r="AH77" s="315">
        <f t="shared" si="200"/>
        <v>360.08244000000008</v>
      </c>
      <c r="AI77" s="315">
        <f t="shared" si="200"/>
        <v>367.28408880000006</v>
      </c>
      <c r="AJ77" s="315">
        <f t="shared" si="201"/>
        <v>374.62977057600006</v>
      </c>
      <c r="AK77" s="315">
        <f t="shared" si="202"/>
        <v>382.12236598752008</v>
      </c>
      <c r="AL77" s="315">
        <f t="shared" si="203"/>
        <v>389.76481330727051</v>
      </c>
      <c r="AM77" s="315">
        <f t="shared" si="204"/>
        <v>397.56010957341596</v>
      </c>
      <c r="AN77" s="315">
        <f t="shared" si="205"/>
        <v>405.51131176488428</v>
      </c>
      <c r="AO77" s="315">
        <f t="shared" si="206"/>
        <v>413.621538000182</v>
      </c>
      <c r="AP77" s="315">
        <f t="shared" si="207"/>
        <v>421.89396876018566</v>
      </c>
    </row>
    <row r="78" spans="2:42" s="625" customFormat="1">
      <c r="B78" s="1293"/>
      <c r="C78" s="630" t="s">
        <v>742</v>
      </c>
      <c r="D78" s="630"/>
      <c r="E78" s="630"/>
      <c r="F78" s="630"/>
      <c r="G78" s="630"/>
      <c r="H78" s="630"/>
      <c r="I78" s="630"/>
      <c r="J78" s="630"/>
      <c r="K78" s="630"/>
      <c r="L78" s="861" t="s">
        <v>1181</v>
      </c>
      <c r="M78" s="861" t="s">
        <v>1181</v>
      </c>
      <c r="N78" s="861" t="s">
        <v>1181</v>
      </c>
      <c r="O78" s="861" t="s">
        <v>1181</v>
      </c>
      <c r="P78" s="861">
        <v>298.39999999999998</v>
      </c>
      <c r="Q78" s="863">
        <v>490.3</v>
      </c>
      <c r="R78" s="322">
        <v>492.3</v>
      </c>
      <c r="S78" s="322">
        <v>621.1</v>
      </c>
      <c r="T78" s="322">
        <v>793</v>
      </c>
      <c r="U78" s="322">
        <v>1130</v>
      </c>
      <c r="V78" s="627">
        <v>1212.5</v>
      </c>
      <c r="W78" s="627">
        <v>1279.0999999999999</v>
      </c>
      <c r="X78" s="627">
        <v>1419.2</v>
      </c>
      <c r="Y78" s="627">
        <v>1419.2</v>
      </c>
      <c r="Z78" s="627">
        <v>1419.2</v>
      </c>
      <c r="AA78" s="627">
        <v>1419.2</v>
      </c>
      <c r="AB78" s="623">
        <v>1582.4760316798665</v>
      </c>
      <c r="AC78" s="623">
        <v>1848.8487334149236</v>
      </c>
      <c r="AD78" s="623">
        <v>1211.0415699418188</v>
      </c>
      <c r="AE78" s="623">
        <v>1908.6</v>
      </c>
      <c r="AF78" s="624">
        <v>2357.0665921422951</v>
      </c>
      <c r="AG78" s="624">
        <f t="shared" ref="AG78:AP78" si="208">AG77*AG80/1000</f>
        <v>2461.7661324709989</v>
      </c>
      <c r="AH78" s="624">
        <f t="shared" si="208"/>
        <v>2618.8363957867086</v>
      </c>
      <c r="AI78" s="624">
        <f t="shared" si="208"/>
        <v>2808.7858250629224</v>
      </c>
      <c r="AJ78" s="624">
        <f t="shared" si="208"/>
        <v>2884.4708105170203</v>
      </c>
      <c r="AK78" s="624">
        <f t="shared" si="208"/>
        <v>2954.1163689977338</v>
      </c>
      <c r="AL78" s="624">
        <f t="shared" si="208"/>
        <v>3059.375134813924</v>
      </c>
      <c r="AM78" s="624">
        <f t="shared" si="208"/>
        <v>3158.8434835012226</v>
      </c>
      <c r="AN78" s="624">
        <f t="shared" si="208"/>
        <v>3256.5287928520629</v>
      </c>
      <c r="AO78" s="624">
        <f t="shared" si="208"/>
        <v>3361.3919558255811</v>
      </c>
      <c r="AP78" s="624">
        <f t="shared" si="208"/>
        <v>3477.2093308354874</v>
      </c>
    </row>
    <row r="79" spans="2:42" ht="26.25">
      <c r="B79" s="1293"/>
      <c r="C79" s="236" t="s">
        <v>744</v>
      </c>
      <c r="D79" s="236"/>
      <c r="E79" s="236"/>
      <c r="F79" s="236"/>
      <c r="G79" s="236"/>
      <c r="H79" s="236"/>
      <c r="I79" s="236"/>
      <c r="J79" s="236"/>
      <c r="K79" s="236"/>
      <c r="L79" s="883">
        <v>28.8</v>
      </c>
      <c r="M79" s="883">
        <v>33.1</v>
      </c>
      <c r="N79" s="883">
        <v>35.6</v>
      </c>
      <c r="O79" s="883">
        <v>36.9</v>
      </c>
      <c r="P79" s="883">
        <v>44.1</v>
      </c>
      <c r="Q79" s="863">
        <v>40.799999999999997</v>
      </c>
      <c r="R79" s="329">
        <v>42.374274131697156</v>
      </c>
      <c r="S79" s="329">
        <v>45.767029114513434</v>
      </c>
      <c r="T79" s="329">
        <v>46.334496985084094</v>
      </c>
      <c r="U79" s="329">
        <v>52.262975778546718</v>
      </c>
      <c r="V79" s="329">
        <f t="shared" ref="V79:AP79" si="209">V77/V76*10000</f>
        <v>52.651975094944071</v>
      </c>
      <c r="W79" s="329">
        <f t="shared" si="209"/>
        <v>57.958500849950084</v>
      </c>
      <c r="X79" s="329">
        <f t="shared" si="209"/>
        <v>68.558558558558559</v>
      </c>
      <c r="Y79" s="329">
        <f t="shared" si="209"/>
        <v>63.454574082821601</v>
      </c>
      <c r="Z79" s="329">
        <f t="shared" si="209"/>
        <v>64.082706766917298</v>
      </c>
      <c r="AA79" s="329">
        <f t="shared" si="209"/>
        <v>60.051739294235837</v>
      </c>
      <c r="AB79" s="319">
        <f t="shared" si="209"/>
        <v>67.802732642145557</v>
      </c>
      <c r="AC79" s="317">
        <f t="shared" si="209"/>
        <v>75.806752095868688</v>
      </c>
      <c r="AD79" s="317">
        <f t="shared" si="209"/>
        <v>47.685795155674676</v>
      </c>
      <c r="AE79" s="319">
        <f t="shared" si="209"/>
        <v>75.688403905393415</v>
      </c>
      <c r="AF79" s="319">
        <f t="shared" si="209"/>
        <v>88.579785279119733</v>
      </c>
      <c r="AG79" s="319">
        <f t="shared" si="209"/>
        <v>88.579785279119747</v>
      </c>
      <c r="AH79" s="319">
        <f t="shared" si="209"/>
        <v>88.579785279119747</v>
      </c>
      <c r="AI79" s="319">
        <f t="shared" si="209"/>
        <v>88.579785279119747</v>
      </c>
      <c r="AJ79" s="319">
        <f t="shared" si="209"/>
        <v>88.579785279119733</v>
      </c>
      <c r="AK79" s="319">
        <f t="shared" si="209"/>
        <v>88.579785279119747</v>
      </c>
      <c r="AL79" s="319">
        <f t="shared" si="209"/>
        <v>88.579785279119747</v>
      </c>
      <c r="AM79" s="319">
        <f t="shared" si="209"/>
        <v>88.579785279119747</v>
      </c>
      <c r="AN79" s="319">
        <f t="shared" si="209"/>
        <v>88.579785279119747</v>
      </c>
      <c r="AO79" s="319">
        <f t="shared" si="209"/>
        <v>88.579785279119776</v>
      </c>
      <c r="AP79" s="319">
        <f t="shared" si="209"/>
        <v>88.579785279119776</v>
      </c>
    </row>
    <row r="80" spans="2:42" ht="15.75" thickBot="1">
      <c r="B80" s="1295"/>
      <c r="C80" s="233" t="s">
        <v>747</v>
      </c>
      <c r="D80" s="239"/>
      <c r="E80" s="239"/>
      <c r="F80" s="239"/>
      <c r="G80" s="239"/>
      <c r="H80" s="239"/>
      <c r="I80" s="239"/>
      <c r="J80" s="239"/>
      <c r="K80" s="239"/>
      <c r="L80" s="887"/>
      <c r="M80" s="887"/>
      <c r="N80" s="887"/>
      <c r="O80" s="887"/>
      <c r="P80" s="886">
        <v>2151.4059120403749</v>
      </c>
      <c r="Q80" s="878">
        <v>3944.4891391794049</v>
      </c>
      <c r="R80" s="323">
        <v>3182.2882999353592</v>
      </c>
      <c r="S80" s="323">
        <v>3716.9359664871336</v>
      </c>
      <c r="T80" s="323">
        <v>4526.2557077625579</v>
      </c>
      <c r="U80" s="323">
        <v>5985.1694915254229</v>
      </c>
      <c r="V80" s="323">
        <f t="shared" ref="V80:AD80" si="210">V78/V77*1000</f>
        <v>5949.4602551521093</v>
      </c>
      <c r="W80" s="323">
        <f t="shared" si="210"/>
        <v>5954.8417132216009</v>
      </c>
      <c r="X80" s="323">
        <f t="shared" si="210"/>
        <v>6216.381953569864</v>
      </c>
      <c r="Y80" s="323">
        <f t="shared" si="210"/>
        <v>5869.3134822167085</v>
      </c>
      <c r="Z80" s="323">
        <f t="shared" si="210"/>
        <v>5741.8668349739246</v>
      </c>
      <c r="AA80" s="323">
        <f t="shared" si="210"/>
        <v>5935.6911031552181</v>
      </c>
      <c r="AB80" s="323">
        <f t="shared" si="210"/>
        <v>5916.3511792872841</v>
      </c>
      <c r="AC80" s="323">
        <f t="shared" si="210"/>
        <v>6140.0699188837489</v>
      </c>
      <c r="AD80" s="323">
        <f t="shared" si="210"/>
        <v>6361.3142935129372</v>
      </c>
      <c r="AE80" s="323">
        <f>AE78/AE77*1000</f>
        <v>6582.9228922643924</v>
      </c>
      <c r="AF80" s="323">
        <f>AF78/AF77*1000</f>
        <v>6810.362878192127</v>
      </c>
      <c r="AG80" s="319">
        <f>AF80*Assumptions!AG20/Assumptions!AF20*(Monetary!AG15/100-Assumptions!AG11/100)</f>
        <v>6973.4071317679873</v>
      </c>
      <c r="AH80" s="319">
        <f>AG80*Assumptions!AH20/Assumptions!AG20*(Monetary!AH15/100-Assumptions!AH11/100)</f>
        <v>7272.8800543195284</v>
      </c>
      <c r="AI80" s="319">
        <f>AH80*Assumptions!AI20/Assumptions!AH20*(Monetary!AI15/100-Assumptions!AI11/100)</f>
        <v>7647.4476044956346</v>
      </c>
      <c r="AJ80" s="319">
        <f>AI80*Assumptions!AJ20/Assumptions!AI20*(Monetary!AJ15/100-Assumptions!AJ11/100)</f>
        <v>7699.5237353456832</v>
      </c>
      <c r="AK80" s="319">
        <f>AJ80*Assumptions!AK20/Assumptions!AJ20*(Monetary!AK15/100-Assumptions!AK11/100)</f>
        <v>7730.8125143719381</v>
      </c>
      <c r="AL80" s="319">
        <f>AK80*Assumptions!AL20/Assumptions!AK20*(Monetary!AL15/100-Assumptions!AL11/100)</f>
        <v>7849.285082596899</v>
      </c>
      <c r="AM80" s="319">
        <f>AL80*Assumptions!AM20/Assumptions!AL20*(Monetary!AM15/100-Assumptions!AM11/100)</f>
        <v>7945.5745368685948</v>
      </c>
      <c r="AN80" s="319">
        <f>AM80*Assumptions!AN20/Assumptions!AM20*(Monetary!AN15/100-Assumptions!AN11/100)</f>
        <v>8030.6731239601031</v>
      </c>
      <c r="AO80" s="319">
        <f>AN80*Assumptions!AO20/Assumptions!AN20*(Monetary!AO15/100-Assumptions!AO11/100)</f>
        <v>8126.7333709882923</v>
      </c>
      <c r="AP80" s="319">
        <f>AO80*Assumptions!AP20/Assumptions!AO20*(Monetary!AP15/100-Assumptions!AP11/100)</f>
        <v>8241.9033887920159</v>
      </c>
    </row>
    <row r="81" spans="2:42">
      <c r="B81" s="232"/>
      <c r="C81" s="242"/>
      <c r="D81" s="801"/>
      <c r="E81" s="801"/>
      <c r="F81" s="801"/>
      <c r="G81" s="801"/>
      <c r="H81" s="801"/>
      <c r="I81" s="801"/>
      <c r="J81" s="801"/>
      <c r="K81" s="801"/>
      <c r="L81" s="889"/>
      <c r="M81" s="889"/>
      <c r="N81" s="889"/>
      <c r="O81" s="889"/>
      <c r="P81" s="889"/>
      <c r="Q81" s="891"/>
      <c r="R81" s="323">
        <v>534.30000000000109</v>
      </c>
      <c r="S81" s="323">
        <v>983.59999999999957</v>
      </c>
      <c r="T81" s="323">
        <v>881.89999999999918</v>
      </c>
      <c r="U81" s="323">
        <v>1369.6999999999998</v>
      </c>
    </row>
    <row r="82" spans="2:42" s="625" customFormat="1">
      <c r="B82" s="631" t="s">
        <v>72</v>
      </c>
      <c r="C82" s="632"/>
      <c r="D82" s="632"/>
      <c r="E82" s="632"/>
      <c r="F82" s="632"/>
      <c r="G82" s="632"/>
      <c r="H82" s="632"/>
      <c r="I82" s="632"/>
      <c r="J82" s="632"/>
      <c r="K82" s="632"/>
      <c r="L82" s="883">
        <v>109912</v>
      </c>
      <c r="M82" s="883">
        <v>131368</v>
      </c>
      <c r="N82" s="883">
        <v>130315</v>
      </c>
      <c r="O82" s="883">
        <v>108238</v>
      </c>
      <c r="P82" s="883">
        <v>122587</v>
      </c>
      <c r="Q82" s="863">
        <v>87710</v>
      </c>
      <c r="R82" s="322">
        <v>86042</v>
      </c>
      <c r="S82" s="322">
        <v>94881</v>
      </c>
      <c r="T82" s="322">
        <v>91823</v>
      </c>
      <c r="U82" s="322">
        <v>104620</v>
      </c>
      <c r="V82" s="627">
        <f t="shared" ref="V82:AF82" si="211">V5-V28-V40-V50-V56-V66-V72-V78</f>
        <v>1374.900000000001</v>
      </c>
      <c r="W82" s="627">
        <f t="shared" si="211"/>
        <v>1077.2980000000011</v>
      </c>
      <c r="X82" s="627">
        <f t="shared" si="211"/>
        <v>2147.8059600000015</v>
      </c>
      <c r="Y82" s="627">
        <f t="shared" si="211"/>
        <v>17476.999712920871</v>
      </c>
      <c r="Z82" s="627">
        <f t="shared" si="211"/>
        <v>19226.809180778262</v>
      </c>
      <c r="AA82" s="627">
        <f t="shared" si="211"/>
        <v>21758.217169698113</v>
      </c>
      <c r="AB82" s="627">
        <f t="shared" si="211"/>
        <v>22486.250628879996</v>
      </c>
      <c r="AC82" s="627">
        <f t="shared" si="211"/>
        <v>23029.554344201555</v>
      </c>
      <c r="AD82" s="627">
        <f t="shared" si="211"/>
        <v>25375.964692258411</v>
      </c>
      <c r="AE82" s="627">
        <f t="shared" si="211"/>
        <v>30150.900000000016</v>
      </c>
      <c r="AF82" s="627">
        <f t="shared" si="211"/>
        <v>33866.826630864118</v>
      </c>
      <c r="AG82" s="624">
        <f>AF82*1.099</f>
        <v>37219.642467319667</v>
      </c>
      <c r="AH82" s="624">
        <f>AG82*1.101</f>
        <v>40978.826356518955</v>
      </c>
      <c r="AI82" s="624">
        <f>AH82*1.084</f>
        <v>44421.047770466554</v>
      </c>
      <c r="AJ82" s="624">
        <f>AI82*1.09094</f>
        <v>48460.69785471278</v>
      </c>
      <c r="AK82" s="624">
        <f>AJ82*1.1</f>
        <v>53306.767640184065</v>
      </c>
      <c r="AL82" s="624">
        <f>AK82*1.069</f>
        <v>56984.934607356765</v>
      </c>
      <c r="AM82" s="624">
        <f>AL82*1.065</f>
        <v>60688.955356834951</v>
      </c>
      <c r="AN82" s="624">
        <f>AM82*1.055</f>
        <v>64026.847901460867</v>
      </c>
      <c r="AO82" s="624">
        <f>AN82*1.045</f>
        <v>66908.056057026595</v>
      </c>
      <c r="AP82" s="624">
        <f>AO82*1.035</f>
        <v>69249.838019022514</v>
      </c>
    </row>
    <row r="83" spans="2:42" ht="15.75" thickBot="1">
      <c r="B83" s="1303" t="s">
        <v>756</v>
      </c>
      <c r="C83" s="245" t="s">
        <v>757</v>
      </c>
      <c r="D83" s="245"/>
      <c r="E83" s="245"/>
      <c r="F83" s="245"/>
      <c r="G83" s="245"/>
      <c r="H83" s="245"/>
      <c r="I83" s="245"/>
      <c r="J83" s="245"/>
      <c r="K83" s="245"/>
      <c r="L83" s="885"/>
      <c r="M83" s="885"/>
      <c r="N83" s="885"/>
      <c r="O83" s="885"/>
      <c r="P83" s="885"/>
      <c r="Q83" s="888">
        <v>318.60000000000002</v>
      </c>
      <c r="R83" s="322">
        <v>349.1</v>
      </c>
      <c r="S83" s="322"/>
      <c r="T83" s="322"/>
      <c r="U83" s="322"/>
      <c r="V83" s="338">
        <f>V28+V40+V50+V56+V66+V72+V78</f>
        <v>13248.8</v>
      </c>
      <c r="W83" s="338">
        <f t="shared" ref="W83:AP83" si="212">W28+W40+W50+W56+W66+W72+W78</f>
        <v>13989.301999999998</v>
      </c>
      <c r="X83" s="338">
        <f t="shared" si="212"/>
        <v>14829.994040000001</v>
      </c>
      <c r="Y83" s="338">
        <f t="shared" si="212"/>
        <v>14192.600287079131</v>
      </c>
      <c r="Z83" s="338">
        <f t="shared" si="212"/>
        <v>14897.19081922174</v>
      </c>
      <c r="AA83" s="338">
        <f t="shared" si="212"/>
        <v>15161.182830301892</v>
      </c>
      <c r="AB83" s="338">
        <f t="shared" si="212"/>
        <v>16629.349371120003</v>
      </c>
      <c r="AC83" s="338">
        <f t="shared" si="212"/>
        <v>19085.445655798445</v>
      </c>
      <c r="AD83" s="338">
        <f t="shared" si="212"/>
        <v>19600.135307741581</v>
      </c>
      <c r="AE83" s="338">
        <f t="shared" si="212"/>
        <v>20833.999999999996</v>
      </c>
      <c r="AF83" s="338">
        <f t="shared" si="212"/>
        <v>22721.173369135886</v>
      </c>
      <c r="AG83" s="338">
        <f t="shared" si="212"/>
        <v>24022.535796130032</v>
      </c>
      <c r="AH83" s="338">
        <f t="shared" si="212"/>
        <v>25857.217573557409</v>
      </c>
      <c r="AI83" s="338">
        <f t="shared" si="212"/>
        <v>28135.789734357993</v>
      </c>
      <c r="AJ83" s="338">
        <f t="shared" si="212"/>
        <v>30327.649367678532</v>
      </c>
      <c r="AK83" s="338">
        <f t="shared" si="212"/>
        <v>31751.552141815897</v>
      </c>
      <c r="AL83" s="338">
        <f t="shared" si="212"/>
        <v>33408.236975109263</v>
      </c>
      <c r="AM83" s="338">
        <f t="shared" si="212"/>
        <v>35063.646983559425</v>
      </c>
      <c r="AN83" s="338">
        <f t="shared" si="212"/>
        <v>36758.905353845068</v>
      </c>
      <c r="AO83" s="338">
        <f t="shared" si="212"/>
        <v>38591.616405826462</v>
      </c>
      <c r="AP83" s="338">
        <f t="shared" si="212"/>
        <v>40610.179748416165</v>
      </c>
    </row>
    <row r="84" spans="2:42" ht="15.75" thickBot="1">
      <c r="B84" s="1304"/>
      <c r="C84" s="233" t="s">
        <v>758</v>
      </c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338">
        <f>V5-V83</f>
        <v>1374.9000000000015</v>
      </c>
      <c r="W84" s="338">
        <f t="shared" ref="W84:AP84" si="213">W5-W83</f>
        <v>1077.2980000000025</v>
      </c>
      <c r="X84" s="338">
        <f t="shared" si="213"/>
        <v>2147.8059599999979</v>
      </c>
      <c r="Y84" s="338">
        <f t="shared" si="213"/>
        <v>17476.999712920868</v>
      </c>
      <c r="Z84" s="338">
        <f t="shared" si="213"/>
        <v>19226.809180778262</v>
      </c>
      <c r="AA84" s="338">
        <f t="shared" si="213"/>
        <v>21758.21716969811</v>
      </c>
      <c r="AB84" s="338">
        <f t="shared" si="213"/>
        <v>22486.250628879996</v>
      </c>
      <c r="AC84" s="338">
        <f t="shared" si="213"/>
        <v>23029.554344201555</v>
      </c>
      <c r="AD84" s="338">
        <f t="shared" si="213"/>
        <v>25375.964692258418</v>
      </c>
      <c r="AE84" s="338">
        <f t="shared" si="213"/>
        <v>30150.900000000005</v>
      </c>
      <c r="AF84" s="338">
        <f t="shared" si="213"/>
        <v>33866.826630864118</v>
      </c>
      <c r="AG84" s="338">
        <f t="shared" si="213"/>
        <v>37219.642467319667</v>
      </c>
      <c r="AH84" s="338">
        <f t="shared" si="213"/>
        <v>40978.826356518955</v>
      </c>
      <c r="AI84" s="338">
        <f t="shared" si="213"/>
        <v>44421.047770466554</v>
      </c>
      <c r="AJ84" s="338">
        <f t="shared" si="213"/>
        <v>48460.69785471278</v>
      </c>
      <c r="AK84" s="338">
        <f t="shared" si="213"/>
        <v>53306.767640184065</v>
      </c>
      <c r="AL84" s="338">
        <f t="shared" si="213"/>
        <v>56984.934607356758</v>
      </c>
      <c r="AM84" s="338">
        <f t="shared" si="213"/>
        <v>60688.955356834944</v>
      </c>
      <c r="AN84" s="338">
        <f t="shared" si="213"/>
        <v>64026.84790146086</v>
      </c>
      <c r="AO84" s="338">
        <f t="shared" si="213"/>
        <v>66908.056057026581</v>
      </c>
      <c r="AP84" s="338">
        <f t="shared" si="213"/>
        <v>69249.838019022514</v>
      </c>
    </row>
    <row r="85" spans="2:42">
      <c r="B85" s="246" t="s">
        <v>759</v>
      </c>
      <c r="C85" s="247"/>
      <c r="D85" s="247"/>
      <c r="E85" s="247"/>
      <c r="F85" s="247"/>
      <c r="G85" s="247"/>
      <c r="H85" s="247"/>
      <c r="I85" s="247"/>
      <c r="J85" s="247"/>
      <c r="K85" s="247"/>
      <c r="L85" s="866"/>
      <c r="M85" s="866"/>
      <c r="N85" s="866"/>
      <c r="O85" s="866"/>
      <c r="P85" s="866"/>
      <c r="Q85" s="897">
        <v>2773.9</v>
      </c>
      <c r="R85" s="334">
        <v>3958.6</v>
      </c>
      <c r="S85" s="334">
        <v>3958.6</v>
      </c>
      <c r="T85" s="334">
        <v>3958.6</v>
      </c>
      <c r="U85" s="334">
        <v>3958.6</v>
      </c>
      <c r="V85" s="334">
        <v>6954.1</v>
      </c>
      <c r="W85" s="334">
        <v>7841.0717311134686</v>
      </c>
      <c r="X85" s="334">
        <v>7598.2</v>
      </c>
      <c r="Y85" s="339"/>
      <c r="Z85" s="319"/>
      <c r="AA85" s="319"/>
      <c r="AB85" s="330"/>
      <c r="AF85"/>
    </row>
    <row r="86" spans="2:42">
      <c r="B86" s="1305" t="s">
        <v>760</v>
      </c>
      <c r="C86" s="223" t="s">
        <v>740</v>
      </c>
      <c r="D86" s="223"/>
      <c r="E86" s="223"/>
      <c r="F86" s="223"/>
      <c r="G86" s="223"/>
      <c r="H86" s="223"/>
      <c r="I86" s="223"/>
      <c r="J86" s="223"/>
      <c r="K86" s="223"/>
      <c r="L86" s="894">
        <v>107</v>
      </c>
      <c r="M86" s="894">
        <v>111.7</v>
      </c>
      <c r="N86" s="894">
        <v>119</v>
      </c>
      <c r="O86" s="894">
        <v>129.80000000000001</v>
      </c>
      <c r="P86" s="894">
        <v>134.30000000000001</v>
      </c>
      <c r="Q86" s="863">
        <v>143.19999999999999</v>
      </c>
      <c r="R86" s="322">
        <v>150.69999999999999</v>
      </c>
      <c r="S86" s="322">
        <v>162</v>
      </c>
      <c r="T86" s="322">
        <v>173</v>
      </c>
      <c r="U86" s="322">
        <v>198.7</v>
      </c>
      <c r="V86" s="322">
        <v>217.7</v>
      </c>
      <c r="W86" s="322">
        <v>233.3</v>
      </c>
      <c r="X86" s="324">
        <f>W86*1.2</f>
        <v>279.95999999999998</v>
      </c>
      <c r="Y86" s="315">
        <f>X86*1.2</f>
        <v>335.95199999999994</v>
      </c>
      <c r="Z86" s="315">
        <v>272.52100000000002</v>
      </c>
      <c r="AA86" s="315">
        <v>300.18200000000002</v>
      </c>
      <c r="AB86" s="315">
        <v>327.72</v>
      </c>
      <c r="AC86" s="315">
        <v>349.15</v>
      </c>
      <c r="AD86" s="315">
        <v>398.02800000000002</v>
      </c>
      <c r="AE86" s="315">
        <v>416.03399999999999</v>
      </c>
      <c r="AF86" s="315">
        <v>403.5</v>
      </c>
      <c r="AG86" s="315">
        <f t="shared" ref="AG86:AI86" si="214">AF86*1.2</f>
        <v>484.2</v>
      </c>
      <c r="AH86" s="315">
        <f t="shared" si="214"/>
        <v>581.04</v>
      </c>
      <c r="AI86" s="315">
        <f t="shared" si="214"/>
        <v>697.24799999999993</v>
      </c>
      <c r="AJ86" s="315">
        <f t="shared" ref="AJ86" si="215">AI86*1.2</f>
        <v>836.69759999999985</v>
      </c>
      <c r="AK86" s="315">
        <f t="shared" ref="AK86" si="216">AJ86*1.2</f>
        <v>1004.0371199999997</v>
      </c>
      <c r="AL86" s="315">
        <f t="shared" ref="AL86" si="217">AK86*1.2</f>
        <v>1204.8445439999996</v>
      </c>
      <c r="AM86" s="315">
        <f t="shared" ref="AM86" si="218">AL86*1.2</f>
        <v>1445.8134527999994</v>
      </c>
      <c r="AN86" s="315">
        <f t="shared" ref="AN86" si="219">AM86*1.2</f>
        <v>1734.9761433599992</v>
      </c>
      <c r="AO86" s="315">
        <f t="shared" ref="AO86" si="220">AN86*1.2</f>
        <v>2081.9713720319992</v>
      </c>
      <c r="AP86" s="315">
        <f t="shared" ref="AP86" si="221">AO86*1.2</f>
        <v>2498.3656464383989</v>
      </c>
    </row>
    <row r="87" spans="2:42">
      <c r="B87" s="1305"/>
      <c r="C87" s="223" t="s">
        <v>742</v>
      </c>
      <c r="D87" s="223"/>
      <c r="E87" s="223"/>
      <c r="F87" s="223"/>
      <c r="G87" s="223"/>
      <c r="H87" s="223"/>
      <c r="I87" s="223"/>
      <c r="J87" s="223"/>
      <c r="K87" s="223"/>
      <c r="L87" s="861" t="s">
        <v>1181</v>
      </c>
      <c r="M87" s="861" t="s">
        <v>1181</v>
      </c>
      <c r="N87" s="861" t="s">
        <v>1181</v>
      </c>
      <c r="O87" s="861" t="s">
        <v>1181</v>
      </c>
      <c r="P87" s="861">
        <v>1044.2</v>
      </c>
      <c r="Q87" s="863">
        <v>1289.4000000000001</v>
      </c>
      <c r="R87" s="322">
        <v>1906.6</v>
      </c>
      <c r="S87" s="322">
        <v>2197.1</v>
      </c>
      <c r="T87" s="322">
        <v>2457.1</v>
      </c>
      <c r="U87" s="322">
        <v>3457.6</v>
      </c>
      <c r="V87" s="322">
        <v>3819.6</v>
      </c>
      <c r="W87" s="340"/>
      <c r="X87" s="341"/>
      <c r="Y87" s="339"/>
      <c r="Z87" s="319"/>
      <c r="AA87" s="319"/>
      <c r="AB87" s="319"/>
    </row>
    <row r="88" spans="2:42">
      <c r="B88" s="1306"/>
      <c r="C88" s="248" t="s">
        <v>761</v>
      </c>
      <c r="D88" s="800"/>
      <c r="E88" s="800"/>
      <c r="F88" s="800"/>
      <c r="G88" s="800"/>
      <c r="H88" s="800"/>
      <c r="I88" s="800"/>
      <c r="J88" s="800"/>
      <c r="K88" s="800"/>
      <c r="L88" s="896"/>
      <c r="M88" s="896"/>
      <c r="N88" s="896"/>
      <c r="O88" s="896"/>
      <c r="P88" s="896"/>
      <c r="Q88" s="863"/>
      <c r="R88" s="322"/>
      <c r="S88" s="322"/>
      <c r="T88" s="322"/>
      <c r="U88" s="322"/>
    </row>
    <row r="89" spans="2:42">
      <c r="B89" s="223" t="s">
        <v>732</v>
      </c>
      <c r="C89" s="223"/>
      <c r="L89" s="877"/>
      <c r="M89" s="877"/>
      <c r="N89" s="877"/>
      <c r="O89" s="877"/>
      <c r="P89" s="877"/>
      <c r="Q89" s="863"/>
      <c r="R89" s="322"/>
      <c r="S89" s="322"/>
      <c r="T89" s="322"/>
      <c r="U89" s="322"/>
    </row>
    <row r="90" spans="2:42">
      <c r="B90" s="1303" t="s">
        <v>762</v>
      </c>
      <c r="C90" s="249" t="s">
        <v>740</v>
      </c>
      <c r="D90" s="799"/>
      <c r="E90" s="799"/>
      <c r="F90" s="799"/>
      <c r="G90" s="799"/>
      <c r="H90" s="799"/>
      <c r="I90" s="799"/>
      <c r="J90" s="799"/>
      <c r="K90" s="799"/>
      <c r="L90" s="895"/>
      <c r="M90" s="895"/>
      <c r="N90" s="895"/>
      <c r="O90" s="895"/>
      <c r="P90" s="895"/>
      <c r="Q90" s="863"/>
      <c r="R90" s="322"/>
      <c r="S90" s="322"/>
      <c r="T90" s="322"/>
      <c r="U90" s="322"/>
    </row>
    <row r="91" spans="2:42">
      <c r="B91" s="1307"/>
      <c r="C91" s="249" t="s">
        <v>742</v>
      </c>
      <c r="D91" s="799"/>
      <c r="E91" s="799"/>
      <c r="F91" s="799"/>
      <c r="G91" s="799"/>
      <c r="H91" s="799"/>
      <c r="I91" s="799"/>
      <c r="J91" s="799"/>
      <c r="K91" s="799"/>
      <c r="L91" s="895"/>
      <c r="M91" s="895"/>
      <c r="N91" s="895"/>
      <c r="O91" s="895"/>
      <c r="P91" s="895"/>
      <c r="Q91" s="863"/>
      <c r="R91" s="322"/>
      <c r="S91" s="322"/>
      <c r="T91" s="322"/>
      <c r="U91" s="322"/>
    </row>
    <row r="92" spans="2:42">
      <c r="B92" s="1308"/>
      <c r="C92" s="236" t="s">
        <v>761</v>
      </c>
      <c r="D92" s="801"/>
      <c r="E92" s="801"/>
      <c r="F92" s="801"/>
      <c r="G92" s="801"/>
      <c r="H92" s="801"/>
      <c r="I92" s="801"/>
      <c r="J92" s="801"/>
      <c r="K92" s="801"/>
      <c r="L92" s="883">
        <v>1371.9</v>
      </c>
      <c r="M92" s="883">
        <v>1422.6</v>
      </c>
      <c r="N92" s="883">
        <v>1702.5</v>
      </c>
      <c r="O92" s="883">
        <v>1799.5</v>
      </c>
      <c r="P92" s="883">
        <v>1830</v>
      </c>
      <c r="Q92" s="863">
        <v>1896.9</v>
      </c>
      <c r="R92" s="322">
        <v>2010.8</v>
      </c>
      <c r="S92" s="322">
        <v>2043.7</v>
      </c>
      <c r="T92" s="322">
        <v>2099.1</v>
      </c>
      <c r="U92" s="322">
        <v>2128.1999999999998</v>
      </c>
    </row>
    <row r="93" spans="2:42">
      <c r="B93" s="238" t="s">
        <v>732</v>
      </c>
      <c r="C93" s="236"/>
      <c r="D93" s="801"/>
      <c r="E93" s="801"/>
      <c r="F93" s="801"/>
      <c r="G93" s="801"/>
      <c r="H93" s="801"/>
      <c r="I93" s="801"/>
      <c r="J93" s="801"/>
      <c r="K93" s="801"/>
      <c r="L93" s="884"/>
      <c r="M93" s="884"/>
      <c r="N93" s="884"/>
      <c r="O93" s="884"/>
      <c r="P93" s="884"/>
      <c r="Q93" s="863"/>
      <c r="R93" s="322"/>
      <c r="S93" s="322"/>
      <c r="T93" s="322"/>
      <c r="U93" s="322"/>
    </row>
    <row r="94" spans="2:42">
      <c r="B94" s="1309" t="s">
        <v>763</v>
      </c>
      <c r="C94" s="248" t="s">
        <v>740</v>
      </c>
      <c r="D94" s="800"/>
      <c r="E94" s="800"/>
      <c r="F94" s="800"/>
      <c r="G94" s="800"/>
      <c r="H94" s="800"/>
      <c r="I94" s="800"/>
      <c r="J94" s="800"/>
      <c r="K94" s="800"/>
      <c r="L94" s="896"/>
      <c r="M94" s="896"/>
      <c r="N94" s="896"/>
      <c r="O94" s="896"/>
      <c r="P94" s="896"/>
      <c r="Q94" s="863"/>
      <c r="R94" s="322"/>
      <c r="S94" s="322"/>
      <c r="T94" s="322"/>
      <c r="U94" s="322"/>
    </row>
    <row r="95" spans="2:42">
      <c r="B95" s="1309"/>
      <c r="C95" s="248" t="s">
        <v>742</v>
      </c>
      <c r="D95" s="800"/>
      <c r="E95" s="800"/>
      <c r="F95" s="800"/>
      <c r="G95" s="800"/>
      <c r="H95" s="800"/>
      <c r="I95" s="800"/>
      <c r="J95" s="800"/>
      <c r="K95" s="800"/>
      <c r="L95" s="896"/>
      <c r="M95" s="896"/>
      <c r="N95" s="896"/>
      <c r="O95" s="896"/>
      <c r="P95" s="896"/>
      <c r="Q95" s="863" t="s">
        <v>358</v>
      </c>
      <c r="R95" s="322"/>
      <c r="S95" s="322"/>
      <c r="T95" s="322"/>
      <c r="U95" s="322"/>
    </row>
    <row r="96" spans="2:42">
      <c r="B96" s="1309"/>
      <c r="C96" s="236" t="s">
        <v>764</v>
      </c>
      <c r="D96" s="801"/>
      <c r="E96" s="801"/>
      <c r="F96" s="801"/>
      <c r="G96" s="801"/>
      <c r="H96" s="801"/>
      <c r="I96" s="801"/>
      <c r="J96" s="801"/>
      <c r="K96" s="801"/>
      <c r="L96" s="883">
        <v>14.5</v>
      </c>
      <c r="M96" s="883">
        <v>15.1</v>
      </c>
      <c r="N96" s="883">
        <v>15.2</v>
      </c>
      <c r="O96" s="883">
        <v>9.3000000000000007</v>
      </c>
      <c r="P96" s="883">
        <v>19.8</v>
      </c>
      <c r="Q96" s="863">
        <v>21.5</v>
      </c>
      <c r="R96" s="322">
        <v>23.4</v>
      </c>
      <c r="S96" s="322">
        <v>23.1</v>
      </c>
      <c r="T96" s="322">
        <v>25.5</v>
      </c>
      <c r="U96" s="322">
        <v>26.1</v>
      </c>
    </row>
    <row r="97" spans="2:42">
      <c r="B97" s="1296" t="s">
        <v>765</v>
      </c>
      <c r="C97" s="248" t="s">
        <v>740</v>
      </c>
      <c r="D97" s="800"/>
      <c r="E97" s="800"/>
      <c r="F97" s="800"/>
      <c r="G97" s="800"/>
      <c r="H97" s="800"/>
      <c r="I97" s="800"/>
      <c r="J97" s="800"/>
      <c r="K97" s="800"/>
      <c r="L97" s="896"/>
      <c r="M97" s="896"/>
      <c r="N97" s="896"/>
      <c r="O97" s="896"/>
      <c r="P97" s="896"/>
      <c r="Q97" s="863"/>
      <c r="R97" s="322"/>
      <c r="S97" s="322"/>
      <c r="T97" s="322"/>
      <c r="U97" s="322"/>
    </row>
    <row r="98" spans="2:42">
      <c r="B98" s="1296"/>
      <c r="C98" s="248" t="s">
        <v>742</v>
      </c>
      <c r="D98" s="800"/>
      <c r="E98" s="800"/>
      <c r="F98" s="800"/>
      <c r="G98" s="800"/>
      <c r="H98" s="800"/>
      <c r="I98" s="800"/>
      <c r="J98" s="800"/>
      <c r="K98" s="800"/>
      <c r="L98" s="896"/>
      <c r="M98" s="896"/>
      <c r="N98" s="896"/>
      <c r="O98" s="896"/>
      <c r="P98" s="896"/>
      <c r="Q98" s="863"/>
      <c r="R98" s="322"/>
      <c r="S98" s="322"/>
      <c r="T98" s="322"/>
      <c r="U98" s="322"/>
      <c r="AF98"/>
    </row>
    <row r="99" spans="2:42">
      <c r="B99" s="1297"/>
      <c r="C99" s="223" t="s">
        <v>766</v>
      </c>
      <c r="L99" s="877"/>
      <c r="M99" s="877"/>
      <c r="N99" s="877"/>
      <c r="O99" s="877"/>
      <c r="P99" s="877"/>
      <c r="Q99" s="863">
        <v>4394.2</v>
      </c>
      <c r="R99" s="322">
        <v>4618.6000000000004</v>
      </c>
      <c r="S99" s="322">
        <v>4732.5</v>
      </c>
      <c r="T99" s="322">
        <v>4923.6000000000004</v>
      </c>
      <c r="U99" s="322">
        <v>5056.6000000000004</v>
      </c>
      <c r="AF99"/>
    </row>
    <row r="100" spans="2:42">
      <c r="B100" s="1303" t="s">
        <v>767</v>
      </c>
      <c r="C100" s="223" t="s">
        <v>740</v>
      </c>
      <c r="L100" s="877"/>
      <c r="M100" s="877"/>
      <c r="N100" s="877"/>
      <c r="O100" s="877"/>
      <c r="P100" s="877"/>
      <c r="Q100" s="863"/>
      <c r="R100" s="322"/>
      <c r="S100" s="322"/>
      <c r="T100" s="322"/>
      <c r="U100" s="322"/>
      <c r="AF100"/>
    </row>
    <row r="101" spans="2:42">
      <c r="B101" s="1307"/>
      <c r="C101" s="223" t="s">
        <v>742</v>
      </c>
      <c r="L101" s="877"/>
      <c r="M101" s="877"/>
      <c r="N101" s="877"/>
      <c r="O101" s="877"/>
      <c r="P101" s="877"/>
      <c r="Q101" s="863"/>
      <c r="R101" s="322"/>
      <c r="S101" s="322"/>
      <c r="T101" s="322"/>
      <c r="U101" s="322"/>
      <c r="AF101"/>
    </row>
    <row r="102" spans="2:42" ht="15.75" thickBot="1">
      <c r="B102" s="1308"/>
      <c r="C102" s="223" t="s">
        <v>761</v>
      </c>
      <c r="L102" s="879">
        <v>2451.1</v>
      </c>
      <c r="M102" s="879">
        <v>2579.8000000000002</v>
      </c>
      <c r="N102" s="879">
        <v>3280.4</v>
      </c>
      <c r="O102" s="879">
        <v>3682.8</v>
      </c>
      <c r="P102" s="879">
        <v>3938.5</v>
      </c>
      <c r="Q102" s="863">
        <v>4402.7</v>
      </c>
      <c r="R102" s="322">
        <v>4655.8999999999996</v>
      </c>
      <c r="S102" s="322">
        <v>4851.1000000000004</v>
      </c>
      <c r="T102" s="322">
        <v>5020.5</v>
      </c>
      <c r="U102" s="323">
        <v>5248</v>
      </c>
      <c r="AF102"/>
    </row>
    <row r="103" spans="2:42">
      <c r="B103" s="1309" t="s">
        <v>768</v>
      </c>
      <c r="C103" s="248" t="s">
        <v>740</v>
      </c>
      <c r="D103" s="800"/>
      <c r="E103" s="800"/>
      <c r="F103" s="800"/>
      <c r="G103" s="800"/>
      <c r="H103" s="800"/>
      <c r="I103" s="800"/>
      <c r="J103" s="800"/>
      <c r="K103" s="800"/>
      <c r="L103" s="896"/>
      <c r="M103" s="896"/>
      <c r="N103" s="896"/>
      <c r="O103" s="896"/>
      <c r="P103" s="896"/>
      <c r="Q103" s="863"/>
      <c r="R103" s="322"/>
      <c r="S103" s="322"/>
      <c r="T103" s="322"/>
      <c r="U103" s="322"/>
      <c r="AF103"/>
    </row>
    <row r="104" spans="2:42">
      <c r="B104" s="1309"/>
      <c r="C104" s="248" t="s">
        <v>742</v>
      </c>
      <c r="D104" s="800"/>
      <c r="E104" s="800"/>
      <c r="F104" s="800"/>
      <c r="G104" s="800"/>
      <c r="H104" s="800"/>
      <c r="I104" s="800"/>
      <c r="J104" s="800"/>
      <c r="K104" s="800"/>
      <c r="L104" s="896"/>
      <c r="M104" s="896"/>
      <c r="N104" s="896"/>
      <c r="O104" s="896"/>
      <c r="P104" s="896"/>
      <c r="Q104" s="863"/>
      <c r="R104" s="322"/>
      <c r="S104" s="322"/>
      <c r="T104" s="322"/>
      <c r="U104" s="322"/>
      <c r="AF104"/>
    </row>
    <row r="105" spans="2:42" ht="15.75" thickBot="1">
      <c r="B105" s="1310"/>
      <c r="C105" s="233" t="s">
        <v>764</v>
      </c>
      <c r="D105" s="239"/>
      <c r="E105" s="239"/>
      <c r="F105" s="239"/>
      <c r="G105" s="239"/>
      <c r="H105" s="239"/>
      <c r="I105" s="239"/>
      <c r="J105" s="239"/>
      <c r="K105" s="239"/>
      <c r="L105" s="887">
        <v>707.8</v>
      </c>
      <c r="M105" s="887">
        <v>745.5</v>
      </c>
      <c r="N105" s="887">
        <v>864.3</v>
      </c>
      <c r="O105" s="887">
        <v>932.9</v>
      </c>
      <c r="P105" s="887">
        <v>951.5</v>
      </c>
      <c r="Q105" s="888">
        <v>984.9</v>
      </c>
      <c r="R105" s="322">
        <v>1033.0999999999999</v>
      </c>
      <c r="S105" s="322">
        <v>1049.2</v>
      </c>
      <c r="T105" s="322">
        <v>1076.3</v>
      </c>
      <c r="U105" s="322">
        <v>1093.5</v>
      </c>
      <c r="V105" s="340">
        <v>1110</v>
      </c>
      <c r="W105" s="340">
        <v>1131</v>
      </c>
      <c r="X105" s="341">
        <v>1157</v>
      </c>
      <c r="Y105" s="342">
        <v>1180</v>
      </c>
      <c r="Z105" s="324"/>
      <c r="AA105" s="324"/>
      <c r="AB105" s="343"/>
      <c r="AC105" s="343"/>
      <c r="AD105" s="343"/>
      <c r="AF105"/>
    </row>
    <row r="106" spans="2:42">
      <c r="B106" s="1294" t="s">
        <v>769</v>
      </c>
      <c r="C106" s="250" t="s">
        <v>740</v>
      </c>
      <c r="D106" s="253"/>
      <c r="E106" s="253"/>
      <c r="F106" s="253"/>
      <c r="G106" s="253"/>
      <c r="H106" s="253"/>
      <c r="I106" s="253"/>
      <c r="J106" s="253"/>
      <c r="K106" s="253"/>
      <c r="L106" s="890">
        <v>533</v>
      </c>
      <c r="M106" s="890">
        <v>544.70000000000005</v>
      </c>
      <c r="N106" s="890">
        <v>583.6</v>
      </c>
      <c r="O106" s="890">
        <v>601</v>
      </c>
      <c r="P106" s="890">
        <v>629.70000000000005</v>
      </c>
      <c r="Q106" s="881">
        <v>660.8</v>
      </c>
      <c r="R106" s="322">
        <v>695.9</v>
      </c>
      <c r="S106" s="322">
        <v>778.3</v>
      </c>
      <c r="T106" s="322">
        <v>828.2</v>
      </c>
      <c r="U106" s="322">
        <v>854.7</v>
      </c>
      <c r="V106" s="323">
        <v>888.96</v>
      </c>
      <c r="W106" s="344">
        <v>884.2</v>
      </c>
      <c r="X106" s="345">
        <v>890.3</v>
      </c>
      <c r="Y106" s="346">
        <v>897</v>
      </c>
      <c r="Z106" s="692">
        <v>1000.563</v>
      </c>
      <c r="AA106" s="692">
        <v>1020.978</v>
      </c>
      <c r="AB106" s="692">
        <v>1042.6120000000001</v>
      </c>
      <c r="AC106" s="692">
        <v>1064.248</v>
      </c>
      <c r="AD106" s="692">
        <v>1118.5360000000001</v>
      </c>
      <c r="AE106" s="692">
        <v>1177.3810000000001</v>
      </c>
      <c r="AF106" s="692">
        <v>1206.7</v>
      </c>
      <c r="AG106" s="114">
        <f t="shared" ref="AG106:AI106" si="222">AF106</f>
        <v>1206.7</v>
      </c>
      <c r="AH106" s="114">
        <f t="shared" si="222"/>
        <v>1206.7</v>
      </c>
      <c r="AI106" s="114">
        <f t="shared" si="222"/>
        <v>1206.7</v>
      </c>
      <c r="AJ106" s="114"/>
      <c r="AK106" s="114"/>
      <c r="AL106" s="114"/>
      <c r="AM106" s="114"/>
      <c r="AN106" s="114"/>
      <c r="AO106" s="114"/>
      <c r="AP106" s="114"/>
    </row>
    <row r="107" spans="2:42">
      <c r="B107" s="1293"/>
      <c r="C107" s="251" t="s">
        <v>742</v>
      </c>
      <c r="D107" s="251"/>
      <c r="E107" s="251"/>
      <c r="F107" s="251"/>
      <c r="G107" s="251"/>
      <c r="H107" s="251"/>
      <c r="I107" s="251"/>
      <c r="J107" s="251"/>
      <c r="K107" s="251"/>
      <c r="L107" s="883" t="s">
        <v>1181</v>
      </c>
      <c r="M107" s="883" t="s">
        <v>1181</v>
      </c>
      <c r="N107" s="883" t="s">
        <v>1181</v>
      </c>
      <c r="O107" s="883" t="s">
        <v>1181</v>
      </c>
      <c r="P107" s="883">
        <v>1026</v>
      </c>
      <c r="Q107" s="863">
        <v>1198</v>
      </c>
      <c r="R107" s="322">
        <v>1735</v>
      </c>
      <c r="S107" s="322">
        <v>2039.8</v>
      </c>
      <c r="T107" s="322">
        <v>2288.5</v>
      </c>
      <c r="U107" s="322">
        <v>2432.6</v>
      </c>
      <c r="V107" s="323">
        <v>2513.98</v>
      </c>
      <c r="W107" s="323">
        <v>2516.5612729612731</v>
      </c>
      <c r="X107" s="323">
        <v>2533.9227565227561</v>
      </c>
      <c r="Y107" s="329">
        <v>2543.4434999999999</v>
      </c>
      <c r="Z107" s="324">
        <v>2551.9499999999998</v>
      </c>
      <c r="AA107" s="324">
        <v>2895.0455000000002</v>
      </c>
      <c r="AB107" s="343">
        <v>2956.2922999999996</v>
      </c>
      <c r="AC107" s="343">
        <v>2699.3960000000002</v>
      </c>
      <c r="AD107" s="343">
        <f>AD106*AD109/1000</f>
        <v>3171.6088280000004</v>
      </c>
      <c r="AE107" s="692">
        <f>AE106*AE109/1000</f>
        <v>5693.2258255000006</v>
      </c>
      <c r="AF107" s="692">
        <f>AF106*AF109/1000</f>
        <v>6033.5</v>
      </c>
      <c r="AG107" s="351">
        <f t="shared" ref="AG107:AI107" si="223">AG106*AG109/1000</f>
        <v>0</v>
      </c>
      <c r="AH107" s="351">
        <f t="shared" si="223"/>
        <v>0</v>
      </c>
      <c r="AI107" s="351">
        <f t="shared" si="223"/>
        <v>0</v>
      </c>
      <c r="AJ107" s="767"/>
      <c r="AK107" s="767"/>
      <c r="AL107" s="767"/>
      <c r="AM107" s="767"/>
      <c r="AN107" s="767"/>
      <c r="AO107" s="767"/>
      <c r="AP107" s="767"/>
    </row>
    <row r="108" spans="2:42" ht="25.5">
      <c r="B108" s="1293"/>
      <c r="C108" s="251" t="s">
        <v>770</v>
      </c>
      <c r="D108" s="251"/>
      <c r="E108" s="251"/>
      <c r="F108" s="251"/>
      <c r="G108" s="251"/>
      <c r="H108" s="251"/>
      <c r="I108" s="251"/>
      <c r="J108" s="251"/>
      <c r="K108" s="251"/>
      <c r="L108" s="883">
        <v>1597</v>
      </c>
      <c r="M108" s="883">
        <v>1492</v>
      </c>
      <c r="N108" s="883">
        <v>1388</v>
      </c>
      <c r="O108" s="883">
        <v>1365</v>
      </c>
      <c r="P108" s="883">
        <v>1367</v>
      </c>
      <c r="Q108" s="863">
        <v>1416</v>
      </c>
      <c r="R108" s="322">
        <v>1437</v>
      </c>
      <c r="S108" s="322">
        <v>1506</v>
      </c>
      <c r="T108" s="322">
        <v>1521</v>
      </c>
      <c r="U108" s="322">
        <v>1520</v>
      </c>
      <c r="V108" s="338">
        <v>1520</v>
      </c>
      <c r="W108" s="340">
        <v>1525</v>
      </c>
      <c r="X108" s="341">
        <v>1793</v>
      </c>
      <c r="Y108" s="342">
        <v>1785</v>
      </c>
      <c r="Z108" s="341">
        <v>1870</v>
      </c>
      <c r="AA108" s="341">
        <v>1889</v>
      </c>
      <c r="AB108" s="343">
        <v>1905</v>
      </c>
      <c r="AC108" s="698">
        <v>1948</v>
      </c>
      <c r="AD108" s="756">
        <v>2009</v>
      </c>
      <c r="AE108" s="756">
        <v>1970</v>
      </c>
      <c r="AF108" s="756">
        <f>AE108</f>
        <v>1970</v>
      </c>
      <c r="AG108" s="114">
        <f t="shared" ref="AG108:AI108" si="224">AF108</f>
        <v>1970</v>
      </c>
      <c r="AH108" s="114">
        <f t="shared" si="224"/>
        <v>1970</v>
      </c>
      <c r="AI108" s="114">
        <f t="shared" si="224"/>
        <v>1970</v>
      </c>
      <c r="AJ108" s="114"/>
      <c r="AK108" s="114"/>
      <c r="AL108" s="114"/>
      <c r="AM108" s="114"/>
      <c r="AN108" s="114"/>
      <c r="AO108" s="114"/>
      <c r="AP108" s="114"/>
    </row>
    <row r="109" spans="2:42" ht="15.75" thickBot="1">
      <c r="B109" s="1295"/>
      <c r="C109" s="252" t="s">
        <v>747</v>
      </c>
      <c r="D109" s="798"/>
      <c r="E109" s="798"/>
      <c r="F109" s="798"/>
      <c r="G109" s="798"/>
      <c r="H109" s="798"/>
      <c r="I109" s="798"/>
      <c r="J109" s="798"/>
      <c r="K109" s="798"/>
      <c r="L109" s="900"/>
      <c r="M109" s="900"/>
      <c r="N109" s="900"/>
      <c r="O109" s="900"/>
      <c r="P109" s="902">
        <v>1629.3473082420198</v>
      </c>
      <c r="Q109" s="904">
        <v>1812.9539951573852</v>
      </c>
      <c r="R109" s="323">
        <v>2493.1743066532549</v>
      </c>
      <c r="S109" s="323">
        <v>2620.8402929461649</v>
      </c>
      <c r="T109" s="323">
        <v>2763.2214440956291</v>
      </c>
      <c r="U109" s="323">
        <v>2846.1448461448458</v>
      </c>
      <c r="V109" s="338">
        <v>2835.5</v>
      </c>
      <c r="W109" s="323">
        <f t="shared" ref="W109:X109" si="225">W107/W106*1000</f>
        <v>2846.1448461448458</v>
      </c>
      <c r="X109" s="323">
        <f t="shared" si="225"/>
        <v>2846.1448461448458</v>
      </c>
      <c r="Y109" s="342">
        <v>2835.5</v>
      </c>
      <c r="Z109" s="341">
        <v>2835.5</v>
      </c>
      <c r="AA109" s="341">
        <v>2835.5</v>
      </c>
      <c r="AB109" s="343">
        <v>2835.5</v>
      </c>
      <c r="AC109" s="343">
        <v>2835.5</v>
      </c>
      <c r="AD109" s="343">
        <v>2835.5</v>
      </c>
      <c r="AE109" s="343">
        <v>4835.5</v>
      </c>
      <c r="AF109" s="343">
        <v>5000</v>
      </c>
    </row>
    <row r="110" spans="2:42">
      <c r="B110" s="1293" t="s">
        <v>771</v>
      </c>
      <c r="C110" s="253" t="s">
        <v>772</v>
      </c>
      <c r="D110" s="253"/>
      <c r="E110" s="253"/>
      <c r="F110" s="253"/>
      <c r="G110" s="253"/>
      <c r="H110" s="253"/>
      <c r="I110" s="253"/>
      <c r="J110" s="253"/>
      <c r="K110" s="253"/>
      <c r="L110" s="901">
        <v>98.7</v>
      </c>
      <c r="M110" s="901">
        <v>105.3</v>
      </c>
      <c r="N110" s="901">
        <v>111.2</v>
      </c>
      <c r="O110" s="901">
        <v>151</v>
      </c>
      <c r="P110" s="901">
        <v>188.5</v>
      </c>
      <c r="Q110" s="899">
        <v>231.9</v>
      </c>
      <c r="R110" s="322">
        <v>254.7</v>
      </c>
      <c r="S110" s="322">
        <v>291.60000000000002</v>
      </c>
      <c r="T110" s="322">
        <v>343.7</v>
      </c>
      <c r="U110" s="322">
        <v>350</v>
      </c>
      <c r="V110" s="321">
        <v>357.2</v>
      </c>
      <c r="W110" s="344">
        <v>366.2</v>
      </c>
      <c r="X110" s="345">
        <v>367.2</v>
      </c>
      <c r="Y110" s="348">
        <v>371.2</v>
      </c>
      <c r="Z110" s="693">
        <v>725.69500000000005</v>
      </c>
      <c r="AA110" s="693">
        <v>983.06500000000005</v>
      </c>
      <c r="AB110" s="693">
        <v>1053.45</v>
      </c>
      <c r="AC110" s="693">
        <v>1223.1759999999999</v>
      </c>
      <c r="AD110" s="693">
        <v>1223.6980000000001</v>
      </c>
      <c r="AE110" s="693">
        <v>1265.5640000000001</v>
      </c>
      <c r="AF110" s="693">
        <v>1419.3</v>
      </c>
    </row>
    <row r="111" spans="2:42">
      <c r="B111" s="1293"/>
      <c r="C111" s="251" t="s">
        <v>742</v>
      </c>
      <c r="D111" s="251"/>
      <c r="E111" s="251"/>
      <c r="F111" s="251"/>
      <c r="G111" s="251"/>
      <c r="H111" s="251"/>
      <c r="I111" s="251"/>
      <c r="J111" s="251"/>
      <c r="K111" s="251"/>
      <c r="L111" s="861" t="s">
        <v>1181</v>
      </c>
      <c r="M111" s="861" t="s">
        <v>1181</v>
      </c>
      <c r="N111" s="861" t="s">
        <v>1181</v>
      </c>
      <c r="O111" s="861" t="s">
        <v>1181</v>
      </c>
      <c r="P111" s="861">
        <v>104.1</v>
      </c>
      <c r="Q111" s="863">
        <v>123.4</v>
      </c>
      <c r="R111" s="322">
        <v>143.69999999999999</v>
      </c>
      <c r="S111" s="322">
        <v>188.9</v>
      </c>
      <c r="T111" s="322">
        <v>210.3</v>
      </c>
      <c r="U111" s="322">
        <v>223</v>
      </c>
      <c r="V111" s="323">
        <v>227.2</v>
      </c>
      <c r="W111" s="338">
        <f t="shared" ref="W111:AB111" si="226">W110*W113/1000</f>
        <v>230.70599999999999</v>
      </c>
      <c r="X111" s="324">
        <f t="shared" si="226"/>
        <v>233.72279999999998</v>
      </c>
      <c r="Y111" s="329">
        <f t="shared" si="226"/>
        <v>233.29919999999998</v>
      </c>
      <c r="Z111" s="324">
        <f t="shared" si="226"/>
        <v>454.64791750000006</v>
      </c>
      <c r="AA111" s="324">
        <f t="shared" si="226"/>
        <v>609.99183249999999</v>
      </c>
      <c r="AB111" s="313">
        <f t="shared" si="226"/>
        <v>653.66572499999995</v>
      </c>
      <c r="AC111" s="313">
        <f>AC110*AC113/1000</f>
        <v>758.98070799999994</v>
      </c>
      <c r="AD111" s="313">
        <f>AD110*AD113/1000</f>
        <v>759.30460900000003</v>
      </c>
      <c r="AE111" s="694">
        <f>AE110*AE113/1000</f>
        <v>785.28246200000001</v>
      </c>
      <c r="AF111" s="694">
        <f>AF110*AF113/1000</f>
        <v>993.51</v>
      </c>
    </row>
    <row r="112" spans="2:42" ht="25.5">
      <c r="B112" s="1293"/>
      <c r="C112" s="251" t="s">
        <v>773</v>
      </c>
      <c r="D112" s="251"/>
      <c r="E112" s="251"/>
      <c r="F112" s="251"/>
      <c r="G112" s="251"/>
      <c r="H112" s="251"/>
      <c r="I112" s="251"/>
      <c r="J112" s="251"/>
      <c r="K112" s="251"/>
      <c r="L112" s="883">
        <v>123</v>
      </c>
      <c r="M112" s="883">
        <v>122</v>
      </c>
      <c r="N112" s="883">
        <v>118</v>
      </c>
      <c r="O112" s="883">
        <v>146</v>
      </c>
      <c r="P112" s="883">
        <v>165</v>
      </c>
      <c r="Q112" s="863">
        <v>163</v>
      </c>
      <c r="R112" s="322">
        <v>168</v>
      </c>
      <c r="S112" s="322">
        <v>191</v>
      </c>
      <c r="T112" s="322">
        <v>222</v>
      </c>
      <c r="U112" s="322">
        <v>232</v>
      </c>
      <c r="V112" s="340">
        <v>235</v>
      </c>
      <c r="W112" s="340">
        <v>240</v>
      </c>
      <c r="X112" s="341">
        <v>228</v>
      </c>
      <c r="Y112" s="342">
        <v>181</v>
      </c>
      <c r="Z112" s="350">
        <v>204</v>
      </c>
      <c r="AA112" s="350">
        <v>231</v>
      </c>
      <c r="AB112" s="313">
        <v>218</v>
      </c>
      <c r="AC112" s="313">
        <v>273</v>
      </c>
      <c r="AD112" s="694">
        <v>272</v>
      </c>
      <c r="AE112" s="694">
        <v>280</v>
      </c>
      <c r="AF112" s="694">
        <f>AE112</f>
        <v>280</v>
      </c>
    </row>
    <row r="113" spans="2:42" ht="15.75" thickBot="1">
      <c r="B113" s="1293"/>
      <c r="C113" s="240" t="s">
        <v>747</v>
      </c>
      <c r="D113" s="240"/>
      <c r="E113" s="240"/>
      <c r="F113" s="240"/>
      <c r="G113" s="240"/>
      <c r="H113" s="240"/>
      <c r="I113" s="240"/>
      <c r="J113" s="240"/>
      <c r="K113" s="240"/>
      <c r="L113" s="787"/>
      <c r="M113" s="787"/>
      <c r="N113" s="787"/>
      <c r="O113" s="787"/>
      <c r="P113" s="903">
        <v>552.25464190981438</v>
      </c>
      <c r="Q113" s="898">
        <v>532.12591634325145</v>
      </c>
      <c r="R113" s="323">
        <v>564.19316843345109</v>
      </c>
      <c r="S113" s="323">
        <v>647.80521262002742</v>
      </c>
      <c r="T113" s="323">
        <v>611.87081757346527</v>
      </c>
      <c r="U113" s="323">
        <v>637.14285714285711</v>
      </c>
      <c r="V113" s="340">
        <v>630.5</v>
      </c>
      <c r="W113" s="338">
        <v>630</v>
      </c>
      <c r="X113" s="324">
        <v>636.5</v>
      </c>
      <c r="Y113" s="324">
        <v>628.5</v>
      </c>
      <c r="Z113" s="324">
        <v>626.5</v>
      </c>
      <c r="AA113" s="324">
        <v>620.5</v>
      </c>
      <c r="AB113" s="343">
        <v>620.5</v>
      </c>
      <c r="AC113" s="343">
        <v>620.5</v>
      </c>
      <c r="AD113" s="343">
        <v>620.5</v>
      </c>
      <c r="AE113" s="343">
        <v>620.5</v>
      </c>
      <c r="AF113" s="343">
        <v>700</v>
      </c>
      <c r="AG113" s="112">
        <f>AF111/AF110</f>
        <v>0.70000000000000007</v>
      </c>
    </row>
    <row r="114" spans="2:42">
      <c r="B114" s="1294" t="s">
        <v>774</v>
      </c>
      <c r="C114" s="250" t="s">
        <v>740</v>
      </c>
      <c r="D114" s="253"/>
      <c r="E114" s="253"/>
      <c r="F114" s="253"/>
      <c r="G114" s="253"/>
      <c r="H114" s="253"/>
      <c r="I114" s="253"/>
      <c r="J114" s="253"/>
      <c r="K114" s="253"/>
      <c r="L114" s="890">
        <v>4.3</v>
      </c>
      <c r="M114" s="890">
        <v>4.7</v>
      </c>
      <c r="N114" s="890">
        <v>5.0999999999999996</v>
      </c>
      <c r="O114" s="890">
        <v>5.2</v>
      </c>
      <c r="P114" s="890">
        <v>5.4</v>
      </c>
      <c r="Q114" s="881">
        <v>5.8</v>
      </c>
      <c r="R114" s="323">
        <v>6</v>
      </c>
      <c r="S114" s="322">
        <v>6.4</v>
      </c>
      <c r="T114" s="322">
        <v>6.6</v>
      </c>
      <c r="U114" s="322">
        <v>6.8</v>
      </c>
      <c r="V114" s="334">
        <v>7</v>
      </c>
      <c r="W114" s="344">
        <v>6.9</v>
      </c>
      <c r="X114" s="345">
        <v>6.9</v>
      </c>
      <c r="Y114" s="347">
        <v>7</v>
      </c>
      <c r="Z114" s="692">
        <v>7.7709999999999999</v>
      </c>
      <c r="AA114" s="692">
        <v>8.0169999999999995</v>
      </c>
      <c r="AB114" s="692">
        <v>8.1519999999999992</v>
      </c>
      <c r="AC114" s="692">
        <v>8.3759999999999994</v>
      </c>
      <c r="AD114" s="692">
        <v>8.7550000000000008</v>
      </c>
      <c r="AE114" s="692">
        <v>9.0939999999999994</v>
      </c>
      <c r="AF114" s="692">
        <v>9.532</v>
      </c>
    </row>
    <row r="115" spans="2:42">
      <c r="B115" s="1293"/>
      <c r="C115" s="251" t="s">
        <v>742</v>
      </c>
      <c r="D115" s="251"/>
      <c r="E115" s="251"/>
      <c r="F115" s="251"/>
      <c r="G115" s="251"/>
      <c r="H115" s="251"/>
      <c r="I115" s="251"/>
      <c r="J115" s="251"/>
      <c r="K115" s="251"/>
      <c r="L115" s="883" t="s">
        <v>1181</v>
      </c>
      <c r="M115" s="883" t="s">
        <v>1181</v>
      </c>
      <c r="N115" s="883" t="s">
        <v>1181</v>
      </c>
      <c r="O115" s="883" t="s">
        <v>1181</v>
      </c>
      <c r="P115" s="883">
        <v>8.8000000000000007</v>
      </c>
      <c r="Q115" s="863">
        <v>7.9</v>
      </c>
      <c r="R115" s="322">
        <v>14.6</v>
      </c>
      <c r="S115" s="322">
        <v>15.7</v>
      </c>
      <c r="T115" s="322">
        <v>14.3</v>
      </c>
      <c r="U115" s="322">
        <v>15.9</v>
      </c>
      <c r="V115" s="323">
        <v>16.600000000000001</v>
      </c>
      <c r="W115" s="323">
        <v>11.5</v>
      </c>
      <c r="X115" s="323">
        <v>11.8</v>
      </c>
      <c r="Y115" s="324">
        <f t="shared" ref="Y115:AD115" si="227">Y114*Y117/1000</f>
        <v>15.9285</v>
      </c>
      <c r="Z115" s="324">
        <f t="shared" si="227"/>
        <v>17.640169999999998</v>
      </c>
      <c r="AA115" s="324">
        <f t="shared" si="227"/>
        <v>18.162513499999996</v>
      </c>
      <c r="AB115" s="343">
        <f t="shared" si="227"/>
        <v>18.468356</v>
      </c>
      <c r="AC115" s="343">
        <f t="shared" si="227"/>
        <v>18.975827999999996</v>
      </c>
      <c r="AD115" s="343">
        <f t="shared" si="227"/>
        <v>19.834452500000005</v>
      </c>
      <c r="AE115" s="692">
        <f t="shared" ref="AE115" si="228">AE114*AE117/1000</f>
        <v>20.602456999999998</v>
      </c>
      <c r="AF115" s="692">
        <f>AF114*AF117/1000</f>
        <v>38.128</v>
      </c>
    </row>
    <row r="116" spans="2:42" ht="25.5">
      <c r="B116" s="1293"/>
      <c r="C116" s="251" t="s">
        <v>775</v>
      </c>
      <c r="D116" s="251"/>
      <c r="E116" s="251"/>
      <c r="F116" s="251"/>
      <c r="G116" s="251"/>
      <c r="H116" s="251"/>
      <c r="I116" s="251"/>
      <c r="J116" s="251"/>
      <c r="K116" s="251"/>
      <c r="L116" s="883">
        <v>1.7</v>
      </c>
      <c r="M116" s="883">
        <v>1.7</v>
      </c>
      <c r="N116" s="883">
        <v>1.8</v>
      </c>
      <c r="O116" s="883">
        <v>1.8</v>
      </c>
      <c r="P116" s="883">
        <v>1.7</v>
      </c>
      <c r="Q116" s="863">
        <v>1.7</v>
      </c>
      <c r="R116" s="322">
        <v>1.8</v>
      </c>
      <c r="S116" s="322">
        <v>1.7</v>
      </c>
      <c r="T116" s="322">
        <v>1.8</v>
      </c>
      <c r="U116" s="322">
        <v>1.2</v>
      </c>
      <c r="V116" s="340">
        <v>1.3</v>
      </c>
      <c r="W116" s="340">
        <v>1.4</v>
      </c>
      <c r="X116" s="341">
        <v>1.8</v>
      </c>
      <c r="Y116" s="341">
        <v>1.8</v>
      </c>
      <c r="Z116" s="324">
        <v>1.8</v>
      </c>
      <c r="AA116" s="324">
        <v>2</v>
      </c>
      <c r="AB116" s="343">
        <v>2</v>
      </c>
      <c r="AC116" s="343">
        <v>2</v>
      </c>
      <c r="AD116" s="692">
        <v>2.1</v>
      </c>
      <c r="AE116" s="692">
        <v>2</v>
      </c>
      <c r="AF116" s="692">
        <f>AE116</f>
        <v>2</v>
      </c>
    </row>
    <row r="117" spans="2:42" ht="15.75" thickBot="1">
      <c r="B117" s="1295"/>
      <c r="C117" s="233" t="s">
        <v>747</v>
      </c>
      <c r="D117" s="239"/>
      <c r="E117" s="239"/>
      <c r="F117" s="239"/>
      <c r="G117" s="239"/>
      <c r="H117" s="239"/>
      <c r="I117" s="239"/>
      <c r="J117" s="239"/>
      <c r="K117" s="239"/>
      <c r="L117" s="885"/>
      <c r="M117" s="885"/>
      <c r="N117" s="885"/>
      <c r="O117" s="885"/>
      <c r="P117" s="886">
        <v>1629.6296296296298</v>
      </c>
      <c r="Q117" s="878">
        <v>1362.0689655172416</v>
      </c>
      <c r="R117" s="323">
        <v>2433.333333333333</v>
      </c>
      <c r="S117" s="323">
        <v>2453.1249999999995</v>
      </c>
      <c r="T117" s="323">
        <v>2166.666666666667</v>
      </c>
      <c r="U117" s="323">
        <v>2338.2352941176473</v>
      </c>
      <c r="V117" s="340">
        <v>2335.5</v>
      </c>
      <c r="W117" s="340">
        <v>2330</v>
      </c>
      <c r="X117" s="341">
        <v>2280.5</v>
      </c>
      <c r="Y117" s="341">
        <v>2275.5</v>
      </c>
      <c r="Z117" s="324">
        <v>2270</v>
      </c>
      <c r="AA117" s="324">
        <v>2265.5</v>
      </c>
      <c r="AB117" s="343">
        <v>2265.5</v>
      </c>
      <c r="AC117" s="343">
        <v>2265.5</v>
      </c>
      <c r="AD117" s="343">
        <v>2265.5</v>
      </c>
      <c r="AE117" s="343">
        <v>2265.5</v>
      </c>
      <c r="AF117" s="343">
        <v>4000</v>
      </c>
      <c r="AG117" s="112">
        <f>AF115/AF114</f>
        <v>4</v>
      </c>
    </row>
    <row r="118" spans="2:42">
      <c r="B118" s="1296" t="s">
        <v>776</v>
      </c>
      <c r="C118" s="254" t="s">
        <v>740</v>
      </c>
      <c r="D118" s="254"/>
      <c r="E118" s="254"/>
      <c r="F118" s="254"/>
      <c r="G118" s="254"/>
      <c r="H118" s="254"/>
      <c r="I118" s="254"/>
      <c r="J118" s="254"/>
      <c r="K118" s="254"/>
      <c r="L118" s="866">
        <v>3.2</v>
      </c>
      <c r="M118" s="866">
        <v>3</v>
      </c>
      <c r="N118" s="866">
        <v>2.2999999999999998</v>
      </c>
      <c r="O118" s="866">
        <v>2.7</v>
      </c>
      <c r="P118" s="866">
        <v>1.8</v>
      </c>
      <c r="Q118" s="899">
        <v>1.1000000000000001</v>
      </c>
      <c r="R118" s="322">
        <v>1.3</v>
      </c>
      <c r="S118" s="322">
        <v>1.3</v>
      </c>
      <c r="T118" s="322">
        <v>1.6</v>
      </c>
      <c r="U118" s="322">
        <v>1.1000000000000001</v>
      </c>
      <c r="V118" s="322">
        <v>0.8</v>
      </c>
      <c r="W118" s="340">
        <v>1.2</v>
      </c>
      <c r="X118" s="341">
        <v>1.2</v>
      </c>
      <c r="Y118" s="341">
        <v>1.2</v>
      </c>
      <c r="Z118" s="1234">
        <v>0.76800000000000002</v>
      </c>
      <c r="AA118" s="1234">
        <v>0.38800000000000001</v>
      </c>
      <c r="AB118" s="1234">
        <v>0.45100000000000001</v>
      </c>
      <c r="AC118" s="1234">
        <v>0.39300000000000002</v>
      </c>
      <c r="AD118" s="1234">
        <v>0.223</v>
      </c>
      <c r="AE118" s="1234">
        <v>0.36199999999999999</v>
      </c>
      <c r="AF118" s="1234">
        <v>0.23400000000000001</v>
      </c>
    </row>
    <row r="119" spans="2:42" ht="15.75" thickBot="1">
      <c r="B119" s="1296"/>
      <c r="C119" s="224" t="s">
        <v>742</v>
      </c>
      <c r="D119" s="224"/>
      <c r="E119" s="224"/>
      <c r="F119" s="224"/>
      <c r="G119" s="224"/>
      <c r="H119" s="224"/>
      <c r="I119" s="224"/>
      <c r="J119" s="224"/>
      <c r="K119" s="224"/>
      <c r="L119" s="230"/>
      <c r="M119" s="230"/>
      <c r="N119" s="230"/>
      <c r="O119" s="230"/>
      <c r="P119" s="230"/>
      <c r="Q119" s="872">
        <v>2.1</v>
      </c>
      <c r="R119" s="322">
        <v>3.8</v>
      </c>
      <c r="S119" s="322">
        <v>6.9</v>
      </c>
      <c r="T119" s="322">
        <v>8.8000000000000007</v>
      </c>
      <c r="U119" s="322">
        <v>11.8</v>
      </c>
      <c r="V119" s="322">
        <v>8.6</v>
      </c>
      <c r="W119" s="322">
        <v>8.4</v>
      </c>
      <c r="X119" s="322">
        <v>8.8000000000000007</v>
      </c>
      <c r="Y119" s="341"/>
      <c r="Z119" s="324"/>
      <c r="AA119" s="324"/>
      <c r="AB119" s="349"/>
      <c r="AC119" s="349"/>
      <c r="AD119" s="349"/>
      <c r="AE119" s="352"/>
    </row>
    <row r="120" spans="2:42">
      <c r="B120" s="1294" t="s">
        <v>777</v>
      </c>
      <c r="C120" s="243" t="s">
        <v>740</v>
      </c>
      <c r="D120" s="235"/>
      <c r="E120" s="235"/>
      <c r="F120" s="235"/>
      <c r="G120" s="235"/>
      <c r="H120" s="235"/>
      <c r="I120" s="235"/>
      <c r="J120" s="235"/>
      <c r="K120" s="235"/>
      <c r="L120" s="880">
        <v>1.5</v>
      </c>
      <c r="M120" s="880">
        <v>1.7</v>
      </c>
      <c r="N120" s="880">
        <v>2</v>
      </c>
      <c r="O120" s="880">
        <v>2.1</v>
      </c>
      <c r="P120" s="880">
        <v>2.7</v>
      </c>
      <c r="Q120" s="881">
        <v>3</v>
      </c>
      <c r="R120" s="322">
        <v>2.9</v>
      </c>
      <c r="S120" s="322">
        <v>3.3</v>
      </c>
      <c r="T120" s="322">
        <v>3.5</v>
      </c>
      <c r="U120" s="322">
        <v>3.7</v>
      </c>
      <c r="V120" s="321">
        <v>3.85</v>
      </c>
      <c r="W120" s="344">
        <v>3.8</v>
      </c>
      <c r="X120" s="345">
        <v>3.9</v>
      </c>
      <c r="Y120" s="345">
        <v>3.9</v>
      </c>
      <c r="Z120" s="1235">
        <v>4.2149999999999999</v>
      </c>
      <c r="AA120" s="1235">
        <v>4.2210000000000001</v>
      </c>
      <c r="AB120" s="1235">
        <v>4.3899999999999997</v>
      </c>
      <c r="AC120" s="1235">
        <v>4.5650000000000004</v>
      </c>
      <c r="AD120" s="1235">
        <v>4.6970000000000001</v>
      </c>
      <c r="AE120" s="1235">
        <v>4.883</v>
      </c>
      <c r="AF120" s="1235">
        <v>3.8450000000000002</v>
      </c>
    </row>
    <row r="121" spans="2:42">
      <c r="B121" s="1293"/>
      <c r="C121" s="236" t="s">
        <v>742</v>
      </c>
      <c r="D121" s="236"/>
      <c r="E121" s="236"/>
      <c r="F121" s="236"/>
      <c r="G121" s="236"/>
      <c r="H121" s="236"/>
      <c r="I121" s="236"/>
      <c r="J121" s="236"/>
      <c r="K121" s="236"/>
      <c r="L121" s="861" t="s">
        <v>1181</v>
      </c>
      <c r="M121" s="861" t="s">
        <v>1181</v>
      </c>
      <c r="N121" s="861" t="s">
        <v>1181</v>
      </c>
      <c r="O121" s="861" t="s">
        <v>1181</v>
      </c>
      <c r="P121" s="861">
        <v>46.1</v>
      </c>
      <c r="Q121" s="863">
        <v>61.2</v>
      </c>
      <c r="R121" s="322">
        <v>66.3</v>
      </c>
      <c r="S121" s="322">
        <v>100.4</v>
      </c>
      <c r="T121" s="322">
        <v>111.4</v>
      </c>
      <c r="U121" s="322">
        <v>130.9</v>
      </c>
      <c r="V121" s="323">
        <v>140.9</v>
      </c>
      <c r="W121" s="323">
        <v>145.9</v>
      </c>
      <c r="X121" s="323">
        <v>150.1</v>
      </c>
      <c r="Y121" s="324">
        <f t="shared" ref="Y121:AD121" si="229">Y120*Y123/1000</f>
        <v>137.86694999999997</v>
      </c>
      <c r="Z121" s="324">
        <f t="shared" si="229"/>
        <v>149.00235749999999</v>
      </c>
      <c r="AA121" s="324">
        <f t="shared" si="229"/>
        <v>149.21446050000003</v>
      </c>
      <c r="AB121" s="313">
        <f t="shared" si="229"/>
        <v>155.18869499999997</v>
      </c>
      <c r="AC121" s="313">
        <f t="shared" si="229"/>
        <v>161.3750325</v>
      </c>
      <c r="AD121" s="313">
        <f t="shared" si="229"/>
        <v>166.04129850000001</v>
      </c>
      <c r="AE121" s="694">
        <f t="shared" ref="AE121:AF121" si="230">AE120*AE123/1000</f>
        <v>172.6164915</v>
      </c>
      <c r="AF121" s="694">
        <f t="shared" si="230"/>
        <v>153.80000000000001</v>
      </c>
    </row>
    <row r="122" spans="2:42" ht="26.25">
      <c r="B122" s="1293"/>
      <c r="C122" s="236" t="s">
        <v>778</v>
      </c>
      <c r="D122" s="236"/>
      <c r="E122" s="236"/>
      <c r="F122" s="236"/>
      <c r="G122" s="236"/>
      <c r="H122" s="236"/>
      <c r="I122" s="236"/>
      <c r="J122" s="236"/>
      <c r="K122" s="236"/>
      <c r="L122" s="861">
        <v>23.5</v>
      </c>
      <c r="M122" s="861">
        <v>17.7</v>
      </c>
      <c r="N122" s="861">
        <v>16.600000000000001</v>
      </c>
      <c r="O122" s="861">
        <v>15.3</v>
      </c>
      <c r="P122" s="861">
        <v>19.3</v>
      </c>
      <c r="Q122" s="863">
        <v>16.600000000000001</v>
      </c>
      <c r="R122" s="322">
        <v>15.4</v>
      </c>
      <c r="S122" s="322">
        <v>16.8</v>
      </c>
      <c r="T122" s="322">
        <v>17.399999999999999</v>
      </c>
      <c r="U122" s="322">
        <v>17.5</v>
      </c>
      <c r="V122" s="340">
        <v>17.8</v>
      </c>
      <c r="W122" s="338">
        <v>18</v>
      </c>
      <c r="X122" s="324">
        <v>18.399999999999999</v>
      </c>
      <c r="Y122" s="324">
        <v>18.399999999999999</v>
      </c>
      <c r="Z122" s="324">
        <v>18.2</v>
      </c>
      <c r="AA122" s="324">
        <v>17.899999999999999</v>
      </c>
      <c r="AB122" s="343">
        <v>17.100000000000001</v>
      </c>
      <c r="AC122" s="343">
        <v>17.3</v>
      </c>
      <c r="AD122" s="692">
        <v>17.5</v>
      </c>
      <c r="AE122" s="692">
        <v>17.5</v>
      </c>
      <c r="AF122" s="692">
        <f>AE122</f>
        <v>17.5</v>
      </c>
    </row>
    <row r="123" spans="2:42" ht="15.75" thickBot="1">
      <c r="B123" s="1295"/>
      <c r="C123" s="233"/>
      <c r="D123" s="239"/>
      <c r="E123" s="239"/>
      <c r="F123" s="239"/>
      <c r="G123" s="239"/>
      <c r="H123" s="239"/>
      <c r="I123" s="239"/>
      <c r="J123" s="239"/>
      <c r="K123" s="239"/>
      <c r="L123" s="879"/>
      <c r="M123" s="879"/>
      <c r="N123" s="879"/>
      <c r="O123" s="879"/>
      <c r="P123" s="905">
        <v>17074.074074074073</v>
      </c>
      <c r="Q123" s="888">
        <v>20400.000000000004</v>
      </c>
      <c r="R123" s="323">
        <v>22862.068965517243</v>
      </c>
      <c r="S123" s="323">
        <v>30424.242424242428</v>
      </c>
      <c r="T123" s="323">
        <v>31828.571428571428</v>
      </c>
      <c r="U123" s="323">
        <v>35378.37837837838</v>
      </c>
      <c r="V123" s="323">
        <f t="shared" ref="V123" si="231">V121/V120*1000</f>
        <v>36597.402597402601</v>
      </c>
      <c r="W123" s="340">
        <v>35350.5</v>
      </c>
      <c r="X123" s="341">
        <v>35350.5</v>
      </c>
      <c r="Y123" s="341">
        <v>35350.5</v>
      </c>
      <c r="Z123" s="341">
        <v>35350.5</v>
      </c>
      <c r="AA123" s="341">
        <v>35350.5</v>
      </c>
      <c r="AB123" s="343">
        <v>35350.5</v>
      </c>
      <c r="AC123" s="343">
        <v>35350.5</v>
      </c>
      <c r="AD123" s="343">
        <v>35350.5</v>
      </c>
      <c r="AE123" s="343">
        <v>35350.5</v>
      </c>
      <c r="AF123" s="343">
        <v>40000</v>
      </c>
      <c r="AG123" s="112">
        <f>AF121/AF120</f>
        <v>40</v>
      </c>
    </row>
    <row r="124" spans="2:42">
      <c r="B124" s="1296" t="s">
        <v>779</v>
      </c>
      <c r="C124" s="254" t="s">
        <v>780</v>
      </c>
      <c r="D124" s="254"/>
      <c r="E124" s="254"/>
      <c r="F124" s="254"/>
      <c r="G124" s="254"/>
      <c r="H124" s="254"/>
      <c r="I124" s="254"/>
      <c r="J124" s="254"/>
      <c r="K124" s="254"/>
      <c r="L124" s="241" t="s">
        <v>1182</v>
      </c>
      <c r="M124" s="241" t="s">
        <v>1182</v>
      </c>
      <c r="N124" s="241" t="s">
        <v>1182</v>
      </c>
      <c r="O124" s="241" t="s">
        <v>1182</v>
      </c>
      <c r="P124" s="241" t="s">
        <v>1182</v>
      </c>
      <c r="Q124" s="899">
        <v>677.5</v>
      </c>
      <c r="R124" s="906">
        <v>843</v>
      </c>
      <c r="S124" s="906">
        <v>1113</v>
      </c>
      <c r="T124" s="906">
        <v>1723</v>
      </c>
      <c r="U124" s="906">
        <v>1884</v>
      </c>
      <c r="V124" s="322">
        <v>2023.3</v>
      </c>
      <c r="W124" s="340"/>
      <c r="X124" s="340"/>
      <c r="Z124" s="1236">
        <v>2451.9</v>
      </c>
      <c r="AA124" s="1236">
        <v>3293.8</v>
      </c>
      <c r="AB124">
        <v>3386.2</v>
      </c>
      <c r="AC124">
        <v>4056.8</v>
      </c>
      <c r="AD124">
        <v>4921.1000000000004</v>
      </c>
      <c r="AE124">
        <v>5057.5</v>
      </c>
      <c r="AF124">
        <v>5575.7</v>
      </c>
      <c r="AG124" s="1244">
        <f>1.1*AF124</f>
        <v>6133.27</v>
      </c>
      <c r="AH124" s="1244">
        <f>1.09*AG124</f>
        <v>6685.2643000000007</v>
      </c>
      <c r="AI124" s="1244">
        <f>1.089*AH124</f>
        <v>7280.2528227000003</v>
      </c>
      <c r="AJ124" s="1244">
        <f>1.091*AI124</f>
        <v>7942.7558295657</v>
      </c>
      <c r="AK124" s="1244">
        <f>1.0901*AJ124</f>
        <v>8658.3981298095696</v>
      </c>
      <c r="AL124" s="1244">
        <f>1.092*AK124</f>
        <v>9454.9707577520512</v>
      </c>
      <c r="AM124" s="1244">
        <f>1.091*AL124</f>
        <v>10315.373096707488</v>
      </c>
      <c r="AN124" s="1244">
        <f>1.09*AM124</f>
        <v>11243.756675411163</v>
      </c>
      <c r="AO124" s="1244">
        <f>1.087*AN124</f>
        <v>12221.963506171935</v>
      </c>
      <c r="AP124" s="1244">
        <f>1.085*AO124</f>
        <v>13260.830404196549</v>
      </c>
    </row>
    <row r="125" spans="2:42">
      <c r="B125" s="1296"/>
      <c r="C125" s="223" t="s">
        <v>742</v>
      </c>
      <c r="D125" s="223"/>
      <c r="E125" s="223"/>
      <c r="F125" s="223"/>
      <c r="G125" s="223"/>
      <c r="H125" s="223"/>
      <c r="I125" s="223"/>
      <c r="J125" s="223"/>
      <c r="K125" s="223"/>
      <c r="L125" s="877"/>
      <c r="M125" s="877"/>
      <c r="N125" s="877"/>
      <c r="O125" s="877"/>
      <c r="P125" s="877"/>
      <c r="Q125" s="863">
        <v>9.6</v>
      </c>
      <c r="R125" s="322">
        <v>12.9</v>
      </c>
      <c r="S125" s="322">
        <v>17.2</v>
      </c>
      <c r="T125" s="322">
        <v>27.3</v>
      </c>
      <c r="U125" s="322">
        <v>32.9</v>
      </c>
      <c r="V125" s="322">
        <v>34.799999999999997</v>
      </c>
      <c r="W125" s="322">
        <v>37.299999999999997</v>
      </c>
      <c r="X125" s="322">
        <v>37.5</v>
      </c>
      <c r="AE125" s="149">
        <v>137.19999999999999</v>
      </c>
      <c r="AF125" s="149">
        <v>171.8</v>
      </c>
      <c r="AG125" s="1246">
        <f>AG124*AG127/1000</f>
        <v>188.98000000000005</v>
      </c>
      <c r="AH125" s="1246">
        <f t="shared" ref="AH125:AP125" si="232">AH124*AH127/1000</f>
        <v>205.98820000000006</v>
      </c>
      <c r="AI125" s="1246">
        <f t="shared" si="232"/>
        <v>224.32114980000003</v>
      </c>
      <c r="AJ125" s="1246">
        <f t="shared" si="232"/>
        <v>244.73437443180003</v>
      </c>
      <c r="AK125" s="1246">
        <f t="shared" si="232"/>
        <v>266.78494156810524</v>
      </c>
      <c r="AL125" s="1246">
        <f t="shared" si="232"/>
        <v>291.32915619237093</v>
      </c>
      <c r="AM125" s="1246">
        <f t="shared" si="232"/>
        <v>317.84010940587672</v>
      </c>
      <c r="AN125" s="1246">
        <f t="shared" si="232"/>
        <v>346.44571925240564</v>
      </c>
      <c r="AO125" s="1246">
        <f t="shared" si="232"/>
        <v>376.58649682736495</v>
      </c>
      <c r="AP125" s="1246">
        <f t="shared" si="232"/>
        <v>408.59634905769099</v>
      </c>
    </row>
    <row r="126" spans="2:42" ht="39">
      <c r="B126" s="1297"/>
      <c r="C126" s="236" t="s">
        <v>1194</v>
      </c>
      <c r="D126" s="801"/>
      <c r="E126" s="801"/>
      <c r="F126" s="801"/>
      <c r="G126" s="801"/>
      <c r="H126" s="801"/>
      <c r="I126" s="801"/>
      <c r="J126" s="801"/>
      <c r="K126" s="801"/>
      <c r="L126" s="884"/>
      <c r="M126" s="884"/>
      <c r="N126" s="884"/>
      <c r="O126" s="884"/>
      <c r="P126" s="884"/>
      <c r="Q126" s="863">
        <v>63.5</v>
      </c>
      <c r="R126" s="322">
        <v>116.8</v>
      </c>
      <c r="S126" s="322">
        <v>120.1</v>
      </c>
      <c r="T126" s="322">
        <v>75.400000000000006</v>
      </c>
      <c r="U126" s="322">
        <v>75.5</v>
      </c>
      <c r="Z126">
        <v>75.930999999999997</v>
      </c>
      <c r="AA126">
        <v>76.341999999999999</v>
      </c>
      <c r="AB126">
        <v>46.091999999999999</v>
      </c>
      <c r="AC126">
        <v>46.094999999999999</v>
      </c>
      <c r="AD126">
        <v>45.811</v>
      </c>
      <c r="AE126">
        <v>45.902999999999999</v>
      </c>
      <c r="AF126" s="1242">
        <f>AE126</f>
        <v>45.902999999999999</v>
      </c>
      <c r="AG126" s="692">
        <f t="shared" ref="AG126" si="233">AF126</f>
        <v>45.902999999999999</v>
      </c>
      <c r="AH126" s="692">
        <f t="shared" ref="AH126:AP126" si="234">AG126</f>
        <v>45.902999999999999</v>
      </c>
      <c r="AI126" s="692">
        <f t="shared" si="234"/>
        <v>45.902999999999999</v>
      </c>
      <c r="AJ126" s="692">
        <f t="shared" si="234"/>
        <v>45.902999999999999</v>
      </c>
      <c r="AK126" s="692">
        <f t="shared" si="234"/>
        <v>45.902999999999999</v>
      </c>
      <c r="AL126" s="692">
        <f t="shared" si="234"/>
        <v>45.902999999999999</v>
      </c>
      <c r="AM126" s="692">
        <f t="shared" si="234"/>
        <v>45.902999999999999</v>
      </c>
      <c r="AN126" s="692">
        <f t="shared" si="234"/>
        <v>45.902999999999999</v>
      </c>
      <c r="AO126" s="692">
        <f t="shared" si="234"/>
        <v>45.902999999999999</v>
      </c>
      <c r="AP126" s="692">
        <f t="shared" si="234"/>
        <v>45.902999999999999</v>
      </c>
    </row>
    <row r="127" spans="2:42" ht="15.75" thickBot="1">
      <c r="C127" s="233" t="s">
        <v>747</v>
      </c>
      <c r="AC127" s="323">
        <f t="shared" ref="AC127:AD127" si="235">AC125/AC124*1000</f>
        <v>0</v>
      </c>
      <c r="AD127" s="323">
        <f t="shared" si="235"/>
        <v>0</v>
      </c>
      <c r="AE127" s="323">
        <f>AE125/AE124*1000</f>
        <v>27.128027681660896</v>
      </c>
      <c r="AF127" s="1243">
        <f>AF125/AF124*1000</f>
        <v>30.812274691966934</v>
      </c>
      <c r="AG127" s="1245">
        <f>AF127</f>
        <v>30.812274691966934</v>
      </c>
      <c r="AH127" s="1245">
        <f t="shared" ref="AH127:AP127" si="236">AG127</f>
        <v>30.812274691966934</v>
      </c>
      <c r="AI127" s="1245">
        <f t="shared" si="236"/>
        <v>30.812274691966934</v>
      </c>
      <c r="AJ127" s="1245">
        <f t="shared" si="236"/>
        <v>30.812274691966934</v>
      </c>
      <c r="AK127" s="1245">
        <f t="shared" si="236"/>
        <v>30.812274691966934</v>
      </c>
      <c r="AL127" s="1245">
        <f t="shared" si="236"/>
        <v>30.812274691966934</v>
      </c>
      <c r="AM127" s="1245">
        <f t="shared" si="236"/>
        <v>30.812274691966934</v>
      </c>
      <c r="AN127" s="1245">
        <f t="shared" si="236"/>
        <v>30.812274691966934</v>
      </c>
      <c r="AO127" s="1245">
        <f t="shared" si="236"/>
        <v>30.812274691966934</v>
      </c>
      <c r="AP127" s="1245">
        <f t="shared" si="236"/>
        <v>30.812274691966934</v>
      </c>
    </row>
    <row r="128" spans="2:42">
      <c r="B128" s="29" t="s">
        <v>358</v>
      </c>
      <c r="AF128" s="112">
        <f>AF125/AE125*100</f>
        <v>125.2186588921283</v>
      </c>
      <c r="AG128" s="112">
        <f t="shared" ref="AG128:AO128" si="237">AG125/AF125*100</f>
        <v>110.00000000000001</v>
      </c>
      <c r="AH128" s="112">
        <f t="shared" si="237"/>
        <v>109.00000000000001</v>
      </c>
      <c r="AI128" s="112">
        <f t="shared" si="237"/>
        <v>108.89999999999998</v>
      </c>
      <c r="AJ128" s="112">
        <f t="shared" si="237"/>
        <v>109.1</v>
      </c>
      <c r="AK128" s="112">
        <f t="shared" si="237"/>
        <v>109.01</v>
      </c>
      <c r="AL128" s="112">
        <f t="shared" si="237"/>
        <v>109.2</v>
      </c>
      <c r="AM128" s="112">
        <f t="shared" si="237"/>
        <v>109.10000000000002</v>
      </c>
      <c r="AN128" s="112">
        <f t="shared" si="237"/>
        <v>109.00000000000001</v>
      </c>
      <c r="AO128" s="112">
        <f t="shared" si="237"/>
        <v>108.7</v>
      </c>
      <c r="AP128" s="112">
        <f>AP125/AO125*100</f>
        <v>108.5</v>
      </c>
    </row>
    <row r="129" spans="2:42">
      <c r="AF129" s="1224">
        <f>AF124-AE124</f>
        <v>518.19999999999982</v>
      </c>
      <c r="AG129" s="1224">
        <f>AG124-AF124</f>
        <v>557.57000000000062</v>
      </c>
      <c r="AH129" s="1224">
        <f>AH124-AG124</f>
        <v>551.99430000000029</v>
      </c>
      <c r="AI129" s="1224">
        <f>AI124-AH124</f>
        <v>594.98852269999952</v>
      </c>
      <c r="AJ129" s="1224">
        <f>AJ124-AI124</f>
        <v>662.50300686569972</v>
      </c>
      <c r="AK129" s="1224">
        <f t="shared" ref="AK129:AP129" si="238">AK124-AJ124</f>
        <v>715.64230024386961</v>
      </c>
      <c r="AL129" s="1224">
        <f t="shared" si="238"/>
        <v>796.57262794248163</v>
      </c>
      <c r="AM129" s="1224">
        <f t="shared" si="238"/>
        <v>860.40233895543679</v>
      </c>
      <c r="AN129" s="1224">
        <f t="shared" si="238"/>
        <v>928.38357870367508</v>
      </c>
      <c r="AO129" s="1224">
        <f t="shared" si="238"/>
        <v>978.20683076077148</v>
      </c>
      <c r="AP129" s="1224">
        <f t="shared" si="238"/>
        <v>1038.8668980246148</v>
      </c>
    </row>
    <row r="130" spans="2:42">
      <c r="V130" s="1248"/>
      <c r="W130" s="1248"/>
      <c r="X130" s="1248"/>
      <c r="Y130" s="1248"/>
      <c r="Z130" s="1248"/>
      <c r="AA130" s="1248"/>
      <c r="AB130" s="1248"/>
      <c r="AC130" s="1248"/>
      <c r="AD130" s="1248"/>
      <c r="AE130" s="1248"/>
      <c r="AF130" s="1248"/>
      <c r="AG130" s="1248"/>
      <c r="AH130" s="1248"/>
      <c r="AI130" s="1248"/>
      <c r="AJ130" s="1248"/>
      <c r="AK130" s="1248"/>
      <c r="AL130" s="1248"/>
      <c r="AM130" s="1248"/>
      <c r="AN130" s="1248"/>
      <c r="AO130" s="1248"/>
      <c r="AP130" s="1248"/>
    </row>
    <row r="131" spans="2:42">
      <c r="V131">
        <v>2015</v>
      </c>
      <c r="W131">
        <v>2016</v>
      </c>
      <c r="X131">
        <v>2017</v>
      </c>
      <c r="Y131">
        <v>2018</v>
      </c>
      <c r="Z131">
        <v>2019</v>
      </c>
      <c r="AA131">
        <v>2020</v>
      </c>
      <c r="AB131">
        <v>2021</v>
      </c>
      <c r="AC131">
        <v>2022</v>
      </c>
      <c r="AD131">
        <v>2023</v>
      </c>
      <c r="AE131">
        <v>2024</v>
      </c>
      <c r="AF131" s="112">
        <v>2025</v>
      </c>
      <c r="AG131" s="112">
        <v>2026</v>
      </c>
      <c r="AH131" s="112">
        <v>2027</v>
      </c>
      <c r="AI131" s="112">
        <v>2028</v>
      </c>
      <c r="AJ131" s="112">
        <v>2029</v>
      </c>
      <c r="AK131" s="112">
        <v>2030</v>
      </c>
      <c r="AL131" s="112">
        <v>2031</v>
      </c>
      <c r="AM131" s="112">
        <v>2032</v>
      </c>
      <c r="AN131" s="112">
        <v>2033</v>
      </c>
      <c r="AO131" s="112">
        <v>2034</v>
      </c>
      <c r="AP131" s="112">
        <v>2035</v>
      </c>
    </row>
    <row r="132" spans="2:42">
      <c r="C132" s="29" t="s">
        <v>358</v>
      </c>
      <c r="V132" s="149">
        <v>21577.8</v>
      </c>
      <c r="W132" s="149">
        <v>22907.671731113471</v>
      </c>
      <c r="X132" s="149">
        <v>24576</v>
      </c>
      <c r="Y132" s="149">
        <v>26370.300000000003</v>
      </c>
      <c r="Z132" s="149">
        <v>27750.400000000001</v>
      </c>
      <c r="AA132" s="149">
        <v>37298.400000000001</v>
      </c>
      <c r="AB132" s="149">
        <v>39769.4</v>
      </c>
      <c r="AC132" s="149">
        <v>49272.4</v>
      </c>
      <c r="AD132" s="149">
        <v>63028.399999999994</v>
      </c>
      <c r="AE132" s="149">
        <v>73981.3</v>
      </c>
      <c r="AF132" s="447">
        <v>84653.8</v>
      </c>
      <c r="AG132" s="113">
        <v>95155.365375931302</v>
      </c>
      <c r="AH132" s="113">
        <v>104590.87335141438</v>
      </c>
      <c r="AI132" s="115">
        <v>112564.26413936703</v>
      </c>
      <c r="AJ132" s="113">
        <v>119923.4024022278</v>
      </c>
      <c r="AK132" s="113">
        <v>126970.25723783868</v>
      </c>
      <c r="AL132" s="113">
        <v>134077.56430934084</v>
      </c>
      <c r="AM132" s="113">
        <v>141896.95018466059</v>
      </c>
      <c r="AN132" s="113">
        <v>149720.34783613909</v>
      </c>
      <c r="AO132" s="113">
        <v>157878.02031431071</v>
      </c>
      <c r="AP132" s="113">
        <v>166096.85209673436</v>
      </c>
    </row>
    <row r="133" spans="2:42">
      <c r="W133">
        <f>W132-V132</f>
        <v>1329.8717311134715</v>
      </c>
      <c r="X133">
        <f t="shared" ref="X133:AP133" si="239">X132-W132</f>
        <v>1668.3282688865293</v>
      </c>
      <c r="Y133">
        <f t="shared" si="239"/>
        <v>1794.3000000000029</v>
      </c>
      <c r="Z133">
        <f t="shared" si="239"/>
        <v>1380.0999999999985</v>
      </c>
      <c r="AA133">
        <f t="shared" si="239"/>
        <v>9548</v>
      </c>
      <c r="AB133">
        <f t="shared" si="239"/>
        <v>2471</v>
      </c>
      <c r="AC133">
        <f t="shared" si="239"/>
        <v>9503</v>
      </c>
      <c r="AD133">
        <f t="shared" si="239"/>
        <v>13755.999999999993</v>
      </c>
      <c r="AE133">
        <f t="shared" si="239"/>
        <v>10952.900000000009</v>
      </c>
      <c r="AF133">
        <f>AF132-AE132</f>
        <v>10672.5</v>
      </c>
      <c r="AG133">
        <f>AG132-AF132</f>
        <v>10501.565375931299</v>
      </c>
      <c r="AH133">
        <f>AH132-AG132</f>
        <v>9435.5079754830804</v>
      </c>
      <c r="AI133" s="94">
        <f>AI132-AH132</f>
        <v>7973.3907879526523</v>
      </c>
      <c r="AJ133">
        <f t="shared" si="239"/>
        <v>7359.138262860768</v>
      </c>
      <c r="AK133">
        <f t="shared" si="239"/>
        <v>7046.8548356108804</v>
      </c>
      <c r="AL133">
        <f t="shared" si="239"/>
        <v>7107.3070715021604</v>
      </c>
      <c r="AM133">
        <f>AM132-AL132</f>
        <v>7819.3858753197419</v>
      </c>
      <c r="AN133">
        <f>AN132-AM132</f>
        <v>7823.3976514785027</v>
      </c>
      <c r="AO133">
        <f t="shared" si="239"/>
        <v>8157.6724781716184</v>
      </c>
      <c r="AP133">
        <f t="shared" si="239"/>
        <v>8218.8317824236583</v>
      </c>
    </row>
    <row r="134" spans="2:42">
      <c r="AG134" s="1224">
        <v>95155.52277569969</v>
      </c>
      <c r="AH134" s="1224">
        <v>104590.96592645653</v>
      </c>
      <c r="AI134" s="1224">
        <v>112564.17751590308</v>
      </c>
      <c r="AJ134" s="1224">
        <v>119923.43219871607</v>
      </c>
      <c r="AK134" s="112">
        <v>124106.07463231542</v>
      </c>
      <c r="AL134" s="112">
        <v>132684.83783584111</v>
      </c>
      <c r="AM134" s="112">
        <v>139727.35815000001</v>
      </c>
    </row>
    <row r="135" spans="2:42">
      <c r="AG135" s="112">
        <f>AG134-AF132</f>
        <v>10501.722775699687</v>
      </c>
      <c r="AH135" s="112">
        <f>AH134-AG134</f>
        <v>9435.443150756837</v>
      </c>
      <c r="AI135" s="112">
        <f>AI134-AH134</f>
        <v>7973.2115894465533</v>
      </c>
      <c r="AJ135" s="112">
        <f t="shared" ref="AJ135:AL135" si="240">AJ134-AI134</f>
        <v>7359.2546828129853</v>
      </c>
      <c r="AK135" s="112">
        <f>AK134-AJ134</f>
        <v>4182.6424335993506</v>
      </c>
      <c r="AL135" s="112">
        <f t="shared" si="240"/>
        <v>8578.7632035256975</v>
      </c>
      <c r="AM135" s="112">
        <f>AM134-AL134</f>
        <v>7042.5203141589009</v>
      </c>
    </row>
    <row r="136" spans="2:42">
      <c r="AG136" s="1261">
        <v>108.92005312217709</v>
      </c>
    </row>
    <row r="138" spans="2:42" ht="54">
      <c r="B138" s="1241" t="s">
        <v>1128</v>
      </c>
      <c r="C138" s="594" t="s">
        <v>1121</v>
      </c>
      <c r="AG138" s="112">
        <v>92638.187429999991</v>
      </c>
      <c r="AH138" s="112">
        <v>99901.18811399996</v>
      </c>
      <c r="AI138" s="112">
        <v>108894.15635699994</v>
      </c>
      <c r="AJ138" s="112">
        <v>116103.672978</v>
      </c>
      <c r="AK138" s="112">
        <v>122822.09373599994</v>
      </c>
    </row>
    <row r="139" spans="2:42">
      <c r="AG139" s="112">
        <v>108.43721175478414</v>
      </c>
      <c r="AH139" s="112">
        <v>108.4911268048179</v>
      </c>
      <c r="AI139" s="112">
        <v>108.2463039521712</v>
      </c>
      <c r="AJ139" s="112">
        <v>108.68569253744995</v>
      </c>
      <c r="AK139" s="112">
        <v>108.49904655009402</v>
      </c>
    </row>
    <row r="142" spans="2:42">
      <c r="B142" s="1264" t="s">
        <v>1195</v>
      </c>
      <c r="C142" s="1265"/>
      <c r="AG142" s="46">
        <f>AF2*AG3/100</f>
        <v>92204.810955014225</v>
      </c>
      <c r="AH142" s="46">
        <f>AG2*AH3/100</f>
        <v>103351.12521377591</v>
      </c>
      <c r="AI142" s="46">
        <f>AH2*AI3/100</f>
        <v>113243.81370294372</v>
      </c>
      <c r="AJ142" s="46">
        <f>AI2*AJ3/100</f>
        <v>124069.89989363395</v>
      </c>
      <c r="AK142" s="46">
        <f t="shared" ref="AK142:AP142" si="241">AJ2*AK3/100</f>
        <v>135862.7599743905</v>
      </c>
      <c r="AL142" s="46">
        <f t="shared" si="241"/>
        <v>147358.95244069156</v>
      </c>
      <c r="AM142" s="46">
        <f t="shared" si="241"/>
        <v>159270.68801600664</v>
      </c>
      <c r="AN142" s="46">
        <f t="shared" si="241"/>
        <v>171157.39321478049</v>
      </c>
      <c r="AO142" s="46">
        <f t="shared" si="241"/>
        <v>184062.45726203508</v>
      </c>
      <c r="AP142" s="46">
        <f t="shared" si="241"/>
        <v>198403.91115633136</v>
      </c>
    </row>
    <row r="143" spans="2:42">
      <c r="AG143" s="46">
        <f>AG142/AF2*100</f>
        <v>108.91987241566736</v>
      </c>
      <c r="AH143" s="46">
        <f>AH142/AG2*100</f>
        <v>108.61303019155473</v>
      </c>
      <c r="AI143" s="46">
        <f t="shared" ref="AI143:AP143" si="242">AI142/AH2*100</f>
        <v>108.27264962165614</v>
      </c>
      <c r="AJ143" s="46">
        <f t="shared" si="242"/>
        <v>108.15397849978115</v>
      </c>
      <c r="AK143" s="46">
        <f t="shared" si="242"/>
        <v>108.3135637717354</v>
      </c>
      <c r="AL143" s="46">
        <f t="shared" si="242"/>
        <v>107.60081494935517</v>
      </c>
      <c r="AM143" s="46">
        <f t="shared" si="242"/>
        <v>107.54575403019619</v>
      </c>
      <c r="AN143" s="46">
        <f t="shared" si="242"/>
        <v>107.24871212600699</v>
      </c>
      <c r="AO143" s="46">
        <f t="shared" si="242"/>
        <v>107.00485687696262</v>
      </c>
      <c r="AP143" s="46">
        <f t="shared" si="242"/>
        <v>107.25534688487757</v>
      </c>
    </row>
    <row r="144" spans="2:42">
      <c r="AG144" s="113">
        <f t="shared" ref="AG144:AM144" si="243">AF2*AG147/100</f>
        <v>87362.721600000004</v>
      </c>
      <c r="AH144" s="113">
        <f>AG2*AH147/100</f>
        <v>96297.229284441608</v>
      </c>
      <c r="AI144" s="113">
        <f t="shared" si="243"/>
        <v>105951.02611965366</v>
      </c>
      <c r="AJ144" s="113">
        <f>AI2*AJ147/100</f>
        <v>115977.85909717386</v>
      </c>
      <c r="AK144" s="113">
        <f>AJ2*AK147/100</f>
        <v>126438.14614280364</v>
      </c>
      <c r="AL144" s="113">
        <f t="shared" si="243"/>
        <v>137634.41036445656</v>
      </c>
      <c r="AM144" s="113">
        <f t="shared" si="243"/>
        <v>148391.93869730082</v>
      </c>
      <c r="AN144" s="113">
        <f t="shared" ref="AN144:AP144" si="244">AM2*AN147/100</f>
        <v>160387.17553899885</v>
      </c>
      <c r="AO144" s="113">
        <f t="shared" si="244"/>
        <v>172873.24608175867</v>
      </c>
      <c r="AP144" s="113">
        <f t="shared" si="244"/>
        <v>185907.68339608694</v>
      </c>
    </row>
    <row r="145" spans="2:42">
      <c r="AG145" s="1275">
        <v>95155.52277569969</v>
      </c>
      <c r="AH145" s="1275">
        <v>104590.94126014337</v>
      </c>
      <c r="AI145" s="1275">
        <v>114715.89696322662</v>
      </c>
      <c r="AJ145" s="1275">
        <v>125434.67095797873</v>
      </c>
      <c r="AK145" s="1275">
        <v>136949.71791683685</v>
      </c>
      <c r="AL145" s="1275">
        <v>148095.67380055485</v>
      </c>
      <c r="AM145" s="1275">
        <v>159589.20859736355</v>
      </c>
      <c r="AN145" s="1275">
        <v>170823.34369081585</v>
      </c>
      <c r="AO145" s="1275">
        <v>182191.57371254268</v>
      </c>
      <c r="AP145" s="1275">
        <v>196243.27344542911</v>
      </c>
    </row>
    <row r="146" spans="2:42">
      <c r="AG146" s="1275">
        <v>108.92005312217709</v>
      </c>
      <c r="AH146" s="1275">
        <v>108.61243725612799</v>
      </c>
      <c r="AI146" s="1275">
        <v>108.27297959883063</v>
      </c>
      <c r="AJ146" s="1275">
        <v>108.15406174730882</v>
      </c>
      <c r="AK146" s="1275">
        <v>108.31360608360197</v>
      </c>
      <c r="AL146" s="1275">
        <v>107.60071772694072</v>
      </c>
      <c r="AM146" s="1275">
        <v>107.54579332096677</v>
      </c>
      <c r="AN146" s="1275">
        <v>106.5068733676755</v>
      </c>
      <c r="AO146" s="1275">
        <v>106.12434112096469</v>
      </c>
      <c r="AP146" s="1275">
        <v>107.17671227746135</v>
      </c>
    </row>
    <row r="147" spans="2:42">
      <c r="AG147" s="112">
        <v>103.2</v>
      </c>
      <c r="AH147" s="112">
        <v>101.2</v>
      </c>
      <c r="AI147" s="112">
        <v>101.3</v>
      </c>
      <c r="AJ147" s="112">
        <v>101.1</v>
      </c>
      <c r="AK147" s="112">
        <v>100.8</v>
      </c>
      <c r="AL147" s="112">
        <v>100.5</v>
      </c>
      <c r="AM147" s="112">
        <v>100.2</v>
      </c>
      <c r="AN147" s="112">
        <v>100.5</v>
      </c>
      <c r="AO147" s="112">
        <v>100.5</v>
      </c>
      <c r="AP147" s="112">
        <v>100.5</v>
      </c>
    </row>
    <row r="148" spans="2:42">
      <c r="AG148" s="1279">
        <v>95155.52277569969</v>
      </c>
      <c r="AH148" s="1279">
        <v>104590.94126014337</v>
      </c>
      <c r="AI148" s="1279">
        <v>114715.96230121949</v>
      </c>
      <c r="AJ148" s="1279">
        <v>125434.67132020225</v>
      </c>
      <c r="AK148" s="1279">
        <v>136949.67502344112</v>
      </c>
      <c r="AL148" s="1279">
        <v>148095.62605656072</v>
      </c>
      <c r="AM148" s="1279">
        <v>159589.14839137101</v>
      </c>
      <c r="AN148" s="1279">
        <v>170877.93495224218</v>
      </c>
      <c r="AO148" s="1279">
        <v>182296.21090547997</v>
      </c>
      <c r="AP148" s="1279">
        <v>196399.20895641105</v>
      </c>
    </row>
    <row r="149" spans="2:42">
      <c r="B149" s="1278" t="s">
        <v>1204</v>
      </c>
      <c r="AH149" s="112">
        <v>51040.391372110782</v>
      </c>
      <c r="AI149" s="112">
        <v>64274.188561618714</v>
      </c>
      <c r="AJ149" s="112">
        <v>67157.092636507718</v>
      </c>
      <c r="AK149" s="112">
        <v>77693.106618130754</v>
      </c>
      <c r="AL149" s="112">
        <v>87150.420267207126</v>
      </c>
      <c r="AM149" s="112">
        <v>105145.6667373909</v>
      </c>
    </row>
    <row r="150" spans="2:42">
      <c r="AH150" s="114">
        <f t="shared" ref="AH150:AM150" si="245">AH2-AH149</f>
        <v>53550.947344230444</v>
      </c>
      <c r="AI150" s="114">
        <f t="shared" si="245"/>
        <v>50441.794719463265</v>
      </c>
      <c r="AJ150" s="114">
        <f t="shared" si="245"/>
        <v>58277.576155956209</v>
      </c>
      <c r="AK150" s="114">
        <f t="shared" si="245"/>
        <v>59256.555436054885</v>
      </c>
      <c r="AL150" s="114">
        <f t="shared" si="245"/>
        <v>60945.326935687903</v>
      </c>
      <c r="AM150" s="114">
        <f t="shared" si="245"/>
        <v>54443.562654647758</v>
      </c>
    </row>
    <row r="151" spans="2:42">
      <c r="AH151" s="112">
        <f t="shared" ref="AH151:AM151" si="246">AH150/AH2*100</f>
        <v>51.200173935495975</v>
      </c>
      <c r="AI151" s="112">
        <f t="shared" si="246"/>
        <v>43.971025899563301</v>
      </c>
      <c r="AJ151" s="112">
        <f t="shared" si="246"/>
        <v>46.460501484145908</v>
      </c>
      <c r="AK151" s="112">
        <f t="shared" si="246"/>
        <v>43.268858460278189</v>
      </c>
      <c r="AL151" s="112">
        <f t="shared" si="246"/>
        <v>41.152651637046148</v>
      </c>
      <c r="AM151" s="112">
        <f t="shared" si="246"/>
        <v>34.114810167360673</v>
      </c>
    </row>
    <row r="153" spans="2:42">
      <c r="B153" s="1264" t="s">
        <v>1205</v>
      </c>
      <c r="AG153" s="46">
        <f>AF5*AG6/100</f>
        <v>60695.91502819593</v>
      </c>
      <c r="AH153" s="46">
        <f t="shared" ref="AH153:AP153" si="247">AG5*AH6/100</f>
        <v>65525.533264780752</v>
      </c>
      <c r="AI153" s="46">
        <f t="shared" si="247"/>
        <v>72412.013477868808</v>
      </c>
      <c r="AJ153" s="46">
        <f t="shared" si="247"/>
        <v>78008.26457662505</v>
      </c>
      <c r="AK153" s="46">
        <f t="shared" si="247"/>
        <v>84635.144061691506</v>
      </c>
      <c r="AL153" s="46">
        <f t="shared" si="247"/>
        <v>89943.45431091146</v>
      </c>
      <c r="AM153" s="46">
        <f t="shared" si="247"/>
        <v>95466.20372920674</v>
      </c>
      <c r="AN153" s="46">
        <f t="shared" si="247"/>
        <v>100484.3003542432</v>
      </c>
      <c r="AO153" s="46">
        <f t="shared" si="247"/>
        <v>105289.09427430443</v>
      </c>
      <c r="AP153" s="46">
        <f t="shared" si="247"/>
        <v>106867.72156365629</v>
      </c>
    </row>
    <row r="154" spans="2:42">
      <c r="B154" s="1264"/>
      <c r="AG154" s="46">
        <f>AG153/AF5*100</f>
        <v>107.25933948574951</v>
      </c>
      <c r="AH154" s="46">
        <f t="shared" ref="AH154:AP154" si="248">AH153/AG5*100</f>
        <v>106.99412581783922</v>
      </c>
      <c r="AI154" s="46">
        <f t="shared" si="248"/>
        <v>108.34275821834399</v>
      </c>
      <c r="AJ154" s="46">
        <f t="shared" si="248"/>
        <v>107.51331957024452</v>
      </c>
      <c r="AK154" s="46">
        <f t="shared" si="248"/>
        <v>107.42089032886651</v>
      </c>
      <c r="AL154" s="46">
        <f t="shared" si="248"/>
        <v>105.74327654417797</v>
      </c>
      <c r="AM154" s="46">
        <f t="shared" si="248"/>
        <v>105.61218514399904</v>
      </c>
      <c r="AN154" s="46">
        <f t="shared" si="248"/>
        <v>104.94158685842076</v>
      </c>
      <c r="AO154" s="46">
        <f t="shared" si="248"/>
        <v>104.4682317426262</v>
      </c>
      <c r="AP154" s="46">
        <f t="shared" si="248"/>
        <v>101.29673303136077</v>
      </c>
    </row>
    <row r="155" spans="2:42">
      <c r="B155" s="1264" t="s">
        <v>1206</v>
      </c>
      <c r="AG155" s="46">
        <f>AF8*AG9/100</f>
        <v>30145.054793000003</v>
      </c>
      <c r="AH155" s="46">
        <f t="shared" ref="AH155:AP155" si="249">AG8*AH9/100</f>
        <v>35957.42360596652</v>
      </c>
      <c r="AI155" s="46">
        <f t="shared" si="249"/>
        <v>39217.810024425526</v>
      </c>
      <c r="AJ155" s="46">
        <f t="shared" si="249"/>
        <v>43408.078885234136</v>
      </c>
      <c r="AK155" s="46">
        <f t="shared" si="249"/>
        <v>48724.265044305808</v>
      </c>
      <c r="AL155" s="46">
        <f t="shared" si="249"/>
        <v>54436.39209474434</v>
      </c>
      <c r="AM155" s="46">
        <f t="shared" si="249"/>
        <v>60796.787668232668</v>
      </c>
      <c r="AN155" s="46">
        <f t="shared" si="249"/>
        <v>67965.102028195106</v>
      </c>
      <c r="AO155" s="46">
        <f t="shared" si="249"/>
        <v>75842.649890736808</v>
      </c>
      <c r="AP155" s="46">
        <f t="shared" si="249"/>
        <v>85435.031435757992</v>
      </c>
    </row>
    <row r="156" spans="2:42">
      <c r="B156" s="1264"/>
      <c r="AG156" s="46">
        <f>AG155/AF8*100</f>
        <v>107.40850000000002</v>
      </c>
      <c r="AH156" s="46">
        <f t="shared" ref="AH156:AP156" si="250">AH155/AG8*100</f>
        <v>106.62200000000001</v>
      </c>
      <c r="AI156" s="46">
        <f t="shared" si="250"/>
        <v>104.4435</v>
      </c>
      <c r="AJ156" s="46">
        <f t="shared" si="250"/>
        <v>103.5132</v>
      </c>
      <c r="AK156" s="46">
        <f t="shared" si="250"/>
        <v>105.00560000000002</v>
      </c>
      <c r="AL156" s="46">
        <f t="shared" si="250"/>
        <v>105.44670000000001</v>
      </c>
      <c r="AM156" s="46">
        <f t="shared" si="250"/>
        <v>105.89699999999999</v>
      </c>
      <c r="AN156" s="46">
        <f t="shared" si="250"/>
        <v>106.99999999999999</v>
      </c>
      <c r="AO156" s="46">
        <f t="shared" si="250"/>
        <v>107</v>
      </c>
      <c r="AP156" s="46">
        <f t="shared" si="250"/>
        <v>108</v>
      </c>
    </row>
    <row r="157" spans="2:42">
      <c r="B157" s="1264" t="s">
        <v>779</v>
      </c>
      <c r="AG157" s="46">
        <f>AF125*AG128/100</f>
        <v>188.98000000000005</v>
      </c>
      <c r="AH157" s="46">
        <f t="shared" ref="AH157:AP157" si="251">AG125*AH128/100</f>
        <v>205.98820000000006</v>
      </c>
      <c r="AI157" s="46">
        <f t="shared" si="251"/>
        <v>224.32114980000003</v>
      </c>
      <c r="AJ157" s="46">
        <f t="shared" si="251"/>
        <v>244.73437443180003</v>
      </c>
      <c r="AK157" s="46">
        <f t="shared" si="251"/>
        <v>266.78494156810524</v>
      </c>
      <c r="AL157" s="46">
        <f t="shared" si="251"/>
        <v>291.32915619237093</v>
      </c>
      <c r="AM157" s="46">
        <f t="shared" si="251"/>
        <v>317.84010940587677</v>
      </c>
      <c r="AN157" s="46">
        <f t="shared" si="251"/>
        <v>346.44571925240569</v>
      </c>
      <c r="AO157" s="46">
        <f t="shared" si="251"/>
        <v>376.58649682736495</v>
      </c>
      <c r="AP157" s="46">
        <f t="shared" si="251"/>
        <v>408.59634905769099</v>
      </c>
    </row>
    <row r="158" spans="2:42">
      <c r="AG158" s="46">
        <f>AG157/AF125*100</f>
        <v>110.00000000000001</v>
      </c>
      <c r="AH158" s="46">
        <f t="shared" ref="AH158:AP158" si="252">AH157/AG125*100</f>
        <v>109.00000000000001</v>
      </c>
      <c r="AI158" s="46">
        <f t="shared" si="252"/>
        <v>108.89999999999998</v>
      </c>
      <c r="AJ158" s="46">
        <f t="shared" si="252"/>
        <v>109.1</v>
      </c>
      <c r="AK158" s="46">
        <f t="shared" si="252"/>
        <v>109.01</v>
      </c>
      <c r="AL158" s="46">
        <f t="shared" si="252"/>
        <v>109.2</v>
      </c>
      <c r="AM158" s="46">
        <f t="shared" si="252"/>
        <v>109.10000000000004</v>
      </c>
      <c r="AN158" s="46">
        <f t="shared" si="252"/>
        <v>109.00000000000003</v>
      </c>
      <c r="AO158" s="46">
        <f t="shared" si="252"/>
        <v>108.7</v>
      </c>
      <c r="AP158" s="46">
        <f t="shared" si="252"/>
        <v>108.5</v>
      </c>
    </row>
  </sheetData>
  <mergeCells count="23">
    <mergeCell ref="B54:B58"/>
    <mergeCell ref="B25:B30"/>
    <mergeCell ref="B33:B36"/>
    <mergeCell ref="B38:B42"/>
    <mergeCell ref="B44:B47"/>
    <mergeCell ref="B48:B52"/>
    <mergeCell ref="B106:B109"/>
    <mergeCell ref="B60:B63"/>
    <mergeCell ref="B64:B68"/>
    <mergeCell ref="B70:B74"/>
    <mergeCell ref="B76:B80"/>
    <mergeCell ref="B83:B84"/>
    <mergeCell ref="B86:B88"/>
    <mergeCell ref="B90:B92"/>
    <mergeCell ref="B94:B96"/>
    <mergeCell ref="B97:B99"/>
    <mergeCell ref="B100:B102"/>
    <mergeCell ref="B103:B105"/>
    <mergeCell ref="B110:B113"/>
    <mergeCell ref="B114:B117"/>
    <mergeCell ref="B118:B119"/>
    <mergeCell ref="B120:B123"/>
    <mergeCell ref="B124:B12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735A-632B-459A-B2ED-565D8A458B05}">
  <dimension ref="A1:BE262"/>
  <sheetViews>
    <sheetView zoomScale="80" zoomScaleNormal="80" workbookViewId="0">
      <pane xSplit="3" ySplit="18" topLeftCell="U19" activePane="bottomRight" state="frozen"/>
      <selection pane="topRight" activeCell="D1" sqref="D1"/>
      <selection pane="bottomLeft" activeCell="A19" sqref="A19"/>
      <selection pane="bottomRight" activeCell="AN20" sqref="AN20:AP20"/>
    </sheetView>
  </sheetViews>
  <sheetFormatPr defaultRowHeight="15"/>
  <cols>
    <col min="1" max="1" width="5.85546875" customWidth="1"/>
    <col min="2" max="2" width="7.28515625" style="5" customWidth="1"/>
    <col min="3" max="3" width="37.5703125" style="13" customWidth="1"/>
    <col min="4" max="20" width="11" style="13" customWidth="1"/>
    <col min="21" max="21" width="10.42578125" style="13" customWidth="1"/>
    <col min="23" max="24" width="9.5703125" bestFit="1" customWidth="1"/>
    <col min="25" max="33" width="9.28515625" bestFit="1" customWidth="1"/>
    <col min="34" max="36" width="10.28515625" bestFit="1" customWidth="1"/>
    <col min="46" max="46" width="9.140625" style="116"/>
  </cols>
  <sheetData>
    <row r="1" spans="2:57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  <c r="AU1">
        <v>2015</v>
      </c>
      <c r="AV1">
        <v>2016</v>
      </c>
      <c r="AW1">
        <v>2017</v>
      </c>
      <c r="AX1">
        <v>2018</v>
      </c>
      <c r="AY1">
        <v>2019</v>
      </c>
      <c r="AZ1">
        <v>2020</v>
      </c>
      <c r="BA1">
        <v>2021</v>
      </c>
      <c r="BB1">
        <v>2022</v>
      </c>
      <c r="BC1">
        <v>2023</v>
      </c>
      <c r="BD1">
        <v>2024</v>
      </c>
      <c r="BE1">
        <v>2025</v>
      </c>
    </row>
    <row r="2" spans="2:57">
      <c r="B2" s="3"/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>
        <f>W4-V4</f>
        <v>2894</v>
      </c>
      <c r="X2" s="4">
        <f t="shared" ref="X2:AD2" si="0">X4-W4</f>
        <v>4938.5119999999988</v>
      </c>
      <c r="Y2" s="4">
        <f t="shared" si="0"/>
        <v>3865.3880000000026</v>
      </c>
      <c r="Z2" s="4">
        <f t="shared" si="0"/>
        <v>3719.3999999999978</v>
      </c>
      <c r="AA2" s="4">
        <f t="shared" si="0"/>
        <v>3276.7000000000007</v>
      </c>
      <c r="AB2" s="4">
        <f t="shared" si="0"/>
        <v>7939</v>
      </c>
      <c r="AC2" s="4">
        <f t="shared" si="0"/>
        <v>3392.4000000000015</v>
      </c>
      <c r="AD2" s="4">
        <f t="shared" si="0"/>
        <v>4594.5999999999985</v>
      </c>
      <c r="AE2" s="4">
        <f t="shared" ref="AE2:AI2" si="1">AE4-AD4</f>
        <v>7002.9999999999927</v>
      </c>
      <c r="AF2" s="4">
        <f t="shared" si="1"/>
        <v>12907.100000000013</v>
      </c>
      <c r="AG2" s="4">
        <f>AG4-AF4</f>
        <v>16764.932306140938</v>
      </c>
      <c r="AH2" s="4">
        <f>AH4-AG4</f>
        <v>21394.617152180872</v>
      </c>
      <c r="AI2" s="4">
        <f t="shared" si="1"/>
        <v>26719.884013694667</v>
      </c>
      <c r="AJ2" s="4">
        <f>AJ4-AI4</f>
        <v>33197.627423849626</v>
      </c>
      <c r="AK2" s="4">
        <f>AK4-AJ4</f>
        <v>3064.6137100645574</v>
      </c>
      <c r="AL2" s="4">
        <f t="shared" ref="AL2:AP2" si="2">AL4-AK4</f>
        <v>4013.479960484925</v>
      </c>
      <c r="AM2" s="4">
        <f t="shared" si="2"/>
        <v>881.59547356411349</v>
      </c>
      <c r="AN2" s="4">
        <f>AN4-AM4</f>
        <v>23728.284839427564</v>
      </c>
      <c r="AO2" s="4">
        <f t="shared" si="2"/>
        <v>20181.939328645269</v>
      </c>
      <c r="AP2" s="4">
        <f t="shared" si="2"/>
        <v>24547.362224404438</v>
      </c>
      <c r="AU2" s="4"/>
      <c r="AV2" s="4">
        <f t="shared" ref="AV2" si="3">AV4-AU4</f>
        <v>2894</v>
      </c>
      <c r="AW2" s="4">
        <f t="shared" ref="AW2" si="4">AW4-AV4</f>
        <v>4939</v>
      </c>
      <c r="AX2" s="4">
        <f t="shared" ref="AX2" si="5">AX4-AW4</f>
        <v>3865</v>
      </c>
      <c r="AY2" s="4">
        <f t="shared" ref="AY2" si="6">AY4-AX4</f>
        <v>3719</v>
      </c>
      <c r="AZ2" s="4">
        <f t="shared" ref="AZ2" si="7">AZ4-AY4</f>
        <v>3277</v>
      </c>
      <c r="BA2" s="4">
        <f t="shared" ref="BA2" si="8">BA4-AZ4</f>
        <v>7939</v>
      </c>
      <c r="BB2" s="4">
        <f t="shared" ref="BB2" si="9">BB4-BA4</f>
        <v>4196</v>
      </c>
      <c r="BC2" s="4">
        <f t="shared" ref="BC2" si="10">BC4-BB4</f>
        <v>3832</v>
      </c>
      <c r="BD2" s="4">
        <f t="shared" ref="BD2" si="11">BD4-BC4</f>
        <v>7016</v>
      </c>
      <c r="BE2" s="4">
        <f>BE4-BD4</f>
        <v>12853.100000000006</v>
      </c>
    </row>
    <row r="3" spans="2:57">
      <c r="C3" s="6" t="s">
        <v>1208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AF3">
        <v>66726.100000000006</v>
      </c>
      <c r="AG3" s="702">
        <v>83491.04389125407</v>
      </c>
      <c r="AH3" s="1284">
        <v>104885.56116348723</v>
      </c>
      <c r="AI3" s="702">
        <v>131605.45195372013</v>
      </c>
      <c r="AJ3" s="702">
        <v>164803.22503665028</v>
      </c>
      <c r="AK3" s="702">
        <v>167867.77460593067</v>
      </c>
      <c r="AL3" s="702">
        <v>171881.25456641559</v>
      </c>
      <c r="AM3" s="702">
        <v>172762.8500399797</v>
      </c>
      <c r="AN3" s="702">
        <v>227714.42939213972</v>
      </c>
      <c r="AO3" s="702">
        <v>257348.47147871458</v>
      </c>
      <c r="AP3" s="702">
        <v>287067.00653774949</v>
      </c>
    </row>
    <row r="4" spans="2:57">
      <c r="B4" s="7" t="s">
        <v>4</v>
      </c>
      <c r="C4" s="8" t="s">
        <v>5</v>
      </c>
      <c r="D4" s="8"/>
      <c r="E4" s="8"/>
      <c r="F4" s="8"/>
      <c r="G4" s="8"/>
      <c r="H4" s="8"/>
      <c r="I4" s="5">
        <v>2418</v>
      </c>
      <c r="J4" s="5">
        <v>3205</v>
      </c>
      <c r="K4" s="5">
        <v>3952</v>
      </c>
      <c r="L4" s="5">
        <v>4278</v>
      </c>
      <c r="M4" s="5">
        <v>4663</v>
      </c>
      <c r="N4" s="5">
        <v>5571</v>
      </c>
      <c r="O4" s="5">
        <v>6106</v>
      </c>
      <c r="P4" s="5">
        <v>6501</v>
      </c>
      <c r="Q4" s="910">
        <v>6164.7000000000007</v>
      </c>
      <c r="R4" s="910">
        <v>7862</v>
      </c>
      <c r="S4" s="910">
        <v>9504</v>
      </c>
      <c r="T4" s="910">
        <v>9952</v>
      </c>
      <c r="U4" s="912">
        <v>10534.656999999999</v>
      </c>
      <c r="V4">
        <f t="shared" ref="V4:AD4" si="12">V5+V8+V15</f>
        <v>12196</v>
      </c>
      <c r="W4">
        <f t="shared" si="12"/>
        <v>15090</v>
      </c>
      <c r="X4">
        <f t="shared" si="12"/>
        <v>20028.511999999999</v>
      </c>
      <c r="Y4">
        <f t="shared" si="12"/>
        <v>23893.9</v>
      </c>
      <c r="Z4">
        <f t="shared" si="12"/>
        <v>27613.3</v>
      </c>
      <c r="AA4">
        <f t="shared" si="12"/>
        <v>30890</v>
      </c>
      <c r="AB4">
        <f t="shared" si="12"/>
        <v>38829</v>
      </c>
      <c r="AC4">
        <f t="shared" si="12"/>
        <v>42221.4</v>
      </c>
      <c r="AD4">
        <f t="shared" si="12"/>
        <v>46816</v>
      </c>
      <c r="AE4">
        <f>AE5+AE8+AE15+AE17</f>
        <v>53818.999999999993</v>
      </c>
      <c r="AF4">
        <f>AF5+AF8+AF15+AF17</f>
        <v>66726.100000000006</v>
      </c>
      <c r="AG4">
        <f t="shared" ref="AG4:AP4" si="13">AG5+AG8+AG15+AG17</f>
        <v>83491.032306140944</v>
      </c>
      <c r="AH4" s="94">
        <f t="shared" si="13"/>
        <v>104885.64945832182</v>
      </c>
      <c r="AI4" s="94">
        <f>AI5+AI8+AI15+AI17</f>
        <v>131605.53347201648</v>
      </c>
      <c r="AJ4" s="94">
        <f>AJ5+AJ8+AJ15+AJ17</f>
        <v>164803.16089586611</v>
      </c>
      <c r="AK4">
        <f>AK5+AK8+AK15+AK17</f>
        <v>167867.77460593067</v>
      </c>
      <c r="AL4">
        <f t="shared" si="13"/>
        <v>171881.25456641559</v>
      </c>
      <c r="AM4">
        <f t="shared" si="13"/>
        <v>172762.8500399797</v>
      </c>
      <c r="AN4">
        <f t="shared" si="13"/>
        <v>196491.13487940727</v>
      </c>
      <c r="AO4">
        <f t="shared" si="13"/>
        <v>216673.07420805254</v>
      </c>
      <c r="AP4">
        <f t="shared" si="13"/>
        <v>241220.43643245698</v>
      </c>
      <c r="AQ4" t="s">
        <v>358</v>
      </c>
      <c r="AU4">
        <v>12196</v>
      </c>
      <c r="AV4">
        <v>15090</v>
      </c>
      <c r="AW4">
        <v>20029</v>
      </c>
      <c r="AX4">
        <v>23894</v>
      </c>
      <c r="AY4">
        <v>27613</v>
      </c>
      <c r="AZ4">
        <v>30890</v>
      </c>
      <c r="BA4">
        <v>38829</v>
      </c>
      <c r="BB4">
        <v>43025</v>
      </c>
      <c r="BC4">
        <v>46857</v>
      </c>
      <c r="BD4">
        <v>53873</v>
      </c>
      <c r="BE4">
        <v>66726.100000000006</v>
      </c>
    </row>
    <row r="5" spans="2:57">
      <c r="B5" s="9" t="s">
        <v>6</v>
      </c>
      <c r="C5" s="10" t="s">
        <v>7</v>
      </c>
      <c r="D5" s="10"/>
      <c r="E5" s="10"/>
      <c r="F5" s="10"/>
      <c r="G5" s="10"/>
      <c r="H5" s="10"/>
      <c r="I5" s="5"/>
      <c r="J5" s="312"/>
      <c r="K5" s="312"/>
      <c r="L5" s="312"/>
      <c r="M5" s="312"/>
      <c r="N5" s="312"/>
      <c r="O5" s="312"/>
      <c r="P5" s="312"/>
      <c r="Q5" s="916">
        <v>755</v>
      </c>
      <c r="R5" s="917">
        <v>975</v>
      </c>
      <c r="S5" s="917">
        <v>1227</v>
      </c>
      <c r="T5" s="917">
        <v>1117</v>
      </c>
      <c r="U5" s="917">
        <v>1402</v>
      </c>
      <c r="V5">
        <f t="shared" ref="V5:AD5" si="14">V6+V7</f>
        <v>1641</v>
      </c>
      <c r="W5">
        <f t="shared" si="14"/>
        <v>3004</v>
      </c>
      <c r="X5">
        <f t="shared" si="14"/>
        <v>4523.5119999999997</v>
      </c>
      <c r="Y5">
        <f t="shared" si="14"/>
        <v>4685.8999999999996</v>
      </c>
      <c r="Z5">
        <f t="shared" si="14"/>
        <v>4853.3</v>
      </c>
      <c r="AA5">
        <f t="shared" si="14"/>
        <v>4309</v>
      </c>
      <c r="AB5">
        <f t="shared" si="14"/>
        <v>8409</v>
      </c>
      <c r="AC5">
        <f t="shared" si="14"/>
        <v>8890.9</v>
      </c>
      <c r="AD5">
        <f t="shared" si="14"/>
        <v>9373</v>
      </c>
      <c r="AE5">
        <f>AE6+AE7</f>
        <v>13363.1</v>
      </c>
      <c r="AF5">
        <f>AF6+AF7</f>
        <v>20000.2</v>
      </c>
      <c r="AG5">
        <f>AG6+AG7+3705.63312143906</f>
        <v>26754.531741408595</v>
      </c>
      <c r="AH5">
        <f t="shared" ref="AH5" si="15">AH6+AH7</f>
        <v>29788.981375210191</v>
      </c>
      <c r="AI5">
        <f>AI6+AI7-8127.28715318557</f>
        <v>40744.261742567498</v>
      </c>
      <c r="AJ5">
        <f>AJ6+AJ7-14222.7044732146</f>
        <v>48047.334517555668</v>
      </c>
      <c r="AK5">
        <f>AK6+AK7</f>
        <v>51160.518338924099</v>
      </c>
      <c r="AL5">
        <f t="shared" ref="AL5:AP5" si="16">AL6+AL7</f>
        <v>37883.054050213053</v>
      </c>
      <c r="AM5">
        <f t="shared" si="16"/>
        <v>26182.762309147718</v>
      </c>
      <c r="AN5">
        <f t="shared" si="16"/>
        <v>30415.986988575227</v>
      </c>
      <c r="AO5">
        <f t="shared" si="16"/>
        <v>36342.376666143347</v>
      </c>
      <c r="AP5">
        <f t="shared" si="16"/>
        <v>43559.3058322371</v>
      </c>
      <c r="AU5">
        <v>1641</v>
      </c>
      <c r="AV5">
        <v>3004</v>
      </c>
      <c r="AW5">
        <v>4524</v>
      </c>
      <c r="AX5">
        <v>4686</v>
      </c>
      <c r="AY5">
        <v>4853</v>
      </c>
      <c r="AZ5">
        <v>4309</v>
      </c>
      <c r="BA5">
        <v>8409</v>
      </c>
      <c r="BB5">
        <v>8906</v>
      </c>
      <c r="BC5">
        <v>9336</v>
      </c>
      <c r="BD5">
        <v>13369</v>
      </c>
      <c r="BE5">
        <v>20000.2</v>
      </c>
    </row>
    <row r="6" spans="2:57">
      <c r="B6" s="7" t="s">
        <v>8</v>
      </c>
      <c r="C6" s="11" t="s">
        <v>9</v>
      </c>
      <c r="D6" s="11"/>
      <c r="E6" s="11"/>
      <c r="F6" s="11"/>
      <c r="G6" s="11"/>
      <c r="H6" s="11"/>
      <c r="I6" s="5"/>
      <c r="J6"/>
      <c r="K6"/>
      <c r="L6"/>
      <c r="M6"/>
      <c r="N6"/>
      <c r="O6"/>
      <c r="P6"/>
      <c r="Q6" s="911">
        <v>677</v>
      </c>
      <c r="R6" s="912">
        <v>900</v>
      </c>
      <c r="S6" s="912">
        <v>1115</v>
      </c>
      <c r="T6" s="912">
        <v>804</v>
      </c>
      <c r="U6" s="912">
        <v>1175</v>
      </c>
      <c r="V6">
        <v>1438</v>
      </c>
      <c r="W6">
        <v>2782</v>
      </c>
      <c r="X6">
        <v>4225.9859999999999</v>
      </c>
      <c r="Y6">
        <v>4355.2</v>
      </c>
      <c r="Z6">
        <v>4476.7</v>
      </c>
      <c r="AA6">
        <v>3880</v>
      </c>
      <c r="AB6">
        <v>7924</v>
      </c>
      <c r="AC6">
        <v>8309</v>
      </c>
      <c r="AD6">
        <v>8795</v>
      </c>
      <c r="AE6" s="175">
        <v>12653.6</v>
      </c>
      <c r="AF6" s="175">
        <v>19179.5</v>
      </c>
      <c r="AG6" s="46">
        <f>AF6*AG20*AG35/10000</f>
        <v>21505.161919969534</v>
      </c>
      <c r="AH6" s="46">
        <f>AG6*AH20*AH35/10000-2951.9660326175</f>
        <v>24390.347343169491</v>
      </c>
      <c r="AI6" s="46">
        <f t="shared" ref="AI6:AK6" si="17">AH6*AI20*AI35/10000</f>
        <v>38306.463124668058</v>
      </c>
      <c r="AJ6" s="46">
        <f t="shared" si="17"/>
        <v>39278.858403561142</v>
      </c>
      <c r="AK6" s="46">
        <f t="shared" si="17"/>
        <v>39801.670643176047</v>
      </c>
      <c r="AL6" s="46">
        <f t="shared" ref="AL6:AL7" si="18">AK6*AL20*AL35/10000</f>
        <v>35159.755022921774</v>
      </c>
      <c r="AM6" s="46">
        <f t="shared" ref="AM6:AM7" si="19">AL6*AM20*AM35/10000</f>
        <v>25500.451748545471</v>
      </c>
      <c r="AN6" s="46">
        <f t="shared" ref="AN6:AN7" si="20">AM6*AN20*AN35/10000</f>
        <v>30241.601320953287</v>
      </c>
      <c r="AO6" s="46">
        <f t="shared" ref="AO6:AO7" si="21">AN6*AO20*AO35/10000</f>
        <v>36289.921585143944</v>
      </c>
      <c r="AP6" s="46">
        <f t="shared" ref="AP6:AP7" si="22">AO6*AP20*AP35/10000</f>
        <v>43547.905902172737</v>
      </c>
      <c r="AU6">
        <v>1438</v>
      </c>
      <c r="AV6">
        <v>2782</v>
      </c>
      <c r="AW6">
        <v>4226</v>
      </c>
      <c r="AX6">
        <v>4355</v>
      </c>
      <c r="AY6">
        <v>4476</v>
      </c>
      <c r="AZ6">
        <v>3880</v>
      </c>
      <c r="BA6">
        <v>7924</v>
      </c>
      <c r="BB6">
        <v>8324</v>
      </c>
      <c r="BC6">
        <v>8758</v>
      </c>
      <c r="BD6">
        <v>12659</v>
      </c>
      <c r="BE6">
        <v>19179.400000000001</v>
      </c>
    </row>
    <row r="7" spans="2:57">
      <c r="B7" s="7" t="s">
        <v>10</v>
      </c>
      <c r="C7" s="11" t="s">
        <v>11</v>
      </c>
      <c r="D7" s="11"/>
      <c r="E7" s="11"/>
      <c r="F7" s="11"/>
      <c r="G7" s="11"/>
      <c r="H7" s="11"/>
      <c r="I7" s="5"/>
      <c r="J7"/>
      <c r="K7"/>
      <c r="L7"/>
      <c r="M7"/>
      <c r="N7"/>
      <c r="O7"/>
      <c r="P7"/>
      <c r="Q7" s="911">
        <v>78</v>
      </c>
      <c r="R7" s="912">
        <v>75</v>
      </c>
      <c r="S7" s="912">
        <v>112</v>
      </c>
      <c r="T7" s="912">
        <v>313</v>
      </c>
      <c r="U7" s="912">
        <v>227</v>
      </c>
      <c r="V7">
        <v>203</v>
      </c>
      <c r="W7">
        <v>222</v>
      </c>
      <c r="X7">
        <v>297.52600000000001</v>
      </c>
      <c r="Y7">
        <v>330.7</v>
      </c>
      <c r="Z7">
        <v>376.6</v>
      </c>
      <c r="AA7">
        <v>429</v>
      </c>
      <c r="AB7">
        <v>485</v>
      </c>
      <c r="AC7">
        <v>581.9</v>
      </c>
      <c r="AD7">
        <v>578</v>
      </c>
      <c r="AE7" s="175">
        <v>709.5</v>
      </c>
      <c r="AF7" s="175">
        <v>820.7</v>
      </c>
      <c r="AG7" s="46">
        <f>AF7*AG21*AG36/10000</f>
        <v>1543.7367000000002</v>
      </c>
      <c r="AH7" s="46">
        <f t="shared" ref="AH7:AK7" si="23">AG7*AH21*AH36/10000</f>
        <v>5398.6340320407007</v>
      </c>
      <c r="AI7" s="46">
        <f t="shared" si="23"/>
        <v>10565.085771085009</v>
      </c>
      <c r="AJ7" s="46">
        <f t="shared" si="23"/>
        <v>22991.180587209128</v>
      </c>
      <c r="AK7" s="46">
        <f t="shared" si="23"/>
        <v>11358.847695748049</v>
      </c>
      <c r="AL7" s="46">
        <f t="shared" si="18"/>
        <v>2723.2990272912803</v>
      </c>
      <c r="AM7" s="46">
        <f t="shared" si="19"/>
        <v>682.31056060224751</v>
      </c>
      <c r="AN7" s="46">
        <f t="shared" si="20"/>
        <v>174.3856676219394</v>
      </c>
      <c r="AO7" s="46">
        <f t="shared" si="21"/>
        <v>52.455080999405389</v>
      </c>
      <c r="AP7" s="46">
        <f t="shared" si="22"/>
        <v>11.399930064364636</v>
      </c>
      <c r="AU7">
        <v>203</v>
      </c>
      <c r="AV7">
        <v>222</v>
      </c>
      <c r="AW7">
        <v>298</v>
      </c>
      <c r="AX7">
        <v>331</v>
      </c>
      <c r="AY7">
        <v>377</v>
      </c>
      <c r="AZ7">
        <v>429</v>
      </c>
      <c r="BA7">
        <v>485</v>
      </c>
      <c r="BB7">
        <v>582</v>
      </c>
      <c r="BC7">
        <v>578</v>
      </c>
      <c r="BD7">
        <v>710</v>
      </c>
      <c r="BE7">
        <v>820.7</v>
      </c>
    </row>
    <row r="8" spans="2:57">
      <c r="B8" s="9" t="s">
        <v>12</v>
      </c>
      <c r="C8" s="12" t="s">
        <v>13</v>
      </c>
      <c r="D8" s="12"/>
      <c r="E8" s="12"/>
      <c r="F8" s="12"/>
      <c r="G8" s="12"/>
      <c r="H8" s="12"/>
      <c r="I8" s="5"/>
      <c r="J8" s="312"/>
      <c r="K8" s="312"/>
      <c r="L8" s="312"/>
      <c r="M8" s="312"/>
      <c r="N8" s="312"/>
      <c r="O8" s="312"/>
      <c r="P8" s="312"/>
      <c r="Q8" s="917">
        <v>3959.3</v>
      </c>
      <c r="R8" s="917">
        <v>5428</v>
      </c>
      <c r="S8" s="917">
        <v>6536</v>
      </c>
      <c r="T8" s="917">
        <v>6916</v>
      </c>
      <c r="U8" s="917">
        <v>6959</v>
      </c>
      <c r="V8">
        <v>8006</v>
      </c>
      <c r="W8">
        <v>9368</v>
      </c>
      <c r="X8">
        <v>11776</v>
      </c>
      <c r="Y8">
        <v>13520</v>
      </c>
      <c r="Z8">
        <v>15952</v>
      </c>
      <c r="AA8">
        <v>19054</v>
      </c>
      <c r="AB8">
        <v>22313</v>
      </c>
      <c r="AC8">
        <v>25708.7</v>
      </c>
      <c r="AD8">
        <v>28459.8</v>
      </c>
      <c r="AE8" s="645">
        <v>30275.599999999999</v>
      </c>
      <c r="AF8" s="645">
        <v>34595.4</v>
      </c>
      <c r="AG8">
        <f>SUM(AG9:AG11,AG14)+3721.66316443206</f>
        <v>43621.320067966401</v>
      </c>
      <c r="AH8">
        <f>SUM(AH9:AH11,AH14)+8970.87546314397</f>
        <v>60339.771492344909</v>
      </c>
      <c r="AI8">
        <f>SUM(AI9:AI11,AI14)+6251.91015231384</f>
        <v>73035.004445359795</v>
      </c>
      <c r="AJ8">
        <f>SUM(AJ9:AJ11,AJ14)+11878.4774273042</f>
        <v>95177.14810210072</v>
      </c>
      <c r="AK8">
        <f t="shared" ref="AK8:AP8" si="24">SUM(AK9:AK11,AK14)</f>
        <v>93137.600420206843</v>
      </c>
      <c r="AL8">
        <f t="shared" si="24"/>
        <v>108597.03876551773</v>
      </c>
      <c r="AM8">
        <f t="shared" si="24"/>
        <v>119233.47531193127</v>
      </c>
      <c r="AN8">
        <f t="shared" si="24"/>
        <v>136686.92637279021</v>
      </c>
      <c r="AO8">
        <f t="shared" si="24"/>
        <v>148738.68210948393</v>
      </c>
      <c r="AP8">
        <f t="shared" si="24"/>
        <v>163710.01507056947</v>
      </c>
      <c r="AU8">
        <v>8006</v>
      </c>
      <c r="AV8">
        <v>9368</v>
      </c>
      <c r="AW8">
        <v>11776</v>
      </c>
      <c r="AX8">
        <v>13520</v>
      </c>
      <c r="AY8">
        <v>15952</v>
      </c>
      <c r="AZ8">
        <v>19054</v>
      </c>
      <c r="BA8">
        <v>22313</v>
      </c>
      <c r="BB8">
        <v>26497</v>
      </c>
      <c r="BC8">
        <v>28537</v>
      </c>
      <c r="BD8">
        <v>30283</v>
      </c>
      <c r="BE8">
        <v>34595.4</v>
      </c>
    </row>
    <row r="9" spans="2:57">
      <c r="B9" s="7" t="s">
        <v>14</v>
      </c>
      <c r="C9" s="13" t="s">
        <v>15</v>
      </c>
      <c r="I9" s="907">
        <v>432.82199999999995</v>
      </c>
      <c r="J9" s="907">
        <v>493.57</v>
      </c>
      <c r="K9" s="907">
        <v>624.41600000000005</v>
      </c>
      <c r="L9" s="907">
        <v>834.21</v>
      </c>
      <c r="M9" s="907">
        <v>918.61099999999988</v>
      </c>
      <c r="N9" s="907">
        <v>1169.9100000000001</v>
      </c>
      <c r="O9" s="907">
        <v>1263.942</v>
      </c>
      <c r="P9" s="907">
        <v>1358.7089999999998</v>
      </c>
      <c r="Q9" s="912">
        <v>3048</v>
      </c>
      <c r="R9" s="912">
        <v>2442</v>
      </c>
      <c r="S9" s="912">
        <v>3318</v>
      </c>
      <c r="T9" s="912">
        <v>3588</v>
      </c>
      <c r="U9" s="912">
        <v>3266</v>
      </c>
      <c r="V9">
        <v>3482</v>
      </c>
      <c r="W9">
        <v>3690</v>
      </c>
      <c r="X9">
        <v>4304</v>
      </c>
      <c r="Y9">
        <v>4900</v>
      </c>
      <c r="Z9">
        <v>5399</v>
      </c>
      <c r="AA9">
        <v>7089</v>
      </c>
      <c r="AB9">
        <v>7608</v>
      </c>
      <c r="AC9">
        <v>10099</v>
      </c>
      <c r="AD9">
        <v>11610</v>
      </c>
      <c r="AE9" s="175">
        <v>11445.7</v>
      </c>
      <c r="AF9" s="175">
        <v>12431.3</v>
      </c>
      <c r="AG9" s="90">
        <f>AG65*Household!AF3</f>
        <v>18708.318200000002</v>
      </c>
      <c r="AH9" s="90">
        <f>AH65*Household!AH3</f>
        <v>25527.301485147756</v>
      </c>
      <c r="AI9" s="90">
        <f>AI65*Household!AI3</f>
        <v>33391.890417394541</v>
      </c>
      <c r="AJ9" s="90">
        <f>AJ65*Household!AJ3</f>
        <v>43813.961252751578</v>
      </c>
      <c r="AK9" s="90">
        <f>AK65*Household!AK3</f>
        <v>46796.742423857584</v>
      </c>
      <c r="AL9" s="90">
        <f>AL65*Household!AL3</f>
        <v>52823.517916037381</v>
      </c>
      <c r="AM9" s="90">
        <f>AM65*Household!AM3</f>
        <v>57360.636641413214</v>
      </c>
      <c r="AN9" s="90">
        <f>AN65*Household!AN3</f>
        <v>64129.968698863384</v>
      </c>
      <c r="AO9" s="90">
        <f>AO65*Household!AO3</f>
        <v>68450.877256508975</v>
      </c>
      <c r="AP9" s="90">
        <f>AP65*Household!AP3</f>
        <v>74666.280293630072</v>
      </c>
      <c r="AU9">
        <v>3482</v>
      </c>
      <c r="AV9">
        <v>3690</v>
      </c>
      <c r="AW9">
        <v>4304</v>
      </c>
      <c r="AX9">
        <v>4900</v>
      </c>
      <c r="AY9">
        <v>5399</v>
      </c>
      <c r="AZ9">
        <v>7089</v>
      </c>
      <c r="BA9">
        <v>7608</v>
      </c>
      <c r="BB9">
        <v>10383</v>
      </c>
      <c r="BC9">
        <v>11621</v>
      </c>
      <c r="BD9">
        <v>11492</v>
      </c>
      <c r="BE9">
        <v>12431</v>
      </c>
    </row>
    <row r="10" spans="2:57">
      <c r="B10" s="7" t="s">
        <v>16</v>
      </c>
      <c r="C10" s="13" t="s">
        <v>17</v>
      </c>
      <c r="I10" s="5">
        <v>431.7</v>
      </c>
      <c r="J10" s="5">
        <v>696</v>
      </c>
      <c r="K10" s="5">
        <v>708.9</v>
      </c>
      <c r="L10" s="5">
        <v>751.1</v>
      </c>
      <c r="M10" s="5">
        <v>647.29999999999995</v>
      </c>
      <c r="N10" s="5">
        <v>813.2</v>
      </c>
      <c r="O10" s="5">
        <v>732</v>
      </c>
      <c r="P10" s="5">
        <v>705.3</v>
      </c>
      <c r="Q10" s="908">
        <v>534.29999999999995</v>
      </c>
      <c r="R10" s="912">
        <v>1414</v>
      </c>
      <c r="S10" s="912">
        <v>1533</v>
      </c>
      <c r="T10" s="912">
        <v>1361</v>
      </c>
      <c r="U10" s="913">
        <v>1315</v>
      </c>
      <c r="V10">
        <v>1292</v>
      </c>
      <c r="W10">
        <v>1520</v>
      </c>
      <c r="X10">
        <v>2354</v>
      </c>
      <c r="Y10">
        <v>2479</v>
      </c>
      <c r="Z10">
        <v>2636</v>
      </c>
      <c r="AA10">
        <v>2870</v>
      </c>
      <c r="AB10">
        <v>4096</v>
      </c>
      <c r="AC10">
        <v>4438</v>
      </c>
      <c r="AD10">
        <v>4632</v>
      </c>
      <c r="AE10" s="175">
        <v>4062.5</v>
      </c>
      <c r="AF10" s="175">
        <v>4253.7</v>
      </c>
      <c r="AG10" s="91">
        <f>(AG198*AG197+(AG187+AG186)*Assumptions!AG12)</f>
        <v>3183.4964472126871</v>
      </c>
      <c r="AH10" s="91">
        <f>(AH198*AH197+(AH187+AH186)*Assumptions!AH12)</f>
        <v>3488.3109079612686</v>
      </c>
      <c r="AI10" s="91">
        <f>(AI198*AI197+(AI187+AI186)*Assumptions!AI12)</f>
        <v>4395.0263375379327</v>
      </c>
      <c r="AJ10" s="91">
        <f>(AJ198*AJ197+(AJ187+AJ186)*Assumptions!AJ12)</f>
        <v>4086.8334967998371</v>
      </c>
      <c r="AK10" s="91">
        <f>(AK198*AK197+(AK187+AK186)*Assumptions!AK12)</f>
        <v>4341.3372379201492</v>
      </c>
      <c r="AL10" s="91">
        <f>(AL198*AL197+(AL187+AL186)*Assumptions!AL12)</f>
        <v>4454.2591782687796</v>
      </c>
      <c r="AM10" s="91">
        <f>(AM198*AM197+(AM187+AM186)*Assumptions!AM12)</f>
        <v>4541.2325392790526</v>
      </c>
      <c r="AN10" s="91">
        <f>(AN198*AN197+(AN187+AN186)*Assumptions!AN12)</f>
        <v>4561.9668561523595</v>
      </c>
      <c r="AO10" s="91">
        <f>(AO198*AO197+(AO187+AO186)*Assumptions!AO12)</f>
        <v>4611.8712027061883</v>
      </c>
      <c r="AP10" s="91">
        <f>(AP198*AP197+(AP187+AP186)*Assumptions!AP12)</f>
        <v>4231.9817417224385</v>
      </c>
      <c r="AU10">
        <v>1292</v>
      </c>
      <c r="AV10">
        <v>1520</v>
      </c>
      <c r="AW10">
        <v>2354</v>
      </c>
      <c r="AX10">
        <v>2479</v>
      </c>
      <c r="AY10">
        <v>2636</v>
      </c>
      <c r="AZ10">
        <v>2870</v>
      </c>
      <c r="BA10">
        <v>4096</v>
      </c>
      <c r="BB10">
        <v>4720</v>
      </c>
      <c r="BC10">
        <v>4500</v>
      </c>
      <c r="BD10">
        <v>3896</v>
      </c>
      <c r="BE10">
        <v>4253.7</v>
      </c>
    </row>
    <row r="11" spans="2:57">
      <c r="B11" s="7" t="s">
        <v>18</v>
      </c>
      <c r="C11" s="13" t="s">
        <v>19</v>
      </c>
      <c r="I11" s="5">
        <v>1182</v>
      </c>
      <c r="J11" s="5">
        <v>1430</v>
      </c>
      <c r="K11" s="5">
        <v>1817</v>
      </c>
      <c r="L11" s="5">
        <v>1799</v>
      </c>
      <c r="M11" s="5">
        <v>2092</v>
      </c>
      <c r="N11" s="5">
        <v>2273</v>
      </c>
      <c r="O11" s="5">
        <v>2400</v>
      </c>
      <c r="P11" s="5">
        <v>2510</v>
      </c>
      <c r="Q11" s="907">
        <v>886.5</v>
      </c>
      <c r="R11" s="912">
        <v>786</v>
      </c>
      <c r="S11" s="912">
        <v>835</v>
      </c>
      <c r="T11" s="912">
        <v>1034</v>
      </c>
      <c r="U11" s="912">
        <v>915</v>
      </c>
      <c r="V11">
        <v>1450.2</v>
      </c>
      <c r="W11">
        <v>1850</v>
      </c>
      <c r="X11">
        <v>2187.3000000000002</v>
      </c>
      <c r="Y11">
        <v>2708.4</v>
      </c>
      <c r="Z11">
        <v>3873.5</v>
      </c>
      <c r="AA11">
        <v>4978</v>
      </c>
      <c r="AB11">
        <v>5967</v>
      </c>
      <c r="AC11">
        <v>6025</v>
      </c>
      <c r="AD11">
        <v>6442</v>
      </c>
      <c r="AE11" s="175">
        <v>8090.7</v>
      </c>
      <c r="AF11" s="175">
        <v>10612.9</v>
      </c>
      <c r="AG11">
        <f t="shared" ref="AG11:AP11" si="25">AG12+AG13</f>
        <v>12316.419843198088</v>
      </c>
      <c r="AH11">
        <f t="shared" si="25"/>
        <v>14744.855525354424</v>
      </c>
      <c r="AI11">
        <f t="shared" si="25"/>
        <v>17724.660845881885</v>
      </c>
      <c r="AJ11">
        <f t="shared" si="25"/>
        <v>21103.898023974467</v>
      </c>
      <c r="AK11">
        <f t="shared" si="25"/>
        <v>24971.254853696551</v>
      </c>
      <c r="AL11">
        <f t="shared" si="25"/>
        <v>29491.137355566763</v>
      </c>
      <c r="AM11">
        <f t="shared" si="25"/>
        <v>34415.780676778253</v>
      </c>
      <c r="AN11">
        <f t="shared" si="25"/>
        <v>39073.095486677608</v>
      </c>
      <c r="AO11">
        <f t="shared" si="25"/>
        <v>44893.254559244066</v>
      </c>
      <c r="AP11">
        <f t="shared" si="25"/>
        <v>51586.437492695477</v>
      </c>
      <c r="AU11">
        <v>1450</v>
      </c>
      <c r="AV11">
        <v>1850</v>
      </c>
      <c r="AW11">
        <v>2187</v>
      </c>
      <c r="AX11">
        <v>2708</v>
      </c>
      <c r="AY11">
        <v>3874</v>
      </c>
      <c r="AZ11">
        <v>4978</v>
      </c>
      <c r="BA11">
        <v>5967</v>
      </c>
      <c r="BB11">
        <v>6093</v>
      </c>
      <c r="BC11">
        <v>6486</v>
      </c>
      <c r="BD11">
        <v>8092</v>
      </c>
      <c r="BE11">
        <v>10621.9</v>
      </c>
    </row>
    <row r="12" spans="2:57">
      <c r="B12" s="7" t="s">
        <v>20</v>
      </c>
      <c r="C12" s="13" t="s">
        <v>21</v>
      </c>
      <c r="I12" s="5"/>
      <c r="J12"/>
      <c r="K12"/>
      <c r="L12"/>
      <c r="M12"/>
      <c r="N12"/>
      <c r="O12"/>
      <c r="P12"/>
      <c r="Q12" s="915">
        <v>700</v>
      </c>
      <c r="R12" s="912">
        <v>727</v>
      </c>
      <c r="S12" s="912">
        <v>681.07800674999999</v>
      </c>
      <c r="T12" s="912">
        <v>880.2</v>
      </c>
      <c r="U12" s="912">
        <v>724</v>
      </c>
      <c r="V12" s="94">
        <f t="shared" ref="V12:AC12" si="26">V11-V13</f>
        <v>1202.6249140757773</v>
      </c>
      <c r="W12" s="94">
        <f t="shared" si="26"/>
        <v>1557.4819066634211</v>
      </c>
      <c r="X12" s="94">
        <f t="shared" si="26"/>
        <v>1932.7978281231178</v>
      </c>
      <c r="Y12" s="94">
        <f t="shared" si="26"/>
        <v>2455.2805561440991</v>
      </c>
      <c r="Z12" s="94">
        <f t="shared" si="26"/>
        <v>3768.9348904590897</v>
      </c>
      <c r="AA12" s="94">
        <f t="shared" si="26"/>
        <v>4883.6226583692442</v>
      </c>
      <c r="AB12" s="94">
        <f t="shared" si="26"/>
        <v>5845.5362102106592</v>
      </c>
      <c r="AC12" s="94">
        <f t="shared" si="26"/>
        <v>5903.6407485913023</v>
      </c>
      <c r="AD12" s="94">
        <f>AD11-AD13</f>
        <v>6319.1214691387268</v>
      </c>
      <c r="AE12" s="646">
        <f>AE11-AE13</f>
        <v>7962.5590458967326</v>
      </c>
      <c r="AF12" s="646">
        <f>AF11-AF13</f>
        <v>10194.970753482577</v>
      </c>
      <c r="AG12" s="98">
        <f t="shared" ref="AG12:AN12" si="27">AF12*AG26*AG41/10000</f>
        <v>11898.067565909247</v>
      </c>
      <c r="AH12" s="98">
        <f t="shared" si="27"/>
        <v>14272.747053672254</v>
      </c>
      <c r="AI12" s="98">
        <f t="shared" si="27"/>
        <v>17187.774863630351</v>
      </c>
      <c r="AJ12" s="98">
        <f>AI12*AJ26*AJ41/10000</f>
        <v>20496.843436471845</v>
      </c>
      <c r="AK12" s="98">
        <f t="shared" si="27"/>
        <v>24286.656872730335</v>
      </c>
      <c r="AL12" s="98">
        <f t="shared" si="27"/>
        <v>28704.964644040858</v>
      </c>
      <c r="AM12" s="98">
        <f t="shared" si="27"/>
        <v>33521.055474825051</v>
      </c>
      <c r="AN12" s="98">
        <f t="shared" si="27"/>
        <v>38079.780275292607</v>
      </c>
      <c r="AO12" s="98">
        <f t="shared" ref="AO12" si="28">AN12*AO26*AO41/10000</f>
        <v>43774.491561827977</v>
      </c>
      <c r="AP12" s="98">
        <f t="shared" ref="AP12" si="29">AO12*AP26*AP41/10000</f>
        <v>50323.409541343644</v>
      </c>
    </row>
    <row r="13" spans="2:57">
      <c r="B13" s="7" t="s">
        <v>22</v>
      </c>
      <c r="C13" s="13" t="s">
        <v>23</v>
      </c>
      <c r="I13" s="5"/>
      <c r="J13"/>
      <c r="K13"/>
      <c r="L13"/>
      <c r="M13"/>
      <c r="N13"/>
      <c r="O13"/>
      <c r="P13"/>
      <c r="Q13" s="915">
        <v>100</v>
      </c>
      <c r="R13" s="914">
        <v>92.2</v>
      </c>
      <c r="S13" s="912">
        <v>73.318358957484094</v>
      </c>
      <c r="T13" s="912">
        <v>148.6</v>
      </c>
      <c r="U13" s="912">
        <v>179.1</v>
      </c>
      <c r="V13">
        <v>247.57508592422266</v>
      </c>
      <c r="W13">
        <v>292.51809333657883</v>
      </c>
      <c r="X13">
        <v>254.50217187688233</v>
      </c>
      <c r="Y13">
        <v>253.11944385590118</v>
      </c>
      <c r="Z13">
        <v>104.56510954091017</v>
      </c>
      <c r="AA13">
        <v>94.37734163075595</v>
      </c>
      <c r="AB13">
        <v>121.46378978934069</v>
      </c>
      <c r="AC13">
        <v>121.35925140869799</v>
      </c>
      <c r="AD13">
        <v>122.8785308612733</v>
      </c>
      <c r="AE13" s="175">
        <v>128.14095410326686</v>
      </c>
      <c r="AF13" s="175">
        <v>417.929246517423</v>
      </c>
      <c r="AG13" s="127">
        <f>AF13*(AG153+AG154)/(AF153+AF154)*(Assumptions!AG12/Assumptions!AF12)</f>
        <v>418.35227728884109</v>
      </c>
      <c r="AH13" s="127">
        <f>AG13*(AH153+AH154)/(AG153+AG154)*(Assumptions!AH12/Assumptions!AG12)</f>
        <v>472.10847168216895</v>
      </c>
      <c r="AI13" s="127">
        <f>AH13*(AI153+AI154)/(AH153+AH154)*(Assumptions!AI12/Assumptions!AH12)</f>
        <v>536.88598225153441</v>
      </c>
      <c r="AJ13" s="127">
        <f>AI13*(AJ153+AJ154)/(AI153+AI154)*(Assumptions!AJ12/Assumptions!AI12)</f>
        <v>607.05458750262312</v>
      </c>
      <c r="AK13" s="127">
        <f>AJ13*(AK153+AK154)/(AJ153+AJ154)*(Assumptions!AK12/Assumptions!AJ12)</f>
        <v>684.59798096621637</v>
      </c>
      <c r="AL13" s="127">
        <f>AK13*(AL153+AL154)/(AK153+AK154)*(Assumptions!AL12/Assumptions!AK12)</f>
        <v>786.17271152590388</v>
      </c>
      <c r="AM13" s="127">
        <f>AL13*(AM153+AM154)/(AL153+AL154)*(Assumptions!AM12/Assumptions!AL12)</f>
        <v>894.7252019532034</v>
      </c>
      <c r="AN13" s="127">
        <f>AM13*(AN153+AN154)/(AM153+AM154)*(Assumptions!AN12/Assumptions!AM12)</f>
        <v>993.31521138500284</v>
      </c>
      <c r="AO13" s="127">
        <f>AN13*(AO153+AO154)/(AN153+AN154)*(Assumptions!AO12/Assumptions!AN12)</f>
        <v>1118.7629974160864</v>
      </c>
      <c r="AP13" s="127">
        <f>AO13*(AP153+AP154)/(AO153+AO154)*(Assumptions!AP12/Assumptions!AO12)</f>
        <v>1263.0279513518326</v>
      </c>
    </row>
    <row r="14" spans="2:57">
      <c r="B14" s="7" t="s">
        <v>24</v>
      </c>
      <c r="C14" s="13" t="s">
        <v>25</v>
      </c>
      <c r="I14" s="907">
        <f t="shared" ref="I14" si="30">I4-I15-I11-I10-I9</f>
        <v>231.23399999999987</v>
      </c>
      <c r="J14" s="907">
        <v>345.05500000000001</v>
      </c>
      <c r="K14" s="907">
        <v>568.51599999999974</v>
      </c>
      <c r="L14" s="907">
        <v>619.89800000000014</v>
      </c>
      <c r="M14" s="907">
        <v>715.9830000000004</v>
      </c>
      <c r="N14" s="907">
        <v>930.49099999999976</v>
      </c>
      <c r="O14" s="907">
        <v>1062.8220000000001</v>
      </c>
      <c r="P14" s="907">
        <v>1029.8530000000001</v>
      </c>
      <c r="Q14" s="909">
        <v>-509.49999999999977</v>
      </c>
      <c r="R14" s="912">
        <v>786</v>
      </c>
      <c r="S14" s="912">
        <v>850</v>
      </c>
      <c r="T14" s="912">
        <v>933</v>
      </c>
      <c r="U14" s="912">
        <v>1463</v>
      </c>
      <c r="V14">
        <v>1781.8</v>
      </c>
      <c r="W14">
        <v>2308</v>
      </c>
      <c r="X14">
        <v>2930.7</v>
      </c>
      <c r="Y14">
        <v>3432.6</v>
      </c>
      <c r="Z14">
        <v>4043.5</v>
      </c>
      <c r="AA14">
        <v>4117</v>
      </c>
      <c r="AB14">
        <v>4642</v>
      </c>
      <c r="AC14">
        <v>5146.7000000000007</v>
      </c>
      <c r="AD14">
        <v>5775.7999999999993</v>
      </c>
      <c r="AE14" s="175">
        <f>AE8-AE9-AE10-AE11-AE13</f>
        <v>6548.5590458967308</v>
      </c>
      <c r="AF14" s="175">
        <f>AF8-AF9-AF10-AF11-AF13</f>
        <v>6879.5707534825788</v>
      </c>
      <c r="AG14" s="91">
        <f>(AG9+AG10-(AG186+AG187+AG188)*Assumptions!AG11)*AG66/(1-AG66)</f>
        <v>5691.4224131235669</v>
      </c>
      <c r="AH14" s="91">
        <f>(AH9+AH10-(AH186+AH187+AH188)*Assumptions!AH11)*AH66/(1-AH66)</f>
        <v>7608.4281107374863</v>
      </c>
      <c r="AI14" s="91">
        <f>(AI9+AI10-(AI186+AI187+AI188)*Assumptions!AI11)*AI66/(1-AI66)</f>
        <v>11271.5166922316</v>
      </c>
      <c r="AJ14" s="91">
        <f>(AJ9+AJ10-(AJ186+AJ187+AJ188)*Assumptions!AJ11)*AJ66/(1-AJ66)</f>
        <v>14293.977901270644</v>
      </c>
      <c r="AK14" s="91">
        <f>(AK9+AK10-(AK186+AK187+AK188)*Assumptions!AK11)*AK66/(1-AK66)</f>
        <v>17028.265904732558</v>
      </c>
      <c r="AL14" s="91">
        <f>(AL9+AL10-(AL186+AL187+AL188)*Assumptions!AL11)*AL66/(1-AL66)</f>
        <v>21828.124315644807</v>
      </c>
      <c r="AM14" s="91">
        <f>(AM9+AM10-(AM186+AM187+AM188)*Assumptions!AM11)*AM66/(1-AM66)</f>
        <v>22915.825454460748</v>
      </c>
      <c r="AN14" s="91">
        <f>(AN9+AN10-(AN186+AN187+AN188)*Assumptions!AN11)*AN66/(1-AN66)</f>
        <v>28921.895331096865</v>
      </c>
      <c r="AO14" s="91">
        <f>(AO9+AO10-(AO186+AO187+AO188)*Assumptions!AO11)*AO66/(1-AO66)</f>
        <v>30782.679091024696</v>
      </c>
      <c r="AP14" s="91">
        <f>(AP9+AP10-(AP186+AP187+AP188)*Assumptions!AP11)*AP66/(1-AP66)</f>
        <v>33225.315542521486</v>
      </c>
    </row>
    <row r="15" spans="2:57">
      <c r="B15" s="9" t="s">
        <v>26</v>
      </c>
      <c r="C15" s="12" t="s">
        <v>27</v>
      </c>
      <c r="D15" s="12"/>
      <c r="E15" s="12"/>
      <c r="F15" s="12"/>
      <c r="G15" s="12"/>
      <c r="H15" s="12"/>
      <c r="I15" s="907">
        <v>140.244</v>
      </c>
      <c r="J15" s="915">
        <v>240.375</v>
      </c>
      <c r="K15" s="915">
        <v>233.16800000000003</v>
      </c>
      <c r="L15" s="915">
        <v>273.79200000000003</v>
      </c>
      <c r="M15" s="915">
        <v>289.10599999999999</v>
      </c>
      <c r="N15" s="915">
        <v>384.399</v>
      </c>
      <c r="O15" s="915">
        <v>647.23599999999999</v>
      </c>
      <c r="P15" s="915">
        <v>897.13800000000003</v>
      </c>
      <c r="Q15" s="917">
        <v>1450.4</v>
      </c>
      <c r="R15" s="917">
        <v>1459</v>
      </c>
      <c r="S15" s="917">
        <v>1741</v>
      </c>
      <c r="T15" s="917">
        <v>1919</v>
      </c>
      <c r="U15" s="917">
        <v>2173.6570000000002</v>
      </c>
      <c r="V15">
        <v>2549</v>
      </c>
      <c r="W15">
        <v>2718</v>
      </c>
      <c r="X15">
        <v>3729</v>
      </c>
      <c r="Y15">
        <v>5688</v>
      </c>
      <c r="Z15">
        <v>6808</v>
      </c>
      <c r="AA15">
        <v>7527</v>
      </c>
      <c r="AB15">
        <v>8107</v>
      </c>
      <c r="AC15">
        <v>7621.8</v>
      </c>
      <c r="AD15">
        <v>8983.2000000000007</v>
      </c>
      <c r="AE15" s="175">
        <v>9872.2000000000007</v>
      </c>
      <c r="AF15" s="175">
        <v>11752.6</v>
      </c>
      <c r="AG15">
        <f>AF15*AG141/AF141-7427.30787098423</f>
        <v>12719.512264532928</v>
      </c>
      <c r="AH15">
        <f>AG15*AH141/AG141-569.511772338643</f>
        <v>14343.703486225253</v>
      </c>
      <c r="AI15">
        <f>AH15*AI141/AH141+1894.25074976773</f>
        <v>17398.436869271052</v>
      </c>
      <c r="AJ15">
        <f>AI15*AJ141/AI141+2313.65697865672</f>
        <v>21086.543980834209</v>
      </c>
      <c r="AK15">
        <f>AJ15*AK141/AJ141</f>
        <v>23032.114305842773</v>
      </c>
      <c r="AL15">
        <f t="shared" ref="AL15:AP15" si="31">AK15*AL141/AK141</f>
        <v>24821.84995596407</v>
      </c>
      <c r="AM15">
        <f t="shared" si="31"/>
        <v>26722.931688254659</v>
      </c>
      <c r="AN15">
        <f t="shared" si="31"/>
        <v>28717.978813461275</v>
      </c>
      <c r="AO15">
        <f t="shared" si="31"/>
        <v>30871.511884649139</v>
      </c>
      <c r="AP15">
        <f t="shared" si="31"/>
        <v>33176.809147001492</v>
      </c>
      <c r="AU15">
        <v>2549</v>
      </c>
      <c r="AV15">
        <v>2718</v>
      </c>
      <c r="AW15">
        <v>3729</v>
      </c>
      <c r="AX15">
        <v>5688</v>
      </c>
      <c r="AY15">
        <v>6808</v>
      </c>
      <c r="AZ15">
        <v>7527</v>
      </c>
      <c r="BA15">
        <v>8107</v>
      </c>
      <c r="BB15">
        <v>7622</v>
      </c>
      <c r="BC15">
        <v>8984</v>
      </c>
      <c r="BD15">
        <v>10221</v>
      </c>
      <c r="BE15">
        <v>11752.6</v>
      </c>
    </row>
    <row r="16" spans="2:57">
      <c r="J16"/>
      <c r="K16"/>
      <c r="L16"/>
      <c r="M16"/>
      <c r="N16"/>
      <c r="O16"/>
      <c r="P16"/>
      <c r="Q16"/>
      <c r="R16" s="907"/>
      <c r="S16" s="907"/>
      <c r="T16" s="907"/>
      <c r="U16" s="907"/>
      <c r="AY16">
        <v>3719</v>
      </c>
      <c r="AZ16">
        <v>3277</v>
      </c>
      <c r="BA16">
        <v>7939</v>
      </c>
      <c r="BB16">
        <v>4196</v>
      </c>
      <c r="BC16">
        <v>3832</v>
      </c>
      <c r="BD16">
        <v>7016</v>
      </c>
      <c r="BE16">
        <v>3184</v>
      </c>
    </row>
    <row r="17" spans="1:57" ht="33.75">
      <c r="B17" s="648" t="s">
        <v>1145</v>
      </c>
      <c r="C17" s="649" t="s">
        <v>1146</v>
      </c>
      <c r="D17" s="797"/>
      <c r="E17" s="797"/>
      <c r="F17" s="797"/>
      <c r="G17" s="797"/>
      <c r="H17" s="797"/>
      <c r="I17" s="797"/>
      <c r="J17" s="797"/>
      <c r="K17" s="797"/>
      <c r="L17" s="797"/>
      <c r="M17" s="797"/>
      <c r="N17" s="797"/>
      <c r="O17" s="797"/>
      <c r="P17" s="797"/>
      <c r="Q17" s="797"/>
      <c r="R17" s="797"/>
      <c r="S17" s="797"/>
      <c r="T17" s="797"/>
      <c r="U17" s="797"/>
      <c r="X17" s="175">
        <v>87.1</v>
      </c>
      <c r="Y17" s="175">
        <v>132.5</v>
      </c>
      <c r="Z17" s="175">
        <v>181.6</v>
      </c>
      <c r="AA17" s="175">
        <v>168.5</v>
      </c>
      <c r="AB17" s="175">
        <v>184.6</v>
      </c>
      <c r="AC17" s="175">
        <v>188.4</v>
      </c>
      <c r="AD17" s="175">
        <v>228.8</v>
      </c>
      <c r="AE17" s="175">
        <v>308.10000000000002</v>
      </c>
      <c r="AF17" s="175">
        <v>377.9</v>
      </c>
      <c r="AG17" s="175">
        <f>AF17*AG141/AF141-252.14445</f>
        <v>395.66823223303209</v>
      </c>
      <c r="AH17" s="175">
        <f>AG17*AH141/AG141-50.7150544781293</f>
        <v>413.19310454146785</v>
      </c>
      <c r="AI17" s="175">
        <f>AH17*AI141/AH141-18.7922305996491</f>
        <v>427.83041481814166</v>
      </c>
      <c r="AJ17" s="175">
        <f>AI17*AJ141/AI141+30.5059264694922</f>
        <v>492.13429537549717</v>
      </c>
      <c r="AK17" s="175">
        <f t="shared" ref="AK17:AL17" si="32">AJ17*AK141/AJ141</f>
        <v>537.54154095693684</v>
      </c>
      <c r="AL17" s="175">
        <f t="shared" si="32"/>
        <v>579.31179472073109</v>
      </c>
      <c r="AM17" s="175">
        <f t="shared" ref="AM17:AP17" si="33">AL17*AM141/AL141</f>
        <v>623.68073064605039</v>
      </c>
      <c r="AN17" s="175">
        <f t="shared" si="33"/>
        <v>670.24270458055889</v>
      </c>
      <c r="AO17" s="175">
        <f t="shared" si="33"/>
        <v>720.50354777611324</v>
      </c>
      <c r="AP17" s="175">
        <f t="shared" si="33"/>
        <v>774.3063826489124</v>
      </c>
      <c r="BE17">
        <v>377.9</v>
      </c>
    </row>
    <row r="18" spans="1:57">
      <c r="A18" s="149" t="s">
        <v>28</v>
      </c>
      <c r="B18" s="7" t="s">
        <v>29</v>
      </c>
      <c r="C18" s="8" t="s">
        <v>30</v>
      </c>
      <c r="D18" s="8"/>
      <c r="E18" s="8"/>
      <c r="F18" s="8"/>
      <c r="G18" s="8"/>
      <c r="H18" s="8"/>
      <c r="I18" s="5">
        <v>108.4</v>
      </c>
      <c r="J18" s="5">
        <v>109.9</v>
      </c>
      <c r="K18" s="5">
        <v>115.1</v>
      </c>
      <c r="L18" s="5">
        <v>110.4</v>
      </c>
      <c r="M18" s="911">
        <v>105.5</v>
      </c>
      <c r="N18" s="911">
        <v>109.9</v>
      </c>
      <c r="O18" s="911">
        <v>96.5</v>
      </c>
      <c r="P18" s="911">
        <v>93.5</v>
      </c>
      <c r="Q18" s="911">
        <v>109.2</v>
      </c>
      <c r="R18" s="133">
        <v>105.7</v>
      </c>
      <c r="S18" s="133">
        <v>110.8</v>
      </c>
      <c r="T18" s="133">
        <v>103.8</v>
      </c>
      <c r="U18" s="133">
        <v>105</v>
      </c>
      <c r="V18" s="133">
        <v>111.3</v>
      </c>
      <c r="W18" s="133">
        <v>116</v>
      </c>
      <c r="X18" s="133">
        <v>121.3</v>
      </c>
      <c r="Y18" s="133">
        <v>110.6</v>
      </c>
      <c r="Z18" s="133">
        <v>113.2</v>
      </c>
      <c r="AA18" s="134">
        <v>108.8</v>
      </c>
      <c r="AB18" s="134">
        <v>120.8</v>
      </c>
      <c r="AC18" s="134">
        <v>115.4</v>
      </c>
      <c r="AD18" s="134">
        <v>112</v>
      </c>
      <c r="AE18" s="650">
        <v>120</v>
      </c>
      <c r="AF18" s="650">
        <v>122.1</v>
      </c>
      <c r="AG18" s="149">
        <f t="shared" ref="AG18:AH18" si="34">(AG19*AF5+AF8*AG22+AG29*AF15)/(AF5+AF8+AF15)</f>
        <v>125.02096627281625</v>
      </c>
      <c r="AH18" s="149">
        <f t="shared" si="34"/>
        <v>125.00010346903679</v>
      </c>
      <c r="AI18" s="149">
        <f>(AI19*AH5+AH8*AI22+AI29*AH15)/(AH5+AH8+AH15)</f>
        <v>125.10772131494927</v>
      </c>
      <c r="AJ18" s="149">
        <f>(AJ19*AI5+AI8*AJ22+AJ29*AI15)/(AI5+AI8+AI15)</f>
        <v>125.07379530741514</v>
      </c>
      <c r="AK18" s="149">
        <f>(AK19*AJ5+AJ8*AK22+AK29*AJ15)/(AJ5+AJ8+AJ15)</f>
        <v>119.95581243415236</v>
      </c>
      <c r="AL18" s="149">
        <f t="shared" ref="AL18:AP18" si="35">(AL19*AK5+AK8*AL22+AL29*AK15)/(AK5+AK8+AK15)</f>
        <v>119.92602525044774</v>
      </c>
      <c r="AM18" s="149">
        <f t="shared" si="35"/>
        <v>120.07027383022358</v>
      </c>
      <c r="AN18" s="149">
        <f t="shared" si="35"/>
        <v>111.30175408111008</v>
      </c>
      <c r="AO18" s="149">
        <f t="shared" si="35"/>
        <v>109.17266964720974</v>
      </c>
      <c r="AP18" s="149">
        <f t="shared" si="35"/>
        <v>122.33960441142446</v>
      </c>
      <c r="AU18">
        <v>111.3</v>
      </c>
      <c r="AV18">
        <v>116</v>
      </c>
      <c r="AW18">
        <v>121.3</v>
      </c>
      <c r="AX18">
        <v>110.6</v>
      </c>
      <c r="AY18">
        <v>113.2</v>
      </c>
      <c r="AZ18">
        <v>108.8</v>
      </c>
      <c r="BA18">
        <v>120.8</v>
      </c>
      <c r="BB18">
        <v>109.7</v>
      </c>
      <c r="BC18">
        <v>109</v>
      </c>
      <c r="BD18">
        <v>120</v>
      </c>
      <c r="BE18">
        <v>122.1</v>
      </c>
    </row>
    <row r="19" spans="1:57">
      <c r="A19" s="647" t="s">
        <v>1144</v>
      </c>
      <c r="B19" s="7" t="s">
        <v>31</v>
      </c>
      <c r="C19" s="8" t="s">
        <v>7</v>
      </c>
      <c r="D19" s="8"/>
      <c r="E19" s="8"/>
      <c r="F19" s="8"/>
      <c r="G19" s="8"/>
      <c r="H19" s="8"/>
      <c r="I19"/>
      <c r="J19"/>
      <c r="K19"/>
      <c r="L19"/>
      <c r="M19"/>
      <c r="N19"/>
      <c r="O19"/>
      <c r="P19"/>
      <c r="Q19"/>
      <c r="R19" s="133">
        <v>134.30000000000001</v>
      </c>
      <c r="S19" s="133">
        <v>121.2</v>
      </c>
      <c r="T19" s="133">
        <v>143.1</v>
      </c>
      <c r="U19" s="133">
        <v>124.5</v>
      </c>
      <c r="V19" s="133">
        <v>117.9</v>
      </c>
      <c r="W19" s="135">
        <v>153.30000000000001</v>
      </c>
      <c r="X19" s="135">
        <v>121.7</v>
      </c>
      <c r="Y19" s="133">
        <v>112</v>
      </c>
      <c r="Z19" s="133">
        <v>112.6</v>
      </c>
      <c r="AA19" s="134">
        <v>97.4</v>
      </c>
      <c r="AB19" s="134">
        <v>155.19999999999999</v>
      </c>
      <c r="AC19" s="134">
        <v>97.7</v>
      </c>
      <c r="AD19" s="134">
        <v>111.7</v>
      </c>
      <c r="AE19" s="650">
        <v>143</v>
      </c>
      <c r="AF19" s="650">
        <v>136.19999999999999</v>
      </c>
      <c r="AG19">
        <f t="shared" ref="AG19:AH19" si="36">SUMPRODUCT(AG20:AG21,AF6:AF7)/SUM(AF6:AF7)</f>
        <v>121.23928485715143</v>
      </c>
      <c r="AH19">
        <f t="shared" si="36"/>
        <v>127.31864585181219</v>
      </c>
      <c r="AI19">
        <f>SUMPRODUCT(AI20:AI21,AH6:AH7)/SUM(AH6:AH7)</f>
        <v>157.14609258494852</v>
      </c>
      <c r="AJ19">
        <f>SUMPRODUCT(AJ20:AJ21,AI6:AI7)/SUM(AI6:AI7)</f>
        <v>118.05098737819198</v>
      </c>
      <c r="AK19">
        <f>SUMPRODUCT(AK20:AK21,AJ6:AJ7)/SUM(AJ6:AJ7)</f>
        <v>77.117570047060596</v>
      </c>
      <c r="AL19">
        <f t="shared" ref="AL19:AP19" si="37">SUMPRODUCT(AL20:AL21,AK6:AK7)/SUM(AK6:AK7)</f>
        <v>72.072546386405634</v>
      </c>
      <c r="AM19">
        <f t="shared" si="37"/>
        <v>67.986265370186331</v>
      </c>
      <c r="AN19">
        <f t="shared" si="37"/>
        <v>117.51327175308901</v>
      </c>
      <c r="AO19">
        <f t="shared" si="37"/>
        <v>119.45571309683619</v>
      </c>
      <c r="AP19">
        <f t="shared" si="37"/>
        <v>119.8637006731132</v>
      </c>
      <c r="AU19">
        <v>117.9</v>
      </c>
      <c r="AV19">
        <v>153.30000000000001</v>
      </c>
      <c r="AW19">
        <v>121.7</v>
      </c>
      <c r="AX19">
        <v>112</v>
      </c>
      <c r="AY19">
        <v>112.6</v>
      </c>
      <c r="AZ19">
        <v>97.4</v>
      </c>
      <c r="BA19">
        <v>155.19999999999999</v>
      </c>
      <c r="BB19">
        <v>97.3</v>
      </c>
      <c r="BC19">
        <v>111</v>
      </c>
      <c r="BD19">
        <v>143.1</v>
      </c>
      <c r="BE19">
        <v>136.19999999999999</v>
      </c>
    </row>
    <row r="20" spans="1:57">
      <c r="B20" s="7" t="s">
        <v>32</v>
      </c>
      <c r="C20" s="11" t="s">
        <v>9</v>
      </c>
      <c r="D20" s="11"/>
      <c r="E20" s="11"/>
      <c r="F20" s="11"/>
      <c r="G20" s="11"/>
      <c r="H20" s="11"/>
      <c r="I20"/>
      <c r="J20"/>
      <c r="K20"/>
      <c r="L20"/>
      <c r="M20"/>
      <c r="N20"/>
      <c r="O20"/>
      <c r="P20"/>
      <c r="Q20"/>
      <c r="R20" s="136">
        <v>136.4</v>
      </c>
      <c r="S20" s="136">
        <v>120.6</v>
      </c>
      <c r="T20" s="136">
        <v>122.2</v>
      </c>
      <c r="U20" s="135">
        <v>145.69999999999999</v>
      </c>
      <c r="V20" s="133">
        <v>123</v>
      </c>
      <c r="W20" s="135">
        <v>156.69999999999999</v>
      </c>
      <c r="X20" s="133">
        <v>120.3</v>
      </c>
      <c r="Y20" s="135">
        <v>113</v>
      </c>
      <c r="Z20" s="133">
        <v>113.3</v>
      </c>
      <c r="AA20" s="135">
        <v>96.5</v>
      </c>
      <c r="AB20" s="133">
        <v>160.5</v>
      </c>
      <c r="AC20" s="135">
        <v>117.7</v>
      </c>
      <c r="AD20" s="133">
        <v>113.1</v>
      </c>
      <c r="AE20" s="175">
        <v>145.19999999999999</v>
      </c>
      <c r="AF20" s="175">
        <v>136.19999999999999</v>
      </c>
      <c r="AG20" s="701">
        <v>119.11</v>
      </c>
      <c r="AH20" s="701">
        <v>123.9375</v>
      </c>
      <c r="AI20" s="701">
        <v>152.5505</v>
      </c>
      <c r="AJ20" s="701">
        <v>100.5607</v>
      </c>
      <c r="AK20" s="781">
        <v>100</v>
      </c>
      <c r="AL20" s="781">
        <v>85.9</v>
      </c>
      <c r="AM20" s="781">
        <v>71.385999999999996</v>
      </c>
      <c r="AN20" s="781">
        <v>120</v>
      </c>
      <c r="AO20" s="781">
        <v>120</v>
      </c>
      <c r="AP20" s="781">
        <v>120</v>
      </c>
      <c r="BE20">
        <v>136.19999999999999</v>
      </c>
    </row>
    <row r="21" spans="1:57">
      <c r="B21" s="7" t="s">
        <v>33</v>
      </c>
      <c r="C21" s="11" t="s">
        <v>11</v>
      </c>
      <c r="D21" s="11"/>
      <c r="E21" s="11"/>
      <c r="F21" s="11"/>
      <c r="G21" s="11"/>
      <c r="H21" s="11"/>
      <c r="I21"/>
      <c r="J21"/>
      <c r="K21"/>
      <c r="L21"/>
      <c r="M21"/>
      <c r="N21"/>
      <c r="O21"/>
      <c r="P21"/>
      <c r="Q21"/>
      <c r="R21" s="136">
        <v>113.5</v>
      </c>
      <c r="S21" s="136">
        <v>126.9</v>
      </c>
      <c r="T21" s="136">
        <v>255.1</v>
      </c>
      <c r="U21" s="135">
        <v>68.5</v>
      </c>
      <c r="V21" s="133">
        <v>90.9</v>
      </c>
      <c r="W21" s="135">
        <v>119</v>
      </c>
      <c r="X21" s="133">
        <v>137.1</v>
      </c>
      <c r="Y21" s="135">
        <v>108.2</v>
      </c>
      <c r="Z21" s="133">
        <v>103.1</v>
      </c>
      <c r="AA21" s="135">
        <v>103.6</v>
      </c>
      <c r="AB21" s="133">
        <v>106.8</v>
      </c>
      <c r="AC21" s="135">
        <v>100.1</v>
      </c>
      <c r="AD21" s="133">
        <v>99.2</v>
      </c>
      <c r="AE21" s="175">
        <v>116.5</v>
      </c>
      <c r="AF21" s="175">
        <v>114</v>
      </c>
      <c r="AG21">
        <f>+AF21*1.5</f>
        <v>171</v>
      </c>
      <c r="AH21">
        <f t="shared" ref="AH21:AJ21" si="38">+AG21*1.02</f>
        <v>174.42000000000002</v>
      </c>
      <c r="AI21">
        <f t="shared" si="38"/>
        <v>177.90840000000003</v>
      </c>
      <c r="AJ21">
        <f t="shared" si="38"/>
        <v>181.46656800000002</v>
      </c>
      <c r="AK21">
        <f>+AJ21*0.20954</f>
        <v>38.024504658720005</v>
      </c>
      <c r="AL21">
        <f>+AK21*0.6212</f>
        <v>23.620822293996866</v>
      </c>
      <c r="AM21">
        <f t="shared" ref="AM21" si="39">+AL21*1.02</f>
        <v>24.093238739876803</v>
      </c>
      <c r="AN21">
        <f t="shared" ref="AN21" si="40">+AM21*1.02</f>
        <v>24.575103514674339</v>
      </c>
      <c r="AO21">
        <f t="shared" ref="AO21" si="41">+AN21*1.02</f>
        <v>25.066605584967828</v>
      </c>
      <c r="AP21">
        <f t="shared" ref="AP21" si="42">+AO21*1.02</f>
        <v>25.567937696667187</v>
      </c>
      <c r="BE21">
        <v>114</v>
      </c>
    </row>
    <row r="22" spans="1:57">
      <c r="B22" s="7" t="s">
        <v>34</v>
      </c>
      <c r="C22" s="6" t="s">
        <v>13</v>
      </c>
      <c r="D22" s="6"/>
      <c r="E22" s="6"/>
      <c r="F22" s="6"/>
      <c r="G22" s="6"/>
      <c r="H22" s="6"/>
      <c r="I22"/>
      <c r="J22"/>
      <c r="K22"/>
      <c r="L22"/>
      <c r="M22"/>
      <c r="N22"/>
      <c r="O22"/>
      <c r="P22"/>
      <c r="Q22"/>
      <c r="R22" s="133">
        <v>103.3</v>
      </c>
      <c r="S22" s="133">
        <v>110.2</v>
      </c>
      <c r="T22" s="133">
        <v>99</v>
      </c>
      <c r="U22" s="133">
        <v>100.9</v>
      </c>
      <c r="V22" s="133">
        <v>110.1</v>
      </c>
      <c r="W22" s="135">
        <v>112.5</v>
      </c>
      <c r="X22" s="135">
        <v>122.9</v>
      </c>
      <c r="Y22" s="133">
        <v>112.1</v>
      </c>
      <c r="Z22" s="133">
        <v>115.3</v>
      </c>
      <c r="AA22" s="134">
        <v>114.1</v>
      </c>
      <c r="AB22" s="134">
        <v>115.3</v>
      </c>
      <c r="AC22" s="134">
        <v>116.4</v>
      </c>
      <c r="AD22" s="134">
        <v>112.4</v>
      </c>
      <c r="AE22" s="650">
        <v>107.6</v>
      </c>
      <c r="AF22" s="650">
        <v>110.5</v>
      </c>
      <c r="AG22">
        <f t="shared" ref="AG22:AM22" si="43">(AG23*AF9+AF10*AG24+AG25*AF11+AF14*AG28)/(AF8)</f>
        <v>132.91232080012878</v>
      </c>
      <c r="AH22">
        <f t="shared" si="43"/>
        <v>127.14443299873152</v>
      </c>
      <c r="AI22">
        <f t="shared" si="43"/>
        <v>110.19672560929948</v>
      </c>
      <c r="AJ22">
        <f t="shared" si="43"/>
        <v>129.91494320209819</v>
      </c>
      <c r="AK22">
        <f>(AK23*AJ9+AJ10*AK24+AK25*AJ11+AJ14*AK28)/(AJ8)</f>
        <v>143.9584800044311</v>
      </c>
      <c r="AL22">
        <f t="shared" si="43"/>
        <v>149.21788693588729</v>
      </c>
      <c r="AM22">
        <f t="shared" si="43"/>
        <v>141.07613629143407</v>
      </c>
      <c r="AN22">
        <f t="shared" ref="AN22" si="44">(AN23*AM9+AM10*AN24+AN25*AM11+AM14*AN28)/(AM8)</f>
        <v>110.79750474273503</v>
      </c>
      <c r="AO22">
        <f t="shared" ref="AO22" si="45">(AO23*AN9+AN10*AO24+AO25*AN11+AN14*AO28)/(AN8)</f>
        <v>107.23611508915199</v>
      </c>
      <c r="AP22">
        <f t="shared" ref="AP22" si="46">(AP23*AO9+AO10*AP24+AP25*AO11+AO14*AP28)/(AO8)</f>
        <v>126.03136673787191</v>
      </c>
      <c r="BE22">
        <v>110.5</v>
      </c>
    </row>
    <row r="23" spans="1:57">
      <c r="B23" s="7" t="s">
        <v>35</v>
      </c>
      <c r="C23" s="13" t="s">
        <v>36</v>
      </c>
      <c r="I23" s="5">
        <v>102.7</v>
      </c>
      <c r="J23" s="5">
        <v>102.9</v>
      </c>
      <c r="K23" s="5">
        <v>117.3</v>
      </c>
      <c r="L23" s="5">
        <v>129.1</v>
      </c>
      <c r="M23" s="5">
        <v>107.1</v>
      </c>
      <c r="N23" s="5">
        <v>121.6</v>
      </c>
      <c r="O23" s="5">
        <v>102.4</v>
      </c>
      <c r="P23" s="5">
        <v>94.4</v>
      </c>
      <c r="Q23" s="5">
        <v>116.1</v>
      </c>
      <c r="R23" s="135">
        <v>102.1</v>
      </c>
      <c r="S23" s="135">
        <v>106.6</v>
      </c>
      <c r="T23" s="135">
        <v>100.8</v>
      </c>
      <c r="U23" s="135">
        <v>92.9</v>
      </c>
      <c r="V23" s="135">
        <v>103.5</v>
      </c>
      <c r="W23" s="135">
        <v>105.4</v>
      </c>
      <c r="X23" s="135">
        <v>115.6</v>
      </c>
      <c r="Y23" s="136">
        <v>117.6</v>
      </c>
      <c r="Z23" s="136">
        <v>107.7</v>
      </c>
      <c r="AA23" s="135">
        <v>125.9</v>
      </c>
      <c r="AB23" s="135">
        <v>103.3</v>
      </c>
      <c r="AC23" s="135">
        <v>132</v>
      </c>
      <c r="AD23" s="135">
        <v>127</v>
      </c>
      <c r="AE23" s="651">
        <v>110</v>
      </c>
      <c r="AF23" s="651">
        <v>116.1</v>
      </c>
      <c r="AG23" s="734">
        <v>224.5</v>
      </c>
      <c r="AH23" s="734">
        <v>179</v>
      </c>
      <c r="AI23" s="734">
        <v>140.9</v>
      </c>
      <c r="AJ23" s="734">
        <v>176.7</v>
      </c>
      <c r="AK23" s="734">
        <v>215</v>
      </c>
      <c r="AL23" s="734">
        <v>180.5</v>
      </c>
      <c r="AM23" s="734">
        <v>150.5</v>
      </c>
      <c r="AN23" s="734">
        <v>110</v>
      </c>
      <c r="AO23" s="734">
        <v>110</v>
      </c>
      <c r="AP23">
        <f t="shared" ref="AP23" si="47">AP9/AO9/AP38*10000</f>
        <v>104.49788899992247</v>
      </c>
      <c r="BE23">
        <v>116.1</v>
      </c>
    </row>
    <row r="24" spans="1:57">
      <c r="B24" s="7" t="s">
        <v>37</v>
      </c>
      <c r="C24" s="13" t="s">
        <v>38</v>
      </c>
      <c r="I24" s="5">
        <v>124.9</v>
      </c>
      <c r="J24" s="5">
        <v>117.8</v>
      </c>
      <c r="K24" s="5">
        <v>113.2</v>
      </c>
      <c r="L24" s="5">
        <v>111.9</v>
      </c>
      <c r="M24" s="5">
        <v>91.7</v>
      </c>
      <c r="N24" s="5">
        <v>115.3</v>
      </c>
      <c r="O24" s="5">
        <v>86</v>
      </c>
      <c r="P24" s="5">
        <v>91.1</v>
      </c>
      <c r="Q24" s="5">
        <v>113</v>
      </c>
      <c r="R24" s="135">
        <v>116.3</v>
      </c>
      <c r="S24" s="135">
        <v>128.19999999999999</v>
      </c>
      <c r="T24" s="135">
        <v>90.1</v>
      </c>
      <c r="U24" s="135">
        <v>92.9</v>
      </c>
      <c r="V24" s="135">
        <v>94.4</v>
      </c>
      <c r="W24" s="135">
        <v>103.8</v>
      </c>
      <c r="X24" s="137">
        <v>130.9</v>
      </c>
      <c r="Y24" s="136">
        <v>92.1</v>
      </c>
      <c r="Z24" s="136">
        <v>118.8</v>
      </c>
      <c r="AA24" s="135">
        <v>113.5</v>
      </c>
      <c r="AB24" s="135">
        <v>109.5</v>
      </c>
      <c r="AC24" s="135">
        <v>107.3</v>
      </c>
      <c r="AD24" s="135">
        <v>110.4</v>
      </c>
      <c r="AE24" s="651">
        <v>93</v>
      </c>
      <c r="AF24" s="651">
        <v>114.4</v>
      </c>
      <c r="AG24" s="95">
        <f>(AG197/AF197*(AF198*AF197)+(AG182/AF182*AF186+AG184/AF184*AF188)*Assumptions!AG12)/Industry!AF10*100</f>
        <v>70.293760123985479</v>
      </c>
      <c r="AH24" s="95">
        <f>(AH197/AG197*(AG198*AG197)+(AH182/AG182*AG186+AH184/AG184*AG188)*Assumptions!AH12)/Industry!AG10*100</f>
        <v>99.134405646506295</v>
      </c>
      <c r="AI24" s="95">
        <f>(AI197/AH197*(AH198*AH197)+(AI182/AH182*AH186+AI184/AH184*AH188)*Assumptions!AI12)/Industry!AH10*100</f>
        <v>121.18994708275288</v>
      </c>
      <c r="AJ24" s="95">
        <f>(AJ197/AI197*(AI198*AI197)+(AJ182/AI182*AI186+AJ184/AI184*AI188)*Assumptions!AJ12)/Industry!AI10*100</f>
        <v>82.80157347514681</v>
      </c>
      <c r="AK24" s="95">
        <f>(AK197/AJ197*(AJ198*AJ197)+(AK182/AJ182*AJ186+AK184/AJ184*AJ188)*Assumptions!AK12)/Industry!AJ10*100</f>
        <v>107.93884581319455</v>
      </c>
      <c r="AL24" s="95">
        <f>(AL197/AK197*(AK198*AK197)+(AL182/AK182*AK186+AL184/AK184*AK188)*Assumptions!AL12)/Industry!AK10*100</f>
        <v>97.598763922857302</v>
      </c>
      <c r="AM24" s="95">
        <f>(AM197/AL197*(AL198*AL197)+(AM182/AL182*AL186+AM184/AL184*AL188)*Assumptions!AM12)/Industry!AL10*100</f>
        <v>96.999127931444775</v>
      </c>
      <c r="AN24" s="95">
        <f>(AN197/AM197*(AM198*AM197)+(AN182/AM182*AM186+AN184/AM184*AM188)*Assumptions!AN12)/Industry!AM10*100</f>
        <v>95.654977347581109</v>
      </c>
      <c r="AO24" s="95">
        <f>(AO197/AN197*(AN198*AN197)+(AO182/AN182*AN186+AO184/AN184*AN188)*Assumptions!AO12)/Industry!AN10*100</f>
        <v>96.314143479069699</v>
      </c>
      <c r="AP24" s="95">
        <f>(AP197/AO197*(AO198*AO197)+(AP182/AO182*AO186+AP184/AO184*AO188)*Assumptions!AP12)/Industry!AO10*100</f>
        <v>85.69601936123766</v>
      </c>
      <c r="BE24">
        <v>114.4</v>
      </c>
    </row>
    <row r="25" spans="1:57">
      <c r="B25" s="7" t="s">
        <v>39</v>
      </c>
      <c r="C25" s="13" t="s">
        <v>19</v>
      </c>
      <c r="I25" s="5">
        <v>105.3</v>
      </c>
      <c r="J25" s="5">
        <v>104.1</v>
      </c>
      <c r="K25" s="5">
        <v>114.8</v>
      </c>
      <c r="L25" s="5">
        <v>105.1</v>
      </c>
      <c r="M25" s="5">
        <v>108.6</v>
      </c>
      <c r="N25" s="5">
        <v>101.3</v>
      </c>
      <c r="O25" s="5">
        <v>96.3</v>
      </c>
      <c r="P25" s="5">
        <v>92.4</v>
      </c>
      <c r="Q25" s="936">
        <v>103</v>
      </c>
      <c r="R25" s="135">
        <v>83.6</v>
      </c>
      <c r="S25" s="135">
        <v>102.7</v>
      </c>
      <c r="T25" s="135">
        <v>96</v>
      </c>
      <c r="U25" s="135">
        <v>86.8</v>
      </c>
      <c r="V25" s="135">
        <v>130.30000000000001</v>
      </c>
      <c r="W25" s="135">
        <v>104.7</v>
      </c>
      <c r="X25" s="135">
        <v>109.4</v>
      </c>
      <c r="Y25" s="136">
        <v>110.7</v>
      </c>
      <c r="Z25" s="136">
        <v>142.19999999999999</v>
      </c>
      <c r="AA25" s="135">
        <v>109.4</v>
      </c>
      <c r="AB25" s="135">
        <v>109.4</v>
      </c>
      <c r="AC25" s="135">
        <v>103.4</v>
      </c>
      <c r="AD25" s="135">
        <v>102.7</v>
      </c>
      <c r="AE25" s="651">
        <v>113.5</v>
      </c>
      <c r="AF25" s="651">
        <v>106.5</v>
      </c>
      <c r="AG25" s="95">
        <f t="shared" ref="AG25:AH25" si="48">(AG26*AF12+AF13*AG27)/(AF12+AF13)</f>
        <v>120.67037181585023</v>
      </c>
      <c r="AH25" s="95">
        <f t="shared" si="48"/>
        <v>114.53936606168891</v>
      </c>
      <c r="AI25" s="95">
        <f>(AI26*AH12+AH13*AI27)/(AH12+AH13)</f>
        <v>114.64386261877792</v>
      </c>
      <c r="AJ25" s="95">
        <f>(AJ26*AI12+AI13*AJ27)/(AI12+AI13)</f>
        <v>114.69395741266747</v>
      </c>
      <c r="AK25" s="95">
        <f>(AK26*AJ12+AJ13*AK27)/(AJ12+AJ13)</f>
        <v>114.73736512750851</v>
      </c>
      <c r="AL25" s="95">
        <f t="shared" ref="AL25:AP25" si="49">(AL26*AK12+AK13*AL27)/(AK12+AK13)</f>
        <v>114.77494274048736</v>
      </c>
      <c r="AM25" s="95">
        <f t="shared" si="49"/>
        <v>114.80095673979073</v>
      </c>
      <c r="AN25" s="95">
        <f t="shared" si="49"/>
        <v>114.82414527087086</v>
      </c>
      <c r="AO25" s="95">
        <f t="shared" si="49"/>
        <v>114.84479847398909</v>
      </c>
      <c r="AP25" s="95">
        <f t="shared" si="49"/>
        <v>114.86317496963571</v>
      </c>
      <c r="BE25">
        <v>106.5</v>
      </c>
    </row>
    <row r="26" spans="1:57">
      <c r="B26" s="14" t="s">
        <v>40</v>
      </c>
      <c r="C26" s="15" t="s">
        <v>41</v>
      </c>
      <c r="D26" s="15"/>
      <c r="E26" s="15"/>
      <c r="F26" s="15"/>
      <c r="G26" s="15"/>
      <c r="H26" s="15"/>
      <c r="I26"/>
      <c r="J26"/>
      <c r="K26"/>
      <c r="L26"/>
      <c r="M26"/>
      <c r="N26"/>
      <c r="O26"/>
      <c r="P26"/>
      <c r="Q26"/>
      <c r="R26" s="937">
        <v>80.7</v>
      </c>
      <c r="S26" s="937">
        <v>158321.31546212279</v>
      </c>
      <c r="T26" s="937">
        <v>70.080396237607417</v>
      </c>
      <c r="U26" s="135">
        <v>80.599999999999994</v>
      </c>
      <c r="V26" s="94">
        <v>139.49313451949948</v>
      </c>
      <c r="W26" s="94">
        <v>81.716386640055887</v>
      </c>
      <c r="X26" s="94">
        <v>81.734833395878894</v>
      </c>
      <c r="Y26" s="94">
        <v>93.476348610345724</v>
      </c>
      <c r="Z26" s="94">
        <v>102.18957337638392</v>
      </c>
      <c r="AA26" s="94">
        <v>89.702999082303634</v>
      </c>
      <c r="AB26" s="94">
        <v>64.107441578170494</v>
      </c>
      <c r="AC26" s="94">
        <v>101.64246097669658</v>
      </c>
      <c r="AD26" s="94">
        <f>(AC156*AD152/AC152+AD159*AD154/AC154)/(AC156+AC159)*100</f>
        <v>104.39340803608302</v>
      </c>
      <c r="AE26" s="94">
        <f>(AD156*AE152/AD152+AE159*AE154/AD154)/(AD156+AD159)*100</f>
        <v>129.33687329360694</v>
      </c>
      <c r="AF26" s="94">
        <f>(AE156*AF152/AE152+AF159*AF154/AE154)/(AE156+AE159)*100</f>
        <v>105.64558181730517</v>
      </c>
      <c r="AG26" s="124">
        <f t="shared" ref="AG26:AM26" si="50">(AF156*AG152/AF152+AG159*AG154/AF154)/(AF156+AF159)*100</f>
        <v>121.26398949198037</v>
      </c>
      <c r="AH26" s="124">
        <f t="shared" si="50"/>
        <v>114.80806584775571</v>
      </c>
      <c r="AI26" s="124">
        <f t="shared" si="50"/>
        <v>114.8804995287086</v>
      </c>
      <c r="AJ26" s="124">
        <f>(AI156*AJ152/AI152+AJ159*AJ154/AI154)/(AI156+AI159)*100</f>
        <v>114.90051744873348</v>
      </c>
      <c r="AK26" s="124">
        <f t="shared" si="50"/>
        <v>114.91723573414541</v>
      </c>
      <c r="AL26" s="124">
        <f t="shared" si="50"/>
        <v>114.9311902154178</v>
      </c>
      <c r="AM26" s="124">
        <f t="shared" si="50"/>
        <v>114.94012958148852</v>
      </c>
      <c r="AN26" s="124">
        <f t="shared" ref="AN26" si="51">(AM156*AN152/AM152+AN159*AN154/AM154)/(AM156+AM159)*100</f>
        <v>114.94791164867355</v>
      </c>
      <c r="AO26" s="124">
        <f t="shared" ref="AO26" si="52">(AN156*AO152/AN152+AO159*AO154/AN154)/(AN156+AN159)*100</f>
        <v>114.9546852564963</v>
      </c>
      <c r="AP26" s="124">
        <f t="shared" ref="AP26" si="53">(AO156*AP152/AO152+AP159*AP154/AO154)/(AO156+AO159)*100</f>
        <v>114.96058034224303</v>
      </c>
    </row>
    <row r="27" spans="1:57">
      <c r="B27" s="7" t="s">
        <v>42</v>
      </c>
      <c r="C27" s="13" t="s">
        <v>23</v>
      </c>
      <c r="I27"/>
      <c r="J27"/>
      <c r="K27"/>
      <c r="L27"/>
      <c r="M27"/>
      <c r="N27"/>
      <c r="O27"/>
      <c r="P27"/>
      <c r="Q27"/>
      <c r="R27" s="937">
        <v>127.9</v>
      </c>
      <c r="S27" s="937">
        <v>72.673904765281421</v>
      </c>
      <c r="T27" s="937">
        <v>79.412844036697251</v>
      </c>
      <c r="U27" s="135">
        <v>115.9</v>
      </c>
      <c r="V27" s="94">
        <v>110.66030230708034</v>
      </c>
      <c r="W27" s="94">
        <v>92.954708842559313</v>
      </c>
      <c r="X27" s="94">
        <v>79.737045630317056</v>
      </c>
      <c r="Y27" s="94">
        <v>92.919495635305523</v>
      </c>
      <c r="Z27" s="94">
        <v>105.15921362657505</v>
      </c>
      <c r="AA27" s="94">
        <v>83.333333333333343</v>
      </c>
      <c r="AB27" s="94">
        <v>72.039498371272302</v>
      </c>
      <c r="AC27" s="94">
        <v>102.47933884297522</v>
      </c>
      <c r="AD27" s="94">
        <f>(AC158*AD153/AC153+AC159*AD154/AC154)/(AC158+AC159)*100</f>
        <v>107.41935483870968</v>
      </c>
      <c r="AE27" s="94">
        <f t="shared" ref="AE27:AK27" si="54">(AD158*AE153/AD153+AD159*AE154/AD154)/(AD158+AD159)*100</f>
        <v>123.42342342342346</v>
      </c>
      <c r="AF27" s="94">
        <f t="shared" si="54"/>
        <v>107.42092457420924</v>
      </c>
      <c r="AG27" s="94">
        <f t="shared" si="54"/>
        <v>106.18965552875757</v>
      </c>
      <c r="AH27" s="94">
        <f t="shared" si="54"/>
        <v>106.89746142025453</v>
      </c>
      <c r="AI27" s="94">
        <f t="shared" si="54"/>
        <v>107.48987373362013</v>
      </c>
      <c r="AJ27" s="94">
        <f t="shared" si="54"/>
        <v>108.08118018790746</v>
      </c>
      <c r="AK27" s="94">
        <f t="shared" si="54"/>
        <v>108.66413919534479</v>
      </c>
      <c r="AL27" s="94">
        <f t="shared" ref="AL27" si="55">(AK158*AL153/AK153+AK159*AL154/AK154)/(AK158+AK159)*100</f>
        <v>109.23193952345977</v>
      </c>
      <c r="AM27" s="94">
        <f t="shared" ref="AM27" si="56">(AL158*AM153/AL153+AL159*AM154/AL154)/(AL158+AL159)*100</f>
        <v>109.71943782953572</v>
      </c>
      <c r="AN27" s="94">
        <f t="shared" ref="AN27" si="57">(AM158*AN153/AM153+AM159*AN154/AM154)/(AM158+AM159)*100</f>
        <v>110.18721361052872</v>
      </c>
      <c r="AO27" s="94">
        <f t="shared" ref="AO27" si="58">(AN158*AO153/AN153+AN159*AO154/AN154)/(AN158+AN159)*100</f>
        <v>110.63217343304214</v>
      </c>
      <c r="AP27" s="94">
        <f t="shared" ref="AP27" si="59">(AO158*AP153/AO153+AO159*AP154/AO154)/(AO158+AO159)*100</f>
        <v>111.05193820981798</v>
      </c>
    </row>
    <row r="28" spans="1:57">
      <c r="B28" s="7" t="s">
        <v>43</v>
      </c>
      <c r="C28" s="13" t="s">
        <v>44</v>
      </c>
      <c r="I28"/>
      <c r="J28" s="935"/>
      <c r="K28" s="935"/>
      <c r="L28" s="935"/>
      <c r="M28" s="935"/>
      <c r="N28" s="935"/>
      <c r="O28" s="935"/>
      <c r="P28" s="935"/>
      <c r="Q28" s="935"/>
      <c r="R28" s="938">
        <v>75.477134445534944</v>
      </c>
      <c r="S28" s="938">
        <v>96.503053435114452</v>
      </c>
      <c r="T28" s="938">
        <v>110.97211764705888</v>
      </c>
      <c r="U28" s="938">
        <v>158.96152197213289</v>
      </c>
      <c r="V28" s="94">
        <v>126.31196172248798</v>
      </c>
      <c r="W28" s="94">
        <v>139.03168705803117</v>
      </c>
      <c r="X28" s="94">
        <v>140.12357019064123</v>
      </c>
      <c r="Y28" s="94">
        <v>121.13204695124031</v>
      </c>
      <c r="Z28" s="94">
        <v>102.39652741362235</v>
      </c>
      <c r="AA28" s="94">
        <v>103.23783850624457</v>
      </c>
      <c r="AB28" s="94">
        <v>147.13973767306285</v>
      </c>
      <c r="AC28" s="95">
        <f>(AC22*AB8-SUMPRODUCT(AB9:AB11,AC23:AC25))/AB14</f>
        <v>115.57272727272729</v>
      </c>
      <c r="AD28" s="95">
        <f>(AD22*AC8-SUMPRODUCT(AC9:AC11,AD23:AD25))/AC14</f>
        <v>96.83140264635594</v>
      </c>
      <c r="AE28" s="95">
        <f t="shared" ref="AE28:AF28" si="60">(AE22*AD8-SUMPRODUCT(AD9:AD11,AE23:AE25))/AD14</f>
        <v>107.90392326604108</v>
      </c>
      <c r="AF28" s="95">
        <f t="shared" si="60"/>
        <v>105.3970003420023</v>
      </c>
      <c r="AG28" s="139">
        <f>AG14/AF14/AG43*10000</f>
        <v>33.09172980155747</v>
      </c>
      <c r="AH28" s="139">
        <f>AH14/AG14/AH43*10000</f>
        <v>82.775458495183557</v>
      </c>
      <c r="AI28" s="139">
        <f t="shared" ref="AI28:AL28" si="61">AI14/AH14/AI43*10000</f>
        <v>123.45428569672335</v>
      </c>
      <c r="AJ28" s="139">
        <f t="shared" si="61"/>
        <v>105.67919629900784</v>
      </c>
      <c r="AK28" s="139">
        <f t="shared" si="61"/>
        <v>99.274125686284378</v>
      </c>
      <c r="AL28" s="139">
        <f t="shared" si="61"/>
        <v>126.9184096244889</v>
      </c>
      <c r="AM28" s="139">
        <f t="shared" ref="AM28" si="62">AM14/AL14/AM43*10000</f>
        <v>162.76438160029772</v>
      </c>
      <c r="AN28" s="139">
        <f t="shared" ref="AN28" si="63">AN14/AM14/AN43*10000</f>
        <v>109.74718868814846</v>
      </c>
      <c r="AO28" s="139">
        <f t="shared" ref="AO28" si="64">AO14/AN14/AO43*10000</f>
        <v>92.551151054381791</v>
      </c>
      <c r="AP28" s="139">
        <f t="shared" ref="AP28" si="65">AP14/AO14/AP43*10000</f>
        <v>196.24563685355113</v>
      </c>
    </row>
    <row r="29" spans="1:57" ht="26.25">
      <c r="B29" s="7" t="s">
        <v>45</v>
      </c>
      <c r="C29" s="16" t="s">
        <v>27</v>
      </c>
      <c r="D29" s="16"/>
      <c r="E29" s="16"/>
      <c r="F29" s="16"/>
      <c r="G29" s="16"/>
      <c r="H29" s="16"/>
      <c r="I29" s="5">
        <v>107.6</v>
      </c>
      <c r="J29" s="5">
        <v>106.6</v>
      </c>
      <c r="K29" s="5">
        <v>98.1</v>
      </c>
      <c r="L29" s="5">
        <v>104.4</v>
      </c>
      <c r="M29" s="5">
        <v>105.5</v>
      </c>
      <c r="N29" s="5">
        <v>105.6</v>
      </c>
      <c r="O29" s="5">
        <v>93.4</v>
      </c>
      <c r="P29" s="5">
        <v>97.7</v>
      </c>
      <c r="Q29" s="5">
        <v>104.4</v>
      </c>
      <c r="R29" s="135">
        <v>100.5</v>
      </c>
      <c r="S29" s="135">
        <v>106.4</v>
      </c>
      <c r="T29" s="135">
        <v>105.6</v>
      </c>
      <c r="U29" s="135">
        <v>106.8</v>
      </c>
      <c r="V29" s="94">
        <v>111.5</v>
      </c>
      <c r="W29" s="94">
        <v>103.7</v>
      </c>
      <c r="X29" s="94">
        <v>116.5</v>
      </c>
      <c r="Y29" s="94">
        <v>107.5</v>
      </c>
      <c r="Z29" s="94">
        <v>105.6</v>
      </c>
      <c r="AA29" s="94">
        <v>100.1</v>
      </c>
      <c r="AB29" s="94">
        <v>112.7</v>
      </c>
      <c r="AC29" s="94">
        <v>117.5</v>
      </c>
      <c r="AD29">
        <v>107.1</v>
      </c>
      <c r="AE29" s="175">
        <v>105.7</v>
      </c>
      <c r="AF29" s="175">
        <v>113</v>
      </c>
      <c r="AG29">
        <f t="shared" ref="AG29:AI29" si="66">AG15/AF15*100</f>
        <v>108.22722005796955</v>
      </c>
      <c r="AH29">
        <f t="shared" si="66"/>
        <v>112.76928853806145</v>
      </c>
      <c r="AI29">
        <f t="shared" si="66"/>
        <v>121.29668523878343</v>
      </c>
      <c r="AJ29">
        <f>AJ15/AI15*100</f>
        <v>121.19792219999404</v>
      </c>
      <c r="AK29">
        <f>AK15/AJ15*100</f>
        <v>109.22659648151406</v>
      </c>
      <c r="AL29">
        <f>AL15/AK15*100</f>
        <v>107.77060944712001</v>
      </c>
      <c r="AM29">
        <f t="shared" ref="AM29:AP29" si="67">AM15/AL15*100</f>
        <v>107.65890429465676</v>
      </c>
      <c r="AN29">
        <f t="shared" si="67"/>
        <v>107.46567460666559</v>
      </c>
      <c r="AO29">
        <f t="shared" si="67"/>
        <v>107.49890194284291</v>
      </c>
      <c r="AP29">
        <f t="shared" si="67"/>
        <v>107.4673934693126</v>
      </c>
      <c r="BE29">
        <v>112.9</v>
      </c>
    </row>
    <row r="30" spans="1:57">
      <c r="AE30" s="175">
        <v>134.9</v>
      </c>
      <c r="AF30" s="175">
        <v>122.8</v>
      </c>
      <c r="AG30" s="175">
        <f t="shared" ref="AG30:AJ30" si="68">AG17/AF17*100</f>
        <v>104.70183440937606</v>
      </c>
      <c r="AH30" s="175">
        <f t="shared" si="68"/>
        <v>104.42918356359586</v>
      </c>
      <c r="AI30" s="175">
        <f t="shared" si="68"/>
        <v>103.54248657971125</v>
      </c>
      <c r="AJ30" s="175">
        <f t="shared" si="68"/>
        <v>115.03022654074027</v>
      </c>
      <c r="AK30" s="175">
        <f>AK17/AJ17*100</f>
        <v>109.22659648151406</v>
      </c>
      <c r="AL30" s="175">
        <f>AL17/AK17*100</f>
        <v>107.77060944712002</v>
      </c>
      <c r="AM30" s="175">
        <f t="shared" ref="AM30" si="69">AM17/AL17*100</f>
        <v>107.65890429465676</v>
      </c>
      <c r="AN30" s="175">
        <f t="shared" ref="AN30" si="70">AN17/AM17*100</f>
        <v>107.46567460666559</v>
      </c>
      <c r="AO30" s="175">
        <f t="shared" ref="AO30" si="71">AO17/AN17*100</f>
        <v>107.49890194284291</v>
      </c>
      <c r="AP30" s="175">
        <f t="shared" ref="AP30" si="72">AP17/AO17*100</f>
        <v>107.46739346931263</v>
      </c>
    </row>
    <row r="31" spans="1:57">
      <c r="B31" s="14" t="s">
        <v>46</v>
      </c>
      <c r="C31" s="15" t="s">
        <v>41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95">
        <v>139.49313451949948</v>
      </c>
      <c r="W31" s="95">
        <v>81.716386640055887</v>
      </c>
      <c r="X31" s="95">
        <v>81.734833395878894</v>
      </c>
      <c r="Y31" s="95">
        <v>93.476348610345724</v>
      </c>
      <c r="Z31" s="95">
        <v>102.18957337638392</v>
      </c>
      <c r="AA31" s="95">
        <v>89.702999082303634</v>
      </c>
      <c r="AB31" s="95">
        <v>64.107441578170494</v>
      </c>
      <c r="AC31" s="95">
        <v>101.64246097669658</v>
      </c>
      <c r="AD31" s="95">
        <v>104.47370213351539</v>
      </c>
      <c r="AE31" s="95">
        <v>129.0637335101367</v>
      </c>
      <c r="AF31" s="95">
        <v>119.1839359271311</v>
      </c>
      <c r="AG31" s="141">
        <v>121.26398949198037</v>
      </c>
      <c r="AH31" s="141">
        <v>114.85654556024411</v>
      </c>
      <c r="AI31" s="141">
        <v>114.8804995287086</v>
      </c>
      <c r="AJ31" s="141">
        <v>114.90051744873348</v>
      </c>
      <c r="AK31" s="141">
        <v>114.91723573414541</v>
      </c>
      <c r="AL31" s="141">
        <v>114.9311902154178</v>
      </c>
      <c r="AM31" s="141">
        <v>114.94012958148852</v>
      </c>
      <c r="AN31" s="141">
        <v>114.94791164867355</v>
      </c>
      <c r="AO31" s="141">
        <v>114.9546852564963</v>
      </c>
      <c r="AP31" s="141">
        <v>114.96058034224303</v>
      </c>
    </row>
    <row r="32" spans="1:57">
      <c r="C32" s="6" t="s">
        <v>47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</row>
    <row r="33" spans="2:57">
      <c r="B33" s="7" t="s">
        <v>48</v>
      </c>
      <c r="C33" s="11" t="s">
        <v>30</v>
      </c>
      <c r="D33" s="11"/>
      <c r="E33" s="11"/>
      <c r="F33" s="11"/>
      <c r="G33" s="11"/>
      <c r="H33" s="11"/>
      <c r="I33" s="11"/>
      <c r="J33" s="940">
        <v>120.60742490165131</v>
      </c>
      <c r="K33" s="940">
        <v>107.13061015924565</v>
      </c>
      <c r="L33" s="940">
        <v>98.051619433198368</v>
      </c>
      <c r="M33" s="940">
        <v>103.31709240930672</v>
      </c>
      <c r="N33" s="940">
        <v>108.71013888398338</v>
      </c>
      <c r="O33" s="940">
        <v>113.57855214317669</v>
      </c>
      <c r="P33" s="940">
        <v>113.87063833066799</v>
      </c>
      <c r="Q33" s="940">
        <v>86.837866025683297</v>
      </c>
      <c r="R33" s="941">
        <v>120.65521706666971</v>
      </c>
      <c r="S33" s="941">
        <v>109.10223007529707</v>
      </c>
      <c r="T33" s="941">
        <v>100.88035136204694</v>
      </c>
      <c r="U33" s="941">
        <v>100.81397374062163</v>
      </c>
      <c r="V33">
        <v>114.7</v>
      </c>
      <c r="W33">
        <v>101.7</v>
      </c>
      <c r="X33">
        <v>101.8</v>
      </c>
      <c r="Y33">
        <v>101.1</v>
      </c>
      <c r="Z33">
        <v>105.4</v>
      </c>
      <c r="AA33">
        <v>105.9</v>
      </c>
      <c r="AB33" s="95">
        <f t="shared" ref="AB33:AH33" si="73">AB4/AA4/AB18*10000</f>
        <v>104.05701495801165</v>
      </c>
      <c r="AC33" s="95">
        <f t="shared" si="73"/>
        <v>94.225969592578366</v>
      </c>
      <c r="AD33" s="95">
        <f t="shared" si="73"/>
        <v>99.001927932280793</v>
      </c>
      <c r="AE33" s="95">
        <f t="shared" si="73"/>
        <v>95.798800979722017</v>
      </c>
      <c r="AF33" s="95">
        <f t="shared" si="73"/>
        <v>101.54170562204904</v>
      </c>
      <c r="AG33">
        <f t="shared" si="73"/>
        <v>100.08321264218527</v>
      </c>
      <c r="AH33">
        <f t="shared" si="73"/>
        <v>100.49995525695964</v>
      </c>
      <c r="AI33">
        <f>AI4/AH4/AI18*10000</f>
        <v>100.29377176735255</v>
      </c>
      <c r="AJ33">
        <f t="shared" ref="AJ33:AP33" si="74">AJ4/AI4/AJ18*10000</f>
        <v>100.12097233654178</v>
      </c>
      <c r="AK33">
        <f>AK4/AJ4/AK18*10000</f>
        <v>84.914234637065022</v>
      </c>
      <c r="AL33">
        <f t="shared" si="74"/>
        <v>85.378346936779437</v>
      </c>
      <c r="AM33">
        <f t="shared" si="74"/>
        <v>83.711735140010859</v>
      </c>
      <c r="AN33">
        <f t="shared" si="74"/>
        <v>102.18581012918523</v>
      </c>
      <c r="AO33">
        <f t="shared" si="74"/>
        <v>101.00620492187215</v>
      </c>
      <c r="AP33">
        <f t="shared" si="74"/>
        <v>91.000144466316542</v>
      </c>
      <c r="BE33">
        <v>104.5</v>
      </c>
    </row>
    <row r="34" spans="2:57">
      <c r="B34" s="7" t="s">
        <v>49</v>
      </c>
      <c r="C34" s="11" t="s">
        <v>7</v>
      </c>
      <c r="D34" s="11"/>
      <c r="E34" s="11"/>
      <c r="F34" s="11"/>
      <c r="G34" s="11"/>
      <c r="H34" s="11"/>
      <c r="I34" s="11"/>
      <c r="J34" s="940"/>
      <c r="K34" s="940"/>
      <c r="L34" s="940"/>
      <c r="M34" s="940"/>
      <c r="N34" s="940"/>
      <c r="O34" s="940"/>
      <c r="P34" s="940"/>
      <c r="Q34" s="940"/>
      <c r="R34" s="941">
        <v>96.157165188147516</v>
      </c>
      <c r="S34" s="941">
        <v>103.83346026910384</v>
      </c>
      <c r="T34" s="941">
        <v>63.616383525350024</v>
      </c>
      <c r="U34" s="941">
        <v>100.81507767866451</v>
      </c>
      <c r="V34">
        <v>163.9</v>
      </c>
      <c r="W34">
        <v>84.9</v>
      </c>
      <c r="X34">
        <v>90.1</v>
      </c>
      <c r="Y34">
        <v>100.3</v>
      </c>
      <c r="Z34">
        <v>107.7</v>
      </c>
      <c r="AA34">
        <v>116.7</v>
      </c>
      <c r="AB34" s="95">
        <f t="shared" ref="AB34:AH34" si="75">AB5/AA5/AB19*10000</f>
        <v>125.74077751433707</v>
      </c>
      <c r="AC34" s="95">
        <f t="shared" si="75"/>
        <v>108.21982052908413</v>
      </c>
      <c r="AD34" s="95">
        <f t="shared" si="75"/>
        <v>94.379944657485439</v>
      </c>
      <c r="AE34" s="95">
        <f t="shared" si="75"/>
        <v>99.699404404408142</v>
      </c>
      <c r="AF34" s="95">
        <f t="shared" si="75"/>
        <v>109.8879350967907</v>
      </c>
      <c r="AG34">
        <f t="shared" si="75"/>
        <v>110.33661337696547</v>
      </c>
      <c r="AH34">
        <f t="shared" si="75"/>
        <v>87.451303598750627</v>
      </c>
      <c r="AI34">
        <f>AI5/AH5/AI19*10000</f>
        <v>87.037661369684727</v>
      </c>
      <c r="AJ34">
        <f t="shared" ref="AJ34:AP34" si="76">AJ5/AI5/AJ19*10000</f>
        <v>99.892578294831125</v>
      </c>
      <c r="AK34">
        <f t="shared" si="76"/>
        <v>138.07412498186008</v>
      </c>
      <c r="AL34">
        <f t="shared" si="76"/>
        <v>102.74014666447717</v>
      </c>
      <c r="AM34">
        <f t="shared" si="76"/>
        <v>101.65981017298986</v>
      </c>
      <c r="AN34">
        <f t="shared" si="76"/>
        <v>98.855203098892147</v>
      </c>
      <c r="AO34">
        <f t="shared" si="76"/>
        <v>100.02406176454348</v>
      </c>
      <c r="AP34">
        <f t="shared" si="76"/>
        <v>99.995381791745871</v>
      </c>
      <c r="BE34">
        <v>109.9</v>
      </c>
    </row>
    <row r="35" spans="2:57">
      <c r="B35" s="7" t="s">
        <v>50</v>
      </c>
      <c r="C35" s="11" t="s">
        <v>9</v>
      </c>
      <c r="D35" s="11"/>
      <c r="E35" s="11"/>
      <c r="F35" s="11"/>
      <c r="G35" s="11"/>
      <c r="H35" s="11"/>
      <c r="I35" s="11"/>
      <c r="J35" s="940"/>
      <c r="K35" s="940"/>
      <c r="L35" s="940"/>
      <c r="M35" s="940"/>
      <c r="N35" s="940"/>
      <c r="O35" s="940"/>
      <c r="P35" s="940"/>
      <c r="Q35" s="940"/>
      <c r="R35" s="941">
        <v>97.46293159834876</v>
      </c>
      <c r="S35" s="941">
        <v>102.7271052146674</v>
      </c>
      <c r="T35" s="941">
        <v>59.007875055962067</v>
      </c>
      <c r="U35" s="941">
        <v>100.30492697801317</v>
      </c>
      <c r="V35">
        <v>96.8</v>
      </c>
      <c r="W35">
        <v>96.6</v>
      </c>
      <c r="X35">
        <v>103.7</v>
      </c>
      <c r="Y35">
        <v>116</v>
      </c>
      <c r="Z35">
        <v>106.4</v>
      </c>
      <c r="AA35">
        <v>112.3</v>
      </c>
      <c r="AB35" s="95">
        <f t="shared" ref="AB35:AD35" si="77">AB6/AA6/AB20*10000</f>
        <v>127.24411471882327</v>
      </c>
      <c r="AC35" s="95">
        <f t="shared" si="77"/>
        <v>89.089768261526117</v>
      </c>
      <c r="AD35" s="95">
        <f t="shared" si="77"/>
        <v>93.588929541635594</v>
      </c>
      <c r="AE35" s="95">
        <f t="shared" ref="AE35:AF37" si="78">AE6/AD6/AE20*10000</f>
        <v>99.08585049419203</v>
      </c>
      <c r="AF35" s="95">
        <f t="shared" si="78"/>
        <v>111.28741942650416</v>
      </c>
      <c r="AG35" s="95">
        <f>(Assumptions!AG21/Assumptions!AF21)*(Assumptions!AG12/Assumptions!AF12)*100</f>
        <v>94.136318768159455</v>
      </c>
      <c r="AH35" s="95">
        <f>(Assumptions!AH21/Assumptions!AG21)*(Assumptions!AH12/Assumptions!AG12)*100</f>
        <v>102.58640436114244</v>
      </c>
      <c r="AI35" s="95">
        <f>(Assumptions!AI21/Assumptions!AH21)*(Assumptions!AI12/Assumptions!AH12)*100</f>
        <v>102.95333855108082</v>
      </c>
      <c r="AJ35" s="95">
        <f>(Assumptions!AJ21/Assumptions!AI21)*(Assumptions!AJ12/Assumptions!AI12)*100</f>
        <v>101.96673521768145</v>
      </c>
      <c r="AK35" s="95">
        <f>(Assumptions!AK21/Assumptions!AJ21)*(Assumptions!AK12/Assumptions!AJ12)*100</f>
        <v>101.33102707375912</v>
      </c>
      <c r="AL35" s="95">
        <f>(Assumptions!AL21/Assumptions!AK21)*(Assumptions!AL12/Assumptions!AK12)*100</f>
        <v>102.83746795803164</v>
      </c>
      <c r="AM35" s="95">
        <f>(Assumptions!AM21/Assumptions!AL21)*(Assumptions!AM12/Assumptions!AL12)*100</f>
        <v>101.59889535809586</v>
      </c>
      <c r="AN35" s="95">
        <f>(Assumptions!AN21/Assumptions!AM21)*(Assumptions!AN12/Assumptions!AM12)*100</f>
        <v>98.827011704077776</v>
      </c>
      <c r="AO35" s="95">
        <f>(Assumptions!AO21/Assumptions!AN21)*(Assumptions!AO12/Assumptions!AN12)*100</f>
        <v>100</v>
      </c>
      <c r="AP35" s="95">
        <f>(Assumptions!AP21/Assumptions!AO21)*(Assumptions!AP12/Assumptions!AO12)*100</f>
        <v>100</v>
      </c>
      <c r="BE35">
        <v>111.3</v>
      </c>
    </row>
    <row r="36" spans="2:57">
      <c r="B36" s="7" t="s">
        <v>51</v>
      </c>
      <c r="C36" s="11" t="s">
        <v>11</v>
      </c>
      <c r="D36" s="11"/>
      <c r="E36" s="11"/>
      <c r="F36" s="11"/>
      <c r="G36" s="11"/>
      <c r="H36" s="11"/>
      <c r="I36" s="11"/>
      <c r="J36" s="940"/>
      <c r="K36" s="940"/>
      <c r="L36" s="940"/>
      <c r="M36" s="940"/>
      <c r="N36" s="940"/>
      <c r="O36" s="940"/>
      <c r="P36" s="940"/>
      <c r="Q36" s="940"/>
      <c r="R36" s="941">
        <v>84.717045069467972</v>
      </c>
      <c r="S36" s="941">
        <v>117.67796164959286</v>
      </c>
      <c r="T36" s="941">
        <v>109.55087640701126</v>
      </c>
      <c r="U36" s="941">
        <v>105.87439658590051</v>
      </c>
      <c r="V36">
        <v>173.6</v>
      </c>
      <c r="W36">
        <v>83.4</v>
      </c>
      <c r="X36">
        <v>89.2</v>
      </c>
      <c r="Y36">
        <v>99.2</v>
      </c>
      <c r="Z36">
        <v>108.3</v>
      </c>
      <c r="AA36">
        <v>117.5</v>
      </c>
      <c r="AB36" s="95">
        <f t="shared" ref="AB36:AC36" si="79">AB7/AA7/AB21*10000</f>
        <v>105.85544293409463</v>
      </c>
      <c r="AC36" s="95">
        <f t="shared" si="79"/>
        <v>119.85952192137758</v>
      </c>
      <c r="AD36" s="95">
        <v>115</v>
      </c>
      <c r="AE36" s="95">
        <f t="shared" si="78"/>
        <v>105.36554940077521</v>
      </c>
      <c r="AF36" s="95">
        <f t="shared" si="78"/>
        <v>101.46755189594847</v>
      </c>
      <c r="AG36" s="125">
        <v>110</v>
      </c>
      <c r="AH36" s="125">
        <v>200.5</v>
      </c>
      <c r="AI36" s="125">
        <v>110</v>
      </c>
      <c r="AJ36" s="125">
        <v>119.92</v>
      </c>
      <c r="AK36" s="125">
        <v>129.93</v>
      </c>
      <c r="AL36" s="125">
        <v>101.5</v>
      </c>
      <c r="AM36" s="125">
        <v>103.99</v>
      </c>
      <c r="AN36" s="125">
        <v>104</v>
      </c>
      <c r="AO36" s="125">
        <v>120</v>
      </c>
      <c r="AP36" s="125">
        <v>85</v>
      </c>
      <c r="BE36">
        <v>101.5</v>
      </c>
    </row>
    <row r="37" spans="2:57">
      <c r="B37" s="7" t="s">
        <v>52</v>
      </c>
      <c r="C37" s="11" t="s">
        <v>13</v>
      </c>
      <c r="D37" s="11"/>
      <c r="E37" s="11"/>
      <c r="F37" s="11"/>
      <c r="G37" s="11"/>
      <c r="H37" s="11"/>
      <c r="I37" s="11"/>
      <c r="J37" s="940"/>
      <c r="K37" s="940"/>
      <c r="L37" s="940"/>
      <c r="M37" s="940"/>
      <c r="N37" s="940"/>
      <c r="O37" s="940"/>
      <c r="P37" s="940"/>
      <c r="Q37" s="940"/>
      <c r="R37" s="941">
        <v>132.7153349708893</v>
      </c>
      <c r="S37" s="941">
        <v>109.26740019820598</v>
      </c>
      <c r="T37" s="941">
        <v>106.88278130138596</v>
      </c>
      <c r="U37" s="941">
        <v>99.724228616826807</v>
      </c>
      <c r="V37">
        <v>102.7</v>
      </c>
      <c r="W37">
        <v>102</v>
      </c>
      <c r="X37">
        <v>102.8</v>
      </c>
      <c r="Y37">
        <v>101.5</v>
      </c>
      <c r="Z37">
        <v>104.5</v>
      </c>
      <c r="AA37">
        <v>104.8</v>
      </c>
      <c r="AB37" s="95">
        <f t="shared" ref="AB37:AH37" si="80">AB8/AA8/AB22*10000</f>
        <v>101.5646315292703</v>
      </c>
      <c r="AC37" s="95">
        <f t="shared" si="80"/>
        <v>98.984950600508256</v>
      </c>
      <c r="AD37" s="95">
        <f t="shared" si="80"/>
        <v>98.488475736096461</v>
      </c>
      <c r="AE37" s="95">
        <f t="shared" si="78"/>
        <v>98.866382480514943</v>
      </c>
      <c r="AF37" s="95">
        <f t="shared" si="78"/>
        <v>103.41018608596538</v>
      </c>
      <c r="AG37">
        <f t="shared" si="80"/>
        <v>94.867008589517184</v>
      </c>
      <c r="AH37">
        <f t="shared" si="80"/>
        <v>108.794642068016</v>
      </c>
      <c r="AI37">
        <f>AI8/AH8/AI22*10000</f>
        <v>109.83954085325936</v>
      </c>
      <c r="AJ37">
        <f>AJ8/AI8/AJ22*10000</f>
        <v>100.30960484881209</v>
      </c>
      <c r="AK37">
        <f>AK8/AJ8/AK22*10000</f>
        <v>67.975921665271812</v>
      </c>
      <c r="AL37">
        <f t="shared" ref="AL37:AP37" si="81">AL8/AK8/AL22*10000</f>
        <v>78.139756347300334</v>
      </c>
      <c r="AM37">
        <f t="shared" si="81"/>
        <v>77.826349955502849</v>
      </c>
      <c r="AN37">
        <f t="shared" si="81"/>
        <v>103.46627060581095</v>
      </c>
      <c r="AO37">
        <f t="shared" si="81"/>
        <v>101.47425679361072</v>
      </c>
      <c r="AP37">
        <f t="shared" si="81"/>
        <v>87.331852661560831</v>
      </c>
      <c r="BE37">
        <v>104.1</v>
      </c>
    </row>
    <row r="38" spans="2:57">
      <c r="B38" s="7" t="s">
        <v>53</v>
      </c>
      <c r="C38" s="13" t="s">
        <v>15</v>
      </c>
      <c r="J38" s="940">
        <v>136.86169064302578</v>
      </c>
      <c r="K38" s="940">
        <v>89.976544413305717</v>
      </c>
      <c r="L38" s="940">
        <v>94.685330429868372</v>
      </c>
      <c r="M38" s="940">
        <v>93.980664055495765</v>
      </c>
      <c r="N38" s="940">
        <v>108.95883615026941</v>
      </c>
      <c r="O38" s="940">
        <v>104.66832153193239</v>
      </c>
      <c r="P38" s="940">
        <v>105.7655971639884</v>
      </c>
      <c r="Q38" s="935">
        <v>67.039821126765858</v>
      </c>
      <c r="R38" s="941">
        <v>78.470235295024949</v>
      </c>
      <c r="S38" s="941">
        <v>127.45988355744454</v>
      </c>
      <c r="T38" s="941">
        <v>107.27919859927094</v>
      </c>
      <c r="U38" s="941">
        <v>97.982390770334788</v>
      </c>
      <c r="V38" s="95">
        <v>101.1</v>
      </c>
      <c r="W38" s="95">
        <v>100.5</v>
      </c>
      <c r="X38" s="95">
        <v>101.7</v>
      </c>
      <c r="Y38" s="95">
        <v>102.6</v>
      </c>
      <c r="Z38" s="95">
        <v>104.1</v>
      </c>
      <c r="AA38" s="95">
        <v>108.4</v>
      </c>
      <c r="AB38" s="95">
        <v>103.89274139597268</v>
      </c>
      <c r="AC38" s="95">
        <v>100.56200809355384</v>
      </c>
      <c r="AD38" s="95">
        <f>Monetary!AD5</f>
        <v>103.6</v>
      </c>
      <c r="AE38" s="95">
        <f>Monetary!AE5</f>
        <v>102.2</v>
      </c>
      <c r="AF38" s="95">
        <f>Monetary!AF5</f>
        <v>103.9</v>
      </c>
      <c r="AG38" s="95">
        <f>Monetary!AG5</f>
        <v>111.6970112238516</v>
      </c>
      <c r="AH38" s="95">
        <f>Monetary!AH5</f>
        <v>105.31013039666649</v>
      </c>
      <c r="AI38" s="95">
        <f>Monetary!AI5</f>
        <v>105.19949825346458</v>
      </c>
      <c r="AJ38" s="95">
        <f>Monetary!AJ5</f>
        <v>105.54147910632499</v>
      </c>
      <c r="AK38" s="95">
        <f>Monetary!AK5</f>
        <v>106.04922953691066</v>
      </c>
      <c r="AL38" s="95">
        <f>Monetary!AL5</f>
        <v>104.53219759452951</v>
      </c>
      <c r="AM38" s="95">
        <f>Monetary!AM5</f>
        <v>107.48806944432181</v>
      </c>
      <c r="AN38" s="95">
        <f>Monetary!AN5</f>
        <v>99.221031203951981</v>
      </c>
      <c r="AO38" s="95">
        <f>Monetary!AO5</f>
        <v>104.35583478476964</v>
      </c>
      <c r="AP38" s="95">
        <f>Monetary!AP5</f>
        <v>104.38497240387878</v>
      </c>
      <c r="BE38">
        <v>99.6</v>
      </c>
    </row>
    <row r="39" spans="2:57">
      <c r="B39" s="7" t="s">
        <v>54</v>
      </c>
      <c r="C39" s="13" t="s">
        <v>17</v>
      </c>
      <c r="J39" s="940">
        <v>110.82150721210527</v>
      </c>
      <c r="K39" s="940">
        <v>107.85176482955291</v>
      </c>
      <c r="L39" s="940">
        <v>103.48445730215488</v>
      </c>
      <c r="M39" s="940">
        <v>102.81743829580915</v>
      </c>
      <c r="N39" s="940">
        <v>104.73389056670173</v>
      </c>
      <c r="O39" s="940">
        <v>105.50541147395953</v>
      </c>
      <c r="P39" s="940">
        <v>113.87471745981476</v>
      </c>
      <c r="Q39" s="935">
        <v>193.22187439812507</v>
      </c>
      <c r="R39" s="941">
        <v>227.55402436694845</v>
      </c>
      <c r="S39" s="941">
        <v>84.567739145209387</v>
      </c>
      <c r="T39" s="941">
        <v>98.535149391883934</v>
      </c>
      <c r="U39" s="941">
        <v>104.00444806856225</v>
      </c>
      <c r="V39">
        <v>120.7</v>
      </c>
      <c r="W39">
        <v>111.6</v>
      </c>
      <c r="X39">
        <v>106.3</v>
      </c>
      <c r="Y39">
        <v>94.2</v>
      </c>
      <c r="Z39">
        <v>99.5</v>
      </c>
      <c r="AA39">
        <v>113.4</v>
      </c>
      <c r="AB39" s="95">
        <f t="shared" ref="AB39:AH40" si="82">AB10/AA10/AB24*10000</f>
        <v>130.33586304551889</v>
      </c>
      <c r="AC39" s="95">
        <f t="shared" si="82"/>
        <v>100.978200722274</v>
      </c>
      <c r="AD39" s="95">
        <f t="shared" si="82"/>
        <v>94.539255834002773</v>
      </c>
      <c r="AE39" s="95">
        <f t="shared" si="82"/>
        <v>94.306553754155274</v>
      </c>
      <c r="AF39" s="95">
        <f t="shared" si="82"/>
        <v>91.526627218934905</v>
      </c>
      <c r="AG39" s="95">
        <f t="shared" si="82"/>
        <v>106.46840237639402</v>
      </c>
      <c r="AH39" s="95">
        <f t="shared" si="82"/>
        <v>110.53158794430607</v>
      </c>
      <c r="AI39" s="95">
        <f t="shared" ref="AI39:AK40" si="83">AI10/AH10/AI24*10000</f>
        <v>103.96321470825738</v>
      </c>
      <c r="AJ39" s="95">
        <f t="shared" si="83"/>
        <v>112.30184016354914</v>
      </c>
      <c r="AK39" s="95">
        <f t="shared" si="83"/>
        <v>98.414436298410635</v>
      </c>
      <c r="AL39" s="95">
        <f t="shared" ref="AL39:AP39" si="84">AL10/AK10/AL24*10000</f>
        <v>105.12539550448737</v>
      </c>
      <c r="AM39" s="95">
        <f t="shared" si="84"/>
        <v>105.10670648882022</v>
      </c>
      <c r="AN39" s="95">
        <f t="shared" si="84"/>
        <v>105.01970921565237</v>
      </c>
      <c r="AO39" s="95">
        <f t="shared" si="84"/>
        <v>104.96269610450574</v>
      </c>
      <c r="AP39" s="95">
        <f t="shared" si="84"/>
        <v>107.0794091425298</v>
      </c>
      <c r="BE39">
        <v>91.7</v>
      </c>
    </row>
    <row r="40" spans="2:57">
      <c r="B40" s="7" t="s">
        <v>55</v>
      </c>
      <c r="C40" s="13" t="s">
        <v>19</v>
      </c>
      <c r="J40" s="940">
        <v>116.21651054644516</v>
      </c>
      <c r="K40" s="940">
        <v>110.68200092590337</v>
      </c>
      <c r="L40" s="940">
        <v>94.204905881496629</v>
      </c>
      <c r="M40" s="940">
        <v>107.07810866892495</v>
      </c>
      <c r="N40" s="940">
        <v>107.25765809297488</v>
      </c>
      <c r="O40" s="940">
        <v>109.64416357264544</v>
      </c>
      <c r="P40" s="940">
        <v>113.18542568542568</v>
      </c>
      <c r="Q40" s="935">
        <v>34.290024368545239</v>
      </c>
      <c r="R40" s="941">
        <v>106.05655810037324</v>
      </c>
      <c r="S40" s="941">
        <v>103.44118470507493</v>
      </c>
      <c r="T40" s="941">
        <v>128.99201596806387</v>
      </c>
      <c r="U40" s="941">
        <v>101.9484976245443</v>
      </c>
      <c r="V40">
        <v>111.4</v>
      </c>
      <c r="W40">
        <v>110.7</v>
      </c>
      <c r="X40">
        <v>105.9</v>
      </c>
      <c r="Y40">
        <v>100.4</v>
      </c>
      <c r="Z40">
        <v>131.30000000000001</v>
      </c>
      <c r="AA40" s="95">
        <v>99</v>
      </c>
      <c r="AB40" s="139">
        <f t="shared" si="82"/>
        <v>109.5680225166234</v>
      </c>
      <c r="AC40" s="139">
        <f t="shared" si="82"/>
        <v>97.651849842087628</v>
      </c>
      <c r="AD40" s="139">
        <f t="shared" si="82"/>
        <v>104.11018678259606</v>
      </c>
      <c r="AE40" s="139">
        <f t="shared" si="82"/>
        <v>110.65461105328878</v>
      </c>
      <c r="AF40" s="139">
        <f t="shared" si="82"/>
        <v>123.16813525713258</v>
      </c>
      <c r="AG40" s="139">
        <f>AG11/AF11/AG25*10000</f>
        <v>96.172246683554278</v>
      </c>
      <c r="AH40" s="139">
        <f t="shared" ref="AH40" si="85">AH11/AG11/AH25*10000</f>
        <v>104.52044779544808</v>
      </c>
      <c r="AI40" s="139">
        <f t="shared" si="83"/>
        <v>104.85438619959528</v>
      </c>
      <c r="AJ40" s="139">
        <f t="shared" si="83"/>
        <v>103.81119917567885</v>
      </c>
      <c r="AK40" s="139">
        <f t="shared" si="83"/>
        <v>103.1271023126349</v>
      </c>
      <c r="AL40" s="139">
        <f t="shared" ref="AL40:AP40" si="86">AL11/AK11/AL25*10000</f>
        <v>102.8973215465149</v>
      </c>
      <c r="AM40" s="139">
        <f t="shared" si="86"/>
        <v>101.65309267629287</v>
      </c>
      <c r="AN40" s="139">
        <f t="shared" si="86"/>
        <v>98.875108252388529</v>
      </c>
      <c r="AO40" s="139">
        <f t="shared" si="86"/>
        <v>100.04420610465166</v>
      </c>
      <c r="AP40" s="139">
        <f t="shared" si="86"/>
        <v>100.03998765021699</v>
      </c>
      <c r="BE40">
        <v>123.2</v>
      </c>
    </row>
    <row r="41" spans="2:57">
      <c r="B41" s="7" t="s">
        <v>56</v>
      </c>
      <c r="C41" s="13" t="s">
        <v>41</v>
      </c>
      <c r="J41"/>
      <c r="K41"/>
      <c r="L41"/>
      <c r="M41"/>
      <c r="N41"/>
      <c r="O41"/>
      <c r="P41"/>
      <c r="Q41"/>
      <c r="R41" s="941">
        <v>128.69534430872719</v>
      </c>
      <c r="S41" s="941">
        <v>5.9172927482075657E-2</v>
      </c>
      <c r="T41" s="941">
        <v>184.4114825023378</v>
      </c>
      <c r="U41" s="941">
        <v>102.05215034029601</v>
      </c>
      <c r="V41">
        <v>119.07999208603211</v>
      </c>
      <c r="W41" s="94">
        <f>W12/V12/W31*10000</f>
        <v>158.48335591486835</v>
      </c>
      <c r="X41" s="94">
        <f t="shared" ref="X41:AC41" si="87">X12/W12/X31*10000</f>
        <v>151.8295263042838</v>
      </c>
      <c r="Y41" s="94">
        <f t="shared" si="87"/>
        <v>135.89796582388814</v>
      </c>
      <c r="Z41" s="94">
        <f t="shared" si="87"/>
        <v>150.21417755913629</v>
      </c>
      <c r="AA41" s="94">
        <f t="shared" si="87"/>
        <v>144.44965264757289</v>
      </c>
      <c r="AB41" s="94">
        <f t="shared" si="87"/>
        <v>186.71267875693596</v>
      </c>
      <c r="AC41" s="94">
        <f t="shared" si="87"/>
        <v>99.362016093866629</v>
      </c>
      <c r="AD41" s="94">
        <f>AD12/AC12/AD31*10000</f>
        <v>102.45420725700276</v>
      </c>
      <c r="AE41" s="94">
        <f t="shared" ref="AE41:AF41" si="88">AE12/AD12/AE31*10000</f>
        <v>97.631899320777038</v>
      </c>
      <c r="AF41" s="94">
        <f t="shared" si="88"/>
        <v>107.42753111536143</v>
      </c>
      <c r="AG41" s="126">
        <f>(Assumptions!AG7/Assumptions!AF7)*(Assumptions!AG12/Assumptions!AF12)*100</f>
        <v>96.240660410310284</v>
      </c>
      <c r="AH41" s="126">
        <f>(Assumptions!AH7/Assumptions!AG7)*(Assumptions!AH12/Assumptions!AG12)*100</f>
        <v>104.4861525900525</v>
      </c>
      <c r="AI41" s="126">
        <f>(Assumptions!AI7/Assumptions!AH7)*(Assumptions!AI12/Assumptions!AH12)*100</f>
        <v>104.82521743382773</v>
      </c>
      <c r="AJ41" s="126">
        <f>(Assumptions!AJ7/Assumptions!AI7)*(Assumptions!AJ12/Assumptions!AI12)*100</f>
        <v>103.78756977514003</v>
      </c>
      <c r="AK41" s="126">
        <f>(Assumptions!AK7/Assumptions!AJ7)*(Assumptions!AK12/Assumptions!AJ12)*100</f>
        <v>103.10876439084262</v>
      </c>
      <c r="AL41" s="126">
        <f>(Assumptions!AL7/Assumptions!AK7)*(Assumptions!AL12/Assumptions!AK12)*100</f>
        <v>102.83746795803164</v>
      </c>
      <c r="AM41" s="126">
        <f>(Assumptions!AM7/Assumptions!AL7)*(Assumptions!AM12/Assumptions!AL12)*100</f>
        <v>101.59889535809586</v>
      </c>
      <c r="AN41" s="126">
        <f>(Assumptions!AN7/Assumptions!AM7)*(Assumptions!AN12/Assumptions!AM12)*100</f>
        <v>98.827011704077776</v>
      </c>
      <c r="AO41" s="126">
        <f>(Assumptions!AO7/Assumptions!AN7)*(Assumptions!AO12/Assumptions!AN12)*100</f>
        <v>100</v>
      </c>
      <c r="AP41" s="126">
        <f>(Assumptions!AP7/Assumptions!AO7)*(Assumptions!AP12/Assumptions!AO12)*100</f>
        <v>100</v>
      </c>
    </row>
    <row r="42" spans="2:57">
      <c r="B42" s="7" t="s">
        <v>57</v>
      </c>
      <c r="C42" s="13" t="s">
        <v>23</v>
      </c>
      <c r="J42"/>
      <c r="K42"/>
      <c r="L42"/>
      <c r="M42"/>
      <c r="N42"/>
      <c r="O42"/>
      <c r="P42"/>
      <c r="Q42"/>
      <c r="R42" s="941">
        <v>72.08756841282252</v>
      </c>
      <c r="S42" s="941">
        <v>109.4216651175194</v>
      </c>
      <c r="T42" s="941">
        <v>255.22036401998329</v>
      </c>
      <c r="U42" s="941">
        <v>103.99042196537833</v>
      </c>
      <c r="V42">
        <v>124.9164116800746</v>
      </c>
      <c r="W42" s="126">
        <f>(Assumptions!W7/Assumptions!V7)*(Assumptions!W12/Assumptions!V12)*100</f>
        <v>122.48757565612476</v>
      </c>
      <c r="X42" s="126">
        <f>(Assumptions!X7/Assumptions!W7)*(Assumptions!X12/Assumptions!W12)*100</f>
        <v>133.83937080986442</v>
      </c>
      <c r="Y42" s="126">
        <f>(Assumptions!Y7/Assumptions!X7)*(Assumptions!Y12/Assumptions!X12)*100</f>
        <v>114.69431465542095</v>
      </c>
      <c r="Z42" s="126">
        <f>(Assumptions!Z7/Assumptions!Y7)*(Assumptions!Z12/Assumptions!Y12)*100</f>
        <v>89.004638833077394</v>
      </c>
      <c r="AA42" s="126">
        <f>(Assumptions!AA7/Assumptions!Z7)*(Assumptions!AA12/Assumptions!Z12)*100</f>
        <v>109.65171187735628</v>
      </c>
      <c r="AB42" s="126">
        <f>(Assumptions!AB7/Assumptions!AA7)*(Assumptions!AB12/Assumptions!AA12)*100</f>
        <v>150.43482431637199</v>
      </c>
      <c r="AC42" s="126">
        <f>(Assumptions!AC7/Assumptions!AB7)*(Assumptions!AC12/Assumptions!AB12)*100</f>
        <v>97.068532866797426</v>
      </c>
      <c r="AD42" s="126">
        <f>(Assumptions!AD7/Assumptions!AC7)*(Assumptions!AD12/Assumptions!AC12)*100</f>
        <v>88.9736319478599</v>
      </c>
      <c r="AE42" s="126">
        <f>(Assumptions!AE7/Assumptions!AD7)*(Assumptions!AE12/Assumptions!AD12)*100</f>
        <v>106.37114314139946</v>
      </c>
      <c r="AF42" s="126">
        <f>(Assumptions!AF7/Assumptions!AE7)*(Assumptions!AF12/Assumptions!AE12)*100</f>
        <v>98.923382439328648</v>
      </c>
      <c r="AG42" s="126">
        <f>(Assumptions!AG7/Assumptions!AF7)*(Assumptions!AG12/Assumptions!AF12)*100</f>
        <v>96.240660410310284</v>
      </c>
      <c r="AH42" s="126">
        <f>(Assumptions!AH7/Assumptions!AG7)*(Assumptions!AH12/Assumptions!AG12)*100</f>
        <v>104.4861525900525</v>
      </c>
      <c r="AI42" s="126">
        <f>(Assumptions!AI7/Assumptions!AH7)*(Assumptions!AI12/Assumptions!AH12)*100</f>
        <v>104.82521743382773</v>
      </c>
      <c r="AJ42" s="126">
        <f>(Assumptions!AJ7/Assumptions!AI7)*(Assumptions!AJ12/Assumptions!AI12)*100</f>
        <v>103.78756977514003</v>
      </c>
      <c r="AK42" s="126">
        <f>(Assumptions!AK7/Assumptions!AJ7)*(Assumptions!AK12/Assumptions!AJ12)*100</f>
        <v>103.10876439084262</v>
      </c>
      <c r="AL42" s="126">
        <f>(Assumptions!AL7/Assumptions!AK7)*(Assumptions!AL12/Assumptions!AK12)*100</f>
        <v>102.83746795803164</v>
      </c>
      <c r="AM42" s="126">
        <f>(Assumptions!AM7/Assumptions!AL7)*(Assumptions!AM12/Assumptions!AL12)*100</f>
        <v>101.59889535809586</v>
      </c>
      <c r="AN42" s="126">
        <f>(Assumptions!AN7/Assumptions!AM7)*(Assumptions!AN12/Assumptions!AM12)*100</f>
        <v>98.827011704077776</v>
      </c>
      <c r="AO42" s="126">
        <f>(Assumptions!AO7/Assumptions!AN7)*(Assumptions!AO12/Assumptions!AN12)*100</f>
        <v>100</v>
      </c>
      <c r="AP42" s="126">
        <f>(Assumptions!AP7/Assumptions!AO7)*(Assumptions!AP12/Assumptions!AO12)*100</f>
        <v>100</v>
      </c>
    </row>
    <row r="43" spans="2:57">
      <c r="B43" s="7" t="s">
        <v>58</v>
      </c>
      <c r="C43" s="13" t="s">
        <v>44</v>
      </c>
      <c r="J43" s="940"/>
      <c r="K43" s="940"/>
      <c r="L43" s="940"/>
      <c r="M43" s="940"/>
      <c r="N43" s="940"/>
      <c r="O43" s="940"/>
      <c r="P43" s="940"/>
      <c r="Q43" s="939">
        <v>100.91109327271228</v>
      </c>
      <c r="R43" s="941">
        <v>-204.39155805656375</v>
      </c>
      <c r="S43" s="941">
        <v>112.06121442715633</v>
      </c>
      <c r="T43" s="941">
        <v>98.911968348170092</v>
      </c>
      <c r="U43" s="941">
        <v>98.643998999400594</v>
      </c>
      <c r="V43" s="95">
        <v>96.420670756256726</v>
      </c>
      <c r="W43" s="94">
        <f>W14/V14/W28*10000</f>
        <v>93.167202916311084</v>
      </c>
      <c r="X43" s="94">
        <f t="shared" ref="X43:AE43" si="89">X14/W14/X28*10000</f>
        <v>90.620064241391304</v>
      </c>
      <c r="Y43" s="94">
        <f t="shared" si="89"/>
        <v>96.692497435716447</v>
      </c>
      <c r="Z43" s="94">
        <f t="shared" si="89"/>
        <v>115.04003911162172</v>
      </c>
      <c r="AA43" s="94">
        <f t="shared" si="89"/>
        <v>98.624432316617757</v>
      </c>
      <c r="AB43" s="94">
        <f t="shared" si="89"/>
        <v>76.629200017234169</v>
      </c>
      <c r="AC43" s="94">
        <f t="shared" si="89"/>
        <v>95.933072948800771</v>
      </c>
      <c r="AD43" s="94">
        <f t="shared" si="89"/>
        <v>115.89563236921384</v>
      </c>
      <c r="AE43" s="94">
        <f t="shared" si="89"/>
        <v>105.07426624047828</v>
      </c>
      <c r="AF43" s="94">
        <f>AF14/AE14/AF28*10000</f>
        <v>99.675252160546307</v>
      </c>
      <c r="AG43" s="140">
        <v>250</v>
      </c>
      <c r="AH43" s="140">
        <v>161.5</v>
      </c>
      <c r="AI43" s="140">
        <v>120</v>
      </c>
      <c r="AJ43" s="140">
        <v>120</v>
      </c>
      <c r="AK43" s="140">
        <v>120</v>
      </c>
      <c r="AL43" s="140">
        <v>101</v>
      </c>
      <c r="AM43" s="140">
        <v>64.5</v>
      </c>
      <c r="AN43" s="140">
        <v>115</v>
      </c>
      <c r="AO43" s="140">
        <v>115</v>
      </c>
      <c r="AP43" s="140">
        <v>55</v>
      </c>
    </row>
    <row r="44" spans="2:57">
      <c r="B44" s="7" t="s">
        <v>59</v>
      </c>
      <c r="C44" s="13" t="s">
        <v>60</v>
      </c>
      <c r="J44" s="940">
        <v>160.78584132623749</v>
      </c>
      <c r="K44" s="940">
        <v>98.880497523672616</v>
      </c>
      <c r="L44" s="940">
        <v>112.47378438002571</v>
      </c>
      <c r="M44" s="940">
        <v>100.08843327151588</v>
      </c>
      <c r="N44" s="940">
        <v>125.91029053200369</v>
      </c>
      <c r="O44" s="940">
        <v>180.2741845688723</v>
      </c>
      <c r="P44" s="940">
        <v>141.87374194980873</v>
      </c>
      <c r="Q44" s="935">
        <v>154.85600104458186</v>
      </c>
      <c r="R44" s="941">
        <v>100.09247749119817</v>
      </c>
      <c r="S44" s="941">
        <v>112.15066452972734</v>
      </c>
      <c r="T44" s="941">
        <v>104.37879658155364</v>
      </c>
      <c r="U44" s="941">
        <v>106.05833055215635</v>
      </c>
      <c r="V44" s="95">
        <v>116.5</v>
      </c>
      <c r="W44" s="95">
        <v>115</v>
      </c>
      <c r="X44" s="95">
        <v>115</v>
      </c>
      <c r="Y44" s="95">
        <v>102.5</v>
      </c>
      <c r="Z44" s="95">
        <v>105.7</v>
      </c>
      <c r="AA44" s="95">
        <v>100.2</v>
      </c>
      <c r="AB44" s="95">
        <f t="shared" ref="AB44:AC44" si="90">AB15/AA15/AB29*10000</f>
        <v>95.568405676859953</v>
      </c>
      <c r="AC44" s="95">
        <f t="shared" si="90"/>
        <v>80.012807424106825</v>
      </c>
      <c r="AD44" s="95">
        <f t="shared" ref="AD44:AH44" si="91">AD15/AC15/AD29*10000</f>
        <v>110.04848028061629</v>
      </c>
      <c r="AE44">
        <f t="shared" si="91"/>
        <v>103.96996289425955</v>
      </c>
      <c r="AF44">
        <f>AF15/AE15/AF29*10000</f>
        <v>105.35170451825658</v>
      </c>
      <c r="AG44">
        <f t="shared" si="91"/>
        <v>100</v>
      </c>
      <c r="AH44">
        <f t="shared" si="91"/>
        <v>100</v>
      </c>
      <c r="AI44">
        <f>AI15/AH15/AI29*10000</f>
        <v>100</v>
      </c>
      <c r="AJ44">
        <f>AJ15/AI15/AJ29*10000</f>
        <v>100</v>
      </c>
      <c r="AK44">
        <f>AK15/AJ15/AK29*10000</f>
        <v>100</v>
      </c>
      <c r="AL44">
        <f t="shared" ref="AL44:AP44" si="92">AL15/AK15/AL29*10000</f>
        <v>100</v>
      </c>
      <c r="AM44">
        <f t="shared" si="92"/>
        <v>100</v>
      </c>
      <c r="AN44">
        <f t="shared" si="92"/>
        <v>100</v>
      </c>
      <c r="AO44">
        <f t="shared" si="92"/>
        <v>100</v>
      </c>
      <c r="AP44">
        <f t="shared" si="92"/>
        <v>100</v>
      </c>
      <c r="BE44">
        <v>109.8</v>
      </c>
    </row>
    <row r="45" spans="2:57">
      <c r="AE45" s="175">
        <v>100</v>
      </c>
      <c r="AF45" s="175">
        <v>100</v>
      </c>
      <c r="AG45" s="175">
        <v>100</v>
      </c>
      <c r="AH45" s="175">
        <v>100</v>
      </c>
      <c r="AI45" s="175">
        <v>100</v>
      </c>
      <c r="AJ45" s="175">
        <v>100</v>
      </c>
      <c r="AK45" s="175">
        <v>100</v>
      </c>
      <c r="AL45" s="175">
        <v>100</v>
      </c>
      <c r="AM45" s="175">
        <v>100</v>
      </c>
      <c r="AN45" s="175">
        <v>100</v>
      </c>
      <c r="AO45" s="175">
        <v>100</v>
      </c>
      <c r="AP45" s="175">
        <v>100</v>
      </c>
    </row>
    <row r="47" spans="2:57">
      <c r="AG47" t="s">
        <v>358</v>
      </c>
    </row>
    <row r="48" spans="2:57">
      <c r="C48" s="6" t="s">
        <v>61</v>
      </c>
      <c r="D48" s="6"/>
      <c r="E48" s="6"/>
      <c r="F48" s="6"/>
      <c r="G48" s="6"/>
      <c r="H48" s="6"/>
      <c r="I48" s="6"/>
      <c r="J48" s="940">
        <v>100</v>
      </c>
      <c r="K48" s="940">
        <v>115.1</v>
      </c>
      <c r="L48" s="940">
        <v>127.07040000000001</v>
      </c>
      <c r="M48" s="940">
        <v>134.05927199999999</v>
      </c>
      <c r="N48" s="940">
        <v>147.331139928</v>
      </c>
      <c r="O48" s="942">
        <v>142.17455003052001</v>
      </c>
      <c r="P48" s="942">
        <v>132.93320427853621</v>
      </c>
      <c r="Q48" s="942">
        <v>145.16305907216153</v>
      </c>
      <c r="R48" s="943">
        <v>153.43735343927474</v>
      </c>
      <c r="S48" s="943">
        <v>170.00858761071643</v>
      </c>
      <c r="T48" s="943">
        <v>176.46891393992365</v>
      </c>
      <c r="U48" s="943">
        <v>185.29235963691983</v>
      </c>
    </row>
    <row r="49" spans="2:42" ht="15.75">
      <c r="B49" s="7" t="s">
        <v>62</v>
      </c>
      <c r="C49" s="11" t="s">
        <v>30</v>
      </c>
      <c r="D49" s="11"/>
      <c r="E49" s="11"/>
      <c r="F49" s="11"/>
      <c r="G49" s="11"/>
      <c r="H49" s="11"/>
      <c r="I49" s="11"/>
      <c r="J49" s="940">
        <v>100</v>
      </c>
      <c r="K49" s="940">
        <v>98.1</v>
      </c>
      <c r="L49" s="940">
        <v>102.4164</v>
      </c>
      <c r="M49" s="940">
        <v>108.04930199999998</v>
      </c>
      <c r="N49" s="940">
        <v>114.10006291199997</v>
      </c>
      <c r="O49" s="942">
        <v>106.56945875980799</v>
      </c>
      <c r="P49" s="942">
        <v>104.1183612083324</v>
      </c>
      <c r="Q49" s="942">
        <v>108.69956910149904</v>
      </c>
      <c r="R49" s="943">
        <v>107.3966293319222</v>
      </c>
      <c r="S49" s="943">
        <v>112.26446522232094</v>
      </c>
      <c r="T49" s="943">
        <v>113.19702617415004</v>
      </c>
      <c r="U49" s="943">
        <v>108.94428367751092</v>
      </c>
      <c r="V49" s="95">
        <v>206.23039627589176</v>
      </c>
      <c r="W49" s="95">
        <f t="shared" ref="W49:AH49" si="93">V49*W18/100</f>
        <v>239.22725968003445</v>
      </c>
      <c r="X49" s="95">
        <f t="shared" si="93"/>
        <v>290.18266599188178</v>
      </c>
      <c r="Y49" s="95">
        <f t="shared" si="93"/>
        <v>320.94202858702124</v>
      </c>
      <c r="Z49" s="95">
        <f t="shared" si="93"/>
        <v>363.30637636050807</v>
      </c>
      <c r="AA49" s="95">
        <f t="shared" si="93"/>
        <v>395.27733748023275</v>
      </c>
      <c r="AB49" s="95">
        <f t="shared" si="93"/>
        <v>477.49502367612115</v>
      </c>
      <c r="AC49" s="95">
        <f t="shared" si="93"/>
        <v>551.02925732224389</v>
      </c>
      <c r="AD49" s="95">
        <f t="shared" si="93"/>
        <v>617.1527682009131</v>
      </c>
      <c r="AE49" s="95">
        <f t="shared" si="93"/>
        <v>740.58332184109577</v>
      </c>
      <c r="AF49">
        <f>AE49*AF18/100</f>
        <v>904.25223596797787</v>
      </c>
      <c r="AG49">
        <f t="shared" si="93"/>
        <v>1130.5048829507125</v>
      </c>
      <c r="AH49">
        <f t="shared" si="93"/>
        <v>1413.132273410904</v>
      </c>
      <c r="AI49">
        <f>AH49*AI18/100</f>
        <v>1767.9375864305207</v>
      </c>
      <c r="AJ49">
        <f>AI49*AJ18/100</f>
        <v>2211.2266380149649</v>
      </c>
      <c r="AK49">
        <f t="shared" ref="AK49:AP49" si="94">AJ49*AK18/100</f>
        <v>2652.4948783912446</v>
      </c>
      <c r="AL49">
        <f>AK49*AL18/100</f>
        <v>3181.0316776263167</v>
      </c>
      <c r="AM49">
        <f t="shared" si="94"/>
        <v>3819.4734459520737</v>
      </c>
      <c r="AN49">
        <f t="shared" si="94"/>
        <v>4251.1409420068776</v>
      </c>
      <c r="AO49">
        <f t="shared" si="94"/>
        <v>4641.084056854449</v>
      </c>
      <c r="AP49">
        <f t="shared" si="94"/>
        <v>5677.8838755574225</v>
      </c>
    </row>
    <row r="50" spans="2:42" ht="15.75">
      <c r="B50" s="7" t="s">
        <v>63</v>
      </c>
      <c r="C50" s="13" t="s">
        <v>64</v>
      </c>
      <c r="J50" s="940">
        <v>100</v>
      </c>
      <c r="K50" s="940">
        <v>114.8</v>
      </c>
      <c r="L50" s="940">
        <v>120.65479999999999</v>
      </c>
      <c r="M50" s="940">
        <v>131.03111279999999</v>
      </c>
      <c r="N50" s="940">
        <v>132.73451726639999</v>
      </c>
      <c r="O50" s="942">
        <v>127.82334012754318</v>
      </c>
      <c r="P50" s="942">
        <v>118.1087662778499</v>
      </c>
      <c r="Q50" s="942">
        <v>121.65202926618539</v>
      </c>
      <c r="R50" s="941">
        <v>101.70109646653098</v>
      </c>
      <c r="S50" s="941">
        <v>104.44702607112733</v>
      </c>
      <c r="T50" s="941">
        <v>100.26914502828224</v>
      </c>
      <c r="U50" s="941">
        <v>87.033617884548988</v>
      </c>
      <c r="V50" s="95">
        <v>113.50787982475975</v>
      </c>
      <c r="W50" s="95">
        <f>V50*W70/V70</f>
        <v>113.97085334694442</v>
      </c>
      <c r="X50" s="95">
        <f t="shared" ref="X50:AI50" si="95">W50*X70/W70</f>
        <v>120.00273695026461</v>
      </c>
      <c r="Y50" s="95">
        <f t="shared" si="95"/>
        <v>130.57176107099446</v>
      </c>
      <c r="Z50" s="95">
        <f t="shared" si="95"/>
        <v>136.7557645458896</v>
      </c>
      <c r="AA50" s="95">
        <f t="shared" si="95"/>
        <v>130.7635643873281</v>
      </c>
      <c r="AB50" s="95">
        <f t="shared" si="95"/>
        <v>136.40390466902923</v>
      </c>
      <c r="AC50" s="95">
        <f t="shared" si="95"/>
        <v>141.53431268558128</v>
      </c>
      <c r="AD50" s="95">
        <f t="shared" si="95"/>
        <v>144.58332402454027</v>
      </c>
      <c r="AE50" s="95">
        <f t="shared" si="95"/>
        <v>148.33473233572801</v>
      </c>
      <c r="AF50" s="95">
        <f>AE50*AF70/AE70</f>
        <v>158.66697856939774</v>
      </c>
      <c r="AG50" s="95">
        <f t="shared" si="95"/>
        <v>169.77366706925559</v>
      </c>
      <c r="AH50" s="95">
        <f t="shared" si="95"/>
        <v>181.65782376410351</v>
      </c>
      <c r="AI50" s="95">
        <f t="shared" si="95"/>
        <v>194.37387142759079</v>
      </c>
      <c r="AJ50" s="95">
        <f t="shared" ref="AJ50" si="96">AI50*AJ70/AI70</f>
        <v>207.98004242752216</v>
      </c>
      <c r="AK50" s="95">
        <f t="shared" ref="AK50" si="97">AJ50*AK70/AJ70</f>
        <v>222.53864539744873</v>
      </c>
      <c r="AL50" s="95">
        <f t="shared" ref="AL50" si="98">AK50*AL70/AK70</f>
        <v>238.11635057527013</v>
      </c>
      <c r="AM50" s="95">
        <f t="shared" ref="AM50" si="99">AL50*AM70/AL70</f>
        <v>254.78449511553904</v>
      </c>
      <c r="AN50" s="95">
        <f t="shared" ref="AN50" si="100">AM50*AN70/AM70</f>
        <v>272.61940977362678</v>
      </c>
      <c r="AO50" s="95">
        <f t="shared" ref="AO50" si="101">AN50*AO70/AN70</f>
        <v>291.70276845778068</v>
      </c>
      <c r="AP50" s="95">
        <f t="shared" ref="AP50" si="102">AO50*AP70/AO70</f>
        <v>312.12196224982534</v>
      </c>
    </row>
    <row r="51" spans="2:42" ht="15.75">
      <c r="B51" s="7" t="s">
        <v>65</v>
      </c>
      <c r="C51" s="13" t="s">
        <v>66</v>
      </c>
      <c r="J51" s="940">
        <v>100</v>
      </c>
      <c r="K51" s="940">
        <v>113.2</v>
      </c>
      <c r="L51" s="940">
        <v>126.67080000000001</v>
      </c>
      <c r="M51" s="940">
        <v>116.15712360000002</v>
      </c>
      <c r="N51" s="940">
        <v>133.92916351080004</v>
      </c>
      <c r="O51" s="942">
        <v>115.17908061928803</v>
      </c>
      <c r="P51" s="942">
        <v>104.92814244417139</v>
      </c>
      <c r="Q51" s="942">
        <v>118.56880096191365</v>
      </c>
      <c r="R51" s="943">
        <v>137.89551551870557</v>
      </c>
      <c r="S51" s="943">
        <v>176.78205089498053</v>
      </c>
      <c r="T51" s="943">
        <v>159.28062785637746</v>
      </c>
      <c r="U51" s="943">
        <v>147.97170327857467</v>
      </c>
      <c r="V51" s="95">
        <v>113.40480410356734</v>
      </c>
      <c r="W51" s="95">
        <f t="shared" ref="W51:AH51" si="103">V51*W25/100</f>
        <v>118.734829896435</v>
      </c>
      <c r="X51" s="95">
        <f t="shared" si="103"/>
        <v>129.89590390669989</v>
      </c>
      <c r="Y51" s="95">
        <f t="shared" si="103"/>
        <v>143.79476562471677</v>
      </c>
      <c r="Z51" s="95">
        <f t="shared" si="103"/>
        <v>204.47615671834723</v>
      </c>
      <c r="AA51" s="95">
        <f t="shared" si="103"/>
        <v>223.69691544987188</v>
      </c>
      <c r="AB51" s="95">
        <f t="shared" si="103"/>
        <v>244.72442550215987</v>
      </c>
      <c r="AC51" s="95">
        <f t="shared" si="103"/>
        <v>253.04505596923332</v>
      </c>
      <c r="AD51" s="95">
        <f t="shared" si="103"/>
        <v>259.87727248040261</v>
      </c>
      <c r="AE51" s="95">
        <f t="shared" si="103"/>
        <v>294.96070426525699</v>
      </c>
      <c r="AF51" s="95">
        <f>AE51*AF25/100</f>
        <v>314.1331500424987</v>
      </c>
      <c r="AG51" s="95">
        <f t="shared" si="103"/>
        <v>379.06564015312586</v>
      </c>
      <c r="AH51" s="95">
        <f t="shared" si="103"/>
        <v>434.17938118907324</v>
      </c>
      <c r="AI51" s="95">
        <f>AH51*AI25/100</f>
        <v>497.7600132894612</v>
      </c>
      <c r="AJ51" s="95">
        <f t="shared" ref="AJ51:AP51" si="104">AI51*AJ25/100</f>
        <v>570.9006576595026</v>
      </c>
      <c r="AK51" s="95">
        <f t="shared" si="104"/>
        <v>655.03637209413091</v>
      </c>
      <c r="AL51" s="95">
        <f t="shared" si="104"/>
        <v>751.81762100040442</v>
      </c>
      <c r="AM51" s="95">
        <f t="shared" si="104"/>
        <v>863.09382184679805</v>
      </c>
      <c r="AN51" s="95">
        <f t="shared" si="104"/>
        <v>991.04010382127876</v>
      </c>
      <c r="AO51" s="95">
        <f t="shared" si="104"/>
        <v>1138.1580100299598</v>
      </c>
      <c r="AP51" s="95">
        <f t="shared" si="104"/>
        <v>1307.3244264916366</v>
      </c>
    </row>
    <row r="52" spans="2:42" ht="15.75">
      <c r="B52" s="7" t="s">
        <v>67</v>
      </c>
      <c r="C52" s="13" t="s">
        <v>68</v>
      </c>
      <c r="J52" s="940">
        <v>100</v>
      </c>
      <c r="K52" s="940">
        <v>117.3</v>
      </c>
      <c r="L52" s="940">
        <v>151.43429999999998</v>
      </c>
      <c r="M52" s="940">
        <v>162.18613529999996</v>
      </c>
      <c r="N52" s="940">
        <v>197.21834052479994</v>
      </c>
      <c r="O52" s="942">
        <v>201.95158069739514</v>
      </c>
      <c r="P52" s="942">
        <v>190.64229217834102</v>
      </c>
      <c r="Q52" s="942">
        <v>221.33570121905393</v>
      </c>
      <c r="R52" s="943">
        <v>225.98375094465405</v>
      </c>
      <c r="S52" s="943">
        <v>240.89867850700119</v>
      </c>
      <c r="T52" s="943">
        <v>242.8258679350572</v>
      </c>
      <c r="U52" s="943">
        <v>225.58523131166814</v>
      </c>
      <c r="V52" s="95">
        <v>139.68528789497449</v>
      </c>
      <c r="W52" s="95">
        <f t="shared" ref="W52:AH52" si="105">V52*W24/100</f>
        <v>144.99332883498352</v>
      </c>
      <c r="X52" s="95">
        <f t="shared" si="105"/>
        <v>189.79626744499342</v>
      </c>
      <c r="Y52" s="95">
        <f t="shared" si="105"/>
        <v>174.80236231683892</v>
      </c>
      <c r="Z52" s="95">
        <f t="shared" si="105"/>
        <v>207.66520643240463</v>
      </c>
      <c r="AA52" s="95">
        <f t="shared" si="105"/>
        <v>235.70000930077924</v>
      </c>
      <c r="AB52" s="95">
        <f t="shared" si="105"/>
        <v>258.0915101843533</v>
      </c>
      <c r="AC52" s="95">
        <f t="shared" si="105"/>
        <v>276.93219042781107</v>
      </c>
      <c r="AD52" s="95">
        <f t="shared" si="105"/>
        <v>305.73313823230342</v>
      </c>
      <c r="AE52" s="95">
        <f t="shared" si="105"/>
        <v>284.33181855604215</v>
      </c>
      <c r="AF52" s="95">
        <f>AE52*AF24/100</f>
        <v>325.27560042811223</v>
      </c>
      <c r="AG52" s="95">
        <f t="shared" si="105"/>
        <v>228.64845030679069</v>
      </c>
      <c r="AH52" s="95">
        <f t="shared" si="105"/>
        <v>226.66928223158425</v>
      </c>
      <c r="AI52" s="95">
        <f>AH52*AI24/100</f>
        <v>274.70038318931273</v>
      </c>
      <c r="AJ52" s="95">
        <f t="shared" ref="AJ52:AP52" si="106">AI52*AJ24/100</f>
        <v>227.45623962300863</v>
      </c>
      <c r="AK52" s="95">
        <f t="shared" si="106"/>
        <v>245.51363977916961</v>
      </c>
      <c r="AL52" s="95">
        <f t="shared" si="106"/>
        <v>239.61827768648604</v>
      </c>
      <c r="AM52" s="95">
        <f t="shared" si="106"/>
        <v>232.42763972023917</v>
      </c>
      <c r="AN52" s="95">
        <f t="shared" si="106"/>
        <v>222.32860612391221</v>
      </c>
      <c r="AO52" s="95">
        <f t="shared" si="106"/>
        <v>214.13389269720054</v>
      </c>
      <c r="AP52" s="95">
        <f t="shared" si="106"/>
        <v>183.50422214476487</v>
      </c>
    </row>
    <row r="53" spans="2:42" ht="15.75">
      <c r="B53" s="7" t="s">
        <v>69</v>
      </c>
      <c r="C53" s="13" t="s">
        <v>70</v>
      </c>
      <c r="J53" s="940">
        <v>100</v>
      </c>
      <c r="K53" s="940">
        <v>128.87148860326619</v>
      </c>
      <c r="L53" s="940">
        <v>138.39602544401714</v>
      </c>
      <c r="M53" s="940">
        <v>153.71805535683916</v>
      </c>
      <c r="N53" s="940">
        <v>179.65197791892288</v>
      </c>
      <c r="O53" s="942">
        <v>179.70149978901546</v>
      </c>
      <c r="P53" s="942">
        <v>168.93538782219915</v>
      </c>
      <c r="Q53" s="942">
        <v>197.29380956376605</v>
      </c>
      <c r="R53" s="943">
        <v>148.91171389716138</v>
      </c>
      <c r="S53" s="943">
        <v>143.70435083332239</v>
      </c>
      <c r="T53" s="943">
        <v>159.47176127069676</v>
      </c>
      <c r="U53" s="943">
        <v>253.49873883166595</v>
      </c>
      <c r="V53" s="95">
        <v>233.48071440757653</v>
      </c>
      <c r="W53" s="95">
        <f>V53*W23/100</f>
        <v>246.0886729855857</v>
      </c>
      <c r="X53" s="95">
        <f t="shared" ref="X53:AH53" si="107">W53*X23/100</f>
        <v>284.47850597133709</v>
      </c>
      <c r="Y53" s="95">
        <f t="shared" si="107"/>
        <v>334.54672302229244</v>
      </c>
      <c r="Z53" s="95">
        <f t="shared" si="107"/>
        <v>360.30682069500892</v>
      </c>
      <c r="AA53" s="95">
        <f t="shared" si="107"/>
        <v>453.62628725501628</v>
      </c>
      <c r="AB53" s="95">
        <f t="shared" si="107"/>
        <v>468.59595473443181</v>
      </c>
      <c r="AC53" s="95">
        <f t="shared" si="107"/>
        <v>618.54666024945004</v>
      </c>
      <c r="AD53" s="95">
        <f t="shared" si="107"/>
        <v>785.5542585168015</v>
      </c>
      <c r="AE53" s="95">
        <f t="shared" si="107"/>
        <v>864.10968436848168</v>
      </c>
      <c r="AF53">
        <f>AE53*AF23/100</f>
        <v>1003.2313435518072</v>
      </c>
      <c r="AG53">
        <f t="shared" si="107"/>
        <v>2252.2543662738071</v>
      </c>
      <c r="AH53">
        <f t="shared" si="107"/>
        <v>4031.5353156301148</v>
      </c>
      <c r="AI53">
        <f>AH53*AI23/100</f>
        <v>5680.4332597228322</v>
      </c>
      <c r="AJ53">
        <f>AI53*AJ23/100</f>
        <v>10037.325569930244</v>
      </c>
      <c r="AK53">
        <f t="shared" ref="AK53:AP53" si="108">AJ53*AK23/100</f>
        <v>21580.249975350023</v>
      </c>
      <c r="AL53">
        <f t="shared" si="108"/>
        <v>38952.351205506791</v>
      </c>
      <c r="AM53">
        <f t="shared" si="108"/>
        <v>58623.288564287723</v>
      </c>
      <c r="AN53">
        <f t="shared" si="108"/>
        <v>64485.617420716488</v>
      </c>
      <c r="AO53">
        <f t="shared" si="108"/>
        <v>70934.179162788147</v>
      </c>
      <c r="AP53">
        <f t="shared" si="108"/>
        <v>74124.719804536493</v>
      </c>
    </row>
    <row r="54" spans="2:42" ht="15.75">
      <c r="B54" s="7" t="s">
        <v>71</v>
      </c>
      <c r="C54" s="13" t="s">
        <v>72</v>
      </c>
      <c r="V54" s="95">
        <v>320.19922996004368</v>
      </c>
      <c r="W54" s="95">
        <f t="shared" ref="W54:AH54" si="109">V54*W28/100</f>
        <v>445.17839136027351</v>
      </c>
      <c r="X54" s="95">
        <f t="shared" si="109"/>
        <v>623.79985569128041</v>
      </c>
      <c r="Y54" s="95">
        <f t="shared" si="109"/>
        <v>755.6215340777311</v>
      </c>
      <c r="Z54" s="95">
        <f t="shared" si="109"/>
        <v>773.73021128513767</v>
      </c>
      <c r="AA54" s="95">
        <f t="shared" si="109"/>
        <v>798.78234600057533</v>
      </c>
      <c r="AB54" s="95">
        <f t="shared" si="109"/>
        <v>1175.3262484839838</v>
      </c>
      <c r="AC54" s="95">
        <f t="shared" si="109"/>
        <v>1358.3565997251717</v>
      </c>
      <c r="AD54" s="95">
        <f t="shared" si="109"/>
        <v>1315.3157484532305</v>
      </c>
      <c r="AE54" s="95">
        <f t="shared" si="109"/>
        <v>1419.2772959171277</v>
      </c>
      <c r="AF54" s="95">
        <f>AE54*AF28/100</f>
        <v>1495.8756964317361</v>
      </c>
      <c r="AG54" s="95">
        <f t="shared" si="109"/>
        <v>495.01114363035617</v>
      </c>
      <c r="AH54" s="95">
        <f t="shared" si="109"/>
        <v>409.74774374227889</v>
      </c>
      <c r="AI54" s="95">
        <f>AH54*AI28/100</f>
        <v>505.85115019547084</v>
      </c>
      <c r="AJ54" s="95">
        <f t="shared" ref="AJ54:AP54" si="110">AI54*AJ28/100</f>
        <v>534.57942999586066</v>
      </c>
      <c r="AK54" s="95">
        <f t="shared" si="110"/>
        <v>530.69905522711338</v>
      </c>
      <c r="AL54" s="95">
        <f t="shared" si="110"/>
        <v>673.5548007864403</v>
      </c>
      <c r="AM54" s="95">
        <f t="shared" si="110"/>
        <v>1096.3073062391668</v>
      </c>
      <c r="AN54" s="95">
        <f t="shared" si="110"/>
        <v>1203.166447980256</v>
      </c>
      <c r="AO54" s="95">
        <f t="shared" si="110"/>
        <v>1113.5443967058466</v>
      </c>
      <c r="AP54" s="95">
        <f t="shared" si="110"/>
        <v>2185.2822929624222</v>
      </c>
    </row>
    <row r="56" spans="2:42">
      <c r="B56" s="17"/>
      <c r="C56" s="18" t="s">
        <v>73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</row>
    <row r="57" spans="2:42">
      <c r="B57" s="7" t="s">
        <v>74</v>
      </c>
      <c r="C57" s="19" t="s">
        <v>75</v>
      </c>
      <c r="D57" s="19"/>
      <c r="E57" s="19"/>
      <c r="F57" s="19"/>
      <c r="G57" s="19"/>
      <c r="H57" s="945">
        <v>858</v>
      </c>
      <c r="I57" s="945">
        <v>1117.2</v>
      </c>
      <c r="J57" s="945">
        <v>1440.2</v>
      </c>
      <c r="K57" s="945">
        <v>1644.4</v>
      </c>
      <c r="L57" s="945">
        <v>1645.1</v>
      </c>
      <c r="M57" s="945">
        <v>1987</v>
      </c>
      <c r="N57" s="945">
        <v>2349.4</v>
      </c>
      <c r="O57" s="945">
        <v>2515.8000000000002</v>
      </c>
      <c r="P57" s="945">
        <v>2957.4</v>
      </c>
      <c r="Q57" s="945">
        <v>3642.7</v>
      </c>
      <c r="R57" s="948">
        <v>4368.8999999999996</v>
      </c>
      <c r="S57" s="948">
        <v>4947.8</v>
      </c>
      <c r="T57" s="948">
        <v>5103.1000000000004</v>
      </c>
      <c r="U57" s="948">
        <v>5510.9</v>
      </c>
      <c r="V57" s="93">
        <f>GDP!V17</f>
        <v>7726.2999999999993</v>
      </c>
      <c r="W57" s="93">
        <f>GDP!W17</f>
        <v>9266.9</v>
      </c>
      <c r="X57" s="93">
        <f>GDP!X17</f>
        <v>12839.900000000001</v>
      </c>
      <c r="Y57" s="93">
        <f>GDP!Y17</f>
        <v>15031.499999999998</v>
      </c>
      <c r="Z57" s="93">
        <f>GDP!Z17</f>
        <v>16873.8</v>
      </c>
      <c r="AA57" s="93">
        <f>GDP!AA17</f>
        <v>19511.3</v>
      </c>
      <c r="AB57" s="93">
        <f>GDP!AB17</f>
        <v>24139</v>
      </c>
      <c r="AC57" s="93">
        <f>GDP!AC17</f>
        <v>27762</v>
      </c>
      <c r="AD57" s="93">
        <f>GDP!AD17</f>
        <v>29742.7</v>
      </c>
      <c r="AE57" s="93">
        <f>GDP!AE17</f>
        <v>32666.7</v>
      </c>
      <c r="AF57" s="116">
        <f>AF61*AF4</f>
        <v>34030.311000000002</v>
      </c>
      <c r="AG57" s="116">
        <f>AG61*AG4</f>
        <v>45920.067768377521</v>
      </c>
      <c r="AH57" s="116">
        <f t="shared" ref="AH57" si="111">AH61*AH4</f>
        <v>55589.394212910564</v>
      </c>
      <c r="AI57" s="116">
        <f>AI61*AI4</f>
        <v>68434.877405448569</v>
      </c>
      <c r="AJ57" s="116">
        <f t="shared" ref="AJ57:AP57" si="112">AJ61*AJ4</f>
        <v>84873.627861371046</v>
      </c>
      <c r="AK57" s="116">
        <f>AK61*AK4</f>
        <v>84118.541855031857</v>
      </c>
      <c r="AL57" s="116">
        <f>AL61*AL4</f>
        <v>89378.25237453611</v>
      </c>
      <c r="AM57" s="116">
        <f t="shared" si="112"/>
        <v>91564.310521189254</v>
      </c>
      <c r="AN57" s="116">
        <f t="shared" si="112"/>
        <v>106105.21283487993</v>
      </c>
      <c r="AO57" s="116">
        <f t="shared" si="112"/>
        <v>117003.46007234837</v>
      </c>
      <c r="AP57" s="116">
        <f t="shared" si="112"/>
        <v>130259.03567352677</v>
      </c>
    </row>
    <row r="58" spans="2:42">
      <c r="B58" s="7" t="s">
        <v>76</v>
      </c>
      <c r="C58" s="20" t="s">
        <v>77</v>
      </c>
      <c r="D58" s="20"/>
      <c r="E58" s="20"/>
      <c r="F58" s="20"/>
      <c r="G58" s="20"/>
      <c r="H58" s="20"/>
      <c r="I58" s="803"/>
      <c r="J58" s="803"/>
      <c r="K58" s="803"/>
      <c r="L58" s="944">
        <v>106.4</v>
      </c>
      <c r="M58" s="944">
        <v>105.5</v>
      </c>
      <c r="N58" s="944">
        <v>109.9</v>
      </c>
      <c r="O58" s="944">
        <v>96.5</v>
      </c>
      <c r="P58" s="944">
        <v>93.5</v>
      </c>
      <c r="Q58" s="803">
        <v>109.2</v>
      </c>
      <c r="R58" s="190">
        <v>105.7</v>
      </c>
      <c r="S58" s="190">
        <v>110.8</v>
      </c>
      <c r="T58" s="190">
        <v>103.8</v>
      </c>
      <c r="U58" s="190">
        <v>105</v>
      </c>
      <c r="V58">
        <f t="shared" ref="V58:AH58" si="113">V18</f>
        <v>111.3</v>
      </c>
      <c r="W58">
        <f t="shared" si="113"/>
        <v>116</v>
      </c>
      <c r="X58">
        <f t="shared" si="113"/>
        <v>121.3</v>
      </c>
      <c r="Y58">
        <f t="shared" si="113"/>
        <v>110.6</v>
      </c>
      <c r="Z58">
        <f t="shared" si="113"/>
        <v>113.2</v>
      </c>
      <c r="AA58">
        <f t="shared" si="113"/>
        <v>108.8</v>
      </c>
      <c r="AB58">
        <f t="shared" si="113"/>
        <v>120.8</v>
      </c>
      <c r="AC58">
        <f t="shared" si="113"/>
        <v>115.4</v>
      </c>
      <c r="AD58">
        <f t="shared" si="113"/>
        <v>112</v>
      </c>
      <c r="AE58">
        <f t="shared" si="113"/>
        <v>120</v>
      </c>
      <c r="AF58">
        <f t="shared" si="113"/>
        <v>122.1</v>
      </c>
      <c r="AG58">
        <f t="shared" si="113"/>
        <v>125.02096627281625</v>
      </c>
      <c r="AH58">
        <f t="shared" si="113"/>
        <v>125.00010346903679</v>
      </c>
      <c r="AI58">
        <f>AI18</f>
        <v>125.10772131494927</v>
      </c>
      <c r="AJ58">
        <f t="shared" ref="AJ58:AP58" si="114">AJ18</f>
        <v>125.07379530741514</v>
      </c>
      <c r="AK58">
        <f t="shared" si="114"/>
        <v>119.95581243415236</v>
      </c>
      <c r="AL58">
        <f t="shared" si="114"/>
        <v>119.92602525044774</v>
      </c>
      <c r="AM58">
        <f t="shared" si="114"/>
        <v>120.07027383022358</v>
      </c>
      <c r="AN58">
        <f t="shared" si="114"/>
        <v>111.30175408111008</v>
      </c>
      <c r="AO58">
        <f t="shared" si="114"/>
        <v>109.17266964720974</v>
      </c>
      <c r="AP58">
        <f t="shared" si="114"/>
        <v>122.33960441142446</v>
      </c>
    </row>
    <row r="59" spans="2:42">
      <c r="B59" s="7" t="s">
        <v>78</v>
      </c>
      <c r="C59" s="20" t="s">
        <v>79</v>
      </c>
      <c r="D59" s="20"/>
      <c r="E59" s="20"/>
      <c r="F59" s="20"/>
      <c r="G59" s="20"/>
      <c r="H59" s="20"/>
      <c r="I59" s="803"/>
      <c r="J59" s="803"/>
      <c r="K59" s="803"/>
      <c r="L59" s="950">
        <v>94.024970599693077</v>
      </c>
      <c r="M59" s="950">
        <v>114.48619064341872</v>
      </c>
      <c r="N59" s="950">
        <v>107.5873981608389</v>
      </c>
      <c r="O59" s="950">
        <v>110.96648642735816</v>
      </c>
      <c r="P59" s="950">
        <v>125.72520281446923</v>
      </c>
      <c r="Q59" s="950">
        <v>112.79522082930481</v>
      </c>
      <c r="R59" s="353">
        <v>113.46808130068926</v>
      </c>
      <c r="S59" s="353">
        <v>102.21161998910418</v>
      </c>
      <c r="T59" s="353">
        <v>99.362975670236196</v>
      </c>
      <c r="U59" s="353">
        <v>102.84878192620543</v>
      </c>
      <c r="V59" s="95">
        <v>125.96615476602548</v>
      </c>
      <c r="W59" s="95">
        <f t="shared" ref="W59:AH59" si="115">W57/V57/W58*10000</f>
        <v>103.39628148728015</v>
      </c>
      <c r="X59" s="95">
        <f t="shared" si="115"/>
        <v>114.22636694774907</v>
      </c>
      <c r="Y59" s="95">
        <f t="shared" si="115"/>
        <v>105.84870593047239</v>
      </c>
      <c r="Z59" s="95">
        <f t="shared" si="115"/>
        <v>99.166309054871704</v>
      </c>
      <c r="AA59" s="95">
        <f t="shared" si="115"/>
        <v>106.27825473253696</v>
      </c>
      <c r="AB59" s="95">
        <f t="shared" si="115"/>
        <v>102.4156047728226</v>
      </c>
      <c r="AC59" s="95">
        <f t="shared" si="115"/>
        <v>99.661097702266389</v>
      </c>
      <c r="AD59" s="95">
        <f t="shared" si="115"/>
        <v>95.655868247450272</v>
      </c>
      <c r="AE59" s="95">
        <f t="shared" si="115"/>
        <v>91.525819780988272</v>
      </c>
      <c r="AF59">
        <f t="shared" si="115"/>
        <v>85.318849408886052</v>
      </c>
      <c r="AG59">
        <f t="shared" si="115"/>
        <v>107.93287637882726</v>
      </c>
      <c r="AH59">
        <f t="shared" si="115"/>
        <v>96.845411429433824</v>
      </c>
      <c r="AI59">
        <f>AI57/AH57/AI58*10000</f>
        <v>98.40143645098739</v>
      </c>
      <c r="AJ59">
        <f>AJ57/AI57/AJ58*10000</f>
        <v>99.158270679459633</v>
      </c>
      <c r="AK59">
        <f t="shared" ref="AK59:AP59" si="116">AK57/AJ57/AK58*10000</f>
        <v>82.622374711909288</v>
      </c>
      <c r="AL59">
        <f t="shared" si="116"/>
        <v>88.598563973508917</v>
      </c>
      <c r="AM59">
        <f t="shared" si="116"/>
        <v>85.321576200395697</v>
      </c>
      <c r="AN59">
        <f t="shared" si="116"/>
        <v>104.11384428256606</v>
      </c>
      <c r="AO59">
        <f t="shared" si="116"/>
        <v>101.00620492187215</v>
      </c>
      <c r="AP59">
        <f t="shared" si="116"/>
        <v>91.000144466316513</v>
      </c>
    </row>
    <row r="60" spans="2:42">
      <c r="I60"/>
      <c r="J60"/>
      <c r="K60"/>
      <c r="L60"/>
      <c r="M60"/>
      <c r="N60"/>
      <c r="O60"/>
      <c r="P60"/>
      <c r="Q60"/>
      <c r="R60"/>
      <c r="S60"/>
      <c r="T60"/>
      <c r="U60"/>
      <c r="V60" s="94">
        <f>V23</f>
        <v>103.5</v>
      </c>
      <c r="W60">
        <f t="shared" ref="W60:Z60" si="117">W23</f>
        <v>105.4</v>
      </c>
      <c r="X60">
        <f t="shared" si="117"/>
        <v>115.6</v>
      </c>
      <c r="Y60">
        <f t="shared" si="117"/>
        <v>117.6</v>
      </c>
      <c r="Z60">
        <f t="shared" si="117"/>
        <v>107.7</v>
      </c>
      <c r="AA60">
        <f t="shared" ref="AA60:AH60" si="118">AA23</f>
        <v>125.9</v>
      </c>
      <c r="AB60">
        <f t="shared" si="118"/>
        <v>103.3</v>
      </c>
      <c r="AC60">
        <f t="shared" si="118"/>
        <v>132</v>
      </c>
      <c r="AD60">
        <f t="shared" si="118"/>
        <v>127</v>
      </c>
      <c r="AE60">
        <f t="shared" si="118"/>
        <v>110</v>
      </c>
      <c r="AF60">
        <f t="shared" si="118"/>
        <v>116.1</v>
      </c>
      <c r="AG60">
        <f t="shared" si="118"/>
        <v>224.5</v>
      </c>
      <c r="AH60">
        <f t="shared" si="118"/>
        <v>179</v>
      </c>
      <c r="AI60">
        <f>AI23</f>
        <v>140.9</v>
      </c>
      <c r="AJ60">
        <f>AJ23</f>
        <v>176.7</v>
      </c>
      <c r="AK60">
        <f t="shared" ref="AK60:AP60" si="119">AK23</f>
        <v>215</v>
      </c>
      <c r="AL60">
        <f t="shared" si="119"/>
        <v>180.5</v>
      </c>
      <c r="AM60">
        <f t="shared" si="119"/>
        <v>150.5</v>
      </c>
      <c r="AN60">
        <f t="shared" si="119"/>
        <v>110</v>
      </c>
      <c r="AO60">
        <f t="shared" si="119"/>
        <v>110</v>
      </c>
      <c r="AP60">
        <f t="shared" si="119"/>
        <v>104.49788899992247</v>
      </c>
    </row>
    <row r="61" spans="2:42">
      <c r="B61" s="7" t="s">
        <v>74</v>
      </c>
      <c r="C61" s="13" t="s">
        <v>80</v>
      </c>
      <c r="I61" s="946">
        <v>0.46203473945409429</v>
      </c>
      <c r="J61" s="947">
        <v>0.44936037441497662</v>
      </c>
      <c r="K61" s="947">
        <v>0.41609311740890692</v>
      </c>
      <c r="L61" s="947">
        <v>0.38454885460495558</v>
      </c>
      <c r="M61" s="947">
        <v>0.4261205232682822</v>
      </c>
      <c r="N61" s="947">
        <v>0.42171961945790704</v>
      </c>
      <c r="O61" s="947">
        <v>0.41202096298722574</v>
      </c>
      <c r="P61" s="947">
        <v>0.45491462851868947</v>
      </c>
      <c r="Q61" s="947">
        <v>0.59089655619900394</v>
      </c>
      <c r="R61" s="947">
        <v>0.55569829559908412</v>
      </c>
      <c r="S61" s="947">
        <v>0.52060185185185182</v>
      </c>
      <c r="T61" s="947">
        <v>0.51277130225080392</v>
      </c>
      <c r="U61" s="947">
        <v>0.52312097109568922</v>
      </c>
      <c r="V61" s="95">
        <v>0.63351098720892085</v>
      </c>
      <c r="W61" s="95">
        <f t="shared" ref="W61:AB61" si="120">W57/W4</f>
        <v>0.61410868124585816</v>
      </c>
      <c r="X61" s="95">
        <f t="shared" si="120"/>
        <v>0.64108107481973708</v>
      </c>
      <c r="Y61" s="95">
        <f t="shared" si="120"/>
        <v>0.62909361803640251</v>
      </c>
      <c r="Z61" s="95">
        <f t="shared" si="120"/>
        <v>0.61107509786950487</v>
      </c>
      <c r="AA61" s="95">
        <f t="shared" si="120"/>
        <v>0.63163807057300092</v>
      </c>
      <c r="AB61" s="95">
        <f t="shared" si="120"/>
        <v>0.62167452162043835</v>
      </c>
      <c r="AC61" s="95">
        <f>AC57/AC4</f>
        <v>0.65753385723827251</v>
      </c>
      <c r="AD61" s="176">
        <v>0.66</v>
      </c>
      <c r="AE61" s="699">
        <v>0.48170720377561832</v>
      </c>
      <c r="AF61" s="658">
        <v>0.51</v>
      </c>
      <c r="AG61" s="658">
        <v>0.55000000000000004</v>
      </c>
      <c r="AH61" s="658">
        <v>0.53</v>
      </c>
      <c r="AI61" s="658">
        <v>0.52</v>
      </c>
      <c r="AJ61" s="658">
        <v>0.51500000000000001</v>
      </c>
      <c r="AK61" s="658">
        <v>0.50109999999999999</v>
      </c>
      <c r="AL61" s="658">
        <v>0.52</v>
      </c>
      <c r="AM61" s="658">
        <v>0.53</v>
      </c>
      <c r="AN61" s="658">
        <v>0.54</v>
      </c>
      <c r="AO61" s="658">
        <v>0.54</v>
      </c>
      <c r="AP61" s="658">
        <v>0.54</v>
      </c>
    </row>
    <row r="62" spans="2:42">
      <c r="B62" s="5" t="s">
        <v>81</v>
      </c>
      <c r="C62" s="13" t="s">
        <v>82</v>
      </c>
      <c r="I62" s="935">
        <v>100</v>
      </c>
      <c r="J62" s="935">
        <v>107.09888838091189</v>
      </c>
      <c r="K62" s="935">
        <v>130.07160667731736</v>
      </c>
      <c r="L62" s="935">
        <v>136.02792167343677</v>
      </c>
      <c r="M62" s="935">
        <v>141.62091237397479</v>
      </c>
      <c r="N62" s="935">
        <v>132.88356651683176</v>
      </c>
      <c r="O62" s="935">
        <v>119.74356045098777</v>
      </c>
      <c r="P62" s="935">
        <v>123.7827997328411</v>
      </c>
      <c r="Q62" s="935">
        <v>150.54185598571596</v>
      </c>
      <c r="R62" s="935">
        <v>153.72023843339915</v>
      </c>
      <c r="S62" s="935">
        <v>153.30900444625237</v>
      </c>
      <c r="T62" s="935">
        <v>150.59744283805509</v>
      </c>
      <c r="U62" s="935">
        <v>154.59844201930289</v>
      </c>
      <c r="V62" s="95">
        <v>168.41258636908313</v>
      </c>
      <c r="W62" s="95">
        <f>V62*W163/V163*(Household!W2/Household!V2)/(W33/100)</f>
        <v>209.34672431732358</v>
      </c>
      <c r="X62" s="95">
        <f>W62*X163/W163*(Household!X2/Household!W2)/(X33/100)</f>
        <v>225.41969608709948</v>
      </c>
      <c r="Y62" s="95">
        <f>X62*Y163/X163*(Household!Y2/Household!X2)/(Y33/100)</f>
        <v>244.85867265189793</v>
      </c>
      <c r="Z62" s="95">
        <f>Y62*Z163/Y163*(Household!Z2/Household!Y2)/(Z33/100)</f>
        <v>242.71490396679437</v>
      </c>
      <c r="AA62" s="95">
        <f>Z62*AA163/Z163*(Household!AA2/Household!Z2)/(AA33/100)</f>
        <v>241.10825942606544</v>
      </c>
      <c r="AB62" s="95">
        <f>AA62*AB163/AA163*(Household!AB2/Household!AA2)/(AB33/100)</f>
        <v>253.95128483509038</v>
      </c>
      <c r="AC62" s="95">
        <f>AB62*AC163/AB163*(Household!AC2/Household!AB2)/(AC33/100)</f>
        <v>322.34493962827361</v>
      </c>
      <c r="AD62" s="95">
        <f>AC62*AD163/AC163*(Household!AD2/Household!AC2)/(AD33/100)</f>
        <v>313.587240837629</v>
      </c>
      <c r="AE62" s="95">
        <f>AD62*AE163/AD163*(Household!AE2/Household!AD2)/(AE33/100)</f>
        <v>294.33778590980035</v>
      </c>
      <c r="AF62">
        <f>AE62*AF163/AE163*(Household!AF2/Household!AE2)/(AF33/100)</f>
        <v>272.15262129252562</v>
      </c>
      <c r="AG62">
        <f>AF62*AG163/AF163*(Household!AG2/Household!AF2)/(AG33/100)</f>
        <v>248.52159671050245</v>
      </c>
      <c r="AH62">
        <f>AG62*AH163/AG163*(Household!AH2/Household!AG2)/(AH33/100)</f>
        <v>253.68107823963274</v>
      </c>
      <c r="AI62">
        <f>AH62*AI163/AH163*(Household!AI2/Household!AH2)/(AI33/100)</f>
        <v>260.40813374325398</v>
      </c>
      <c r="AJ62">
        <f>AI62*AJ163/AI163*(Household!AJ2/Household!AI2)/(AJ33/100)</f>
        <v>265.2088428853358</v>
      </c>
      <c r="AK62">
        <f>AJ62*AK163/AJ163*(Household!AK2/Household!AJ2)/(AK33/100)</f>
        <v>316.48267871078298</v>
      </c>
      <c r="AL62">
        <f>AK62*AL163/AK163*(Household!AL2/Household!AK2)/(AL33/100)</f>
        <v>381.20060295020562</v>
      </c>
      <c r="AM62">
        <f>AL62*AM163/AL163*(Household!AM2/Household!AL2)/(AM33/100)</f>
        <v>462.65389320630396</v>
      </c>
      <c r="AN62">
        <f>AM62*AN163/AM163*(Household!AN2/Household!AM2)/(AN33/100)</f>
        <v>447.44668228429231</v>
      </c>
      <c r="AO62">
        <f>AN62*AO163/AN163*(Household!AO2/Household!AN2)/(AO33/100)</f>
        <v>442.98930212296392</v>
      </c>
      <c r="AP62">
        <f>AO62*AP163/AO163*(Household!AP2/Household!AO2)/(AP33/100)</f>
        <v>486.80065808789482</v>
      </c>
    </row>
    <row r="63" spans="2:42">
      <c r="I63" s="935"/>
      <c r="J63" s="935"/>
      <c r="K63" s="935"/>
      <c r="L63" s="935"/>
      <c r="M63" s="935"/>
      <c r="N63" s="935"/>
      <c r="O63" s="935"/>
      <c r="P63" s="935"/>
      <c r="Q63" s="935"/>
      <c r="R63" s="935"/>
      <c r="S63" s="935"/>
      <c r="T63" s="935"/>
      <c r="U63" s="935"/>
      <c r="AD63" s="46">
        <f>AD57/AD4</f>
        <v>0.6353105775803144</v>
      </c>
      <c r="AE63" s="46">
        <f t="shared" ref="AE63:AP63" si="121">AE57/AE4</f>
        <v>0.60697337371560234</v>
      </c>
      <c r="AF63" s="46">
        <f t="shared" si="121"/>
        <v>0.51</v>
      </c>
      <c r="AG63" s="46">
        <f>AG57/AG4</f>
        <v>0.55000000000000004</v>
      </c>
      <c r="AH63" s="46">
        <f t="shared" si="121"/>
        <v>0.53</v>
      </c>
      <c r="AI63" s="46">
        <f t="shared" si="121"/>
        <v>0.52</v>
      </c>
      <c r="AJ63" s="46">
        <f t="shared" si="121"/>
        <v>0.51500000000000001</v>
      </c>
      <c r="AK63" s="46">
        <f t="shared" si="121"/>
        <v>0.50109999999999999</v>
      </c>
      <c r="AL63" s="46">
        <f t="shared" si="121"/>
        <v>0.52</v>
      </c>
      <c r="AM63" s="46">
        <f t="shared" si="121"/>
        <v>0.53</v>
      </c>
      <c r="AN63" s="46">
        <f t="shared" si="121"/>
        <v>0.54</v>
      </c>
      <c r="AO63" s="46">
        <f t="shared" si="121"/>
        <v>0.54</v>
      </c>
      <c r="AP63" s="46">
        <f t="shared" si="121"/>
        <v>0.54</v>
      </c>
    </row>
    <row r="64" spans="2:42">
      <c r="C64" s="21" t="s">
        <v>83</v>
      </c>
      <c r="D64" s="21"/>
      <c r="E64" s="21"/>
      <c r="F64" s="21"/>
      <c r="G64" s="21"/>
      <c r="H64" s="21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2:42">
      <c r="B65" s="7" t="s">
        <v>84</v>
      </c>
      <c r="C65" s="13" t="s">
        <v>85</v>
      </c>
      <c r="I65"/>
      <c r="J65" s="946">
        <v>0.34399916364650124</v>
      </c>
      <c r="K65" s="946">
        <v>0.33410883407351921</v>
      </c>
      <c r="L65" s="946">
        <v>0.37588879376379936</v>
      </c>
      <c r="M65" s="946">
        <v>0.33616738637195342</v>
      </c>
      <c r="N65" s="946">
        <v>0.33678104669238301</v>
      </c>
      <c r="O65" s="946">
        <v>0.2688323124042879</v>
      </c>
      <c r="P65" s="946">
        <v>0.24411746739013257</v>
      </c>
      <c r="Q65" s="946">
        <v>0.50138176075799445</v>
      </c>
      <c r="R65" s="947">
        <v>0.32886674298027069</v>
      </c>
      <c r="S65" s="947">
        <v>0.36809815950920249</v>
      </c>
      <c r="T65" s="947">
        <v>2.7353815659068386</v>
      </c>
      <c r="U65" s="947">
        <v>0.2546807133555315</v>
      </c>
      <c r="V65">
        <f>V9/Household!V9</f>
        <v>0.24218059912225182</v>
      </c>
      <c r="W65">
        <f>W9/Household!W9</f>
        <v>0.22824695206814005</v>
      </c>
      <c r="X65">
        <f>X9/Household!X9</f>
        <v>0.23346641208123589</v>
      </c>
      <c r="Y65">
        <f>Y9/Household!Y9</f>
        <v>0.23926131730445269</v>
      </c>
      <c r="Z65">
        <f>Z9/Household!Z9</f>
        <v>0.21640753077363989</v>
      </c>
      <c r="AA65">
        <f>AA9/Household!AA9</f>
        <v>0.26231461472425327</v>
      </c>
      <c r="AB65">
        <f>AB9/Household!AB9</f>
        <v>0.22874667388265008</v>
      </c>
      <c r="AC65">
        <f>AC9/Household!AC9</f>
        <v>0.25511415594323278</v>
      </c>
      <c r="AD65">
        <f>AD9/Household!AD9</f>
        <v>0.24421282906153702</v>
      </c>
      <c r="AE65">
        <f>AE9/Household!AE9</f>
        <v>0.20562492140200853</v>
      </c>
      <c r="AF65">
        <f>AF9/Household!AF9</f>
        <v>0.18919696342473089</v>
      </c>
      <c r="AG65" s="1256">
        <v>0.24199999999999999</v>
      </c>
      <c r="AH65" s="90">
        <v>0.24237900000000001</v>
      </c>
      <c r="AI65" s="90">
        <v>0.27813949999999998</v>
      </c>
      <c r="AJ65" s="90">
        <v>0.31667000000000001</v>
      </c>
      <c r="AK65" s="90">
        <v>0.31374000000000002</v>
      </c>
      <c r="AL65" s="90">
        <v>0.328343</v>
      </c>
      <c r="AM65" s="90">
        <v>0.32841999999999999</v>
      </c>
      <c r="AN65" s="90">
        <v>0.32900000000000001</v>
      </c>
      <c r="AO65" s="90">
        <v>0.32500000000000001</v>
      </c>
      <c r="AP65" s="90">
        <v>0.32700000000000001</v>
      </c>
    </row>
    <row r="66" spans="2:42">
      <c r="B66" s="7" t="s">
        <v>86</v>
      </c>
      <c r="C66" s="13" t="s">
        <v>87</v>
      </c>
      <c r="I66"/>
      <c r="J66" s="949">
        <v>0.44554790926910537</v>
      </c>
      <c r="K66" s="949">
        <v>0.44375902167679449</v>
      </c>
      <c r="L66" s="949">
        <v>0.3832512915319618</v>
      </c>
      <c r="M66" s="949">
        <v>0.40775745736480667</v>
      </c>
      <c r="N66" s="949">
        <v>0.40187863064521229</v>
      </c>
      <c r="O66" s="949">
        <v>0.44942061972522945</v>
      </c>
      <c r="P66" s="949">
        <v>0.3654630675215067</v>
      </c>
      <c r="Q66" s="949">
        <v>-0.23084661343985619</v>
      </c>
      <c r="R66" s="949">
        <v>0.2283079540552318</v>
      </c>
      <c r="S66" s="949">
        <v>0.18457947016102619</v>
      </c>
      <c r="T66" s="949">
        <v>0.18642913244281462</v>
      </c>
      <c r="U66" s="949">
        <v>0.26606517145436059</v>
      </c>
      <c r="V66" s="95">
        <f>V14/(V9+V10+V14-(V186+V187+V188)*Assumptions!V11)</f>
        <v>0.29392050880414655</v>
      </c>
      <c r="W66" s="95">
        <f>W14/(W9+W10+W14-(W186+W187+W188)*Assumptions!W11)</f>
        <v>0.32363117544161002</v>
      </c>
      <c r="X66" s="95">
        <f>X14/(X9+X10+X14-(X186+X187+X188)*Assumptions!X11)</f>
        <v>0.32141141582457972</v>
      </c>
      <c r="Y66" s="95">
        <f>Y14/(Y9+Y10+Y14-(Y186+Y187+Y188)*Assumptions!Y11)</f>
        <v>0.34006178690650168</v>
      </c>
      <c r="Z66" s="95">
        <f>Z14/(Z9+Z10+Z14-(Z186+Z187+Z188)*Assumptions!Z11)</f>
        <v>0.35311480706840914</v>
      </c>
      <c r="AA66" s="95">
        <f>AA14/(AA9+AA10+AA14-(AA186+AA187+AA188)*Assumptions!AA11)</f>
        <v>0.30576747115373193</v>
      </c>
      <c r="AB66" s="95">
        <f>AB14/(AB9+AB10+AB14-(AB186+AB187+AB188)*Assumptions!AB11)</f>
        <v>0.30686263038521772</v>
      </c>
      <c r="AC66" s="95">
        <f>AC14/(AC9+AC10+AC14-(AC186+AC187+AC188)*Assumptions!AC11)</f>
        <v>0.29457890561592731</v>
      </c>
      <c r="AD66" s="95">
        <f>AD14/(AD9+AD10+AD14-(AD186+AD187+AD188)*Assumptions!AD11)</f>
        <v>0.28442002847253373</v>
      </c>
      <c r="AE66" s="95">
        <f>AE14/(AE9+AE10+AE14-(AE186+AE187+AE188)*Assumptions!AE11)</f>
        <v>0.3157252936231284</v>
      </c>
      <c r="AF66" s="95">
        <f>AF14/(AF9+AF10+AF14-(AF186+AF187+AF188)*Assumptions!AF11)</f>
        <v>0.30346623858902566</v>
      </c>
      <c r="AG66" s="1257">
        <v>0.21099999999999999</v>
      </c>
      <c r="AH66" s="91">
        <v>0.2122</v>
      </c>
      <c r="AI66" s="91">
        <v>0.23300000000000001</v>
      </c>
      <c r="AJ66" s="91">
        <v>0.23300000000000001</v>
      </c>
      <c r="AK66" s="91">
        <v>0.253</v>
      </c>
      <c r="AL66" s="91">
        <v>0.27900000000000003</v>
      </c>
      <c r="AM66" s="91">
        <v>0.27300000000000002</v>
      </c>
      <c r="AN66" s="91">
        <v>0.29899999999999999</v>
      </c>
      <c r="AO66" s="91">
        <v>0.29899999999999999</v>
      </c>
      <c r="AP66" s="91">
        <v>0.29899999999999999</v>
      </c>
    </row>
    <row r="67" spans="2:42">
      <c r="I67"/>
      <c r="J67" s="946"/>
      <c r="K67" s="946"/>
      <c r="L67" s="946"/>
      <c r="M67" s="946"/>
      <c r="N67" s="946"/>
      <c r="O67" s="946"/>
      <c r="P67" s="946"/>
      <c r="Q67"/>
      <c r="R67" s="5">
        <v>3513.7300500000001</v>
      </c>
      <c r="S67" s="5">
        <v>3808.2862779999996</v>
      </c>
      <c r="T67"/>
      <c r="U67"/>
    </row>
    <row r="68" spans="2:42">
      <c r="B68" s="22"/>
      <c r="C68" s="23" t="s">
        <v>88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 spans="2:42">
      <c r="B69" s="24"/>
      <c r="C69" s="25" t="s">
        <v>64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2:42">
      <c r="B70" s="7" t="s">
        <v>89</v>
      </c>
      <c r="C70" s="26" t="s">
        <v>90</v>
      </c>
      <c r="D70" s="26"/>
      <c r="E70" s="26"/>
      <c r="F70" s="26"/>
      <c r="G70" s="952">
        <v>14300</v>
      </c>
      <c r="H70" s="952">
        <v>14400</v>
      </c>
      <c r="I70" s="952">
        <v>15300</v>
      </c>
      <c r="J70" s="952">
        <v>16509</v>
      </c>
      <c r="K70" s="952">
        <v>16491</v>
      </c>
      <c r="L70" s="952">
        <v>17090</v>
      </c>
      <c r="M70" s="952">
        <v>16935</v>
      </c>
      <c r="N70" s="952">
        <v>17494</v>
      </c>
      <c r="O70" s="100">
        <v>16147</v>
      </c>
      <c r="P70" s="100">
        <v>16117</v>
      </c>
      <c r="Q70" s="394">
        <v>16435</v>
      </c>
      <c r="R70" s="100">
        <v>16238</v>
      </c>
      <c r="S70" s="100">
        <v>16974</v>
      </c>
      <c r="T70" s="100">
        <v>17115</v>
      </c>
      <c r="U70" s="100">
        <v>16472</v>
      </c>
      <c r="V70">
        <v>17162</v>
      </c>
      <c r="W70">
        <v>17232</v>
      </c>
      <c r="X70">
        <v>18144</v>
      </c>
      <c r="Y70">
        <v>19742</v>
      </c>
      <c r="Z70">
        <v>20677</v>
      </c>
      <c r="AA70">
        <v>19771</v>
      </c>
      <c r="AB70">
        <v>20623.8</v>
      </c>
      <c r="AC70">
        <v>21399.5</v>
      </c>
      <c r="AD70">
        <v>21860.5</v>
      </c>
      <c r="AE70" s="759">
        <v>22427.7</v>
      </c>
      <c r="AF70" s="759">
        <v>23989.9</v>
      </c>
      <c r="AG70">
        <f t="shared" ref="AG70:AI70" si="122">AF70*1.07</f>
        <v>25669.193000000003</v>
      </c>
      <c r="AH70">
        <f t="shared" si="122"/>
        <v>27466.036510000005</v>
      </c>
      <c r="AI70">
        <f t="shared" si="122"/>
        <v>29388.659065700009</v>
      </c>
      <c r="AJ70">
        <f t="shared" ref="AJ70" si="123">AI70*1.07</f>
        <v>31445.865200299013</v>
      </c>
      <c r="AK70">
        <f t="shared" ref="AK70" si="124">AJ70*1.07</f>
        <v>33647.075764319947</v>
      </c>
      <c r="AL70">
        <f t="shared" ref="AL70" si="125">AK70*1.07</f>
        <v>36002.371067822343</v>
      </c>
      <c r="AM70">
        <f t="shared" ref="AM70" si="126">AL70*1.07</f>
        <v>38522.537042569907</v>
      </c>
      <c r="AN70">
        <f t="shared" ref="AN70" si="127">AM70*1.07</f>
        <v>41219.114635549806</v>
      </c>
      <c r="AO70">
        <f t="shared" ref="AO70" si="128">AN70*1.07</f>
        <v>44104.452660038296</v>
      </c>
      <c r="AP70">
        <f t="shared" ref="AP70" si="129">AO70*1.07</f>
        <v>47191.764346240976</v>
      </c>
    </row>
    <row r="71" spans="2:42">
      <c r="B71" s="7" t="s">
        <v>91</v>
      </c>
      <c r="C71" s="27" t="s">
        <v>92</v>
      </c>
      <c r="D71" s="27"/>
      <c r="E71" s="27"/>
      <c r="F71" s="27"/>
      <c r="G71" s="190">
        <v>5242.3999999999996</v>
      </c>
      <c r="H71" s="190">
        <v>5396.4</v>
      </c>
      <c r="I71" s="190">
        <v>4659.3999999999996</v>
      </c>
      <c r="J71" s="190">
        <v>4617.6000000000004</v>
      </c>
      <c r="K71" s="190">
        <v>4807.3</v>
      </c>
      <c r="L71" s="190">
        <v>4505.5</v>
      </c>
      <c r="M71" s="190">
        <v>4839.6000000000004</v>
      </c>
      <c r="N71" s="190">
        <v>4552</v>
      </c>
      <c r="O71" s="190">
        <v>6404</v>
      </c>
      <c r="P71" s="190">
        <v>6003</v>
      </c>
      <c r="Q71" s="190">
        <v>432</v>
      </c>
      <c r="R71" s="190">
        <v>172</v>
      </c>
      <c r="S71" s="190">
        <v>114</v>
      </c>
      <c r="T71" s="190">
        <v>117</v>
      </c>
      <c r="U71" s="190">
        <v>52</v>
      </c>
      <c r="V71" s="93">
        <f>Trade!V60</f>
        <v>63</v>
      </c>
      <c r="W71" s="93">
        <f>Trade!W60</f>
        <v>103</v>
      </c>
      <c r="X71" s="93">
        <f>Trade!X60</f>
        <v>110</v>
      </c>
      <c r="Y71" s="93">
        <f>Trade!Y60</f>
        <v>559.70000000000005</v>
      </c>
      <c r="Z71" s="93">
        <f>Trade!Z60</f>
        <v>294.39999999999998</v>
      </c>
      <c r="AA71" s="93">
        <f>Trade!AA60</f>
        <v>378.7</v>
      </c>
      <c r="AB71" s="93">
        <f>Trade!AB60</f>
        <v>883.4</v>
      </c>
      <c r="AC71" s="93">
        <f>Trade!AC60</f>
        <v>797.3</v>
      </c>
      <c r="AD71" s="93">
        <f>Trade!AD60</f>
        <v>797.3</v>
      </c>
      <c r="AE71" s="93">
        <f>Trade!AE60</f>
        <v>1617.7919999999999</v>
      </c>
      <c r="AF71" s="93">
        <f>Trade!AF60</f>
        <v>2701.913</v>
      </c>
      <c r="AG71" s="93">
        <f>Trade!AG60</f>
        <v>2755.9512600000003</v>
      </c>
      <c r="AH71" s="93">
        <f>Trade!AH60</f>
        <v>2811.0702852000004</v>
      </c>
      <c r="AI71" s="93">
        <f>Trade!AI60</f>
        <v>2867.2916909040005</v>
      </c>
      <c r="AJ71" s="93">
        <f>Trade!AJ60</f>
        <v>2924.6375247220803</v>
      </c>
      <c r="AK71" s="93">
        <f>Trade!AK60</f>
        <v>2983.130275216522</v>
      </c>
      <c r="AL71" s="93">
        <f>Trade!AL60</f>
        <v>3042.7928807208527</v>
      </c>
      <c r="AM71" s="93">
        <f>Trade!AM60</f>
        <v>3103.6487383352696</v>
      </c>
      <c r="AN71" s="93">
        <f>Trade!AN60</f>
        <v>3165.7217131019752</v>
      </c>
      <c r="AO71" s="93">
        <f>Trade!AO60</f>
        <v>3229.0361473640146</v>
      </c>
      <c r="AP71" s="93">
        <f>Trade!AP60</f>
        <v>3293.6168703112949</v>
      </c>
    </row>
    <row r="72" spans="2:42">
      <c r="B72" s="28" t="s">
        <v>93</v>
      </c>
      <c r="C72" s="26" t="s">
        <v>94</v>
      </c>
      <c r="D72" s="26"/>
      <c r="E72" s="26"/>
      <c r="F72" s="26"/>
      <c r="G72" s="780">
        <v>19542.400000000001</v>
      </c>
      <c r="H72" s="780">
        <v>19796.400000000001</v>
      </c>
      <c r="I72" s="780">
        <v>19959.400000000001</v>
      </c>
      <c r="J72" s="780">
        <v>21126.6</v>
      </c>
      <c r="K72" s="780">
        <v>21298.3</v>
      </c>
      <c r="L72" s="780">
        <v>21595.5</v>
      </c>
      <c r="M72" s="780">
        <v>21774.6</v>
      </c>
      <c r="N72" s="780">
        <v>22046</v>
      </c>
      <c r="O72" s="394">
        <v>22551</v>
      </c>
      <c r="P72" s="394">
        <v>22120</v>
      </c>
      <c r="Q72" s="394">
        <v>16867</v>
      </c>
      <c r="R72" s="394">
        <v>16410</v>
      </c>
      <c r="S72" s="394">
        <v>17088</v>
      </c>
      <c r="T72" s="394">
        <v>17232</v>
      </c>
      <c r="U72" s="394">
        <v>16524</v>
      </c>
      <c r="V72" s="93">
        <f t="shared" ref="V72:AH72" si="130">V70+V71</f>
        <v>17225</v>
      </c>
      <c r="W72" s="93">
        <f t="shared" si="130"/>
        <v>17335</v>
      </c>
      <c r="X72" s="93">
        <f t="shared" si="130"/>
        <v>18254</v>
      </c>
      <c r="Y72" s="93">
        <f t="shared" si="130"/>
        <v>20301.7</v>
      </c>
      <c r="Z72" s="93">
        <f t="shared" si="130"/>
        <v>20971.400000000001</v>
      </c>
      <c r="AA72" s="93">
        <f t="shared" si="130"/>
        <v>20149.7</v>
      </c>
      <c r="AB72" s="93">
        <f t="shared" si="130"/>
        <v>21507.200000000001</v>
      </c>
      <c r="AC72" s="93">
        <f t="shared" si="130"/>
        <v>22196.799999999999</v>
      </c>
      <c r="AD72" s="93">
        <f t="shared" si="130"/>
        <v>22657.8</v>
      </c>
      <c r="AE72" s="93">
        <f t="shared" si="130"/>
        <v>24045.492000000002</v>
      </c>
      <c r="AF72" s="93">
        <f t="shared" si="130"/>
        <v>26691.813000000002</v>
      </c>
      <c r="AG72" s="93">
        <f t="shared" si="130"/>
        <v>28425.144260000005</v>
      </c>
      <c r="AH72" s="93">
        <f t="shared" si="130"/>
        <v>30277.106795200005</v>
      </c>
      <c r="AI72" s="93">
        <f>AI70+AI71</f>
        <v>32255.950756604008</v>
      </c>
      <c r="AJ72" s="93">
        <f>AJ70+AJ71</f>
        <v>34370.502725021091</v>
      </c>
      <c r="AK72" s="93">
        <f>AK70+AK71</f>
        <v>36630.206039536468</v>
      </c>
      <c r="AL72" s="93">
        <f>AL70+AL71</f>
        <v>39045.163948543195</v>
      </c>
      <c r="AM72" s="93">
        <f t="shared" ref="AM72:AP72" si="131">AM70+AM71</f>
        <v>41626.18578090518</v>
      </c>
      <c r="AN72" s="93">
        <f t="shared" si="131"/>
        <v>44384.836348651777</v>
      </c>
      <c r="AO72" s="93">
        <f t="shared" si="131"/>
        <v>47333.488807402311</v>
      </c>
      <c r="AP72" s="93">
        <f t="shared" si="131"/>
        <v>50485.381216552269</v>
      </c>
    </row>
    <row r="73" spans="2:42">
      <c r="B73" s="7" t="s">
        <v>95</v>
      </c>
      <c r="C73" s="27" t="s">
        <v>96</v>
      </c>
      <c r="D73" s="27"/>
      <c r="E73" s="27"/>
      <c r="F73" s="27"/>
      <c r="G73" s="957">
        <v>3908.7</v>
      </c>
      <c r="H73" s="957">
        <v>4047</v>
      </c>
      <c r="I73" s="957">
        <v>3831.2</v>
      </c>
      <c r="J73" s="957">
        <v>4597.2</v>
      </c>
      <c r="K73" s="957">
        <v>4451</v>
      </c>
      <c r="L73" s="957">
        <v>4257.8999999999996</v>
      </c>
      <c r="M73" s="957">
        <v>4231.2</v>
      </c>
      <c r="N73" s="957">
        <v>4464</v>
      </c>
      <c r="O73" s="957">
        <v>5539</v>
      </c>
      <c r="P73" s="957">
        <v>5960</v>
      </c>
      <c r="Q73" s="957">
        <v>286</v>
      </c>
      <c r="R73" s="957">
        <v>297</v>
      </c>
      <c r="S73" s="957">
        <v>775</v>
      </c>
      <c r="T73" s="957">
        <v>1061</v>
      </c>
      <c r="U73" s="957">
        <v>1364</v>
      </c>
      <c r="V73" s="185">
        <f>Trade!V19</f>
        <v>1396</v>
      </c>
      <c r="W73" s="185">
        <f>Trade!W19</f>
        <v>1428</v>
      </c>
      <c r="X73" s="185">
        <f>Trade!X19</f>
        <v>1421</v>
      </c>
      <c r="Y73" s="185">
        <f>Trade!Y19</f>
        <v>2945</v>
      </c>
      <c r="Z73" s="185">
        <f>Trade!Z19</f>
        <v>3175</v>
      </c>
      <c r="AA73" s="185">
        <f>Trade!AA19</f>
        <v>1870.3</v>
      </c>
      <c r="AB73" s="185">
        <f>Trade!AB19</f>
        <v>3302.6</v>
      </c>
      <c r="AC73" s="185">
        <f>Trade!AC19</f>
        <v>3341</v>
      </c>
      <c r="AD73" s="185">
        <f>Trade!AD19</f>
        <v>3606.6</v>
      </c>
      <c r="AE73" s="185">
        <f>Trade!AE19</f>
        <v>3901.7</v>
      </c>
      <c r="AF73" s="185">
        <f>Trade!AF19</f>
        <v>3948.5203999999999</v>
      </c>
      <c r="AG73" s="185">
        <f>Trade!AG19</f>
        <v>3995.9026448</v>
      </c>
      <c r="AH73" s="185">
        <f>Trade!AH19</f>
        <v>4043.8534765375998</v>
      </c>
      <c r="AI73" s="185">
        <f>Trade!AI19</f>
        <v>4092.3797182560511</v>
      </c>
      <c r="AJ73" s="185">
        <f>Trade!AJ19</f>
        <v>4141.4882748751234</v>
      </c>
      <c r="AK73" s="185">
        <f>Trade!AK19</f>
        <v>4191.1861341736249</v>
      </c>
      <c r="AL73" s="185">
        <f>Trade!AL19</f>
        <v>4241.4803677837081</v>
      </c>
      <c r="AM73" s="185">
        <f>Trade!AM19</f>
        <v>4292.3781321971128</v>
      </c>
      <c r="AN73" s="185">
        <f>Trade!AN19</f>
        <v>4343.8866697834783</v>
      </c>
      <c r="AO73" s="185">
        <f>Trade!AO19</f>
        <v>4396.0133098208798</v>
      </c>
      <c r="AP73" s="185">
        <f>Trade!AP19</f>
        <v>4448.76546953873</v>
      </c>
    </row>
    <row r="74" spans="2:42">
      <c r="B74" s="7" t="s">
        <v>97</v>
      </c>
      <c r="C74" s="26" t="s">
        <v>98</v>
      </c>
      <c r="D74" s="26"/>
      <c r="E74" s="26"/>
      <c r="F74" s="26"/>
      <c r="G74" s="953">
        <v>15633.7</v>
      </c>
      <c r="H74" s="953">
        <v>15749.400000000001</v>
      </c>
      <c r="I74" s="953">
        <v>16128.2</v>
      </c>
      <c r="J74" s="953">
        <v>16529.399999999998</v>
      </c>
      <c r="K74" s="953">
        <v>16847.3</v>
      </c>
      <c r="L74" s="953">
        <v>17337.599999999999</v>
      </c>
      <c r="M74" s="953">
        <v>17543.399999999998</v>
      </c>
      <c r="N74" s="953">
        <v>17582</v>
      </c>
      <c r="O74" s="958">
        <v>17012</v>
      </c>
      <c r="P74" s="958">
        <v>16160</v>
      </c>
      <c r="Q74" s="958">
        <v>16581</v>
      </c>
      <c r="R74" s="958">
        <v>16113</v>
      </c>
      <c r="S74" s="958">
        <v>16313</v>
      </c>
      <c r="T74" s="958">
        <v>16171</v>
      </c>
      <c r="U74" s="958">
        <v>15160</v>
      </c>
      <c r="V74" s="93">
        <f>V72-V73</f>
        <v>15829</v>
      </c>
      <c r="W74" s="93">
        <f t="shared" ref="W74:AP74" si="132">W72-W73</f>
        <v>15907</v>
      </c>
      <c r="X74" s="93">
        <f t="shared" si="132"/>
        <v>16833</v>
      </c>
      <c r="Y74" s="93">
        <f t="shared" si="132"/>
        <v>17356.7</v>
      </c>
      <c r="Z74" s="93">
        <f t="shared" si="132"/>
        <v>17796.400000000001</v>
      </c>
      <c r="AA74" s="93">
        <f t="shared" si="132"/>
        <v>18279.400000000001</v>
      </c>
      <c r="AB74" s="93">
        <f t="shared" si="132"/>
        <v>18204.600000000002</v>
      </c>
      <c r="AC74" s="93">
        <f t="shared" si="132"/>
        <v>18855.8</v>
      </c>
      <c r="AD74" s="93">
        <f t="shared" si="132"/>
        <v>19051.2</v>
      </c>
      <c r="AE74" s="93">
        <f t="shared" si="132"/>
        <v>20143.792000000001</v>
      </c>
      <c r="AF74" s="93">
        <f t="shared" si="132"/>
        <v>22743.292600000001</v>
      </c>
      <c r="AG74" s="93">
        <f t="shared" si="132"/>
        <v>24429.241615200004</v>
      </c>
      <c r="AH74" s="93">
        <f t="shared" si="132"/>
        <v>26233.253318662406</v>
      </c>
      <c r="AI74" s="93">
        <f t="shared" si="132"/>
        <v>28163.571038347956</v>
      </c>
      <c r="AJ74" s="93">
        <f t="shared" si="132"/>
        <v>30229.014450145969</v>
      </c>
      <c r="AK74" s="93">
        <f t="shared" si="132"/>
        <v>32439.019905362842</v>
      </c>
      <c r="AL74" s="93">
        <f t="shared" si="132"/>
        <v>34803.683580759491</v>
      </c>
      <c r="AM74" s="93">
        <f t="shared" si="132"/>
        <v>37333.807648708069</v>
      </c>
      <c r="AN74" s="93">
        <f t="shared" si="132"/>
        <v>40040.949678868303</v>
      </c>
      <c r="AO74" s="93">
        <f t="shared" si="132"/>
        <v>42937.475497581428</v>
      </c>
      <c r="AP74" s="93">
        <f t="shared" si="132"/>
        <v>46036.615747013537</v>
      </c>
    </row>
    <row r="75" spans="2:42">
      <c r="B75" s="29"/>
      <c r="C75" s="27" t="s">
        <v>99</v>
      </c>
      <c r="D75" s="27"/>
      <c r="E75" s="27"/>
      <c r="F75" s="27"/>
      <c r="G75" s="803"/>
      <c r="H75" s="803"/>
      <c r="I75" s="803"/>
      <c r="J75" s="803"/>
      <c r="K75" s="803"/>
      <c r="L75" s="944"/>
      <c r="M75" s="944"/>
      <c r="N75" s="954"/>
      <c r="O75" s="954"/>
      <c r="P75" s="944"/>
      <c r="Q75" s="954"/>
      <c r="R75" s="956" t="s">
        <v>1183</v>
      </c>
      <c r="S75" s="372"/>
      <c r="T75" s="372"/>
      <c r="U75" s="372"/>
    </row>
    <row r="76" spans="2:42" ht="15.75">
      <c r="B76" s="7" t="s">
        <v>100</v>
      </c>
      <c r="C76" s="27" t="s">
        <v>101</v>
      </c>
      <c r="D76" s="27"/>
      <c r="E76" s="27"/>
      <c r="F76" s="27"/>
      <c r="G76" s="403">
        <v>5800</v>
      </c>
      <c r="H76" s="403">
        <v>6100</v>
      </c>
      <c r="I76" s="403">
        <v>6202</v>
      </c>
      <c r="J76" s="403">
        <v>6675</v>
      </c>
      <c r="K76" s="403">
        <v>7031</v>
      </c>
      <c r="L76" s="403">
        <v>7533</v>
      </c>
      <c r="M76" s="403">
        <v>8080</v>
      </c>
      <c r="N76" s="403">
        <v>8060</v>
      </c>
      <c r="O76" s="392">
        <v>7802</v>
      </c>
      <c r="P76" s="392">
        <v>7007</v>
      </c>
      <c r="Q76" s="392">
        <v>7344</v>
      </c>
      <c r="R76" s="392">
        <v>6335</v>
      </c>
      <c r="S76" s="392">
        <v>6150</v>
      </c>
      <c r="T76" s="392">
        <v>5251</v>
      </c>
      <c r="U76" s="392">
        <v>3935</v>
      </c>
      <c r="V76">
        <v>4242</v>
      </c>
      <c r="W76">
        <v>4114</v>
      </c>
      <c r="X76">
        <v>3790</v>
      </c>
      <c r="Y76">
        <v>3783</v>
      </c>
      <c r="Z76">
        <v>3990</v>
      </c>
      <c r="AA76">
        <v>2744</v>
      </c>
      <c r="AB76">
        <v>3934</v>
      </c>
      <c r="AC76" s="189">
        <f t="shared" ref="AC76:AH76" si="133">AB76*AC102/AB102</f>
        <v>2545.6427858579846</v>
      </c>
      <c r="AD76" s="189">
        <f t="shared" si="133"/>
        <v>2613.1512809831706</v>
      </c>
      <c r="AE76" s="189">
        <f t="shared" si="133"/>
        <v>2959.5910668194024</v>
      </c>
      <c r="AF76" s="189">
        <f t="shared" si="133"/>
        <v>3151.3219539029774</v>
      </c>
      <c r="AG76" s="94">
        <f t="shared" si="133"/>
        <v>3791.4535883571671</v>
      </c>
      <c r="AH76" s="94">
        <f t="shared" si="133"/>
        <v>4446.9107175114423</v>
      </c>
      <c r="AI76" s="94">
        <f>AH76*AI102/AH102</f>
        <v>5097.1272132135355</v>
      </c>
      <c r="AJ76" s="94">
        <f>AI76*AJ102/AI102</f>
        <v>5840.0625644095999</v>
      </c>
      <c r="AK76" s="94">
        <f>AJ76*AK102/AJ102</f>
        <v>6698.499603294491</v>
      </c>
      <c r="AL76" s="94">
        <f t="shared" ref="AL76:AP76" si="134">AK76*AL102/AK102</f>
        <v>7684.6958077020645</v>
      </c>
      <c r="AM76" s="94">
        <f t="shared" si="134"/>
        <v>8818.6443571467898</v>
      </c>
      <c r="AN76" s="94">
        <f t="shared" si="134"/>
        <v>10122.426510737854</v>
      </c>
      <c r="AO76" s="94">
        <f t="shared" si="134"/>
        <v>11621.781681912431</v>
      </c>
      <c r="AP76" s="94">
        <f t="shared" si="134"/>
        <v>13344.792790913387</v>
      </c>
    </row>
    <row r="77" spans="2:42" ht="15.75">
      <c r="B77" s="7" t="s">
        <v>102</v>
      </c>
      <c r="C77" s="27" t="s">
        <v>103</v>
      </c>
      <c r="D77" s="27"/>
      <c r="E77" s="27"/>
      <c r="F77" s="27"/>
      <c r="G77" s="403">
        <v>20</v>
      </c>
      <c r="H77" s="403">
        <v>20</v>
      </c>
      <c r="I77" s="403">
        <v>30</v>
      </c>
      <c r="J77" s="403">
        <v>23</v>
      </c>
      <c r="K77" s="403">
        <v>21</v>
      </c>
      <c r="L77" s="403">
        <v>19</v>
      </c>
      <c r="M77" s="403">
        <v>25</v>
      </c>
      <c r="N77" s="403">
        <v>28</v>
      </c>
      <c r="O77" s="392">
        <v>59</v>
      </c>
      <c r="P77" s="392">
        <v>46</v>
      </c>
      <c r="Q77" s="392">
        <v>90</v>
      </c>
      <c r="R77" s="392">
        <v>115</v>
      </c>
      <c r="S77" s="392">
        <v>194</v>
      </c>
      <c r="T77" s="392">
        <v>245</v>
      </c>
      <c r="U77" s="392">
        <v>122</v>
      </c>
      <c r="V77">
        <v>45</v>
      </c>
      <c r="W77">
        <v>67</v>
      </c>
      <c r="X77">
        <v>227</v>
      </c>
      <c r="Y77">
        <v>39</v>
      </c>
      <c r="Z77">
        <v>46</v>
      </c>
      <c r="AA77">
        <v>57</v>
      </c>
      <c r="AB77">
        <v>43</v>
      </c>
      <c r="AC77">
        <f>AB77*GDP!AC52/GDP!AB52</f>
        <v>47.902000000000001</v>
      </c>
      <c r="AD77">
        <f>AC77*GDP!AD52/GDP!AC52</f>
        <v>53.793946000000005</v>
      </c>
      <c r="AE77">
        <f>AD77*GDP!AE52/GDP!AD52</f>
        <v>61.534385211229186</v>
      </c>
      <c r="AF77">
        <f>AE77*GDP!AF52/GDP!AE52</f>
        <v>41.900266797292794</v>
      </c>
      <c r="AG77">
        <f>AF77*GDP!AG52/GDP!AF52</f>
        <v>72.592182361450185</v>
      </c>
      <c r="AH77">
        <f>AG77*GDP!AH52/GDP!AG52</f>
        <v>84.269400810723795</v>
      </c>
      <c r="AI77">
        <f>AH77*GDP!AI52/GDP!AH52</f>
        <v>93.429785564299237</v>
      </c>
      <c r="AJ77">
        <f>AI77*GDP!AJ52/GDP!AI52</f>
        <v>116.82162210404432</v>
      </c>
      <c r="AK77">
        <f>AJ77*GDP!AK52/GDP!AJ52</f>
        <v>134.98717870754842</v>
      </c>
      <c r="AL77">
        <f>AK77*GDP!AL52/GDP!AK52</f>
        <v>157.31483246571503</v>
      </c>
      <c r="AM77">
        <f>AL77*GDP!AM52/GDP!AL52</f>
        <v>180.40171514822211</v>
      </c>
      <c r="AN77">
        <f>AM77*GDP!AN52/GDP!AM52</f>
        <v>250.65175843064873</v>
      </c>
      <c r="AO77">
        <f>AN77*GDP!AO52/GDP!AN52</f>
        <v>321.80388720188262</v>
      </c>
      <c r="AP77">
        <f>AO77*GDP!AP52/GDP!AO52</f>
        <v>420.2601133766741</v>
      </c>
    </row>
    <row r="78" spans="2:42" ht="15.75">
      <c r="B78" s="7" t="s">
        <v>104</v>
      </c>
      <c r="C78" s="27" t="s">
        <v>105</v>
      </c>
      <c r="D78" s="27"/>
      <c r="E78" s="27"/>
      <c r="F78" s="27"/>
      <c r="G78" s="403">
        <v>4300</v>
      </c>
      <c r="H78" s="403">
        <v>4500</v>
      </c>
      <c r="I78" s="403">
        <v>4200</v>
      </c>
      <c r="J78" s="403">
        <v>4257</v>
      </c>
      <c r="K78" s="403">
        <v>4309</v>
      </c>
      <c r="L78" s="403">
        <v>3919</v>
      </c>
      <c r="M78" s="403">
        <v>3908</v>
      </c>
      <c r="N78" s="392">
        <v>3612</v>
      </c>
      <c r="O78" s="392">
        <v>3144</v>
      </c>
      <c r="P78" s="392">
        <v>3722</v>
      </c>
      <c r="Q78" s="392">
        <v>3593</v>
      </c>
      <c r="R78" s="392">
        <v>3742</v>
      </c>
      <c r="S78" s="392">
        <v>3832</v>
      </c>
      <c r="T78" s="392">
        <v>2600</v>
      </c>
      <c r="U78" s="392">
        <v>2328</v>
      </c>
      <c r="V78">
        <v>2496</v>
      </c>
      <c r="W78">
        <v>2807</v>
      </c>
      <c r="X78">
        <v>2754</v>
      </c>
      <c r="Y78">
        <v>2241</v>
      </c>
      <c r="Z78">
        <v>2338</v>
      </c>
      <c r="AA78">
        <v>2619</v>
      </c>
      <c r="AB78">
        <v>2086</v>
      </c>
      <c r="AC78">
        <f t="shared" ref="AC78:AH78" si="135">AC137</f>
        <v>2949.488571500292</v>
      </c>
      <c r="AD78">
        <f t="shared" si="135"/>
        <v>3309.3261772233282</v>
      </c>
      <c r="AE78">
        <f t="shared" si="135"/>
        <v>3660.1147520090008</v>
      </c>
      <c r="AF78" s="94">
        <f>AF137</f>
        <v>4007.825653449856</v>
      </c>
      <c r="AG78">
        <f t="shared" si="135"/>
        <v>4810.7592606636408</v>
      </c>
      <c r="AH78">
        <f t="shared" si="135"/>
        <v>5708.9180201005429</v>
      </c>
      <c r="AI78">
        <f>AI137</f>
        <v>6705.0270428106278</v>
      </c>
      <c r="AJ78">
        <f>AJ137</f>
        <v>7251.7535062859188</v>
      </c>
      <c r="AK78" s="94">
        <f>AK137</f>
        <v>7854.6326586000569</v>
      </c>
      <c r="AL78">
        <f>AL137</f>
        <v>8451.6487519318616</v>
      </c>
      <c r="AM78">
        <f t="shared" ref="AM78:AP78" si="136">AM137</f>
        <v>9089.3893782487849</v>
      </c>
      <c r="AN78">
        <f t="shared" si="136"/>
        <v>9748.2530482898983</v>
      </c>
      <c r="AO78">
        <f>AO137</f>
        <v>10431.10422232675</v>
      </c>
      <c r="AP78">
        <f t="shared" si="136"/>
        <v>11187.91701757967</v>
      </c>
    </row>
    <row r="79" spans="2:42" ht="15.75">
      <c r="B79" s="7" t="s">
        <v>106</v>
      </c>
      <c r="C79" s="27" t="s">
        <v>107</v>
      </c>
      <c r="D79" s="27"/>
      <c r="E79" s="27"/>
      <c r="F79" s="27"/>
      <c r="G79" s="403">
        <v>40</v>
      </c>
      <c r="H79" s="403">
        <v>30</v>
      </c>
      <c r="I79" s="403">
        <v>20</v>
      </c>
      <c r="J79" s="403">
        <v>23</v>
      </c>
      <c r="K79" s="403">
        <v>38</v>
      </c>
      <c r="L79" s="403">
        <v>24</v>
      </c>
      <c r="M79" s="403">
        <v>44</v>
      </c>
      <c r="N79" s="392">
        <v>52</v>
      </c>
      <c r="O79" s="392">
        <v>44</v>
      </c>
      <c r="P79" s="392">
        <v>41</v>
      </c>
      <c r="Q79" s="392">
        <v>30</v>
      </c>
      <c r="R79" s="392">
        <v>161</v>
      </c>
      <c r="S79" s="392">
        <v>37</v>
      </c>
      <c r="T79" s="392">
        <v>38</v>
      </c>
      <c r="U79" s="392">
        <v>41</v>
      </c>
      <c r="V79">
        <v>45</v>
      </c>
      <c r="W79">
        <v>35</v>
      </c>
      <c r="X79">
        <v>30</v>
      </c>
      <c r="Y79">
        <v>7</v>
      </c>
      <c r="Z79">
        <v>8</v>
      </c>
      <c r="AA79">
        <v>8</v>
      </c>
      <c r="AB79">
        <v>9</v>
      </c>
      <c r="AC79" s="94">
        <f>AB79*(GDP!AC55/GDP!AB55)</f>
        <v>8.64</v>
      </c>
      <c r="AD79" s="94">
        <f>AC79*(GDP!AD55/GDP!AC55)</f>
        <v>10.514880000000002</v>
      </c>
      <c r="AE79" s="94">
        <f>AD79*(GDP!AE55/GDP!AD55)</f>
        <v>12.300541857391551</v>
      </c>
      <c r="AF79" s="94">
        <f>AE79*(GDP!AF55/GDP!AE55)</f>
        <v>16.961681466452649</v>
      </c>
      <c r="AG79" s="94">
        <f>AF79*(GDP!AG55/GDP!AF55)</f>
        <v>6.9483778697452916</v>
      </c>
      <c r="AH79" s="94">
        <f>AG79*(GDP!AH55/GDP!AG55)</f>
        <v>7.1113759414254103</v>
      </c>
      <c r="AI79" s="94">
        <f>AH79*(GDP!AI55/GDP!AH55)</f>
        <v>6.9956273581710944</v>
      </c>
      <c r="AJ79" s="94">
        <f>AI79*(GDP!AJ55/GDP!AI55)</f>
        <v>7.2053163209437967</v>
      </c>
      <c r="AK79" s="94">
        <f>AJ79*(GDP!AK55/GDP!AJ55)</f>
        <v>7.30745702808888</v>
      </c>
      <c r="AL79" s="94">
        <f>AK79*(GDP!AL55/GDP!AK55)</f>
        <v>7.4064885489517893</v>
      </c>
      <c r="AM79" s="94">
        <f>AL79*(GDP!AM55/GDP!AL55)</f>
        <v>7.4809080118947264</v>
      </c>
      <c r="AN79" s="94">
        <f>AM79*(GDP!AN55/GDP!AM55)</f>
        <v>10.974173926473622</v>
      </c>
      <c r="AO79" s="94">
        <f>AN79*(GDP!AO55/GDP!AN55)</f>
        <v>11.321091923810284</v>
      </c>
      <c r="AP79" s="94">
        <f>AO79*(GDP!AP55/GDP!AO55)</f>
        <v>11.592844733326912</v>
      </c>
    </row>
    <row r="80" spans="2:42" ht="15.75">
      <c r="B80" s="7" t="s">
        <v>108</v>
      </c>
      <c r="C80" s="27" t="s">
        <v>109</v>
      </c>
      <c r="D80" s="27"/>
      <c r="E80" s="27"/>
      <c r="F80" s="27"/>
      <c r="G80" s="403">
        <v>2800</v>
      </c>
      <c r="H80" s="403">
        <v>2500</v>
      </c>
      <c r="I80" s="403">
        <v>2900</v>
      </c>
      <c r="J80" s="403">
        <v>2700</v>
      </c>
      <c r="K80" s="403">
        <v>2600</v>
      </c>
      <c r="L80" s="403">
        <v>2700</v>
      </c>
      <c r="M80" s="403">
        <v>2600</v>
      </c>
      <c r="N80" s="403">
        <v>2400</v>
      </c>
      <c r="O80" s="392">
        <v>2400</v>
      </c>
      <c r="P80" s="392">
        <v>2700</v>
      </c>
      <c r="Q80" s="392">
        <v>3031</v>
      </c>
      <c r="R80" s="392">
        <v>3046</v>
      </c>
      <c r="S80" s="392">
        <v>3061</v>
      </c>
      <c r="T80" s="100">
        <v>4503</v>
      </c>
      <c r="U80" s="100">
        <v>4692</v>
      </c>
      <c r="V80">
        <v>4914</v>
      </c>
      <c r="W80">
        <v>4845</v>
      </c>
      <c r="X80">
        <v>5424</v>
      </c>
      <c r="Y80">
        <v>5579</v>
      </c>
      <c r="Z80">
        <v>6019</v>
      </c>
      <c r="AA80">
        <v>6857</v>
      </c>
      <c r="AB80">
        <v>5410</v>
      </c>
      <c r="AC80" s="189">
        <f>AB80*1.02</f>
        <v>5518.2</v>
      </c>
      <c r="AD80" s="189">
        <f t="shared" ref="AD80:AH80" si="137">AC80*1.02</f>
        <v>5628.5640000000003</v>
      </c>
      <c r="AE80" s="189">
        <f t="shared" si="137"/>
        <v>5741.1352800000004</v>
      </c>
      <c r="AF80" s="189">
        <f t="shared" si="137"/>
        <v>5855.9579856000009</v>
      </c>
      <c r="AG80" s="189">
        <f t="shared" si="137"/>
        <v>5973.0771453120014</v>
      </c>
      <c r="AH80" s="189">
        <f t="shared" si="137"/>
        <v>6092.538688218242</v>
      </c>
      <c r="AI80" s="189">
        <f>AH80*1.02</f>
        <v>6214.3894619826069</v>
      </c>
      <c r="AJ80" s="189">
        <f>AI80*1.02</f>
        <v>6338.6772512222587</v>
      </c>
      <c r="AK80" s="189">
        <f>AJ80*1.02</f>
        <v>6465.4507962467042</v>
      </c>
      <c r="AL80" s="189">
        <f>AK80*1.02</f>
        <v>6594.7598121716383</v>
      </c>
      <c r="AM80" s="189">
        <f>AL80*1.02</f>
        <v>6726.6550084150713</v>
      </c>
      <c r="AN80" s="189">
        <f t="shared" ref="AN80:AP80" si="138">AM80*1.02</f>
        <v>6861.1881085833729</v>
      </c>
      <c r="AO80" s="189">
        <f t="shared" si="138"/>
        <v>6998.4118707550406</v>
      </c>
      <c r="AP80" s="189">
        <f t="shared" si="138"/>
        <v>7138.3801081701413</v>
      </c>
    </row>
    <row r="81" spans="2:42">
      <c r="B81" s="7" t="s">
        <v>110</v>
      </c>
      <c r="C81" s="27" t="s">
        <v>111</v>
      </c>
      <c r="D81" s="27"/>
      <c r="E81" s="27"/>
      <c r="F81" s="27"/>
      <c r="G81" s="403">
        <v>2200</v>
      </c>
      <c r="H81" s="403">
        <v>2200</v>
      </c>
      <c r="I81" s="403">
        <v>2300</v>
      </c>
      <c r="J81" s="403">
        <v>2527</v>
      </c>
      <c r="K81" s="403">
        <v>2455</v>
      </c>
      <c r="L81" s="403">
        <v>2746</v>
      </c>
      <c r="M81" s="403">
        <v>2745</v>
      </c>
      <c r="N81" s="392">
        <v>2954</v>
      </c>
      <c r="O81" s="392">
        <v>2985</v>
      </c>
      <c r="P81" s="393">
        <v>2099</v>
      </c>
      <c r="Q81" s="392">
        <v>2330</v>
      </c>
      <c r="R81" s="392">
        <v>2271</v>
      </c>
      <c r="S81" s="392">
        <v>2445</v>
      </c>
      <c r="T81" s="392">
        <v>2528</v>
      </c>
      <c r="U81" s="392">
        <v>2804</v>
      </c>
      <c r="V81">
        <v>2670</v>
      </c>
      <c r="W81">
        <v>2746</v>
      </c>
      <c r="X81">
        <v>2884</v>
      </c>
      <c r="Y81">
        <v>2878</v>
      </c>
      <c r="Z81">
        <v>2429</v>
      </c>
      <c r="AA81">
        <v>2549</v>
      </c>
      <c r="AB81">
        <v>4897.3</v>
      </c>
      <c r="AC81">
        <v>4760.7</v>
      </c>
      <c r="AD81">
        <v>4642.8</v>
      </c>
      <c r="AE81">
        <v>6196.2191359999997</v>
      </c>
      <c r="AF81">
        <v>8929.4622379341417</v>
      </c>
      <c r="AG81" s="1253">
        <v>11914.862886235956</v>
      </c>
      <c r="AH81" s="1253">
        <v>15630.528736435619</v>
      </c>
      <c r="AI81" s="1253">
        <v>16706.914149995533</v>
      </c>
      <c r="AJ81" s="1253">
        <v>17829.4223962715</v>
      </c>
      <c r="AK81" s="1253">
        <v>19652.58375730921</v>
      </c>
      <c r="AL81" s="1253">
        <v>20948.240203410151</v>
      </c>
      <c r="AM81" s="1253">
        <v>22332.992112399945</v>
      </c>
      <c r="AN81" s="1253">
        <v>23813.044156914042</v>
      </c>
      <c r="AO81" s="1253">
        <v>25395.034696477058</v>
      </c>
      <c r="AP81" s="1253">
        <v>27086.066122781056</v>
      </c>
    </row>
    <row r="82" spans="2:42" ht="15.75">
      <c r="B82" s="7" t="s">
        <v>112</v>
      </c>
      <c r="C82" s="30" t="s">
        <v>72</v>
      </c>
      <c r="D82" s="30"/>
      <c r="E82" s="30"/>
      <c r="F82" s="30"/>
      <c r="G82" s="403">
        <v>473.70000000000073</v>
      </c>
      <c r="H82" s="403">
        <v>399.40000000000146</v>
      </c>
      <c r="I82" s="403">
        <v>476.20000000000073</v>
      </c>
      <c r="J82" s="403">
        <v>324.39999999999782</v>
      </c>
      <c r="K82" s="403">
        <v>393.29999999999927</v>
      </c>
      <c r="L82" s="403">
        <v>396.59999999999854</v>
      </c>
      <c r="M82" s="403">
        <v>141.39999999999782</v>
      </c>
      <c r="N82" s="403">
        <v>476</v>
      </c>
      <c r="O82" s="392">
        <v>578</v>
      </c>
      <c r="P82" s="392">
        <v>545</v>
      </c>
      <c r="Q82" s="392">
        <v>163</v>
      </c>
      <c r="R82" s="392">
        <v>443</v>
      </c>
      <c r="S82" s="392">
        <v>594</v>
      </c>
      <c r="T82" s="392">
        <v>1006</v>
      </c>
      <c r="U82" s="392">
        <v>1238</v>
      </c>
      <c r="V82">
        <v>1417</v>
      </c>
      <c r="W82">
        <v>1293</v>
      </c>
      <c r="X82">
        <v>1724</v>
      </c>
      <c r="Y82">
        <v>2625</v>
      </c>
      <c r="Z82">
        <v>2740</v>
      </c>
      <c r="AA82">
        <v>3445.7000000000007</v>
      </c>
      <c r="AB82">
        <v>1820.5</v>
      </c>
      <c r="AC82">
        <f t="shared" ref="AC82" si="139">AC74-SUM(AC76:AC81)</f>
        <v>3025.2266426417227</v>
      </c>
      <c r="AD82" s="94">
        <f>AD74-SUM(AD76:AD81)</f>
        <v>2793.0497157935024</v>
      </c>
      <c r="AE82" s="94">
        <f>AE74-SUM(AE76:AE81)</f>
        <v>1512.8968381029772</v>
      </c>
      <c r="AF82" s="94">
        <f>AF74-SUM(AF76:AF81)</f>
        <v>739.86282084928098</v>
      </c>
      <c r="AG82" s="695">
        <f>AG74-SUM(AG76:AG80)</f>
        <v>9774.4110606359991</v>
      </c>
      <c r="AH82" s="210">
        <f t="shared" ref="AH82" si="140">AH74-SUM(AH76:AH80)</f>
        <v>9893.5051160800285</v>
      </c>
      <c r="AI82" s="210">
        <f>AI74-SUM(AI76:AI80)</f>
        <v>10046.601907418713</v>
      </c>
      <c r="AJ82" s="210">
        <f>AJ74-SUM(AJ76:AJ80)</f>
        <v>10674.494189803205</v>
      </c>
      <c r="AK82" s="210">
        <f>AK74-SUM(AK76:AK80)</f>
        <v>11278.142211485952</v>
      </c>
      <c r="AL82" s="210">
        <f>AL74-SUM(AL76:AL80)</f>
        <v>11907.857887939259</v>
      </c>
      <c r="AM82" s="210">
        <f>AM74-SUM(AM76:AM80)</f>
        <v>12511.236281737307</v>
      </c>
      <c r="AN82" s="210">
        <f t="shared" ref="AN82:AP82" si="141">AN74-SUM(AN76:AN80)</f>
        <v>13047.456078900053</v>
      </c>
      <c r="AO82" s="210">
        <f t="shared" si="141"/>
        <v>13553.052743461511</v>
      </c>
      <c r="AP82" s="210">
        <f t="shared" si="141"/>
        <v>13933.672872240335</v>
      </c>
    </row>
    <row r="83" spans="2:42" ht="15.75">
      <c r="B83" s="7" t="s">
        <v>113</v>
      </c>
      <c r="C83" s="31" t="s">
        <v>114</v>
      </c>
      <c r="D83" s="31"/>
      <c r="E83" s="31"/>
      <c r="F83" s="31"/>
      <c r="G83" s="951">
        <v>0.12685672109973245</v>
      </c>
      <c r="H83" s="951">
        <v>0.12502557341274351</v>
      </c>
      <c r="I83" s="951">
        <v>0.13024225058609012</v>
      </c>
      <c r="J83" s="951">
        <v>0.13586313684165252</v>
      </c>
      <c r="K83" s="951">
        <v>0.13028503499917743</v>
      </c>
      <c r="L83" s="951">
        <v>0.14568025677073662</v>
      </c>
      <c r="M83" s="951">
        <v>0.14424895951570185</v>
      </c>
      <c r="N83" s="951">
        <v>0.15472449193379426</v>
      </c>
      <c r="O83" s="410">
        <v>0.15256056424409689</v>
      </c>
      <c r="P83" s="410">
        <v>0.10483991808600969</v>
      </c>
      <c r="Q83" s="410">
        <v>0.16028066313544748</v>
      </c>
      <c r="R83" s="410">
        <v>0.16061956291109697</v>
      </c>
      <c r="S83" s="410">
        <v>0.16697398074165129</v>
      </c>
      <c r="T83" s="410">
        <v>0.17192600652883569</v>
      </c>
      <c r="U83" s="410">
        <v>0.20437317784256559</v>
      </c>
      <c r="V83" s="260">
        <v>0.18344211611130196</v>
      </c>
      <c r="W83" s="260">
        <v>0.18822400438686682</v>
      </c>
      <c r="X83" s="260">
        <v>0.18763825634352635</v>
      </c>
      <c r="Y83" s="260">
        <v>0.16518395224702978</v>
      </c>
      <c r="Z83" s="260">
        <v>0.13109180204004534</v>
      </c>
      <c r="AA83" s="260">
        <v>0.14482131697062667</v>
      </c>
      <c r="AB83" s="260">
        <v>0.29484933321292034</v>
      </c>
      <c r="AC83" s="410">
        <f t="shared" ref="AC83:AD83" si="142">AC81/(AC72-AC81)</f>
        <v>0.27303697501161384</v>
      </c>
      <c r="AD83" s="410">
        <f t="shared" si="142"/>
        <v>0.2577185678601166</v>
      </c>
      <c r="AE83" s="410">
        <f>AE81/(AE72-AE81)</f>
        <v>0.34714126358038283</v>
      </c>
      <c r="AF83" s="410">
        <f>AF81/(AF72-AF81)</f>
        <v>0.50271849472786767</v>
      </c>
      <c r="AG83" s="409">
        <v>0.43560665128923598</v>
      </c>
      <c r="AH83" s="409">
        <v>0.53560665128923557</v>
      </c>
      <c r="AI83" s="409">
        <v>0.53651305526639348</v>
      </c>
      <c r="AJ83" s="409">
        <v>0.53651305526639348</v>
      </c>
      <c r="AK83" s="409">
        <v>0.53651305526639348</v>
      </c>
      <c r="AL83" s="409">
        <v>0.53651305526639348</v>
      </c>
      <c r="AM83" s="409">
        <v>0.53651305526639348</v>
      </c>
      <c r="AN83" s="409">
        <v>0.53651305526639348</v>
      </c>
      <c r="AO83" s="409">
        <v>0.53651305526639359</v>
      </c>
      <c r="AP83" s="409">
        <v>0.53651305526639359</v>
      </c>
    </row>
    <row r="84" spans="2:42">
      <c r="B84" s="279" t="s">
        <v>781</v>
      </c>
      <c r="C84" s="280" t="s">
        <v>114</v>
      </c>
      <c r="D84" s="280"/>
      <c r="E84" s="280"/>
      <c r="F84" s="280"/>
      <c r="G84" s="951"/>
      <c r="H84" s="951"/>
      <c r="I84" s="951"/>
      <c r="J84" s="951"/>
      <c r="K84" s="951"/>
      <c r="L84" s="951"/>
      <c r="M84" s="951"/>
      <c r="N84" s="951"/>
      <c r="O84" s="951"/>
      <c r="P84" s="951"/>
      <c r="Q84" s="951"/>
      <c r="R84" s="955"/>
      <c r="S84" s="955"/>
      <c r="T84" s="955"/>
      <c r="U84" s="955"/>
      <c r="AC84" s="141">
        <f>AC81/(AC72-AC81)</f>
        <v>0.27303697501161384</v>
      </c>
      <c r="AD84" s="141">
        <f>AD81/(AD72-AD81)</f>
        <v>0.2577185678601166</v>
      </c>
      <c r="AE84" s="281">
        <f>AE81/(AE72-AE81)</f>
        <v>0.34714126358038283</v>
      </c>
      <c r="AF84" s="281">
        <f>AF81/(AF72-AF81)</f>
        <v>0.50271849472786767</v>
      </c>
      <c r="AG84" s="281">
        <f>AG81/(AG72-AG81)</f>
        <v>0.72166322405440519</v>
      </c>
      <c r="AH84" s="281">
        <f t="shared" ref="AH84" si="143">AH81/(AH72-AH81)</f>
        <v>1.0671795605583412</v>
      </c>
      <c r="AI84" s="281">
        <f>AI81/(AI72-AI81)</f>
        <v>1.074466191872939</v>
      </c>
      <c r="AJ84" s="281">
        <f>AJ81/(AJ72-AJ81)</f>
        <v>1.0778874198006692</v>
      </c>
      <c r="AK84" s="281">
        <f t="shared" ref="AK84:AP84" si="144">AK81/(AK72-AK81)</f>
        <v>1.1575580744237779</v>
      </c>
      <c r="AL84" s="281">
        <f t="shared" si="144"/>
        <v>1.1575580744237779</v>
      </c>
      <c r="AM84" s="281">
        <f t="shared" si="144"/>
        <v>1.1575580744237779</v>
      </c>
      <c r="AN84" s="281">
        <f t="shared" si="144"/>
        <v>1.1575580744237779</v>
      </c>
      <c r="AO84" s="281">
        <f t="shared" si="144"/>
        <v>1.1575580744237783</v>
      </c>
      <c r="AP84" s="281">
        <f t="shared" si="144"/>
        <v>1.1575580744237783</v>
      </c>
    </row>
    <row r="85" spans="2:42">
      <c r="B85" s="29"/>
      <c r="C85" s="30"/>
      <c r="D85" s="30"/>
      <c r="E85" s="30"/>
      <c r="F85" s="30"/>
      <c r="G85" s="289"/>
      <c r="H85" s="289"/>
      <c r="I85" s="951"/>
      <c r="J85" s="951"/>
      <c r="K85" s="951"/>
      <c r="L85" s="951"/>
      <c r="M85" s="951"/>
      <c r="N85" s="951"/>
      <c r="O85" s="951"/>
      <c r="P85" s="951"/>
      <c r="Q85" s="951"/>
      <c r="R85" s="803"/>
      <c r="S85" s="803"/>
      <c r="T85" s="803"/>
      <c r="U85" s="32"/>
      <c r="AE85" s="85">
        <f>0.347*(SUM(AE76:AE80,AE82,AE73))</f>
        <v>6193.697683808</v>
      </c>
      <c r="AF85" s="85">
        <f>0.534*(SUM(AF76:AF80,AF82,AF73))</f>
        <v>9485.0953069431707</v>
      </c>
      <c r="AG85" s="85">
        <f>0.43561*(SUM(AG76:AG80,AG82,AG73))</f>
        <v>12382.277091098602</v>
      </c>
      <c r="AH85" s="85">
        <f>0.53561*(SUM(AH76:AH80,AH82,AH73))</f>
        <v>16216.721170577075</v>
      </c>
      <c r="AI85" s="85">
        <f t="shared" ref="AI85:AP85" si="145">0.53561*(SUM(AI76:AI80,AI82,AI73))</f>
        <v>17276.609784744673</v>
      </c>
      <c r="AJ85" s="85">
        <f t="shared" si="145"/>
        <v>18409.184964548549</v>
      </c>
      <c r="AK85" s="85">
        <f t="shared" si="145"/>
        <v>19619.504656836129</v>
      </c>
      <c r="AL85" s="85">
        <f t="shared" si="145"/>
        <v>20912.980262479221</v>
      </c>
      <c r="AM85" s="85">
        <f t="shared" si="145"/>
        <v>22295.401366110626</v>
      </c>
      <c r="AN85" s="85">
        <f t="shared" si="145"/>
        <v>23772.962196701381</v>
      </c>
      <c r="AO85" s="85">
        <f t="shared" si="145"/>
        <v>25352.289940132752</v>
      </c>
      <c r="AP85" s="85">
        <f t="shared" si="145"/>
        <v>27040.475033397561</v>
      </c>
    </row>
    <row r="86" spans="2:42">
      <c r="B86" s="29"/>
      <c r="C86" s="30" t="s">
        <v>115</v>
      </c>
      <c r="D86" s="30"/>
      <c r="E86" s="30"/>
      <c r="F86" s="30"/>
      <c r="G86" s="959">
        <v>5242.3999999999996</v>
      </c>
      <c r="H86" s="959">
        <v>5389.4</v>
      </c>
      <c r="I86" s="959">
        <v>4539.1000000000004</v>
      </c>
      <c r="J86" s="959">
        <v>4617.6000000000004</v>
      </c>
      <c r="K86" s="959">
        <v>4810.2</v>
      </c>
      <c r="L86" s="959">
        <v>4505.5</v>
      </c>
      <c r="M86" s="959">
        <v>4839.5</v>
      </c>
      <c r="N86" s="959">
        <v>4360.6000000000004</v>
      </c>
      <c r="O86" s="959">
        <v>5145.5</v>
      </c>
      <c r="P86" s="959">
        <v>4276.0999999999995</v>
      </c>
      <c r="Q86" s="959">
        <v>338.90000000000003</v>
      </c>
      <c r="R86" s="961">
        <v>134.93240740740742</v>
      </c>
      <c r="S86" s="961">
        <v>89.431944444444454</v>
      </c>
      <c r="T86" s="961">
        <v>91.785416666666663</v>
      </c>
      <c r="U86" s="961">
        <v>40.793518518518518</v>
      </c>
      <c r="V86" s="95">
        <v>49.422916666666666</v>
      </c>
      <c r="W86" s="95">
        <f t="shared" ref="W86:AB86" si="146">V86*W71/V71</f>
        <v>80.802546296296285</v>
      </c>
      <c r="X86" s="95">
        <f t="shared" si="146"/>
        <v>86.293981481481467</v>
      </c>
      <c r="Y86" s="95">
        <f t="shared" si="146"/>
        <v>439.07946759259261</v>
      </c>
      <c r="Z86" s="95">
        <f t="shared" si="146"/>
        <v>230.95407407407404</v>
      </c>
      <c r="AA86" s="95">
        <f t="shared" si="146"/>
        <v>297.08664351851849</v>
      </c>
      <c r="AB86" s="95">
        <f t="shared" si="146"/>
        <v>693.01912037037027</v>
      </c>
      <c r="AC86" s="95">
        <f t="shared" ref="AC86:AH86" si="147">AB86*AC71/AB71</f>
        <v>625.47446759259253</v>
      </c>
      <c r="AD86" s="95">
        <f t="shared" si="147"/>
        <v>625.47446759259253</v>
      </c>
      <c r="AE86" s="95">
        <f t="shared" si="147"/>
        <v>1269.1428444444443</v>
      </c>
      <c r="AF86" s="95">
        <f t="shared" si="147"/>
        <v>2119.6257307870369</v>
      </c>
      <c r="AG86" s="95">
        <f t="shared" si="147"/>
        <v>2162.0182454027777</v>
      </c>
      <c r="AH86" s="95">
        <f t="shared" si="147"/>
        <v>2205.2586103108333</v>
      </c>
      <c r="AI86" s="95">
        <f>AH86*AI71/AH71</f>
        <v>2249.3637825170499</v>
      </c>
      <c r="AJ86" s="95">
        <f>AI86*AJ71/AI71</f>
        <v>2294.3510581673909</v>
      </c>
      <c r="AK86" s="95">
        <f>AJ86*AK71/AJ71</f>
        <v>2340.2380793307389</v>
      </c>
      <c r="AL86" s="95">
        <f t="shared" ref="AL86:AP86" si="148">AK86*AL71/AK71</f>
        <v>2387.0428409173537</v>
      </c>
      <c r="AM86" s="95">
        <f t="shared" si="148"/>
        <v>2434.7836977357006</v>
      </c>
      <c r="AN86" s="95">
        <f t="shared" si="148"/>
        <v>2483.4793716904146</v>
      </c>
      <c r="AO86" s="95">
        <f t="shared" si="148"/>
        <v>2533.148959124223</v>
      </c>
      <c r="AP86" s="95">
        <f t="shared" si="148"/>
        <v>2583.8119383067074</v>
      </c>
    </row>
    <row r="87" spans="2:42">
      <c r="B87" s="29"/>
      <c r="C87" s="30" t="s">
        <v>116</v>
      </c>
      <c r="D87" s="30"/>
      <c r="E87" s="30"/>
      <c r="F87" s="30"/>
      <c r="G87" s="959">
        <v>3908.7000000000003</v>
      </c>
      <c r="H87" s="959">
        <v>4040.1</v>
      </c>
      <c r="I87" s="959">
        <v>3675.6</v>
      </c>
      <c r="J87" s="959">
        <v>4713.6000000000004</v>
      </c>
      <c r="K87" s="959">
        <v>4450.8999999999996</v>
      </c>
      <c r="L87" s="959">
        <v>4257.8999999999996</v>
      </c>
      <c r="M87" s="959">
        <v>4231.2</v>
      </c>
      <c r="N87" s="959">
        <v>4259</v>
      </c>
      <c r="O87" s="959">
        <v>4264.8</v>
      </c>
      <c r="P87" s="959">
        <v>4227.3</v>
      </c>
      <c r="Q87" s="282">
        <v>286</v>
      </c>
      <c r="R87" s="282">
        <v>297</v>
      </c>
      <c r="S87" s="282">
        <v>775</v>
      </c>
      <c r="T87" s="282">
        <v>1061</v>
      </c>
      <c r="U87" s="282">
        <v>1364</v>
      </c>
      <c r="V87" s="282">
        <f t="shared" ref="V87:AH87" si="149">V73</f>
        <v>1396</v>
      </c>
      <c r="W87" s="282">
        <f t="shared" si="149"/>
        <v>1428</v>
      </c>
      <c r="X87" s="282">
        <f t="shared" si="149"/>
        <v>1421</v>
      </c>
      <c r="Y87" s="282">
        <f t="shared" si="149"/>
        <v>2945</v>
      </c>
      <c r="Z87" s="282">
        <f t="shared" si="149"/>
        <v>3175</v>
      </c>
      <c r="AA87" s="282">
        <f t="shared" si="149"/>
        <v>1870.3</v>
      </c>
      <c r="AB87" s="282">
        <f t="shared" si="149"/>
        <v>3302.6</v>
      </c>
      <c r="AC87" s="282">
        <f t="shared" si="149"/>
        <v>3341</v>
      </c>
      <c r="AD87" s="282">
        <f t="shared" si="149"/>
        <v>3606.6</v>
      </c>
      <c r="AE87" s="282">
        <f t="shared" si="149"/>
        <v>3901.7</v>
      </c>
      <c r="AF87" s="282">
        <f t="shared" si="149"/>
        <v>3948.5203999999999</v>
      </c>
      <c r="AG87" s="282">
        <f t="shared" si="149"/>
        <v>3995.9026448</v>
      </c>
      <c r="AH87" s="282">
        <f t="shared" si="149"/>
        <v>4043.8534765375998</v>
      </c>
      <c r="AI87" s="282">
        <f>AI73</f>
        <v>4092.3797182560511</v>
      </c>
      <c r="AJ87" s="282">
        <f>AJ73</f>
        <v>4141.4882748751234</v>
      </c>
      <c r="AK87" s="282">
        <f t="shared" ref="AK87:AP87" si="150">AK73</f>
        <v>4191.1861341736249</v>
      </c>
      <c r="AL87" s="282">
        <f t="shared" si="150"/>
        <v>4241.4803677837081</v>
      </c>
      <c r="AM87" s="282">
        <f t="shared" si="150"/>
        <v>4292.3781321971128</v>
      </c>
      <c r="AN87" s="282">
        <f t="shared" si="150"/>
        <v>4343.8866697834783</v>
      </c>
      <c r="AO87" s="282">
        <f t="shared" si="150"/>
        <v>4396.0133098208798</v>
      </c>
      <c r="AP87" s="282">
        <f t="shared" si="150"/>
        <v>4448.76546953873</v>
      </c>
    </row>
    <row r="88" spans="2:42">
      <c r="B88" s="29"/>
      <c r="C88" s="30" t="s">
        <v>117</v>
      </c>
      <c r="D88" s="30"/>
      <c r="E88" s="30"/>
      <c r="F88" s="30"/>
      <c r="G88" s="959">
        <v>131.1</v>
      </c>
      <c r="H88" s="959">
        <v>93.899999999999991</v>
      </c>
      <c r="I88" s="959">
        <v>76.900000000000006</v>
      </c>
      <c r="J88" s="959">
        <v>61.400000000000006</v>
      </c>
      <c r="K88" s="959">
        <v>65</v>
      </c>
      <c r="L88" s="959">
        <v>58.1</v>
      </c>
      <c r="M88" s="959">
        <v>66.8</v>
      </c>
      <c r="N88" s="959">
        <v>65.599999999999994</v>
      </c>
      <c r="O88" s="959">
        <v>87.5</v>
      </c>
      <c r="P88" s="959">
        <v>76.100000000000009</v>
      </c>
      <c r="Q88" s="959">
        <v>12.899999999999999</v>
      </c>
      <c r="R88" s="960"/>
      <c r="S88" s="960"/>
      <c r="T88" s="960"/>
      <c r="U88" s="403"/>
    </row>
    <row r="89" spans="2:42" ht="15.75">
      <c r="B89" s="7" t="s">
        <v>118</v>
      </c>
      <c r="C89" s="30" t="s">
        <v>119</v>
      </c>
      <c r="D89" s="30"/>
      <c r="E89" s="30"/>
      <c r="F89" s="30"/>
      <c r="G89" s="959">
        <v>86.8</v>
      </c>
      <c r="H89" s="959">
        <v>80.099999999999994</v>
      </c>
      <c r="I89" s="959">
        <v>64.5</v>
      </c>
      <c r="J89" s="959">
        <v>54.900000000000006</v>
      </c>
      <c r="K89" s="959">
        <v>57.6</v>
      </c>
      <c r="L89" s="959">
        <v>52.5</v>
      </c>
      <c r="M89" s="959">
        <v>49</v>
      </c>
      <c r="N89" s="959">
        <v>59.5</v>
      </c>
      <c r="O89" s="962">
        <v>59.748400000000004</v>
      </c>
      <c r="P89" s="962">
        <v>63.188099999999999</v>
      </c>
      <c r="Q89" s="962">
        <v>3.4600192395368046</v>
      </c>
      <c r="R89" s="962">
        <v>4.2690000000000001</v>
      </c>
      <c r="S89" s="962">
        <v>21.335000000000001</v>
      </c>
      <c r="T89" s="962">
        <v>33.268000000000001</v>
      </c>
      <c r="U89" s="962">
        <v>44.1</v>
      </c>
      <c r="V89" s="94">
        <f>Trade!V10</f>
        <v>48.4</v>
      </c>
      <c r="W89" s="94">
        <f>Trade!W10</f>
        <v>51.7</v>
      </c>
      <c r="X89" s="94">
        <f>Trade!X10</f>
        <v>53.5</v>
      </c>
      <c r="Y89" s="94">
        <f>Trade!Y10</f>
        <v>56.4</v>
      </c>
      <c r="Z89" s="94">
        <f>Trade!Z10</f>
        <v>93.1</v>
      </c>
      <c r="AA89" s="94">
        <f>Trade!AA10</f>
        <v>56.4</v>
      </c>
      <c r="AB89" s="94">
        <f>Trade!AB10</f>
        <v>95.960999999999999</v>
      </c>
      <c r="AC89" s="94">
        <f>Trade!AC10</f>
        <v>106.2</v>
      </c>
      <c r="AD89" s="94">
        <f>Trade!AD10</f>
        <v>110.4</v>
      </c>
      <c r="AE89" s="94">
        <f>Trade!AE10</f>
        <v>113</v>
      </c>
      <c r="AF89" s="94">
        <f>Trade!AF10</f>
        <v>141.19999999999999</v>
      </c>
      <c r="AG89" s="94">
        <f>Trade!AG10</f>
        <v>148.26</v>
      </c>
      <c r="AH89" s="94">
        <f>Trade!AH10</f>
        <v>155.673</v>
      </c>
      <c r="AI89" s="94">
        <f>Trade!AI10</f>
        <v>163.45665</v>
      </c>
      <c r="AJ89" s="94">
        <f>Trade!AJ10</f>
        <v>171.62948249999999</v>
      </c>
      <c r="AK89" s="94">
        <f>Trade!AK10</f>
        <v>180.21095662499999</v>
      </c>
      <c r="AL89" s="94">
        <f>Trade!AL10</f>
        <v>189.22150445624999</v>
      </c>
      <c r="AM89" s="94">
        <f>Trade!AM10</f>
        <v>198.68257967906248</v>
      </c>
      <c r="AN89" s="94">
        <f>Trade!AN10</f>
        <v>208.61670866301563</v>
      </c>
      <c r="AO89" s="94">
        <f>Trade!AO10</f>
        <v>219.04754409616643</v>
      </c>
      <c r="AP89" s="94">
        <f>Trade!AP10</f>
        <v>229.99992130097476</v>
      </c>
    </row>
    <row r="90" spans="2:42">
      <c r="B90" s="29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AG90" s="210">
        <f>AG83*(SUM(AG76:AG80,AG82,AG73))</f>
        <v>12382.18190351205</v>
      </c>
      <c r="AH90" s="210">
        <f t="shared" ref="AH90:AP90" si="151">AH83*(SUM(AH76:AH80,AH82,AH73))</f>
        <v>16216.619781303634</v>
      </c>
      <c r="AI90" s="210">
        <f t="shared" si="151"/>
        <v>17305.738690947954</v>
      </c>
      <c r="AJ90" s="210">
        <f t="shared" si="151"/>
        <v>18440.223428042969</v>
      </c>
      <c r="AK90" s="210">
        <f t="shared" si="151"/>
        <v>19652.58375730921</v>
      </c>
      <c r="AL90" s="210">
        <f t="shared" si="151"/>
        <v>20948.240203410151</v>
      </c>
      <c r="AM90" s="210">
        <f t="shared" si="151"/>
        <v>22332.992112399945</v>
      </c>
      <c r="AN90" s="210">
        <f t="shared" si="151"/>
        <v>23813.044156914042</v>
      </c>
      <c r="AO90" s="210">
        <f t="shared" si="151"/>
        <v>25395.034696477058</v>
      </c>
      <c r="AP90" s="210">
        <f t="shared" si="151"/>
        <v>27086.066122781056</v>
      </c>
    </row>
    <row r="91" spans="2:42">
      <c r="B91" s="29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</row>
    <row r="92" spans="2:42">
      <c r="B92" s="29"/>
      <c r="C92" s="30"/>
      <c r="D92" s="30"/>
      <c r="E92" s="30"/>
      <c r="F92" s="30"/>
      <c r="G92" s="964"/>
      <c r="H92" s="964"/>
      <c r="I92" s="964"/>
      <c r="J92" s="964"/>
      <c r="K92" s="964"/>
      <c r="L92" s="964"/>
      <c r="M92" s="964"/>
      <c r="N92" s="964"/>
      <c r="O92" s="964"/>
      <c r="P92" s="964"/>
      <c r="Q92" s="964"/>
      <c r="R92" s="803"/>
      <c r="S92" s="803"/>
      <c r="T92" s="32"/>
      <c r="U92" s="32"/>
    </row>
    <row r="93" spans="2:42">
      <c r="B93" s="7" t="s">
        <v>120</v>
      </c>
      <c r="C93" s="30" t="s">
        <v>121</v>
      </c>
      <c r="D93" s="30"/>
      <c r="E93" s="30"/>
      <c r="F93" s="30"/>
      <c r="G93" s="964"/>
      <c r="H93" s="964"/>
      <c r="I93" s="964"/>
      <c r="J93" s="962">
        <v>4420</v>
      </c>
      <c r="K93" s="962">
        <v>4396</v>
      </c>
      <c r="L93" s="968">
        <v>4404</v>
      </c>
      <c r="M93" s="968">
        <v>4389</v>
      </c>
      <c r="N93" s="968">
        <v>4386</v>
      </c>
      <c r="O93" s="968">
        <v>5069</v>
      </c>
      <c r="P93" s="968">
        <v>5078</v>
      </c>
      <c r="Q93" s="968">
        <v>5105</v>
      </c>
      <c r="R93" s="968">
        <v>5079</v>
      </c>
      <c r="S93" s="968">
        <v>6168</v>
      </c>
      <c r="T93" s="285">
        <v>6180</v>
      </c>
      <c r="U93" s="285">
        <v>6280</v>
      </c>
      <c r="V93" s="285">
        <v>6283</v>
      </c>
      <c r="W93" s="285">
        <v>6577</v>
      </c>
      <c r="X93" s="285">
        <v>5718</v>
      </c>
      <c r="Y93" s="285">
        <v>6197</v>
      </c>
      <c r="Z93" s="285">
        <v>6475</v>
      </c>
      <c r="AA93" s="285">
        <v>6356</v>
      </c>
      <c r="AB93" s="285">
        <v>6476</v>
      </c>
      <c r="AC93" s="286">
        <f t="shared" ref="AC93" si="152">AB93*1.002</f>
        <v>6488.9520000000002</v>
      </c>
      <c r="AD93" s="286">
        <f t="shared" ref="AD93" si="153">AC93*1.002</f>
        <v>6501.9299040000005</v>
      </c>
      <c r="AE93" s="286">
        <f t="shared" ref="AE93" si="154">AD93*1.002</f>
        <v>6514.9337638080005</v>
      </c>
      <c r="AF93" s="286">
        <f t="shared" ref="AF93" si="155">AE93*1.002</f>
        <v>6527.9636313356168</v>
      </c>
      <c r="AG93" s="286">
        <f t="shared" ref="AG93" si="156">AF93*1.002</f>
        <v>6541.0195585982883</v>
      </c>
      <c r="AH93" s="286">
        <f t="shared" ref="AH93" si="157">AG93*1.002</f>
        <v>6554.1015977154848</v>
      </c>
      <c r="AI93" s="286">
        <f t="shared" ref="AI93:AK93" si="158">AH93*1.002</f>
        <v>6567.2098009109159</v>
      </c>
      <c r="AJ93" s="286">
        <f t="shared" si="158"/>
        <v>6580.3442205127376</v>
      </c>
      <c r="AK93" s="286">
        <f t="shared" si="158"/>
        <v>6593.5049089537633</v>
      </c>
      <c r="AL93" s="286">
        <f t="shared" ref="AL93" si="159">AK93*1.002</f>
        <v>6606.6919187716712</v>
      </c>
      <c r="AM93" s="286">
        <f t="shared" ref="AM93" si="160">AL93*1.002</f>
        <v>6619.9053026092142</v>
      </c>
      <c r="AN93" s="286">
        <f t="shared" ref="AN93" si="161">AM93*1.002</f>
        <v>6633.145113214433</v>
      </c>
      <c r="AO93" s="286">
        <f t="shared" ref="AO93" si="162">AN93*1.002</f>
        <v>6646.4114034408622</v>
      </c>
      <c r="AP93" s="286">
        <f t="shared" ref="AP93" si="163">AO93*1.002</f>
        <v>6659.7042262477435</v>
      </c>
    </row>
    <row r="94" spans="2:42">
      <c r="B94" s="7" t="s">
        <v>122</v>
      </c>
      <c r="C94" s="30" t="s">
        <v>123</v>
      </c>
      <c r="D94" s="30"/>
      <c r="E94" s="30"/>
      <c r="F94" s="30"/>
      <c r="G94" s="964"/>
      <c r="H94" s="964"/>
      <c r="I94" s="964"/>
      <c r="J94" s="965">
        <v>0.42637761110766753</v>
      </c>
      <c r="K94" s="965">
        <v>0.42823799967591958</v>
      </c>
      <c r="L94" s="965">
        <v>0.4429866580402208</v>
      </c>
      <c r="M94" s="965">
        <v>0.44046916793852631</v>
      </c>
      <c r="N94" s="965">
        <v>0.45531964511407197</v>
      </c>
      <c r="O94" s="965">
        <v>0.36363480769040213</v>
      </c>
      <c r="P94" s="965">
        <v>0.36231590835927563</v>
      </c>
      <c r="Q94" s="965">
        <v>0.36751058815110976</v>
      </c>
      <c r="R94" s="965">
        <v>0.36496415988118325</v>
      </c>
      <c r="S94" s="965">
        <v>0.31414903256756038</v>
      </c>
      <c r="T94" s="965">
        <v>0.31614354745755197</v>
      </c>
      <c r="U94" s="965">
        <v>0.29942122560567724</v>
      </c>
      <c r="V94" s="95">
        <f t="shared" ref="V94:AH94" si="164">V70/(V93*24*365)*1000</f>
        <v>0.31181480504397968</v>
      </c>
      <c r="W94" s="95">
        <f t="shared" si="164"/>
        <v>0.29909127074216713</v>
      </c>
      <c r="X94" s="95">
        <f t="shared" si="164"/>
        <v>0.3622303037272348</v>
      </c>
      <c r="Y94" s="95">
        <f t="shared" si="164"/>
        <v>0.36366838277174918</v>
      </c>
      <c r="Z94" s="95">
        <f t="shared" si="164"/>
        <v>0.36453870700446045</v>
      </c>
      <c r="AA94" s="95">
        <f t="shared" si="164"/>
        <v>0.35509179835110677</v>
      </c>
      <c r="AB94" s="95">
        <f t="shared" si="164"/>
        <v>0.36354463688899791</v>
      </c>
      <c r="AC94" s="95">
        <f t="shared" si="164"/>
        <v>0.3764653054612907</v>
      </c>
      <c r="AD94" s="95">
        <f t="shared" si="164"/>
        <v>0.38380771623586368</v>
      </c>
      <c r="AE94" s="95">
        <f t="shared" si="164"/>
        <v>0.39298016201640223</v>
      </c>
      <c r="AF94" s="95">
        <f t="shared" si="164"/>
        <v>0.41951414162526834</v>
      </c>
      <c r="AG94" s="95">
        <f t="shared" si="164"/>
        <v>0.44798416321261192</v>
      </c>
      <c r="AH94" s="95">
        <f t="shared" si="164"/>
        <v>0.47838628207334805</v>
      </c>
      <c r="AI94" s="95">
        <f t="shared" ref="AI94:AP94" si="165">AI70/(AI93*24*365)*1000</f>
        <v>0.51085161858131989</v>
      </c>
      <c r="AJ94" s="95">
        <f t="shared" si="165"/>
        <v>0.54552019149901421</v>
      </c>
      <c r="AK94" s="95">
        <f t="shared" si="165"/>
        <v>0.5825415218602249</v>
      </c>
      <c r="AL94" s="95">
        <f t="shared" si="165"/>
        <v>0.62207527783477101</v>
      </c>
      <c r="AM94" s="95">
        <f t="shared" si="165"/>
        <v>0.66429196335649199</v>
      </c>
      <c r="AN94" s="95">
        <f t="shared" si="165"/>
        <v>0.70937365348447745</v>
      </c>
      <c r="AO94" s="95">
        <f t="shared" si="165"/>
        <v>0.75751477966905301</v>
      </c>
      <c r="AP94" s="95">
        <f t="shared" si="165"/>
        <v>0.80892296830926802</v>
      </c>
    </row>
    <row r="95" spans="2:42">
      <c r="B95" s="7" t="s">
        <v>124</v>
      </c>
      <c r="C95" s="30" t="s">
        <v>125</v>
      </c>
      <c r="D95" s="30"/>
      <c r="E95" s="30"/>
      <c r="F95" s="30"/>
      <c r="G95" s="964"/>
      <c r="H95" s="964"/>
      <c r="I95" s="964"/>
      <c r="J95" s="354">
        <v>1120.6124031007746</v>
      </c>
      <c r="K95" s="354">
        <v>1042.8860009119928</v>
      </c>
      <c r="L95" s="354">
        <v>475.79480164158701</v>
      </c>
      <c r="M95" s="354">
        <v>570.96580027359641</v>
      </c>
      <c r="N95" s="354">
        <v>0</v>
      </c>
      <c r="O95" s="354">
        <v>4071.2138622891025</v>
      </c>
      <c r="P95" s="354">
        <v>4137.1112631098968</v>
      </c>
      <c r="Q95" s="354">
        <v>3926.8034655722777</v>
      </c>
      <c r="R95" s="354">
        <v>4020.0998632010942</v>
      </c>
      <c r="S95" s="354">
        <v>7627.6853625170997</v>
      </c>
      <c r="T95" s="354">
        <v>7534.5485636114927</v>
      </c>
      <c r="U95" s="354">
        <v>8576.4085727314159</v>
      </c>
      <c r="V95" s="94">
        <f>(0.46-V94)*V93*24*365/1000</f>
        <v>8155.9767999999995</v>
      </c>
      <c r="W95" s="94">
        <f t="shared" ref="W95:AH95" si="166">(0.46-W94)*W93*24*365/1000</f>
        <v>9270.6791999999969</v>
      </c>
      <c r="X95" s="94">
        <f t="shared" si="166"/>
        <v>4897.2528000000029</v>
      </c>
      <c r="Y95" s="94">
        <f t="shared" si="166"/>
        <v>5229.4312000000009</v>
      </c>
      <c r="Z95" s="94">
        <f t="shared" si="166"/>
        <v>5414.66</v>
      </c>
      <c r="AA95" s="94">
        <f t="shared" si="166"/>
        <v>5841.1376000000027</v>
      </c>
      <c r="AB95" s="94">
        <f t="shared" si="166"/>
        <v>5471.8896000000032</v>
      </c>
      <c r="AC95" s="94">
        <f t="shared" si="166"/>
        <v>4748.3809792000002</v>
      </c>
      <c r="AD95" s="94">
        <f t="shared" si="166"/>
        <v>4339.6767411584033</v>
      </c>
      <c r="AE95" s="94">
        <f t="shared" si="166"/>
        <v>3824.8770946407199</v>
      </c>
      <c r="AF95" s="94">
        <f t="shared" si="166"/>
        <v>2315.1822488299995</v>
      </c>
      <c r="AG95" s="94">
        <f t="shared" si="166"/>
        <v>688.4994133276582</v>
      </c>
      <c r="AH95" s="94">
        <f t="shared" si="166"/>
        <v>-1055.6287118456862</v>
      </c>
      <c r="AI95" s="94">
        <f>(0.46-AI94)*AI93*24*365/1000</f>
        <v>-2925.4304519493844</v>
      </c>
      <c r="AJ95" s="94">
        <f>(0.46-AJ94)*AJ93*24*365/1000</f>
        <v>-4929.7101293208816</v>
      </c>
      <c r="AK95" s="94">
        <f t="shared" ref="AK95:AL95" si="167">(0.46-AK94)*AK93*24*365/1000</f>
        <v>-7077.8883831998646</v>
      </c>
      <c r="AL95" s="94">
        <f t="shared" si="167"/>
        <v>-9380.0453119400154</v>
      </c>
      <c r="AM95" s="94">
        <f t="shared" ref="AM95" si="168">(0.46-AM94)*AM93*24*365/1000</f>
        <v>-11846.966635175817</v>
      </c>
      <c r="AN95" s="94">
        <f t="shared" ref="AN95" si="169">(0.46-AN94)*AN93*24*365/1000</f>
        <v>-14490.193087340922</v>
      </c>
      <c r="AO95" s="94">
        <f t="shared" ref="AO95" si="170">(0.46-AO94)*AO93*24*365/1000</f>
        <v>-17322.073268733002</v>
      </c>
      <c r="AP95" s="94">
        <f t="shared" ref="AP95" si="171">(0.46-AP94)*AP93*24*365/1000</f>
        <v>-20355.820196153069</v>
      </c>
    </row>
    <row r="96" spans="2:42">
      <c r="B96" s="7" t="s">
        <v>126</v>
      </c>
      <c r="C96" s="32" t="s">
        <v>127</v>
      </c>
      <c r="D96" s="32"/>
      <c r="E96" s="32"/>
      <c r="F96" s="32"/>
      <c r="G96" s="289"/>
      <c r="H96" s="289"/>
      <c r="I96" s="289"/>
      <c r="J96" s="289"/>
      <c r="K96" s="289"/>
      <c r="L96" s="289"/>
      <c r="M96" s="289"/>
      <c r="N96" s="289"/>
      <c r="O96" s="966">
        <v>0</v>
      </c>
      <c r="P96" s="966">
        <v>0</v>
      </c>
      <c r="Q96" s="308">
        <v>0</v>
      </c>
      <c r="R96" s="308">
        <v>3.1093754944800291E-2</v>
      </c>
      <c r="S96" s="308">
        <v>8.6658005487246947E-2</v>
      </c>
      <c r="T96" s="308">
        <v>0.12528952358992002</v>
      </c>
      <c r="U96" s="308">
        <v>0.15297778654942906</v>
      </c>
      <c r="V96" s="287">
        <f t="shared" ref="V96:AH96" si="172">MAX(V73-V71,0)/V95</f>
        <v>0.16343842468997705</v>
      </c>
      <c r="W96" s="287">
        <f t="shared" si="172"/>
        <v>0.14292372450985041</v>
      </c>
      <c r="X96" s="287">
        <f t="shared" si="172"/>
        <v>0.26770110785377449</v>
      </c>
      <c r="Y96" s="287">
        <f t="shared" si="172"/>
        <v>0.45612991332594638</v>
      </c>
      <c r="Z96" s="287">
        <f t="shared" si="172"/>
        <v>0.53200016252174653</v>
      </c>
      <c r="AA96" s="287">
        <f t="shared" si="172"/>
        <v>0.25536121593848415</v>
      </c>
      <c r="AB96" s="287">
        <f t="shared" si="172"/>
        <v>0.4421141830054463</v>
      </c>
      <c r="AC96" s="287">
        <f t="shared" si="172"/>
        <v>0.53569838038323503</v>
      </c>
      <c r="AD96" s="287">
        <f t="shared" si="172"/>
        <v>0.64735236460264667</v>
      </c>
      <c r="AE96" s="287">
        <f t="shared" si="172"/>
        <v>0.59711931742855984</v>
      </c>
      <c r="AF96" s="287">
        <f t="shared" si="172"/>
        <v>0.53844892799691491</v>
      </c>
      <c r="AG96" s="287">
        <f t="shared" si="172"/>
        <v>1.8009476272565892</v>
      </c>
      <c r="AH96" s="287">
        <f t="shared" si="172"/>
        <v>-1.167818928666853</v>
      </c>
      <c r="AI96" s="287">
        <f>MAX(AI73-AI71,0)/AI95</f>
        <v>-0.41877188587262543</v>
      </c>
      <c r="AJ96" s="287">
        <f>MAX(AJ73-AJ71,0)/AJ95</f>
        <v>-0.2468402235083702</v>
      </c>
      <c r="AK96" s="287">
        <f>MAX(AK73-AK71,0)/AK95</f>
        <v>-0.17068026416248019</v>
      </c>
      <c r="AL96" s="287">
        <f>MAX(AL73-AL71,0)/AL95</f>
        <v>-0.12779122564973391</v>
      </c>
      <c r="AM96" s="287">
        <f t="shared" ref="AM96:AP96" si="173">MAX(AM73-AM71,0)/AM95</f>
        <v>-0.10034040193312334</v>
      </c>
      <c r="AN96" s="287">
        <f t="shared" si="173"/>
        <v>-8.1307747217722326E-2</v>
      </c>
      <c r="AO96" s="287">
        <f t="shared" si="173"/>
        <v>-6.7369369956615022E-2</v>
      </c>
      <c r="AP96" s="287">
        <f t="shared" si="173"/>
        <v>-5.6747828782931588E-2</v>
      </c>
    </row>
    <row r="97" spans="2:42">
      <c r="B97" s="29"/>
      <c r="C97" s="32"/>
      <c r="D97" s="32"/>
      <c r="E97" s="32"/>
      <c r="F97" s="32"/>
      <c r="G97" s="289"/>
      <c r="H97" s="289"/>
      <c r="I97" s="289"/>
      <c r="J97" s="289"/>
      <c r="K97" s="289"/>
      <c r="L97" s="289"/>
      <c r="M97" s="289"/>
      <c r="N97" s="289"/>
      <c r="O97" s="966"/>
      <c r="P97" s="966"/>
      <c r="Q97" s="966"/>
      <c r="R97" s="966"/>
      <c r="S97" s="955"/>
      <c r="T97" s="955"/>
      <c r="U97" s="955"/>
    </row>
    <row r="98" spans="2:42">
      <c r="B98" s="29"/>
      <c r="C98" s="32"/>
      <c r="D98" s="32"/>
      <c r="E98" s="32"/>
      <c r="F98" s="32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803"/>
      <c r="S98" s="803"/>
      <c r="T98" s="803"/>
      <c r="U98" s="32"/>
    </row>
    <row r="99" spans="2:42">
      <c r="B99" s="29"/>
      <c r="C99" s="32" t="s">
        <v>128</v>
      </c>
      <c r="D99" s="32"/>
      <c r="E99" s="32"/>
      <c r="F99" s="32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803"/>
      <c r="S99" s="803"/>
      <c r="T99" s="803"/>
      <c r="U99" s="32"/>
    </row>
    <row r="100" spans="2:42">
      <c r="B100" s="29"/>
      <c r="C100" s="32" t="s">
        <v>2</v>
      </c>
      <c r="D100" s="32"/>
      <c r="E100" s="32"/>
      <c r="F100" s="32"/>
      <c r="G100" s="289"/>
      <c r="H100" s="289"/>
      <c r="I100" s="289"/>
      <c r="J100" s="969">
        <v>6445</v>
      </c>
      <c r="K100" s="969">
        <v>6920</v>
      </c>
      <c r="L100" s="969">
        <v>7531</v>
      </c>
      <c r="M100" s="969">
        <v>7595</v>
      </c>
      <c r="N100" s="969">
        <v>7870</v>
      </c>
      <c r="O100" s="969">
        <v>7833</v>
      </c>
      <c r="P100" s="969">
        <v>7774</v>
      </c>
      <c r="Q100" s="289"/>
      <c r="R100" s="803"/>
      <c r="S100" s="803"/>
      <c r="T100" s="803"/>
      <c r="U100" s="32"/>
    </row>
    <row r="101" spans="2:42">
      <c r="B101" s="29"/>
      <c r="C101" s="20" t="s">
        <v>129</v>
      </c>
      <c r="D101" s="20"/>
      <c r="E101" s="20"/>
      <c r="F101" s="20"/>
      <c r="G101" s="967"/>
      <c r="H101" s="289"/>
      <c r="I101" s="289"/>
      <c r="J101" s="289">
        <v>577</v>
      </c>
      <c r="K101" s="289">
        <v>607</v>
      </c>
      <c r="L101" s="289">
        <v>645</v>
      </c>
      <c r="M101" s="289">
        <v>680</v>
      </c>
      <c r="N101" s="289">
        <v>642</v>
      </c>
      <c r="O101" s="289">
        <v>682</v>
      </c>
      <c r="P101" s="289">
        <v>870</v>
      </c>
      <c r="Q101" s="289"/>
      <c r="R101" s="803"/>
      <c r="S101" s="803"/>
      <c r="T101" s="288">
        <v>-251.49785886554582</v>
      </c>
      <c r="U101" s="288">
        <v>-1482.3594985641748</v>
      </c>
      <c r="V101" s="288">
        <v>1741.6613303049589</v>
      </c>
      <c r="W101" s="288">
        <f t="shared" ref="W101:AH101" si="174">W102-V102</f>
        <v>281.18947462121741</v>
      </c>
      <c r="X101" s="288">
        <f t="shared" si="174"/>
        <v>678.28758776180712</v>
      </c>
      <c r="Y101" s="288">
        <f t="shared" si="174"/>
        <v>853.84426281282686</v>
      </c>
      <c r="Z101" s="288">
        <f t="shared" si="174"/>
        <v>3873.7028815854719</v>
      </c>
      <c r="AA101" s="288">
        <f t="shared" si="174"/>
        <v>1219.7413165821235</v>
      </c>
      <c r="AB101" s="288">
        <f t="shared" si="174"/>
        <v>1339.4228230839362</v>
      </c>
      <c r="AC101" s="288">
        <f t="shared" si="174"/>
        <v>-5583.4802493210318</v>
      </c>
      <c r="AD101" s="288">
        <f t="shared" si="174"/>
        <v>271.49522136909218</v>
      </c>
      <c r="AE101" s="288">
        <f t="shared" si="174"/>
        <v>1393.2579325350362</v>
      </c>
      <c r="AF101" s="288">
        <f t="shared" si="174"/>
        <v>771.07361874264643</v>
      </c>
      <c r="AG101" s="288">
        <f t="shared" si="174"/>
        <v>2574.3823718662625</v>
      </c>
      <c r="AH101" s="288">
        <f t="shared" si="174"/>
        <v>2636.0160754242352</v>
      </c>
      <c r="AI101" s="288">
        <f>AI102-AH102</f>
        <v>2614.9401065913335</v>
      </c>
      <c r="AJ101" s="288">
        <f>AJ102-AI102</f>
        <v>2987.8224549646002</v>
      </c>
      <c r="AK101" s="288">
        <f t="shared" ref="AK101:AP101" si="175">AK102-AJ102</f>
        <v>3452.329273098112</v>
      </c>
      <c r="AL101" s="288">
        <f t="shared" si="175"/>
        <v>3966.1313192137895</v>
      </c>
      <c r="AM101" s="288">
        <f t="shared" si="175"/>
        <v>4560.3388415304617</v>
      </c>
      <c r="AN101" s="288">
        <f t="shared" si="175"/>
        <v>5243.3493555126988</v>
      </c>
      <c r="AO101" s="288">
        <f t="shared" si="175"/>
        <v>6029.8746602790852</v>
      </c>
      <c r="AP101" s="288">
        <f t="shared" si="175"/>
        <v>6929.3395089338228</v>
      </c>
    </row>
    <row r="102" spans="2:42" ht="15.75">
      <c r="B102" s="7" t="s">
        <v>130</v>
      </c>
      <c r="C102" s="32" t="s">
        <v>131</v>
      </c>
      <c r="D102" s="32"/>
      <c r="E102" s="32"/>
      <c r="F102" s="32"/>
      <c r="G102" s="967"/>
      <c r="H102" s="967"/>
      <c r="I102" s="967"/>
      <c r="J102" s="967">
        <v>5868</v>
      </c>
      <c r="K102" s="967">
        <v>6313</v>
      </c>
      <c r="L102" s="967">
        <v>6886</v>
      </c>
      <c r="M102" s="967">
        <v>6915</v>
      </c>
      <c r="N102" s="967">
        <v>7228</v>
      </c>
      <c r="O102" s="967">
        <v>7151</v>
      </c>
      <c r="P102" s="967">
        <v>6904</v>
      </c>
      <c r="Q102" s="289">
        <v>8004.7409716839129</v>
      </c>
      <c r="R102" s="403">
        <v>6692.6315274356266</v>
      </c>
      <c r="S102" s="289">
        <v>7567.160246519913</v>
      </c>
      <c r="T102" s="289">
        <v>7315.6623876543672</v>
      </c>
      <c r="U102" s="289">
        <v>5833.3028890901924</v>
      </c>
      <c r="V102" s="289">
        <f t="shared" ref="V102:AP102" si="176">V109+V116+V123+V130</f>
        <v>7574.9642193951513</v>
      </c>
      <c r="W102" s="289">
        <f t="shared" si="176"/>
        <v>7856.1536940163687</v>
      </c>
      <c r="X102" s="289">
        <f t="shared" si="176"/>
        <v>8534.4412817781758</v>
      </c>
      <c r="Y102" s="289">
        <f t="shared" si="176"/>
        <v>9388.2855445910027</v>
      </c>
      <c r="Z102" s="289">
        <f t="shared" si="176"/>
        <v>13261.988426176475</v>
      </c>
      <c r="AA102" s="289">
        <f t="shared" si="176"/>
        <v>14481.729742758598</v>
      </c>
      <c r="AB102" s="289">
        <f t="shared" si="176"/>
        <v>15821.152565842534</v>
      </c>
      <c r="AC102" s="289">
        <f t="shared" si="176"/>
        <v>10237.672316521503</v>
      </c>
      <c r="AD102" s="289">
        <f t="shared" si="176"/>
        <v>10509.167537890595</v>
      </c>
      <c r="AE102" s="289">
        <f t="shared" si="176"/>
        <v>11902.425470425631</v>
      </c>
      <c r="AF102" s="289">
        <f t="shared" si="176"/>
        <v>12673.499089168277</v>
      </c>
      <c r="AG102" s="289">
        <f t="shared" si="176"/>
        <v>15247.88146103454</v>
      </c>
      <c r="AH102" s="289">
        <f t="shared" si="176"/>
        <v>17883.897536458775</v>
      </c>
      <c r="AI102" s="289">
        <f t="shared" si="176"/>
        <v>20498.837643050108</v>
      </c>
      <c r="AJ102" s="289">
        <f t="shared" si="176"/>
        <v>23486.660098014709</v>
      </c>
      <c r="AK102" s="289">
        <f t="shared" si="176"/>
        <v>26938.989371112821</v>
      </c>
      <c r="AL102" s="289">
        <f t="shared" si="176"/>
        <v>30905.12069032661</v>
      </c>
      <c r="AM102" s="289">
        <f t="shared" si="176"/>
        <v>35465.459531857072</v>
      </c>
      <c r="AN102" s="289">
        <f t="shared" si="176"/>
        <v>40708.808887369771</v>
      </c>
      <c r="AO102" s="289">
        <f t="shared" si="176"/>
        <v>46738.683547648856</v>
      </c>
      <c r="AP102" s="289">
        <f t="shared" si="176"/>
        <v>53668.023056582679</v>
      </c>
    </row>
    <row r="103" spans="2:42">
      <c r="B103" s="29"/>
      <c r="C103" s="33" t="s">
        <v>132</v>
      </c>
      <c r="D103" s="33"/>
      <c r="E103" s="33"/>
      <c r="F103" s="33"/>
      <c r="G103" s="963"/>
      <c r="H103" s="963"/>
      <c r="I103" s="963"/>
      <c r="J103" s="963">
        <v>64.45</v>
      </c>
      <c r="K103" s="963">
        <v>60.121633362293657</v>
      </c>
      <c r="L103" s="963">
        <v>59.266359435399586</v>
      </c>
      <c r="M103" s="963">
        <v>56.654044786995414</v>
      </c>
      <c r="N103" s="963">
        <v>53.417084832480292</v>
      </c>
      <c r="O103" s="963">
        <v>55.094248572044172</v>
      </c>
      <c r="P103" s="963">
        <v>58.480498098210766</v>
      </c>
      <c r="Q103" s="289"/>
      <c r="R103" s="803"/>
      <c r="S103" s="803"/>
      <c r="T103" s="803"/>
      <c r="U103" s="32"/>
    </row>
    <row r="104" spans="2:42" ht="15.75">
      <c r="B104" s="7" t="s">
        <v>133</v>
      </c>
      <c r="C104" s="33" t="s">
        <v>134</v>
      </c>
      <c r="D104" s="33"/>
      <c r="E104" s="33"/>
      <c r="F104" s="33"/>
      <c r="G104" s="963"/>
      <c r="H104" s="963"/>
      <c r="I104" s="963"/>
      <c r="J104" s="963">
        <v>58.68</v>
      </c>
      <c r="K104" s="963">
        <v>54.847958297132934</v>
      </c>
      <c r="L104" s="963">
        <v>54.190433019806342</v>
      </c>
      <c r="M104" s="963">
        <v>51.581661580259812</v>
      </c>
      <c r="N104" s="290">
        <v>49.059553896971735</v>
      </c>
      <c r="O104" s="290">
        <v>50.297328167839638</v>
      </c>
      <c r="P104" s="290">
        <v>51.935857842815423</v>
      </c>
      <c r="Q104" s="290">
        <v>55.143099235079518</v>
      </c>
      <c r="R104" s="290">
        <v>43.61800681138795</v>
      </c>
      <c r="S104" s="290">
        <v>44.510458870743065</v>
      </c>
      <c r="T104" s="290">
        <v>41.455813515942424</v>
      </c>
      <c r="U104" s="290">
        <v>31.481615866517881</v>
      </c>
      <c r="V104" s="290">
        <v>25</v>
      </c>
      <c r="W104" s="291">
        <v>26.3</v>
      </c>
      <c r="X104" s="290">
        <v>25</v>
      </c>
      <c r="Y104" s="290">
        <v>26</v>
      </c>
      <c r="Z104" s="290">
        <v>25</v>
      </c>
      <c r="AA104" s="290">
        <v>25</v>
      </c>
      <c r="AB104" s="290">
        <v>26</v>
      </c>
      <c r="AC104" s="290">
        <v>26</v>
      </c>
      <c r="AD104" s="290">
        <v>26</v>
      </c>
      <c r="AE104" s="290">
        <v>26</v>
      </c>
      <c r="AF104" s="290">
        <v>26</v>
      </c>
      <c r="AG104" s="290">
        <v>26</v>
      </c>
      <c r="AH104" s="290">
        <v>26</v>
      </c>
      <c r="AI104" s="290">
        <v>26</v>
      </c>
      <c r="AJ104" s="290">
        <v>26</v>
      </c>
      <c r="AK104" s="290">
        <v>26</v>
      </c>
      <c r="AL104" s="290">
        <v>26</v>
      </c>
      <c r="AM104" s="290">
        <v>26</v>
      </c>
      <c r="AN104" s="290">
        <v>26</v>
      </c>
      <c r="AO104" s="290">
        <v>26</v>
      </c>
      <c r="AP104" s="290">
        <v>26</v>
      </c>
    </row>
    <row r="105" spans="2:42">
      <c r="B105" s="29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 spans="2:42">
      <c r="B106" s="2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 spans="2:42">
      <c r="B107" s="29"/>
      <c r="C107" s="32" t="s">
        <v>135</v>
      </c>
      <c r="D107" s="32"/>
      <c r="E107" s="32"/>
      <c r="F107" s="32"/>
      <c r="G107" s="967"/>
      <c r="H107" s="967"/>
      <c r="I107" s="967"/>
      <c r="J107" s="292">
        <v>5709</v>
      </c>
      <c r="K107" s="292">
        <v>6248</v>
      </c>
      <c r="L107" s="292">
        <v>6671</v>
      </c>
      <c r="M107" s="292">
        <v>7195</v>
      </c>
      <c r="N107" s="292">
        <v>7291</v>
      </c>
      <c r="O107" s="292">
        <v>7174</v>
      </c>
      <c r="P107" s="292">
        <v>7422</v>
      </c>
      <c r="Q107" s="292">
        <v>7803.8149720068659</v>
      </c>
      <c r="R107" s="292">
        <v>6523.9893165977401</v>
      </c>
      <c r="S107" s="292">
        <v>6700.1370281458794</v>
      </c>
      <c r="T107" s="292">
        <v>6432.1315470200443</v>
      </c>
      <c r="U107" s="292">
        <v>5583.0901828133992</v>
      </c>
      <c r="V107" s="292">
        <f t="shared" ref="V107:AP107" si="177">V108+V109</f>
        <v>7274.7665082058593</v>
      </c>
      <c r="W107" s="292">
        <f t="shared" si="177"/>
        <v>7616.6805340915344</v>
      </c>
      <c r="X107" s="292">
        <f t="shared" si="177"/>
        <v>8332.6485042961376</v>
      </c>
      <c r="Y107" s="292">
        <f t="shared" si="177"/>
        <v>9224.2418942558252</v>
      </c>
      <c r="Z107" s="292">
        <f t="shared" si="177"/>
        <v>13116.871973631782</v>
      </c>
      <c r="AA107" s="292">
        <f t="shared" si="177"/>
        <v>14349.857939153169</v>
      </c>
      <c r="AB107" s="292">
        <f t="shared" si="177"/>
        <v>15698.744585433571</v>
      </c>
      <c r="AC107" s="292">
        <f t="shared" si="177"/>
        <v>10121.802238769333</v>
      </c>
      <c r="AD107" s="292">
        <f t="shared" si="177"/>
        <v>10395.090899216104</v>
      </c>
      <c r="AE107" s="292">
        <f t="shared" si="177"/>
        <v>11798.428170610279</v>
      </c>
      <c r="AF107" s="292">
        <f t="shared" si="177"/>
        <v>12565.326001699948</v>
      </c>
      <c r="AG107" s="292">
        <f t="shared" si="177"/>
        <v>15162.625606125035</v>
      </c>
      <c r="AH107" s="292">
        <f t="shared" si="177"/>
        <v>17801.354628752004</v>
      </c>
      <c r="AI107" s="292">
        <f t="shared" si="177"/>
        <v>20408.160544867907</v>
      </c>
      <c r="AJ107" s="292">
        <f t="shared" si="177"/>
        <v>23406.926964039605</v>
      </c>
      <c r="AK107" s="292">
        <f t="shared" si="177"/>
        <v>26856.491255859368</v>
      </c>
      <c r="AL107" s="292">
        <f t="shared" si="177"/>
        <v>30824.522461016582</v>
      </c>
      <c r="AM107" s="292">
        <f t="shared" si="177"/>
        <v>35386.846695718719</v>
      </c>
      <c r="AN107" s="292">
        <f t="shared" si="177"/>
        <v>40632.644256672429</v>
      </c>
      <c r="AO107" s="292">
        <f t="shared" si="177"/>
        <v>46664.478411228352</v>
      </c>
      <c r="AP107" s="292">
        <f t="shared" si="177"/>
        <v>53600.301486157099</v>
      </c>
    </row>
    <row r="108" spans="2:42">
      <c r="B108" s="29"/>
      <c r="C108" s="20" t="s">
        <v>129</v>
      </c>
      <c r="D108" s="20"/>
      <c r="E108" s="20"/>
      <c r="F108" s="20"/>
      <c r="G108" s="289"/>
      <c r="H108" s="289"/>
      <c r="I108" s="289"/>
      <c r="J108" s="289">
        <v>249</v>
      </c>
      <c r="K108" s="289">
        <v>284</v>
      </c>
      <c r="L108" s="289">
        <v>287</v>
      </c>
      <c r="M108" s="289">
        <v>428</v>
      </c>
      <c r="N108" s="289">
        <v>419</v>
      </c>
      <c r="O108" s="289">
        <v>413</v>
      </c>
      <c r="P108" s="289">
        <v>691</v>
      </c>
      <c r="Q108" s="33"/>
      <c r="R108" s="970"/>
      <c r="S108" s="970"/>
      <c r="T108" s="970"/>
      <c r="U108" s="33"/>
    </row>
    <row r="109" spans="2:42" ht="15.75">
      <c r="B109" s="7" t="s">
        <v>136</v>
      </c>
      <c r="C109" s="32" t="s">
        <v>131</v>
      </c>
      <c r="D109" s="32"/>
      <c r="E109" s="32"/>
      <c r="F109" s="32"/>
      <c r="G109" s="803"/>
      <c r="H109" s="289"/>
      <c r="I109" s="289"/>
      <c r="J109" s="289">
        <v>5460</v>
      </c>
      <c r="K109" s="289">
        <v>5964</v>
      </c>
      <c r="L109" s="289">
        <v>6384</v>
      </c>
      <c r="M109" s="289">
        <v>6767</v>
      </c>
      <c r="N109" s="289">
        <v>6872</v>
      </c>
      <c r="O109" s="289">
        <v>6761</v>
      </c>
      <c r="P109" s="289">
        <v>6731</v>
      </c>
      <c r="Q109" s="293">
        <v>7803.8149720068659</v>
      </c>
      <c r="R109" s="293">
        <v>6523.9893165977401</v>
      </c>
      <c r="S109" s="293">
        <v>6700.1370281458794</v>
      </c>
      <c r="T109" s="293">
        <v>6432.1315470200443</v>
      </c>
      <c r="U109" s="293">
        <v>5583.0901828133992</v>
      </c>
      <c r="V109" s="95">
        <v>7274.7665082058593</v>
      </c>
      <c r="W109">
        <f t="shared" ref="W109:AH109" si="178">W111*W51</f>
        <v>7616.6805340915344</v>
      </c>
      <c r="X109">
        <f t="shared" si="178"/>
        <v>8332.6485042961376</v>
      </c>
      <c r="Y109">
        <f t="shared" si="178"/>
        <v>9224.2418942558252</v>
      </c>
      <c r="Z109">
        <f t="shared" si="178"/>
        <v>13116.871973631782</v>
      </c>
      <c r="AA109">
        <f t="shared" si="178"/>
        <v>14349.857939153169</v>
      </c>
      <c r="AB109">
        <f t="shared" si="178"/>
        <v>15698.744585433571</v>
      </c>
      <c r="AC109">
        <f t="shared" si="178"/>
        <v>10121.802238769333</v>
      </c>
      <c r="AD109">
        <f t="shared" si="178"/>
        <v>10395.090899216104</v>
      </c>
      <c r="AE109">
        <f t="shared" si="178"/>
        <v>11798.428170610279</v>
      </c>
      <c r="AF109">
        <f t="shared" si="178"/>
        <v>12565.326001699948</v>
      </c>
      <c r="AG109">
        <f t="shared" si="178"/>
        <v>15162.625606125035</v>
      </c>
      <c r="AH109">
        <f t="shared" si="178"/>
        <v>17801.354628752004</v>
      </c>
      <c r="AI109">
        <f>AI111*AI51</f>
        <v>20408.160544867907</v>
      </c>
      <c r="AJ109">
        <f>AJ111*AJ51</f>
        <v>23406.926964039605</v>
      </c>
      <c r="AK109">
        <f t="shared" ref="AK109:AP109" si="179">AK111*AK51</f>
        <v>26856.491255859368</v>
      </c>
      <c r="AL109">
        <f t="shared" si="179"/>
        <v>30824.522461016582</v>
      </c>
      <c r="AM109">
        <f t="shared" si="179"/>
        <v>35386.846695718719</v>
      </c>
      <c r="AN109">
        <f t="shared" si="179"/>
        <v>40632.644256672429</v>
      </c>
      <c r="AO109">
        <f t="shared" si="179"/>
        <v>46664.478411228352</v>
      </c>
      <c r="AP109">
        <f t="shared" si="179"/>
        <v>53600.301486157099</v>
      </c>
    </row>
    <row r="110" spans="2:42">
      <c r="B110" s="29"/>
      <c r="C110" s="33" t="s">
        <v>132</v>
      </c>
      <c r="D110" s="33"/>
      <c r="E110" s="33"/>
      <c r="F110" s="33"/>
      <c r="G110" s="970"/>
      <c r="H110" s="293"/>
      <c r="I110" s="293"/>
      <c r="J110" s="293">
        <v>57.09</v>
      </c>
      <c r="K110" s="293">
        <v>55.194346289752652</v>
      </c>
      <c r="L110" s="293">
        <v>52.664070961894922</v>
      </c>
      <c r="M110" s="293">
        <v>61.941960828651226</v>
      </c>
      <c r="N110" s="293">
        <v>54.439225997346384</v>
      </c>
      <c r="O110" s="293">
        <v>62.285616115593768</v>
      </c>
      <c r="P110" s="293">
        <v>70.734121724769764</v>
      </c>
      <c r="Q110" s="293">
        <v>65.816765529353589</v>
      </c>
      <c r="R110" s="293">
        <v>47.311105745949796</v>
      </c>
      <c r="S110" s="293">
        <v>37.900550390866179</v>
      </c>
      <c r="T110" s="293">
        <v>40.38238443421924</v>
      </c>
      <c r="U110" s="293">
        <v>37.730796220562219</v>
      </c>
      <c r="V110" s="293">
        <f t="shared" ref="V110:AP110" si="180">V107/V52</f>
        <v>52.079690122237892</v>
      </c>
      <c r="W110" s="293">
        <f t="shared" si="180"/>
        <v>52.531248129078108</v>
      </c>
      <c r="X110" s="293">
        <f t="shared" si="180"/>
        <v>43.903121049053816</v>
      </c>
      <c r="Y110" s="293">
        <f t="shared" si="180"/>
        <v>52.769549404237331</v>
      </c>
      <c r="Z110" s="293">
        <f t="shared" si="180"/>
        <v>63.163551559617403</v>
      </c>
      <c r="AA110" s="293">
        <f t="shared" si="180"/>
        <v>60.881872604600389</v>
      </c>
      <c r="AB110" s="293">
        <f t="shared" si="180"/>
        <v>60.82627272094323</v>
      </c>
      <c r="AC110" s="293">
        <f t="shared" si="180"/>
        <v>36.549749681078772</v>
      </c>
      <c r="AD110" s="293">
        <f t="shared" si="180"/>
        <v>34.000537067452804</v>
      </c>
      <c r="AE110" s="293">
        <f t="shared" si="180"/>
        <v>41.49527910920316</v>
      </c>
      <c r="AF110" s="293">
        <f t="shared" si="180"/>
        <v>38.629783436452243</v>
      </c>
      <c r="AG110" s="293">
        <f t="shared" si="180"/>
        <v>66.31414114454077</v>
      </c>
      <c r="AH110" s="293">
        <f t="shared" si="180"/>
        <v>78.534481838455093</v>
      </c>
      <c r="AI110" s="293">
        <f t="shared" si="180"/>
        <v>74.292435663635032</v>
      </c>
      <c r="AJ110" s="293">
        <f t="shared" si="180"/>
        <v>102.90738562650469</v>
      </c>
      <c r="AK110" s="293">
        <f t="shared" si="180"/>
        <v>109.38899883532248</v>
      </c>
      <c r="AL110" s="293">
        <f t="shared" si="180"/>
        <v>128.64011359495311</v>
      </c>
      <c r="AM110" s="293">
        <f t="shared" si="180"/>
        <v>152.24887512652106</v>
      </c>
      <c r="AN110" s="293">
        <f t="shared" si="180"/>
        <v>182.75940719039235</v>
      </c>
      <c r="AO110" s="293">
        <f t="shared" si="180"/>
        <v>217.92196379306944</v>
      </c>
      <c r="AP110" s="293">
        <f t="shared" si="180"/>
        <v>292.09301486192669</v>
      </c>
    </row>
    <row r="111" spans="2:42" ht="15.75">
      <c r="B111" s="7" t="s">
        <v>137</v>
      </c>
      <c r="C111" s="33" t="s">
        <v>138</v>
      </c>
      <c r="D111" s="33"/>
      <c r="E111" s="33"/>
      <c r="F111" s="33"/>
      <c r="G111" s="970"/>
      <c r="H111" s="293"/>
      <c r="I111" s="293"/>
      <c r="J111" s="293">
        <v>54.6</v>
      </c>
      <c r="K111" s="293">
        <v>52.685512367491164</v>
      </c>
      <c r="L111" s="293">
        <v>50.398355422086219</v>
      </c>
      <c r="M111" s="293">
        <v>58.257296584778715</v>
      </c>
      <c r="N111" s="293">
        <v>51.310706494824352</v>
      </c>
      <c r="O111" s="293">
        <v>58.699895533527943</v>
      </c>
      <c r="P111" s="293">
        <v>64.148662534279879</v>
      </c>
      <c r="Q111" s="293">
        <v>64.148662534279879</v>
      </c>
      <c r="R111" s="293">
        <v>64.148662534279879</v>
      </c>
      <c r="S111" s="293">
        <v>64.148662534279879</v>
      </c>
      <c r="T111" s="293">
        <v>64.148662534279879</v>
      </c>
      <c r="U111" s="293">
        <v>64.148662534279879</v>
      </c>
      <c r="V111" s="95">
        <v>64.148662534279879</v>
      </c>
      <c r="W111" s="95">
        <f>V111</f>
        <v>64.148662534279879</v>
      </c>
      <c r="X111" s="95">
        <f t="shared" ref="X111:AB111" si="181">W111</f>
        <v>64.148662534279879</v>
      </c>
      <c r="Y111" s="95">
        <f t="shared" si="181"/>
        <v>64.148662534279879</v>
      </c>
      <c r="Z111" s="95">
        <f t="shared" si="181"/>
        <v>64.148662534279879</v>
      </c>
      <c r="AA111" s="95">
        <f t="shared" si="181"/>
        <v>64.148662534279879</v>
      </c>
      <c r="AB111" s="95">
        <f t="shared" si="181"/>
        <v>64.148662534279879</v>
      </c>
      <c r="AC111" s="186">
        <v>40</v>
      </c>
      <c r="AD111" s="186">
        <v>40</v>
      </c>
      <c r="AE111" s="186">
        <v>40</v>
      </c>
      <c r="AF111" s="186">
        <v>40</v>
      </c>
      <c r="AG111" s="186">
        <v>40</v>
      </c>
      <c r="AH111" s="186">
        <v>41</v>
      </c>
      <c r="AI111" s="186">
        <v>41</v>
      </c>
      <c r="AJ111" s="186">
        <v>41</v>
      </c>
      <c r="AK111" s="186">
        <v>41</v>
      </c>
      <c r="AL111" s="186">
        <v>41</v>
      </c>
      <c r="AM111" s="186">
        <v>41</v>
      </c>
      <c r="AN111" s="186">
        <v>41</v>
      </c>
      <c r="AO111" s="186">
        <v>41</v>
      </c>
      <c r="AP111" s="186">
        <v>41</v>
      </c>
    </row>
    <row r="112" spans="2:42">
      <c r="B112" s="7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 spans="2:42">
      <c r="B113" s="29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</row>
    <row r="114" spans="2:42">
      <c r="B114" s="29"/>
      <c r="C114" s="32" t="s">
        <v>139</v>
      </c>
      <c r="D114" s="32"/>
      <c r="E114" s="32"/>
      <c r="F114" s="32"/>
      <c r="G114" s="803"/>
      <c r="H114" s="803"/>
      <c r="I114" s="803"/>
      <c r="J114" s="803">
        <v>218</v>
      </c>
      <c r="K114" s="803">
        <v>189</v>
      </c>
      <c r="L114" s="803">
        <v>177</v>
      </c>
      <c r="M114" s="803">
        <v>149</v>
      </c>
      <c r="N114" s="803">
        <v>145</v>
      </c>
      <c r="O114" s="803">
        <v>107</v>
      </c>
      <c r="P114" s="803">
        <v>74.5</v>
      </c>
      <c r="Q114" s="970"/>
      <c r="R114" s="970"/>
      <c r="S114" s="970"/>
      <c r="T114" s="970"/>
      <c r="U114" s="33"/>
    </row>
    <row r="115" spans="2:42">
      <c r="B115" s="29"/>
      <c r="C115" s="20" t="s">
        <v>129</v>
      </c>
      <c r="D115" s="20"/>
      <c r="E115" s="20"/>
      <c r="F115" s="20"/>
      <c r="G115" s="803"/>
      <c r="H115" s="803"/>
      <c r="I115" s="803"/>
      <c r="J115" s="803">
        <v>180</v>
      </c>
      <c r="K115" s="803">
        <v>155</v>
      </c>
      <c r="L115" s="803">
        <v>125</v>
      </c>
      <c r="M115" s="803">
        <v>115</v>
      </c>
      <c r="N115" s="803">
        <v>91</v>
      </c>
      <c r="O115" s="803">
        <v>69</v>
      </c>
      <c r="P115" s="803">
        <v>53</v>
      </c>
      <c r="Q115" s="970"/>
      <c r="R115" s="970"/>
      <c r="S115" s="970"/>
      <c r="T115" s="970"/>
      <c r="U115" s="33"/>
    </row>
    <row r="116" spans="2:42" ht="15.75">
      <c r="B116" s="7" t="s">
        <v>140</v>
      </c>
      <c r="C116" s="32" t="s">
        <v>131</v>
      </c>
      <c r="D116" s="32"/>
      <c r="E116" s="32"/>
      <c r="F116" s="32"/>
      <c r="G116" s="803"/>
      <c r="H116" s="803"/>
      <c r="I116" s="803"/>
      <c r="J116" s="803">
        <v>38</v>
      </c>
      <c r="K116" s="803">
        <v>34</v>
      </c>
      <c r="L116" s="803">
        <v>52</v>
      </c>
      <c r="M116" s="803">
        <v>34</v>
      </c>
      <c r="N116" s="803">
        <v>54</v>
      </c>
      <c r="O116" s="803">
        <v>38</v>
      </c>
      <c r="P116" s="803">
        <v>21.5</v>
      </c>
      <c r="Q116" s="293">
        <v>24.294999999999998</v>
      </c>
      <c r="R116" s="293">
        <v>28.255084999999994</v>
      </c>
      <c r="S116" s="293">
        <v>36.223018969999991</v>
      </c>
      <c r="T116" s="293">
        <v>32.636940091969997</v>
      </c>
      <c r="U116" s="293">
        <v>30.319717345440125</v>
      </c>
      <c r="V116" s="95">
        <v>28.621813174095479</v>
      </c>
      <c r="W116" s="95">
        <f t="shared" ref="W116:AH116" si="182">W118*W52</f>
        <v>29.709442074711106</v>
      </c>
      <c r="X116" s="95">
        <f t="shared" si="182"/>
        <v>38.889659675796835</v>
      </c>
      <c r="Y116" s="95">
        <f t="shared" si="182"/>
        <v>35.817376561408885</v>
      </c>
      <c r="Z116" s="95">
        <f t="shared" si="182"/>
        <v>42.551043354953748</v>
      </c>
      <c r="AA116" s="95">
        <f t="shared" si="182"/>
        <v>48.295434207872503</v>
      </c>
      <c r="AB116" s="95">
        <f t="shared" si="182"/>
        <v>52.8835004576204</v>
      </c>
      <c r="AC116" s="95">
        <f t="shared" si="182"/>
        <v>56.743995991026686</v>
      </c>
      <c r="AD116" s="95">
        <f t="shared" si="182"/>
        <v>62.64537157409346</v>
      </c>
      <c r="AE116" s="95">
        <f t="shared" si="182"/>
        <v>58.260195563906912</v>
      </c>
      <c r="AF116" s="95">
        <f t="shared" si="182"/>
        <v>66.649663725109505</v>
      </c>
      <c r="AG116" s="95">
        <f t="shared" si="182"/>
        <v>46.850554742371443</v>
      </c>
      <c r="AH116" s="95">
        <f t="shared" si="182"/>
        <v>46.445018985940997</v>
      </c>
      <c r="AI116" s="95">
        <f>AI118*AI52</f>
        <v>56.286693931636421</v>
      </c>
      <c r="AJ116" s="95">
        <f>AJ118*AJ52</f>
        <v>46.606268232534937</v>
      </c>
      <c r="AK116" s="95">
        <f t="shared" ref="AK116:AP116" si="183">AK118*AK52</f>
        <v>50.306268006799755</v>
      </c>
      <c r="AL116" s="95">
        <f t="shared" si="183"/>
        <v>49.098295750356392</v>
      </c>
      <c r="AM116" s="95">
        <f t="shared" si="183"/>
        <v>47.624918707047307</v>
      </c>
      <c r="AN116" s="95">
        <f t="shared" si="183"/>
        <v>45.555605201030019</v>
      </c>
      <c r="AO116" s="95">
        <f t="shared" si="183"/>
        <v>43.876490956078584</v>
      </c>
      <c r="AP116" s="95">
        <f t="shared" si="183"/>
        <v>37.600406184752799</v>
      </c>
    </row>
    <row r="117" spans="2:42">
      <c r="B117" s="29"/>
      <c r="C117" s="33" t="s">
        <v>132</v>
      </c>
      <c r="D117" s="33"/>
      <c r="E117" s="33"/>
      <c r="F117" s="33"/>
      <c r="G117" s="803"/>
      <c r="H117" s="803"/>
      <c r="I117" s="803"/>
      <c r="J117" s="971">
        <v>2.1800000000000002</v>
      </c>
      <c r="K117" s="971">
        <v>1.6696113074204946</v>
      </c>
      <c r="L117" s="971">
        <v>1.3973228242025786</v>
      </c>
      <c r="M117" s="971">
        <v>1.2827452624696363</v>
      </c>
      <c r="N117" s="971">
        <v>1.0826618803477199</v>
      </c>
      <c r="O117" s="971">
        <v>0.92898814111632744</v>
      </c>
      <c r="P117" s="971">
        <v>0.71000971011793956</v>
      </c>
      <c r="Q117" s="970"/>
      <c r="R117" s="970"/>
      <c r="S117" s="970"/>
      <c r="T117" s="970"/>
      <c r="U117" s="33"/>
    </row>
    <row r="118" spans="2:42" ht="15.75">
      <c r="B118" s="7" t="s">
        <v>141</v>
      </c>
      <c r="C118" s="33" t="s">
        <v>142</v>
      </c>
      <c r="D118" s="33"/>
      <c r="E118" s="33"/>
      <c r="F118" s="33"/>
      <c r="G118" s="803"/>
      <c r="H118" s="803"/>
      <c r="I118" s="803"/>
      <c r="J118" s="971">
        <v>0.38</v>
      </c>
      <c r="K118" s="971">
        <v>0.30035335689045933</v>
      </c>
      <c r="L118" s="971">
        <v>0.41051292010471235</v>
      </c>
      <c r="M118" s="971">
        <v>0.29270697264407808</v>
      </c>
      <c r="N118" s="971">
        <v>0.40319821750880602</v>
      </c>
      <c r="O118" s="971">
        <v>0.32992102207869572</v>
      </c>
      <c r="P118" s="971">
        <v>0.20490213110786176</v>
      </c>
      <c r="Q118" s="187">
        <v>0.20490213110786176</v>
      </c>
      <c r="R118" s="187">
        <v>0.20490213110786176</v>
      </c>
      <c r="S118" s="187">
        <v>0.20490213110786176</v>
      </c>
      <c r="T118" s="187">
        <v>0.20490213110786176</v>
      </c>
      <c r="U118" s="187">
        <v>0.20490213110786176</v>
      </c>
      <c r="V118" s="95">
        <v>0.20490213110786176</v>
      </c>
      <c r="W118" s="187">
        <f>V118</f>
        <v>0.20490213110786176</v>
      </c>
      <c r="X118" s="187">
        <f t="shared" ref="X118:AH118" si="184">W118</f>
        <v>0.20490213110786176</v>
      </c>
      <c r="Y118" s="187">
        <f t="shared" si="184"/>
        <v>0.20490213110786176</v>
      </c>
      <c r="Z118" s="187">
        <f t="shared" si="184"/>
        <v>0.20490213110786176</v>
      </c>
      <c r="AA118" s="187">
        <f t="shared" si="184"/>
        <v>0.20490213110786176</v>
      </c>
      <c r="AB118" s="187">
        <f t="shared" si="184"/>
        <v>0.20490213110786176</v>
      </c>
      <c r="AC118" s="187">
        <f t="shared" si="184"/>
        <v>0.20490213110786176</v>
      </c>
      <c r="AD118" s="187">
        <f t="shared" si="184"/>
        <v>0.20490213110786176</v>
      </c>
      <c r="AE118" s="187">
        <f t="shared" si="184"/>
        <v>0.20490213110786176</v>
      </c>
      <c r="AF118" s="187">
        <f t="shared" si="184"/>
        <v>0.20490213110786176</v>
      </c>
      <c r="AG118" s="187">
        <f t="shared" si="184"/>
        <v>0.20490213110786176</v>
      </c>
      <c r="AH118" s="187">
        <f t="shared" si="184"/>
        <v>0.20490213110786176</v>
      </c>
      <c r="AI118" s="187">
        <f>AH118</f>
        <v>0.20490213110786176</v>
      </c>
      <c r="AJ118" s="187">
        <f t="shared" ref="AJ118:AP118" si="185">AI118</f>
        <v>0.20490213110786176</v>
      </c>
      <c r="AK118" s="187">
        <f t="shared" si="185"/>
        <v>0.20490213110786176</v>
      </c>
      <c r="AL118" s="187">
        <f t="shared" si="185"/>
        <v>0.20490213110786176</v>
      </c>
      <c r="AM118" s="187">
        <f t="shared" si="185"/>
        <v>0.20490213110786176</v>
      </c>
      <c r="AN118" s="187">
        <f t="shared" si="185"/>
        <v>0.20490213110786176</v>
      </c>
      <c r="AO118" s="187">
        <f t="shared" si="185"/>
        <v>0.20490213110786176</v>
      </c>
      <c r="AP118" s="187">
        <f t="shared" si="185"/>
        <v>0.20490213110786176</v>
      </c>
    </row>
    <row r="119" spans="2:42">
      <c r="B119" s="29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 spans="2:42">
      <c r="B120" s="29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</row>
    <row r="121" spans="2:42">
      <c r="B121" s="29"/>
      <c r="C121" s="32" t="s">
        <v>70</v>
      </c>
      <c r="D121" s="32"/>
      <c r="E121" s="32"/>
      <c r="F121" s="32"/>
      <c r="G121" s="32"/>
      <c r="H121" s="32"/>
      <c r="I121" s="32"/>
      <c r="J121" s="803">
        <v>85</v>
      </c>
      <c r="K121" s="803">
        <v>95</v>
      </c>
      <c r="L121" s="803">
        <v>71</v>
      </c>
      <c r="M121" s="803">
        <v>47</v>
      </c>
      <c r="N121" s="803">
        <v>42</v>
      </c>
      <c r="O121" s="803">
        <v>77</v>
      </c>
      <c r="P121" s="803">
        <v>49</v>
      </c>
      <c r="Q121" s="970"/>
      <c r="R121" s="970"/>
      <c r="S121" s="970"/>
      <c r="T121" s="970"/>
      <c r="U121" s="33"/>
    </row>
    <row r="122" spans="2:42">
      <c r="B122" s="29"/>
      <c r="C122" s="20" t="s">
        <v>129</v>
      </c>
      <c r="D122" s="20"/>
      <c r="E122" s="20"/>
      <c r="F122" s="20"/>
      <c r="G122" s="20"/>
      <c r="H122" s="20"/>
      <c r="I122" s="20"/>
      <c r="J122" s="803">
        <v>22</v>
      </c>
      <c r="K122" s="803">
        <v>31</v>
      </c>
      <c r="L122" s="803">
        <v>23</v>
      </c>
      <c r="M122" s="803">
        <v>28</v>
      </c>
      <c r="N122" s="803">
        <v>22</v>
      </c>
      <c r="O122" s="803">
        <v>41</v>
      </c>
      <c r="P122" s="803">
        <v>26</v>
      </c>
      <c r="Q122" s="970"/>
      <c r="R122" s="970"/>
      <c r="S122" s="970"/>
      <c r="T122" s="970"/>
      <c r="U122" s="33"/>
    </row>
    <row r="123" spans="2:42" ht="15.75">
      <c r="B123" s="7" t="s">
        <v>143</v>
      </c>
      <c r="C123" s="32" t="s">
        <v>131</v>
      </c>
      <c r="D123" s="32"/>
      <c r="E123" s="32"/>
      <c r="F123" s="32"/>
      <c r="G123" s="32"/>
      <c r="H123" s="32"/>
      <c r="I123" s="32"/>
      <c r="J123" s="803">
        <v>63</v>
      </c>
      <c r="K123" s="803">
        <v>64</v>
      </c>
      <c r="L123" s="803">
        <v>48</v>
      </c>
      <c r="M123" s="803">
        <v>19</v>
      </c>
      <c r="N123" s="803">
        <v>20</v>
      </c>
      <c r="O123" s="803">
        <v>36</v>
      </c>
      <c r="P123" s="803">
        <v>23</v>
      </c>
      <c r="Q123" s="293">
        <v>26.56028414628647</v>
      </c>
      <c r="R123" s="293">
        <v>27.118050113358485</v>
      </c>
      <c r="S123" s="293">
        <v>28.907841420840143</v>
      </c>
      <c r="T123" s="293">
        <v>29.51490609067778</v>
      </c>
      <c r="U123" s="293">
        <v>27.070227757400176</v>
      </c>
      <c r="V123" s="95">
        <v>28.017685728909182</v>
      </c>
      <c r="W123" s="95">
        <v>29.530640758270284</v>
      </c>
      <c r="X123" s="95">
        <f>W123</f>
        <v>29.530640758270284</v>
      </c>
      <c r="Y123" s="95">
        <f t="shared" ref="Y123:AJ123" si="186">X123</f>
        <v>29.530640758270284</v>
      </c>
      <c r="Z123" s="95">
        <f t="shared" si="186"/>
        <v>29.530640758270284</v>
      </c>
      <c r="AA123" s="95">
        <f t="shared" si="186"/>
        <v>29.530640758270284</v>
      </c>
      <c r="AB123" s="95">
        <f t="shared" si="186"/>
        <v>29.530640758270284</v>
      </c>
      <c r="AC123" s="95">
        <f t="shared" si="186"/>
        <v>29.530640758270284</v>
      </c>
      <c r="AD123" s="95">
        <f t="shared" si="186"/>
        <v>29.530640758270284</v>
      </c>
      <c r="AE123" s="95">
        <f t="shared" si="186"/>
        <v>29.530640758270284</v>
      </c>
      <c r="AF123" s="95">
        <f t="shared" si="186"/>
        <v>29.530640758270284</v>
      </c>
      <c r="AG123" s="95">
        <f t="shared" si="186"/>
        <v>29.530640758270284</v>
      </c>
      <c r="AH123" s="95">
        <f t="shared" si="186"/>
        <v>29.530640758270284</v>
      </c>
      <c r="AI123" s="95">
        <f t="shared" si="186"/>
        <v>29.530640758270284</v>
      </c>
      <c r="AJ123" s="95">
        <f t="shared" si="186"/>
        <v>29.530640758270284</v>
      </c>
      <c r="AK123" s="95">
        <f t="shared" ref="AK123" si="187">AJ123</f>
        <v>29.530640758270284</v>
      </c>
      <c r="AL123" s="95">
        <f t="shared" ref="AL123" si="188">AK123</f>
        <v>29.530640758270284</v>
      </c>
      <c r="AM123" s="95">
        <f t="shared" ref="AM123" si="189">AL123</f>
        <v>29.530640758270284</v>
      </c>
      <c r="AN123" s="95">
        <f t="shared" ref="AN123" si="190">AM123</f>
        <v>29.530640758270284</v>
      </c>
      <c r="AO123" s="95">
        <f t="shared" ref="AO123" si="191">AN123</f>
        <v>29.530640758270284</v>
      </c>
      <c r="AP123" s="95">
        <f t="shared" ref="AP123" si="192">AO123</f>
        <v>29.530640758270284</v>
      </c>
    </row>
    <row r="124" spans="2:42">
      <c r="B124" s="29"/>
      <c r="C124" s="33" t="s">
        <v>132</v>
      </c>
      <c r="D124" s="33"/>
      <c r="E124" s="33"/>
      <c r="F124" s="33"/>
      <c r="G124" s="33"/>
      <c r="H124" s="33"/>
      <c r="I124" s="33"/>
      <c r="J124" s="971">
        <v>0.85</v>
      </c>
      <c r="K124" s="971">
        <v>0.80988917306052854</v>
      </c>
      <c r="L124" s="971">
        <v>0.46885018783723376</v>
      </c>
      <c r="M124" s="971">
        <v>0.28979049234426152</v>
      </c>
      <c r="N124" s="971">
        <v>0.21296193796295815</v>
      </c>
      <c r="O124" s="971">
        <v>0.38127951132691074</v>
      </c>
      <c r="P124" s="971">
        <v>0.25702586472345679</v>
      </c>
      <c r="Q124" s="970"/>
      <c r="R124" s="970"/>
      <c r="S124" s="970"/>
      <c r="T124" s="970"/>
      <c r="U124" s="33"/>
    </row>
    <row r="125" spans="2:42" ht="15.75">
      <c r="B125" s="7" t="s">
        <v>144</v>
      </c>
      <c r="C125" s="33" t="s">
        <v>145</v>
      </c>
      <c r="D125" s="33"/>
      <c r="E125" s="33"/>
      <c r="F125" s="33"/>
      <c r="G125" s="33"/>
      <c r="H125" s="33"/>
      <c r="I125" s="33"/>
      <c r="J125" s="971">
        <v>0.63</v>
      </c>
      <c r="K125" s="971">
        <v>0.54560954816709295</v>
      </c>
      <c r="L125" s="971">
        <v>0.31696914107305946</v>
      </c>
      <c r="M125" s="971">
        <v>0.11714934796895678</v>
      </c>
      <c r="N125" s="971">
        <v>0.10141044664902769</v>
      </c>
      <c r="O125" s="971">
        <v>0.178260550750244</v>
      </c>
      <c r="P125" s="971">
        <v>0.1206447936457042</v>
      </c>
      <c r="Q125" s="187">
        <v>0.12</v>
      </c>
      <c r="R125" s="187">
        <v>0.12</v>
      </c>
      <c r="S125" s="187">
        <v>0.12</v>
      </c>
      <c r="T125" s="187">
        <v>0.12</v>
      </c>
      <c r="U125" s="187">
        <v>0.12</v>
      </c>
      <c r="V125" s="187">
        <v>0.12</v>
      </c>
      <c r="W125" s="187">
        <f>Assumptions!W37</f>
        <v>0.12</v>
      </c>
      <c r="X125" s="187">
        <f>Assumptions!X37</f>
        <v>0.12</v>
      </c>
      <c r="Y125" s="187">
        <f>Assumptions!Y37</f>
        <v>0.12</v>
      </c>
      <c r="Z125" s="187">
        <f>Assumptions!Z37</f>
        <v>0.12</v>
      </c>
      <c r="AA125" s="187">
        <f>Assumptions!AA37</f>
        <v>0.12</v>
      </c>
      <c r="AB125" s="187">
        <f>Assumptions!AB37</f>
        <v>0.12</v>
      </c>
      <c r="AC125" s="187">
        <f>Assumptions!AC37</f>
        <v>0.12</v>
      </c>
      <c r="AD125" s="187">
        <f>Assumptions!AD37</f>
        <v>0.12</v>
      </c>
      <c r="AE125" s="187">
        <f>Assumptions!AE37</f>
        <v>0.12</v>
      </c>
      <c r="AF125" s="187">
        <f>Assumptions!AF37</f>
        <v>0.12</v>
      </c>
      <c r="AG125" s="187">
        <f>Assumptions!AG37</f>
        <v>0.12</v>
      </c>
      <c r="AH125" s="187">
        <f>Assumptions!AH37</f>
        <v>0.12</v>
      </c>
      <c r="AI125" s="187">
        <f>Assumptions!AI37</f>
        <v>0.12</v>
      </c>
      <c r="AJ125" s="187">
        <f>Assumptions!AJ37</f>
        <v>0.12</v>
      </c>
      <c r="AK125" s="187">
        <f>Assumptions!AK37</f>
        <v>0.12</v>
      </c>
      <c r="AL125" s="187">
        <f>Assumptions!AL37</f>
        <v>0.12</v>
      </c>
      <c r="AM125" s="187">
        <f>Assumptions!AM37</f>
        <v>0.12</v>
      </c>
      <c r="AN125" s="187">
        <f>Assumptions!AN37</f>
        <v>0.12</v>
      </c>
      <c r="AO125" s="187">
        <f>Assumptions!AO37</f>
        <v>0.12</v>
      </c>
      <c r="AP125" s="187">
        <f>Assumptions!AP37</f>
        <v>0.12</v>
      </c>
    </row>
    <row r="126" spans="2:42">
      <c r="B126" s="29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 spans="2:42">
      <c r="B127" s="29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</row>
    <row r="128" spans="2:42">
      <c r="B128" s="29"/>
      <c r="C128" s="32" t="s">
        <v>72</v>
      </c>
      <c r="D128" s="32"/>
      <c r="E128" s="32"/>
      <c r="F128" s="32"/>
      <c r="G128" s="32"/>
      <c r="H128" s="32"/>
      <c r="I128" s="32"/>
      <c r="J128" s="972">
        <v>433</v>
      </c>
      <c r="K128" s="972">
        <v>388</v>
      </c>
      <c r="L128" s="972">
        <v>612</v>
      </c>
      <c r="M128" s="972">
        <v>204</v>
      </c>
      <c r="N128" s="972">
        <v>392</v>
      </c>
      <c r="O128" s="972">
        <v>475</v>
      </c>
      <c r="P128" s="972">
        <v>228.5</v>
      </c>
      <c r="Q128" s="970"/>
      <c r="R128" s="970"/>
      <c r="S128" s="970"/>
      <c r="T128" s="944"/>
      <c r="U128" s="944"/>
    </row>
    <row r="129" spans="2:42">
      <c r="B129" s="29"/>
      <c r="C129" s="20" t="s">
        <v>129</v>
      </c>
      <c r="D129" s="20"/>
      <c r="E129" s="20"/>
      <c r="F129" s="20"/>
      <c r="G129" s="20"/>
      <c r="H129" s="20"/>
      <c r="I129" s="20"/>
      <c r="J129" s="972">
        <v>126</v>
      </c>
      <c r="K129" s="972">
        <v>137</v>
      </c>
      <c r="L129" s="972">
        <v>210</v>
      </c>
      <c r="M129" s="972">
        <v>109</v>
      </c>
      <c r="N129" s="972">
        <v>110</v>
      </c>
      <c r="O129" s="972">
        <v>159</v>
      </c>
      <c r="P129" s="972">
        <v>100</v>
      </c>
      <c r="Q129" s="970"/>
      <c r="R129" s="970"/>
      <c r="S129" s="970"/>
      <c r="T129" s="944"/>
      <c r="U129" s="944"/>
    </row>
    <row r="130" spans="2:42" ht="15.75">
      <c r="B130" s="7" t="s">
        <v>146</v>
      </c>
      <c r="C130" s="32" t="s">
        <v>131</v>
      </c>
      <c r="D130" s="32"/>
      <c r="E130" s="32"/>
      <c r="F130" s="32"/>
      <c r="G130" s="32"/>
      <c r="H130" s="32"/>
      <c r="I130" s="32"/>
      <c r="J130" s="972">
        <v>307</v>
      </c>
      <c r="K130" s="972">
        <v>251</v>
      </c>
      <c r="L130" s="972">
        <v>402</v>
      </c>
      <c r="M130" s="972">
        <v>95</v>
      </c>
      <c r="N130" s="972">
        <v>282</v>
      </c>
      <c r="O130" s="972">
        <v>316</v>
      </c>
      <c r="P130" s="972">
        <v>128.5</v>
      </c>
      <c r="Q130" s="293">
        <v>150.07071553076042</v>
      </c>
      <c r="R130" s="293">
        <v>113.26907572452834</v>
      </c>
      <c r="S130" s="293">
        <v>801.89235798319362</v>
      </c>
      <c r="T130" s="293">
        <v>821.37899445167523</v>
      </c>
      <c r="U130" s="293">
        <v>192.82276117395324</v>
      </c>
      <c r="V130" s="95">
        <v>243.55821228628824</v>
      </c>
      <c r="W130" s="95">
        <f t="shared" ref="W130:AH130" si="193">V130*W132</f>
        <v>180.23307709185329</v>
      </c>
      <c r="X130" s="95">
        <f t="shared" si="193"/>
        <v>133.37247704797144</v>
      </c>
      <c r="Y130" s="95">
        <f t="shared" si="193"/>
        <v>98.695633015498871</v>
      </c>
      <c r="Z130" s="95">
        <f t="shared" si="193"/>
        <v>73.034768431469161</v>
      </c>
      <c r="AA130" s="95">
        <f t="shared" si="193"/>
        <v>54.045728639287177</v>
      </c>
      <c r="AB130" s="95">
        <f t="shared" si="193"/>
        <v>39.99383919307251</v>
      </c>
      <c r="AC130" s="95">
        <f t="shared" si="193"/>
        <v>29.595441002873656</v>
      </c>
      <c r="AD130" s="95">
        <f t="shared" si="193"/>
        <v>21.900626342126504</v>
      </c>
      <c r="AE130" s="95">
        <f t="shared" si="193"/>
        <v>16.206463493173612</v>
      </c>
      <c r="AF130" s="95">
        <f t="shared" si="193"/>
        <v>11.992782984948473</v>
      </c>
      <c r="AG130" s="95">
        <f t="shared" si="193"/>
        <v>8.87465940886187</v>
      </c>
      <c r="AH130" s="95">
        <f t="shared" si="193"/>
        <v>6.5672479625577838</v>
      </c>
      <c r="AI130" s="95">
        <f>AH130*AI132</f>
        <v>4.8597634922927595</v>
      </c>
      <c r="AJ130" s="95">
        <f>AI130*AJ132</f>
        <v>3.5962249842966418</v>
      </c>
      <c r="AK130" s="95">
        <f t="shared" ref="AK130:AP130" si="194">AJ130*AK132</f>
        <v>2.661206488379515</v>
      </c>
      <c r="AL130" s="95">
        <f t="shared" si="194"/>
        <v>1.9692928014008411</v>
      </c>
      <c r="AM130" s="95">
        <f t="shared" si="194"/>
        <v>1.4572766730366224</v>
      </c>
      <c r="AN130" s="95">
        <f t="shared" si="194"/>
        <v>1.0783847380471006</v>
      </c>
      <c r="AO130" s="95">
        <f t="shared" si="194"/>
        <v>0.79800470615485442</v>
      </c>
      <c r="AP130" s="95">
        <f t="shared" si="194"/>
        <v>0.5905234825545923</v>
      </c>
    </row>
    <row r="131" spans="2:42">
      <c r="B131" s="29"/>
      <c r="C131" s="33" t="s">
        <v>132</v>
      </c>
      <c r="D131" s="33"/>
      <c r="E131" s="33"/>
      <c r="F131" s="33"/>
      <c r="G131" s="33"/>
      <c r="H131" s="33"/>
      <c r="I131" s="33"/>
      <c r="J131" s="971">
        <v>4.33</v>
      </c>
      <c r="K131" s="971">
        <v>3.0107512856817138</v>
      </c>
      <c r="L131" s="971">
        <v>4.4220923110798536</v>
      </c>
      <c r="M131" s="971">
        <v>1.3271050009475918</v>
      </c>
      <c r="N131" s="971">
        <v>2.1819965721552479</v>
      </c>
      <c r="O131" s="971">
        <v>2.6432723185821465</v>
      </c>
      <c r="P131" s="971">
        <v>1.3525881281930776</v>
      </c>
      <c r="Q131" s="970"/>
      <c r="R131" s="970"/>
      <c r="S131" s="970"/>
      <c r="T131" s="944"/>
      <c r="U131" s="944"/>
    </row>
    <row r="132" spans="2:42" ht="15.75">
      <c r="B132" s="7" t="s">
        <v>147</v>
      </c>
      <c r="C132" s="33" t="s">
        <v>148</v>
      </c>
      <c r="D132" s="33"/>
      <c r="E132" s="33"/>
      <c r="F132" s="33"/>
      <c r="G132" s="33"/>
      <c r="H132" s="33"/>
      <c r="I132" s="33"/>
      <c r="J132" s="971">
        <v>3.07</v>
      </c>
      <c r="K132" s="971">
        <v>1.9476767337786345</v>
      </c>
      <c r="L132" s="971">
        <v>2.9047076945328452</v>
      </c>
      <c r="M132" s="971">
        <v>0.61801458377461382</v>
      </c>
      <c r="N132" s="971">
        <v>1.5697016156831121</v>
      </c>
      <c r="O132" s="971">
        <v>1.7584716898357016</v>
      </c>
      <c r="P132" s="971">
        <v>0.76064584014359071</v>
      </c>
      <c r="Q132" s="188">
        <v>0.76064584014359071</v>
      </c>
      <c r="R132" s="188">
        <v>0.76064584014359071</v>
      </c>
      <c r="S132" s="188">
        <v>0.76064584014359071</v>
      </c>
      <c r="T132" s="188">
        <v>0.76064584014359071</v>
      </c>
      <c r="U132" s="188">
        <v>0.76064584014359071</v>
      </c>
      <c r="V132" s="95">
        <v>0.76064584014359071</v>
      </c>
      <c r="W132" s="188">
        <v>0.74</v>
      </c>
      <c r="X132" s="188">
        <v>0.74</v>
      </c>
      <c r="Y132" s="188">
        <v>0.74</v>
      </c>
      <c r="Z132" s="188">
        <v>0.74</v>
      </c>
      <c r="AA132" s="188">
        <v>0.74</v>
      </c>
      <c r="AB132" s="188">
        <v>0.74</v>
      </c>
      <c r="AC132" s="188">
        <v>0.74</v>
      </c>
      <c r="AD132" s="188">
        <v>0.74</v>
      </c>
      <c r="AE132" s="188">
        <v>0.74</v>
      </c>
      <c r="AF132" s="188">
        <v>0.74</v>
      </c>
      <c r="AG132" s="188">
        <v>0.74</v>
      </c>
      <c r="AH132" s="188">
        <v>0.74</v>
      </c>
      <c r="AI132" s="188">
        <v>0.74</v>
      </c>
      <c r="AJ132" s="188">
        <v>0.74</v>
      </c>
      <c r="AK132" s="188">
        <v>0.74</v>
      </c>
      <c r="AL132" s="188">
        <v>0.74</v>
      </c>
      <c r="AM132" s="188">
        <v>0.74</v>
      </c>
      <c r="AN132" s="188">
        <v>0.74</v>
      </c>
      <c r="AO132" s="188">
        <v>0.74</v>
      </c>
      <c r="AP132" s="188">
        <v>0.74</v>
      </c>
    </row>
    <row r="133" spans="2:42">
      <c r="B133" s="29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 spans="2:42">
      <c r="B134" s="29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 spans="2:42">
      <c r="B135" s="29"/>
      <c r="C135" s="32" t="s">
        <v>149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</row>
    <row r="136" spans="2:42" ht="15.75">
      <c r="B136" s="7" t="s">
        <v>150</v>
      </c>
      <c r="C136" s="32" t="s">
        <v>151</v>
      </c>
      <c r="D136" s="32"/>
      <c r="E136" s="32"/>
      <c r="F136" s="32"/>
      <c r="G136" s="32"/>
      <c r="H136" s="32"/>
      <c r="I136" s="32"/>
      <c r="J136" s="971"/>
      <c r="K136" s="973">
        <v>100</v>
      </c>
      <c r="L136" s="973">
        <v>101.4</v>
      </c>
      <c r="M136" s="973">
        <v>107.17980000000001</v>
      </c>
      <c r="N136" s="973">
        <v>110.93109300000002</v>
      </c>
      <c r="O136" s="973">
        <v>117.69788967300001</v>
      </c>
      <c r="P136" s="973">
        <v>130.056168088665</v>
      </c>
      <c r="Q136" s="973">
        <v>138.89998751869422</v>
      </c>
      <c r="R136" s="973">
        <v>149.87308653267107</v>
      </c>
      <c r="S136" s="973">
        <v>165.45988753206885</v>
      </c>
      <c r="T136" s="973">
        <v>178.03483898450605</v>
      </c>
      <c r="U136" s="973">
        <v>186.04640673880883</v>
      </c>
      <c r="V136" s="94">
        <v>191.99989175445072</v>
      </c>
      <c r="W136" s="94">
        <f>V136*GDP!W33/100</f>
        <v>201.98388612568215</v>
      </c>
      <c r="X136" s="94">
        <f>W136*GDP!X33/100</f>
        <v>215.71879038222855</v>
      </c>
      <c r="Y136" s="94">
        <f>X136*GDP!Y33/100</f>
        <v>224.34754199751768</v>
      </c>
      <c r="Z136" s="94">
        <f>Y136*GDP!Z33/100</f>
        <v>240.27621747934143</v>
      </c>
      <c r="AA136" s="94">
        <f>Z136*GDP!AA33/100</f>
        <v>261.42052461752348</v>
      </c>
      <c r="AB136" s="94">
        <f>AA136*GDP!AB33/100</f>
        <v>278.67427924228002</v>
      </c>
      <c r="AC136" s="94">
        <f>AB136*GDP!AC33/100</f>
        <v>300.96822158166242</v>
      </c>
      <c r="AD136" s="94">
        <f>AC136*GDP!AD33/100</f>
        <v>337.68634461462528</v>
      </c>
      <c r="AE136" s="112">
        <f>AD136*GDP!AE33/100</f>
        <v>373.48109714377557</v>
      </c>
      <c r="AF136" s="112">
        <f>AE136*GDP!AF33/100</f>
        <v>408.96180137243425</v>
      </c>
      <c r="AG136" s="112">
        <f>AF136*GDP!AG33/100</f>
        <v>445.44067228367044</v>
      </c>
      <c r="AH136" s="112">
        <f>AG136*GDP!AH33/100</f>
        <v>483.80661187292731</v>
      </c>
      <c r="AI136" s="112">
        <f>AH136*GDP!AI33/100</f>
        <v>523.83023771958028</v>
      </c>
      <c r="AJ136" s="112">
        <f>AI136*GDP!AJ33/100</f>
        <v>566.54324267858738</v>
      </c>
      <c r="AK136" s="112">
        <f>AJ136*GDP!AK33/100</f>
        <v>613.6431764531294</v>
      </c>
      <c r="AL136" s="112">
        <f>AK136*GDP!AL33/100</f>
        <v>660.28505874467669</v>
      </c>
      <c r="AM136" s="112">
        <f>AL136*GDP!AM33/100</f>
        <v>710.10854517568634</v>
      </c>
      <c r="AN136" s="112">
        <f>AM136*GDP!AN33/100</f>
        <v>761.58226939764825</v>
      </c>
      <c r="AO136" s="112">
        <f>AN136*GDP!AO33/100</f>
        <v>814.93001736927738</v>
      </c>
      <c r="AP136" s="112">
        <f>AO136*GDP!AP33/100</f>
        <v>874.05601699841168</v>
      </c>
    </row>
    <row r="137" spans="2:42" ht="15.75">
      <c r="B137" s="7" t="s">
        <v>152</v>
      </c>
      <c r="C137" s="32" t="s">
        <v>153</v>
      </c>
      <c r="D137" s="32"/>
      <c r="E137" s="32"/>
      <c r="F137" s="32"/>
      <c r="G137" s="32"/>
      <c r="H137" s="32"/>
      <c r="I137" s="32"/>
      <c r="J137" s="971"/>
      <c r="K137" s="293">
        <v>4309</v>
      </c>
      <c r="L137" s="293">
        <v>3919</v>
      </c>
      <c r="M137" s="293">
        <v>3908</v>
      </c>
      <c r="N137" s="293">
        <v>3612</v>
      </c>
      <c r="O137" s="293">
        <v>3144</v>
      </c>
      <c r="P137" s="293">
        <v>3722</v>
      </c>
      <c r="Q137" s="294">
        <v>3593</v>
      </c>
      <c r="R137" s="294">
        <v>3742</v>
      </c>
      <c r="S137" s="294">
        <v>3832</v>
      </c>
      <c r="T137" s="294">
        <v>2600</v>
      </c>
      <c r="U137" s="294">
        <v>2328</v>
      </c>
      <c r="V137" s="294">
        <f t="shared" ref="V137:AA137" si="195">V78</f>
        <v>2496</v>
      </c>
      <c r="W137" s="294">
        <f t="shared" si="195"/>
        <v>2807</v>
      </c>
      <c r="X137" s="294">
        <f t="shared" si="195"/>
        <v>2754</v>
      </c>
      <c r="Y137" s="294">
        <f t="shared" si="195"/>
        <v>2241</v>
      </c>
      <c r="Z137" s="294">
        <f t="shared" si="195"/>
        <v>2338</v>
      </c>
      <c r="AA137" s="294">
        <f t="shared" si="195"/>
        <v>2619</v>
      </c>
      <c r="AB137" s="295">
        <f>AB136*AB138</f>
        <v>2731.0079365743445</v>
      </c>
      <c r="AC137" s="295">
        <f t="shared" ref="AC137:AP137" si="196">AC136*AC138</f>
        <v>2949.488571500292</v>
      </c>
      <c r="AD137" s="295">
        <f t="shared" si="196"/>
        <v>3309.3261772233282</v>
      </c>
      <c r="AE137" s="295">
        <f t="shared" si="196"/>
        <v>3660.1147520090008</v>
      </c>
      <c r="AF137" s="295">
        <f>AF136*AF138</f>
        <v>4007.825653449856</v>
      </c>
      <c r="AG137" s="295">
        <f t="shared" si="196"/>
        <v>4810.7592606636408</v>
      </c>
      <c r="AH137" s="295">
        <f t="shared" si="196"/>
        <v>5708.9180201005429</v>
      </c>
      <c r="AI137" s="295">
        <f t="shared" si="196"/>
        <v>6705.0270428106278</v>
      </c>
      <c r="AJ137" s="295">
        <f>AJ136*AJ138</f>
        <v>7251.7535062859188</v>
      </c>
      <c r="AK137" s="295">
        <f>AK136*AK138</f>
        <v>7854.6326586000569</v>
      </c>
      <c r="AL137" s="295">
        <f t="shared" si="196"/>
        <v>8451.6487519318616</v>
      </c>
      <c r="AM137" s="295">
        <f t="shared" si="196"/>
        <v>9089.3893782487849</v>
      </c>
      <c r="AN137" s="295">
        <f t="shared" si="196"/>
        <v>9748.2530482898983</v>
      </c>
      <c r="AO137" s="295">
        <f t="shared" si="196"/>
        <v>10431.10422232675</v>
      </c>
      <c r="AP137" s="295">
        <f t="shared" si="196"/>
        <v>11187.91701757967</v>
      </c>
    </row>
    <row r="138" spans="2:42" ht="15.75">
      <c r="B138" s="7" t="s">
        <v>154</v>
      </c>
      <c r="C138" s="33" t="s">
        <v>155</v>
      </c>
      <c r="D138" s="33"/>
      <c r="E138" s="33"/>
      <c r="F138" s="33"/>
      <c r="G138" s="33"/>
      <c r="H138" s="33"/>
      <c r="I138" s="33"/>
      <c r="J138" s="971"/>
      <c r="K138" s="293">
        <v>43.09</v>
      </c>
      <c r="L138" s="293">
        <v>38.648915187376723</v>
      </c>
      <c r="M138" s="293">
        <v>36.462094536470488</v>
      </c>
      <c r="N138" s="293">
        <v>32.560753728442933</v>
      </c>
      <c r="O138" s="293">
        <v>26.712458555841348</v>
      </c>
      <c r="P138" s="293">
        <v>28.618404299460437</v>
      </c>
      <c r="Q138" s="296">
        <v>25.867532921962479</v>
      </c>
      <c r="R138" s="296">
        <v>24.967791660074177</v>
      </c>
      <c r="S138" s="296">
        <v>23.159691796945623</v>
      </c>
      <c r="T138" s="296">
        <v>14.603883233361262</v>
      </c>
      <c r="U138" s="296">
        <v>12.513007054569385</v>
      </c>
      <c r="V138" s="296">
        <f t="shared" ref="V138:Z138" si="197">V137/V136</f>
        <v>13.000007329129865</v>
      </c>
      <c r="W138" s="296">
        <f t="shared" si="197"/>
        <v>13.897148202472827</v>
      </c>
      <c r="X138" s="296">
        <f t="shared" si="197"/>
        <v>12.76662081740878</v>
      </c>
      <c r="Y138" s="296">
        <f t="shared" si="197"/>
        <v>9.9889661373013645</v>
      </c>
      <c r="Z138" s="296">
        <f t="shared" si="197"/>
        <v>9.7304678112848091</v>
      </c>
      <c r="AA138" s="296">
        <f>AA137/AA136</f>
        <v>10.018341152944208</v>
      </c>
      <c r="AB138" s="296">
        <v>9.8000000000000007</v>
      </c>
      <c r="AC138" s="296">
        <v>9.8000000000000007</v>
      </c>
      <c r="AD138" s="296">
        <v>9.8000000000000007</v>
      </c>
      <c r="AE138" s="296">
        <v>9.8000000000000007</v>
      </c>
      <c r="AF138" s="296">
        <v>9.8000000000000007</v>
      </c>
      <c r="AG138" s="296">
        <v>10.8</v>
      </c>
      <c r="AH138" s="296">
        <v>11.8</v>
      </c>
      <c r="AI138" s="296">
        <v>12.8</v>
      </c>
      <c r="AJ138" s="296">
        <v>12.8</v>
      </c>
      <c r="AK138" s="296">
        <v>12.8</v>
      </c>
      <c r="AL138" s="296">
        <v>12.8</v>
      </c>
      <c r="AM138" s="296">
        <v>12.8</v>
      </c>
      <c r="AN138" s="296">
        <v>12.8</v>
      </c>
      <c r="AO138" s="296">
        <v>12.8</v>
      </c>
      <c r="AP138" s="296">
        <v>12.8</v>
      </c>
    </row>
    <row r="139" spans="2:42">
      <c r="B139" s="29"/>
      <c r="C139" s="33"/>
      <c r="D139" s="33"/>
      <c r="E139" s="33"/>
      <c r="F139" s="33"/>
      <c r="G139" s="33"/>
      <c r="H139" s="33"/>
      <c r="I139" s="33"/>
      <c r="J139" s="971"/>
      <c r="K139" s="293"/>
      <c r="L139" s="293"/>
      <c r="M139" s="293"/>
      <c r="N139" s="293"/>
      <c r="O139" s="293"/>
      <c r="P139" s="293"/>
      <c r="Q139" s="293"/>
      <c r="R139" s="297"/>
      <c r="S139" s="297"/>
      <c r="T139" s="297"/>
      <c r="U139" s="297"/>
      <c r="X139" s="297">
        <f t="shared" ref="X139:X140" si="198">X142/W142</f>
        <v>1.0799438990182328</v>
      </c>
      <c r="Y139" s="297">
        <f t="shared" ref="Y139:Y140" si="199">Y142/X142</f>
        <v>1.0805194805194807</v>
      </c>
      <c r="Z139" s="297">
        <f t="shared" ref="Z139:Z140" si="200">Z142/Y142</f>
        <v>1.3245192307692308</v>
      </c>
      <c r="AA139" s="297">
        <f t="shared" ref="AA139:AA140" si="201">AA142/Z142</f>
        <v>1</v>
      </c>
      <c r="AB139" s="297">
        <f t="shared" ref="AB139:AB140" si="202">AB142/AA142</f>
        <v>1</v>
      </c>
      <c r="AC139" s="297">
        <f t="shared" ref="AC139:AC140" si="203">AC142/AB142</f>
        <v>1.1007259528130671</v>
      </c>
      <c r="AD139" s="297">
        <f t="shared" ref="AD139:AD140" si="204">AD142/AC142</f>
        <v>1.1599340478153337</v>
      </c>
      <c r="AE139" s="297">
        <f t="shared" ref="AE139:AE140" si="205">AE142/AD142</f>
        <v>1</v>
      </c>
      <c r="AF139" s="297">
        <f t="shared" ref="AF139:AF140" si="206">AF142/AE142</f>
        <v>1</v>
      </c>
      <c r="AG139" s="297">
        <f t="shared" ref="AG139:AG140" si="207">AG142/AF142</f>
        <v>1</v>
      </c>
      <c r="AH139" s="297">
        <f t="shared" ref="AH139:AH140" si="208">AH142/AG142</f>
        <v>1</v>
      </c>
      <c r="AI139" s="297">
        <f t="shared" ref="AI139:AJ140" si="209">AI142/AH142</f>
        <v>1</v>
      </c>
      <c r="AJ139" s="297">
        <f t="shared" si="209"/>
        <v>1</v>
      </c>
      <c r="AK139" s="297">
        <f t="shared" ref="AK139:AK140" si="210">AK142/AJ142</f>
        <v>1</v>
      </c>
      <c r="AL139" s="297">
        <f t="shared" ref="AL139:AL140" si="211">AL142/AK142</f>
        <v>1</v>
      </c>
      <c r="AM139" s="297">
        <f t="shared" ref="AM139:AM140" si="212">AM142/AL142</f>
        <v>1</v>
      </c>
      <c r="AN139" s="297">
        <f t="shared" ref="AN139:AN140" si="213">AN142/AM142</f>
        <v>1</v>
      </c>
      <c r="AO139" s="297">
        <f t="shared" ref="AO139:AO140" si="214">AO142/AN142</f>
        <v>1</v>
      </c>
      <c r="AP139" s="297">
        <f t="shared" ref="AP139:AP140" si="215">AP142/AO142</f>
        <v>1</v>
      </c>
    </row>
    <row r="140" spans="2:42">
      <c r="B140" s="29"/>
      <c r="C140" s="33"/>
      <c r="D140" s="33"/>
      <c r="E140" s="33"/>
      <c r="F140" s="33"/>
      <c r="G140" s="33"/>
      <c r="H140" s="33"/>
      <c r="I140" s="33"/>
      <c r="J140" s="971"/>
      <c r="K140" s="971"/>
      <c r="L140" s="971"/>
      <c r="M140" s="971"/>
      <c r="N140" s="971"/>
      <c r="O140" s="971"/>
      <c r="P140" s="971"/>
      <c r="Q140" s="297"/>
      <c r="R140" s="297"/>
      <c r="S140" s="297"/>
      <c r="T140" s="297"/>
      <c r="U140" s="297"/>
      <c r="X140" s="297">
        <f t="shared" si="198"/>
        <v>1.1501706484641638</v>
      </c>
      <c r="Y140" s="297">
        <f t="shared" si="199"/>
        <v>1.1572700296735905</v>
      </c>
      <c r="Z140" s="297">
        <f t="shared" si="200"/>
        <v>1.164102564102564</v>
      </c>
      <c r="AA140" s="297">
        <f t="shared" si="201"/>
        <v>1.1013215859030838</v>
      </c>
      <c r="AB140" s="297">
        <f t="shared" si="202"/>
        <v>1</v>
      </c>
      <c r="AC140" s="297">
        <f t="shared" si="203"/>
        <v>1.0604</v>
      </c>
      <c r="AD140" s="297">
        <f t="shared" si="204"/>
        <v>1.1599396454168238</v>
      </c>
      <c r="AE140" s="297">
        <f t="shared" si="205"/>
        <v>1</v>
      </c>
      <c r="AF140" s="297">
        <f t="shared" si="206"/>
        <v>1</v>
      </c>
      <c r="AG140" s="297">
        <f t="shared" si="207"/>
        <v>1</v>
      </c>
      <c r="AH140" s="297">
        <f t="shared" si="208"/>
        <v>1</v>
      </c>
      <c r="AI140" s="297">
        <f t="shared" si="209"/>
        <v>1</v>
      </c>
      <c r="AJ140" s="297">
        <f t="shared" si="209"/>
        <v>1</v>
      </c>
      <c r="AK140" s="297">
        <f t="shared" si="210"/>
        <v>1</v>
      </c>
      <c r="AL140" s="297">
        <f t="shared" si="211"/>
        <v>1</v>
      </c>
      <c r="AM140" s="297">
        <f t="shared" si="212"/>
        <v>1</v>
      </c>
      <c r="AN140" s="297">
        <f t="shared" si="213"/>
        <v>1</v>
      </c>
      <c r="AO140" s="297">
        <f t="shared" si="214"/>
        <v>1</v>
      </c>
      <c r="AP140" s="297">
        <f t="shared" si="215"/>
        <v>1</v>
      </c>
    </row>
    <row r="141" spans="2:42">
      <c r="B141" s="7" t="s">
        <v>156</v>
      </c>
      <c r="C141" s="32" t="s">
        <v>157</v>
      </c>
      <c r="D141" s="32"/>
      <c r="E141" s="32"/>
      <c r="F141" s="32"/>
      <c r="G141" s="32"/>
      <c r="H141" s="32"/>
      <c r="I141" s="32"/>
      <c r="J141" s="803"/>
      <c r="K141" s="193"/>
      <c r="L141" s="803"/>
      <c r="M141" s="803"/>
      <c r="N141" s="803"/>
      <c r="O141" s="803"/>
      <c r="P141" s="403">
        <v>1072.2884640501716</v>
      </c>
      <c r="Q141" s="403">
        <v>1635.1787308452967</v>
      </c>
      <c r="R141" s="403">
        <v>3787.7250073999999</v>
      </c>
      <c r="S141" s="403">
        <v>3936.0150420000004</v>
      </c>
      <c r="T141" s="403">
        <v>3728.4495181000002</v>
      </c>
      <c r="U141" s="403">
        <v>3996.1170900000002</v>
      </c>
      <c r="V141" s="298">
        <f>(V76+V77+V78+V79+V82-V71+V81)*V142/100+V80*V143/100+V89*Household!V2</f>
        <v>4238.2377999999999</v>
      </c>
      <c r="W141" s="298">
        <f>(W76+W77+W78+W79+W82-W71+W81)*W142/100+W80*W143/100+W89*Household!W2</f>
        <v>5021.7765199999994</v>
      </c>
      <c r="X141" s="298">
        <f>(X76+X77+X78+X79+X82-X71+X81)*X142/100+X80*X143/100+X89*Household!X2</f>
        <v>5721.4679500000002</v>
      </c>
      <c r="Y141" s="298">
        <f>(Y76+Y77+Y78+Y79+Y82-Y71+Y81)*Y142/100+Y80*Y143/100+Y89*Household!Y2</f>
        <v>6185.5654799999993</v>
      </c>
      <c r="Z141" s="298">
        <f>(Z76+Z77+Z78+Z79+Z82-Z71+Z81)*Z142/100+Z80*Z143/100+Z89*Household!Z2</f>
        <v>8455.9519099999998</v>
      </c>
      <c r="AA141" s="298">
        <f>(AA76+AA77+AA78+AA79+AA82-AA71+AA81)*AA142/100+AA80*AA143/100+AA89*Household!AA2</f>
        <v>8381.6491600000008</v>
      </c>
      <c r="AB141" s="298">
        <f>(AB76+AB77+AB78+AB79+AB82-AB71+AB81)*AB142/100+AB80*AB143/100+AB89*Household!AB2</f>
        <v>8998.1397529000005</v>
      </c>
      <c r="AC141" s="298">
        <f>(AC76+AC77+AC78+AC79+AC82-AC71+AC81)*AC142/100+AC80*AC143/100+AC89*Household!AC2</f>
        <v>10239.506729999999</v>
      </c>
      <c r="AD141" s="298">
        <f>(AD76+AD77+AD78+AD79+AD82-AD71+AD81)*AD142/100+AD80*AD143/100+AD89*Household!AD2</f>
        <v>11809.940106</v>
      </c>
      <c r="AE141" s="298">
        <f>(AE76+AE77+AE78+AE79+AE82-AE71+AE81)*AE142/100+AE80*AE143/100+AE89*Household!AE2</f>
        <v>11979.79322912</v>
      </c>
      <c r="AF141" s="298">
        <f>(AF76+AF77+AF78+AF79+AF82-AF71+AF81)*AF142/100+AF80*AF143/100+AF89*Household!AF2</f>
        <v>13197.926266302398</v>
      </c>
      <c r="AG141" s="298">
        <f>(AG76+AG77+AG78+AG79+AG82-AG71+AG81)*AG142/100+AG80*AG143/100+AG89*Household!AG2</f>
        <v>22624.461536086648</v>
      </c>
      <c r="AH141" s="298">
        <f>(AH76+AH77+AH78+AH79+AH82-AH71+AH81)*AH142/100+AH80*AH143/100+AH89*Household!AH2</f>
        <v>26526.446767740832</v>
      </c>
      <c r="AI141" s="298">
        <f>(AI76+AI77+AI78+AI79+AI82-AI71+AI81)*AI142/100+AI80*AI143/100+AI89*Household!AI2</f>
        <v>28672.578750049364</v>
      </c>
      <c r="AJ141" s="298">
        <f>(AJ76+AJ77+AJ78+AJ79+AJ82-AJ71+AJ81)*AJ142/100+AJ80*AJ143/100+AJ89*Household!AJ2</f>
        <v>30937.668997517489</v>
      </c>
      <c r="AK141" s="298">
        <f>(AK76+AK77+AK78+AK79+AK82-AK71+AK81)*AK142/100+AK80*AK143/100+AK89*Household!AK2</f>
        <v>33792.162876704904</v>
      </c>
      <c r="AL141" s="298">
        <f>(AL76+AL77+AL78+AL79+AL82-AL71+AL81)*AL142/100+AL80*AL143/100+AL89*Household!AL2</f>
        <v>36418.019877588318</v>
      </c>
      <c r="AM141" s="298">
        <f>(AM76+AM77+AM78+AM79+AM82-AM71+AM81)*AM142/100+AM80*AM143/100+AM89*Household!AM2</f>
        <v>39207.241166021886</v>
      </c>
      <c r="AN141" s="298">
        <f>(AN76+AN77+AN78+AN79+AN82-AN71+AN81)*AN142/100+AN80*AN143/100+AN89*Household!AN2</f>
        <v>42134.326213727712</v>
      </c>
      <c r="AO141" s="298">
        <f>(AO76+AO77+AO78+AO79+AO82-AO71+AO81)*AO142/100+AO80*AO143/100+AO89*Household!AO2</f>
        <v>45293.938020772708</v>
      </c>
      <c r="AP141" s="298">
        <f>(AP76+AP77+AP78+AP79+AP82-AP71+AP81)*AP142/100+AP80*AP143/100+AP89*Household!AP2</f>
        <v>48676.214590530384</v>
      </c>
    </row>
    <row r="142" spans="2:42" ht="15.75">
      <c r="B142" s="7" t="s">
        <v>158</v>
      </c>
      <c r="C142" s="32" t="s">
        <v>159</v>
      </c>
      <c r="D142" s="32"/>
      <c r="E142" s="32"/>
      <c r="F142" s="32"/>
      <c r="G142" s="32"/>
      <c r="H142" s="32"/>
      <c r="I142" s="32"/>
      <c r="J142" s="803"/>
      <c r="K142" s="193"/>
      <c r="L142" s="803"/>
      <c r="M142" s="803"/>
      <c r="N142" s="803"/>
      <c r="O142" s="803"/>
      <c r="P142" s="289">
        <v>8.1559572220755197</v>
      </c>
      <c r="Q142" s="289">
        <v>10.270142602495543</v>
      </c>
      <c r="R142" s="190">
        <v>26.63</v>
      </c>
      <c r="S142" s="190">
        <v>26.63</v>
      </c>
      <c r="T142" s="190">
        <v>26.63</v>
      </c>
      <c r="U142" s="190">
        <v>30.6</v>
      </c>
      <c r="V142">
        <v>30.6</v>
      </c>
      <c r="W142">
        <v>35.65</v>
      </c>
      <c r="X142">
        <v>38.5</v>
      </c>
      <c r="Y142">
        <v>41.6</v>
      </c>
      <c r="Z142">
        <v>55.1</v>
      </c>
      <c r="AA142">
        <v>55.1</v>
      </c>
      <c r="AB142">
        <v>55.1</v>
      </c>
      <c r="AC142">
        <v>60.65</v>
      </c>
      <c r="AD142">
        <v>70.349999999999994</v>
      </c>
      <c r="AE142" s="131">
        <f>AD142</f>
        <v>70.349999999999994</v>
      </c>
      <c r="AF142">
        <f t="shared" ref="AF142:AK142" si="216">AE142</f>
        <v>70.349999999999994</v>
      </c>
      <c r="AG142">
        <f t="shared" si="216"/>
        <v>70.349999999999994</v>
      </c>
      <c r="AH142">
        <f t="shared" si="216"/>
        <v>70.349999999999994</v>
      </c>
      <c r="AI142">
        <f t="shared" si="216"/>
        <v>70.349999999999994</v>
      </c>
      <c r="AJ142">
        <f t="shared" si="216"/>
        <v>70.349999999999994</v>
      </c>
      <c r="AK142">
        <f t="shared" si="216"/>
        <v>70.349999999999994</v>
      </c>
      <c r="AL142">
        <f t="shared" ref="AL142" si="217">AK142</f>
        <v>70.349999999999994</v>
      </c>
      <c r="AM142">
        <f t="shared" ref="AM142" si="218">AL142</f>
        <v>70.349999999999994</v>
      </c>
      <c r="AN142">
        <f t="shared" ref="AN142" si="219">AM142</f>
        <v>70.349999999999994</v>
      </c>
      <c r="AO142">
        <f t="shared" ref="AO142" si="220">AN142</f>
        <v>70.349999999999994</v>
      </c>
      <c r="AP142">
        <f t="shared" ref="AP142" si="221">AO142</f>
        <v>70.349999999999994</v>
      </c>
    </row>
    <row r="143" spans="2:42" ht="15.75">
      <c r="B143" s="7" t="s">
        <v>160</v>
      </c>
      <c r="C143" s="32" t="s">
        <v>161</v>
      </c>
      <c r="D143" s="32"/>
      <c r="E143" s="32"/>
      <c r="F143" s="32"/>
      <c r="G143" s="32"/>
      <c r="H143" s="32"/>
      <c r="I143" s="32"/>
      <c r="J143" s="803"/>
      <c r="K143" s="193"/>
      <c r="L143" s="803"/>
      <c r="M143" s="803"/>
      <c r="N143" s="803"/>
      <c r="O143" s="803"/>
      <c r="P143" s="974">
        <v>7.5</v>
      </c>
      <c r="Q143" s="975">
        <v>9</v>
      </c>
      <c r="R143" s="976">
        <v>10.96875</v>
      </c>
      <c r="S143" s="976">
        <v>10.96875</v>
      </c>
      <c r="T143" s="976">
        <v>10.96875</v>
      </c>
      <c r="U143" s="976">
        <v>12.6</v>
      </c>
      <c r="V143">
        <v>12.6</v>
      </c>
      <c r="W143">
        <v>14.65</v>
      </c>
      <c r="X143">
        <v>16.850000000000001</v>
      </c>
      <c r="Y143">
        <v>19.5</v>
      </c>
      <c r="Z143">
        <v>22.7</v>
      </c>
      <c r="AA143">
        <v>25</v>
      </c>
      <c r="AB143">
        <v>25</v>
      </c>
      <c r="AC143">
        <v>26.51</v>
      </c>
      <c r="AD143">
        <v>30.75</v>
      </c>
      <c r="AE143" s="131">
        <f>AD143</f>
        <v>30.75</v>
      </c>
      <c r="AF143">
        <f t="shared" ref="AF143:AP143" si="222">AE143</f>
        <v>30.75</v>
      </c>
      <c r="AG143">
        <f t="shared" si="222"/>
        <v>30.75</v>
      </c>
      <c r="AH143">
        <f t="shared" si="222"/>
        <v>30.75</v>
      </c>
      <c r="AI143">
        <f t="shared" si="222"/>
        <v>30.75</v>
      </c>
      <c r="AJ143">
        <f t="shared" si="222"/>
        <v>30.75</v>
      </c>
      <c r="AK143">
        <f t="shared" si="222"/>
        <v>30.75</v>
      </c>
      <c r="AL143">
        <f t="shared" si="222"/>
        <v>30.75</v>
      </c>
      <c r="AM143">
        <f t="shared" si="222"/>
        <v>30.75</v>
      </c>
      <c r="AN143">
        <f t="shared" si="222"/>
        <v>30.75</v>
      </c>
      <c r="AO143">
        <f t="shared" si="222"/>
        <v>30.75</v>
      </c>
      <c r="AP143">
        <f t="shared" si="222"/>
        <v>30.75</v>
      </c>
    </row>
    <row r="144" spans="2:42" ht="15.75">
      <c r="B144" s="34" t="s">
        <v>162</v>
      </c>
      <c r="C144" s="32"/>
      <c r="D144" s="32"/>
      <c r="E144" s="32"/>
      <c r="F144" s="32"/>
      <c r="G144" s="32"/>
      <c r="H144" s="32"/>
      <c r="I144" s="32"/>
      <c r="J144" s="803"/>
      <c r="K144" s="193"/>
      <c r="L144" s="803"/>
      <c r="M144" s="803"/>
      <c r="N144" s="803"/>
      <c r="O144" s="803"/>
      <c r="P144" s="803"/>
      <c r="Q144" s="803"/>
      <c r="R144" s="132">
        <v>9.75</v>
      </c>
      <c r="S144" s="132">
        <v>11</v>
      </c>
      <c r="T144" s="132">
        <v>12</v>
      </c>
      <c r="U144" s="132">
        <v>12</v>
      </c>
      <c r="V144" s="132">
        <v>12</v>
      </c>
      <c r="W144" s="132">
        <v>12</v>
      </c>
      <c r="X144" s="132">
        <v>12</v>
      </c>
      <c r="Y144" s="132">
        <v>12</v>
      </c>
      <c r="Z144" s="132">
        <v>12</v>
      </c>
      <c r="AA144" s="132">
        <v>12</v>
      </c>
      <c r="AB144" s="132">
        <v>12</v>
      </c>
      <c r="AC144" s="132">
        <v>12</v>
      </c>
      <c r="AD144" s="132">
        <v>12</v>
      </c>
      <c r="AE144" s="132">
        <v>12</v>
      </c>
      <c r="AF144" s="132">
        <v>12</v>
      </c>
      <c r="AG144" s="132">
        <v>12</v>
      </c>
      <c r="AH144" s="132">
        <v>13</v>
      </c>
      <c r="AI144" s="132">
        <v>13</v>
      </c>
      <c r="AJ144" s="132">
        <v>13</v>
      </c>
      <c r="AK144" s="132">
        <v>13</v>
      </c>
      <c r="AL144" s="132">
        <v>13</v>
      </c>
      <c r="AM144" s="132">
        <v>13</v>
      </c>
      <c r="AN144" s="132">
        <v>13</v>
      </c>
      <c r="AO144" s="132">
        <v>13</v>
      </c>
      <c r="AP144" s="132">
        <v>13</v>
      </c>
    </row>
    <row r="145" spans="2:42">
      <c r="B145" s="25"/>
      <c r="C145" s="35" t="s">
        <v>66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AF145" s="94"/>
    </row>
    <row r="146" spans="2:42">
      <c r="B146" s="7" t="s">
        <v>163</v>
      </c>
      <c r="C146" s="20" t="s">
        <v>164</v>
      </c>
      <c r="D146" s="20"/>
      <c r="E146" s="20"/>
      <c r="F146" s="20"/>
      <c r="G146" s="978"/>
      <c r="H146" s="980"/>
      <c r="I146" s="980"/>
      <c r="J146" s="980"/>
      <c r="K146" s="980"/>
      <c r="L146" s="980"/>
      <c r="M146" s="980">
        <v>439.82167100304002</v>
      </c>
      <c r="N146" s="979">
        <v>419.15005246589715</v>
      </c>
      <c r="O146" s="979">
        <v>399.45</v>
      </c>
      <c r="P146" s="979">
        <v>357.78974358974364</v>
      </c>
      <c r="Q146" s="981">
        <v>348.84500000000003</v>
      </c>
      <c r="R146" s="986">
        <v>278.39999999999998</v>
      </c>
      <c r="S146" s="986">
        <v>272.5</v>
      </c>
      <c r="T146" s="986">
        <v>216.4</v>
      </c>
      <c r="U146" s="986">
        <v>125.7</v>
      </c>
      <c r="V146" s="94">
        <f>Assumptions!V42</f>
        <v>139.1</v>
      </c>
      <c r="W146" s="94">
        <f>Assumptions!W42</f>
        <v>129.30000000000001</v>
      </c>
      <c r="X146" s="94">
        <f>Assumptions!X42</f>
        <v>103.1</v>
      </c>
      <c r="Y146" s="94">
        <f>Assumptions!Y42</f>
        <v>95.8</v>
      </c>
      <c r="Z146" s="94">
        <f>Assumptions!Z42</f>
        <v>100.8</v>
      </c>
      <c r="AA146" s="94">
        <f>Assumptions!AA42</f>
        <v>84</v>
      </c>
      <c r="AB146" s="94">
        <f>Assumptions!AB42</f>
        <v>60.5</v>
      </c>
      <c r="AC146" s="94">
        <f>Assumptions!AC42</f>
        <v>62</v>
      </c>
      <c r="AD146" s="94">
        <f>Assumptions!AD42</f>
        <v>66.599999999999994</v>
      </c>
      <c r="AE146" s="94">
        <f>Assumptions!AE42</f>
        <v>82.2</v>
      </c>
      <c r="AF146" s="94">
        <f>Assumptions!AF42</f>
        <v>88.3</v>
      </c>
      <c r="AG146" s="117">
        <f>Assumptions!AG42</f>
        <v>101.54499999999999</v>
      </c>
      <c r="AH146" s="94">
        <f>Assumptions!AH42</f>
        <v>116.77674999999998</v>
      </c>
      <c r="AI146" s="94">
        <f>Assumptions!AI42</f>
        <v>134.29326249999997</v>
      </c>
      <c r="AJ146" s="94">
        <f>Assumptions!AJ42</f>
        <v>154.43725187499996</v>
      </c>
      <c r="AK146" s="94">
        <f>Assumptions!AK42</f>
        <v>177.60283965624993</v>
      </c>
      <c r="AL146" s="94">
        <f>Assumptions!AL42</f>
        <v>204.24326560468739</v>
      </c>
      <c r="AM146" s="94">
        <f>Assumptions!AM42</f>
        <v>234.87975544539049</v>
      </c>
      <c r="AN146" s="94">
        <f>Assumptions!AN42</f>
        <v>270.11171876219902</v>
      </c>
      <c r="AO146" s="94">
        <f>Assumptions!AO42</f>
        <v>310.62847657652884</v>
      </c>
      <c r="AP146" s="94">
        <f>Assumptions!AP42</f>
        <v>357.22274806300811</v>
      </c>
    </row>
    <row r="147" spans="2:42">
      <c r="B147" s="7"/>
      <c r="C147" s="20" t="s">
        <v>165</v>
      </c>
      <c r="D147" s="20"/>
      <c r="E147" s="20"/>
      <c r="F147" s="20"/>
      <c r="G147" s="978"/>
      <c r="H147" s="980"/>
      <c r="I147" s="980"/>
      <c r="J147" s="980"/>
      <c r="K147" s="980"/>
      <c r="L147" s="980"/>
      <c r="M147" s="984">
        <v>839.79610000000002</v>
      </c>
      <c r="N147" s="984">
        <v>836.85630000000003</v>
      </c>
      <c r="O147" s="984">
        <v>817.12740000000008</v>
      </c>
      <c r="P147" s="984">
        <v>643.42939999999999</v>
      </c>
      <c r="Q147" s="984">
        <v>708.21699999999998</v>
      </c>
      <c r="R147" s="299">
        <v>530.1</v>
      </c>
      <c r="S147" s="299">
        <v>475</v>
      </c>
      <c r="T147" s="299">
        <v>389.2</v>
      </c>
      <c r="U147" s="299">
        <v>251.2</v>
      </c>
      <c r="V147" s="299">
        <f t="shared" ref="V147:AP147" si="223">V149</f>
        <v>257.10000000000002</v>
      </c>
      <c r="W147" s="299">
        <f t="shared" si="223"/>
        <v>261.39999999999998</v>
      </c>
      <c r="X147" s="299">
        <f t="shared" si="223"/>
        <v>205.2</v>
      </c>
      <c r="Y147" s="299">
        <f t="shared" si="223"/>
        <v>159.69999999999999</v>
      </c>
      <c r="Z147" s="299">
        <f t="shared" si="223"/>
        <v>197.3</v>
      </c>
      <c r="AA147" s="299">
        <f t="shared" si="223"/>
        <v>171.2</v>
      </c>
      <c r="AB147" s="299">
        <f t="shared" si="223"/>
        <v>104.8</v>
      </c>
      <c r="AC147" s="299">
        <f t="shared" si="223"/>
        <v>110.04</v>
      </c>
      <c r="AD147" s="299">
        <f t="shared" si="223"/>
        <v>123.1</v>
      </c>
      <c r="AE147" s="299">
        <f t="shared" si="223"/>
        <v>159.9</v>
      </c>
      <c r="AF147" s="299">
        <f t="shared" si="223"/>
        <v>178.9</v>
      </c>
      <c r="AG147" s="299">
        <f t="shared" si="223"/>
        <v>187.84500000000003</v>
      </c>
      <c r="AH147" s="299">
        <f t="shared" si="223"/>
        <v>197.23725000000005</v>
      </c>
      <c r="AI147" s="299">
        <f t="shared" si="223"/>
        <v>207.09911250000005</v>
      </c>
      <c r="AJ147" s="299">
        <f t="shared" si="223"/>
        <v>217.45406812500005</v>
      </c>
      <c r="AK147" s="299">
        <f t="shared" si="223"/>
        <v>228.32677153125007</v>
      </c>
      <c r="AL147" s="299">
        <f t="shared" si="223"/>
        <v>239.74311010781258</v>
      </c>
      <c r="AM147" s="299">
        <f t="shared" si="223"/>
        <v>251.73026561320322</v>
      </c>
      <c r="AN147" s="299">
        <f t="shared" si="223"/>
        <v>264.31677889386339</v>
      </c>
      <c r="AO147" s="299">
        <f t="shared" si="223"/>
        <v>277.53261783855658</v>
      </c>
      <c r="AP147" s="299">
        <f t="shared" si="223"/>
        <v>291.40924873048442</v>
      </c>
    </row>
    <row r="148" spans="2:42">
      <c r="B148" s="7"/>
      <c r="C148" s="20" t="s">
        <v>166</v>
      </c>
      <c r="D148" s="20"/>
      <c r="E148" s="20"/>
      <c r="F148" s="20"/>
      <c r="G148" s="978"/>
      <c r="H148" s="980"/>
      <c r="I148" s="980"/>
      <c r="J148" s="980"/>
      <c r="K148" s="980"/>
      <c r="L148" s="980"/>
      <c r="M148" s="981">
        <v>0</v>
      </c>
      <c r="N148" s="981">
        <v>0</v>
      </c>
      <c r="O148" s="981">
        <v>0</v>
      </c>
      <c r="P148" s="981">
        <v>0</v>
      </c>
      <c r="Q148" s="981">
        <v>0</v>
      </c>
      <c r="R148" s="981">
        <v>0</v>
      </c>
      <c r="S148" s="981">
        <v>0</v>
      </c>
      <c r="T148" s="981">
        <v>0</v>
      </c>
      <c r="U148" s="981">
        <v>0</v>
      </c>
      <c r="V148" s="981">
        <v>0</v>
      </c>
      <c r="W148" s="981">
        <v>0</v>
      </c>
      <c r="X148" s="981">
        <v>0</v>
      </c>
      <c r="Y148" s="981">
        <v>0</v>
      </c>
      <c r="Z148" s="981">
        <v>0</v>
      </c>
      <c r="AA148" s="981">
        <v>0</v>
      </c>
      <c r="AB148" s="981">
        <v>0</v>
      </c>
      <c r="AC148" s="981">
        <v>0</v>
      </c>
      <c r="AD148" s="981">
        <v>0</v>
      </c>
      <c r="AE148" s="981">
        <v>0</v>
      </c>
      <c r="AF148" s="981">
        <v>0</v>
      </c>
      <c r="AG148" s="981"/>
      <c r="AH148" s="981"/>
      <c r="AI148" s="981"/>
      <c r="AJ148" s="981"/>
      <c r="AK148" s="981"/>
      <c r="AL148" s="981"/>
      <c r="AM148" s="981"/>
      <c r="AN148" s="981"/>
      <c r="AO148" s="981"/>
      <c r="AP148" s="981"/>
    </row>
    <row r="149" spans="2:42">
      <c r="B149" s="7" t="s">
        <v>167</v>
      </c>
      <c r="C149" s="20" t="s">
        <v>168</v>
      </c>
      <c r="D149" s="20"/>
      <c r="E149" s="20"/>
      <c r="F149" s="20"/>
      <c r="G149" s="981">
        <v>545.97980000000007</v>
      </c>
      <c r="H149" s="981">
        <v>537.0951</v>
      </c>
      <c r="I149" s="981">
        <v>601.37310000000002</v>
      </c>
      <c r="J149" s="981">
        <v>682.2509</v>
      </c>
      <c r="K149" s="981">
        <v>614.48890000000006</v>
      </c>
      <c r="L149" s="981">
        <v>798.69100000000003</v>
      </c>
      <c r="M149" s="981">
        <v>839.79610000000002</v>
      </c>
      <c r="N149" s="981">
        <v>836.85630000000003</v>
      </c>
      <c r="O149" s="981">
        <v>817.12740000000008</v>
      </c>
      <c r="P149" s="981">
        <v>643.42939999999999</v>
      </c>
      <c r="Q149" s="981">
        <v>708.21699999999998</v>
      </c>
      <c r="R149" s="986">
        <v>530.1</v>
      </c>
      <c r="S149" s="986">
        <v>475</v>
      </c>
      <c r="T149" s="986">
        <v>389.2</v>
      </c>
      <c r="U149" s="986">
        <v>251.2</v>
      </c>
      <c r="V149">
        <f>Trade!V62/1000</f>
        <v>257.10000000000002</v>
      </c>
      <c r="W149">
        <f>Trade!W62/1000</f>
        <v>261.39999999999998</v>
      </c>
      <c r="X149">
        <f>Trade!X62/1000</f>
        <v>205.2</v>
      </c>
      <c r="Y149">
        <f>Trade!Y62/1000</f>
        <v>159.69999999999999</v>
      </c>
      <c r="Z149">
        <f>Trade!Z62/1000</f>
        <v>197.3</v>
      </c>
      <c r="AA149">
        <f>Trade!AA62/1000</f>
        <v>171.2</v>
      </c>
      <c r="AB149">
        <f>Trade!AB62/1000</f>
        <v>104.8</v>
      </c>
      <c r="AC149">
        <f>Trade!AC62/1000</f>
        <v>110.04</v>
      </c>
      <c r="AD149">
        <f>Trade!AD62/1000</f>
        <v>123.1</v>
      </c>
      <c r="AE149" s="175">
        <f>Trade!AE62/1000</f>
        <v>159.9</v>
      </c>
      <c r="AF149" s="175">
        <f>Trade!AF62/1000</f>
        <v>178.9</v>
      </c>
      <c r="AG149" s="123">
        <f t="shared" ref="AG149:AP149" si="224">AF149*1.05</f>
        <v>187.84500000000003</v>
      </c>
      <c r="AH149" s="123">
        <f t="shared" si="224"/>
        <v>197.23725000000005</v>
      </c>
      <c r="AI149" s="123">
        <f t="shared" si="224"/>
        <v>207.09911250000005</v>
      </c>
      <c r="AJ149" s="123">
        <f t="shared" si="224"/>
        <v>217.45406812500005</v>
      </c>
      <c r="AK149" s="123">
        <f t="shared" si="224"/>
        <v>228.32677153125007</v>
      </c>
      <c r="AL149" s="123">
        <f t="shared" si="224"/>
        <v>239.74311010781258</v>
      </c>
      <c r="AM149" s="123">
        <f t="shared" si="224"/>
        <v>251.73026561320322</v>
      </c>
      <c r="AN149" s="123">
        <f t="shared" si="224"/>
        <v>264.31677889386339</v>
      </c>
      <c r="AO149" s="123">
        <f t="shared" si="224"/>
        <v>277.53261783855658</v>
      </c>
      <c r="AP149" s="123">
        <f t="shared" si="224"/>
        <v>291.40924873048442</v>
      </c>
    </row>
    <row r="150" spans="2:42" ht="15.75">
      <c r="B150" s="7" t="s">
        <v>169</v>
      </c>
      <c r="C150" s="32" t="s">
        <v>170</v>
      </c>
      <c r="D150" s="32"/>
      <c r="E150" s="32"/>
      <c r="F150" s="32"/>
      <c r="G150" s="981">
        <v>198.54229999999998</v>
      </c>
      <c r="H150" s="981">
        <v>185.0301</v>
      </c>
      <c r="I150" s="981">
        <v>178.00910000000002</v>
      </c>
      <c r="J150" s="981">
        <v>235.8134</v>
      </c>
      <c r="K150" s="981">
        <v>284.78959999999995</v>
      </c>
      <c r="L150" s="981">
        <v>361.82299999999998</v>
      </c>
      <c r="M150" s="981">
        <v>386.67</v>
      </c>
      <c r="N150" s="981">
        <v>376.5831</v>
      </c>
      <c r="O150" s="981">
        <v>377.70850000000002</v>
      </c>
      <c r="P150" s="981">
        <v>290.05579999999998</v>
      </c>
      <c r="Q150" s="981">
        <v>318.69799999999998</v>
      </c>
      <c r="R150" s="986">
        <v>264.39999999999998</v>
      </c>
      <c r="S150" s="986">
        <v>249.50399999999999</v>
      </c>
      <c r="T150" s="986">
        <v>202.524</v>
      </c>
      <c r="U150" s="986">
        <v>130.6</v>
      </c>
      <c r="V150">
        <f>Trade!V49</f>
        <v>133.80000000000001</v>
      </c>
      <c r="W150">
        <f>Trade!W49</f>
        <v>135.30000000000001</v>
      </c>
      <c r="X150">
        <f>Trade!X49</f>
        <v>106.7</v>
      </c>
      <c r="Y150">
        <f>Trade!Y49</f>
        <v>85.2</v>
      </c>
      <c r="Z150">
        <f>Trade!Z49</f>
        <v>105.6</v>
      </c>
      <c r="AA150">
        <f>Trade!AA49</f>
        <v>89</v>
      </c>
      <c r="AB150">
        <f>Trade!AB49</f>
        <v>54.5</v>
      </c>
      <c r="AC150">
        <f>Trade!AC49</f>
        <v>70.2</v>
      </c>
      <c r="AD150">
        <f>Trade!AD49</f>
        <v>76.900000000000006</v>
      </c>
      <c r="AE150" s="175">
        <f>Trade!AE49</f>
        <v>90.2</v>
      </c>
      <c r="AF150" s="175">
        <f>Trade!AF49</f>
        <v>101.9</v>
      </c>
      <c r="AG150">
        <f>Trade!AG49</f>
        <v>106.99500000000003</v>
      </c>
      <c r="AH150">
        <f>Trade!AH49</f>
        <v>112.34475000000005</v>
      </c>
      <c r="AI150">
        <f>Trade!AI49</f>
        <v>117.96198750000003</v>
      </c>
      <c r="AJ150">
        <f>Trade!AJ49</f>
        <v>123.86008687500004</v>
      </c>
      <c r="AK150">
        <f>Trade!AK49</f>
        <v>130.05309121875004</v>
      </c>
      <c r="AL150">
        <f>Trade!AL49</f>
        <v>136.55574577968756</v>
      </c>
      <c r="AM150">
        <f>Trade!AM49</f>
        <v>143.38353306867194</v>
      </c>
      <c r="AN150">
        <f>Trade!AN49</f>
        <v>150.55270972210553</v>
      </c>
      <c r="AO150">
        <f>Trade!AO49</f>
        <v>158.08034520821082</v>
      </c>
      <c r="AP150">
        <f>Trade!AP49</f>
        <v>165.98436246862138</v>
      </c>
    </row>
    <row r="151" spans="2:42">
      <c r="B151" s="7"/>
      <c r="C151" s="36" t="s">
        <v>171</v>
      </c>
      <c r="D151" s="36"/>
      <c r="E151" s="36"/>
      <c r="F151" s="36"/>
      <c r="G151" s="981"/>
      <c r="H151" s="981"/>
      <c r="I151" s="981"/>
      <c r="J151" s="981"/>
      <c r="K151" s="981"/>
      <c r="L151" s="981"/>
      <c r="M151" s="981"/>
      <c r="N151" s="981"/>
      <c r="O151" s="981"/>
      <c r="P151" s="981"/>
      <c r="Q151" s="981"/>
      <c r="R151" s="981"/>
      <c r="S151" s="981"/>
      <c r="T151" s="981"/>
      <c r="U151" s="981"/>
    </row>
    <row r="152" spans="2:42">
      <c r="B152" s="7" t="s">
        <v>172</v>
      </c>
      <c r="C152" s="32" t="s">
        <v>173</v>
      </c>
      <c r="D152" s="32"/>
      <c r="E152" s="32"/>
      <c r="F152" s="32"/>
      <c r="G152" s="985">
        <v>273.5412</v>
      </c>
      <c r="H152" s="985">
        <v>286.99379999999996</v>
      </c>
      <c r="I152" s="985">
        <v>305.43</v>
      </c>
      <c r="J152" s="985">
        <v>316.67609999999996</v>
      </c>
      <c r="K152" s="985">
        <v>342.63380000000001</v>
      </c>
      <c r="L152" s="985">
        <v>375.28100000000001</v>
      </c>
      <c r="M152" s="985">
        <v>408.86190000000005</v>
      </c>
      <c r="N152" s="985">
        <v>411.1574</v>
      </c>
      <c r="O152" s="985">
        <v>393.40530000000001</v>
      </c>
      <c r="P152" s="985">
        <v>348.69099999999997</v>
      </c>
      <c r="Q152" s="985">
        <v>339.38579321715378</v>
      </c>
      <c r="R152" s="986">
        <v>0.27764999999999995</v>
      </c>
      <c r="S152" s="986">
        <v>264.7989</v>
      </c>
      <c r="T152" s="986">
        <v>200.2</v>
      </c>
      <c r="U152" s="986">
        <v>125.7</v>
      </c>
      <c r="V152">
        <f>Trade!V15/1000</f>
        <v>130.9</v>
      </c>
      <c r="W152">
        <f>Trade!W15/1000</f>
        <v>129.69999999999999</v>
      </c>
      <c r="X152">
        <f>Trade!X15/1000</f>
        <v>101.4</v>
      </c>
      <c r="Y152">
        <f>Trade!Y15/1000</f>
        <v>94.8</v>
      </c>
      <c r="Z152">
        <f>Trade!Z15/1000</f>
        <v>96.8</v>
      </c>
      <c r="AA152">
        <f>Trade!AA15/1000</f>
        <v>87</v>
      </c>
      <c r="AB152">
        <f>Trade!AB15/1000</f>
        <v>55.6</v>
      </c>
      <c r="AC152">
        <f>Trade!AC15/1000</f>
        <v>56.5</v>
      </c>
      <c r="AD152">
        <f>Trade!AD15/1000</f>
        <v>59.1</v>
      </c>
      <c r="AE152" s="175">
        <f>Trade!AE15/1000</f>
        <v>76.099999999999994</v>
      </c>
      <c r="AF152" s="175">
        <f>Trade!AF15/1000</f>
        <v>80.099999999999994</v>
      </c>
      <c r="AG152" s="117">
        <f t="shared" ref="AG152:AP152" si="225">AG146-AG153-AG154</f>
        <v>97.542283676990522</v>
      </c>
      <c r="AH152" s="117">
        <f t="shared" si="225"/>
        <v>112.3735880388317</v>
      </c>
      <c r="AI152" s="117">
        <f t="shared" si="225"/>
        <v>129.42958805494905</v>
      </c>
      <c r="AJ152" s="117">
        <f t="shared" si="225"/>
        <v>149.043988073484</v>
      </c>
      <c r="AK152" s="117">
        <f t="shared" si="225"/>
        <v>171.60054809479919</v>
      </c>
      <c r="AL152" s="117">
        <f t="shared" si="225"/>
        <v>197.54059211931164</v>
      </c>
      <c r="AM152" s="117">
        <f t="shared" si="225"/>
        <v>227.37164274750097</v>
      </c>
      <c r="AN152" s="117">
        <f t="shared" si="225"/>
        <v>261.67735096991868</v>
      </c>
      <c r="AO152" s="117">
        <f t="shared" si="225"/>
        <v>301.12891542569906</v>
      </c>
      <c r="AP152" s="117">
        <f t="shared" si="225"/>
        <v>346.49821454984647</v>
      </c>
    </row>
    <row r="153" spans="2:42">
      <c r="B153" s="7"/>
      <c r="C153" s="32" t="s">
        <v>174</v>
      </c>
      <c r="D153" s="32"/>
      <c r="E153" s="32"/>
      <c r="F153" s="32"/>
      <c r="G153" s="981"/>
      <c r="H153" s="981"/>
      <c r="I153" s="981"/>
      <c r="J153" s="981"/>
      <c r="K153" s="981"/>
      <c r="L153" s="981"/>
      <c r="M153" s="981"/>
      <c r="N153" s="981"/>
      <c r="O153" s="981"/>
      <c r="P153" s="981"/>
      <c r="Q153" s="981">
        <v>6.7919999999999998</v>
      </c>
      <c r="R153" s="986">
        <v>10.337</v>
      </c>
      <c r="S153" s="986">
        <v>7.0529999999999999</v>
      </c>
      <c r="T153" s="982">
        <v>5.6009878899082572</v>
      </c>
      <c r="U153" s="982">
        <v>3.2534388990825689</v>
      </c>
      <c r="V153" s="94">
        <f>V155*(V146-V154)/100</f>
        <v>3.6002653211009177</v>
      </c>
      <c r="W153" s="94">
        <f t="shared" ref="W153:AP153" si="226">W155*(W146-W154)/100</f>
        <v>3.3466161467889912</v>
      </c>
      <c r="X153" s="94">
        <f t="shared" si="226"/>
        <v>2.6684928440366971</v>
      </c>
      <c r="Y153" s="94">
        <f t="shared" si="226"/>
        <v>2.4795500917431195</v>
      </c>
      <c r="Z153" s="94">
        <f t="shared" si="226"/>
        <v>2.6089629357798167</v>
      </c>
      <c r="AA153" s="94">
        <f t="shared" si="226"/>
        <v>2.1741357798165142</v>
      </c>
      <c r="AB153" s="94">
        <f t="shared" si="226"/>
        <v>1.5658954128440368</v>
      </c>
      <c r="AC153" s="94">
        <f t="shared" si="226"/>
        <v>1.604719266055046</v>
      </c>
      <c r="AD153" s="94">
        <f t="shared" si="226"/>
        <v>1.7237790825688071</v>
      </c>
      <c r="AE153" s="94">
        <f t="shared" si="226"/>
        <v>2.127547155963303</v>
      </c>
      <c r="AF153" s="94">
        <f>AF155*(AF146-AF154)/100</f>
        <v>2.2854308256880733</v>
      </c>
      <c r="AG153" s="94">
        <f t="shared" si="226"/>
        <v>2.6336444240870454</v>
      </c>
      <c r="AH153" s="94">
        <f t="shared" si="226"/>
        <v>3.0340900622458626</v>
      </c>
      <c r="AI153" s="94">
        <f t="shared" si="226"/>
        <v>3.4946025461285029</v>
      </c>
      <c r="AJ153" s="94">
        <f t="shared" si="226"/>
        <v>4.0241919025935395</v>
      </c>
      <c r="AK153" s="94">
        <f t="shared" si="226"/>
        <v>4.6332196625283295</v>
      </c>
      <c r="AL153" s="94">
        <f t="shared" si="226"/>
        <v>5.3336015864533399</v>
      </c>
      <c r="AM153" s="94">
        <f t="shared" si="226"/>
        <v>6.139040798967101</v>
      </c>
      <c r="AN153" s="94">
        <f t="shared" si="226"/>
        <v>7.0652958933579262</v>
      </c>
      <c r="AO153" s="94">
        <f t="shared" si="226"/>
        <v>8.1304892519073739</v>
      </c>
      <c r="AP153" s="94">
        <f t="shared" si="226"/>
        <v>9.3554616142392408</v>
      </c>
    </row>
    <row r="154" spans="2:42">
      <c r="B154" s="7"/>
      <c r="C154" s="37" t="s">
        <v>175</v>
      </c>
      <c r="D154" s="37"/>
      <c r="E154" s="37"/>
      <c r="F154" s="37"/>
      <c r="G154" s="981"/>
      <c r="H154" s="981"/>
      <c r="I154" s="981"/>
      <c r="J154" s="981"/>
      <c r="K154" s="981"/>
      <c r="L154" s="981"/>
      <c r="M154" s="981"/>
      <c r="N154" s="981"/>
      <c r="O154" s="981"/>
      <c r="P154" s="981"/>
      <c r="Q154" s="982">
        <v>4.0469999999999997</v>
      </c>
      <c r="R154" s="983">
        <v>4.3165301999999999</v>
      </c>
      <c r="S154" s="983">
        <v>4.2250520096982758</v>
      </c>
      <c r="T154" s="983">
        <v>3.3552339629310346</v>
      </c>
      <c r="U154" s="983">
        <v>1.9489505967672416</v>
      </c>
      <c r="V154" s="94">
        <v>2.156714622198276</v>
      </c>
      <c r="W154" s="94">
        <f>V154*W146/V146</f>
        <v>2.0047677976293108</v>
      </c>
      <c r="X154" s="94">
        <f t="shared" ref="X154:AD154" si="227">W154*X146/W146</f>
        <v>1.5985426135775862</v>
      </c>
      <c r="Y154" s="94">
        <f t="shared" si="227"/>
        <v>1.4853577340517241</v>
      </c>
      <c r="Z154" s="94">
        <f t="shared" si="227"/>
        <v>1.5628816241379311</v>
      </c>
      <c r="AA154" s="94">
        <f t="shared" si="227"/>
        <v>1.3024013534482759</v>
      </c>
      <c r="AB154" s="94">
        <f t="shared" si="227"/>
        <v>0.93803907004310338</v>
      </c>
      <c r="AC154" s="94">
        <f t="shared" si="227"/>
        <v>0.9612962370689655</v>
      </c>
      <c r="AD154" s="94">
        <f t="shared" si="227"/>
        <v>1.0326182159482757</v>
      </c>
      <c r="AE154" s="94">
        <f>AD154*AE146/AD146</f>
        <v>1.2744927530172412</v>
      </c>
      <c r="AF154" s="94">
        <f>AE154*AF146/AE146</f>
        <v>1.3690718989224135</v>
      </c>
      <c r="AG154" s="117">
        <f>AF154</f>
        <v>1.3690718989224135</v>
      </c>
      <c r="AH154" s="117">
        <f t="shared" ref="AH154:AK154" si="228">AG154</f>
        <v>1.3690718989224135</v>
      </c>
      <c r="AI154" s="117">
        <f t="shared" si="228"/>
        <v>1.3690718989224135</v>
      </c>
      <c r="AJ154" s="117">
        <f t="shared" si="228"/>
        <v>1.3690718989224135</v>
      </c>
      <c r="AK154" s="117">
        <f t="shared" si="228"/>
        <v>1.3690718989224135</v>
      </c>
      <c r="AL154" s="117">
        <f t="shared" ref="AL154" si="229">AK154</f>
        <v>1.3690718989224135</v>
      </c>
      <c r="AM154" s="117">
        <f t="shared" ref="AM154" si="230">AL154</f>
        <v>1.3690718989224135</v>
      </c>
      <c r="AN154" s="117">
        <f t="shared" ref="AN154" si="231">AM154</f>
        <v>1.3690718989224135</v>
      </c>
      <c r="AO154" s="117">
        <f t="shared" ref="AO154" si="232">AN154</f>
        <v>1.3690718989224135</v>
      </c>
      <c r="AP154" s="117">
        <f t="shared" ref="AP154" si="233">AO154</f>
        <v>1.3690718989224135</v>
      </c>
    </row>
    <row r="155" spans="2:42">
      <c r="C155" s="13" t="s">
        <v>176</v>
      </c>
      <c r="G155"/>
      <c r="H155"/>
      <c r="I155"/>
      <c r="J155"/>
      <c r="K155"/>
      <c r="L155"/>
      <c r="M155"/>
      <c r="N155"/>
      <c r="O155"/>
      <c r="P155"/>
      <c r="Q155" s="947">
        <v>1.9698490130453192</v>
      </c>
      <c r="R155" s="947">
        <v>3.7714788153926095</v>
      </c>
      <c r="S155" s="947">
        <v>2.6290192404603392</v>
      </c>
      <c r="T155" s="947">
        <v>2.6290192404603392</v>
      </c>
      <c r="U155" s="947">
        <v>2.6290192404603392</v>
      </c>
      <c r="V155" s="94">
        <v>2.6290192404603392</v>
      </c>
      <c r="W155" s="94">
        <v>2.6290192404603392</v>
      </c>
      <c r="X155" s="94">
        <v>2.6290192404603392</v>
      </c>
      <c r="Y155" s="94">
        <v>2.6290192404603392</v>
      </c>
      <c r="Z155" s="94">
        <v>2.6290192404603392</v>
      </c>
      <c r="AA155" s="94">
        <v>2.6290192404603392</v>
      </c>
      <c r="AB155" s="94">
        <v>2.6290192404603392</v>
      </c>
      <c r="AC155" s="94">
        <v>2.6290192404603392</v>
      </c>
      <c r="AD155" s="94">
        <v>2.6290192404603392</v>
      </c>
      <c r="AE155" s="94">
        <v>2.6290192404603392</v>
      </c>
      <c r="AF155" s="1259">
        <v>2.6290192404603392</v>
      </c>
      <c r="AG155" s="94">
        <v>2.6290192404603392</v>
      </c>
      <c r="AH155" s="94">
        <v>2.6290192404603392</v>
      </c>
      <c r="AI155" s="94">
        <v>2.6290192404603392</v>
      </c>
      <c r="AJ155" s="94">
        <v>2.6290192404603392</v>
      </c>
      <c r="AK155" s="94">
        <v>2.6290192404603392</v>
      </c>
      <c r="AL155" s="94">
        <v>2.6290192404603392</v>
      </c>
      <c r="AM155" s="94">
        <v>2.6290192404603392</v>
      </c>
      <c r="AN155" s="94">
        <v>2.6290192404603392</v>
      </c>
      <c r="AO155" s="94">
        <v>2.6290192404603392</v>
      </c>
      <c r="AP155" s="94">
        <v>2.6290192404603392</v>
      </c>
    </row>
    <row r="156" spans="2:42" ht="15.75">
      <c r="B156" s="7" t="s">
        <v>177</v>
      </c>
      <c r="C156" s="32" t="s">
        <v>178</v>
      </c>
      <c r="D156" s="32"/>
      <c r="E156" s="32"/>
      <c r="F156" s="32"/>
      <c r="G156" s="977">
        <v>433.55529999999999</v>
      </c>
      <c r="H156" s="977">
        <v>398.39709999999997</v>
      </c>
      <c r="I156" s="977">
        <v>398.55520000000001</v>
      </c>
      <c r="J156" s="977">
        <v>429.55379999999997</v>
      </c>
      <c r="K156" s="977">
        <v>563.35440000000006</v>
      </c>
      <c r="L156" s="977">
        <v>563.01599999999996</v>
      </c>
      <c r="M156" s="977">
        <v>1049.5101999999999</v>
      </c>
      <c r="N156" s="977">
        <v>1082.9825000000001</v>
      </c>
      <c r="O156" s="977">
        <v>1012.9915999999999</v>
      </c>
      <c r="P156" s="977">
        <v>589.46249999999998</v>
      </c>
      <c r="Q156" s="977">
        <v>735.5</v>
      </c>
      <c r="R156" s="987">
        <v>664.6</v>
      </c>
      <c r="S156" s="987">
        <v>535.50900000000001</v>
      </c>
      <c r="T156" s="987">
        <v>369.5</v>
      </c>
      <c r="U156" s="987">
        <v>234.2</v>
      </c>
      <c r="V156">
        <f>Trade!V6</f>
        <v>216.2</v>
      </c>
      <c r="W156">
        <f>Trade!W6</f>
        <v>207.5</v>
      </c>
      <c r="X156">
        <f>Trade!X6</f>
        <v>200.7</v>
      </c>
      <c r="Y156">
        <f>Trade!Y6</f>
        <v>199.3</v>
      </c>
      <c r="Z156">
        <f>Trade!Z6</f>
        <v>173.2</v>
      </c>
      <c r="AA156">
        <f>Trade!AA6</f>
        <v>136.19999999999999</v>
      </c>
      <c r="AB156">
        <f>Trade!AB6</f>
        <v>135.1</v>
      </c>
      <c r="AC156">
        <f>Trade!AC6</f>
        <v>139.9</v>
      </c>
      <c r="AD156">
        <f>Trade!AD6</f>
        <v>132.30000000000001</v>
      </c>
      <c r="AE156" s="646">
        <f>Trade!AE6</f>
        <v>183.6</v>
      </c>
      <c r="AF156" s="646">
        <f>Trade!AF6</f>
        <v>207.8</v>
      </c>
      <c r="AG156" s="96">
        <f>Trade!AG6</f>
        <v>186.53044641871514</v>
      </c>
      <c r="AH156" s="94">
        <f>Trade!AH6</f>
        <v>250.13930280125817</v>
      </c>
      <c r="AI156" s="94">
        <f>Trade!AI6</f>
        <v>293.3435838349161</v>
      </c>
      <c r="AJ156" s="94">
        <f>Trade!AJ6</f>
        <v>343.83043448715415</v>
      </c>
      <c r="AK156" s="94">
        <f>Trade!AK6</f>
        <v>402.8113153912052</v>
      </c>
      <c r="AL156" s="94">
        <f>Trade!AL6</f>
        <v>463.70239861226355</v>
      </c>
      <c r="AM156" s="94">
        <f>Trade!AM6</f>
        <v>533.72714431648069</v>
      </c>
      <c r="AN156" s="94">
        <f>Trade!AN6</f>
        <v>614.25560187633027</v>
      </c>
      <c r="AO156" s="94">
        <f>Trade!AO6</f>
        <v>706.86332807015731</v>
      </c>
      <c r="AP156" s="94">
        <f>Trade!AP6</f>
        <v>813.36221319305832</v>
      </c>
    </row>
    <row r="157" spans="2:42">
      <c r="AE157" s="1258">
        <f>(AE153)/(AE146-AE154)*100</f>
        <v>2.6290192404603392</v>
      </c>
      <c r="AF157" s="1258">
        <f>(AF153)/(AF146-AF154)*100</f>
        <v>2.6290192404603387</v>
      </c>
      <c r="AG157" s="1258">
        <f t="shared" ref="AG157:AP157" si="234">(AG153)/(AG146-AG154)*100</f>
        <v>2.6290192404603392</v>
      </c>
      <c r="AH157" s="1258">
        <f t="shared" si="234"/>
        <v>2.6290192404603392</v>
      </c>
      <c r="AI157" s="1258">
        <f t="shared" si="234"/>
        <v>2.6290192404603392</v>
      </c>
      <c r="AJ157" s="1258">
        <f t="shared" si="234"/>
        <v>2.6290192404603396</v>
      </c>
      <c r="AK157" s="1258">
        <f t="shared" si="234"/>
        <v>2.6290192404603387</v>
      </c>
      <c r="AL157" s="1258">
        <f t="shared" si="234"/>
        <v>2.6290192404603392</v>
      </c>
      <c r="AM157" s="1258">
        <f t="shared" si="234"/>
        <v>2.6290192404603387</v>
      </c>
      <c r="AN157" s="1258">
        <f t="shared" si="234"/>
        <v>2.6290192404603392</v>
      </c>
      <c r="AO157" s="1258">
        <f t="shared" si="234"/>
        <v>2.6290192404603387</v>
      </c>
      <c r="AP157" s="1258">
        <f t="shared" si="234"/>
        <v>2.6290192404603392</v>
      </c>
    </row>
    <row r="158" spans="2:42">
      <c r="B158" s="7"/>
      <c r="C158" s="32" t="s">
        <v>179</v>
      </c>
      <c r="D158" s="32"/>
      <c r="E158" s="32"/>
      <c r="F158" s="32"/>
      <c r="G158" s="981"/>
      <c r="H158" s="981"/>
      <c r="I158" s="981"/>
      <c r="J158" s="981"/>
      <c r="K158" s="981"/>
      <c r="L158" s="981"/>
      <c r="M158" s="981"/>
      <c r="N158" s="981"/>
      <c r="O158" s="981"/>
      <c r="P158" s="981"/>
      <c r="Q158" s="981">
        <v>13.676</v>
      </c>
      <c r="R158" s="990">
        <v>14.282</v>
      </c>
      <c r="S158" s="991">
        <v>7.6360000000000001</v>
      </c>
      <c r="T158" s="989">
        <v>5.9668738551939115E-3</v>
      </c>
      <c r="U158" s="989">
        <v>3.4988564222104114E-3</v>
      </c>
      <c r="V158" s="95">
        <f>V153*V164</f>
        <v>3.4310065824102707</v>
      </c>
      <c r="W158" s="95">
        <f t="shared" ref="W158:AP158" si="235">W153*W164</f>
        <v>3.0892640323029283</v>
      </c>
      <c r="X158" s="95">
        <f t="shared" si="235"/>
        <v>3.0475192738569823</v>
      </c>
      <c r="Y158" s="95">
        <f t="shared" si="235"/>
        <v>3.0077577093833345</v>
      </c>
      <c r="Z158" s="95">
        <f t="shared" si="235"/>
        <v>2.6934656460033914</v>
      </c>
      <c r="AA158" s="95">
        <f t="shared" si="235"/>
        <v>1.963882586041654</v>
      </c>
      <c r="AB158" s="95">
        <f t="shared" si="235"/>
        <v>2.1954032879254277</v>
      </c>
      <c r="AC158" s="95">
        <f t="shared" si="235"/>
        <v>2.2926583130957248</v>
      </c>
      <c r="AD158" s="95">
        <f t="shared" si="235"/>
        <v>2.2265116438286259</v>
      </c>
      <c r="AE158" s="95">
        <f t="shared" si="235"/>
        <v>2.9616805676043683</v>
      </c>
      <c r="AF158" s="95">
        <f t="shared" si="235"/>
        <v>3.420992396397375</v>
      </c>
      <c r="AG158" s="95">
        <f t="shared" si="235"/>
        <v>4.1513266802498228</v>
      </c>
      <c r="AH158" s="95">
        <f t="shared" si="235"/>
        <v>4.8711013872293192</v>
      </c>
      <c r="AI158" s="95">
        <f t="shared" si="235"/>
        <v>5.7124423157458848</v>
      </c>
      <c r="AJ158" s="95">
        <f t="shared" si="235"/>
        <v>6.6956007618392253</v>
      </c>
      <c r="AK158" s="95">
        <f t="shared" si="235"/>
        <v>7.8441681703763741</v>
      </c>
      <c r="AL158" s="95">
        <f t="shared" si="235"/>
        <v>9.0299340081569923</v>
      </c>
      <c r="AM158" s="95">
        <f t="shared" si="235"/>
        <v>10.393564721604701</v>
      </c>
      <c r="AN158" s="95">
        <f t="shared" si="235"/>
        <v>11.961740042069565</v>
      </c>
      <c r="AO158" s="95">
        <f t="shared" si="235"/>
        <v>13.765141660604158</v>
      </c>
      <c r="AP158" s="95">
        <f t="shared" si="235"/>
        <v>15.839053521918942</v>
      </c>
    </row>
    <row r="159" spans="2:42">
      <c r="B159" s="7"/>
      <c r="C159" s="37" t="s">
        <v>180</v>
      </c>
      <c r="D159" s="37"/>
      <c r="E159" s="37"/>
      <c r="F159" s="37"/>
      <c r="G159" s="981"/>
      <c r="H159" s="981"/>
      <c r="I159" s="981"/>
      <c r="J159" s="981"/>
      <c r="K159" s="981"/>
      <c r="L159" s="981"/>
      <c r="M159" s="981"/>
      <c r="N159" s="981"/>
      <c r="O159" s="981"/>
      <c r="P159" s="981"/>
      <c r="Q159" s="981">
        <v>2.222</v>
      </c>
      <c r="R159" s="983">
        <v>2.5175260000000002</v>
      </c>
      <c r="S159" s="989">
        <v>2.8523569580000001</v>
      </c>
      <c r="T159" s="989">
        <v>3.2317204334139999</v>
      </c>
      <c r="U159" s="989">
        <v>3.6615392510580618</v>
      </c>
      <c r="V159" s="95">
        <v>4.1485239714487836</v>
      </c>
      <c r="W159" s="95">
        <v>4.7002776596514719</v>
      </c>
      <c r="X159" s="95">
        <v>5.3254145883851178</v>
      </c>
      <c r="Y159" s="95">
        <v>5.254048029557576</v>
      </c>
      <c r="Z159" s="95">
        <v>4.7050325316817405</v>
      </c>
      <c r="AA159" s="95">
        <v>3.4305733468106068</v>
      </c>
      <c r="AB159" s="95">
        <v>3.8350011648291078</v>
      </c>
      <c r="AC159" s="95">
        <v>4.0048893748290215</v>
      </c>
      <c r="AD159" s="95">
        <v>3.6207089947470577</v>
      </c>
      <c r="AE159" s="95">
        <v>4.4073948509712695</v>
      </c>
      <c r="AF159" s="95">
        <v>5</v>
      </c>
      <c r="AG159" s="95">
        <v>5</v>
      </c>
      <c r="AH159" s="95">
        <v>5</v>
      </c>
      <c r="AI159" s="95">
        <v>5</v>
      </c>
      <c r="AJ159" s="95">
        <v>5</v>
      </c>
      <c r="AK159" s="95">
        <v>5</v>
      </c>
      <c r="AL159" s="95">
        <v>5</v>
      </c>
      <c r="AM159" s="95">
        <v>5</v>
      </c>
      <c r="AN159" s="95">
        <v>5</v>
      </c>
      <c r="AO159" s="95">
        <v>5</v>
      </c>
      <c r="AP159" s="95">
        <v>5</v>
      </c>
    </row>
    <row r="160" spans="2:42">
      <c r="B160" s="29"/>
      <c r="C160" s="32"/>
      <c r="D160" s="32"/>
      <c r="E160" s="32"/>
      <c r="F160" s="32"/>
      <c r="G160" s="977">
        <v>273541.2</v>
      </c>
      <c r="H160" s="978"/>
      <c r="I160" s="979"/>
      <c r="J160" s="979"/>
      <c r="K160" s="979"/>
      <c r="L160" s="979"/>
      <c r="M160" s="979"/>
      <c r="N160" s="979"/>
      <c r="O160" s="979"/>
      <c r="P160" s="979"/>
      <c r="Q160" s="994"/>
      <c r="R160" s="995"/>
      <c r="S160" s="978"/>
      <c r="T160" s="988"/>
      <c r="U160" s="977"/>
      <c r="V160" s="782">
        <f t="shared" ref="V160:AD160" si="236">V154*V165</f>
        <v>4.1485239714487836</v>
      </c>
      <c r="W160" s="782">
        <f t="shared" si="236"/>
        <v>4.7002776596514719</v>
      </c>
      <c r="X160" s="782">
        <f t="shared" si="236"/>
        <v>5.3254145883851178</v>
      </c>
      <c r="Y160" s="782">
        <f t="shared" si="236"/>
        <v>5.254048029557576</v>
      </c>
      <c r="Z160" s="782">
        <f t="shared" si="236"/>
        <v>4.7050325316817405</v>
      </c>
      <c r="AA160" s="782">
        <f t="shared" si="236"/>
        <v>3.4305733468106068</v>
      </c>
      <c r="AB160" s="782">
        <f t="shared" si="236"/>
        <v>3.8350011648291078</v>
      </c>
      <c r="AC160" s="782">
        <f t="shared" si="236"/>
        <v>4.0048893748290215</v>
      </c>
      <c r="AD160" s="782">
        <f t="shared" si="236"/>
        <v>3.6207089947470577</v>
      </c>
      <c r="AE160" s="782">
        <f>AE154*AE165</f>
        <v>4.4073948509712695</v>
      </c>
      <c r="AF160" s="782">
        <f>AF154*AF165</f>
        <v>5</v>
      </c>
      <c r="AG160" s="782">
        <f t="shared" ref="AG160:AP160" si="237">AG154*AG165</f>
        <v>5</v>
      </c>
      <c r="AH160" s="782">
        <f t="shared" si="237"/>
        <v>5</v>
      </c>
      <c r="AI160" s="782">
        <f>AI154*AI165</f>
        <v>5</v>
      </c>
      <c r="AJ160" s="782">
        <f t="shared" si="237"/>
        <v>5</v>
      </c>
      <c r="AK160" s="782">
        <f t="shared" si="237"/>
        <v>5</v>
      </c>
      <c r="AL160" s="782">
        <f t="shared" si="237"/>
        <v>5</v>
      </c>
      <c r="AM160" s="782">
        <f t="shared" si="237"/>
        <v>5</v>
      </c>
      <c r="AN160" s="782">
        <f t="shared" si="237"/>
        <v>5</v>
      </c>
      <c r="AO160" s="782">
        <f t="shared" si="237"/>
        <v>5</v>
      </c>
      <c r="AP160" s="782">
        <f t="shared" si="237"/>
        <v>5</v>
      </c>
    </row>
    <row r="161" spans="2:43" ht="15.75">
      <c r="B161" s="7" t="s">
        <v>181</v>
      </c>
      <c r="C161" s="32" t="s">
        <v>182</v>
      </c>
      <c r="D161" s="32"/>
      <c r="E161" s="32"/>
      <c r="F161" s="32"/>
      <c r="G161" s="760"/>
      <c r="H161" s="760"/>
      <c r="I161" s="760"/>
      <c r="J161" s="760"/>
      <c r="K161" s="760"/>
      <c r="L161" s="760"/>
      <c r="M161" s="760">
        <v>1.909401367342346</v>
      </c>
      <c r="N161" s="760">
        <v>1.9965553984228315</v>
      </c>
      <c r="O161" s="760">
        <v>2.0456312429590691</v>
      </c>
      <c r="P161" s="760">
        <v>1.798345009961444</v>
      </c>
      <c r="Q161" s="760">
        <v>2.0301767260531181</v>
      </c>
      <c r="R161" s="993">
        <v>1.9040948275862071</v>
      </c>
      <c r="S161" s="993">
        <v>1.7431192660550459</v>
      </c>
      <c r="T161" s="993">
        <v>1.798521256931608</v>
      </c>
      <c r="U161" s="993">
        <v>1.9984089101034208</v>
      </c>
      <c r="V161" s="95">
        <f>V149/V146</f>
        <v>1.8483105679367364</v>
      </c>
      <c r="W161" s="95">
        <f t="shared" ref="W161:AP161" si="238">W149/W146</f>
        <v>2.0216550657385919</v>
      </c>
      <c r="X161" s="95">
        <f t="shared" si="238"/>
        <v>1.9903006789524733</v>
      </c>
      <c r="Y161" s="95">
        <f t="shared" si="238"/>
        <v>1.6670146137787056</v>
      </c>
      <c r="Z161" s="95">
        <f t="shared" si="238"/>
        <v>1.95734126984127</v>
      </c>
      <c r="AA161" s="95">
        <f t="shared" si="238"/>
        <v>2.038095238095238</v>
      </c>
      <c r="AB161" s="95">
        <f t="shared" si="238"/>
        <v>1.7322314049586776</v>
      </c>
      <c r="AC161" s="95">
        <f t="shared" si="238"/>
        <v>1.7748387096774194</v>
      </c>
      <c r="AD161" s="95">
        <f t="shared" si="238"/>
        <v>1.8483483483483485</v>
      </c>
      <c r="AE161" s="95">
        <f t="shared" si="238"/>
        <v>1.9452554744525548</v>
      </c>
      <c r="AF161" s="95">
        <f>AF149/AF146</f>
        <v>2.0260475651189127</v>
      </c>
      <c r="AG161" s="95">
        <f t="shared" si="238"/>
        <v>1.8498695159781382</v>
      </c>
      <c r="AH161" s="95">
        <f t="shared" si="238"/>
        <v>1.6890112971974309</v>
      </c>
      <c r="AI161" s="95">
        <f t="shared" si="238"/>
        <v>1.5421407496150457</v>
      </c>
      <c r="AJ161" s="95">
        <f t="shared" si="238"/>
        <v>1.408041553996346</v>
      </c>
      <c r="AK161" s="95">
        <f t="shared" si="238"/>
        <v>1.285603157996664</v>
      </c>
      <c r="AL161" s="95">
        <f t="shared" si="238"/>
        <v>1.1738115790404327</v>
      </c>
      <c r="AM161" s="95">
        <f t="shared" si="238"/>
        <v>1.0717410069499602</v>
      </c>
      <c r="AN161" s="95">
        <f t="shared" si="238"/>
        <v>0.9785461367803987</v>
      </c>
      <c r="AO161" s="95">
        <f t="shared" si="238"/>
        <v>0.89345516836471206</v>
      </c>
      <c r="AP161" s="95">
        <f t="shared" si="238"/>
        <v>0.8157634145938677</v>
      </c>
    </row>
    <row r="162" spans="2:43" ht="15.75">
      <c r="B162" s="7" t="s">
        <v>183</v>
      </c>
      <c r="C162" s="32" t="s">
        <v>184</v>
      </c>
      <c r="D162" s="32"/>
      <c r="E162" s="32"/>
      <c r="F162" s="32"/>
      <c r="G162" s="760">
        <v>1.5849725745152832</v>
      </c>
      <c r="H162" s="760">
        <v>1.3881731939853754</v>
      </c>
      <c r="I162" s="760">
        <v>1.3048986674524441</v>
      </c>
      <c r="J162" s="760">
        <v>1.3564452764196604</v>
      </c>
      <c r="K162" s="760">
        <v>1.6441880514998812</v>
      </c>
      <c r="L162" s="760">
        <v>1.5002518113093921</v>
      </c>
      <c r="M162" s="760">
        <v>2.5669063319423988</v>
      </c>
      <c r="N162" s="760">
        <v>2.6339851842627668</v>
      </c>
      <c r="O162" s="760">
        <v>2.5749312477488226</v>
      </c>
      <c r="P162" s="760">
        <v>1.6905010453381362</v>
      </c>
      <c r="Q162" s="760">
        <v>2.167150230503005</v>
      </c>
      <c r="R162" s="987">
        <v>2393661.0840986855</v>
      </c>
      <c r="S162" s="987">
        <v>2022.3233555728514</v>
      </c>
      <c r="T162" s="987">
        <v>1845.6543456543457</v>
      </c>
      <c r="U162" s="987">
        <v>1863.1662688941924</v>
      </c>
      <c r="V162" s="94">
        <f>Trade!V24</f>
        <v>1651.6424751718869</v>
      </c>
      <c r="W162" s="94">
        <f>Trade!W24</f>
        <v>1599.8457979953739</v>
      </c>
      <c r="X162" s="94">
        <f>Trade!X24</f>
        <v>1979.2899408284022</v>
      </c>
      <c r="Y162" s="94">
        <f>Trade!Y24</f>
        <v>2102.3206751054854</v>
      </c>
      <c r="Z162" s="94">
        <f>Trade!Z24</f>
        <v>1789.2561983471073</v>
      </c>
      <c r="AA162" s="94">
        <f>Trade!AA24</f>
        <v>1565.5172413793102</v>
      </c>
      <c r="AB162" s="94">
        <f>Trade!AB24</f>
        <v>2429.8561151079134</v>
      </c>
      <c r="AC162" s="94">
        <f>Trade!AC24</f>
        <v>2476.1061946902655</v>
      </c>
      <c r="AD162" s="94">
        <f>Trade!AD24</f>
        <v>2238.5786802030461</v>
      </c>
      <c r="AE162" s="94">
        <f>Trade!AE24</f>
        <v>2412.6149802890932</v>
      </c>
      <c r="AF162" s="94">
        <f>Trade!AF24</f>
        <v>2594.2571785268419</v>
      </c>
      <c r="AG162" s="96">
        <f>Trade!AG24</f>
        <v>2731.8620834721032</v>
      </c>
      <c r="AH162" s="94">
        <f>Trade!AH24</f>
        <v>2782.45212205492</v>
      </c>
      <c r="AI162" s="94">
        <f>Trade!AI24</f>
        <v>2833.0421606377367</v>
      </c>
      <c r="AJ162" s="94">
        <f>Trade!AJ24</f>
        <v>2883.6321992205535</v>
      </c>
      <c r="AK162" s="94">
        <f>Trade!AK24</f>
        <v>2934.2222378033703</v>
      </c>
      <c r="AL162" s="94">
        <f>Trade!AL24</f>
        <v>2934.2222378033703</v>
      </c>
      <c r="AM162" s="94">
        <f>Trade!AM24</f>
        <v>2934.2222378033703</v>
      </c>
      <c r="AN162" s="94">
        <f>Trade!AN24</f>
        <v>2934.2222378033703</v>
      </c>
      <c r="AO162" s="94">
        <f>Trade!AO24</f>
        <v>2934.2222378033703</v>
      </c>
      <c r="AP162" s="94">
        <f>Trade!AP24</f>
        <v>2934.2222378033703</v>
      </c>
    </row>
    <row r="163" spans="2:43" ht="15.75">
      <c r="B163" s="7" t="s">
        <v>185</v>
      </c>
      <c r="C163" s="32" t="s">
        <v>186</v>
      </c>
      <c r="D163" s="32"/>
      <c r="E163" s="32"/>
      <c r="F163" s="32"/>
      <c r="G163" s="760">
        <v>0.36364403957802094</v>
      </c>
      <c r="H163" s="760">
        <v>0.34450156033819712</v>
      </c>
      <c r="I163" s="760">
        <v>0.2960044272016823</v>
      </c>
      <c r="J163" s="760">
        <v>0.34564029157015402</v>
      </c>
      <c r="K163" s="760">
        <v>0.46345768003295085</v>
      </c>
      <c r="L163" s="760">
        <v>0.45302000398151471</v>
      </c>
      <c r="M163" s="760">
        <v>0.4604331932477419</v>
      </c>
      <c r="N163" s="760">
        <v>0.44999732929058428</v>
      </c>
      <c r="O163" s="760">
        <v>0.46223942557794534</v>
      </c>
      <c r="P163" s="760">
        <v>0.45079662197593084</v>
      </c>
      <c r="Q163" s="760">
        <v>0.45000049419881188</v>
      </c>
      <c r="R163" s="299">
        <v>498.7738162610828</v>
      </c>
      <c r="S163" s="299">
        <v>525.27157894736831</v>
      </c>
      <c r="T163" s="299">
        <v>520.35971223021591</v>
      </c>
      <c r="U163" s="299">
        <v>519.90445859872614</v>
      </c>
      <c r="V163" s="95">
        <f>Trade!V75</f>
        <v>520.4200700116686</v>
      </c>
      <c r="W163" s="95">
        <f>Trade!W75</f>
        <v>517.59755164498858</v>
      </c>
      <c r="X163" s="95">
        <f>Trade!X75</f>
        <v>519.98050682261203</v>
      </c>
      <c r="Y163" s="95">
        <f>Trade!Y75</f>
        <v>533.50031308703819</v>
      </c>
      <c r="Z163" s="95">
        <f>Trade!Z75</f>
        <v>535.22554485554986</v>
      </c>
      <c r="AA163" s="95">
        <f>Trade!AA75</f>
        <v>519.85981308411215</v>
      </c>
      <c r="AB163" s="95">
        <f>Trade!AB75</f>
        <v>520.03816793893134</v>
      </c>
      <c r="AC163" s="95">
        <f>Trade!AC75</f>
        <v>637.94983642311888</v>
      </c>
      <c r="AD163" s="95">
        <f>Trade!AD75</f>
        <v>624.69536961819665</v>
      </c>
      <c r="AE163" s="95">
        <f>Trade!AE75</f>
        <v>564.1025641025642</v>
      </c>
      <c r="AF163" s="95">
        <f>Trade!AF75</f>
        <v>569.59195081050871</v>
      </c>
      <c r="AG163" s="118">
        <f>Trade!AG75</f>
        <v>569.59195081050871</v>
      </c>
      <c r="AH163" s="95">
        <f>Trade!AH75</f>
        <v>569.59195081050871</v>
      </c>
      <c r="AI163" s="95">
        <f>Trade!AI75</f>
        <v>569.59195081050871</v>
      </c>
      <c r="AJ163" s="95">
        <f>Trade!AJ75</f>
        <v>569.59195081050871</v>
      </c>
      <c r="AK163" s="95">
        <f>Trade!AK75</f>
        <v>569.59195081050871</v>
      </c>
      <c r="AL163" s="95">
        <f>Trade!AL75</f>
        <v>569.59195081050871</v>
      </c>
      <c r="AM163" s="95">
        <f>Trade!AM75</f>
        <v>569.59195081050871</v>
      </c>
      <c r="AN163" s="95">
        <f>Trade!AN75</f>
        <v>569.59195081050871</v>
      </c>
      <c r="AO163" s="95">
        <f>Trade!AO75</f>
        <v>569.59195081050871</v>
      </c>
      <c r="AP163" s="95">
        <f>Trade!AP75</f>
        <v>569.59195081050871</v>
      </c>
    </row>
    <row r="164" spans="2:43">
      <c r="B164" s="7"/>
      <c r="C164" s="32" t="s">
        <v>187</v>
      </c>
      <c r="D164" s="32"/>
      <c r="E164" s="32"/>
      <c r="F164" s="32"/>
      <c r="G164" s="760"/>
      <c r="H164" s="760"/>
      <c r="I164" s="760"/>
      <c r="J164" s="760"/>
      <c r="K164" s="760"/>
      <c r="L164" s="760"/>
      <c r="M164" s="760"/>
      <c r="N164" s="760"/>
      <c r="O164" s="760"/>
      <c r="P164" s="760"/>
      <c r="Q164" s="760">
        <v>2.013545347467609</v>
      </c>
      <c r="R164" s="992">
        <v>1.3816387733384927</v>
      </c>
      <c r="S164" s="992">
        <v>1.1672999067616806E-3</v>
      </c>
      <c r="T164" s="992">
        <v>1.065325255558024E-3</v>
      </c>
      <c r="U164" s="992">
        <v>1.0754332663807048E-3</v>
      </c>
      <c r="V164" s="95">
        <v>0.95298714855857081</v>
      </c>
      <c r="W164" s="95">
        <f>V164*W162/V162</f>
        <v>0.92310079698474323</v>
      </c>
      <c r="X164" s="95">
        <f t="shared" ref="X164:AN164" si="239">W164*X162/W162</f>
        <v>1.1420376414601594</v>
      </c>
      <c r="Y164" s="95">
        <f t="shared" si="239"/>
        <v>1.2130255885529968</v>
      </c>
      <c r="Z164" s="95">
        <f t="shared" si="239"/>
        <v>1.0323893870107115</v>
      </c>
      <c r="AA164" s="95">
        <f t="shared" si="239"/>
        <v>0.90329343929356409</v>
      </c>
      <c r="AB164" s="95">
        <f t="shared" si="239"/>
        <v>1.4020114433684019</v>
      </c>
      <c r="AC164" s="95">
        <f t="shared" si="239"/>
        <v>1.4286974435920312</v>
      </c>
      <c r="AD164" s="95">
        <f t="shared" si="239"/>
        <v>1.2916455863419793</v>
      </c>
      <c r="AE164" s="95">
        <f t="shared" si="239"/>
        <v>1.3920634188074621</v>
      </c>
      <c r="AF164" s="95">
        <f t="shared" si="239"/>
        <v>1.4968698058789063</v>
      </c>
      <c r="AG164" s="95">
        <f>AF164*AG162/AF162</f>
        <v>1.5762669562687388</v>
      </c>
      <c r="AH164" s="95">
        <f t="shared" si="239"/>
        <v>1.6054570850885301</v>
      </c>
      <c r="AI164" s="95">
        <f t="shared" si="239"/>
        <v>1.6346472139083217</v>
      </c>
      <c r="AJ164" s="95">
        <f t="shared" si="239"/>
        <v>1.6638373427281132</v>
      </c>
      <c r="AK164" s="95">
        <f t="shared" si="239"/>
        <v>1.6930274715479048</v>
      </c>
      <c r="AL164" s="95">
        <f t="shared" si="239"/>
        <v>1.6930274715479048</v>
      </c>
      <c r="AM164" s="95">
        <f t="shared" si="239"/>
        <v>1.6930274715479048</v>
      </c>
      <c r="AN164" s="95">
        <f t="shared" si="239"/>
        <v>1.6930274715479048</v>
      </c>
      <c r="AO164" s="95">
        <f t="shared" ref="AO164" si="240">AN164*AO162/AN162</f>
        <v>1.6930274715479048</v>
      </c>
      <c r="AP164" s="95">
        <f t="shared" ref="AP164" si="241">AO164*AP162/AO162</f>
        <v>1.6930274715479048</v>
      </c>
    </row>
    <row r="165" spans="2:43">
      <c r="B165" s="29"/>
      <c r="C165" s="32" t="s">
        <v>188</v>
      </c>
      <c r="D165" s="32"/>
      <c r="E165" s="32"/>
      <c r="F165" s="32"/>
      <c r="G165" s="803"/>
      <c r="H165" s="803"/>
      <c r="I165" s="803"/>
      <c r="J165" s="803"/>
      <c r="K165" s="803"/>
      <c r="L165" s="803"/>
      <c r="M165" s="803"/>
      <c r="N165" s="803"/>
      <c r="O165" s="803"/>
      <c r="P165" s="803"/>
      <c r="Q165" s="760">
        <v>0.54904867803311097</v>
      </c>
      <c r="R165" s="760">
        <v>0.58322909451670235</v>
      </c>
      <c r="S165" s="760">
        <v>0.6751057623557386</v>
      </c>
      <c r="T165" s="760">
        <v>0.96318780422419881</v>
      </c>
      <c r="U165" s="760">
        <v>1.8787234818222283</v>
      </c>
      <c r="V165" s="95">
        <f>V159/V154</f>
        <v>1.9235386679116195</v>
      </c>
      <c r="W165" s="95">
        <f t="shared" ref="W165:AJ165" si="242">W159/W154</f>
        <v>2.344549660668767</v>
      </c>
      <c r="X165" s="95">
        <f t="shared" si="242"/>
        <v>3.3314185953833788</v>
      </c>
      <c r="Y165" s="95">
        <f t="shared" si="242"/>
        <v>3.5372273689420974</v>
      </c>
      <c r="Z165" s="95">
        <f t="shared" si="242"/>
        <v>3.0104855409487499</v>
      </c>
      <c r="AA165" s="95">
        <f t="shared" si="242"/>
        <v>2.6340369946082447</v>
      </c>
      <c r="AB165" s="95">
        <f t="shared" si="242"/>
        <v>4.0883170939275351</v>
      </c>
      <c r="AC165" s="95">
        <f t="shared" si="242"/>
        <v>4.166134455118752</v>
      </c>
      <c r="AD165" s="95">
        <f t="shared" si="242"/>
        <v>3.5063384887337881</v>
      </c>
      <c r="AE165" s="95">
        <f t="shared" si="242"/>
        <v>3.4581560707482866</v>
      </c>
      <c r="AF165" s="95">
        <f>AF159/AF154</f>
        <v>3.6521091433806094</v>
      </c>
      <c r="AG165" s="95">
        <f>AG159/AG154</f>
        <v>3.6521091433806094</v>
      </c>
      <c r="AH165" s="95">
        <f t="shared" si="242"/>
        <v>3.6521091433806094</v>
      </c>
      <c r="AI165" s="95">
        <f t="shared" si="242"/>
        <v>3.6521091433806094</v>
      </c>
      <c r="AJ165" s="95">
        <f t="shared" si="242"/>
        <v>3.6521091433806094</v>
      </c>
      <c r="AK165" s="95">
        <f>AK159/AK154</f>
        <v>3.6521091433806094</v>
      </c>
      <c r="AL165" s="95">
        <f t="shared" ref="AL165:AP165" si="243">AL159/AL154</f>
        <v>3.6521091433806094</v>
      </c>
      <c r="AM165" s="95">
        <f t="shared" si="243"/>
        <v>3.6521091433806094</v>
      </c>
      <c r="AN165" s="95">
        <f t="shared" si="243"/>
        <v>3.6521091433806094</v>
      </c>
      <c r="AO165" s="95">
        <f t="shared" si="243"/>
        <v>3.6521091433806094</v>
      </c>
      <c r="AP165" s="95">
        <f t="shared" si="243"/>
        <v>3.6521091433806094</v>
      </c>
    </row>
    <row r="166" spans="2:43">
      <c r="B166" s="29"/>
      <c r="C166" s="32"/>
      <c r="D166" s="32"/>
      <c r="E166" s="32"/>
      <c r="F166" s="32"/>
      <c r="G166" s="803"/>
      <c r="H166" s="803"/>
      <c r="I166" s="803"/>
      <c r="J166" s="803"/>
      <c r="K166" s="803"/>
      <c r="L166" s="803"/>
      <c r="M166" s="803"/>
      <c r="N166" s="803"/>
      <c r="O166" s="803"/>
      <c r="P166" s="803"/>
      <c r="Q166" s="760"/>
      <c r="R166" s="760"/>
      <c r="S166" s="760"/>
      <c r="T166" s="979"/>
      <c r="U166" s="979"/>
    </row>
    <row r="167" spans="2:43">
      <c r="B167" s="29"/>
      <c r="C167" s="305" t="s">
        <v>192</v>
      </c>
      <c r="D167" s="305"/>
      <c r="E167" s="305"/>
      <c r="F167" s="305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760"/>
      <c r="R167" s="760"/>
      <c r="S167" s="760"/>
      <c r="T167" s="979"/>
      <c r="U167" s="979"/>
      <c r="V167" s="85">
        <v>431.7</v>
      </c>
      <c r="W167" s="85">
        <v>448.4</v>
      </c>
      <c r="X167" s="85">
        <v>399.9</v>
      </c>
      <c r="Y167" s="85">
        <f>Y168*Y170*Assumptions!Y12/1000</f>
        <v>686.67839999999944</v>
      </c>
      <c r="Z167" s="85">
        <f>Z168*Z170*Assumptions!Z12/1000</f>
        <v>803.94816000000048</v>
      </c>
      <c r="AA167" s="85">
        <f>AA168*AA170*Assumptions!AA12/1000</f>
        <v>947.95200000000034</v>
      </c>
      <c r="AB167" s="85">
        <f>AB168*AB170*Assumptions!AB12/1000</f>
        <v>947.95200000000057</v>
      </c>
      <c r="AC167" s="85">
        <f>AC168*AC170*Assumptions!AC12/1000</f>
        <v>947.95199999999988</v>
      </c>
      <c r="AD167" s="85">
        <f>AD168*AD170*Assumptions!AD12/1000</f>
        <v>947.952</v>
      </c>
      <c r="AE167" s="85">
        <f>AE168*AE170*Assumptions!AE12/1000</f>
        <v>947.95199999999988</v>
      </c>
      <c r="AF167" s="85">
        <f>AF168*AF170*Assumptions!AF12/1000</f>
        <v>947.95199999999841</v>
      </c>
      <c r="AG167" s="85">
        <f>AG168*AG170*Assumptions!AG12/1000</f>
        <v>947.95199999999829</v>
      </c>
      <c r="AH167" s="85">
        <f>AH168*AH170*Assumptions!AH12/1000</f>
        <v>947.95199999999841</v>
      </c>
      <c r="AI167" s="85">
        <f>AI168*AI170*Assumptions!AI12/1000</f>
        <v>947.95199999999841</v>
      </c>
      <c r="AJ167" s="85">
        <f>AJ168*AJ170*Assumptions!AJ12/1000</f>
        <v>947.95199999999841</v>
      </c>
      <c r="AK167" s="85">
        <f>AK168*AK170*Assumptions!AK12/1000</f>
        <v>947.95199999999852</v>
      </c>
      <c r="AL167" s="85">
        <f>AL168*AL170*Assumptions!AL12/1000</f>
        <v>947.95199999999852</v>
      </c>
      <c r="AM167" s="85">
        <f>AM168*AM170*Assumptions!AM12/1000</f>
        <v>947.95199999999852</v>
      </c>
      <c r="AN167" s="85">
        <f>AN168*AN170*Assumptions!AN12/1000</f>
        <v>947.95199999999875</v>
      </c>
      <c r="AO167" s="85">
        <f>AO168*AO170*Assumptions!AO12/1000</f>
        <v>947.95199999999852</v>
      </c>
      <c r="AP167" s="85">
        <f>AP168*AP170*Assumptions!AP12/1000</f>
        <v>947.95199999999875</v>
      </c>
    </row>
    <row r="168" spans="2:43">
      <c r="B168" s="29"/>
      <c r="C168" s="37" t="s">
        <v>189</v>
      </c>
      <c r="D168" s="37"/>
      <c r="E168" s="37"/>
      <c r="F168" s="37"/>
      <c r="G168" s="803"/>
      <c r="H168" s="803"/>
      <c r="I168" s="803"/>
      <c r="J168" s="803"/>
      <c r="K168" s="803"/>
      <c r="L168" s="803"/>
      <c r="M168" s="803"/>
      <c r="N168" s="803"/>
      <c r="O168" s="803"/>
      <c r="P168" s="979">
        <v>357.78974358974364</v>
      </c>
      <c r="Q168" s="979">
        <v>348.84500000000003</v>
      </c>
      <c r="R168" s="979">
        <v>278.39999999999998</v>
      </c>
      <c r="S168" s="299">
        <v>272.5</v>
      </c>
      <c r="T168" s="299">
        <v>216.4</v>
      </c>
      <c r="U168" s="299">
        <v>125.7</v>
      </c>
      <c r="V168" s="94">
        <f>Assumptions!V42</f>
        <v>139.1</v>
      </c>
      <c r="W168" s="94">
        <f>Assumptions!W42</f>
        <v>129.30000000000001</v>
      </c>
      <c r="X168" s="94">
        <f>Assumptions!X42</f>
        <v>103.1</v>
      </c>
      <c r="Y168" s="94">
        <f>Assumptions!Y42</f>
        <v>95.8</v>
      </c>
      <c r="Z168" s="94">
        <f>Assumptions!Z42</f>
        <v>100.8</v>
      </c>
      <c r="AA168" s="94">
        <f>Assumptions!AA42</f>
        <v>84</v>
      </c>
      <c r="AB168" s="94">
        <f>Assumptions!AB42</f>
        <v>60.5</v>
      </c>
      <c r="AC168" s="94">
        <f>Assumptions!AC42</f>
        <v>62</v>
      </c>
      <c r="AD168" s="94">
        <f>Assumptions!AD42</f>
        <v>66.599999999999994</v>
      </c>
      <c r="AE168" s="94">
        <f>Assumptions!AE42</f>
        <v>82.2</v>
      </c>
      <c r="AF168" s="94">
        <f>Assumptions!AF42</f>
        <v>88.3</v>
      </c>
      <c r="AG168" s="94">
        <f>Assumptions!AG42</f>
        <v>101.54499999999999</v>
      </c>
      <c r="AH168" s="94">
        <f>Assumptions!AH42</f>
        <v>116.77674999999998</v>
      </c>
      <c r="AI168" s="94">
        <f>Assumptions!AI42</f>
        <v>134.29326249999997</v>
      </c>
      <c r="AJ168" s="94">
        <f>Assumptions!AJ42</f>
        <v>154.43725187499996</v>
      </c>
      <c r="AK168" s="94">
        <f>Assumptions!AK42</f>
        <v>177.60283965624993</v>
      </c>
      <c r="AL168" s="94">
        <f>Assumptions!AL42</f>
        <v>204.24326560468739</v>
      </c>
      <c r="AM168" s="94">
        <f>Assumptions!AM42</f>
        <v>234.87975544539049</v>
      </c>
      <c r="AN168" s="94">
        <f>Assumptions!AN42</f>
        <v>270.11171876219902</v>
      </c>
      <c r="AO168" s="94">
        <f>Assumptions!AO42</f>
        <v>310.62847657652884</v>
      </c>
      <c r="AP168" s="94">
        <f>Assumptions!AP42</f>
        <v>357.22274806300811</v>
      </c>
    </row>
    <row r="169" spans="2:43">
      <c r="B169" s="29"/>
      <c r="C169" s="37" t="s">
        <v>190</v>
      </c>
      <c r="D169" s="37"/>
      <c r="E169" s="37"/>
      <c r="F169" s="37"/>
      <c r="G169" s="803"/>
      <c r="H169" s="803"/>
      <c r="I169" s="803"/>
      <c r="J169" s="803"/>
      <c r="K169" s="803"/>
      <c r="L169" s="803"/>
      <c r="M169" s="803"/>
      <c r="N169" s="803"/>
      <c r="O169" s="803"/>
      <c r="P169" s="803"/>
      <c r="Q169" s="760"/>
      <c r="R169" s="760"/>
      <c r="S169" s="760"/>
      <c r="T169" s="303">
        <v>2396.9500924214422</v>
      </c>
      <c r="U169" s="303">
        <v>2187.7486077963404</v>
      </c>
      <c r="V169" s="303">
        <f>V171/V168*1000</f>
        <v>3103.5226455787206</v>
      </c>
      <c r="W169" s="303">
        <f t="shared" ref="W169:AH169" si="244">W171/W168*1000</f>
        <v>3467.9040989945856</v>
      </c>
      <c r="X169" s="303">
        <f t="shared" si="244"/>
        <v>3878.7584869059165</v>
      </c>
      <c r="Y169" s="303">
        <f>Y171/Y168*1000</f>
        <v>7167.832985386216</v>
      </c>
      <c r="Z169" s="303">
        <f t="shared" si="244"/>
        <v>7975.6761904761961</v>
      </c>
      <c r="AA169" s="303">
        <f t="shared" si="244"/>
        <v>11285.142857142862</v>
      </c>
      <c r="AB169" s="303">
        <f t="shared" si="244"/>
        <v>15668.628099173564</v>
      </c>
      <c r="AC169" s="303">
        <f t="shared" si="244"/>
        <v>15289.548387096773</v>
      </c>
      <c r="AD169" s="303">
        <f t="shared" si="244"/>
        <v>14233.513513513515</v>
      </c>
      <c r="AE169" s="303">
        <f t="shared" si="244"/>
        <v>11532.262773722627</v>
      </c>
      <c r="AF169" s="303">
        <f t="shared" si="244"/>
        <v>10735.583238958081</v>
      </c>
      <c r="AG169" s="303">
        <f t="shared" si="244"/>
        <v>9335.2897730070254</v>
      </c>
      <c r="AH169" s="303">
        <f t="shared" si="244"/>
        <v>8117.6432808756754</v>
      </c>
      <c r="AI169" s="303">
        <f t="shared" ref="AI169:AP169" si="245">AI171/AI168*1000</f>
        <v>7058.8202442397178</v>
      </c>
      <c r="AJ169" s="303">
        <f t="shared" si="245"/>
        <v>6138.1045602084514</v>
      </c>
      <c r="AK169" s="303">
        <f t="shared" si="245"/>
        <v>5337.4822262682201</v>
      </c>
      <c r="AL169" s="303">
        <f t="shared" si="245"/>
        <v>4641.2888924071485</v>
      </c>
      <c r="AM169" s="303">
        <f t="shared" si="245"/>
        <v>4035.9033847018682</v>
      </c>
      <c r="AN169" s="303">
        <f t="shared" si="245"/>
        <v>3509.4812040885822</v>
      </c>
      <c r="AO169" s="303">
        <f t="shared" si="245"/>
        <v>3051.7227861639844</v>
      </c>
      <c r="AP169" s="303">
        <f t="shared" si="245"/>
        <v>2653.6719879686825</v>
      </c>
    </row>
    <row r="170" spans="2:43">
      <c r="B170" s="29"/>
      <c r="C170" s="37" t="s">
        <v>191</v>
      </c>
      <c r="D170" s="37"/>
      <c r="E170" s="37"/>
      <c r="F170" s="37"/>
      <c r="G170" s="803"/>
      <c r="H170" s="803"/>
      <c r="I170" s="803"/>
      <c r="J170" s="803"/>
      <c r="K170" s="803"/>
      <c r="L170" s="803"/>
      <c r="M170" s="803"/>
      <c r="N170" s="803"/>
      <c r="O170" s="803"/>
      <c r="P170" s="803"/>
      <c r="Q170" s="760"/>
      <c r="R170" s="760"/>
      <c r="S170" s="760"/>
      <c r="T170" s="391">
        <v>503.11701700630584</v>
      </c>
      <c r="U170" s="391">
        <v>443.32177101792144</v>
      </c>
      <c r="V170" s="95">
        <f>V169/Assumptions!V12</f>
        <v>503.4508306559689</v>
      </c>
      <c r="W170" s="95">
        <f>W169/Assumptions!W12</f>
        <v>442.58309497608167</v>
      </c>
      <c r="X170" s="95">
        <f>X169/Assumptions!X12</f>
        <v>453.6718816924473</v>
      </c>
      <c r="Y170" s="95">
        <f>Y169/Assumptions!Y12</f>
        <v>783.26700163762314</v>
      </c>
      <c r="Z170" s="95">
        <f>Z169/Assumptions!Z12</f>
        <v>836.89323202025128</v>
      </c>
      <c r="AA170" s="95">
        <f>AA169/Assumptions!AA12</f>
        <v>1093.3203050933319</v>
      </c>
      <c r="AB170" s="95">
        <f>AB169/Assumptions!AB12</f>
        <v>1385.513011802524</v>
      </c>
      <c r="AC170" s="95">
        <f>AC169/Assumptions!AC12</f>
        <v>1386.7064872477981</v>
      </c>
      <c r="AD170" s="95">
        <f>AD169/Assumptions!AD12</f>
        <v>1312.5098910520094</v>
      </c>
      <c r="AE170" s="95">
        <f>AE169/Assumptions!AE12</f>
        <v>1067.9405454153896</v>
      </c>
      <c r="AF170" s="95">
        <f>AF169/Assumptions!AF12</f>
        <v>1069.1853557906243</v>
      </c>
      <c r="AG170" s="95">
        <f>AG169/Assumptions!AG12</f>
        <v>1017.2842256214095</v>
      </c>
      <c r="AH170" s="95">
        <f>AH169/Assumptions!AH12</f>
        <v>862.29260525314953</v>
      </c>
      <c r="AI170" s="95">
        <f>AI169/Assumptions!AI12</f>
        <v>728.31019109675822</v>
      </c>
      <c r="AJ170" s="95">
        <f>AJ169/Assumptions!AJ12</f>
        <v>621.09785931396175</v>
      </c>
      <c r="AK170" s="95">
        <f>AK169/Assumptions!AK12</f>
        <v>532.99084263943132</v>
      </c>
      <c r="AL170" s="95">
        <f>AL169/Assumptions!AL12</f>
        <v>450.68233120682788</v>
      </c>
      <c r="AM170" s="95">
        <f>AM169/Assumptions!AM12</f>
        <v>385.73025614993264</v>
      </c>
      <c r="AN170" s="95">
        <f>AN169/Assumptions!AN12</f>
        <v>339.39872132102505</v>
      </c>
      <c r="AO170" s="95">
        <f>AO169/Assumptions!AO12</f>
        <v>295.12932288784788</v>
      </c>
      <c r="AP170" s="95">
        <f>AP169/Assumptions!AP12</f>
        <v>256.63419381551995</v>
      </c>
    </row>
    <row r="171" spans="2:43">
      <c r="B171" s="29"/>
      <c r="C171" s="37" t="s">
        <v>192</v>
      </c>
      <c r="D171" s="37"/>
      <c r="E171" s="37"/>
      <c r="F171" s="37"/>
      <c r="G171" s="803"/>
      <c r="H171" s="803"/>
      <c r="I171" s="803"/>
      <c r="J171" s="803"/>
      <c r="K171" s="803"/>
      <c r="L171" s="803"/>
      <c r="M171" s="803"/>
      <c r="N171" s="803"/>
      <c r="O171" s="803"/>
      <c r="P171" s="803"/>
      <c r="Q171" s="760"/>
      <c r="R171" s="760"/>
      <c r="S171" s="760"/>
      <c r="T171" s="299">
        <v>518.70000000000005</v>
      </c>
      <c r="U171" s="299">
        <v>275</v>
      </c>
      <c r="V171" s="299">
        <v>431.7</v>
      </c>
      <c r="W171" s="299">
        <v>448.4</v>
      </c>
      <c r="X171" s="299">
        <v>399.9</v>
      </c>
      <c r="Y171" s="85">
        <v>686.67839999999944</v>
      </c>
      <c r="Z171" s="85">
        <v>803.94816000000048</v>
      </c>
      <c r="AA171" s="85">
        <v>947.95200000000034</v>
      </c>
      <c r="AB171" s="85">
        <v>947.95200000000057</v>
      </c>
      <c r="AC171" s="85">
        <v>947.95199999999988</v>
      </c>
      <c r="AD171" s="85">
        <v>947.952</v>
      </c>
      <c r="AE171" s="85">
        <v>947.952</v>
      </c>
      <c r="AF171" s="85">
        <v>947.95199999999841</v>
      </c>
      <c r="AG171" s="85">
        <v>947.95199999999829</v>
      </c>
      <c r="AH171" s="85">
        <v>947.95199999999841</v>
      </c>
      <c r="AI171" s="85">
        <v>947.95199999999841</v>
      </c>
      <c r="AJ171" s="85">
        <v>947.95199999999841</v>
      </c>
      <c r="AK171" s="85">
        <v>947.95199999999852</v>
      </c>
      <c r="AL171" s="85">
        <v>947.95199999999852</v>
      </c>
      <c r="AM171" s="85">
        <v>947.95199999999852</v>
      </c>
      <c r="AN171" s="85">
        <v>947.95199999999863</v>
      </c>
      <c r="AO171" s="85">
        <v>947.95199999999852</v>
      </c>
      <c r="AP171" s="85">
        <v>947.95199999999863</v>
      </c>
    </row>
    <row r="172" spans="2:43">
      <c r="B172" s="29"/>
      <c r="C172" s="37" t="s">
        <v>193</v>
      </c>
      <c r="D172" s="37"/>
      <c r="E172" s="37"/>
      <c r="F172" s="37"/>
      <c r="G172" s="803"/>
      <c r="H172" s="803"/>
      <c r="I172" s="803"/>
      <c r="J172" s="803"/>
      <c r="K172" s="803"/>
      <c r="L172" s="803"/>
      <c r="M172" s="803"/>
      <c r="N172" s="803"/>
      <c r="O172" s="803"/>
      <c r="P172" s="803"/>
      <c r="Q172" s="760"/>
      <c r="R172" s="760"/>
      <c r="S172" s="760"/>
      <c r="T172" s="391">
        <v>108.87452248016459</v>
      </c>
      <c r="U172" s="391">
        <v>55.725546616952727</v>
      </c>
      <c r="V172">
        <v>70.030010544245272</v>
      </c>
      <c r="W172" s="391">
        <f t="shared" ref="W172" si="246">W168*W170/1000</f>
        <v>57.225994180407369</v>
      </c>
      <c r="X172" s="391">
        <f t="shared" ref="X172:AP172" si="247">X168*X170/1000</f>
        <v>46.773571002491316</v>
      </c>
      <c r="Y172" s="391">
        <f t="shared" si="247"/>
        <v>75.036978756884281</v>
      </c>
      <c r="Z172" s="391">
        <f t="shared" si="247"/>
        <v>84.358837787641335</v>
      </c>
      <c r="AA172" s="391">
        <f t="shared" si="247"/>
        <v>91.838905627839878</v>
      </c>
      <c r="AB172" s="391">
        <f t="shared" si="247"/>
        <v>83.823537214052706</v>
      </c>
      <c r="AC172" s="391">
        <f t="shared" si="247"/>
        <v>85.975802209363479</v>
      </c>
      <c r="AD172" s="391">
        <f t="shared" si="247"/>
        <v>87.413158744063807</v>
      </c>
      <c r="AE172" s="391">
        <f t="shared" si="247"/>
        <v>87.784712833145022</v>
      </c>
      <c r="AF172" s="391">
        <f t="shared" si="247"/>
        <v>94.409066916312113</v>
      </c>
      <c r="AG172" s="391">
        <f t="shared" si="247"/>
        <v>103.30012669072602</v>
      </c>
      <c r="AH172" s="391">
        <f t="shared" si="247"/>
        <v>100.69572799049571</v>
      </c>
      <c r="AI172" s="391">
        <f t="shared" si="247"/>
        <v>97.807151674382098</v>
      </c>
      <c r="AJ172" s="391">
        <f t="shared" si="247"/>
        <v>95.920646537893603</v>
      </c>
      <c r="AK172" s="391">
        <f t="shared" si="247"/>
        <v>94.660687163540459</v>
      </c>
      <c r="AL172" s="391">
        <f t="shared" si="247"/>
        <v>92.04883107601583</v>
      </c>
      <c r="AM172" s="391">
        <f t="shared" si="247"/>
        <v>90.600228232383998</v>
      </c>
      <c r="AN172" s="391">
        <f t="shared" si="247"/>
        <v>91.675571961714681</v>
      </c>
      <c r="AO172" s="391">
        <f t="shared" si="247"/>
        <v>91.675571961714667</v>
      </c>
      <c r="AP172" s="391">
        <f t="shared" si="247"/>
        <v>91.675571961714681</v>
      </c>
      <c r="AQ172" s="391"/>
    </row>
    <row r="173" spans="2:43">
      <c r="B173" s="29"/>
      <c r="C173" s="302"/>
      <c r="D173" s="302"/>
      <c r="E173" s="302"/>
      <c r="F173" s="302"/>
      <c r="G173" s="803"/>
      <c r="H173" s="803"/>
      <c r="I173" s="803"/>
      <c r="J173" s="803"/>
      <c r="K173" s="803"/>
      <c r="L173" s="803"/>
      <c r="M173" s="803"/>
      <c r="N173" s="803"/>
      <c r="O173" s="803"/>
      <c r="P173" s="803"/>
      <c r="Q173" s="760"/>
      <c r="R173" s="760"/>
      <c r="S173" s="760"/>
      <c r="T173" s="979"/>
      <c r="U173" s="979"/>
      <c r="V173" s="304">
        <v>1.2566949055810763</v>
      </c>
      <c r="W173" s="760">
        <f t="shared" ref="W173" si="248">W172/V172</f>
        <v>0.81716386640055882</v>
      </c>
      <c r="X173" s="760">
        <f t="shared" ref="X173" si="249">X172/W172</f>
        <v>0.81734833395878892</v>
      </c>
      <c r="Y173" s="760">
        <f t="shared" ref="Y173" si="250">Y172/X172</f>
        <v>1.6042602082463955</v>
      </c>
      <c r="Z173" s="760">
        <f t="shared" ref="Z173" si="251">Z172/Y172</f>
        <v>1.124230202030913</v>
      </c>
      <c r="AA173" s="760">
        <f t="shared" ref="AA173" si="252">AA172/Z172</f>
        <v>1.0886696407438461</v>
      </c>
      <c r="AB173" s="760">
        <f t="shared" ref="AB173" si="253">AB172/AA172</f>
        <v>0.91272360707053757</v>
      </c>
      <c r="AC173" s="760">
        <f t="shared" ref="AC173" si="254">AC172/AB172</f>
        <v>1.0256761414137741</v>
      </c>
      <c r="AD173" s="760">
        <f t="shared" ref="AD173" si="255">AD172/AC172</f>
        <v>1.0167181520586475</v>
      </c>
      <c r="AE173" s="760">
        <f t="shared" ref="AE173" si="256">AE172/AD172</f>
        <v>1.0042505509973514</v>
      </c>
      <c r="AF173" s="760">
        <f t="shared" ref="AF173" si="257">AF172/AE172</f>
        <v>1.075461363025225</v>
      </c>
      <c r="AG173" s="760">
        <f t="shared" ref="AG173" si="258">AG172/AF172</f>
        <v>1.0941759098444992</v>
      </c>
      <c r="AH173" s="760">
        <f t="shared" ref="AH173" si="259">AH172/AG172</f>
        <v>0.97478803963108673</v>
      </c>
      <c r="AI173" s="760">
        <f t="shared" ref="AI173:AP173" si="260">AI172/AH172</f>
        <v>0.97131381465968192</v>
      </c>
      <c r="AJ173" s="760">
        <f t="shared" si="260"/>
        <v>0.98071199187183145</v>
      </c>
      <c r="AK173" s="760">
        <f t="shared" si="260"/>
        <v>0.98686456545249213</v>
      </c>
      <c r="AL173" s="760">
        <f t="shared" si="260"/>
        <v>0.97240822810622263</v>
      </c>
      <c r="AM173" s="760">
        <f t="shared" si="260"/>
        <v>0.984262669860136</v>
      </c>
      <c r="AN173" s="760">
        <f t="shared" si="260"/>
        <v>1.0118691061856102</v>
      </c>
      <c r="AO173" s="760">
        <f t="shared" si="260"/>
        <v>0.99999999999999989</v>
      </c>
      <c r="AP173" s="760">
        <f t="shared" si="260"/>
        <v>1.0000000000000002</v>
      </c>
    </row>
    <row r="174" spans="2:43">
      <c r="B174" s="29"/>
      <c r="C174" s="37" t="s">
        <v>194</v>
      </c>
      <c r="D174" s="37"/>
      <c r="E174" s="37"/>
      <c r="F174" s="37"/>
      <c r="G174" s="803"/>
      <c r="H174" s="803"/>
      <c r="I174" s="803"/>
      <c r="J174" s="803"/>
      <c r="K174" s="803"/>
      <c r="L174" s="803"/>
      <c r="M174" s="803"/>
      <c r="N174" s="803"/>
      <c r="O174" s="803"/>
      <c r="P174" s="803"/>
      <c r="Q174" s="760"/>
      <c r="R174" s="760"/>
      <c r="S174" s="760"/>
      <c r="T174" s="979">
        <v>2680</v>
      </c>
      <c r="U174" s="979">
        <v>3400</v>
      </c>
    </row>
    <row r="175" spans="2:43">
      <c r="B175" s="29"/>
      <c r="C175" s="37" t="s">
        <v>195</v>
      </c>
      <c r="D175" s="37"/>
      <c r="E175" s="37"/>
      <c r="F175" s="37"/>
      <c r="G175" s="803"/>
      <c r="H175" s="803"/>
      <c r="I175" s="803"/>
      <c r="J175" s="803"/>
      <c r="K175" s="803"/>
      <c r="L175" s="803"/>
      <c r="M175" s="803"/>
      <c r="N175" s="803"/>
      <c r="O175" s="803"/>
      <c r="P175" s="803"/>
      <c r="Q175" s="760"/>
      <c r="R175" s="760"/>
      <c r="S175" s="760"/>
      <c r="T175" s="979">
        <v>1075</v>
      </c>
      <c r="U175" s="979">
        <v>1651</v>
      </c>
    </row>
    <row r="176" spans="2:43">
      <c r="B176" s="29"/>
      <c r="C176" s="37" t="s">
        <v>196</v>
      </c>
      <c r="D176" s="37"/>
      <c r="E176" s="37"/>
      <c r="F176" s="37"/>
      <c r="G176" s="803"/>
      <c r="H176" s="803"/>
      <c r="I176" s="803"/>
      <c r="J176" s="803"/>
      <c r="K176" s="803"/>
      <c r="L176" s="803"/>
      <c r="M176" s="803"/>
      <c r="N176" s="803"/>
      <c r="O176" s="803"/>
      <c r="P176" s="803"/>
      <c r="Q176" s="760"/>
      <c r="R176" s="760"/>
      <c r="S176" s="760"/>
      <c r="T176" s="979"/>
      <c r="U176" s="979">
        <v>1674.8</v>
      </c>
    </row>
    <row r="177" spans="2:42">
      <c r="B177" s="29"/>
      <c r="C177" s="32"/>
      <c r="D177" s="32"/>
      <c r="E177" s="32"/>
      <c r="F177" s="32"/>
      <c r="G177" s="803"/>
      <c r="H177" s="803"/>
      <c r="I177" s="803"/>
      <c r="J177" s="803"/>
      <c r="K177" s="803"/>
      <c r="L177" s="803"/>
      <c r="M177" s="803"/>
      <c r="N177" s="803"/>
      <c r="O177" s="803"/>
      <c r="P177" s="803"/>
      <c r="Q177" s="760"/>
      <c r="R177" s="760"/>
      <c r="S177" s="760"/>
      <c r="T177" s="979"/>
      <c r="U177" s="979"/>
    </row>
    <row r="178" spans="2:42">
      <c r="B178" s="29"/>
      <c r="C178" s="37" t="s">
        <v>197</v>
      </c>
      <c r="D178" s="37"/>
      <c r="E178" s="37"/>
      <c r="F178" s="37"/>
      <c r="G178" s="803"/>
      <c r="H178" s="803"/>
      <c r="I178" s="803"/>
      <c r="J178" s="803"/>
      <c r="K178" s="803"/>
      <c r="L178" s="803"/>
      <c r="M178" s="803"/>
      <c r="N178" s="803"/>
      <c r="O178" s="803"/>
      <c r="P178" s="803"/>
      <c r="Q178" s="760"/>
      <c r="R178" s="760"/>
      <c r="S178" s="760"/>
      <c r="T178" s="979"/>
      <c r="U178" s="979"/>
    </row>
    <row r="179" spans="2:42">
      <c r="B179" s="29"/>
      <c r="C179" s="37" t="s">
        <v>198</v>
      </c>
      <c r="D179" s="37"/>
      <c r="E179" s="37"/>
      <c r="F179" s="37"/>
      <c r="G179" s="803"/>
      <c r="H179" s="803"/>
      <c r="I179" s="803"/>
      <c r="J179" s="803"/>
      <c r="K179" s="803"/>
      <c r="L179" s="803"/>
      <c r="M179" s="803"/>
      <c r="N179" s="803"/>
      <c r="O179" s="803"/>
      <c r="P179" s="803"/>
      <c r="Q179" s="760"/>
      <c r="R179" s="760"/>
      <c r="S179" s="760"/>
      <c r="T179" s="979"/>
      <c r="U179" s="979"/>
    </row>
    <row r="180" spans="2:42">
      <c r="B180" s="25"/>
      <c r="C180" s="25" t="s">
        <v>199</v>
      </c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2:42"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</row>
    <row r="182" spans="2:42">
      <c r="B182" s="40" t="s">
        <v>200</v>
      </c>
      <c r="C182" s="41" t="s">
        <v>201</v>
      </c>
      <c r="D182" s="41"/>
      <c r="E182" s="41"/>
      <c r="F182" s="41"/>
      <c r="G182" s="999">
        <v>78795.7</v>
      </c>
      <c r="H182" s="999">
        <v>75382.8</v>
      </c>
      <c r="I182" s="999">
        <v>140744.9</v>
      </c>
      <c r="J182" s="999">
        <v>149262.70000000001</v>
      </c>
      <c r="K182" s="999">
        <v>133072.70000000001</v>
      </c>
      <c r="L182" s="999">
        <v>132874</v>
      </c>
      <c r="M182" s="999">
        <v>120404.7</v>
      </c>
      <c r="N182" s="999">
        <v>119965.3</v>
      </c>
      <c r="O182" s="999">
        <v>83591.8</v>
      </c>
      <c r="P182" s="999">
        <v>86648.2</v>
      </c>
      <c r="Q182" s="999">
        <v>94700</v>
      </c>
      <c r="R182" s="1010">
        <v>72357.3</v>
      </c>
      <c r="S182" s="1010">
        <v>143848.9</v>
      </c>
      <c r="T182" s="1010">
        <v>114500</v>
      </c>
      <c r="U182" s="1010">
        <v>86400</v>
      </c>
      <c r="V182">
        <v>107800</v>
      </c>
      <c r="W182">
        <v>87370</v>
      </c>
      <c r="X182">
        <v>75900</v>
      </c>
      <c r="Y182">
        <v>93000</v>
      </c>
      <c r="Z182">
        <v>94100</v>
      </c>
      <c r="AA182">
        <v>100100</v>
      </c>
      <c r="AB182">
        <v>100600</v>
      </c>
      <c r="AC182">
        <v>81000</v>
      </c>
      <c r="AD182">
        <v>109300</v>
      </c>
      <c r="AE182" s="175">
        <v>100523.8</v>
      </c>
      <c r="AF182" s="175">
        <v>93000</v>
      </c>
      <c r="AG182" s="97">
        <f t="shared" ref="AG182:AP182" si="261">AG195*(1-AG201/100)*1000</f>
        <v>94936.225999999995</v>
      </c>
      <c r="AH182" s="97">
        <f t="shared" si="261"/>
        <v>104310.50020159998</v>
      </c>
      <c r="AI182" s="97">
        <f t="shared" si="261"/>
        <v>83338.599634751983</v>
      </c>
      <c r="AJ182" s="97">
        <f t="shared" si="261"/>
        <v>105423.32853796126</v>
      </c>
      <c r="AK182" s="97">
        <f t="shared" si="261"/>
        <v>99575.847915055681</v>
      </c>
      <c r="AL182" s="97">
        <f t="shared" si="261"/>
        <v>100770.75809003635</v>
      </c>
      <c r="AM182" s="97">
        <f t="shared" si="261"/>
        <v>101980.00718711679</v>
      </c>
      <c r="AN182" s="97">
        <f t="shared" si="261"/>
        <v>103203.76727336219</v>
      </c>
      <c r="AO182" s="97">
        <f t="shared" si="261"/>
        <v>104442.21248064254</v>
      </c>
      <c r="AP182" s="97">
        <f t="shared" si="261"/>
        <v>120794.87889189745</v>
      </c>
    </row>
    <row r="183" spans="2:42">
      <c r="B183" s="39" t="s">
        <v>202</v>
      </c>
      <c r="C183" s="42" t="s">
        <v>203</v>
      </c>
      <c r="D183" s="42"/>
      <c r="E183" s="42"/>
      <c r="F183" s="42"/>
      <c r="G183" s="996"/>
      <c r="H183" s="996"/>
      <c r="I183" s="996"/>
      <c r="J183" s="996"/>
      <c r="K183" s="996"/>
      <c r="L183" s="996"/>
      <c r="M183" s="996"/>
      <c r="N183" s="996"/>
      <c r="O183" s="996"/>
      <c r="P183" s="996"/>
      <c r="Q183" s="1001">
        <v>2763</v>
      </c>
      <c r="R183" s="285">
        <v>3338.8</v>
      </c>
      <c r="S183" s="1012">
        <v>6801</v>
      </c>
      <c r="T183" s="1018">
        <v>6801</v>
      </c>
      <c r="U183" s="1018">
        <v>6801</v>
      </c>
      <c r="V183">
        <v>6801</v>
      </c>
      <c r="W183">
        <v>3636</v>
      </c>
      <c r="X183">
        <v>3817.8</v>
      </c>
      <c r="Y183">
        <v>3894.1559999999981</v>
      </c>
      <c r="Z183">
        <v>86849.4</v>
      </c>
      <c r="AA183">
        <v>18045</v>
      </c>
      <c r="AB183">
        <v>23585.973344510898</v>
      </c>
      <c r="AC183">
        <v>46929.904611943362</v>
      </c>
      <c r="AD183" s="131">
        <v>1046.0791334532719</v>
      </c>
      <c r="AE183" s="175">
        <v>15773.637000000001</v>
      </c>
      <c r="AF183" s="175">
        <v>11200</v>
      </c>
      <c r="AG183" s="91">
        <f>(AG195*1000-AG182-AG197*1000)*(AF183/(AF184+AF183))</f>
        <v>12268.681513846155</v>
      </c>
      <c r="AH183" s="91">
        <f t="shared" ref="AH183:AN183" si="262">(AH195*1000-AH182-AH197*1000)*(AG183/(AG184+AG183))</f>
        <v>3973.0898214439321</v>
      </c>
      <c r="AI183" s="91">
        <f t="shared" si="262"/>
        <v>6701.2781655021154</v>
      </c>
      <c r="AJ183" s="91">
        <f t="shared" si="262"/>
        <v>1513.770871314317</v>
      </c>
      <c r="AK183" s="91">
        <f>(AK195*1000-AK182-AK197*1000)*(AJ183/(AJ184+AJ183))</f>
        <v>5147.305369147487</v>
      </c>
      <c r="AL183" s="91">
        <f t="shared" si="262"/>
        <v>5209.0730335772487</v>
      </c>
      <c r="AM183" s="91">
        <f t="shared" si="262"/>
        <v>5271.5819099801902</v>
      </c>
      <c r="AN183" s="91">
        <f t="shared" si="262"/>
        <v>5334.8408928999625</v>
      </c>
      <c r="AO183" s="91">
        <f t="shared" ref="AO183" si="263">(AO195*1000-AO182-AO197*1000)*(AN183/(AN184+AN183))</f>
        <v>5398.8589836147594</v>
      </c>
      <c r="AP183" s="91">
        <f t="shared" ref="AP183" si="264">(AP195*1000-AP182-AP197*1000)*(AO183/(AO184+AO183))</f>
        <v>3642.430194278752</v>
      </c>
    </row>
    <row r="184" spans="2:42">
      <c r="B184" s="43" t="s">
        <v>204</v>
      </c>
      <c r="C184" s="42" t="s">
        <v>205</v>
      </c>
      <c r="D184" s="42"/>
      <c r="E184" s="42"/>
      <c r="F184" s="42"/>
      <c r="G184" s="996"/>
      <c r="H184" s="996"/>
      <c r="I184" s="996"/>
      <c r="J184" s="996"/>
      <c r="K184" s="996"/>
      <c r="L184" s="996"/>
      <c r="M184" s="996"/>
      <c r="N184" s="996"/>
      <c r="O184" s="996"/>
      <c r="P184" s="996"/>
      <c r="Q184" s="1001">
        <v>1958</v>
      </c>
      <c r="R184" s="285">
        <v>1982</v>
      </c>
      <c r="S184" s="285">
        <v>1455</v>
      </c>
      <c r="T184" s="1019">
        <v>1455</v>
      </c>
      <c r="U184" s="1019">
        <v>1455</v>
      </c>
      <c r="V184">
        <v>1455</v>
      </c>
      <c r="W184">
        <v>1484.1000000000001</v>
      </c>
      <c r="X184">
        <v>1513.7820000000002</v>
      </c>
      <c r="Y184">
        <v>1544.0576400000002</v>
      </c>
      <c r="Z184">
        <v>1574.9387928000003</v>
      </c>
      <c r="AA184">
        <v>9099.8029999999999</v>
      </c>
      <c r="AB184">
        <v>11894.026655489073</v>
      </c>
      <c r="AC184">
        <v>23665.995388056312</v>
      </c>
      <c r="AD184" s="131">
        <v>527.52086654671575</v>
      </c>
      <c r="AE184" s="175">
        <v>238.96</v>
      </c>
      <c r="AF184" s="85">
        <v>1800</v>
      </c>
      <c r="AG184" s="91">
        <f t="shared" ref="AG184:AP184" si="265">(AG195*1000-AG182-AG197*1000)-AG183</f>
        <v>1971.7523861538448</v>
      </c>
      <c r="AH184" s="91">
        <f t="shared" si="265"/>
        <v>638.53229273206034</v>
      </c>
      <c r="AI184" s="91">
        <f t="shared" si="265"/>
        <v>1076.9911337414105</v>
      </c>
      <c r="AJ184" s="91">
        <f t="shared" si="265"/>
        <v>243.2846043183722</v>
      </c>
      <c r="AK184" s="91">
        <f t="shared" si="265"/>
        <v>827.24550575584544</v>
      </c>
      <c r="AL184" s="91">
        <f t="shared" si="265"/>
        <v>837.17245182491479</v>
      </c>
      <c r="AM184" s="91">
        <f t="shared" si="265"/>
        <v>847.21852124681573</v>
      </c>
      <c r="AN184" s="91">
        <f t="shared" si="265"/>
        <v>857.38514350177957</v>
      </c>
      <c r="AO184" s="91">
        <f t="shared" si="265"/>
        <v>867.67376522379982</v>
      </c>
      <c r="AP184" s="91">
        <f t="shared" si="265"/>
        <v>585.39056693765588</v>
      </c>
    </row>
    <row r="185" spans="2:42">
      <c r="B185" s="39"/>
      <c r="C185" s="39"/>
      <c r="D185" s="39"/>
      <c r="E185" s="39"/>
      <c r="F185" s="39"/>
      <c r="G185" s="996"/>
      <c r="H185" s="996"/>
      <c r="I185" s="996"/>
      <c r="J185" s="996"/>
      <c r="K185" s="996"/>
      <c r="L185" s="996"/>
      <c r="M185" s="996"/>
      <c r="N185" s="996"/>
      <c r="O185" s="996"/>
      <c r="P185" s="996"/>
      <c r="Q185" s="1001"/>
      <c r="R185" s="1000"/>
      <c r="S185" s="996"/>
      <c r="T185" s="998"/>
      <c r="U185" s="998"/>
      <c r="Z185" s="306">
        <f>Z24</f>
        <v>118.8</v>
      </c>
      <c r="AA185" s="306">
        <f t="shared" ref="AA185:AI185" si="266">AA24</f>
        <v>113.5</v>
      </c>
      <c r="AB185" s="306">
        <f t="shared" si="266"/>
        <v>109.5</v>
      </c>
      <c r="AC185" s="306">
        <f t="shared" si="266"/>
        <v>107.3</v>
      </c>
      <c r="AD185" s="306">
        <f t="shared" si="266"/>
        <v>110.4</v>
      </c>
      <c r="AE185" s="306">
        <f t="shared" si="266"/>
        <v>93</v>
      </c>
      <c r="AF185" s="306">
        <f t="shared" si="266"/>
        <v>114.4</v>
      </c>
      <c r="AG185" s="306">
        <f t="shared" si="266"/>
        <v>70.293760123985479</v>
      </c>
      <c r="AH185" s="306">
        <f t="shared" si="266"/>
        <v>99.134405646506295</v>
      </c>
      <c r="AI185" s="306">
        <f t="shared" si="266"/>
        <v>121.18994708275288</v>
      </c>
      <c r="AJ185" s="306">
        <f>AJ24</f>
        <v>82.80157347514681</v>
      </c>
      <c r="AK185" s="306">
        <f t="shared" ref="AK185:AP185" si="267">AK24</f>
        <v>107.93884581319455</v>
      </c>
      <c r="AL185" s="306">
        <f t="shared" si="267"/>
        <v>97.598763922857302</v>
      </c>
      <c r="AM185" s="306">
        <f t="shared" si="267"/>
        <v>96.999127931444775</v>
      </c>
      <c r="AN185" s="306">
        <f t="shared" si="267"/>
        <v>95.654977347581109</v>
      </c>
      <c r="AO185" s="306">
        <f t="shared" si="267"/>
        <v>96.314143479069699</v>
      </c>
      <c r="AP185" s="306">
        <f t="shared" si="267"/>
        <v>85.69601936123766</v>
      </c>
    </row>
    <row r="186" spans="2:42" ht="15.75">
      <c r="B186" s="7" t="s">
        <v>206</v>
      </c>
      <c r="C186" s="42" t="s">
        <v>207</v>
      </c>
      <c r="D186" s="42"/>
      <c r="E186" s="42"/>
      <c r="F186" s="42"/>
      <c r="G186" s="1011">
        <v>91.828600000000009</v>
      </c>
      <c r="H186" s="1011">
        <v>71.500199999999992</v>
      </c>
      <c r="I186" s="1011">
        <v>127.97139999999999</v>
      </c>
      <c r="J186" s="1011">
        <v>192.74189999999999</v>
      </c>
      <c r="K186" s="1011">
        <v>161.59729999999999</v>
      </c>
      <c r="L186" s="1011">
        <v>143.91200000000001</v>
      </c>
      <c r="M186" s="1011">
        <v>128.66679999999999</v>
      </c>
      <c r="N186" s="1011">
        <v>137.8451</v>
      </c>
      <c r="O186" s="1011">
        <v>108.2178</v>
      </c>
      <c r="P186" s="1011">
        <v>99.6828</v>
      </c>
      <c r="Q186" s="1011">
        <v>201.1</v>
      </c>
      <c r="R186" s="987">
        <v>197.3</v>
      </c>
      <c r="S186" s="987">
        <v>223.86500000000001</v>
      </c>
      <c r="T186" s="987">
        <v>189.166</v>
      </c>
      <c r="U186" s="987">
        <v>132.1</v>
      </c>
      <c r="V186" s="94">
        <f>Trade!V8</f>
        <v>144.5</v>
      </c>
      <c r="W186" s="94">
        <f>Trade!W8</f>
        <v>122.6</v>
      </c>
      <c r="X186" s="94">
        <f>Trade!X8</f>
        <v>121</v>
      </c>
      <c r="Y186" s="94">
        <f>Trade!Y8</f>
        <v>165.3</v>
      </c>
      <c r="Z186" s="94">
        <f>Trade!Z8</f>
        <v>139.6</v>
      </c>
      <c r="AA186" s="94">
        <f>Trade!AA8</f>
        <v>136</v>
      </c>
      <c r="AB186" s="94">
        <f>Trade!AB8</f>
        <v>202.6</v>
      </c>
      <c r="AC186" s="94">
        <f>Trade!AC8</f>
        <v>194.7</v>
      </c>
      <c r="AD186" s="94">
        <f>Trade!AD8</f>
        <v>198.6</v>
      </c>
      <c r="AE186" s="94">
        <f>Trade!AE8</f>
        <v>170.1</v>
      </c>
      <c r="AF186" s="94">
        <f>Trade!AF8</f>
        <v>142.1</v>
      </c>
      <c r="AG186" s="96">
        <f>Trade!AG8</f>
        <v>146.52370712066906</v>
      </c>
      <c r="AH186" s="94">
        <f>Trade!AH8</f>
        <v>163.02974845663502</v>
      </c>
      <c r="AI186" s="94">
        <f>Trade!AI8</f>
        <v>138.39295028526064</v>
      </c>
      <c r="AJ186" s="94">
        <f>Trade!AJ8</f>
        <v>185.3651457644344</v>
      </c>
      <c r="AK186" s="94">
        <f>Trade!AK8</f>
        <v>189.28478102150837</v>
      </c>
      <c r="AL186" s="94">
        <f>Trade!AL8</f>
        <v>191.55619839376646</v>
      </c>
      <c r="AM186" s="94">
        <f>Trade!AM8</f>
        <v>193.85487277449164</v>
      </c>
      <c r="AN186" s="94">
        <f>Trade!AN8</f>
        <v>196.18113124778554</v>
      </c>
      <c r="AO186" s="94">
        <f>Trade!AO8</f>
        <v>198.53530482275897</v>
      </c>
      <c r="AP186" s="94">
        <f>Trade!AP8</f>
        <v>229.6202611207224</v>
      </c>
    </row>
    <row r="187" spans="2:42">
      <c r="B187" s="39"/>
      <c r="C187" s="42" t="s">
        <v>208</v>
      </c>
      <c r="D187" s="42"/>
      <c r="E187" s="42"/>
      <c r="F187" s="42"/>
      <c r="G187" s="996"/>
      <c r="H187" s="996"/>
      <c r="I187" s="996"/>
      <c r="J187" s="996"/>
      <c r="K187" s="996"/>
      <c r="L187" s="996"/>
      <c r="M187" s="996"/>
      <c r="N187" s="996"/>
      <c r="O187" s="996"/>
      <c r="P187" s="996"/>
      <c r="Q187" s="1003">
        <v>7.415</v>
      </c>
      <c r="R187" s="285">
        <v>11.188000000000001</v>
      </c>
      <c r="S187" s="100">
        <v>20.771000000000001</v>
      </c>
      <c r="T187" s="99">
        <v>20.771000000000001</v>
      </c>
      <c r="U187" s="99">
        <v>20.771000000000001</v>
      </c>
      <c r="V187" s="99">
        <f>(14477+3354+2940)/1000</f>
        <v>20.771000000000001</v>
      </c>
      <c r="W187" s="100">
        <f>(10909+143+291+162)/1000</f>
        <v>11.505000000000001</v>
      </c>
      <c r="X187" s="99">
        <f>W187</f>
        <v>11.505000000000001</v>
      </c>
      <c r="Y187" s="99">
        <v>19.5</v>
      </c>
      <c r="Z187" s="99">
        <v>22</v>
      </c>
      <c r="AA187" s="101">
        <f>36.1+1.3</f>
        <v>37.4</v>
      </c>
      <c r="AB187" s="102">
        <v>39</v>
      </c>
      <c r="AC187" s="102">
        <f>AB187</f>
        <v>39</v>
      </c>
      <c r="AD187" s="102">
        <f t="shared" ref="AD187:AK188" si="268">AC187</f>
        <v>39</v>
      </c>
      <c r="AE187" s="102">
        <f t="shared" si="268"/>
        <v>39</v>
      </c>
      <c r="AF187" s="102">
        <f t="shared" si="268"/>
        <v>39</v>
      </c>
      <c r="AG187" s="103">
        <f t="shared" si="268"/>
        <v>39</v>
      </c>
      <c r="AH187" s="102">
        <f t="shared" si="268"/>
        <v>39</v>
      </c>
      <c r="AI187" s="102">
        <f t="shared" si="268"/>
        <v>39</v>
      </c>
      <c r="AJ187" s="102">
        <f t="shared" si="268"/>
        <v>39</v>
      </c>
      <c r="AK187" s="102">
        <f t="shared" si="268"/>
        <v>39</v>
      </c>
      <c r="AL187" s="102">
        <f t="shared" ref="AL187:AL188" si="269">AK187</f>
        <v>39</v>
      </c>
      <c r="AM187" s="102">
        <f t="shared" ref="AM187:AM188" si="270">AL187</f>
        <v>39</v>
      </c>
      <c r="AN187" s="102">
        <f t="shared" ref="AN187:AN188" si="271">AM187</f>
        <v>39</v>
      </c>
      <c r="AO187" s="102">
        <f t="shared" ref="AO187:AO188" si="272">AN187</f>
        <v>39</v>
      </c>
      <c r="AP187" s="102">
        <f t="shared" ref="AP187:AP188" si="273">AO187</f>
        <v>39</v>
      </c>
    </row>
    <row r="188" spans="2:42">
      <c r="B188" s="43" t="s">
        <v>204</v>
      </c>
      <c r="C188" s="42" t="s">
        <v>209</v>
      </c>
      <c r="D188" s="42"/>
      <c r="E188" s="42"/>
      <c r="F188" s="42"/>
      <c r="G188" s="996"/>
      <c r="H188" s="996"/>
      <c r="I188" s="996"/>
      <c r="J188" s="996"/>
      <c r="K188" s="996"/>
      <c r="L188" s="996"/>
      <c r="M188" s="996"/>
      <c r="N188" s="996"/>
      <c r="O188" s="996"/>
      <c r="P188" s="996"/>
      <c r="Q188" s="1003">
        <v>20.145</v>
      </c>
      <c r="R188" s="285">
        <v>24.337</v>
      </c>
      <c r="S188" s="100">
        <v>17.55</v>
      </c>
      <c r="T188" s="99">
        <v>17.55</v>
      </c>
      <c r="U188" s="99">
        <v>17.55</v>
      </c>
      <c r="V188" s="99">
        <f>(514+41+19+14728+378+115+31+1702+22)/1000</f>
        <v>17.55</v>
      </c>
      <c r="W188" s="100">
        <f>(40+10+35+3+13144+107+87+1094)/1000</f>
        <v>14.52</v>
      </c>
      <c r="X188" s="93">
        <f>W188</f>
        <v>14.52</v>
      </c>
      <c r="Y188" s="93">
        <f>X188</f>
        <v>14.52</v>
      </c>
      <c r="Z188" s="100">
        <f>0.6+11+4.5+0.1+1.5</f>
        <v>17.700000000000003</v>
      </c>
      <c r="AA188" s="130">
        <f>Z188</f>
        <v>17.700000000000003</v>
      </c>
      <c r="AB188" s="130">
        <f t="shared" ref="AB188:AC188" si="274">AA188</f>
        <v>17.700000000000003</v>
      </c>
      <c r="AC188" s="130">
        <f t="shared" si="274"/>
        <v>17.700000000000003</v>
      </c>
      <c r="AD188" s="130">
        <f t="shared" si="268"/>
        <v>17.700000000000003</v>
      </c>
      <c r="AE188" s="130">
        <f t="shared" si="268"/>
        <v>17.700000000000003</v>
      </c>
      <c r="AF188" s="130">
        <f t="shared" si="268"/>
        <v>17.700000000000003</v>
      </c>
      <c r="AG188" s="130">
        <f t="shared" si="268"/>
        <v>17.700000000000003</v>
      </c>
      <c r="AH188" s="130">
        <f t="shared" si="268"/>
        <v>17.700000000000003</v>
      </c>
      <c r="AI188" s="130">
        <f t="shared" si="268"/>
        <v>17.700000000000003</v>
      </c>
      <c r="AJ188" s="130">
        <f t="shared" si="268"/>
        <v>17.700000000000003</v>
      </c>
      <c r="AK188" s="130">
        <f t="shared" ref="AK188" si="275">AJ188</f>
        <v>17.700000000000003</v>
      </c>
      <c r="AL188" s="130">
        <f t="shared" si="269"/>
        <v>17.700000000000003</v>
      </c>
      <c r="AM188" s="130">
        <f t="shared" si="270"/>
        <v>17.700000000000003</v>
      </c>
      <c r="AN188" s="130">
        <f t="shared" si="271"/>
        <v>17.700000000000003</v>
      </c>
      <c r="AO188" s="130">
        <f t="shared" si="272"/>
        <v>17.700000000000003</v>
      </c>
      <c r="AP188" s="130">
        <f t="shared" si="273"/>
        <v>17.700000000000003</v>
      </c>
    </row>
    <row r="189" spans="2:42"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1002"/>
      <c r="R189" s="1002"/>
      <c r="S189" s="39"/>
      <c r="T189" s="39"/>
      <c r="U189" s="39"/>
    </row>
    <row r="190" spans="2:42">
      <c r="B190" s="39"/>
      <c r="C190" s="42" t="s">
        <v>210</v>
      </c>
      <c r="D190" s="42"/>
      <c r="E190" s="42"/>
      <c r="F190" s="42"/>
      <c r="G190" s="996"/>
      <c r="H190" s="996"/>
      <c r="I190" s="996"/>
      <c r="J190" s="996"/>
      <c r="K190" s="996"/>
      <c r="L190" s="996"/>
      <c r="M190" s="996"/>
      <c r="N190" s="996"/>
      <c r="O190" s="996"/>
      <c r="P190" s="996"/>
      <c r="Q190" s="1003">
        <v>2.1235480464625129</v>
      </c>
      <c r="R190" s="307">
        <v>2.7267462992676621</v>
      </c>
      <c r="S190" s="307">
        <v>1.5562510384160049</v>
      </c>
      <c r="T190" s="307">
        <v>1.6521048034934496</v>
      </c>
      <c r="U190" s="307">
        <v>1.5289351851851851</v>
      </c>
      <c r="V190" s="307">
        <f t="shared" ref="V190:AL192" si="276">V186/V182*1000</f>
        <v>1.3404452690166977</v>
      </c>
      <c r="W190" s="307">
        <f t="shared" si="276"/>
        <v>1.403227652512304</v>
      </c>
      <c r="X190" s="307">
        <f t="shared" si="276"/>
        <v>1.5942028985507246</v>
      </c>
      <c r="Y190" s="307">
        <f t="shared" si="276"/>
        <v>1.7774193548387098</v>
      </c>
      <c r="Z190" s="307">
        <f t="shared" si="276"/>
        <v>1.4835281615302869</v>
      </c>
      <c r="AA190" s="307">
        <f t="shared" si="276"/>
        <v>1.3586413586413586</v>
      </c>
      <c r="AB190" s="307">
        <f t="shared" si="276"/>
        <v>2.0139165009940361</v>
      </c>
      <c r="AC190" s="307">
        <f t="shared" si="276"/>
        <v>2.4037037037037035</v>
      </c>
      <c r="AD190" s="307">
        <f t="shared" si="276"/>
        <v>1.8170173833485819</v>
      </c>
      <c r="AE190" s="307">
        <f t="shared" si="276"/>
        <v>1.6921365885491793</v>
      </c>
      <c r="AF190" s="307">
        <f>AF186/AF182*1000</f>
        <v>1.5279569892473117</v>
      </c>
      <c r="AG190" s="307">
        <f t="shared" si="276"/>
        <v>1.5433908982296081</v>
      </c>
      <c r="AH190" s="307">
        <f t="shared" si="276"/>
        <v>1.5629274918780838</v>
      </c>
      <c r="AI190" s="307">
        <f t="shared" si="276"/>
        <v>1.6606104601204641</v>
      </c>
      <c r="AJ190" s="307">
        <f>AJ186/AJ182*1000</f>
        <v>1.7582934283628442</v>
      </c>
      <c r="AK190" s="307">
        <f t="shared" si="276"/>
        <v>1.9009105619967195</v>
      </c>
      <c r="AL190" s="307">
        <f t="shared" si="276"/>
        <v>1.9009105619967193</v>
      </c>
      <c r="AM190" s="307">
        <f t="shared" ref="AM190:AP190" si="277">AM186/AM182*1000</f>
        <v>1.900910561996719</v>
      </c>
      <c r="AN190" s="307">
        <f t="shared" si="277"/>
        <v>1.9009105619967193</v>
      </c>
      <c r="AO190" s="307">
        <f t="shared" si="277"/>
        <v>1.900910561996719</v>
      </c>
      <c r="AP190" s="307">
        <f t="shared" si="277"/>
        <v>1.900910561996719</v>
      </c>
    </row>
    <row r="191" spans="2:42">
      <c r="B191" s="39"/>
      <c r="C191" s="42" t="s">
        <v>211</v>
      </c>
      <c r="D191" s="42"/>
      <c r="E191" s="42"/>
      <c r="F191" s="42"/>
      <c r="G191" s="996"/>
      <c r="H191" s="996"/>
      <c r="I191" s="996"/>
      <c r="J191" s="996"/>
      <c r="K191" s="996"/>
      <c r="L191" s="996"/>
      <c r="M191" s="996"/>
      <c r="N191" s="996"/>
      <c r="O191" s="996"/>
      <c r="P191" s="996"/>
      <c r="Q191" s="1003">
        <v>2.6836771625045239</v>
      </c>
      <c r="R191" s="307">
        <v>3.3509045165927875</v>
      </c>
      <c r="S191" s="307">
        <v>3.0541096897515074</v>
      </c>
      <c r="T191" s="307">
        <v>3.0541096897515074</v>
      </c>
      <c r="U191" s="307">
        <v>3.0541096897515074</v>
      </c>
      <c r="V191" s="307">
        <f t="shared" si="276"/>
        <v>3.0541096897515074</v>
      </c>
      <c r="W191" s="307">
        <f t="shared" ref="W191:X191" si="278">W187/W183*1000</f>
        <v>3.1641914191419147</v>
      </c>
      <c r="X191" s="307">
        <f t="shared" si="278"/>
        <v>3.0135156372780134</v>
      </c>
      <c r="Y191" s="308">
        <f>X191*Y190/X190</f>
        <v>3.3598490033335136</v>
      </c>
      <c r="Z191" s="308">
        <f t="shared" ref="Z191:AJ191" si="279">Y191*Z190/Y190</f>
        <v>2.8043076054986704</v>
      </c>
      <c r="AA191" s="308">
        <f t="shared" si="279"/>
        <v>2.5682345600051657</v>
      </c>
      <c r="AB191" s="308">
        <f t="shared" si="279"/>
        <v>3.806898653512043</v>
      </c>
      <c r="AC191" s="308">
        <f t="shared" si="279"/>
        <v>4.5437119108736264</v>
      </c>
      <c r="AD191" s="308">
        <f t="shared" si="279"/>
        <v>3.434701005063256</v>
      </c>
      <c r="AE191" s="308">
        <f t="shared" si="279"/>
        <v>3.1986393166383857</v>
      </c>
      <c r="AF191" s="308">
        <f t="shared" si="279"/>
        <v>2.8882912484796863</v>
      </c>
      <c r="AG191" s="308">
        <f t="shared" si="279"/>
        <v>2.9174659075552394</v>
      </c>
      <c r="AH191" s="308">
        <f t="shared" si="279"/>
        <v>2.9543958557521401</v>
      </c>
      <c r="AI191" s="308">
        <f t="shared" si="279"/>
        <v>3.1390455967366493</v>
      </c>
      <c r="AJ191" s="308">
        <f t="shared" si="279"/>
        <v>3.323695337721158</v>
      </c>
      <c r="AK191" s="308">
        <f t="shared" ref="AK191" si="280">AJ191*AK190/AJ190</f>
        <v>3.5932839595585411</v>
      </c>
      <c r="AL191" s="308">
        <f t="shared" ref="AL191" si="281">AK191*AL190/AK190</f>
        <v>3.5932839595585406</v>
      </c>
      <c r="AM191" s="308">
        <f t="shared" ref="AM191" si="282">AL191*AM190/AL190</f>
        <v>3.5932839595585402</v>
      </c>
      <c r="AN191" s="308">
        <f t="shared" ref="AN191" si="283">AM191*AN190/AM190</f>
        <v>3.5932839595585406</v>
      </c>
      <c r="AO191" s="308">
        <f t="shared" ref="AO191" si="284">AN191*AO190/AN190</f>
        <v>3.5932839595585402</v>
      </c>
      <c r="AP191" s="308">
        <f t="shared" ref="AP191" si="285">AO191*AP190/AO190</f>
        <v>3.5932839595585402</v>
      </c>
    </row>
    <row r="192" spans="2:42">
      <c r="B192" s="39"/>
      <c r="C192" s="42" t="s">
        <v>212</v>
      </c>
      <c r="D192" s="42"/>
      <c r="E192" s="42"/>
      <c r="F192" s="42"/>
      <c r="G192" s="996"/>
      <c r="H192" s="996"/>
      <c r="I192" s="996"/>
      <c r="J192" s="996"/>
      <c r="K192" s="996"/>
      <c r="L192" s="996"/>
      <c r="M192" s="996"/>
      <c r="N192" s="996"/>
      <c r="O192" s="996"/>
      <c r="P192" s="996"/>
      <c r="Q192" s="1003">
        <v>10.288559754851891</v>
      </c>
      <c r="R192" s="307">
        <v>12.279011099899092</v>
      </c>
      <c r="S192" s="307">
        <v>12.061855670103093</v>
      </c>
      <c r="T192" s="307">
        <v>12.061855670103093</v>
      </c>
      <c r="U192" s="307">
        <v>12.061855670103093</v>
      </c>
      <c r="V192" s="307">
        <f t="shared" si="276"/>
        <v>12.061855670103093</v>
      </c>
      <c r="W192" s="307">
        <f t="shared" ref="W192:X192" si="286">W188/W184*1000</f>
        <v>9.7837072973519295</v>
      </c>
      <c r="X192" s="307">
        <f t="shared" si="286"/>
        <v>9.5918698993646352</v>
      </c>
      <c r="Y192" s="308">
        <f t="shared" ref="Y192" si="287">X192*Y190/X190</f>
        <v>10.694231721523288</v>
      </c>
      <c r="Z192" s="308">
        <f t="shared" ref="Z192" si="288">Y192*Z190/Y190</f>
        <v>8.9259711736682359</v>
      </c>
      <c r="AA192" s="308">
        <f t="shared" ref="AA192" si="289">Z192*AA190/Z190</f>
        <v>8.1745624498808223</v>
      </c>
      <c r="AB192" s="308">
        <f t="shared" ref="AB192" si="290">AA192*AB190/AA190</f>
        <v>12.117168450314296</v>
      </c>
      <c r="AC192" s="308">
        <f t="shared" ref="AC192" si="291">AB192*AC190/AB190</f>
        <v>14.462408281597565</v>
      </c>
      <c r="AD192" s="308">
        <f t="shared" ref="AD192" si="292">AC192*AD190/AC190</f>
        <v>10.932481907922593</v>
      </c>
      <c r="AE192" s="308">
        <f t="shared" ref="AE192" si="293">AD192*AE190/AD190</f>
        <v>10.181109333117927</v>
      </c>
      <c r="AF192" s="308">
        <f t="shared" ref="AF192" si="294">AE192*AF190/AE190</f>
        <v>9.1932869185024746</v>
      </c>
      <c r="AG192" s="308">
        <f t="shared" ref="AG192" si="295">AF192*AG190/AF190</f>
        <v>9.2861484025277541</v>
      </c>
      <c r="AH192" s="308">
        <f t="shared" ref="AH192" si="296">AG192*AH190/AG190</f>
        <v>9.4036945848382292</v>
      </c>
      <c r="AI192" s="308">
        <f t="shared" ref="AI192:AJ192" si="297">AH192*AI190/AH190</f>
        <v>9.9914254963906188</v>
      </c>
      <c r="AJ192" s="308">
        <f t="shared" si="297"/>
        <v>10.579156407943008</v>
      </c>
      <c r="AK192" s="308">
        <f t="shared" ref="AK192" si="298">AJ192*AK190/AJ190</f>
        <v>11.437243538809499</v>
      </c>
      <c r="AL192" s="308">
        <f t="shared" ref="AL192" si="299">AK192*AL190/AK190</f>
        <v>11.437243538809497</v>
      </c>
      <c r="AM192" s="308">
        <f t="shared" ref="AM192" si="300">AL192*AM190/AL190</f>
        <v>11.437243538809495</v>
      </c>
      <c r="AN192" s="308">
        <f t="shared" ref="AN192" si="301">AM192*AN190/AM190</f>
        <v>11.437243538809497</v>
      </c>
      <c r="AO192" s="308">
        <f t="shared" ref="AO192" si="302">AN192*AO190/AN190</f>
        <v>11.437243538809495</v>
      </c>
      <c r="AP192" s="308">
        <f t="shared" ref="AP192" si="303">AO192*AP190/AO190</f>
        <v>11.437243538809497</v>
      </c>
    </row>
    <row r="193" spans="2:42"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1002"/>
      <c r="R193" s="1002"/>
      <c r="S193" s="996"/>
      <c r="T193" s="996"/>
      <c r="U193" s="39"/>
    </row>
    <row r="194" spans="2:42">
      <c r="B194" s="39"/>
      <c r="C194" s="42" t="s">
        <v>213</v>
      </c>
      <c r="D194" s="42"/>
      <c r="E194" s="42"/>
      <c r="F194" s="42"/>
      <c r="G194" s="996"/>
      <c r="H194" s="996"/>
      <c r="I194" s="996"/>
      <c r="J194" s="996"/>
      <c r="K194" s="996"/>
      <c r="L194" s="996"/>
      <c r="M194" s="996"/>
      <c r="N194" s="996"/>
      <c r="O194" s="996"/>
      <c r="P194" s="996"/>
      <c r="Q194" s="1007">
        <v>310.67961165048547</v>
      </c>
      <c r="R194" s="392">
        <v>416</v>
      </c>
      <c r="S194" s="392">
        <v>418.1</v>
      </c>
      <c r="T194" s="392">
        <v>392.81099999999998</v>
      </c>
      <c r="U194" s="392">
        <v>372.65</v>
      </c>
      <c r="V194" s="94">
        <f>Assumptions!V47</f>
        <v>276.10000000000002</v>
      </c>
      <c r="W194" s="94">
        <f>Assumptions!W47</f>
        <v>284.7</v>
      </c>
      <c r="X194" s="94">
        <f>Assumptions!X47</f>
        <v>385.6</v>
      </c>
      <c r="Y194" s="94">
        <f>Assumptions!Y47</f>
        <v>300.3</v>
      </c>
      <c r="Z194" s="94">
        <f>Assumptions!Z47</f>
        <v>403</v>
      </c>
      <c r="AA194" s="94">
        <f>Assumptions!AA47</f>
        <v>395.7</v>
      </c>
      <c r="AB194" s="94">
        <f>Assumptions!AB47</f>
        <v>388.8</v>
      </c>
      <c r="AC194" s="94">
        <f>Assumptions!AC47</f>
        <v>404.7</v>
      </c>
      <c r="AD194" s="94">
        <f>Assumptions!AD47</f>
        <v>344.4</v>
      </c>
      <c r="AE194" s="94">
        <f>Assumptions!AE47</f>
        <v>253.2</v>
      </c>
      <c r="AF194" s="94">
        <f>Assumptions!AF47</f>
        <v>382.9</v>
      </c>
      <c r="AG194" s="96">
        <f>Assumptions!AG47</f>
        <v>387.4948</v>
      </c>
      <c r="AH194" s="94">
        <f>Assumptions!AH47</f>
        <v>392.14473759999998</v>
      </c>
      <c r="AI194" s="94">
        <f>Assumptions!AI47</f>
        <v>396.8504744512</v>
      </c>
      <c r="AJ194" s="94">
        <f>Assumptions!AJ47</f>
        <v>401.61268014461439</v>
      </c>
      <c r="AK194" s="94">
        <f>Assumptions!AK47</f>
        <v>406.43203230634975</v>
      </c>
      <c r="AL194" s="94">
        <f>Assumptions!AL47</f>
        <v>411.30921669402596</v>
      </c>
      <c r="AM194" s="94">
        <f>Assumptions!AM47</f>
        <v>416.24492729435428</v>
      </c>
      <c r="AN194" s="94">
        <f>Assumptions!AN47</f>
        <v>421.23986642188652</v>
      </c>
      <c r="AO194" s="94">
        <f>Assumptions!AO47</f>
        <v>426.29474481894914</v>
      </c>
      <c r="AP194" s="94">
        <f>Assumptions!AP47</f>
        <v>431.41028175677656</v>
      </c>
    </row>
    <row r="195" spans="2:42">
      <c r="B195" s="39"/>
      <c r="C195" s="44" t="s">
        <v>214</v>
      </c>
      <c r="D195" s="44"/>
      <c r="E195" s="44"/>
      <c r="F195" s="44"/>
      <c r="G195" s="1013"/>
      <c r="H195" s="1013"/>
      <c r="I195" s="1013"/>
      <c r="J195" s="1013"/>
      <c r="K195" s="1013"/>
      <c r="L195" s="1013"/>
      <c r="M195" s="1013"/>
      <c r="N195" s="1013"/>
      <c r="O195" s="1013"/>
      <c r="P195" s="1013"/>
      <c r="Q195" s="1014">
        <v>105.63106796116507</v>
      </c>
      <c r="R195" s="1015">
        <v>141.44</v>
      </c>
      <c r="S195" s="1015">
        <v>142.15400000000002</v>
      </c>
      <c r="T195" s="1015">
        <v>133.55574000000001</v>
      </c>
      <c r="U195" s="1015">
        <v>126.70100000000001</v>
      </c>
      <c r="V195" s="94">
        <f t="shared" ref="V195:Z195" si="304">V194*0.34</f>
        <v>93.874000000000009</v>
      </c>
      <c r="W195" s="94">
        <f t="shared" si="304"/>
        <v>96.798000000000002</v>
      </c>
      <c r="X195" s="94">
        <f t="shared" si="304"/>
        <v>131.10400000000001</v>
      </c>
      <c r="Y195" s="94">
        <f t="shared" si="304"/>
        <v>102.10200000000002</v>
      </c>
      <c r="Z195" s="94">
        <f t="shared" si="304"/>
        <v>137.02000000000001</v>
      </c>
      <c r="AA195" s="94">
        <f>AA194*0.34</f>
        <v>134.53800000000001</v>
      </c>
      <c r="AB195" s="94">
        <f t="shared" ref="AB195:AH195" si="305">AB194*0.35</f>
        <v>136.07999999999998</v>
      </c>
      <c r="AC195" s="94">
        <f t="shared" si="305"/>
        <v>141.64499999999998</v>
      </c>
      <c r="AD195" s="94">
        <f t="shared" si="305"/>
        <v>120.53999999999998</v>
      </c>
      <c r="AE195" s="94">
        <f>AE194*0.35</f>
        <v>88.61999999999999</v>
      </c>
      <c r="AF195" s="94">
        <f t="shared" si="305"/>
        <v>134.01499999999999</v>
      </c>
      <c r="AG195" s="94">
        <f t="shared" si="305"/>
        <v>135.62317999999999</v>
      </c>
      <c r="AH195" s="94">
        <f t="shared" si="305"/>
        <v>137.25065815999997</v>
      </c>
      <c r="AI195" s="94">
        <f>AI194*0.35</f>
        <v>138.89766605791999</v>
      </c>
      <c r="AJ195" s="94">
        <f>AJ194*0.35</f>
        <v>140.56443805061502</v>
      </c>
      <c r="AK195" s="94">
        <f>AK194*0.35</f>
        <v>142.25121130722241</v>
      </c>
      <c r="AL195" s="94">
        <f t="shared" ref="AL195:AM195" si="306">AL194*0.35</f>
        <v>143.95822584290909</v>
      </c>
      <c r="AM195" s="94">
        <f t="shared" si="306"/>
        <v>145.68572455302399</v>
      </c>
      <c r="AN195" s="94">
        <f>AN194*0.35</f>
        <v>147.43395324766027</v>
      </c>
      <c r="AO195" s="94">
        <f t="shared" ref="AO195" si="307">AO194*0.35</f>
        <v>149.2031606866322</v>
      </c>
      <c r="AP195" s="94">
        <f t="shared" ref="AP195" si="308">AP194*0.35</f>
        <v>150.99359861487179</v>
      </c>
    </row>
    <row r="196" spans="2:42">
      <c r="B196" s="39"/>
      <c r="C196" s="42" t="s">
        <v>215</v>
      </c>
      <c r="D196" s="42"/>
      <c r="E196" s="42"/>
      <c r="F196" s="42"/>
      <c r="G196" s="996"/>
      <c r="H196" s="996"/>
      <c r="I196" s="996"/>
      <c r="J196" s="996"/>
      <c r="K196" s="996"/>
      <c r="L196" s="996"/>
      <c r="M196" s="996"/>
      <c r="N196" s="996"/>
      <c r="O196" s="996"/>
      <c r="P196" s="996"/>
      <c r="Q196" s="1009">
        <v>99.421000000000006</v>
      </c>
      <c r="R196" s="1016">
        <v>77.678100000000001</v>
      </c>
      <c r="S196" s="1016">
        <v>152.10489999999999</v>
      </c>
      <c r="T196" s="1016">
        <v>122.756</v>
      </c>
      <c r="U196" s="1016">
        <v>94.656000000000006</v>
      </c>
      <c r="V196" s="94">
        <f>(V182+V183+V184)/1000</f>
        <v>116.056</v>
      </c>
      <c r="W196" s="94">
        <f t="shared" ref="W196:AJ196" si="309">(W182+W183+W184)/1000</f>
        <v>92.490100000000012</v>
      </c>
      <c r="X196" s="94">
        <f t="shared" si="309"/>
        <v>81.231582000000003</v>
      </c>
      <c r="Y196" s="94">
        <f t="shared" si="309"/>
        <v>98.438213640000001</v>
      </c>
      <c r="Z196" s="94">
        <f t="shared" si="309"/>
        <v>182.52433879279999</v>
      </c>
      <c r="AA196" s="94">
        <f t="shared" si="309"/>
        <v>127.244803</v>
      </c>
      <c r="AB196" s="94">
        <f t="shared" si="309"/>
        <v>136.07999999999998</v>
      </c>
      <c r="AC196" s="94">
        <f t="shared" si="309"/>
        <v>151.59589999999969</v>
      </c>
      <c r="AD196" s="94">
        <f t="shared" si="309"/>
        <v>110.8736</v>
      </c>
      <c r="AE196" s="94">
        <f>(AE182+AE183+AE184)/1000</f>
        <v>116.53639700000001</v>
      </c>
      <c r="AF196" s="94">
        <f t="shared" si="309"/>
        <v>106</v>
      </c>
      <c r="AG196" s="94">
        <f t="shared" si="309"/>
        <v>109.1766599</v>
      </c>
      <c r="AH196" s="94">
        <f t="shared" si="309"/>
        <v>108.92212231577598</v>
      </c>
      <c r="AI196" s="94">
        <f t="shared" si="309"/>
        <v>91.116868933995505</v>
      </c>
      <c r="AJ196" s="94">
        <f t="shared" si="309"/>
        <v>107.18038401359395</v>
      </c>
      <c r="AK196" s="94">
        <f>(AK182+AK183+AK184)/1000</f>
        <v>105.55039878995902</v>
      </c>
      <c r="AL196" s="94">
        <f>(AL182+AL183+AL184)/1000</f>
        <v>106.81700357543852</v>
      </c>
      <c r="AM196" s="94">
        <f t="shared" ref="AM196:AP196" si="310">(AM182+AM183+AM184)/1000</f>
        <v>108.0988076183438</v>
      </c>
      <c r="AN196" s="94">
        <f t="shared" si="310"/>
        <v>109.39599330976392</v>
      </c>
      <c r="AO196" s="94">
        <f t="shared" si="310"/>
        <v>110.7087452294811</v>
      </c>
      <c r="AP196" s="94">
        <f t="shared" si="310"/>
        <v>125.02269965311386</v>
      </c>
    </row>
    <row r="197" spans="2:42">
      <c r="B197" s="39"/>
      <c r="C197" s="45" t="s">
        <v>216</v>
      </c>
      <c r="D197" s="45"/>
      <c r="E197" s="45"/>
      <c r="F197" s="45"/>
      <c r="G197" s="996"/>
      <c r="H197" s="996"/>
      <c r="I197" s="996"/>
      <c r="J197" s="996"/>
      <c r="K197" s="996"/>
      <c r="L197" s="996"/>
      <c r="M197" s="996"/>
      <c r="N197" s="996"/>
      <c r="O197" s="996"/>
      <c r="P197" s="996"/>
      <c r="Q197" s="1004">
        <v>6.2100679611650662</v>
      </c>
      <c r="R197" s="309">
        <v>63.761899999999997</v>
      </c>
      <c r="S197" s="309">
        <v>-9.9508999999999617</v>
      </c>
      <c r="T197" s="309">
        <v>10.799740000000014</v>
      </c>
      <c r="U197" s="309">
        <v>32.045000000000002</v>
      </c>
      <c r="V197" s="309">
        <f>V195-V196</f>
        <v>-22.181999999999988</v>
      </c>
      <c r="W197" s="309">
        <f t="shared" ref="W197:AB197" si="311">W195-W196</f>
        <v>4.3078999999999894</v>
      </c>
      <c r="X197" s="309">
        <f t="shared" si="311"/>
        <v>49.87241800000001</v>
      </c>
      <c r="Y197" s="309">
        <f t="shared" si="311"/>
        <v>3.6637863600000173</v>
      </c>
      <c r="Z197" s="309">
        <f t="shared" si="311"/>
        <v>-45.504338792799985</v>
      </c>
      <c r="AA197" s="309">
        <f t="shared" si="311"/>
        <v>7.2931970000000064</v>
      </c>
      <c r="AB197" s="309">
        <f t="shared" si="311"/>
        <v>0</v>
      </c>
      <c r="AC197" s="309">
        <f>AC195-AC196</f>
        <v>-9.9508999999997059</v>
      </c>
      <c r="AD197" s="309">
        <f>AD195-AD196</f>
        <v>9.6663999999999817</v>
      </c>
      <c r="AE197" s="309">
        <f>AE195-AE196</f>
        <v>-27.916397000000018</v>
      </c>
      <c r="AF197" s="309">
        <f>AF195-AF196</f>
        <v>28.014999999999986</v>
      </c>
      <c r="AG197" s="98">
        <f t="shared" ref="AG197:AP197" si="312">(AG195-AG182/1000)*AG202/100</f>
        <v>26.446520099999997</v>
      </c>
      <c r="AH197" s="98">
        <f t="shared" si="312"/>
        <v>28.328535844223993</v>
      </c>
      <c r="AI197" s="98">
        <f t="shared" si="312"/>
        <v>47.780797123924486</v>
      </c>
      <c r="AJ197" s="98">
        <f t="shared" si="312"/>
        <v>33.384054037021066</v>
      </c>
      <c r="AK197" s="98">
        <f t="shared" si="312"/>
        <v>36.700812517263387</v>
      </c>
      <c r="AL197" s="98">
        <f t="shared" si="312"/>
        <v>37.141222267470553</v>
      </c>
      <c r="AM197" s="98">
        <f t="shared" si="312"/>
        <v>37.586916934680197</v>
      </c>
      <c r="AN197" s="98">
        <f t="shared" si="312"/>
        <v>38.037959937896346</v>
      </c>
      <c r="AO197" s="98">
        <f t="shared" si="312"/>
        <v>38.494415457151113</v>
      </c>
      <c r="AP197" s="98">
        <f t="shared" si="312"/>
        <v>25.970898961757939</v>
      </c>
    </row>
    <row r="198" spans="2:42">
      <c r="B198" s="39"/>
      <c r="C198" s="42" t="s">
        <v>217</v>
      </c>
      <c r="D198" s="42"/>
      <c r="E198" s="42"/>
      <c r="F198" s="42"/>
      <c r="G198" s="996"/>
      <c r="H198" s="996"/>
      <c r="I198" s="996"/>
      <c r="J198" s="996"/>
      <c r="K198" s="996"/>
      <c r="L198" s="996"/>
      <c r="M198" s="996"/>
      <c r="N198" s="996"/>
      <c r="O198" s="996"/>
      <c r="P198" s="996"/>
      <c r="Q198" s="1004">
        <v>69.235609447233145</v>
      </c>
      <c r="R198" s="1020">
        <v>19.306368301446476</v>
      </c>
      <c r="S198" s="1020">
        <v>19.306368301446476</v>
      </c>
      <c r="T198" s="1020">
        <v>112.33565835844182</v>
      </c>
      <c r="U198" s="1020">
        <v>37.209324387579969</v>
      </c>
      <c r="V198">
        <v>-53.580980073933851</v>
      </c>
      <c r="W198">
        <v>33</v>
      </c>
      <c r="X198">
        <v>30</v>
      </c>
      <c r="Y198">
        <v>35.658664450307988</v>
      </c>
      <c r="Z198">
        <v>26.955504643476011</v>
      </c>
      <c r="AA198">
        <v>24.150363257118858</v>
      </c>
      <c r="AB198">
        <v>37.021371504080534</v>
      </c>
      <c r="AC198">
        <v>56</v>
      </c>
      <c r="AD198">
        <v>56</v>
      </c>
      <c r="AE198">
        <v>56</v>
      </c>
      <c r="AF198">
        <v>56</v>
      </c>
      <c r="AG198">
        <v>56</v>
      </c>
      <c r="AH198">
        <v>56</v>
      </c>
      <c r="AI198">
        <v>56</v>
      </c>
      <c r="AJ198">
        <v>56</v>
      </c>
      <c r="AK198">
        <v>56</v>
      </c>
      <c r="AL198">
        <v>56</v>
      </c>
      <c r="AM198">
        <v>56</v>
      </c>
      <c r="AN198">
        <v>56</v>
      </c>
      <c r="AO198">
        <v>56</v>
      </c>
      <c r="AP198">
        <v>56</v>
      </c>
    </row>
    <row r="199" spans="2:42">
      <c r="B199" s="39"/>
      <c r="C199" s="42" t="s">
        <v>218</v>
      </c>
      <c r="D199" s="42"/>
      <c r="E199" s="42"/>
      <c r="F199" s="42"/>
      <c r="G199" s="996"/>
      <c r="H199" s="996"/>
      <c r="I199" s="996"/>
      <c r="J199" s="996"/>
      <c r="K199" s="996"/>
      <c r="L199" s="996"/>
      <c r="M199" s="996"/>
      <c r="N199" s="996"/>
      <c r="O199" s="996"/>
      <c r="P199" s="996"/>
      <c r="Q199" s="1008">
        <v>1.7774374466795932</v>
      </c>
      <c r="R199" s="1008">
        <v>0.30524295202553042</v>
      </c>
      <c r="S199" s="1008">
        <v>0.30524295202553042</v>
      </c>
      <c r="T199" s="1008">
        <v>0.30524295202553042</v>
      </c>
      <c r="U199" s="1008">
        <v>0.30524295202553042</v>
      </c>
      <c r="V199" s="260">
        <v>0.30524295202553042</v>
      </c>
      <c r="W199" s="260">
        <v>0.30524295202553042</v>
      </c>
      <c r="X199" s="260">
        <v>0.31524295202553043</v>
      </c>
      <c r="Y199" s="260">
        <v>0.39</v>
      </c>
      <c r="Z199" s="260">
        <v>0.33</v>
      </c>
      <c r="AA199" s="260">
        <v>0.31</v>
      </c>
      <c r="AB199" s="260">
        <v>0.29599999999999999</v>
      </c>
      <c r="AC199" s="260">
        <v>0.29599999999999999</v>
      </c>
      <c r="AD199" s="260">
        <v>0.29599999999999999</v>
      </c>
      <c r="AE199" s="260">
        <v>0.29599999999999999</v>
      </c>
      <c r="AF199" s="260">
        <v>0.29599999999999999</v>
      </c>
      <c r="AG199" s="260">
        <v>0.29599999999999999</v>
      </c>
      <c r="AH199" s="260">
        <v>0.29599999999999999</v>
      </c>
      <c r="AI199" s="260">
        <v>0.29599999999999999</v>
      </c>
      <c r="AJ199" s="260">
        <v>0.29599999999999999</v>
      </c>
      <c r="AK199" s="260">
        <v>0.29599999999999999</v>
      </c>
      <c r="AL199" s="260">
        <v>0.29599999999999999</v>
      </c>
      <c r="AM199" s="260">
        <v>0.29599999999999999</v>
      </c>
      <c r="AN199" s="260">
        <v>0.29599999999999999</v>
      </c>
      <c r="AO199" s="260">
        <v>0.29599999999999999</v>
      </c>
      <c r="AP199" s="260">
        <v>0.29599999999999999</v>
      </c>
    </row>
    <row r="200" spans="2:42">
      <c r="B200" s="39"/>
      <c r="C200" s="42"/>
      <c r="D200" s="42"/>
      <c r="E200" s="42"/>
      <c r="F200" s="42"/>
      <c r="G200" s="996"/>
      <c r="H200" s="996"/>
      <c r="I200" s="996"/>
      <c r="J200" s="996"/>
      <c r="K200" s="996"/>
      <c r="L200" s="996"/>
      <c r="M200" s="996"/>
      <c r="N200" s="996"/>
      <c r="O200" s="996"/>
      <c r="P200" s="996"/>
      <c r="Q200" s="1004"/>
      <c r="R200" s="1004"/>
      <c r="S200" s="997"/>
      <c r="T200" s="997"/>
      <c r="U200" s="997"/>
      <c r="V200" s="309"/>
      <c r="W200" s="309"/>
      <c r="X200" s="309"/>
      <c r="Y200" s="309"/>
      <c r="Z200" s="309"/>
      <c r="AA200" s="309"/>
      <c r="AB200" s="309"/>
      <c r="AC200" s="309"/>
    </row>
    <row r="201" spans="2:42">
      <c r="B201" s="39"/>
      <c r="C201" s="42" t="s">
        <v>219</v>
      </c>
      <c r="D201" s="42"/>
      <c r="E201" s="42"/>
      <c r="F201" s="42"/>
      <c r="G201" s="996"/>
      <c r="H201" s="996"/>
      <c r="I201" s="996"/>
      <c r="J201" s="996"/>
      <c r="K201" s="996"/>
      <c r="L201" s="996"/>
      <c r="M201" s="996"/>
      <c r="N201" s="996"/>
      <c r="O201" s="996"/>
      <c r="P201" s="996"/>
      <c r="Q201" s="1006">
        <v>10.348345588235308</v>
      </c>
      <c r="R201" s="1017">
        <v>48.842406674208135</v>
      </c>
      <c r="S201" s="1017">
        <v>-1.1922984931834302</v>
      </c>
      <c r="T201" s="1017">
        <v>14.268005253836346</v>
      </c>
      <c r="U201" s="1017">
        <v>31.807957316832546</v>
      </c>
      <c r="V201" s="94">
        <f t="shared" ref="V201:AD201" si="313">(1-(V182/1000)/V195)*100</f>
        <v>-14.834778532927096</v>
      </c>
      <c r="W201" s="94">
        <f t="shared" si="313"/>
        <v>9.7398706584846728</v>
      </c>
      <c r="X201" s="94">
        <f t="shared" si="313"/>
        <v>42.107029533805232</v>
      </c>
      <c r="Y201" s="94">
        <f t="shared" si="313"/>
        <v>8.9146147969677578</v>
      </c>
      <c r="Z201" s="94">
        <f>(1-(Z182/1000)/Z195)*100</f>
        <v>31.323894321996804</v>
      </c>
      <c r="AA201" s="94">
        <f t="shared" si="313"/>
        <v>25.597229035662792</v>
      </c>
      <c r="AB201" s="94">
        <f t="shared" si="313"/>
        <v>26.072898295120517</v>
      </c>
      <c r="AC201" s="94">
        <f t="shared" si="313"/>
        <v>42.8147834374669</v>
      </c>
      <c r="AD201" s="94">
        <f t="shared" si="313"/>
        <v>9.3247054919528676</v>
      </c>
      <c r="AE201" s="94">
        <f>(1-(AE182/1000)/AE195)*100</f>
        <v>-13.432408034303789</v>
      </c>
      <c r="AF201" s="94">
        <f>(1-(AF182/1000)/AF195)*100</f>
        <v>30.604783046673877</v>
      </c>
      <c r="AG201" s="700">
        <v>30</v>
      </c>
      <c r="AH201" s="700">
        <v>24</v>
      </c>
      <c r="AI201" s="700">
        <v>40</v>
      </c>
      <c r="AJ201" s="700">
        <v>25</v>
      </c>
      <c r="AK201" s="700">
        <v>30</v>
      </c>
      <c r="AL201" s="700">
        <v>30</v>
      </c>
      <c r="AM201" s="700">
        <v>30</v>
      </c>
      <c r="AN201" s="700">
        <v>30</v>
      </c>
      <c r="AO201" s="700">
        <v>30</v>
      </c>
      <c r="AP201" s="700">
        <v>20</v>
      </c>
    </row>
    <row r="202" spans="2:42">
      <c r="B202" s="39"/>
      <c r="C202" s="42" t="s">
        <v>220</v>
      </c>
      <c r="D202" s="42"/>
      <c r="E202" s="42"/>
      <c r="F202" s="42"/>
      <c r="G202" s="996"/>
      <c r="H202" s="996"/>
      <c r="I202" s="996"/>
      <c r="J202" s="996"/>
      <c r="K202" s="996"/>
      <c r="L202" s="996"/>
      <c r="M202" s="996"/>
      <c r="N202" s="996"/>
      <c r="O202" s="996"/>
      <c r="P202" s="996"/>
      <c r="Q202" s="997">
        <v>56.811173283595416</v>
      </c>
      <c r="R202" s="997">
        <v>92.297926977376392</v>
      </c>
      <c r="S202" s="1005">
        <v>92.297926977376392</v>
      </c>
      <c r="T202" s="1005">
        <v>92.297926977376392</v>
      </c>
      <c r="U202" s="1005">
        <v>92.297926977376392</v>
      </c>
      <c r="V202" s="94">
        <v>92.297926977376392</v>
      </c>
      <c r="W202">
        <v>85</v>
      </c>
      <c r="X202">
        <v>85</v>
      </c>
      <c r="Y202">
        <v>85</v>
      </c>
      <c r="Z202">
        <v>95</v>
      </c>
      <c r="AA202">
        <v>95</v>
      </c>
      <c r="AB202">
        <v>95</v>
      </c>
      <c r="AC202">
        <v>86</v>
      </c>
      <c r="AD202" s="92">
        <v>86</v>
      </c>
      <c r="AE202">
        <v>86</v>
      </c>
      <c r="AF202">
        <v>86</v>
      </c>
      <c r="AG202">
        <v>65</v>
      </c>
      <c r="AH202">
        <v>86</v>
      </c>
      <c r="AI202">
        <v>86</v>
      </c>
      <c r="AJ202">
        <v>95</v>
      </c>
      <c r="AK202">
        <v>86</v>
      </c>
      <c r="AL202">
        <v>86</v>
      </c>
      <c r="AM202">
        <v>86</v>
      </c>
      <c r="AN202">
        <v>86</v>
      </c>
      <c r="AO202">
        <v>86</v>
      </c>
      <c r="AP202">
        <v>86</v>
      </c>
    </row>
    <row r="203" spans="2:42">
      <c r="B203" s="7" t="s">
        <v>221</v>
      </c>
      <c r="C203" s="32" t="s">
        <v>222</v>
      </c>
      <c r="D203" s="32"/>
      <c r="E203" s="32"/>
      <c r="F203" s="32"/>
      <c r="G203" s="977">
        <v>177.85307594303021</v>
      </c>
      <c r="H203" s="977">
        <v>168.65695847810767</v>
      </c>
      <c r="I203" s="977">
        <v>354.19522613098019</v>
      </c>
      <c r="J203" s="977">
        <v>590.11787522999998</v>
      </c>
      <c r="K203" s="977">
        <v>480.08941856999996</v>
      </c>
      <c r="L203" s="977">
        <v>448.5161392</v>
      </c>
      <c r="M203" s="977">
        <v>424.39457311999996</v>
      </c>
      <c r="N203" s="977">
        <v>474.53175675</v>
      </c>
      <c r="O203" s="977">
        <v>371.18705399999999</v>
      </c>
      <c r="P203" s="977">
        <v>412.68679199999997</v>
      </c>
      <c r="Q203" s="977">
        <v>880.61689999999987</v>
      </c>
      <c r="R203" s="310">
        <v>909.47408000000007</v>
      </c>
      <c r="S203" s="310">
        <v>1066.2018355</v>
      </c>
      <c r="T203" s="310">
        <v>901.22465719999991</v>
      </c>
      <c r="U203" s="310">
        <v>651.90028999999993</v>
      </c>
      <c r="V203" s="310">
        <f>V186*Household!V2</f>
        <v>890.77025000000003</v>
      </c>
      <c r="W203" s="310">
        <f>W186*Household!W2</f>
        <v>960.64455999999996</v>
      </c>
      <c r="X203" s="310">
        <f>X186*Household!X2</f>
        <v>1034.5137</v>
      </c>
      <c r="Y203" s="310">
        <f>Y186*Household!Y2</f>
        <v>1512.69336</v>
      </c>
      <c r="Z203" s="310">
        <f>Z186*Household!Z2</f>
        <v>1330.4019599999999</v>
      </c>
      <c r="AA203" s="310">
        <f>AA186*Household!AA2</f>
        <v>1403.7783999999999</v>
      </c>
      <c r="AB203" s="310">
        <f>AB186*Household!AB2</f>
        <v>2291.1831399999996</v>
      </c>
      <c r="AC203" s="310">
        <f>AC186*Household!AC2</f>
        <v>2146.7232599999998</v>
      </c>
      <c r="AD203" s="310">
        <f>AD186*Household!AD2</f>
        <v>2153.7177000000001</v>
      </c>
      <c r="AE203" s="310">
        <f>AE186*Household!AE2</f>
        <v>1836.84186</v>
      </c>
      <c r="AF203" s="310">
        <f>AF186*Household!AF2</f>
        <v>1426.8118899999999</v>
      </c>
      <c r="AG203" s="310">
        <f>AG186*Household!AG2</f>
        <v>1344.6008796126873</v>
      </c>
      <c r="AH203" s="310">
        <f>AH186*Household!AH2</f>
        <v>1534.7659646847248</v>
      </c>
      <c r="AI203" s="310">
        <f>AI186*Household!AI2</f>
        <v>1341.3116705981611</v>
      </c>
      <c r="AJ203" s="310">
        <f>AJ186*Household!AJ2</f>
        <v>1831.902379726657</v>
      </c>
      <c r="AK203" s="310">
        <f>AK186*Household!AK2</f>
        <v>1895.5375469533994</v>
      </c>
      <c r="AL203" s="310">
        <f>AL186*Household!AL2</f>
        <v>1972.7146912904288</v>
      </c>
      <c r="AM203" s="310">
        <f>AM186*Household!AM2</f>
        <v>2028.3074109369616</v>
      </c>
      <c r="AN203" s="310">
        <f>AN186*Household!AN2</f>
        <v>2028.5697896301642</v>
      </c>
      <c r="AO203" s="310">
        <f>AO186*Household!AO2</f>
        <v>2052.9126271057262</v>
      </c>
      <c r="AP203" s="310">
        <f>AP186*Household!AP2</f>
        <v>2374.3400898639948</v>
      </c>
    </row>
    <row r="205" spans="2:42">
      <c r="W205" s="311">
        <v>89</v>
      </c>
      <c r="X205" s="311">
        <v>97.9</v>
      </c>
      <c r="Y205" s="311">
        <v>107.7</v>
      </c>
      <c r="Z205" s="311">
        <v>118.5</v>
      </c>
      <c r="AA205" s="311">
        <v>130.30000000000001</v>
      </c>
      <c r="AB205" s="311">
        <v>131.30000000000001</v>
      </c>
      <c r="AC205" s="311">
        <v>132.30000000000001</v>
      </c>
      <c r="AD205" s="311">
        <v>133.30000000000001</v>
      </c>
      <c r="AE205" s="311">
        <v>134.30000000000001</v>
      </c>
      <c r="AF205" s="311">
        <v>135.30000000000001</v>
      </c>
      <c r="AG205" s="311">
        <v>136.30000000000001</v>
      </c>
      <c r="AH205" s="311">
        <v>137.30000000000001</v>
      </c>
      <c r="AI205" s="311">
        <v>138.30000000000001</v>
      </c>
      <c r="AJ205" s="311"/>
      <c r="AK205" s="311"/>
      <c r="AL205" s="311"/>
      <c r="AM205" s="311"/>
      <c r="AN205" s="311"/>
      <c r="AO205" s="311"/>
      <c r="AP205" s="311"/>
    </row>
    <row r="206" spans="2:42">
      <c r="W206" s="311"/>
      <c r="X206" s="311">
        <f>X205/W205*100</f>
        <v>110.00000000000001</v>
      </c>
      <c r="Y206" s="311">
        <f t="shared" ref="Y206:AI206" si="314">Y205/X205*100</f>
        <v>110.01021450459652</v>
      </c>
      <c r="Z206" s="311">
        <f t="shared" si="314"/>
        <v>110.02785515320335</v>
      </c>
      <c r="AA206" s="311">
        <f>AA205/Z205*100</f>
        <v>109.95780590717301</v>
      </c>
      <c r="AB206" s="311">
        <f t="shared" si="314"/>
        <v>100.76745970836531</v>
      </c>
      <c r="AC206" s="311">
        <f t="shared" si="314"/>
        <v>100.76161462300077</v>
      </c>
      <c r="AD206" s="311">
        <f t="shared" si="314"/>
        <v>100.75585789871504</v>
      </c>
      <c r="AE206" s="311">
        <f>AE205/AD205*100</f>
        <v>100.75018754688672</v>
      </c>
      <c r="AF206" s="311">
        <f>AF205/AE205*100</f>
        <v>100.7446016381236</v>
      </c>
      <c r="AG206" s="311">
        <f t="shared" si="314"/>
        <v>100.73909830007391</v>
      </c>
      <c r="AH206" s="311">
        <f t="shared" si="314"/>
        <v>100.73367571533383</v>
      </c>
      <c r="AI206" s="311">
        <f t="shared" si="314"/>
        <v>100.72833211944648</v>
      </c>
      <c r="AJ206" s="311">
        <f t="shared" ref="AJ206" si="315">AJ205/AI205*100</f>
        <v>0</v>
      </c>
      <c r="AK206" s="311" t="e">
        <f>AK205/AJ205*100</f>
        <v>#DIV/0!</v>
      </c>
      <c r="AL206" s="311" t="e">
        <f t="shared" ref="AL206" si="316">AL205/AK205*100</f>
        <v>#DIV/0!</v>
      </c>
      <c r="AM206" s="311" t="e">
        <f t="shared" ref="AM206" si="317">AM205/AL205*100</f>
        <v>#DIV/0!</v>
      </c>
      <c r="AN206" s="311" t="e">
        <f t="shared" ref="AN206" si="318">AN205/AM205*100</f>
        <v>#DIV/0!</v>
      </c>
      <c r="AO206" s="311" t="e">
        <f t="shared" ref="AO206" si="319">AO205/AN205*100</f>
        <v>#DIV/0!</v>
      </c>
      <c r="AP206" s="311" t="e">
        <f t="shared" ref="AP206" si="320">AP205/AO205*100</f>
        <v>#DIV/0!</v>
      </c>
    </row>
    <row r="207" spans="2:42">
      <c r="W207" s="312"/>
      <c r="X207" s="312"/>
      <c r="Y207" s="312"/>
      <c r="Z207" s="312"/>
      <c r="AA207" s="312"/>
      <c r="AB207" s="312"/>
      <c r="AC207" s="312"/>
      <c r="AD207" s="312"/>
      <c r="AE207" s="312"/>
      <c r="AF207" s="312"/>
      <c r="AG207" s="312"/>
      <c r="AH207" s="312"/>
      <c r="AI207" s="312"/>
    </row>
    <row r="208" spans="2:42">
      <c r="W208" s="311">
        <f t="shared" ref="W208:AH208" si="321">W194/W205*10</f>
        <v>31.988764044943817</v>
      </c>
      <c r="X208" s="311">
        <f t="shared" si="321"/>
        <v>39.387129724208371</v>
      </c>
      <c r="Y208" s="311">
        <f t="shared" si="321"/>
        <v>27.883008356545961</v>
      </c>
      <c r="Z208" s="311">
        <f t="shared" si="321"/>
        <v>34.008438818565402</v>
      </c>
      <c r="AA208" s="311">
        <f t="shared" si="321"/>
        <v>30.368380660015344</v>
      </c>
      <c r="AB208" s="311">
        <f t="shared" si="321"/>
        <v>29.61157654226961</v>
      </c>
      <c r="AC208" s="311">
        <f t="shared" si="321"/>
        <v>30.589569160997726</v>
      </c>
      <c r="AD208" s="311">
        <f t="shared" si="321"/>
        <v>25.836459114778691</v>
      </c>
      <c r="AE208" s="311">
        <f>AE194/AE205*10</f>
        <v>18.85331347728965</v>
      </c>
      <c r="AF208" s="311">
        <f>AF194/AF205*10</f>
        <v>28.300073909830004</v>
      </c>
      <c r="AG208" s="311">
        <f>AG194/AG205*10</f>
        <v>28.429552457813646</v>
      </c>
      <c r="AH208" s="311">
        <f t="shared" si="321"/>
        <v>28.561160786598684</v>
      </c>
      <c r="AI208" s="311">
        <f>AI194/AI205*10</f>
        <v>28.694900538770789</v>
      </c>
      <c r="AJ208" s="311" t="e">
        <f t="shared" ref="AJ208:AP208" si="322">AJ194/AJ205*10</f>
        <v>#DIV/0!</v>
      </c>
      <c r="AK208" s="311" t="e">
        <f t="shared" si="322"/>
        <v>#DIV/0!</v>
      </c>
      <c r="AL208" s="311" t="e">
        <f t="shared" si="322"/>
        <v>#DIV/0!</v>
      </c>
      <c r="AM208" s="311" t="e">
        <f t="shared" si="322"/>
        <v>#DIV/0!</v>
      </c>
      <c r="AN208" s="311" t="e">
        <f t="shared" si="322"/>
        <v>#DIV/0!</v>
      </c>
      <c r="AO208" s="311" t="e">
        <f t="shared" si="322"/>
        <v>#DIV/0!</v>
      </c>
      <c r="AP208" s="311" t="e">
        <f t="shared" si="322"/>
        <v>#DIV/0!</v>
      </c>
    </row>
    <row r="209" spans="3:42"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3:42"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3:42">
      <c r="W211" s="311">
        <f t="shared" ref="W211:AP211" si="323">W194/32*10</f>
        <v>88.96875</v>
      </c>
      <c r="X211" s="311">
        <f t="shared" si="323"/>
        <v>120.5</v>
      </c>
      <c r="Y211" s="311">
        <f t="shared" si="323"/>
        <v>93.84375</v>
      </c>
      <c r="Z211" s="311">
        <f t="shared" si="323"/>
        <v>125.9375</v>
      </c>
      <c r="AA211" s="311">
        <f t="shared" si="323"/>
        <v>123.65625</v>
      </c>
      <c r="AB211" s="311">
        <f t="shared" si="323"/>
        <v>121.5</v>
      </c>
      <c r="AC211" s="311">
        <f t="shared" si="323"/>
        <v>126.46875</v>
      </c>
      <c r="AD211" s="311">
        <f t="shared" si="323"/>
        <v>107.625</v>
      </c>
      <c r="AE211" s="311">
        <f>AE194/32*10</f>
        <v>79.125</v>
      </c>
      <c r="AF211" s="311">
        <f>AF194/32*10</f>
        <v>119.65625</v>
      </c>
      <c r="AG211" s="311">
        <f>AG194/32*10</f>
        <v>121.092125</v>
      </c>
      <c r="AH211" s="311">
        <f t="shared" si="323"/>
        <v>122.5452305</v>
      </c>
      <c r="AI211" s="311">
        <f t="shared" si="323"/>
        <v>124.015773266</v>
      </c>
      <c r="AJ211" s="311">
        <f t="shared" si="323"/>
        <v>125.503962545192</v>
      </c>
      <c r="AK211" s="311">
        <f t="shared" si="323"/>
        <v>127.0100100957343</v>
      </c>
      <c r="AL211" s="311">
        <f t="shared" si="323"/>
        <v>128.53413021688311</v>
      </c>
      <c r="AM211" s="311">
        <f t="shared" si="323"/>
        <v>130.0765397794857</v>
      </c>
      <c r="AN211" s="311">
        <f t="shared" si="323"/>
        <v>131.63745825683952</v>
      </c>
      <c r="AO211" s="311">
        <f t="shared" si="323"/>
        <v>133.2171077559216</v>
      </c>
      <c r="AP211" s="311">
        <f t="shared" si="323"/>
        <v>134.81571304899268</v>
      </c>
    </row>
    <row r="212" spans="3:42"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3:42">
      <c r="W213" s="311">
        <f t="shared" ref="W213:AH213" si="324">W194/30*10</f>
        <v>94.9</v>
      </c>
      <c r="X213" s="311">
        <f t="shared" si="324"/>
        <v>128.53333333333333</v>
      </c>
      <c r="Y213" s="311">
        <f t="shared" si="324"/>
        <v>100.1</v>
      </c>
      <c r="Z213" s="311">
        <f t="shared" si="324"/>
        <v>134.33333333333334</v>
      </c>
      <c r="AA213" s="311">
        <f t="shared" si="324"/>
        <v>131.9</v>
      </c>
      <c r="AB213" s="311">
        <f t="shared" si="324"/>
        <v>129.60000000000002</v>
      </c>
      <c r="AC213" s="311">
        <f t="shared" si="324"/>
        <v>134.9</v>
      </c>
      <c r="AD213" s="311">
        <f t="shared" si="324"/>
        <v>114.79999999999998</v>
      </c>
      <c r="AE213" s="311">
        <f>AE194/30*10</f>
        <v>84.399999999999991</v>
      </c>
      <c r="AF213" s="311">
        <f t="shared" si="324"/>
        <v>127.63333333333333</v>
      </c>
      <c r="AG213" s="311">
        <f t="shared" si="324"/>
        <v>129.16493333333332</v>
      </c>
      <c r="AH213" s="311">
        <f t="shared" si="324"/>
        <v>130.71491253333332</v>
      </c>
      <c r="AI213" s="311">
        <f>AI194/30*10</f>
        <v>132.28349148373331</v>
      </c>
      <c r="AJ213" s="311">
        <f t="shared" ref="AJ213:AP213" si="325">AJ194/30*10</f>
        <v>133.87089338153811</v>
      </c>
      <c r="AK213" s="311">
        <f t="shared" si="325"/>
        <v>135.47734410211658</v>
      </c>
      <c r="AL213" s="311">
        <f t="shared" si="325"/>
        <v>137.103072231342</v>
      </c>
      <c r="AM213" s="311">
        <f t="shared" si="325"/>
        <v>138.74830909811809</v>
      </c>
      <c r="AN213" s="311">
        <f t="shared" si="325"/>
        <v>140.41328880729549</v>
      </c>
      <c r="AO213" s="311">
        <f t="shared" si="325"/>
        <v>142.09824827298303</v>
      </c>
      <c r="AP213" s="311">
        <f t="shared" si="325"/>
        <v>143.80342725225884</v>
      </c>
    </row>
    <row r="216" spans="3:42">
      <c r="C216" s="10" t="s">
        <v>7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4"/>
      <c r="W216" s="4">
        <f t="shared" ref="W216:AH216" si="326">W5-V5</f>
        <v>1363</v>
      </c>
      <c r="X216" s="4">
        <f t="shared" si="326"/>
        <v>1519.5119999999997</v>
      </c>
      <c r="Y216" s="4">
        <f t="shared" si="326"/>
        <v>162.38799999999992</v>
      </c>
      <c r="Z216" s="4">
        <f t="shared" si="326"/>
        <v>167.40000000000055</v>
      </c>
      <c r="AA216" s="4">
        <f t="shared" si="326"/>
        <v>-544.30000000000018</v>
      </c>
      <c r="AB216" s="4">
        <f t="shared" si="326"/>
        <v>4100</v>
      </c>
      <c r="AC216" s="4">
        <f t="shared" si="326"/>
        <v>481.89999999999964</v>
      </c>
      <c r="AD216" s="4">
        <f>AD5-AC5</f>
        <v>482.10000000000036</v>
      </c>
      <c r="AE216" s="4">
        <f>AE5-AD5</f>
        <v>3990.1000000000004</v>
      </c>
      <c r="AF216" s="4">
        <f>AF5-AE5</f>
        <v>6637.1</v>
      </c>
      <c r="AG216" s="4">
        <f>AG5-AF5</f>
        <v>6754.3317414085941</v>
      </c>
      <c r="AH216" s="4">
        <f t="shared" si="326"/>
        <v>3034.4496338015961</v>
      </c>
      <c r="AI216" s="4">
        <f>AI5-AH5</f>
        <v>10955.280367357307</v>
      </c>
      <c r="AJ216" s="4">
        <f>AJ5-AI5</f>
        <v>7303.0727749881698</v>
      </c>
      <c r="AK216" s="4">
        <f t="shared" ref="AK216:AP216" si="327">AK5-AJ5</f>
        <v>3113.1838213684314</v>
      </c>
      <c r="AL216" s="4">
        <f t="shared" si="327"/>
        <v>-13277.464288711046</v>
      </c>
      <c r="AM216" s="4">
        <f t="shared" si="327"/>
        <v>-11700.291741065335</v>
      </c>
      <c r="AN216" s="4">
        <f t="shared" si="327"/>
        <v>4233.2246794275088</v>
      </c>
      <c r="AO216" s="4">
        <f t="shared" si="327"/>
        <v>5926.3896775681205</v>
      </c>
      <c r="AP216" s="4">
        <f t="shared" si="327"/>
        <v>7216.9291660937524</v>
      </c>
    </row>
    <row r="217" spans="3:42">
      <c r="C217" s="12" t="s">
        <v>13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4"/>
      <c r="W217" s="4">
        <f t="shared" ref="W217:AH217" si="328">W8-V8</f>
        <v>1362</v>
      </c>
      <c r="X217" s="4">
        <f t="shared" si="328"/>
        <v>2408</v>
      </c>
      <c r="Y217" s="4">
        <f t="shared" si="328"/>
        <v>1744</v>
      </c>
      <c r="Z217" s="4">
        <f t="shared" si="328"/>
        <v>2432</v>
      </c>
      <c r="AA217" s="4">
        <f t="shared" si="328"/>
        <v>3102</v>
      </c>
      <c r="AB217" s="4">
        <f t="shared" si="328"/>
        <v>3259</v>
      </c>
      <c r="AC217" s="4">
        <f>AC8-AB8</f>
        <v>3395.7000000000007</v>
      </c>
      <c r="AD217" s="4">
        <f>AD8-AC8</f>
        <v>2751.0999999999985</v>
      </c>
      <c r="AE217" s="4">
        <f>AE8-AD8</f>
        <v>1815.7999999999993</v>
      </c>
      <c r="AF217" s="4">
        <f>AF8-AE8</f>
        <v>4319.8000000000029</v>
      </c>
      <c r="AG217" s="4">
        <f>AG8-AF8</f>
        <v>9025.9200679663991</v>
      </c>
      <c r="AH217" s="4">
        <f t="shared" si="328"/>
        <v>16718.451424378509</v>
      </c>
      <c r="AI217" s="4">
        <f>AI8-AH8</f>
        <v>12695.232953014885</v>
      </c>
      <c r="AJ217" s="4">
        <f>AJ8-AI8</f>
        <v>22142.143656740926</v>
      </c>
      <c r="AK217" s="4">
        <f t="shared" ref="AK217:AP217" si="329">AK8-AJ8</f>
        <v>-2039.5476818938769</v>
      </c>
      <c r="AL217" s="4">
        <f t="shared" si="329"/>
        <v>15459.438345310889</v>
      </c>
      <c r="AM217" s="4">
        <f t="shared" si="329"/>
        <v>10636.436546413534</v>
      </c>
      <c r="AN217" s="4">
        <f t="shared" si="329"/>
        <v>17453.451060858948</v>
      </c>
      <c r="AO217" s="4">
        <f t="shared" si="329"/>
        <v>12051.755736693711</v>
      </c>
      <c r="AP217" s="4">
        <f t="shared" si="329"/>
        <v>14971.332961085544</v>
      </c>
    </row>
    <row r="218" spans="3:42">
      <c r="C218" s="12" t="s">
        <v>27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4"/>
      <c r="W218" s="4">
        <f t="shared" ref="W218:AH218" si="330">W15-V15</f>
        <v>169</v>
      </c>
      <c r="X218" s="4">
        <f t="shared" si="330"/>
        <v>1011</v>
      </c>
      <c r="Y218" s="4">
        <f t="shared" si="330"/>
        <v>1959</v>
      </c>
      <c r="Z218" s="4">
        <f t="shared" si="330"/>
        <v>1120</v>
      </c>
      <c r="AA218" s="4">
        <f t="shared" si="330"/>
        <v>719</v>
      </c>
      <c r="AB218" s="4">
        <f t="shared" si="330"/>
        <v>580</v>
      </c>
      <c r="AC218" s="4">
        <f>AC15-AB15</f>
        <v>-485.19999999999982</v>
      </c>
      <c r="AD218" s="4">
        <f>AD15-AC15</f>
        <v>1361.4000000000005</v>
      </c>
      <c r="AE218" s="4">
        <f>AE15-AD15</f>
        <v>889</v>
      </c>
      <c r="AF218" s="4">
        <f t="shared" si="330"/>
        <v>1880.3999999999996</v>
      </c>
      <c r="AG218" s="4">
        <f>AG15-AF15</f>
        <v>966.91226453292802</v>
      </c>
      <c r="AH218" s="4">
        <f t="shared" si="330"/>
        <v>1624.1912216923247</v>
      </c>
      <c r="AI218" s="4">
        <f>AI15-AH15</f>
        <v>3054.7333830457992</v>
      </c>
      <c r="AJ218" s="4">
        <f>AJ15-AI15</f>
        <v>3688.1071115631566</v>
      </c>
      <c r="AK218" s="4">
        <f>AK15-AJ15</f>
        <v>1945.5703250085644</v>
      </c>
      <c r="AL218" s="4">
        <f t="shared" ref="AL218:AP218" si="331">AL15-AK15</f>
        <v>1789.7356501212962</v>
      </c>
      <c r="AM218" s="4">
        <f t="shared" si="331"/>
        <v>1901.0817322905896</v>
      </c>
      <c r="AN218" s="4">
        <f t="shared" si="331"/>
        <v>1995.0471252066163</v>
      </c>
      <c r="AO218" s="4">
        <f t="shared" si="331"/>
        <v>2153.5330711878632</v>
      </c>
      <c r="AP218" s="4">
        <f t="shared" si="331"/>
        <v>2305.2972623523528</v>
      </c>
    </row>
    <row r="219" spans="3:42" ht="22.5">
      <c r="C219" s="649" t="s">
        <v>1146</v>
      </c>
      <c r="D219" s="797"/>
      <c r="E219" s="797"/>
      <c r="F219" s="797"/>
      <c r="G219" s="797"/>
      <c r="H219" s="797"/>
      <c r="I219" s="797"/>
      <c r="J219" s="797"/>
      <c r="K219" s="797"/>
      <c r="L219" s="797"/>
      <c r="M219" s="797"/>
      <c r="N219" s="797"/>
      <c r="O219" s="797"/>
      <c r="P219" s="797"/>
      <c r="Q219" s="797"/>
      <c r="R219" s="797"/>
      <c r="S219" s="797"/>
      <c r="T219" s="797"/>
      <c r="U219" s="797"/>
      <c r="V219" s="4"/>
      <c r="W219" s="4">
        <f>W17-V17</f>
        <v>0</v>
      </c>
      <c r="X219" s="4">
        <f t="shared" ref="X219:AH219" si="332">X17-W17</f>
        <v>87.1</v>
      </c>
      <c r="Y219" s="4">
        <f t="shared" si="332"/>
        <v>45.400000000000006</v>
      </c>
      <c r="Z219" s="4">
        <f t="shared" si="332"/>
        <v>49.099999999999994</v>
      </c>
      <c r="AA219" s="4">
        <f t="shared" si="332"/>
        <v>-13.099999999999994</v>
      </c>
      <c r="AB219" s="4">
        <f t="shared" si="332"/>
        <v>16.099999999999994</v>
      </c>
      <c r="AC219" s="4">
        <f>AC17-AB17</f>
        <v>3.8000000000000114</v>
      </c>
      <c r="AD219" s="4">
        <f>AD17-AC17</f>
        <v>40.400000000000006</v>
      </c>
      <c r="AE219" s="4">
        <f>AE17-AD17</f>
        <v>79.300000000000011</v>
      </c>
      <c r="AF219" s="4">
        <f>AF17-AE17</f>
        <v>69.799999999999955</v>
      </c>
      <c r="AG219" s="4">
        <f>AG17-AF17</f>
        <v>17.768232233032109</v>
      </c>
      <c r="AH219" s="4">
        <f t="shared" si="332"/>
        <v>17.524872308435761</v>
      </c>
      <c r="AI219" s="4">
        <f>AI17-AH17</f>
        <v>14.637310276673816</v>
      </c>
      <c r="AJ219" s="4">
        <f>AJ17-AI17</f>
        <v>64.303880557355512</v>
      </c>
      <c r="AK219" s="4">
        <f>AK17-AJ17</f>
        <v>45.407245581439668</v>
      </c>
      <c r="AL219" s="4">
        <f t="shared" ref="AL219:AP219" si="333">AL17-AK17</f>
        <v>41.770253763794244</v>
      </c>
      <c r="AM219" s="4">
        <f t="shared" si="333"/>
        <v>44.368935925319306</v>
      </c>
      <c r="AN219" s="4">
        <f t="shared" si="333"/>
        <v>46.561973934508501</v>
      </c>
      <c r="AO219" s="4">
        <f t="shared" si="333"/>
        <v>50.260843195554344</v>
      </c>
      <c r="AP219" s="4">
        <f t="shared" si="333"/>
        <v>53.802834872799167</v>
      </c>
    </row>
    <row r="221" spans="3:42">
      <c r="C221" s="10" t="s">
        <v>7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>
        <f>V5/V4*100</f>
        <v>13.455231223351918</v>
      </c>
      <c r="W221">
        <f t="shared" ref="W221:AH221" si="334">W5/W4*100</f>
        <v>19.907223326706429</v>
      </c>
      <c r="X221">
        <f t="shared" si="334"/>
        <v>22.585362307494435</v>
      </c>
      <c r="Y221">
        <f t="shared" si="334"/>
        <v>19.611281540476856</v>
      </c>
      <c r="Z221">
        <f t="shared" si="334"/>
        <v>17.57595071939971</v>
      </c>
      <c r="AA221">
        <f t="shared" si="334"/>
        <v>13.949498219488508</v>
      </c>
      <c r="AB221">
        <f t="shared" si="334"/>
        <v>21.656493857683689</v>
      </c>
      <c r="AC221">
        <f>AC5/AC4*100</f>
        <v>21.057804809883137</v>
      </c>
      <c r="AD221">
        <f t="shared" si="334"/>
        <v>20.020933014354068</v>
      </c>
      <c r="AE221">
        <f t="shared" si="334"/>
        <v>24.829706980806037</v>
      </c>
      <c r="AF221">
        <f>AF5/AF4*100</f>
        <v>29.973578554718465</v>
      </c>
      <c r="AG221">
        <f>AG5/AG4*100</f>
        <v>32.044796911009975</v>
      </c>
      <c r="AH221">
        <f t="shared" si="334"/>
        <v>28.401389064237403</v>
      </c>
      <c r="AI221">
        <f>AI5/AI4*100</f>
        <v>30.959383445097334</v>
      </c>
      <c r="AJ221">
        <f t="shared" ref="AJ221:AP221" si="335">AJ5/AJ4*100</f>
        <v>29.154376807077902</v>
      </c>
      <c r="AK221">
        <f t="shared" si="335"/>
        <v>30.476676335897899</v>
      </c>
      <c r="AL221">
        <f t="shared" si="335"/>
        <v>22.040247580095997</v>
      </c>
      <c r="AM221">
        <f t="shared" si="335"/>
        <v>15.155319736325643</v>
      </c>
      <c r="AN221">
        <f t="shared" si="335"/>
        <v>15.479572148251098</v>
      </c>
      <c r="AO221">
        <f t="shared" si="335"/>
        <v>16.772908585423441</v>
      </c>
      <c r="AP221">
        <f t="shared" si="335"/>
        <v>18.057883683679488</v>
      </c>
    </row>
    <row r="222" spans="3:42">
      <c r="C222" s="12" t="s">
        <v>13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>
        <f>V8/V4*100</f>
        <v>65.644473597900955</v>
      </c>
      <c r="W222">
        <f t="shared" ref="W222:AH222" si="336">W8/W4*100</f>
        <v>62.080848243870115</v>
      </c>
      <c r="X222">
        <f t="shared" si="336"/>
        <v>58.796180165555988</v>
      </c>
      <c r="Y222">
        <f t="shared" si="336"/>
        <v>56.583479465470262</v>
      </c>
      <c r="Z222">
        <f t="shared" si="336"/>
        <v>57.769263362220379</v>
      </c>
      <c r="AA222">
        <f t="shared" si="336"/>
        <v>61.683392683716406</v>
      </c>
      <c r="AB222">
        <f t="shared" si="336"/>
        <v>57.464781477761463</v>
      </c>
      <c r="AC222">
        <f t="shared" si="336"/>
        <v>60.890212072550888</v>
      </c>
      <c r="AD222">
        <f t="shared" si="336"/>
        <v>60.790755297334243</v>
      </c>
      <c r="AE222">
        <f t="shared" si="336"/>
        <v>56.254482617662916</v>
      </c>
      <c r="AF222">
        <f t="shared" si="336"/>
        <v>51.846878507810288</v>
      </c>
      <c r="AG222">
        <f>AG8/AG4*100</f>
        <v>52.246713045800917</v>
      </c>
      <c r="AH222">
        <f t="shared" si="336"/>
        <v>57.529101267873628</v>
      </c>
      <c r="AI222">
        <f>AI8/AI4*100</f>
        <v>55.495390291388738</v>
      </c>
      <c r="AJ222">
        <f t="shared" ref="AJ222:AP222" si="337">AJ8/AJ4*100</f>
        <v>57.752016153525197</v>
      </c>
      <c r="AK222">
        <f t="shared" si="337"/>
        <v>55.482715868991065</v>
      </c>
      <c r="AL222">
        <f t="shared" si="337"/>
        <v>63.181432460137998</v>
      </c>
      <c r="AM222">
        <f t="shared" si="337"/>
        <v>69.01569132735365</v>
      </c>
      <c r="AN222">
        <f t="shared" si="337"/>
        <v>69.563915164253714</v>
      </c>
      <c r="AO222">
        <f t="shared" si="337"/>
        <v>68.646592407999407</v>
      </c>
      <c r="AP222">
        <f t="shared" si="337"/>
        <v>67.867390297342894</v>
      </c>
    </row>
    <row r="223" spans="3:42">
      <c r="C223" s="12" t="s">
        <v>27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>
        <f>V15/V4*100</f>
        <v>20.900295178747129</v>
      </c>
      <c r="W223">
        <f t="shared" ref="W223:AH223" si="338">W15/W4*100</f>
        <v>18.01192842942346</v>
      </c>
      <c r="X223">
        <f t="shared" si="338"/>
        <v>18.61845752694958</v>
      </c>
      <c r="Y223">
        <f t="shared" si="338"/>
        <v>23.805238994052875</v>
      </c>
      <c r="Z223">
        <f t="shared" si="338"/>
        <v>24.654785918379911</v>
      </c>
      <c r="AA223">
        <f t="shared" si="338"/>
        <v>24.36710909679508</v>
      </c>
      <c r="AB223">
        <f t="shared" si="338"/>
        <v>20.878724664554841</v>
      </c>
      <c r="AC223">
        <f t="shared" si="338"/>
        <v>18.051983117565975</v>
      </c>
      <c r="AD223">
        <f t="shared" si="338"/>
        <v>19.188311688311689</v>
      </c>
      <c r="AE223">
        <f t="shared" si="338"/>
        <v>18.343335996581136</v>
      </c>
      <c r="AF223">
        <f t="shared" si="338"/>
        <v>17.613197834130872</v>
      </c>
      <c r="AG223">
        <f t="shared" si="338"/>
        <v>15.234584976615965</v>
      </c>
      <c r="AH223">
        <f t="shared" si="338"/>
        <v>13.675563397188078</v>
      </c>
      <c r="AI223">
        <f>AI15/AI4*100</f>
        <v>13.220140833189594</v>
      </c>
      <c r="AJ223">
        <f t="shared" ref="AJ223:AP223" si="339">AJ15/AJ4*100</f>
        <v>12.794987587743009</v>
      </c>
      <c r="AK223">
        <f t="shared" si="339"/>
        <v>13.720390563293417</v>
      </c>
      <c r="AL223">
        <f t="shared" si="339"/>
        <v>14.441278089678367</v>
      </c>
      <c r="AM223">
        <f t="shared" si="339"/>
        <v>15.467984975977533</v>
      </c>
      <c r="AN223">
        <f t="shared" si="339"/>
        <v>14.615406863564809</v>
      </c>
      <c r="AO223">
        <f t="shared" si="339"/>
        <v>14.247968741610173</v>
      </c>
      <c r="AP223">
        <f t="shared" si="339"/>
        <v>13.753730669619769</v>
      </c>
    </row>
    <row r="224" spans="3:42" ht="22.5">
      <c r="C224" s="649" t="s">
        <v>1146</v>
      </c>
      <c r="D224" s="797"/>
      <c r="E224" s="797"/>
      <c r="F224" s="797"/>
      <c r="G224" s="797"/>
      <c r="H224" s="797"/>
      <c r="I224" s="797"/>
      <c r="J224" s="797"/>
      <c r="K224" s="797"/>
      <c r="L224" s="797"/>
      <c r="M224" s="797"/>
      <c r="N224" s="797"/>
      <c r="O224" s="797"/>
      <c r="P224" s="797"/>
      <c r="Q224" s="797"/>
      <c r="R224" s="797"/>
      <c r="S224" s="797"/>
      <c r="T224" s="797"/>
      <c r="U224" s="797"/>
      <c r="V224">
        <f>V17/V4*100</f>
        <v>0</v>
      </c>
      <c r="W224">
        <f t="shared" ref="W224:AH224" si="340">W17/W4*100</f>
        <v>0</v>
      </c>
      <c r="X224">
        <f t="shared" si="340"/>
        <v>0.43488003502207256</v>
      </c>
      <c r="Y224">
        <f t="shared" si="340"/>
        <v>0.55453483943600668</v>
      </c>
      <c r="Z224">
        <f t="shared" si="340"/>
        <v>0.65765410146559811</v>
      </c>
      <c r="AA224">
        <f t="shared" si="340"/>
        <v>0.54548397539656845</v>
      </c>
      <c r="AB224">
        <f t="shared" si="340"/>
        <v>0.47541785778670576</v>
      </c>
      <c r="AC224">
        <f t="shared" si="340"/>
        <v>0.44621921584788754</v>
      </c>
      <c r="AD224">
        <f t="shared" si="340"/>
        <v>0.48872180451127822</v>
      </c>
      <c r="AE224">
        <f t="shared" si="340"/>
        <v>0.57247440494992485</v>
      </c>
      <c r="AF224">
        <f t="shared" si="340"/>
        <v>0.56634510334037202</v>
      </c>
      <c r="AG224">
        <f t="shared" si="340"/>
        <v>0.47390506657315556</v>
      </c>
      <c r="AH224">
        <f t="shared" si="340"/>
        <v>0.39394627070089072</v>
      </c>
      <c r="AI224">
        <f>AI17/AI4*100</f>
        <v>0.32508543032433512</v>
      </c>
      <c r="AJ224">
        <f t="shared" ref="AJ224:AP224" si="341">AJ17/AJ4*100</f>
        <v>0.2986194516538801</v>
      </c>
      <c r="AK224">
        <f t="shared" si="341"/>
        <v>0.32021723181761047</v>
      </c>
      <c r="AL224">
        <f t="shared" si="341"/>
        <v>0.33704187008763237</v>
      </c>
      <c r="AM224">
        <f t="shared" si="341"/>
        <v>0.36100396034316523</v>
      </c>
      <c r="AN224">
        <f t="shared" si="341"/>
        <v>0.34110582393038125</v>
      </c>
      <c r="AO224">
        <f t="shared" si="341"/>
        <v>0.33253026496696841</v>
      </c>
      <c r="AP224">
        <f t="shared" si="341"/>
        <v>0.3209953493578569</v>
      </c>
    </row>
    <row r="225" spans="3:42">
      <c r="AE225" s="149">
        <f>AE223+AE224</f>
        <v>18.915810401531061</v>
      </c>
      <c r="AF225" s="149">
        <f t="shared" ref="AF225:AI225" si="342">AF223+AF224</f>
        <v>18.179542937471243</v>
      </c>
      <c r="AG225" s="149">
        <f t="shared" si="342"/>
        <v>15.708490043189121</v>
      </c>
      <c r="AH225" s="149">
        <f t="shared" si="342"/>
        <v>14.069509667888969</v>
      </c>
      <c r="AI225" s="149">
        <f t="shared" si="342"/>
        <v>13.54522626351393</v>
      </c>
      <c r="AJ225" s="149">
        <f t="shared" ref="AJ225:AP225" si="343">AJ223+AJ224</f>
        <v>13.09360703939689</v>
      </c>
      <c r="AK225" s="149">
        <f t="shared" si="343"/>
        <v>14.040607795111027</v>
      </c>
      <c r="AL225" s="149">
        <f t="shared" si="343"/>
        <v>14.778319959766</v>
      </c>
      <c r="AM225" s="149">
        <f t="shared" si="343"/>
        <v>15.828988936320698</v>
      </c>
      <c r="AN225" s="149">
        <f t="shared" si="343"/>
        <v>14.95651268749519</v>
      </c>
      <c r="AO225" s="149">
        <f t="shared" si="343"/>
        <v>14.58049900657714</v>
      </c>
      <c r="AP225" s="149">
        <f t="shared" si="343"/>
        <v>14.074726018977625</v>
      </c>
    </row>
    <row r="227" spans="3:42">
      <c r="C227" s="765" t="s">
        <v>1171</v>
      </c>
      <c r="AE227" s="765">
        <f>AE15+AE17</f>
        <v>10180.300000000001</v>
      </c>
      <c r="AF227" s="765">
        <f t="shared" ref="AF227:AK227" si="344">AF15+AF17</f>
        <v>12130.5</v>
      </c>
      <c r="AG227" s="765">
        <f>AG15+AG17</f>
        <v>13115.180496765961</v>
      </c>
      <c r="AH227" s="765">
        <f t="shared" si="344"/>
        <v>14756.896590766721</v>
      </c>
      <c r="AI227" s="765">
        <f t="shared" si="344"/>
        <v>17826.267284089194</v>
      </c>
      <c r="AJ227" s="765">
        <f t="shared" si="344"/>
        <v>21578.678276209706</v>
      </c>
      <c r="AK227" s="765">
        <f t="shared" si="344"/>
        <v>23569.655846799709</v>
      </c>
    </row>
    <row r="230" spans="3:42">
      <c r="C230" s="149" t="s">
        <v>1168</v>
      </c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AC230" s="762">
        <f>AC231+AC232+AC233</f>
        <v>42409.799999999996</v>
      </c>
      <c r="AD230" s="762">
        <f t="shared" ref="AD230:AJ230" si="345">AD231+AD232+AD233</f>
        <v>47044.800000000003</v>
      </c>
      <c r="AE230" s="762">
        <f t="shared" si="345"/>
        <v>53819</v>
      </c>
      <c r="AF230" s="762">
        <f t="shared" si="345"/>
        <v>66726.100000000006</v>
      </c>
      <c r="AG230" s="762">
        <f>AG231+AG232+AG233</f>
        <v>99935.216621873406</v>
      </c>
      <c r="AH230" s="762">
        <f t="shared" si="345"/>
        <v>93736.78966691083</v>
      </c>
      <c r="AI230" s="762">
        <f t="shared" si="345"/>
        <v>107073.70065169509</v>
      </c>
      <c r="AJ230" s="762">
        <f t="shared" si="345"/>
        <v>116281.08738994863</v>
      </c>
      <c r="AK230" s="762">
        <f>AK231+AK232+AK233</f>
        <v>125032.47553893595</v>
      </c>
      <c r="AL230" s="762">
        <f t="shared" ref="AL230:AP230" si="346">AL231+AL232+AL233</f>
        <v>140359.18148908895</v>
      </c>
      <c r="AM230" s="762">
        <f t="shared" si="346"/>
        <v>144865.56366041244</v>
      </c>
      <c r="AN230" s="762">
        <f t="shared" si="346"/>
        <v>0</v>
      </c>
      <c r="AO230" s="762">
        <f t="shared" si="346"/>
        <v>0</v>
      </c>
      <c r="AP230" s="762">
        <f t="shared" si="346"/>
        <v>0</v>
      </c>
    </row>
    <row r="231" spans="3:42">
      <c r="C231" s="761" t="s">
        <v>1169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AC231" s="763">
        <f t="shared" ref="AC231:AE231" si="347">AC5</f>
        <v>8890.9</v>
      </c>
      <c r="AD231" s="763">
        <f t="shared" si="347"/>
        <v>9373</v>
      </c>
      <c r="AE231" s="763">
        <f t="shared" si="347"/>
        <v>13363.1</v>
      </c>
      <c r="AF231" s="763">
        <f>AF5</f>
        <v>20000.2</v>
      </c>
      <c r="AG231" s="763">
        <v>26754.531741408598</v>
      </c>
      <c r="AH231" s="763">
        <v>21288.941652044607</v>
      </c>
      <c r="AI231" s="763">
        <v>22207.608962475566</v>
      </c>
      <c r="AJ231" s="763">
        <v>24098.185425807689</v>
      </c>
      <c r="AK231" s="763">
        <v>25148.554500180559</v>
      </c>
      <c r="AL231" s="763">
        <v>27020.608318743136</v>
      </c>
      <c r="AM231" s="763">
        <v>26697.519290522727</v>
      </c>
    </row>
    <row r="232" spans="3:42">
      <c r="C232" s="761" t="s">
        <v>1170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AC232" s="763">
        <f t="shared" ref="AC232:AE232" si="348">AC8</f>
        <v>25708.7</v>
      </c>
      <c r="AD232" s="763">
        <f t="shared" si="348"/>
        <v>28459.8</v>
      </c>
      <c r="AE232" s="763">
        <f t="shared" si="348"/>
        <v>30275.599999999999</v>
      </c>
      <c r="AF232" s="763">
        <f>AF8</f>
        <v>34595.4</v>
      </c>
      <c r="AG232" s="763">
        <v>60065.504064839799</v>
      </c>
      <c r="AH232" s="763">
        <v>57690.95143686622</v>
      </c>
      <c r="AI232" s="763">
        <v>67039.824789219521</v>
      </c>
      <c r="AJ232" s="763">
        <v>72604.223684140947</v>
      </c>
      <c r="AK232" s="763">
        <v>79559.664124055387</v>
      </c>
      <c r="AL232" s="763">
        <v>89765.369219445827</v>
      </c>
      <c r="AM232" s="763">
        <v>94040.202924689729</v>
      </c>
    </row>
    <row r="233" spans="3:42">
      <c r="C233" s="761" t="s">
        <v>1171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AC233" s="1274">
        <f t="shared" ref="AC233:AE233" si="349">AC15+AC17</f>
        <v>7810.2</v>
      </c>
      <c r="AD233" s="1274">
        <f t="shared" si="349"/>
        <v>9212</v>
      </c>
      <c r="AE233" s="1274">
        <f t="shared" si="349"/>
        <v>10180.300000000001</v>
      </c>
      <c r="AF233" s="1274">
        <f>AF15+AF17</f>
        <v>12130.5</v>
      </c>
      <c r="AG233" s="763">
        <v>13115.180815625006</v>
      </c>
      <c r="AH233" s="763">
        <f>14420.3433+336.553278</f>
        <v>14756.896578</v>
      </c>
      <c r="AI233" s="763">
        <f>17419.712+406.5549</f>
        <v>17826.266899999999</v>
      </c>
      <c r="AJ233" s="763">
        <f>19132.157+446.52128</f>
        <v>19578.67828</v>
      </c>
      <c r="AK233" s="763">
        <f>19860.73159+463.5253247</f>
        <v>20324.256914699999</v>
      </c>
      <c r="AL233" s="763">
        <f>23035.58149+537.6224609</f>
        <v>23573.203950899999</v>
      </c>
      <c r="AM233" s="763">
        <f>23577.56964+550.2718052</f>
        <v>24127.8414452</v>
      </c>
    </row>
    <row r="234" spans="3:42">
      <c r="C234" s="764" t="s">
        <v>1169</v>
      </c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AC234">
        <f>AC221*AC230/100</f>
        <v>8930.5729042618168</v>
      </c>
      <c r="AD234">
        <f>AD221*AD230/100</f>
        <v>9418.8078947368431</v>
      </c>
      <c r="AE234">
        <f>AE221*AE230/100</f>
        <v>13363.1</v>
      </c>
      <c r="AF234">
        <f>AF221*AF230/100</f>
        <v>20000.2</v>
      </c>
      <c r="AG234">
        <f>AG221*AG230/100</f>
        <v>32024.037209057216</v>
      </c>
      <c r="AH234">
        <f t="shared" ref="AH234:AJ234" si="350">AH221*AH230/100</f>
        <v>26622.550329625228</v>
      </c>
      <c r="AI234">
        <f t="shared" si="350"/>
        <v>33149.357553613969</v>
      </c>
      <c r="AJ234">
        <f t="shared" si="350"/>
        <v>33901.026373033172</v>
      </c>
      <c r="AK234">
        <f>AK221*AK230/100</f>
        <v>38105.742884762221</v>
      </c>
      <c r="AL234">
        <f t="shared" ref="AL234:AP234" si="351">AL221*AL230/100</f>
        <v>30935.511101591474</v>
      </c>
      <c r="AM234">
        <f t="shared" si="351"/>
        <v>21954.839360565875</v>
      </c>
      <c r="AN234">
        <f t="shared" si="351"/>
        <v>0</v>
      </c>
      <c r="AO234">
        <f t="shared" si="351"/>
        <v>0</v>
      </c>
      <c r="AP234">
        <f t="shared" si="351"/>
        <v>0</v>
      </c>
    </row>
    <row r="235" spans="3:42">
      <c r="C235" s="764" t="s">
        <v>1170</v>
      </c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AC235">
        <f>AC222*AC230/100</f>
        <v>25823.417159544686</v>
      </c>
      <c r="AD235">
        <f>AD222*AD230/100</f>
        <v>28598.8892481203</v>
      </c>
      <c r="AE235">
        <f>AE222*AE230/100</f>
        <v>30275.600000000006</v>
      </c>
      <c r="AF235">
        <f>AF222*AF230/100</f>
        <v>34595.4</v>
      </c>
      <c r="AG235">
        <f t="shared" ref="AG235:AK235" si="352">AG222*AG230/100</f>
        <v>52212.865860129736</v>
      </c>
      <c r="AH235">
        <f t="shared" si="352"/>
        <v>53925.932652730829</v>
      </c>
      <c r="AI235">
        <f t="shared" si="352"/>
        <v>59420.968076091434</v>
      </c>
      <c r="AJ235">
        <f t="shared" si="352"/>
        <v>67154.672372937886</v>
      </c>
      <c r="AK235">
        <f t="shared" si="352"/>
        <v>69371.413147233587</v>
      </c>
      <c r="AL235">
        <f t="shared" ref="AL235:AP235" si="353">AL222*AL230/100</f>
        <v>88680.941454131244</v>
      </c>
      <c r="AM235">
        <f t="shared" si="353"/>
        <v>99979.970255501248</v>
      </c>
      <c r="AN235">
        <f t="shared" si="353"/>
        <v>0</v>
      </c>
      <c r="AO235">
        <f t="shared" si="353"/>
        <v>0</v>
      </c>
      <c r="AP235">
        <f t="shared" si="353"/>
        <v>0</v>
      </c>
    </row>
    <row r="236" spans="3:42">
      <c r="C236" s="13" t="s">
        <v>1172</v>
      </c>
      <c r="AC236">
        <f>AC223*AC230/100</f>
        <v>7655.8099361934947</v>
      </c>
      <c r="AD236">
        <f>AD223*AD230/100</f>
        <v>9027.1028571428578</v>
      </c>
      <c r="AE236">
        <f>AE223*AE230/100</f>
        <v>9872.2000000000007</v>
      </c>
      <c r="AF236">
        <f t="shared" ref="AF236:AK236" si="354">AF223*AF230/100</f>
        <v>11752.6</v>
      </c>
      <c r="AG236">
        <f>AG223*AG230/100</f>
        <v>15224.715497824547</v>
      </c>
      <c r="AH236">
        <f>AH223*AH230/100</f>
        <v>12819.034097387233</v>
      </c>
      <c r="AI236">
        <f t="shared" si="354"/>
        <v>14155.294021461938</v>
      </c>
      <c r="AJ236">
        <f t="shared" si="354"/>
        <v>14878.15069843653</v>
      </c>
      <c r="AK236">
        <f t="shared" si="354"/>
        <v>17154.94397489632</v>
      </c>
      <c r="AL236">
        <f t="shared" ref="AL236:AP236" si="355">AL223*AL230/100</f>
        <v>20269.659723235698</v>
      </c>
      <c r="AM236">
        <f t="shared" si="355"/>
        <v>22407.783622357765</v>
      </c>
      <c r="AN236">
        <f t="shared" si="355"/>
        <v>0</v>
      </c>
      <c r="AO236">
        <f t="shared" si="355"/>
        <v>0</v>
      </c>
      <c r="AP236">
        <f t="shared" si="355"/>
        <v>0</v>
      </c>
    </row>
    <row r="237" spans="3:42">
      <c r="C237" s="13" t="s">
        <v>1173</v>
      </c>
      <c r="AE237">
        <f>AE224*AE230/100</f>
        <v>308.10000000000008</v>
      </c>
      <c r="AF237">
        <f t="shared" ref="AF237:AK237" si="356">AF224*AF230/100</f>
        <v>377.9</v>
      </c>
      <c r="AG237">
        <f t="shared" si="356"/>
        <v>473.59805486191641</v>
      </c>
      <c r="AH237">
        <f t="shared" si="356"/>
        <v>369.27258716753312</v>
      </c>
      <c r="AI237">
        <f t="shared" si="356"/>
        <v>348.08100052775342</v>
      </c>
      <c r="AJ237">
        <f t="shared" si="356"/>
        <v>347.2379455410337</v>
      </c>
      <c r="AK237">
        <f t="shared" si="356"/>
        <v>400.37553204381163</v>
      </c>
      <c r="AL237">
        <f t="shared" ref="AL237:AP237" si="357">AL224*AL230/100</f>
        <v>473.06921013051937</v>
      </c>
      <c r="AM237">
        <f t="shared" si="357"/>
        <v>522.97042198753809</v>
      </c>
      <c r="AN237">
        <f t="shared" si="357"/>
        <v>0</v>
      </c>
      <c r="AO237">
        <f t="shared" si="357"/>
        <v>0</v>
      </c>
      <c r="AP237">
        <f t="shared" si="357"/>
        <v>0</v>
      </c>
    </row>
    <row r="238" spans="3:42">
      <c r="C238" s="765" t="s">
        <v>1171</v>
      </c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AE238" s="112">
        <f t="shared" ref="AE238:AK238" si="358">AE225*AE230/100</f>
        <v>10180.300000000003</v>
      </c>
      <c r="AF238" s="112">
        <f t="shared" si="358"/>
        <v>12130.5</v>
      </c>
      <c r="AG238" s="112">
        <f t="shared" si="358"/>
        <v>15698.313552686463</v>
      </c>
      <c r="AH238" s="112">
        <f>AH225*AH230/100</f>
        <v>13188.306684554766</v>
      </c>
      <c r="AI238" s="112">
        <f t="shared" si="358"/>
        <v>14503.37502198969</v>
      </c>
      <c r="AJ238" s="112">
        <f t="shared" si="358"/>
        <v>15225.388643977563</v>
      </c>
      <c r="AK238" s="112">
        <f t="shared" si="358"/>
        <v>17555.31950694013</v>
      </c>
      <c r="AL238" s="112">
        <f t="shared" ref="AL238:AP238" si="359">AL225*AL230/100</f>
        <v>20742.728933366216</v>
      </c>
      <c r="AM238" s="112">
        <f t="shared" si="359"/>
        <v>22930.754044345304</v>
      </c>
      <c r="AN238" s="112">
        <f t="shared" si="359"/>
        <v>0</v>
      </c>
      <c r="AO238" s="112">
        <f t="shared" si="359"/>
        <v>0</v>
      </c>
      <c r="AP238" s="112">
        <f t="shared" si="359"/>
        <v>0</v>
      </c>
    </row>
    <row r="242" spans="3:42">
      <c r="V242" s="1225">
        <v>12196</v>
      </c>
      <c r="W242" s="1225">
        <v>15090</v>
      </c>
      <c r="X242" s="1225">
        <v>20028.511999999999</v>
      </c>
      <c r="Y242" s="1225">
        <v>23893.9</v>
      </c>
      <c r="Z242" s="1225">
        <v>27613.3</v>
      </c>
      <c r="AA242" s="1225">
        <v>30890</v>
      </c>
      <c r="AB242" s="1225">
        <v>38829</v>
      </c>
      <c r="AC242" s="1225">
        <v>42221.4</v>
      </c>
      <c r="AD242" s="1225">
        <v>46816</v>
      </c>
      <c r="AE242" s="1225">
        <v>53818.999999999993</v>
      </c>
      <c r="AF242" s="1225">
        <v>66726.100000000006</v>
      </c>
      <c r="AG242" s="1226">
        <v>79702.28454677196</v>
      </c>
      <c r="AH242" s="1225">
        <v>93736.78971473343</v>
      </c>
      <c r="AI242" s="1225">
        <v>107073.70097819403</v>
      </c>
      <c r="AJ242" s="1225">
        <v>116281.0873288474</v>
      </c>
      <c r="AK242" s="1225">
        <v>125032.47553672975</v>
      </c>
      <c r="AL242" s="1225">
        <v>140359.18149281837</v>
      </c>
      <c r="AM242" s="1225">
        <v>144865.56365990144</v>
      </c>
      <c r="AN242" s="1225">
        <v>162791.0376146911</v>
      </c>
      <c r="AO242" s="1225">
        <v>189349.87076840486</v>
      </c>
      <c r="AP242" s="1225">
        <v>214158.31527216721</v>
      </c>
    </row>
    <row r="243" spans="3:42">
      <c r="W243">
        <f>W242-V242</f>
        <v>2894</v>
      </c>
      <c r="X243">
        <f t="shared" ref="X243:AP243" si="360">X242-W242</f>
        <v>4938.5119999999988</v>
      </c>
      <c r="Y243">
        <f t="shared" si="360"/>
        <v>3865.3880000000026</v>
      </c>
      <c r="Z243">
        <f t="shared" si="360"/>
        <v>3719.3999999999978</v>
      </c>
      <c r="AA243">
        <f t="shared" si="360"/>
        <v>3276.7000000000007</v>
      </c>
      <c r="AB243">
        <f t="shared" si="360"/>
        <v>7939</v>
      </c>
      <c r="AC243">
        <f t="shared" si="360"/>
        <v>3392.4000000000015</v>
      </c>
      <c r="AD243">
        <f t="shared" si="360"/>
        <v>4594.5999999999985</v>
      </c>
      <c r="AE243">
        <f t="shared" si="360"/>
        <v>7002.9999999999927</v>
      </c>
      <c r="AF243">
        <f>AF242-AE242</f>
        <v>12907.100000000013</v>
      </c>
      <c r="AG243">
        <f>AG242-AF242</f>
        <v>12976.184546771954</v>
      </c>
      <c r="AH243">
        <f t="shared" si="360"/>
        <v>14034.50516796147</v>
      </c>
      <c r="AI243">
        <f t="shared" si="360"/>
        <v>13336.911263460599</v>
      </c>
      <c r="AJ243">
        <f>AJ242-AI242</f>
        <v>9207.3863506533671</v>
      </c>
      <c r="AK243">
        <f t="shared" si="360"/>
        <v>8751.3882078823517</v>
      </c>
      <c r="AL243">
        <f t="shared" si="360"/>
        <v>15326.705956088626</v>
      </c>
      <c r="AM243">
        <f t="shared" si="360"/>
        <v>4506.3821670830657</v>
      </c>
      <c r="AN243">
        <f t="shared" si="360"/>
        <v>17925.473954789661</v>
      </c>
      <c r="AO243">
        <f t="shared" si="360"/>
        <v>26558.833153713756</v>
      </c>
      <c r="AP243">
        <f t="shared" si="360"/>
        <v>24808.444503762352</v>
      </c>
    </row>
    <row r="247" spans="3:42">
      <c r="AG247" s="112">
        <v>78920.577575746225</v>
      </c>
      <c r="AH247" s="112">
        <v>92390.305799999915</v>
      </c>
      <c r="AI247" s="112">
        <v>105769.00614999991</v>
      </c>
      <c r="AJ247" s="112">
        <v>113090.26774499999</v>
      </c>
      <c r="AK247" s="112">
        <v>119631.54509009991</v>
      </c>
      <c r="AM247" t="s">
        <v>358</v>
      </c>
    </row>
    <row r="248" spans="3:42">
      <c r="AG248" s="112">
        <v>120.05434553309894</v>
      </c>
      <c r="AH248" s="112">
        <v>119.94615532903188</v>
      </c>
      <c r="AI248" s="112">
        <v>120.12658150775236</v>
      </c>
      <c r="AJ248" s="112">
        <v>120.12350831746846</v>
      </c>
      <c r="AK248" s="112">
        <v>120.34598462650487</v>
      </c>
    </row>
    <row r="249" spans="3:42">
      <c r="AH249">
        <f>AH247-AG247</f>
        <v>13469.728224253689</v>
      </c>
      <c r="AI249">
        <f t="shared" ref="AI249" si="361">AI247-AH247</f>
        <v>13378.700349999999</v>
      </c>
      <c r="AJ249">
        <f>AJ247-AI247</f>
        <v>7321.2615950000763</v>
      </c>
      <c r="AK249">
        <f>AK247-AJ247</f>
        <v>6541.277345099923</v>
      </c>
    </row>
    <row r="253" spans="3:42">
      <c r="AG253" s="1277">
        <v>125</v>
      </c>
      <c r="AH253" s="1277">
        <v>125</v>
      </c>
      <c r="AI253" s="1277">
        <v>125.1</v>
      </c>
      <c r="AJ253" s="1277">
        <v>125.1</v>
      </c>
      <c r="AK253" s="1277">
        <v>120.5</v>
      </c>
      <c r="AL253" s="1277">
        <v>119.99169826056432</v>
      </c>
      <c r="AM253" s="1277">
        <v>119.87289486753829</v>
      </c>
      <c r="AN253" s="1277">
        <v>120.87289486753799</v>
      </c>
      <c r="AO253" s="1277">
        <v>121.87289486753799</v>
      </c>
      <c r="AP253" s="1277">
        <v>122.87289486753799</v>
      </c>
    </row>
    <row r="254" spans="3:42">
      <c r="C254" s="1264" t="s">
        <v>1203</v>
      </c>
      <c r="AG254">
        <f>AF3*AG253/100</f>
        <v>83407.625000000015</v>
      </c>
      <c r="AH254">
        <f>AG255*AH253/100</f>
        <v>104363.79078125001</v>
      </c>
      <c r="AI254">
        <f t="shared" ref="AI254:AP254" si="362">AH255*AI253/100</f>
        <v>131211.89777868046</v>
      </c>
      <c r="AJ254">
        <f>AI255*AJ253/100</f>
        <v>164638.5223734926</v>
      </c>
      <c r="AK254">
        <f t="shared" si="362"/>
        <v>198587.80887951862</v>
      </c>
      <c r="AL254">
        <f t="shared" si="362"/>
        <v>238527.1732973911</v>
      </c>
      <c r="AM254">
        <f t="shared" si="362"/>
        <v>288529.82447717345</v>
      </c>
      <c r="AN254">
        <f t="shared" si="362"/>
        <v>332005.09841824858</v>
      </c>
      <c r="AO254">
        <f t="shared" si="362"/>
        <v>407284.65019228292</v>
      </c>
      <c r="AP254">
        <f t="shared" si="362"/>
        <v>509910.06678664841</v>
      </c>
    </row>
    <row r="255" spans="3:42">
      <c r="C255" s="1281" t="s">
        <v>1209</v>
      </c>
      <c r="AB255">
        <v>38829</v>
      </c>
      <c r="AC255">
        <v>42221.4</v>
      </c>
      <c r="AD255">
        <v>46816</v>
      </c>
      <c r="AE255">
        <v>53818.999999999993</v>
      </c>
      <c r="AF255">
        <v>66726.100000000006</v>
      </c>
      <c r="AG255" s="1276">
        <f>AG254*AG256/100</f>
        <v>83491.032625000007</v>
      </c>
      <c r="AH255" s="1276">
        <f>AH254*AH256/100</f>
        <v>104885.60973515626</v>
      </c>
      <c r="AI255" s="1276">
        <f>AI254*AI256/100</f>
        <v>131605.53347201648</v>
      </c>
      <c r="AJ255" s="1276">
        <f>AJ254*AJ256/100</f>
        <v>164803.16089586608</v>
      </c>
      <c r="AK255" s="1276">
        <f>AK254*AK256/100</f>
        <v>198786.39668839812</v>
      </c>
      <c r="AL255" s="1276">
        <f t="shared" ref="AL255:AP255" si="363">AL254*AL256/100</f>
        <v>240696.46836843647</v>
      </c>
      <c r="AM255" s="1276">
        <f t="shared" si="363"/>
        <v>274672.9105661661</v>
      </c>
      <c r="AN255" s="1276">
        <f t="shared" si="363"/>
        <v>334188.04947150481</v>
      </c>
      <c r="AO255" s="1276">
        <f t="shared" si="363"/>
        <v>414989.8700900246</v>
      </c>
      <c r="AP255" s="1276">
        <f t="shared" si="363"/>
        <v>475481.97338860767</v>
      </c>
    </row>
    <row r="256" spans="3:42">
      <c r="C256" s="1282" t="s">
        <v>1210</v>
      </c>
      <c r="AG256">
        <v>100.1</v>
      </c>
      <c r="AH256">
        <v>100.5</v>
      </c>
      <c r="AI256">
        <v>100.3</v>
      </c>
      <c r="AJ256" s="85">
        <v>100.1</v>
      </c>
      <c r="AK256" s="85">
        <v>100.1</v>
      </c>
      <c r="AL256">
        <v>100.90945406389432</v>
      </c>
      <c r="AM256">
        <v>95.197406737373996</v>
      </c>
      <c r="AN256">
        <v>100.65750528038767</v>
      </c>
      <c r="AO256">
        <v>101.89185128732547</v>
      </c>
      <c r="AP256">
        <v>93.248202841924709</v>
      </c>
    </row>
    <row r="257" spans="29:37">
      <c r="AG257" s="85"/>
      <c r="AH257" s="85"/>
      <c r="AI257" s="85"/>
      <c r="AJ257" s="85"/>
      <c r="AK257" s="85"/>
    </row>
    <row r="260" spans="29:37">
      <c r="AC260">
        <f>AC255-AB255</f>
        <v>3392.4000000000015</v>
      </c>
      <c r="AD260">
        <f t="shared" ref="AD260:AE260" si="364">AD255-AC255</f>
        <v>4594.5999999999985</v>
      </c>
      <c r="AE260">
        <f t="shared" si="364"/>
        <v>7002.9999999999927</v>
      </c>
      <c r="AF260">
        <f t="shared" ref="AF260:AK260" si="365">AF255-AE255</f>
        <v>12907.100000000013</v>
      </c>
      <c r="AG260">
        <f t="shared" si="365"/>
        <v>16764.932625000001</v>
      </c>
      <c r="AH260">
        <f t="shared" si="365"/>
        <v>21394.577110156257</v>
      </c>
      <c r="AI260">
        <f t="shared" si="365"/>
        <v>26719.923736860219</v>
      </c>
      <c r="AJ260">
        <f t="shared" si="365"/>
        <v>33197.627423849597</v>
      </c>
      <c r="AK260">
        <f t="shared" si="365"/>
        <v>33983.235792532039</v>
      </c>
    </row>
    <row r="262" spans="29:37">
      <c r="AG262">
        <f>AG255-AG3</f>
        <v>-1.1266254063230008E-2</v>
      </c>
      <c r="AH262">
        <f>AH255-AH3</f>
        <v>4.8571669030934572E-2</v>
      </c>
      <c r="AI262">
        <f>AI255-AI3</f>
        <v>8.15182963560801E-2</v>
      </c>
      <c r="AJ262">
        <f t="shared" ref="AJ262" si="366">AJ255-AJ3</f>
        <v>-6.4140784204937518E-2</v>
      </c>
      <c r="AK262">
        <f>AK255-AK3</f>
        <v>30918.622082467453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D2A3-2A3A-4508-BE97-9B811FCBEA2D}">
  <dimension ref="B1:X213"/>
  <sheetViews>
    <sheetView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R4" sqref="R4"/>
    </sheetView>
  </sheetViews>
  <sheetFormatPr defaultRowHeight="15"/>
  <cols>
    <col min="1" max="1" width="3.5703125" customWidth="1"/>
    <col min="2" max="2" width="7.28515625" style="5" customWidth="1"/>
    <col min="3" max="3" width="37.5703125" style="13" customWidth="1"/>
    <col min="5" max="6" width="9.5703125" bestFit="1" customWidth="1"/>
    <col min="7" max="13" width="9.28515625" bestFit="1" customWidth="1"/>
    <col min="14" max="14" width="9.85546875" bestFit="1" customWidth="1"/>
    <col min="15" max="17" width="9.28515625" bestFit="1" customWidth="1"/>
    <col min="18" max="18" width="9.85546875" bestFit="1" customWidth="1"/>
  </cols>
  <sheetData>
    <row r="1" spans="2:24">
      <c r="B1" s="1" t="s">
        <v>0</v>
      </c>
      <c r="C1" s="2" t="s">
        <v>1</v>
      </c>
      <c r="D1" s="5">
        <v>2015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111">
        <v>2025</v>
      </c>
      <c r="O1" s="111">
        <v>2026</v>
      </c>
      <c r="P1" s="111">
        <v>2027</v>
      </c>
      <c r="Q1" s="111">
        <v>2028</v>
      </c>
      <c r="R1" s="111">
        <v>2029</v>
      </c>
      <c r="S1" s="111">
        <v>2030</v>
      </c>
      <c r="T1" s="111">
        <v>2031</v>
      </c>
      <c r="U1" s="111">
        <v>2032</v>
      </c>
      <c r="V1" s="111">
        <v>2033</v>
      </c>
      <c r="W1" s="111">
        <v>2034</v>
      </c>
      <c r="X1" s="111">
        <v>2035</v>
      </c>
    </row>
    <row r="2" spans="2:24">
      <c r="B2" s="3"/>
      <c r="C2" s="4" t="s">
        <v>2</v>
      </c>
      <c r="D2" s="4"/>
      <c r="E2" s="4">
        <f>E4-D4</f>
        <v>2894</v>
      </c>
      <c r="F2" s="4">
        <f t="shared" ref="F2:Q2" si="0">F4-E4</f>
        <v>4938.5119999999988</v>
      </c>
      <c r="G2" s="4">
        <f t="shared" si="0"/>
        <v>3865.3880000000026</v>
      </c>
      <c r="H2" s="4">
        <f t="shared" si="0"/>
        <v>3719.3999999999978</v>
      </c>
      <c r="I2" s="4">
        <f t="shared" si="0"/>
        <v>3276.7000000000007</v>
      </c>
      <c r="J2" s="4">
        <f t="shared" si="0"/>
        <v>7939</v>
      </c>
      <c r="K2" s="4">
        <f t="shared" si="0"/>
        <v>3392.4000000000015</v>
      </c>
      <c r="L2" s="4">
        <f t="shared" si="0"/>
        <v>4594.5999999999985</v>
      </c>
      <c r="M2" s="4">
        <f>M4-L4</f>
        <v>7002.9999999999927</v>
      </c>
      <c r="N2" s="4">
        <f t="shared" si="0"/>
        <v>12907.100000000013</v>
      </c>
      <c r="O2" s="4">
        <f t="shared" si="0"/>
        <v>12976.184546771954</v>
      </c>
      <c r="P2" s="4">
        <f t="shared" si="0"/>
        <v>14034.47374753005</v>
      </c>
      <c r="Q2" s="4">
        <f t="shared" si="0"/>
        <v>13337.514761661543</v>
      </c>
      <c r="R2" s="4">
        <f t="shared" ref="R2" si="1">R4-Q4</f>
        <v>9206.4956316778553</v>
      </c>
      <c r="S2" s="4">
        <f t="shared" ref="S2" si="2">S4-R4</f>
        <v>8750.8954022477556</v>
      </c>
      <c r="T2" s="4">
        <f t="shared" ref="T2" si="3">T4-S4</f>
        <v>15327.473329820248</v>
      </c>
      <c r="U2" s="4">
        <f t="shared" ref="U2" si="4">U4-T4</f>
        <v>4507.2099766752508</v>
      </c>
      <c r="V2" s="4">
        <f t="shared" ref="V2" si="5">V4-U4</f>
        <v>17924.690218306438</v>
      </c>
      <c r="W2" s="4">
        <f t="shared" ref="W2" si="6">W4-V4</f>
        <v>26558.833153713756</v>
      </c>
      <c r="X2" s="4">
        <f t="shared" ref="X2" si="7">X4-W4</f>
        <v>24808.444503762352</v>
      </c>
    </row>
    <row r="3" spans="2:24">
      <c r="C3" s="6" t="s">
        <v>3</v>
      </c>
      <c r="N3" s="112"/>
      <c r="O3" s="112"/>
      <c r="P3" s="112"/>
      <c r="Q3" s="112"/>
    </row>
    <row r="4" spans="2:24">
      <c r="B4" s="7" t="s">
        <v>4</v>
      </c>
      <c r="C4" s="8" t="s">
        <v>5</v>
      </c>
      <c r="D4">
        <f t="shared" ref="D4:L4" si="8">D5+D8+D15</f>
        <v>12196</v>
      </c>
      <c r="E4">
        <f t="shared" si="8"/>
        <v>15090</v>
      </c>
      <c r="F4">
        <f t="shared" si="8"/>
        <v>20028.511999999999</v>
      </c>
      <c r="G4">
        <f t="shared" si="8"/>
        <v>23893.9</v>
      </c>
      <c r="H4">
        <f t="shared" si="8"/>
        <v>27613.3</v>
      </c>
      <c r="I4">
        <f t="shared" si="8"/>
        <v>30890</v>
      </c>
      <c r="J4">
        <f t="shared" si="8"/>
        <v>38829</v>
      </c>
      <c r="K4">
        <f t="shared" si="8"/>
        <v>42221.4</v>
      </c>
      <c r="L4">
        <f t="shared" si="8"/>
        <v>46816</v>
      </c>
      <c r="M4">
        <f>M5+M8+M15+M17</f>
        <v>53818.999999999993</v>
      </c>
      <c r="N4">
        <f t="shared" ref="N4:X4" si="9">N5+N8+N15+N17</f>
        <v>66726.100000000006</v>
      </c>
      <c r="O4">
        <f t="shared" si="9"/>
        <v>79702.28454677196</v>
      </c>
      <c r="P4">
        <f t="shared" si="9"/>
        <v>93736.75829430201</v>
      </c>
      <c r="Q4">
        <f t="shared" si="9"/>
        <v>107074.27305596355</v>
      </c>
      <c r="R4">
        <f t="shared" si="9"/>
        <v>116280.76868764141</v>
      </c>
      <c r="S4">
        <f t="shared" si="9"/>
        <v>125031.66408988916</v>
      </c>
      <c r="T4">
        <f t="shared" si="9"/>
        <v>140359.13741970941</v>
      </c>
      <c r="U4">
        <f t="shared" si="9"/>
        <v>144866.34739638466</v>
      </c>
      <c r="V4">
        <f t="shared" si="9"/>
        <v>162791.0376146911</v>
      </c>
      <c r="W4">
        <f t="shared" si="9"/>
        <v>189349.87076840486</v>
      </c>
      <c r="X4">
        <f t="shared" si="9"/>
        <v>214158.31527216721</v>
      </c>
    </row>
    <row r="5" spans="2:24">
      <c r="B5" s="9" t="s">
        <v>6</v>
      </c>
      <c r="C5" s="10" t="s">
        <v>7</v>
      </c>
      <c r="D5">
        <f t="shared" ref="D5:L5" si="10">D6+D7</f>
        <v>1641</v>
      </c>
      <c r="E5">
        <f t="shared" si="10"/>
        <v>3004</v>
      </c>
      <c r="F5">
        <f t="shared" si="10"/>
        <v>4523.5119999999997</v>
      </c>
      <c r="G5">
        <f t="shared" si="10"/>
        <v>4685.8999999999996</v>
      </c>
      <c r="H5">
        <f t="shared" si="10"/>
        <v>4853.3</v>
      </c>
      <c r="I5">
        <f t="shared" si="10"/>
        <v>4309</v>
      </c>
      <c r="J5">
        <f t="shared" si="10"/>
        <v>8409</v>
      </c>
      <c r="K5">
        <f t="shared" si="10"/>
        <v>8890.9</v>
      </c>
      <c r="L5">
        <f t="shared" si="10"/>
        <v>9373</v>
      </c>
      <c r="M5">
        <f>M6+M7</f>
        <v>13363.1</v>
      </c>
      <c r="N5">
        <f>N6+N7</f>
        <v>20000.2</v>
      </c>
      <c r="O5">
        <f t="shared" ref="O5:X5" si="11">O6+O7</f>
        <v>19987.8059788461</v>
      </c>
      <c r="P5">
        <f t="shared" si="11"/>
        <v>22143.852890096194</v>
      </c>
      <c r="Q5">
        <f t="shared" si="11"/>
        <v>25494.69789620849</v>
      </c>
      <c r="R5">
        <f t="shared" si="11"/>
        <v>30545.463015414196</v>
      </c>
      <c r="S5">
        <f t="shared" si="11"/>
        <v>37599.250137250208</v>
      </c>
      <c r="T5">
        <f t="shared" si="11"/>
        <v>40529.893375529777</v>
      </c>
      <c r="U5">
        <f t="shared" si="11"/>
        <v>49243.451407967092</v>
      </c>
      <c r="V5">
        <f t="shared" si="11"/>
        <v>59527.362540028145</v>
      </c>
      <c r="W5">
        <f t="shared" si="11"/>
        <v>76203.977346726577</v>
      </c>
      <c r="X5">
        <f t="shared" si="11"/>
        <v>90328.822281695975</v>
      </c>
    </row>
    <row r="6" spans="2:24">
      <c r="B6" s="7" t="s">
        <v>8</v>
      </c>
      <c r="C6" s="11" t="s">
        <v>9</v>
      </c>
      <c r="D6">
        <v>1438</v>
      </c>
      <c r="E6">
        <v>2782</v>
      </c>
      <c r="F6">
        <v>4225.9859999999999</v>
      </c>
      <c r="G6">
        <v>4355.2</v>
      </c>
      <c r="H6">
        <v>4476.7</v>
      </c>
      <c r="I6">
        <v>3880</v>
      </c>
      <c r="J6">
        <v>7924</v>
      </c>
      <c r="K6">
        <v>8309</v>
      </c>
      <c r="L6">
        <v>8795</v>
      </c>
      <c r="M6" s="175">
        <v>12653.6</v>
      </c>
      <c r="N6" s="175">
        <v>19179.5</v>
      </c>
      <c r="O6" s="625">
        <v>18957.619021046099</v>
      </c>
      <c r="P6" s="625">
        <v>19739.658801767833</v>
      </c>
      <c r="Q6" s="625">
        <v>22354.901530513482</v>
      </c>
      <c r="R6">
        <v>25985.802107042997</v>
      </c>
      <c r="S6">
        <v>30281.432193684388</v>
      </c>
      <c r="T6">
        <v>31171.79878754267</v>
      </c>
      <c r="U6">
        <v>36737.43574841434</v>
      </c>
      <c r="V6">
        <v>42478.616614430292</v>
      </c>
      <c r="W6">
        <v>48850.409106594838</v>
      </c>
      <c r="X6">
        <v>58620.490927913808</v>
      </c>
    </row>
    <row r="7" spans="2:24">
      <c r="B7" s="7" t="s">
        <v>10</v>
      </c>
      <c r="C7" s="11" t="s">
        <v>11</v>
      </c>
      <c r="D7">
        <v>203</v>
      </c>
      <c r="E7">
        <v>222</v>
      </c>
      <c r="F7">
        <v>297.52600000000001</v>
      </c>
      <c r="G7">
        <v>330.7</v>
      </c>
      <c r="H7">
        <v>376.6</v>
      </c>
      <c r="I7">
        <v>429</v>
      </c>
      <c r="J7">
        <v>485</v>
      </c>
      <c r="K7">
        <v>581.9</v>
      </c>
      <c r="L7">
        <v>578</v>
      </c>
      <c r="M7" s="175">
        <v>709.5</v>
      </c>
      <c r="N7" s="175">
        <v>820.7</v>
      </c>
      <c r="O7" s="625">
        <v>1030.1869578000001</v>
      </c>
      <c r="P7" s="625">
        <v>2404.1940883283614</v>
      </c>
      <c r="Q7" s="625">
        <v>3139.7963656950101</v>
      </c>
      <c r="R7">
        <v>4559.6609083711983</v>
      </c>
      <c r="S7">
        <v>7317.817943565823</v>
      </c>
      <c r="T7">
        <v>9358.0945879871051</v>
      </c>
      <c r="U7">
        <v>12506.015659552748</v>
      </c>
      <c r="V7">
        <v>17048.745925597854</v>
      </c>
      <c r="W7">
        <v>27353.568240131743</v>
      </c>
      <c r="X7">
        <v>31708.33135378217</v>
      </c>
    </row>
    <row r="8" spans="2:24">
      <c r="B8" s="9" t="s">
        <v>12</v>
      </c>
      <c r="C8" s="12" t="s">
        <v>13</v>
      </c>
      <c r="D8">
        <v>8006</v>
      </c>
      <c r="E8">
        <v>9368</v>
      </c>
      <c r="F8">
        <v>11776</v>
      </c>
      <c r="G8">
        <v>13520</v>
      </c>
      <c r="H8">
        <v>15952</v>
      </c>
      <c r="I8">
        <v>19054</v>
      </c>
      <c r="J8">
        <v>22313</v>
      </c>
      <c r="K8">
        <v>25708.7</v>
      </c>
      <c r="L8">
        <v>28459.8</v>
      </c>
      <c r="M8" s="645">
        <v>30275.599999999999</v>
      </c>
      <c r="N8" s="645">
        <v>34595.4</v>
      </c>
      <c r="O8">
        <v>38919.845750175664</v>
      </c>
      <c r="P8">
        <v>47211.873413016219</v>
      </c>
      <c r="Q8">
        <v>55225.986761892389</v>
      </c>
      <c r="R8">
        <v>57299.82374863189</v>
      </c>
      <c r="S8">
        <v>56373.304854379618</v>
      </c>
      <c r="T8">
        <v>66356.652880139649</v>
      </c>
      <c r="U8">
        <v>59586.671102182008</v>
      </c>
      <c r="V8">
        <v>64537.102897894816</v>
      </c>
      <c r="W8">
        <v>71515.253571549998</v>
      </c>
      <c r="X8">
        <v>79090.129458941447</v>
      </c>
    </row>
    <row r="9" spans="2:24">
      <c r="B9" s="7" t="s">
        <v>14</v>
      </c>
      <c r="C9" s="13" t="s">
        <v>15</v>
      </c>
      <c r="D9">
        <v>3482</v>
      </c>
      <c r="E9">
        <v>3690</v>
      </c>
      <c r="F9">
        <v>4304</v>
      </c>
      <c r="G9">
        <v>4900</v>
      </c>
      <c r="H9">
        <v>5399</v>
      </c>
      <c r="I9">
        <v>7089</v>
      </c>
      <c r="J9">
        <v>7608</v>
      </c>
      <c r="K9">
        <v>10099</v>
      </c>
      <c r="L9">
        <v>11610</v>
      </c>
      <c r="M9" s="175">
        <v>11445.7</v>
      </c>
      <c r="N9" s="175">
        <v>12431.3</v>
      </c>
      <c r="O9" s="625">
        <v>17935.247200000002</v>
      </c>
      <c r="P9" s="625">
        <v>22290.436624639111</v>
      </c>
      <c r="Q9" s="625">
        <v>24269.859436869676</v>
      </c>
      <c r="R9">
        <v>25392.839662106024</v>
      </c>
      <c r="S9">
        <v>22113.054033491455</v>
      </c>
      <c r="T9">
        <v>25931.864956869071</v>
      </c>
      <c r="U9">
        <v>17228.505114227679</v>
      </c>
      <c r="V9">
        <v>18198.358975361352</v>
      </c>
      <c r="W9">
        <v>19179.97351060286</v>
      </c>
      <c r="X9">
        <v>20356.537408767963</v>
      </c>
    </row>
    <row r="10" spans="2:24">
      <c r="B10" s="7" t="s">
        <v>16</v>
      </c>
      <c r="C10" s="13" t="s">
        <v>17</v>
      </c>
      <c r="D10">
        <v>1292</v>
      </c>
      <c r="E10">
        <v>1520</v>
      </c>
      <c r="F10">
        <v>2354</v>
      </c>
      <c r="G10">
        <v>2479</v>
      </c>
      <c r="H10">
        <v>2636</v>
      </c>
      <c r="I10">
        <v>2870</v>
      </c>
      <c r="J10">
        <v>4096</v>
      </c>
      <c r="K10">
        <v>4438</v>
      </c>
      <c r="L10">
        <v>4632</v>
      </c>
      <c r="M10" s="175">
        <v>4062.5</v>
      </c>
      <c r="N10" s="175">
        <v>4253.7</v>
      </c>
      <c r="O10" s="625">
        <v>3183.4964472126871</v>
      </c>
      <c r="P10" s="625">
        <v>3488.3109079612686</v>
      </c>
      <c r="Q10" s="625">
        <v>4395.0263375379327</v>
      </c>
      <c r="R10">
        <v>4086.8334967998371</v>
      </c>
      <c r="S10">
        <v>4341.3372379201492</v>
      </c>
      <c r="T10">
        <v>4454.2591782687796</v>
      </c>
      <c r="U10">
        <v>4541.2325392790526</v>
      </c>
      <c r="V10">
        <v>4561.9668561523595</v>
      </c>
      <c r="W10">
        <v>4611.8712027061883</v>
      </c>
      <c r="X10">
        <v>4231.9817417224385</v>
      </c>
    </row>
    <row r="11" spans="2:24">
      <c r="B11" s="7" t="s">
        <v>18</v>
      </c>
      <c r="C11" s="13" t="s">
        <v>19</v>
      </c>
      <c r="D11">
        <v>1450.2</v>
      </c>
      <c r="E11">
        <v>1850</v>
      </c>
      <c r="F11">
        <v>2187.3000000000002</v>
      </c>
      <c r="G11">
        <v>2708.4</v>
      </c>
      <c r="H11">
        <v>3873.5</v>
      </c>
      <c r="I11">
        <v>4978</v>
      </c>
      <c r="J11">
        <v>5967</v>
      </c>
      <c r="K11">
        <v>6025</v>
      </c>
      <c r="L11">
        <v>6442</v>
      </c>
      <c r="M11" s="175">
        <v>8090.7</v>
      </c>
      <c r="N11" s="175">
        <v>10612.9</v>
      </c>
      <c r="O11" s="625">
        <v>12316.419843198088</v>
      </c>
      <c r="P11" s="625">
        <v>14744.855525354424</v>
      </c>
      <c r="Q11" s="625">
        <v>17724.660845881885</v>
      </c>
      <c r="R11">
        <v>21103.898023974467</v>
      </c>
      <c r="S11">
        <v>24971.254853696551</v>
      </c>
      <c r="T11">
        <v>29491.137355566763</v>
      </c>
      <c r="U11">
        <v>34415.780676778253</v>
      </c>
      <c r="V11">
        <v>39073.095486677608</v>
      </c>
      <c r="W11">
        <v>44893.254559244066</v>
      </c>
      <c r="X11">
        <v>51586.437492695477</v>
      </c>
    </row>
    <row r="12" spans="2:24">
      <c r="B12" s="7" t="s">
        <v>20</v>
      </c>
      <c r="C12" s="13" t="s">
        <v>21</v>
      </c>
      <c r="D12" s="94">
        <f t="shared" ref="D12:K12" si="12">D11-D13</f>
        <v>1202.6249140757773</v>
      </c>
      <c r="E12" s="94">
        <f t="shared" si="12"/>
        <v>1557.4819066634211</v>
      </c>
      <c r="F12" s="94">
        <f t="shared" si="12"/>
        <v>1932.7978281231178</v>
      </c>
      <c r="G12" s="94">
        <f t="shared" si="12"/>
        <v>2455.2805561440991</v>
      </c>
      <c r="H12" s="94">
        <f t="shared" si="12"/>
        <v>3768.9348904590897</v>
      </c>
      <c r="I12" s="94">
        <f t="shared" si="12"/>
        <v>4883.6226583692442</v>
      </c>
      <c r="J12" s="94">
        <f t="shared" si="12"/>
        <v>5845.5362102106592</v>
      </c>
      <c r="K12" s="94">
        <f t="shared" si="12"/>
        <v>5903.6407485913023</v>
      </c>
      <c r="L12" s="94">
        <f>L11-L13</f>
        <v>6319.1214691387268</v>
      </c>
      <c r="M12" s="646">
        <f>M11-M13</f>
        <v>7962.5590458967326</v>
      </c>
      <c r="N12" s="646">
        <v>10194.970753482577</v>
      </c>
      <c r="O12" s="635">
        <v>11898.067565909247</v>
      </c>
      <c r="P12" s="635">
        <v>14272.747053672254</v>
      </c>
      <c r="Q12" s="635">
        <v>17187.774863630351</v>
      </c>
      <c r="R12">
        <v>20496.843436471845</v>
      </c>
      <c r="S12">
        <v>24286.656872730335</v>
      </c>
      <c r="T12">
        <v>28704.964644040858</v>
      </c>
      <c r="U12">
        <v>33521.055474825051</v>
      </c>
      <c r="V12">
        <v>38079.780275292607</v>
      </c>
      <c r="W12">
        <v>43774.491561827977</v>
      </c>
      <c r="X12">
        <v>50323.409541343644</v>
      </c>
    </row>
    <row r="13" spans="2:24">
      <c r="B13" s="7" t="s">
        <v>22</v>
      </c>
      <c r="C13" s="13" t="s">
        <v>23</v>
      </c>
      <c r="D13">
        <v>247.57508592422266</v>
      </c>
      <c r="E13">
        <v>292.51809333657883</v>
      </c>
      <c r="F13">
        <v>254.50217187688233</v>
      </c>
      <c r="G13">
        <v>253.11944385590118</v>
      </c>
      <c r="H13">
        <v>104.56510954091017</v>
      </c>
      <c r="I13">
        <v>94.37734163075595</v>
      </c>
      <c r="J13">
        <v>121.46378978934069</v>
      </c>
      <c r="K13">
        <v>121.35925140869799</v>
      </c>
      <c r="L13">
        <v>122.8785308612733</v>
      </c>
      <c r="M13" s="175">
        <v>128.14095410326686</v>
      </c>
      <c r="N13" s="175">
        <v>417.929246517423</v>
      </c>
      <c r="O13" s="625">
        <v>418.35227728884109</v>
      </c>
      <c r="P13" s="625">
        <v>472.10847168216895</v>
      </c>
      <c r="Q13" s="625">
        <v>536.88598225153441</v>
      </c>
      <c r="R13">
        <v>607.05458750262312</v>
      </c>
      <c r="S13">
        <v>684.59798096621637</v>
      </c>
      <c r="T13">
        <v>786.17271152590388</v>
      </c>
      <c r="U13">
        <v>894.7252019532034</v>
      </c>
      <c r="V13">
        <v>993.31521138500284</v>
      </c>
      <c r="W13">
        <v>1118.7629974160864</v>
      </c>
      <c r="X13">
        <v>1263.0279513518326</v>
      </c>
    </row>
    <row r="14" spans="2:24">
      <c r="B14" s="7" t="s">
        <v>24</v>
      </c>
      <c r="C14" s="13" t="s">
        <v>25</v>
      </c>
      <c r="D14">
        <v>1781.8</v>
      </c>
      <c r="E14">
        <v>2308</v>
      </c>
      <c r="F14">
        <v>2930.7</v>
      </c>
      <c r="G14">
        <v>3432.6</v>
      </c>
      <c r="H14">
        <v>4043.5</v>
      </c>
      <c r="I14">
        <v>4117</v>
      </c>
      <c r="J14">
        <v>4642</v>
      </c>
      <c r="K14">
        <v>5146.7000000000007</v>
      </c>
      <c r="L14">
        <v>5775.7999999999993</v>
      </c>
      <c r="M14" s="175">
        <f>M8-M9-M10-M11-M13</f>
        <v>6548.5590458967308</v>
      </c>
      <c r="N14" s="175">
        <v>6879.5707534825788</v>
      </c>
      <c r="O14" s="625">
        <v>5484.6822597648843</v>
      </c>
      <c r="P14" s="625">
        <v>6688.2703550614133</v>
      </c>
      <c r="Q14" s="625">
        <v>8836.4401416029032</v>
      </c>
      <c r="R14">
        <v>6716.2525657515607</v>
      </c>
      <c r="S14">
        <v>4947.6587292714621</v>
      </c>
      <c r="T14">
        <v>6479.391389435048</v>
      </c>
      <c r="U14">
        <v>3401.1527718970251</v>
      </c>
      <c r="V14">
        <v>2703.6815797034956</v>
      </c>
      <c r="W14">
        <v>2830.1542989968912</v>
      </c>
      <c r="X14">
        <v>2915.1728157555799</v>
      </c>
    </row>
    <row r="15" spans="2:24">
      <c r="B15" s="9" t="s">
        <v>26</v>
      </c>
      <c r="C15" s="12" t="s">
        <v>27</v>
      </c>
      <c r="D15">
        <v>2549</v>
      </c>
      <c r="E15">
        <v>2718</v>
      </c>
      <c r="F15">
        <v>3729</v>
      </c>
      <c r="G15">
        <v>5688</v>
      </c>
      <c r="H15">
        <v>6808</v>
      </c>
      <c r="I15">
        <v>7527</v>
      </c>
      <c r="J15">
        <v>8107</v>
      </c>
      <c r="K15">
        <v>7621.8</v>
      </c>
      <c r="L15">
        <v>8983.2000000000007</v>
      </c>
      <c r="M15" s="175">
        <v>9872.2000000000007</v>
      </c>
      <c r="N15" s="175">
        <v>11752.6</v>
      </c>
      <c r="O15" s="625">
        <v>20146.820135517159</v>
      </c>
      <c r="P15" s="625">
        <v>23621.492649079162</v>
      </c>
      <c r="Q15" s="625">
        <v>25532.598244484627</v>
      </c>
      <c r="R15">
        <v>27549.634792897767</v>
      </c>
      <c r="S15">
        <v>30091.528427369256</v>
      </c>
      <c r="T15">
        <v>32429.823578129217</v>
      </c>
      <c r="U15">
        <v>34913.592728904165</v>
      </c>
      <c r="V15">
        <v>37520.1279555406</v>
      </c>
      <c r="W15">
        <v>40333.725559755781</v>
      </c>
      <c r="X15">
        <v>43345.603548135448</v>
      </c>
    </row>
    <row r="16" spans="2:24">
      <c r="H16">
        <f>H4-G4</f>
        <v>3719.3999999999978</v>
      </c>
      <c r="I16">
        <f t="shared" ref="I16:L16" si="13">I4-H4</f>
        <v>3276.7000000000007</v>
      </c>
      <c r="J16">
        <f t="shared" si="13"/>
        <v>7939</v>
      </c>
      <c r="K16">
        <f t="shared" si="13"/>
        <v>3392.4000000000015</v>
      </c>
      <c r="L16">
        <f t="shared" si="13"/>
        <v>4594.5999999999985</v>
      </c>
      <c r="M16">
        <f>M4-L4</f>
        <v>7002.9999999999927</v>
      </c>
      <c r="N16">
        <v>12907.100000000013</v>
      </c>
      <c r="O16" s="625">
        <v>12976.184546771954</v>
      </c>
      <c r="P16" s="625">
        <v>14034.47374753005</v>
      </c>
      <c r="Q16" s="625">
        <v>13337.514761661543</v>
      </c>
      <c r="R16">
        <v>9206.4956316778553</v>
      </c>
      <c r="S16">
        <v>8750.8954022477556</v>
      </c>
      <c r="T16">
        <v>15327.473329820248</v>
      </c>
      <c r="U16">
        <v>4507.2099766752508</v>
      </c>
      <c r="V16">
        <v>17924.690218306438</v>
      </c>
      <c r="W16">
        <v>26558.833153713756</v>
      </c>
      <c r="X16">
        <v>24808.444503762352</v>
      </c>
    </row>
    <row r="17" spans="2:24">
      <c r="C17" s="6" t="s">
        <v>28</v>
      </c>
      <c r="M17" s="175">
        <v>308.10000000000002</v>
      </c>
      <c r="N17" s="175">
        <v>377.9</v>
      </c>
      <c r="O17">
        <v>647.81268223303209</v>
      </c>
      <c r="P17">
        <v>759.53934211042792</v>
      </c>
      <c r="Q17">
        <v>820.99015337803894</v>
      </c>
      <c r="R17">
        <v>885.84713069755344</v>
      </c>
      <c r="S17">
        <v>967.58067089008762</v>
      </c>
      <c r="T17">
        <v>1042.7675859107799</v>
      </c>
      <c r="U17">
        <v>1122.6321573313894</v>
      </c>
      <c r="V17">
        <v>1206.4442212275408</v>
      </c>
      <c r="W17">
        <v>1296.9142903724887</v>
      </c>
      <c r="X17">
        <v>1393.7599833943457</v>
      </c>
    </row>
    <row r="18" spans="2:24" ht="15.75">
      <c r="B18" s="7" t="s">
        <v>29</v>
      </c>
      <c r="C18" s="8" t="s">
        <v>30</v>
      </c>
      <c r="D18" s="133">
        <v>111.3</v>
      </c>
      <c r="E18" s="133">
        <v>116</v>
      </c>
      <c r="F18" s="133">
        <v>121.3</v>
      </c>
      <c r="G18" s="133">
        <v>110.6</v>
      </c>
      <c r="H18" s="133">
        <v>113.2</v>
      </c>
      <c r="I18" s="134">
        <v>108.8</v>
      </c>
      <c r="J18" s="134">
        <v>120.8</v>
      </c>
      <c r="K18" s="134">
        <v>115.4</v>
      </c>
      <c r="L18" s="134">
        <v>112</v>
      </c>
      <c r="M18" s="650">
        <v>120</v>
      </c>
      <c r="N18" s="650">
        <v>122.1</v>
      </c>
      <c r="O18" s="633">
        <f t="shared" ref="O18:Q18" si="14">O4/O33*100/N4*100</f>
        <v>120.25377433338271</v>
      </c>
      <c r="P18" s="633">
        <f>P4/P33*100/O4*100</f>
        <v>120.13297669336005</v>
      </c>
      <c r="Q18" s="633">
        <f t="shared" si="14"/>
        <v>120.01400439175227</v>
      </c>
      <c r="R18" s="633">
        <f>R4/R33*100/Q4*100</f>
        <v>120.14723255022095</v>
      </c>
      <c r="S18" s="633">
        <f t="shared" ref="S18:S29" si="15">S4/S33*100/R4*100</f>
        <v>120.15188678284431</v>
      </c>
      <c r="T18" s="633">
        <f t="shared" ref="T18:T29" si="16">T4/T33*100/S4*100</f>
        <v>119.99169826056433</v>
      </c>
      <c r="U18" s="633">
        <f t="shared" ref="U18:U29" si="17">U4/U33*100/T4*100</f>
        <v>119.87289486753829</v>
      </c>
      <c r="V18" s="633">
        <f t="shared" ref="V18:V29" si="18">V4/V33*100/U4*100</f>
        <v>117.4166073743983</v>
      </c>
      <c r="W18" s="633">
        <f t="shared" ref="W18:W29" si="19">W4/W33*100/V4*100</f>
        <v>118.43240577633904</v>
      </c>
      <c r="X18" s="633">
        <f t="shared" ref="X18:X29" si="20">X4/X33*100/W4*100</f>
        <v>116.70212226933947</v>
      </c>
    </row>
    <row r="19" spans="2:24" ht="15.75">
      <c r="B19" s="7" t="s">
        <v>31</v>
      </c>
      <c r="C19" s="8" t="s">
        <v>7</v>
      </c>
      <c r="D19" s="133">
        <v>117.9</v>
      </c>
      <c r="E19" s="135">
        <v>153.30000000000001</v>
      </c>
      <c r="F19" s="135">
        <v>121.7</v>
      </c>
      <c r="G19" s="133">
        <v>112</v>
      </c>
      <c r="H19" s="133">
        <v>112.6</v>
      </c>
      <c r="I19" s="134">
        <v>97.4</v>
      </c>
      <c r="J19" s="134">
        <v>155.19999999999999</v>
      </c>
      <c r="K19" s="134">
        <v>97.7</v>
      </c>
      <c r="L19" s="134">
        <v>111.7</v>
      </c>
      <c r="M19" s="650">
        <v>143</v>
      </c>
      <c r="N19" s="650">
        <v>136.19999999999999</v>
      </c>
      <c r="O19" s="633">
        <f t="shared" ref="O19:P29" si="21">O5/O34*100/N5*100</f>
        <v>105.3739892501075</v>
      </c>
      <c r="P19" s="633">
        <f t="shared" si="21"/>
        <v>102.26776577639274</v>
      </c>
      <c r="Q19" s="633">
        <f t="shared" ref="Q19:Q29" si="22">Q5/Q34*100/P5*100</f>
        <v>110.94720117736429</v>
      </c>
      <c r="R19" s="633">
        <f t="shared" ref="R19:R29" si="23">R5/R34*100/Q5*100</f>
        <v>114.8742382533683</v>
      </c>
      <c r="S19" s="633">
        <f t="shared" si="15"/>
        <v>116.27191839531721</v>
      </c>
      <c r="T19" s="633">
        <f t="shared" si="16"/>
        <v>105.13909480962269</v>
      </c>
      <c r="U19" s="633">
        <f t="shared" si="17"/>
        <v>118.88868684401872</v>
      </c>
      <c r="V19" s="633">
        <f t="shared" si="18"/>
        <v>120.57608282204578</v>
      </c>
      <c r="W19" s="633">
        <f t="shared" si="19"/>
        <v>120.3564986749214</v>
      </c>
      <c r="X19" s="633">
        <f t="shared" si="20"/>
        <v>125.87848234115573</v>
      </c>
    </row>
    <row r="20" spans="2:24" ht="15.75">
      <c r="B20" s="7" t="s">
        <v>32</v>
      </c>
      <c r="C20" s="11" t="s">
        <v>9</v>
      </c>
      <c r="D20" s="133">
        <v>123</v>
      </c>
      <c r="E20" s="135">
        <v>156.69999999999999</v>
      </c>
      <c r="F20" s="133">
        <v>120.3</v>
      </c>
      <c r="G20" s="135">
        <v>113</v>
      </c>
      <c r="H20" s="133">
        <v>113.3</v>
      </c>
      <c r="I20" s="135">
        <v>96.5</v>
      </c>
      <c r="J20" s="133">
        <v>160.5</v>
      </c>
      <c r="K20" s="135">
        <v>117.7</v>
      </c>
      <c r="L20" s="133">
        <v>113.1</v>
      </c>
      <c r="M20" s="85">
        <v>120.9</v>
      </c>
      <c r="N20" s="175">
        <v>136.19999999999999</v>
      </c>
      <c r="O20" s="633">
        <f t="shared" si="21"/>
        <v>104.99999999999999</v>
      </c>
      <c r="P20" s="633">
        <f t="shared" ref="P20:P29" si="24">P6/P35*100/O6*100</f>
        <v>101.50000000000001</v>
      </c>
      <c r="Q20" s="633">
        <f t="shared" si="22"/>
        <v>109.99999999999997</v>
      </c>
      <c r="R20" s="633">
        <f t="shared" si="23"/>
        <v>114.00000000000001</v>
      </c>
      <c r="S20" s="633">
        <f t="shared" si="15"/>
        <v>115.00000000000001</v>
      </c>
      <c r="T20" s="633">
        <f t="shared" si="16"/>
        <v>100.1</v>
      </c>
      <c r="U20" s="633">
        <f t="shared" si="17"/>
        <v>116.00000000000001</v>
      </c>
      <c r="V20" s="633">
        <f t="shared" si="18"/>
        <v>117.00000000000001</v>
      </c>
      <c r="W20" s="633">
        <f t="shared" si="19"/>
        <v>115.00000000000001</v>
      </c>
      <c r="X20" s="633">
        <f t="shared" si="20"/>
        <v>120</v>
      </c>
    </row>
    <row r="21" spans="2:24" ht="15.75">
      <c r="B21" s="7" t="s">
        <v>33</v>
      </c>
      <c r="C21" s="11" t="s">
        <v>11</v>
      </c>
      <c r="D21" s="133">
        <v>90.9</v>
      </c>
      <c r="E21" s="135">
        <v>119</v>
      </c>
      <c r="F21" s="133">
        <v>137.1</v>
      </c>
      <c r="G21" s="135">
        <v>108.2</v>
      </c>
      <c r="H21" s="133">
        <v>103.1</v>
      </c>
      <c r="I21" s="135">
        <v>103.6</v>
      </c>
      <c r="J21" s="133">
        <v>106.8</v>
      </c>
      <c r="K21" s="135">
        <v>100.1</v>
      </c>
      <c r="L21" s="133">
        <v>99.2</v>
      </c>
      <c r="M21" s="85">
        <v>120</v>
      </c>
      <c r="N21" s="175">
        <v>114</v>
      </c>
      <c r="O21" s="633">
        <f t="shared" si="21"/>
        <v>114.114</v>
      </c>
      <c r="P21" s="633">
        <f t="shared" si="24"/>
        <v>116.39627999999999</v>
      </c>
      <c r="Q21" s="633">
        <f t="shared" si="22"/>
        <v>118.72420559999999</v>
      </c>
      <c r="R21" s="633">
        <f t="shared" si="23"/>
        <v>121.098689712</v>
      </c>
      <c r="S21" s="633">
        <f t="shared" si="15"/>
        <v>123.52066350624</v>
      </c>
      <c r="T21" s="633">
        <f t="shared" si="16"/>
        <v>125.99107677636481</v>
      </c>
      <c r="U21" s="633">
        <f t="shared" si="17"/>
        <v>128.51089831189211</v>
      </c>
      <c r="V21" s="633">
        <f t="shared" si="18"/>
        <v>131.08111627812991</v>
      </c>
      <c r="W21" s="633">
        <f t="shared" si="19"/>
        <v>133.70273860369258</v>
      </c>
      <c r="X21" s="633">
        <f t="shared" si="20"/>
        <v>136.3767933757664</v>
      </c>
    </row>
    <row r="22" spans="2:24" ht="15.75">
      <c r="B22" s="7" t="s">
        <v>34</v>
      </c>
      <c r="C22" s="6" t="s">
        <v>13</v>
      </c>
      <c r="D22" s="133">
        <v>110.1</v>
      </c>
      <c r="E22" s="135">
        <v>112.5</v>
      </c>
      <c r="F22" s="135">
        <v>122.9</v>
      </c>
      <c r="G22" s="133">
        <v>112.1</v>
      </c>
      <c r="H22" s="133">
        <v>115.3</v>
      </c>
      <c r="I22" s="134">
        <v>114.1</v>
      </c>
      <c r="J22" s="134">
        <v>115.3</v>
      </c>
      <c r="K22" s="134">
        <v>116.4</v>
      </c>
      <c r="L22" s="134">
        <v>112.4</v>
      </c>
      <c r="M22" s="650">
        <v>107.6</v>
      </c>
      <c r="N22" s="650">
        <v>110.5</v>
      </c>
      <c r="O22" s="633">
        <f t="shared" si="21"/>
        <v>111.47258296982918</v>
      </c>
      <c r="P22" s="633">
        <f t="shared" si="24"/>
        <v>130.80194442571843</v>
      </c>
      <c r="Q22" s="633">
        <f t="shared" si="22"/>
        <v>130.23228254437737</v>
      </c>
      <c r="R22" s="633">
        <f t="shared" si="23"/>
        <v>128.24380017039266</v>
      </c>
      <c r="S22" s="633">
        <f t="shared" si="15"/>
        <v>127.47308187989267</v>
      </c>
      <c r="T22" s="633">
        <f t="shared" si="16"/>
        <v>136.42142499340366</v>
      </c>
      <c r="U22" s="633">
        <f t="shared" si="17"/>
        <v>126.44325950759325</v>
      </c>
      <c r="V22" s="633">
        <f t="shared" si="18"/>
        <v>120.63610822410114</v>
      </c>
      <c r="W22" s="633">
        <f t="shared" si="19"/>
        <v>123.01411573887601</v>
      </c>
      <c r="X22" s="633">
        <f t="shared" si="20"/>
        <v>112.13241019145282</v>
      </c>
    </row>
    <row r="23" spans="2:24" ht="15.75">
      <c r="B23" s="7" t="s">
        <v>35</v>
      </c>
      <c r="C23" s="13" t="s">
        <v>36</v>
      </c>
      <c r="D23" s="135">
        <v>103.5</v>
      </c>
      <c r="E23" s="135">
        <v>105.4</v>
      </c>
      <c r="F23" s="135">
        <v>115.6</v>
      </c>
      <c r="G23" s="136">
        <v>117.6</v>
      </c>
      <c r="H23" s="136">
        <v>107.7</v>
      </c>
      <c r="I23" s="135">
        <v>125.9</v>
      </c>
      <c r="J23" s="135">
        <v>103.3</v>
      </c>
      <c r="K23" s="135">
        <v>132</v>
      </c>
      <c r="L23" s="135">
        <v>127</v>
      </c>
      <c r="M23" s="651">
        <v>110</v>
      </c>
      <c r="N23" s="651">
        <v>116.1</v>
      </c>
      <c r="O23" s="633">
        <f t="shared" si="21"/>
        <v>129.37169598807984</v>
      </c>
      <c r="P23" s="633">
        <f t="shared" si="24"/>
        <v>118.00969653052027</v>
      </c>
      <c r="Q23" s="633">
        <f t="shared" si="22"/>
        <v>103.68614584599931</v>
      </c>
      <c r="R23" s="633">
        <f t="shared" si="23"/>
        <v>99.789384239618329</v>
      </c>
      <c r="S23" s="633">
        <f t="shared" si="15"/>
        <v>82.86857182018332</v>
      </c>
      <c r="T23" s="633">
        <f t="shared" si="16"/>
        <v>110.52562733276174</v>
      </c>
      <c r="U23" s="633">
        <f t="shared" si="17"/>
        <v>63.390428845366422</v>
      </c>
      <c r="V23" s="633">
        <f t="shared" si="18"/>
        <v>102.35543671657091</v>
      </c>
      <c r="W23" s="633">
        <f t="shared" si="19"/>
        <v>97.964739996520706</v>
      </c>
      <c r="X23" s="633">
        <f t="shared" si="20"/>
        <v>101.00877193807727</v>
      </c>
    </row>
    <row r="24" spans="2:24" ht="15.75">
      <c r="B24" s="7" t="s">
        <v>37</v>
      </c>
      <c r="C24" s="13" t="s">
        <v>38</v>
      </c>
      <c r="D24" s="135">
        <v>94.4</v>
      </c>
      <c r="E24" s="135">
        <v>103.8</v>
      </c>
      <c r="F24" s="137">
        <v>130.9</v>
      </c>
      <c r="G24" s="136">
        <v>92.1</v>
      </c>
      <c r="H24" s="136">
        <v>118.8</v>
      </c>
      <c r="I24" s="135">
        <v>113.5</v>
      </c>
      <c r="J24" s="135">
        <v>109.5</v>
      </c>
      <c r="K24" s="135">
        <v>107.3</v>
      </c>
      <c r="L24" s="135">
        <v>110.4</v>
      </c>
      <c r="M24" s="651">
        <v>93</v>
      </c>
      <c r="N24" s="651">
        <v>114.4</v>
      </c>
      <c r="O24" s="633">
        <f t="shared" si="21"/>
        <v>70.293760123985479</v>
      </c>
      <c r="P24" s="633">
        <f t="shared" si="24"/>
        <v>99.134405646506295</v>
      </c>
      <c r="Q24" s="633">
        <f t="shared" si="22"/>
        <v>121.18994708275288</v>
      </c>
      <c r="R24" s="633">
        <f t="shared" si="23"/>
        <v>82.80157347514681</v>
      </c>
      <c r="S24" s="633">
        <f t="shared" si="15"/>
        <v>107.93884581319455</v>
      </c>
      <c r="T24" s="633">
        <f t="shared" si="16"/>
        <v>97.598763922857273</v>
      </c>
      <c r="U24" s="633">
        <f t="shared" si="17"/>
        <v>96.999127931444775</v>
      </c>
      <c r="V24" s="633">
        <f t="shared" si="18"/>
        <v>95.654977347581109</v>
      </c>
      <c r="W24" s="633">
        <f t="shared" si="19"/>
        <v>96.314143479069728</v>
      </c>
      <c r="X24" s="633">
        <f t="shared" si="20"/>
        <v>85.69601936123766</v>
      </c>
    </row>
    <row r="25" spans="2:24" ht="15.75">
      <c r="B25" s="7" t="s">
        <v>39</v>
      </c>
      <c r="C25" s="13" t="s">
        <v>19</v>
      </c>
      <c r="D25" s="135">
        <v>130.30000000000001</v>
      </c>
      <c r="E25" s="135">
        <v>104.7</v>
      </c>
      <c r="F25" s="135">
        <v>109.4</v>
      </c>
      <c r="G25" s="136">
        <v>110.7</v>
      </c>
      <c r="H25" s="136">
        <v>142.19999999999999</v>
      </c>
      <c r="I25" s="135">
        <v>109.4</v>
      </c>
      <c r="J25" s="135">
        <v>109.4</v>
      </c>
      <c r="K25" s="135">
        <v>103.4</v>
      </c>
      <c r="L25" s="135">
        <v>102.7</v>
      </c>
      <c r="M25" s="651">
        <v>113.5</v>
      </c>
      <c r="N25" s="651">
        <v>106.5</v>
      </c>
      <c r="O25" s="633">
        <f t="shared" si="21"/>
        <v>120.67037181585023</v>
      </c>
      <c r="P25" s="633">
        <f t="shared" si="24"/>
        <v>114.53936606168888</v>
      </c>
      <c r="Q25" s="633">
        <f t="shared" si="22"/>
        <v>114.6438626187779</v>
      </c>
      <c r="R25" s="633">
        <f t="shared" si="23"/>
        <v>114.69395741266746</v>
      </c>
      <c r="S25" s="633">
        <f t="shared" si="15"/>
        <v>114.7373651275085</v>
      </c>
      <c r="T25" s="633">
        <f t="shared" si="16"/>
        <v>114.77494274048739</v>
      </c>
      <c r="U25" s="633">
        <f t="shared" si="17"/>
        <v>114.80095673979073</v>
      </c>
      <c r="V25" s="633">
        <f t="shared" si="18"/>
        <v>114.82414527087086</v>
      </c>
      <c r="W25" s="633">
        <f t="shared" si="19"/>
        <v>114.84479847398907</v>
      </c>
      <c r="X25" s="633">
        <f t="shared" si="20"/>
        <v>114.86317496963572</v>
      </c>
    </row>
    <row r="26" spans="2:24" ht="15.75">
      <c r="B26" s="14" t="s">
        <v>40</v>
      </c>
      <c r="C26" s="15" t="s">
        <v>41</v>
      </c>
      <c r="D26" s="94">
        <v>139.49313451949948</v>
      </c>
      <c r="E26" s="94">
        <v>81.716386640055887</v>
      </c>
      <c r="F26" s="94">
        <v>81.734833395878894</v>
      </c>
      <c r="G26" s="94">
        <v>93.476348610345724</v>
      </c>
      <c r="H26" s="94">
        <v>102.18957337638392</v>
      </c>
      <c r="I26" s="94">
        <v>89.702999082303634</v>
      </c>
      <c r="J26" s="94">
        <v>64.107441578170494</v>
      </c>
      <c r="K26" s="94">
        <v>101.64246097669658</v>
      </c>
      <c r="L26" s="94">
        <f>(K156*L152/K152+L159*L154/K154)/(K156+K159)*100</f>
        <v>104.39340803608302</v>
      </c>
      <c r="M26" s="94">
        <f>(L156*M152/L152+M159*M154/L154)/(L156+L159)*100</f>
        <v>129.33687329360694</v>
      </c>
      <c r="N26" s="94">
        <f>(M156*N152/M152+N159*N154/M154)/(M156+M159)*100</f>
        <v>113.20749180705417</v>
      </c>
      <c r="O26" s="633">
        <f t="shared" si="21"/>
        <v>121.26398949198038</v>
      </c>
      <c r="P26" s="633">
        <f t="shared" si="24"/>
        <v>114.80806584775569</v>
      </c>
      <c r="Q26" s="633">
        <f t="shared" si="22"/>
        <v>114.88049952870863</v>
      </c>
      <c r="R26" s="633">
        <f t="shared" si="23"/>
        <v>114.90051744873348</v>
      </c>
      <c r="S26" s="633">
        <f t="shared" si="15"/>
        <v>114.91723573414541</v>
      </c>
      <c r="T26" s="633">
        <f t="shared" si="16"/>
        <v>114.9311902154178</v>
      </c>
      <c r="U26" s="633">
        <f t="shared" si="17"/>
        <v>114.94012958148852</v>
      </c>
      <c r="V26" s="633">
        <f t="shared" si="18"/>
        <v>114.94791164867357</v>
      </c>
      <c r="W26" s="633">
        <f t="shared" si="19"/>
        <v>114.9546852564963</v>
      </c>
      <c r="X26" s="633">
        <f t="shared" si="20"/>
        <v>114.96058034224302</v>
      </c>
    </row>
    <row r="27" spans="2:24" ht="15.75">
      <c r="B27" s="7" t="s">
        <v>42</v>
      </c>
      <c r="C27" s="13" t="s">
        <v>23</v>
      </c>
      <c r="D27" s="94">
        <v>110.66030230708034</v>
      </c>
      <c r="E27" s="94">
        <v>92.954708842559313</v>
      </c>
      <c r="F27" s="94">
        <v>79.737045630317056</v>
      </c>
      <c r="G27" s="94">
        <v>92.919495635305523</v>
      </c>
      <c r="H27" s="94">
        <v>105.15921362657505</v>
      </c>
      <c r="I27" s="94">
        <v>83.333333333333343</v>
      </c>
      <c r="J27" s="94">
        <v>72.039498371272302</v>
      </c>
      <c r="K27" s="94">
        <v>102.47933884297522</v>
      </c>
      <c r="L27" s="94">
        <f>(K158*L153/K153+K159*L154/K154)/(K158+K159)*100</f>
        <v>107.41935483870971</v>
      </c>
      <c r="M27" s="94">
        <f t="shared" ref="M27:N27" si="25">(L158*M153/L153+L159*M154/L154)/(L158+L159)*100</f>
        <v>123.4234234234234</v>
      </c>
      <c r="N27" s="94">
        <f t="shared" si="25"/>
        <v>101.54665496460848</v>
      </c>
      <c r="O27" s="633">
        <f t="shared" si="21"/>
        <v>104.01136093658496</v>
      </c>
      <c r="P27" s="633">
        <f t="shared" si="24"/>
        <v>108.00426815445347</v>
      </c>
      <c r="Q27" s="633">
        <f t="shared" si="22"/>
        <v>108.48620054865276</v>
      </c>
      <c r="R27" s="633">
        <f t="shared" si="23"/>
        <v>108.94325264149118</v>
      </c>
      <c r="S27" s="633">
        <f t="shared" si="15"/>
        <v>109.37354435083328</v>
      </c>
      <c r="T27" s="633">
        <f t="shared" si="16"/>
        <v>111.66857552244147</v>
      </c>
      <c r="U27" s="633">
        <f t="shared" si="17"/>
        <v>112.01668579367785</v>
      </c>
      <c r="V27" s="633">
        <f t="shared" si="18"/>
        <v>112.33672337725018</v>
      </c>
      <c r="W27" s="633">
        <f t="shared" si="19"/>
        <v>112.62920214985621</v>
      </c>
      <c r="X27" s="633">
        <f t="shared" si="20"/>
        <v>112.89504160120983</v>
      </c>
    </row>
    <row r="28" spans="2:24" ht="15.75">
      <c r="B28" s="7" t="s">
        <v>43</v>
      </c>
      <c r="C28" s="13" t="s">
        <v>44</v>
      </c>
      <c r="D28" s="94">
        <v>126.31196172248798</v>
      </c>
      <c r="E28" s="94">
        <v>139.03168705803117</v>
      </c>
      <c r="F28" s="94">
        <v>140.12357019064123</v>
      </c>
      <c r="G28" s="94">
        <v>121.13204695124031</v>
      </c>
      <c r="H28" s="94">
        <v>102.39652741362235</v>
      </c>
      <c r="I28" s="94">
        <v>103.23783850624457</v>
      </c>
      <c r="J28" s="94">
        <v>147.13973767306285</v>
      </c>
      <c r="K28" s="95">
        <f>(K22*J8-SUMPRODUCT(J9:J11,K23:K25))/J14</f>
        <v>115.57272727272729</v>
      </c>
      <c r="L28" s="95">
        <f>(L22*K8-SUMPRODUCT(K9:K11,L23:L25))/K14</f>
        <v>96.83140264635594</v>
      </c>
      <c r="M28" s="95">
        <f t="shared" ref="M28:N28" si="26">(M22*L8-SUMPRODUCT(L9:L11,M23:M25))/L14</f>
        <v>107.90392326604108</v>
      </c>
      <c r="N28" s="95">
        <f t="shared" si="26"/>
        <v>105.3970003420023</v>
      </c>
      <c r="O28" s="633">
        <f t="shared" si="21"/>
        <v>31.889677169107838</v>
      </c>
      <c r="P28" s="633">
        <f t="shared" si="24"/>
        <v>75.507452883525332</v>
      </c>
      <c r="Q28" s="633">
        <f t="shared" si="22"/>
        <v>110.09872100086189</v>
      </c>
      <c r="R28" s="633">
        <f t="shared" si="23"/>
        <v>63.338596181686398</v>
      </c>
      <c r="S28" s="633">
        <f t="shared" si="15"/>
        <v>52.619253294625764</v>
      </c>
      <c r="T28" s="633">
        <f t="shared" si="16"/>
        <v>129.66211597187666</v>
      </c>
      <c r="U28" s="633">
        <f t="shared" si="17"/>
        <v>81.382721860368108</v>
      </c>
      <c r="V28" s="633">
        <f t="shared" si="18"/>
        <v>69.124429812084784</v>
      </c>
      <c r="W28" s="633">
        <f t="shared" si="19"/>
        <v>91.02417077265649</v>
      </c>
      <c r="X28" s="633">
        <f t="shared" si="20"/>
        <v>187.28004378924899</v>
      </c>
    </row>
    <row r="29" spans="2:24" ht="26.25">
      <c r="B29" s="7" t="s">
        <v>45</v>
      </c>
      <c r="C29" s="16" t="s">
        <v>27</v>
      </c>
      <c r="D29" s="94">
        <v>111.5</v>
      </c>
      <c r="E29" s="94">
        <v>103.7</v>
      </c>
      <c r="F29" s="94">
        <v>116.5</v>
      </c>
      <c r="G29" s="94">
        <v>107.5</v>
      </c>
      <c r="H29" s="94">
        <v>105.6</v>
      </c>
      <c r="I29" s="94">
        <v>100.1</v>
      </c>
      <c r="J29" s="94">
        <v>112.7</v>
      </c>
      <c r="K29" s="94">
        <v>117.5</v>
      </c>
      <c r="L29">
        <v>107.1</v>
      </c>
      <c r="M29" s="175">
        <v>105.7</v>
      </c>
      <c r="N29" s="175">
        <v>113</v>
      </c>
      <c r="O29" s="633">
        <f t="shared" si="21"/>
        <v>171.42436682535913</v>
      </c>
      <c r="P29" s="633">
        <f t="shared" si="24"/>
        <v>117.24675402961704</v>
      </c>
      <c r="Q29" s="633">
        <f t="shared" si="22"/>
        <v>108.09053696900888</v>
      </c>
      <c r="R29" s="633">
        <f t="shared" si="23"/>
        <v>107.89984837852862</v>
      </c>
      <c r="S29" s="633">
        <f t="shared" si="15"/>
        <v>109.22659648151412</v>
      </c>
      <c r="T29" s="633">
        <f t="shared" si="16"/>
        <v>107.77060944712002</v>
      </c>
      <c r="U29" s="633">
        <f t="shared" si="17"/>
        <v>107.65890429465676</v>
      </c>
      <c r="V29" s="633">
        <f t="shared" si="18"/>
        <v>107.46567460666556</v>
      </c>
      <c r="W29" s="633">
        <f t="shared" si="19"/>
        <v>107.49890194284291</v>
      </c>
      <c r="X29" s="633">
        <f t="shared" si="20"/>
        <v>107.4673934693126</v>
      </c>
    </row>
    <row r="30" spans="2:24" ht="15.75">
      <c r="M30" s="175">
        <v>134.9</v>
      </c>
      <c r="N30" s="175">
        <v>122.8</v>
      </c>
      <c r="O30" s="633">
        <f t="shared" ref="O30:Q30" si="27">O17/O44*100/N17*100</f>
        <v>171.42436682535913</v>
      </c>
      <c r="P30" s="633">
        <f t="shared" si="27"/>
        <v>117.24675402961707</v>
      </c>
      <c r="Q30" s="633">
        <f t="shared" si="27"/>
        <v>108.09053696900888</v>
      </c>
      <c r="R30" s="633">
        <f t="shared" ref="R30" si="28">R17/R44*100/Q17*100</f>
        <v>107.89984837852859</v>
      </c>
      <c r="S30" s="633">
        <f t="shared" ref="S30" si="29">S17/S44*100/R17*100</f>
        <v>109.22659648151409</v>
      </c>
      <c r="T30" s="633">
        <f t="shared" ref="T30" si="30">T17/T44*100/S17*100</f>
        <v>107.77060944712001</v>
      </c>
      <c r="U30" s="633">
        <f t="shared" ref="U30" si="31">U17/U44*100/T17*100</f>
        <v>107.65890429465679</v>
      </c>
      <c r="V30" s="633">
        <f t="shared" ref="V30" si="32">V17/V44*100/U17*100</f>
        <v>107.46567460666556</v>
      </c>
      <c r="W30" s="633">
        <f t="shared" ref="W30" si="33">W17/W44*100/V17*100</f>
        <v>107.49890194284291</v>
      </c>
      <c r="X30" s="633">
        <f t="shared" ref="X30" si="34">X17/X44*100/W17*100</f>
        <v>107.4673934693126</v>
      </c>
    </row>
    <row r="31" spans="2:24">
      <c r="B31" s="14" t="s">
        <v>46</v>
      </c>
      <c r="C31" s="15" t="s">
        <v>41</v>
      </c>
      <c r="D31" s="95">
        <v>139.49313451949948</v>
      </c>
      <c r="E31" s="95">
        <v>81.716386640055887</v>
      </c>
      <c r="F31" s="95">
        <v>81.734833395878894</v>
      </c>
      <c r="G31" s="95">
        <v>93.476348610345724</v>
      </c>
      <c r="H31" s="95">
        <v>102.18957337638392</v>
      </c>
      <c r="I31" s="95">
        <v>89.702999082303634</v>
      </c>
      <c r="J31" s="95">
        <v>64.107441578170494</v>
      </c>
      <c r="K31" s="95">
        <v>101.64246097669658</v>
      </c>
      <c r="L31" s="95">
        <v>104.47370213351539</v>
      </c>
      <c r="M31" s="95">
        <v>126.66067319135558</v>
      </c>
      <c r="N31" s="95">
        <v>119.1839359271311</v>
      </c>
      <c r="O31" s="141">
        <v>114.75478350045567</v>
      </c>
      <c r="P31" s="141">
        <v>114.80158942106698</v>
      </c>
      <c r="Q31" s="141">
        <v>114.82717087809185</v>
      </c>
    </row>
    <row r="32" spans="2:24">
      <c r="C32" s="6" t="s">
        <v>47</v>
      </c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</row>
    <row r="33" spans="2:24">
      <c r="B33" s="7" t="s">
        <v>48</v>
      </c>
      <c r="C33" s="11" t="s">
        <v>30</v>
      </c>
      <c r="D33">
        <v>114.7</v>
      </c>
      <c r="E33">
        <v>101.7</v>
      </c>
      <c r="F33">
        <v>101.8</v>
      </c>
      <c r="G33">
        <v>101.1</v>
      </c>
      <c r="H33">
        <v>105.4</v>
      </c>
      <c r="I33">
        <v>105.9</v>
      </c>
      <c r="J33" s="95">
        <f t="shared" ref="J33:N37" si="35">J4/I4/J18*10000</f>
        <v>104.05701495801165</v>
      </c>
      <c r="K33" s="95">
        <f t="shared" si="35"/>
        <v>94.225969592578366</v>
      </c>
      <c r="L33" s="95">
        <f t="shared" si="35"/>
        <v>99.001927932280793</v>
      </c>
      <c r="M33" s="95">
        <f t="shared" si="35"/>
        <v>95.798800979722017</v>
      </c>
      <c r="N33" s="95">
        <f t="shared" si="35"/>
        <v>101.54170562204904</v>
      </c>
      <c r="O33" s="625">
        <v>99.329056851151321</v>
      </c>
      <c r="P33" s="625">
        <v>97.898699346617448</v>
      </c>
      <c r="Q33" s="625">
        <v>95.17946903030743</v>
      </c>
      <c r="R33">
        <v>90.387627610050984</v>
      </c>
      <c r="S33">
        <v>89.491445344511078</v>
      </c>
      <c r="T33">
        <v>93.555533393273606</v>
      </c>
      <c r="U33">
        <v>86.10053025765896</v>
      </c>
      <c r="V33">
        <v>95.704741254778256</v>
      </c>
      <c r="W33">
        <v>98.21186774310894</v>
      </c>
      <c r="X33">
        <v>96.915038973702238</v>
      </c>
    </row>
    <row r="34" spans="2:24">
      <c r="B34" s="7" t="s">
        <v>49</v>
      </c>
      <c r="C34" s="11" t="s">
        <v>7</v>
      </c>
      <c r="D34">
        <v>163.9</v>
      </c>
      <c r="E34">
        <v>84.9</v>
      </c>
      <c r="F34">
        <v>90.1</v>
      </c>
      <c r="G34">
        <v>100.3</v>
      </c>
      <c r="H34">
        <v>107.7</v>
      </c>
      <c r="I34">
        <v>116.7</v>
      </c>
      <c r="J34" s="95">
        <f t="shared" si="35"/>
        <v>125.74077751433707</v>
      </c>
      <c r="K34" s="95">
        <f t="shared" si="35"/>
        <v>108.21982052908413</v>
      </c>
      <c r="L34" s="95">
        <f t="shared" si="35"/>
        <v>94.379944657485439</v>
      </c>
      <c r="M34" s="95">
        <f t="shared" si="35"/>
        <v>99.699404404408142</v>
      </c>
      <c r="N34" s="95">
        <f t="shared" si="35"/>
        <v>109.8879350967907</v>
      </c>
      <c r="O34" s="625">
        <v>94.841270815628164</v>
      </c>
      <c r="P34" s="625">
        <v>108.33013750269566</v>
      </c>
      <c r="Q34" s="625">
        <v>103.77203454524616</v>
      </c>
      <c r="R34">
        <v>104.29757191969763</v>
      </c>
      <c r="S34">
        <v>105.86627515380603</v>
      </c>
      <c r="T34">
        <v>102.52553493267082</v>
      </c>
      <c r="U34">
        <v>102.19566947817229</v>
      </c>
      <c r="V34">
        <v>100.25521798905775</v>
      </c>
      <c r="W34">
        <v>106.36321432414077</v>
      </c>
      <c r="X34">
        <v>94.166669488838622</v>
      </c>
    </row>
    <row r="35" spans="2:24">
      <c r="B35" s="7" t="s">
        <v>50</v>
      </c>
      <c r="C35" s="11" t="s">
        <v>9</v>
      </c>
      <c r="D35">
        <v>96.8</v>
      </c>
      <c r="E35">
        <v>96.6</v>
      </c>
      <c r="F35">
        <v>103.7</v>
      </c>
      <c r="G35">
        <v>116</v>
      </c>
      <c r="H35">
        <v>106.4</v>
      </c>
      <c r="I35">
        <v>112.3</v>
      </c>
      <c r="J35" s="95">
        <f t="shared" si="35"/>
        <v>127.24411471882327</v>
      </c>
      <c r="K35" s="95">
        <f t="shared" si="35"/>
        <v>89.089768261526117</v>
      </c>
      <c r="L35" s="95">
        <f t="shared" si="35"/>
        <v>93.588929541635594</v>
      </c>
      <c r="M35" s="95">
        <f>M6/L6/M20*10000</f>
        <v>119.00136883173433</v>
      </c>
      <c r="N35" s="95">
        <f>N6/M6/N20*10000</f>
        <v>111.28741942650416</v>
      </c>
      <c r="O35" s="634">
        <v>94.136318768159455</v>
      </c>
      <c r="P35" s="634">
        <v>102.58640436114244</v>
      </c>
      <c r="Q35" s="634">
        <v>102.95333855108082</v>
      </c>
      <c r="R35">
        <v>101.96673521768145</v>
      </c>
      <c r="S35">
        <v>101.33102707375912</v>
      </c>
      <c r="T35">
        <v>102.83746795803164</v>
      </c>
      <c r="U35">
        <v>101.59889535809586</v>
      </c>
      <c r="V35">
        <v>98.827011704077776</v>
      </c>
      <c r="W35">
        <v>100</v>
      </c>
      <c r="X35">
        <v>100</v>
      </c>
    </row>
    <row r="36" spans="2:24">
      <c r="B36" s="7" t="s">
        <v>51</v>
      </c>
      <c r="C36" s="11" t="s">
        <v>11</v>
      </c>
      <c r="D36">
        <v>173.6</v>
      </c>
      <c r="E36">
        <v>83.4</v>
      </c>
      <c r="F36">
        <v>89.2</v>
      </c>
      <c r="G36">
        <v>99.2</v>
      </c>
      <c r="H36">
        <v>108.3</v>
      </c>
      <c r="I36">
        <v>117.5</v>
      </c>
      <c r="J36" s="95">
        <f t="shared" si="35"/>
        <v>105.85544293409463</v>
      </c>
      <c r="K36" s="95">
        <f t="shared" si="35"/>
        <v>119.85952192137758</v>
      </c>
      <c r="L36" s="95">
        <v>115</v>
      </c>
      <c r="M36" s="118">
        <v>110</v>
      </c>
      <c r="N36" s="118">
        <v>111</v>
      </c>
      <c r="O36" s="634">
        <v>110</v>
      </c>
      <c r="P36" s="634">
        <v>200.5</v>
      </c>
      <c r="Q36" s="634">
        <v>110</v>
      </c>
      <c r="R36">
        <v>119.92</v>
      </c>
      <c r="S36">
        <v>129.93</v>
      </c>
      <c r="T36">
        <v>101.5</v>
      </c>
      <c r="U36">
        <v>103.99</v>
      </c>
      <c r="V36">
        <v>104</v>
      </c>
      <c r="W36">
        <v>120</v>
      </c>
      <c r="X36">
        <v>85</v>
      </c>
    </row>
    <row r="37" spans="2:24">
      <c r="B37" s="7" t="s">
        <v>52</v>
      </c>
      <c r="C37" s="11" t="s">
        <v>13</v>
      </c>
      <c r="D37">
        <v>102.7</v>
      </c>
      <c r="E37">
        <v>102</v>
      </c>
      <c r="F37">
        <v>102.8</v>
      </c>
      <c r="G37">
        <v>101.5</v>
      </c>
      <c r="H37">
        <v>104.5</v>
      </c>
      <c r="I37">
        <v>104.8</v>
      </c>
      <c r="J37" s="95">
        <f t="shared" si="35"/>
        <v>101.5646315292703</v>
      </c>
      <c r="K37" s="95">
        <f t="shared" si="35"/>
        <v>98.984950600508256</v>
      </c>
      <c r="L37" s="95">
        <f t="shared" si="35"/>
        <v>98.488475736096461</v>
      </c>
      <c r="M37" s="95">
        <f t="shared" si="35"/>
        <v>98.866382480514943</v>
      </c>
      <c r="N37" s="95">
        <f t="shared" si="35"/>
        <v>103.41018608596538</v>
      </c>
      <c r="O37" s="625">
        <v>100.92173069141946</v>
      </c>
      <c r="P37" s="625">
        <v>92.739750596600175</v>
      </c>
      <c r="Q37" s="625">
        <v>89.820113202405338</v>
      </c>
      <c r="R37">
        <v>80.904638727120371</v>
      </c>
      <c r="S37">
        <v>77.179457932909131</v>
      </c>
      <c r="T37">
        <v>86.283627254136931</v>
      </c>
      <c r="U37">
        <v>71.018086957320563</v>
      </c>
      <c r="V37">
        <v>89.780707613367866</v>
      </c>
      <c r="W37">
        <v>90.081221777912404</v>
      </c>
      <c r="X37">
        <v>98.626233187583125</v>
      </c>
    </row>
    <row r="38" spans="2:24">
      <c r="B38" s="7" t="s">
        <v>53</v>
      </c>
      <c r="C38" s="13" t="s">
        <v>15</v>
      </c>
      <c r="D38" s="95">
        <v>101.1</v>
      </c>
      <c r="E38" s="95">
        <v>100.5</v>
      </c>
      <c r="F38" s="95">
        <v>101.7</v>
      </c>
      <c r="G38" s="95">
        <v>102.6</v>
      </c>
      <c r="H38" s="95">
        <v>104.1</v>
      </c>
      <c r="I38" s="95">
        <v>108.4</v>
      </c>
      <c r="J38" s="95">
        <v>103.89274139597268</v>
      </c>
      <c r="K38" s="95">
        <v>100.56200809355384</v>
      </c>
      <c r="L38" s="95">
        <f>Monetary!AD5</f>
        <v>103.6</v>
      </c>
      <c r="M38" s="95">
        <f>Monetary!AE5</f>
        <v>102.2</v>
      </c>
      <c r="N38" s="95">
        <f>Monetary!AF5</f>
        <v>103.9</v>
      </c>
      <c r="O38" s="634">
        <v>111.51968861295509</v>
      </c>
      <c r="P38" s="634">
        <v>105.3157961145948</v>
      </c>
      <c r="Q38" s="634">
        <v>105.00934608980445</v>
      </c>
      <c r="R38">
        <v>104.847883146855</v>
      </c>
      <c r="S38">
        <v>105.08666329189151</v>
      </c>
      <c r="T38">
        <v>106.10162504515098</v>
      </c>
      <c r="U38">
        <v>104.80696744593388</v>
      </c>
      <c r="V38">
        <v>103.1985786412928</v>
      </c>
      <c r="W38">
        <v>107.58357835184954</v>
      </c>
      <c r="X38">
        <v>105.07437456087527</v>
      </c>
    </row>
    <row r="39" spans="2:24">
      <c r="B39" s="7" t="s">
        <v>54</v>
      </c>
      <c r="C39" s="13" t="s">
        <v>17</v>
      </c>
      <c r="D39">
        <v>120.7</v>
      </c>
      <c r="E39">
        <v>111.6</v>
      </c>
      <c r="F39">
        <v>106.3</v>
      </c>
      <c r="G39">
        <v>94.2</v>
      </c>
      <c r="H39">
        <v>99.5</v>
      </c>
      <c r="I39">
        <v>113.4</v>
      </c>
      <c r="J39" s="95">
        <f t="shared" ref="J39:N40" si="36">J10/I10/J24*10000</f>
        <v>130.33586304551889</v>
      </c>
      <c r="K39" s="95">
        <f t="shared" si="36"/>
        <v>100.978200722274</v>
      </c>
      <c r="L39" s="95">
        <f t="shared" si="36"/>
        <v>94.539255834002773</v>
      </c>
      <c r="M39" s="95">
        <f t="shared" si="36"/>
        <v>94.306553754155274</v>
      </c>
      <c r="N39" s="95">
        <f t="shared" si="36"/>
        <v>91.526627218934905</v>
      </c>
      <c r="O39" s="634">
        <v>106.46840237639402</v>
      </c>
      <c r="P39" s="634">
        <v>110.53158794430607</v>
      </c>
      <c r="Q39" s="634">
        <v>103.96321470825738</v>
      </c>
      <c r="R39">
        <v>112.30184016354914</v>
      </c>
      <c r="S39">
        <v>98.414436298410635</v>
      </c>
      <c r="T39">
        <v>105.12539550448737</v>
      </c>
      <c r="U39">
        <v>105.10670648882022</v>
      </c>
      <c r="V39">
        <v>105.01970921565237</v>
      </c>
      <c r="W39">
        <v>104.96269610450574</v>
      </c>
      <c r="X39">
        <v>107.0794091425298</v>
      </c>
    </row>
    <row r="40" spans="2:24">
      <c r="B40" s="7" t="s">
        <v>55</v>
      </c>
      <c r="C40" s="13" t="s">
        <v>19</v>
      </c>
      <c r="D40">
        <v>111.4</v>
      </c>
      <c r="E40">
        <v>110.7</v>
      </c>
      <c r="F40">
        <v>105.9</v>
      </c>
      <c r="G40">
        <v>100.4</v>
      </c>
      <c r="H40">
        <v>131.30000000000001</v>
      </c>
      <c r="I40" s="95">
        <v>99</v>
      </c>
      <c r="J40" s="139">
        <f t="shared" si="36"/>
        <v>109.5680225166234</v>
      </c>
      <c r="K40" s="139">
        <f t="shared" si="36"/>
        <v>97.651849842087628</v>
      </c>
      <c r="L40" s="139">
        <f t="shared" si="36"/>
        <v>104.11018678259606</v>
      </c>
      <c r="M40" s="139">
        <f t="shared" si="36"/>
        <v>110.65461105328878</v>
      </c>
      <c r="N40" s="139">
        <f t="shared" si="36"/>
        <v>123.16813525713258</v>
      </c>
      <c r="O40" s="634">
        <v>96.172246683554278</v>
      </c>
      <c r="P40" s="634">
        <v>104.52044779544808</v>
      </c>
      <c r="Q40" s="634">
        <v>104.85438619959528</v>
      </c>
      <c r="R40">
        <v>103.81119917567885</v>
      </c>
      <c r="S40">
        <v>103.1271023126349</v>
      </c>
      <c r="T40">
        <v>102.8973215465149</v>
      </c>
      <c r="U40">
        <v>101.65309267629287</v>
      </c>
      <c r="V40">
        <v>98.875108252388529</v>
      </c>
      <c r="W40">
        <v>100.04420610465166</v>
      </c>
      <c r="X40">
        <v>100.03998765021699</v>
      </c>
    </row>
    <row r="41" spans="2:24">
      <c r="B41" s="7" t="s">
        <v>56</v>
      </c>
      <c r="C41" s="13" t="s">
        <v>41</v>
      </c>
      <c r="D41">
        <v>119.07999208603211</v>
      </c>
      <c r="E41" s="94">
        <f>E12/D12/E31*10000</f>
        <v>158.48335591486835</v>
      </c>
      <c r="F41" s="94">
        <f t="shared" ref="F41:K41" si="37">F12/E12/F31*10000</f>
        <v>151.8295263042838</v>
      </c>
      <c r="G41" s="94">
        <f t="shared" si="37"/>
        <v>135.89796582388814</v>
      </c>
      <c r="H41" s="94">
        <f t="shared" si="37"/>
        <v>150.21417755913629</v>
      </c>
      <c r="I41" s="94">
        <f t="shared" si="37"/>
        <v>144.44965264757289</v>
      </c>
      <c r="J41" s="94">
        <f t="shared" si="37"/>
        <v>186.71267875693596</v>
      </c>
      <c r="K41" s="94">
        <f t="shared" si="37"/>
        <v>99.362016093866629</v>
      </c>
      <c r="L41" s="94">
        <f>L12/K12/L31*10000</f>
        <v>102.45420725700276</v>
      </c>
      <c r="M41" s="126">
        <f>(Assumptions!AE7/Assumptions!AD7)*(Assumptions!AE12/Assumptions!AD12)*100</f>
        <v>106.37114314139946</v>
      </c>
      <c r="N41" s="126">
        <f>(Assumptions!AF7/Assumptions!AE7)*(Assumptions!AF12/Assumptions!AE12)*100</f>
        <v>98.923382439328648</v>
      </c>
      <c r="O41" s="635">
        <v>96.240660410310284</v>
      </c>
      <c r="P41" s="635">
        <v>104.4861525900525</v>
      </c>
      <c r="Q41" s="635">
        <v>104.82521743382773</v>
      </c>
      <c r="R41">
        <v>103.78756977514003</v>
      </c>
      <c r="S41">
        <v>103.10876439084262</v>
      </c>
      <c r="T41">
        <v>102.83746795803164</v>
      </c>
      <c r="U41">
        <v>101.59889535809586</v>
      </c>
      <c r="V41">
        <v>98.827011704077776</v>
      </c>
      <c r="W41">
        <v>100</v>
      </c>
      <c r="X41">
        <v>100</v>
      </c>
    </row>
    <row r="42" spans="2:24">
      <c r="B42" s="7" t="s">
        <v>57</v>
      </c>
      <c r="C42" s="13" t="s">
        <v>23</v>
      </c>
      <c r="D42">
        <v>124.9164116800746</v>
      </c>
      <c r="E42" s="126">
        <f>(Assumptions!W7/Assumptions!V7)*(Assumptions!W12/Assumptions!V12)*100</f>
        <v>122.48757565612476</v>
      </c>
      <c r="F42" s="126">
        <f>(Assumptions!X7/Assumptions!W7)*(Assumptions!X12/Assumptions!W12)*100</f>
        <v>133.83937080986442</v>
      </c>
      <c r="G42" s="126">
        <f>(Assumptions!Y7/Assumptions!X7)*(Assumptions!Y12/Assumptions!X12)*100</f>
        <v>114.69431465542095</v>
      </c>
      <c r="H42" s="126">
        <f>(Assumptions!Z7/Assumptions!Y7)*(Assumptions!Z12/Assumptions!Y12)*100</f>
        <v>89.004638833077394</v>
      </c>
      <c r="I42" s="126">
        <f>(Assumptions!AA7/Assumptions!Z7)*(Assumptions!AA12/Assumptions!Z12)*100</f>
        <v>109.65171187735628</v>
      </c>
      <c r="J42" s="126">
        <f>(Assumptions!AB7/Assumptions!AA7)*(Assumptions!AB12/Assumptions!AA12)*100</f>
        <v>150.43482431637199</v>
      </c>
      <c r="K42" s="126">
        <f>(Assumptions!AC7/Assumptions!AB7)*(Assumptions!AC12/Assumptions!AB12)*100</f>
        <v>97.068532866797426</v>
      </c>
      <c r="L42" s="126">
        <f>(Assumptions!AD7/Assumptions!AC7)*(Assumptions!AD12/Assumptions!AC12)*100</f>
        <v>88.9736319478599</v>
      </c>
      <c r="M42" s="126">
        <f>(Assumptions!AE7/Assumptions!AD7)*(Assumptions!AE12/Assumptions!AD12)*100</f>
        <v>106.37114314139946</v>
      </c>
      <c r="N42" s="126">
        <f>(Assumptions!AF7/Assumptions!AE7)*(Assumptions!AF12/Assumptions!AE12)*100</f>
        <v>98.923382439328648</v>
      </c>
      <c r="O42" s="635">
        <v>96.240660410310284</v>
      </c>
      <c r="P42" s="635">
        <v>104.4861525900525</v>
      </c>
      <c r="Q42" s="635">
        <v>104.82521743382773</v>
      </c>
      <c r="R42">
        <v>103.78756977514003</v>
      </c>
      <c r="S42">
        <v>103.10876439084262</v>
      </c>
      <c r="T42">
        <v>102.83746795803164</v>
      </c>
      <c r="U42">
        <v>101.59889535809586</v>
      </c>
      <c r="V42">
        <v>98.827011704077776</v>
      </c>
      <c r="W42">
        <v>100</v>
      </c>
      <c r="X42">
        <v>100</v>
      </c>
    </row>
    <row r="43" spans="2:24">
      <c r="B43" s="7" t="s">
        <v>58</v>
      </c>
      <c r="C43" s="13" t="s">
        <v>44</v>
      </c>
      <c r="D43" s="95">
        <v>96.420670756256726</v>
      </c>
      <c r="E43" s="94">
        <f>E14/D14/E28*10000</f>
        <v>93.167202916311084</v>
      </c>
      <c r="F43" s="94">
        <f t="shared" ref="F43:N44" si="38">F14/E14/F28*10000</f>
        <v>90.620064241391304</v>
      </c>
      <c r="G43" s="94">
        <f t="shared" si="38"/>
        <v>96.692497435716447</v>
      </c>
      <c r="H43" s="94">
        <f t="shared" si="38"/>
        <v>115.04003911162172</v>
      </c>
      <c r="I43" s="94">
        <f t="shared" si="38"/>
        <v>98.624432316617757</v>
      </c>
      <c r="J43" s="94">
        <f t="shared" si="38"/>
        <v>76.629200017234169</v>
      </c>
      <c r="K43" s="94">
        <f t="shared" si="38"/>
        <v>95.933072948800771</v>
      </c>
      <c r="L43" s="94">
        <f t="shared" si="38"/>
        <v>115.89563236921384</v>
      </c>
      <c r="M43" s="94">
        <f t="shared" si="38"/>
        <v>105.07426624047828</v>
      </c>
      <c r="N43" s="94">
        <f t="shared" si="38"/>
        <v>99.675252160546307</v>
      </c>
      <c r="O43" s="636">
        <v>250</v>
      </c>
      <c r="P43" s="636">
        <v>161.5</v>
      </c>
      <c r="Q43" s="636">
        <v>120</v>
      </c>
      <c r="R43">
        <v>120</v>
      </c>
      <c r="S43">
        <v>140</v>
      </c>
      <c r="T43">
        <v>101</v>
      </c>
      <c r="U43">
        <v>64.5</v>
      </c>
      <c r="V43">
        <v>115</v>
      </c>
      <c r="W43">
        <v>115</v>
      </c>
      <c r="X43">
        <v>55</v>
      </c>
    </row>
    <row r="44" spans="2:24">
      <c r="B44" s="7" t="s">
        <v>59</v>
      </c>
      <c r="C44" s="13" t="s">
        <v>60</v>
      </c>
      <c r="D44" s="95">
        <v>116.5</v>
      </c>
      <c r="E44" s="95">
        <v>115</v>
      </c>
      <c r="F44" s="95">
        <v>115</v>
      </c>
      <c r="G44" s="95">
        <v>102.5</v>
      </c>
      <c r="H44" s="95">
        <v>105.7</v>
      </c>
      <c r="I44" s="95">
        <v>100.2</v>
      </c>
      <c r="J44" s="95">
        <f t="shared" si="38"/>
        <v>95.568405676859953</v>
      </c>
      <c r="K44" s="95">
        <f t="shared" si="38"/>
        <v>80.012807424106825</v>
      </c>
      <c r="L44" s="95">
        <f t="shared" si="38"/>
        <v>110.04848028061629</v>
      </c>
      <c r="M44">
        <f t="shared" si="38"/>
        <v>103.96996289425955</v>
      </c>
      <c r="N44">
        <f t="shared" si="38"/>
        <v>105.35170451825658</v>
      </c>
      <c r="O44" s="625">
        <v>100</v>
      </c>
      <c r="P44" s="625">
        <v>100</v>
      </c>
      <c r="Q44" s="625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  <c r="X44">
        <v>100</v>
      </c>
    </row>
    <row r="45" spans="2:24"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  <c r="X45">
        <v>100</v>
      </c>
    </row>
    <row r="48" spans="2:24">
      <c r="C48" s="6" t="s">
        <v>61</v>
      </c>
    </row>
    <row r="49" spans="2:17" ht="15.75">
      <c r="B49" s="7" t="s">
        <v>62</v>
      </c>
      <c r="C49" s="11" t="s">
        <v>30</v>
      </c>
      <c r="D49" s="95">
        <v>206.23039627589176</v>
      </c>
      <c r="E49" s="95">
        <f t="shared" ref="E49:P49" si="39">D49*E18/100</f>
        <v>239.22725968003445</v>
      </c>
      <c r="F49" s="95">
        <f t="shared" si="39"/>
        <v>290.18266599188178</v>
      </c>
      <c r="G49" s="95">
        <f t="shared" si="39"/>
        <v>320.94202858702124</v>
      </c>
      <c r="H49" s="95">
        <f t="shared" si="39"/>
        <v>363.30637636050807</v>
      </c>
      <c r="I49" s="95">
        <f t="shared" si="39"/>
        <v>395.27733748023275</v>
      </c>
      <c r="J49" s="95">
        <f t="shared" si="39"/>
        <v>477.49502367612115</v>
      </c>
      <c r="K49" s="95">
        <f t="shared" si="39"/>
        <v>551.02925732224389</v>
      </c>
      <c r="L49" s="95">
        <f t="shared" si="39"/>
        <v>617.1527682009131</v>
      </c>
      <c r="M49" s="95">
        <f t="shared" si="39"/>
        <v>740.58332184109577</v>
      </c>
      <c r="N49">
        <f t="shared" si="39"/>
        <v>904.25223596797787</v>
      </c>
      <c r="O49">
        <f>N49*O18/100</f>
        <v>1087.3974432454995</v>
      </c>
      <c r="P49">
        <f t="shared" si="39"/>
        <v>1306.322917058309</v>
      </c>
      <c r="Q49">
        <f>P49*Q18/100</f>
        <v>1567.7704430488252</v>
      </c>
    </row>
    <row r="50" spans="2:17" ht="15.75">
      <c r="B50" s="7" t="s">
        <v>63</v>
      </c>
      <c r="C50" s="13" t="s">
        <v>64</v>
      </c>
      <c r="D50" s="95">
        <v>113.50787982475975</v>
      </c>
      <c r="E50" s="95">
        <f>D50*E70/D70</f>
        <v>113.97085334694442</v>
      </c>
      <c r="F50" s="95">
        <f t="shared" ref="F50:Q50" si="40">E50*F70/E70</f>
        <v>120.00273695026461</v>
      </c>
      <c r="G50" s="95">
        <f t="shared" si="40"/>
        <v>130.57176107099446</v>
      </c>
      <c r="H50" s="95">
        <f t="shared" si="40"/>
        <v>136.7557645458896</v>
      </c>
      <c r="I50" s="95">
        <f t="shared" si="40"/>
        <v>130.7635643873281</v>
      </c>
      <c r="J50" s="95">
        <f t="shared" si="40"/>
        <v>136.40390466902923</v>
      </c>
      <c r="K50" s="95">
        <f t="shared" si="40"/>
        <v>141.53431268558128</v>
      </c>
      <c r="L50" s="95">
        <f t="shared" si="40"/>
        <v>144.58332402454027</v>
      </c>
      <c r="M50" s="95">
        <f t="shared" si="40"/>
        <v>154.70415670625809</v>
      </c>
      <c r="N50" s="95">
        <f t="shared" si="40"/>
        <v>165.53344767569618</v>
      </c>
      <c r="O50" s="95">
        <f t="shared" si="40"/>
        <v>177.12078901299495</v>
      </c>
      <c r="P50" s="95">
        <f t="shared" si="40"/>
        <v>189.51924424390458</v>
      </c>
      <c r="Q50" s="95">
        <f t="shared" si="40"/>
        <v>202.78559134097793</v>
      </c>
    </row>
    <row r="51" spans="2:17" ht="15.75">
      <c r="B51" s="7" t="s">
        <v>65</v>
      </c>
      <c r="C51" s="13" t="s">
        <v>66</v>
      </c>
      <c r="D51" s="95">
        <v>113.40480410356734</v>
      </c>
      <c r="E51" s="95">
        <f t="shared" ref="E51:P51" si="41">D51*E25/100</f>
        <v>118.734829896435</v>
      </c>
      <c r="F51" s="95">
        <f t="shared" si="41"/>
        <v>129.89590390669989</v>
      </c>
      <c r="G51" s="95">
        <f t="shared" si="41"/>
        <v>143.79476562471677</v>
      </c>
      <c r="H51" s="95">
        <f t="shared" si="41"/>
        <v>204.47615671834723</v>
      </c>
      <c r="I51" s="95">
        <f t="shared" si="41"/>
        <v>223.69691544987188</v>
      </c>
      <c r="J51" s="95">
        <f t="shared" si="41"/>
        <v>244.72442550215987</v>
      </c>
      <c r="K51" s="95">
        <f t="shared" si="41"/>
        <v>253.04505596923332</v>
      </c>
      <c r="L51" s="95">
        <f t="shared" si="41"/>
        <v>259.87727248040261</v>
      </c>
      <c r="M51" s="95">
        <f t="shared" si="41"/>
        <v>294.96070426525699</v>
      </c>
      <c r="N51" s="95">
        <f t="shared" si="41"/>
        <v>314.1331500424987</v>
      </c>
      <c r="O51" s="95">
        <f t="shared" si="41"/>
        <v>379.06564015312586</v>
      </c>
      <c r="P51" s="95">
        <f t="shared" si="41"/>
        <v>434.17938118907313</v>
      </c>
      <c r="Q51" s="95">
        <f>P51*Q25/100</f>
        <v>497.76001328946097</v>
      </c>
    </row>
    <row r="52" spans="2:17" ht="15.75">
      <c r="B52" s="7" t="s">
        <v>67</v>
      </c>
      <c r="C52" s="13" t="s">
        <v>68</v>
      </c>
      <c r="D52" s="95">
        <v>139.68528789497449</v>
      </c>
      <c r="E52" s="95">
        <f t="shared" ref="E52:P52" si="42">D52*E24/100</f>
        <v>144.99332883498352</v>
      </c>
      <c r="F52" s="95">
        <f t="shared" si="42"/>
        <v>189.79626744499342</v>
      </c>
      <c r="G52" s="95">
        <f t="shared" si="42"/>
        <v>174.80236231683892</v>
      </c>
      <c r="H52" s="95">
        <f t="shared" si="42"/>
        <v>207.66520643240463</v>
      </c>
      <c r="I52" s="95">
        <f t="shared" si="42"/>
        <v>235.70000930077924</v>
      </c>
      <c r="J52" s="95">
        <f t="shared" si="42"/>
        <v>258.0915101843533</v>
      </c>
      <c r="K52" s="95">
        <f t="shared" si="42"/>
        <v>276.93219042781107</v>
      </c>
      <c r="L52" s="95">
        <f t="shared" si="42"/>
        <v>305.73313823230342</v>
      </c>
      <c r="M52" s="95">
        <f t="shared" si="42"/>
        <v>284.33181855604215</v>
      </c>
      <c r="N52" s="95">
        <f t="shared" si="42"/>
        <v>325.27560042811223</v>
      </c>
      <c r="O52" s="95">
        <f t="shared" si="42"/>
        <v>228.64845030679069</v>
      </c>
      <c r="P52" s="95">
        <f t="shared" si="42"/>
        <v>226.66928223158425</v>
      </c>
      <c r="Q52" s="95">
        <f>P52*Q24/100</f>
        <v>274.70038318931273</v>
      </c>
    </row>
    <row r="53" spans="2:17" ht="15.75">
      <c r="B53" s="7" t="s">
        <v>69</v>
      </c>
      <c r="C53" s="13" t="s">
        <v>70</v>
      </c>
      <c r="D53" s="95">
        <v>233.48071440757653</v>
      </c>
      <c r="E53" s="95">
        <f>D53*E23/100</f>
        <v>246.0886729855857</v>
      </c>
      <c r="F53" s="95">
        <f t="shared" ref="F53:P53" si="43">E53*F23/100</f>
        <v>284.47850597133709</v>
      </c>
      <c r="G53" s="95">
        <f t="shared" si="43"/>
        <v>334.54672302229244</v>
      </c>
      <c r="H53" s="95">
        <f t="shared" si="43"/>
        <v>360.30682069500892</v>
      </c>
      <c r="I53" s="95">
        <f t="shared" si="43"/>
        <v>453.62628725501628</v>
      </c>
      <c r="J53" s="95">
        <f t="shared" si="43"/>
        <v>468.59595473443181</v>
      </c>
      <c r="K53" s="95">
        <f t="shared" si="43"/>
        <v>618.54666024945004</v>
      </c>
      <c r="L53" s="95">
        <f t="shared" si="43"/>
        <v>785.5542585168015</v>
      </c>
      <c r="M53" s="95">
        <f t="shared" si="43"/>
        <v>864.10968436848168</v>
      </c>
      <c r="N53">
        <f t="shared" si="43"/>
        <v>1003.2313435518072</v>
      </c>
      <c r="O53">
        <f t="shared" si="43"/>
        <v>1297.8974038369729</v>
      </c>
      <c r="P53">
        <f t="shared" si="43"/>
        <v>1531.6447875455131</v>
      </c>
      <c r="Q53">
        <f>P53*Q23/100</f>
        <v>1588.1034482570869</v>
      </c>
    </row>
    <row r="54" spans="2:17" ht="15.75">
      <c r="B54" s="7" t="s">
        <v>71</v>
      </c>
      <c r="C54" s="13" t="s">
        <v>72</v>
      </c>
      <c r="D54" s="95">
        <v>320.19922996004368</v>
      </c>
      <c r="E54" s="95">
        <f t="shared" ref="E54:P54" si="44">D54*E28/100</f>
        <v>445.17839136027351</v>
      </c>
      <c r="F54" s="95">
        <f t="shared" si="44"/>
        <v>623.79985569128041</v>
      </c>
      <c r="G54" s="95">
        <f t="shared" si="44"/>
        <v>755.6215340777311</v>
      </c>
      <c r="H54" s="95">
        <f t="shared" si="44"/>
        <v>773.73021128513767</v>
      </c>
      <c r="I54" s="95">
        <f t="shared" si="44"/>
        <v>798.78234600057533</v>
      </c>
      <c r="J54" s="95">
        <f t="shared" si="44"/>
        <v>1175.3262484839838</v>
      </c>
      <c r="K54" s="95">
        <f t="shared" si="44"/>
        <v>1358.3565997251717</v>
      </c>
      <c r="L54" s="95">
        <f t="shared" si="44"/>
        <v>1315.3157484532305</v>
      </c>
      <c r="M54" s="95">
        <f t="shared" si="44"/>
        <v>1419.2772959171277</v>
      </c>
      <c r="N54" s="95">
        <f t="shared" si="44"/>
        <v>1495.8756964317361</v>
      </c>
      <c r="O54" s="95">
        <f t="shared" si="44"/>
        <v>477.0299304432242</v>
      </c>
      <c r="P54" s="95">
        <f t="shared" si="44"/>
        <v>360.19314996973117</v>
      </c>
      <c r="Q54" s="95">
        <f>P54*Q28/100</f>
        <v>396.56805124939035</v>
      </c>
    </row>
    <row r="56" spans="2:17">
      <c r="B56" s="17"/>
      <c r="C56" s="18" t="s">
        <v>73</v>
      </c>
    </row>
    <row r="57" spans="2:17">
      <c r="B57" s="7" t="s">
        <v>74</v>
      </c>
      <c r="C57" s="19" t="s">
        <v>75</v>
      </c>
      <c r="D57" s="93">
        <f>GDP!V17</f>
        <v>7726.2999999999993</v>
      </c>
      <c r="E57" s="93">
        <f>GDP!W17</f>
        <v>9266.9</v>
      </c>
      <c r="F57" s="93">
        <f>GDP!X17</f>
        <v>12839.900000000001</v>
      </c>
      <c r="G57" s="93">
        <f>GDP!Y17</f>
        <v>15031.499999999998</v>
      </c>
      <c r="H57" s="93">
        <f>GDP!Z17</f>
        <v>16873.8</v>
      </c>
      <c r="I57" s="93">
        <f>GDP!AA17</f>
        <v>19511.3</v>
      </c>
      <c r="J57" s="93">
        <f>GDP!AB17</f>
        <v>24139</v>
      </c>
      <c r="K57" s="93">
        <f>GDP!AC17</f>
        <v>27762</v>
      </c>
      <c r="L57" s="93">
        <f>GDP!AD17</f>
        <v>29742.7</v>
      </c>
      <c r="M57" s="93">
        <f>GDP!AE17</f>
        <v>32666.7</v>
      </c>
      <c r="N57" s="116">
        <f>N61*N4</f>
        <v>33363.050000000003</v>
      </c>
      <c r="O57" s="116">
        <f t="shared" ref="O57:P57" si="45">O61*O4</f>
        <v>39054.11942791826</v>
      </c>
      <c r="P57" s="116">
        <f t="shared" si="45"/>
        <v>44993.643981264962</v>
      </c>
      <c r="Q57" s="116">
        <f>Q61*Q4</f>
        <v>51395.651066862505</v>
      </c>
    </row>
    <row r="58" spans="2:17">
      <c r="B58" s="7" t="s">
        <v>76</v>
      </c>
      <c r="C58" s="20" t="s">
        <v>77</v>
      </c>
      <c r="D58">
        <f t="shared" ref="D58:P58" si="46">D18</f>
        <v>111.3</v>
      </c>
      <c r="E58">
        <f t="shared" si="46"/>
        <v>116</v>
      </c>
      <c r="F58">
        <f t="shared" si="46"/>
        <v>121.3</v>
      </c>
      <c r="G58">
        <f t="shared" si="46"/>
        <v>110.6</v>
      </c>
      <c r="H58">
        <f t="shared" si="46"/>
        <v>113.2</v>
      </c>
      <c r="I58">
        <f t="shared" si="46"/>
        <v>108.8</v>
      </c>
      <c r="J58">
        <f t="shared" si="46"/>
        <v>120.8</v>
      </c>
      <c r="K58">
        <f t="shared" si="46"/>
        <v>115.4</v>
      </c>
      <c r="L58">
        <f t="shared" si="46"/>
        <v>112</v>
      </c>
      <c r="M58">
        <f t="shared" si="46"/>
        <v>120</v>
      </c>
      <c r="N58">
        <f t="shared" si="46"/>
        <v>122.1</v>
      </c>
      <c r="O58">
        <f t="shared" si="46"/>
        <v>120.25377433338271</v>
      </c>
      <c r="P58">
        <f t="shared" si="46"/>
        <v>120.13297669336005</v>
      </c>
      <c r="Q58">
        <f>Q18</f>
        <v>120.01400439175227</v>
      </c>
    </row>
    <row r="59" spans="2:17">
      <c r="B59" s="7" t="s">
        <v>78</v>
      </c>
      <c r="C59" s="20" t="s">
        <v>79</v>
      </c>
      <c r="D59" s="95">
        <v>125.96615476602548</v>
      </c>
      <c r="E59" s="95">
        <f t="shared" ref="E59:P59" si="47">E57/D57/E58*10000</f>
        <v>103.39628148728015</v>
      </c>
      <c r="F59" s="95">
        <f t="shared" si="47"/>
        <v>114.22636694774907</v>
      </c>
      <c r="G59" s="95">
        <f t="shared" si="47"/>
        <v>105.84870593047239</v>
      </c>
      <c r="H59" s="95">
        <f t="shared" si="47"/>
        <v>99.166309054871704</v>
      </c>
      <c r="I59" s="95">
        <f t="shared" si="47"/>
        <v>106.27825473253696</v>
      </c>
      <c r="J59" s="95">
        <f t="shared" si="47"/>
        <v>102.4156047728226</v>
      </c>
      <c r="K59" s="95">
        <f t="shared" si="47"/>
        <v>99.661097702266389</v>
      </c>
      <c r="L59" s="95">
        <f t="shared" si="47"/>
        <v>95.655868247450272</v>
      </c>
      <c r="M59" s="95">
        <f t="shared" si="47"/>
        <v>91.525819780988272</v>
      </c>
      <c r="N59">
        <f t="shared" si="47"/>
        <v>83.645930793025556</v>
      </c>
      <c r="O59">
        <f t="shared" si="47"/>
        <v>97.342475714128284</v>
      </c>
      <c r="P59">
        <f t="shared" si="47"/>
        <v>95.900766706890565</v>
      </c>
      <c r="Q59">
        <f>Q57/P57/Q58*10000</f>
        <v>95.17946903030743</v>
      </c>
    </row>
    <row r="60" spans="2:17">
      <c r="D60" s="94">
        <f>D23</f>
        <v>103.5</v>
      </c>
      <c r="E60">
        <f t="shared" ref="E60:P60" si="48">E23</f>
        <v>105.4</v>
      </c>
      <c r="F60">
        <f t="shared" si="48"/>
        <v>115.6</v>
      </c>
      <c r="G60">
        <f t="shared" si="48"/>
        <v>117.6</v>
      </c>
      <c r="H60">
        <f t="shared" si="48"/>
        <v>107.7</v>
      </c>
      <c r="I60">
        <f t="shared" si="48"/>
        <v>125.9</v>
      </c>
      <c r="J60">
        <f t="shared" si="48"/>
        <v>103.3</v>
      </c>
      <c r="K60">
        <f t="shared" si="48"/>
        <v>132</v>
      </c>
      <c r="L60">
        <f t="shared" si="48"/>
        <v>127</v>
      </c>
      <c r="M60">
        <f t="shared" si="48"/>
        <v>110</v>
      </c>
      <c r="N60">
        <f t="shared" si="48"/>
        <v>116.1</v>
      </c>
      <c r="O60">
        <f t="shared" si="48"/>
        <v>129.37169598807984</v>
      </c>
      <c r="P60">
        <f t="shared" si="48"/>
        <v>118.00969653052027</v>
      </c>
      <c r="Q60">
        <f>Q23</f>
        <v>103.68614584599931</v>
      </c>
    </row>
    <row r="61" spans="2:17">
      <c r="B61" s="7" t="s">
        <v>74</v>
      </c>
      <c r="C61" s="13" t="s">
        <v>80</v>
      </c>
      <c r="D61" s="95">
        <v>0.63351098720892085</v>
      </c>
      <c r="E61" s="95">
        <f t="shared" ref="E61:J61" si="49">E57/E4</f>
        <v>0.61410868124585816</v>
      </c>
      <c r="F61" s="95">
        <f t="shared" si="49"/>
        <v>0.64108107481973708</v>
      </c>
      <c r="G61" s="95">
        <f t="shared" si="49"/>
        <v>0.62909361803640251</v>
      </c>
      <c r="H61" s="95">
        <f t="shared" si="49"/>
        <v>0.61107509786950487</v>
      </c>
      <c r="I61" s="95">
        <f t="shared" si="49"/>
        <v>0.63163807057300092</v>
      </c>
      <c r="J61" s="95">
        <f t="shared" si="49"/>
        <v>0.62167452162043835</v>
      </c>
      <c r="K61" s="95">
        <f>K57/K4</f>
        <v>0.65753385723827251</v>
      </c>
      <c r="L61" s="176">
        <v>0.66</v>
      </c>
      <c r="M61" s="175">
        <v>0.54</v>
      </c>
      <c r="N61" s="175">
        <v>0.5</v>
      </c>
      <c r="O61" s="175">
        <v>0.49</v>
      </c>
      <c r="P61" s="175">
        <v>0.48</v>
      </c>
      <c r="Q61" s="175">
        <v>0.48</v>
      </c>
    </row>
    <row r="62" spans="2:17">
      <c r="B62" s="5" t="s">
        <v>81</v>
      </c>
      <c r="C62" s="13" t="s">
        <v>82</v>
      </c>
      <c r="D62" s="95">
        <v>168.41258636908313</v>
      </c>
      <c r="E62" s="95">
        <f>D62*E163/D163*(Household!W2/Household!V2)/(E33/100)</f>
        <v>209.34672431732358</v>
      </c>
      <c r="F62" s="95">
        <f>E62*F163/E163*(Household!X2/Household!W2)/(F33/100)</f>
        <v>225.41969608709948</v>
      </c>
      <c r="G62" s="95">
        <f>F62*G163/F163*(Household!Y2/Household!X2)/(G33/100)</f>
        <v>244.85867265189793</v>
      </c>
      <c r="H62" s="95">
        <f>G62*H163/G163*(Household!Z2/Household!Y2)/(H33/100)</f>
        <v>242.71490396679437</v>
      </c>
      <c r="I62" s="95">
        <f>H62*I163/H163*(Household!AA2/Household!Z2)/(I33/100)</f>
        <v>241.10825942606544</v>
      </c>
      <c r="J62" s="95">
        <f>I62*J163/I163*(Household!AB2/Household!AA2)/(J33/100)</f>
        <v>253.95128483509038</v>
      </c>
      <c r="K62" s="95">
        <f>J62*K163/J163*(Household!AC2/Household!AB2)/(K33/100)</f>
        <v>322.34493962827361</v>
      </c>
      <c r="L62" s="95">
        <f>K62*L163/K163*(Household!AD2/Household!AC2)/(L33/100)</f>
        <v>313.587240837629</v>
      </c>
      <c r="M62" s="95">
        <f>L62*M163/L163*(Household!AE2/Household!AD2)/(M33/100)</f>
        <v>294.33778590980035</v>
      </c>
      <c r="N62">
        <f>M62*N163/M163*(Household!AF2/Household!AE2)/(N33/100)</f>
        <v>272.15262129252562</v>
      </c>
      <c r="O62">
        <f>N62*O163/N163*(Household!AG2/Household!AF2)/(O33/100)</f>
        <v>250.40849675060946</v>
      </c>
      <c r="P62">
        <f>O62*P163/O163*(Household!AH2/Household!AG2)/(P33/100)</f>
        <v>262.3988620336192</v>
      </c>
      <c r="Q62">
        <f>P62*Q163/P163*(Household!AI2/Household!AH2)/(Q33/100)</f>
        <v>283.83052725124332</v>
      </c>
    </row>
    <row r="64" spans="2:17">
      <c r="C64" s="21" t="s">
        <v>83</v>
      </c>
    </row>
    <row r="65" spans="2:17">
      <c r="B65" s="7" t="s">
        <v>84</v>
      </c>
      <c r="C65" s="13" t="s">
        <v>85</v>
      </c>
      <c r="D65">
        <f>D9/Household!V9</f>
        <v>0.24218059912225182</v>
      </c>
      <c r="E65">
        <f>E9/Household!W9</f>
        <v>0.22824695206814005</v>
      </c>
      <c r="F65">
        <f>F9/Household!X9</f>
        <v>0.23346641208123589</v>
      </c>
      <c r="G65">
        <f>G9/Household!Y9</f>
        <v>0.23926131730445269</v>
      </c>
      <c r="H65">
        <f>H9/Household!Z9</f>
        <v>0.21640753077363989</v>
      </c>
      <c r="I65">
        <f>I9/Household!AA9</f>
        <v>0.26231461472425327</v>
      </c>
      <c r="J65">
        <f>J9/Household!AB9</f>
        <v>0.22874667388265008</v>
      </c>
      <c r="K65">
        <f>K9/Household!AC9</f>
        <v>0.25511415594323278</v>
      </c>
      <c r="L65">
        <f>L9/Household!AD9</f>
        <v>0.24421282906153702</v>
      </c>
      <c r="M65" s="85">
        <f>M9/Household!AE9</f>
        <v>0.20562492140200853</v>
      </c>
      <c r="N65" s="90">
        <v>0.22</v>
      </c>
      <c r="O65" s="90">
        <v>0.22900000000000001</v>
      </c>
      <c r="P65" s="90">
        <v>0.28999999999999998</v>
      </c>
      <c r="Q65" s="90">
        <v>0.28999999999999998</v>
      </c>
    </row>
    <row r="66" spans="2:17">
      <c r="B66" s="7" t="s">
        <v>86</v>
      </c>
      <c r="C66" s="13" t="s">
        <v>87</v>
      </c>
      <c r="D66" s="95">
        <f>D14/(D9+D10+D14-(D186+D187+D188)*Assumptions!V11)</f>
        <v>0.29392050880414655</v>
      </c>
      <c r="E66" s="95">
        <f>E14/(E9+E10+E14-(E186+E187+E188)*Assumptions!W11)</f>
        <v>0.32363117544161002</v>
      </c>
      <c r="F66" s="95">
        <f>F14/(F9+F10+F14-(F186+F187+F188)*Assumptions!X11)</f>
        <v>0.32141141582457972</v>
      </c>
      <c r="G66" s="95">
        <f>G14/(G9+G10+G14-(G186+G187+G188)*Assumptions!Y11)</f>
        <v>0.34006178690650168</v>
      </c>
      <c r="H66" s="95">
        <f>H14/(H9+H10+H14-(H186+H187+H188)*Assumptions!Z11)</f>
        <v>0.35311480706840914</v>
      </c>
      <c r="I66" s="95">
        <f>I14/(I9+I10+I14-(I186+I187+I188)*Assumptions!AA11)</f>
        <v>0.30576747115373193</v>
      </c>
      <c r="J66" s="95">
        <f>J14/(J9+J10+J14-(J186+J187+J188)*Assumptions!AB11)</f>
        <v>0.30686263038521772</v>
      </c>
      <c r="K66" s="95">
        <f>K14/(K9+K10+K14-(K186+K187+K188)*Assumptions!AC11)</f>
        <v>0.29457890561592731</v>
      </c>
      <c r="L66" s="95">
        <f>L14/(L9+L10+L14-(L186+L187+L188)*Assumptions!AD11)</f>
        <v>0.28442002847253373</v>
      </c>
      <c r="M66" s="91">
        <v>0.26</v>
      </c>
      <c r="N66" s="91">
        <v>0.32</v>
      </c>
      <c r="O66" s="91">
        <v>0.4</v>
      </c>
      <c r="P66" s="91">
        <v>0.42499999999999999</v>
      </c>
      <c r="Q66" s="91">
        <v>0.44</v>
      </c>
    </row>
    <row r="68" spans="2:17">
      <c r="B68" s="22"/>
      <c r="C68" s="23" t="s">
        <v>88</v>
      </c>
    </row>
    <row r="69" spans="2:17">
      <c r="B69" s="24"/>
      <c r="C69" s="25" t="s">
        <v>64</v>
      </c>
    </row>
    <row r="70" spans="2:17">
      <c r="B70" s="7" t="s">
        <v>89</v>
      </c>
      <c r="C70" s="26" t="s">
        <v>90</v>
      </c>
      <c r="D70">
        <v>17162</v>
      </c>
      <c r="E70">
        <v>17232</v>
      </c>
      <c r="F70">
        <v>18144</v>
      </c>
      <c r="G70">
        <v>19742</v>
      </c>
      <c r="H70">
        <v>20677</v>
      </c>
      <c r="I70">
        <v>19771</v>
      </c>
      <c r="J70">
        <v>20623.8</v>
      </c>
      <c r="K70">
        <v>21399.5</v>
      </c>
      <c r="L70">
        <v>21860.5</v>
      </c>
      <c r="M70">
        <f>L70*1.07</f>
        <v>23390.735000000001</v>
      </c>
      <c r="N70">
        <f t="shared" ref="N70:Q70" si="50">M70*1.07</f>
        <v>25028.086450000003</v>
      </c>
      <c r="O70">
        <f t="shared" si="50"/>
        <v>26780.052501500006</v>
      </c>
      <c r="P70">
        <f t="shared" si="50"/>
        <v>28654.656176605007</v>
      </c>
      <c r="Q70">
        <f t="shared" si="50"/>
        <v>30660.482108967361</v>
      </c>
    </row>
    <row r="71" spans="2:17">
      <c r="B71" s="7" t="s">
        <v>91</v>
      </c>
      <c r="C71" s="27" t="s">
        <v>92</v>
      </c>
      <c r="D71" s="93">
        <f>Trade!V60</f>
        <v>63</v>
      </c>
      <c r="E71" s="93">
        <f>Trade!W60</f>
        <v>103</v>
      </c>
      <c r="F71" s="93">
        <f>Trade!X60</f>
        <v>110</v>
      </c>
      <c r="G71" s="93">
        <f>Trade!Y60</f>
        <v>559.70000000000005</v>
      </c>
      <c r="H71" s="93">
        <f>Trade!Z60</f>
        <v>294.39999999999998</v>
      </c>
      <c r="I71" s="93">
        <f>Trade!AA60</f>
        <v>378.7</v>
      </c>
      <c r="J71" s="93">
        <f>Trade!AB60</f>
        <v>883.4</v>
      </c>
      <c r="K71" s="93">
        <f>Trade!AC60</f>
        <v>797.3</v>
      </c>
      <c r="L71" s="93">
        <f>Trade!AD60</f>
        <v>797.3</v>
      </c>
      <c r="M71" s="93">
        <f>Trade!AE60</f>
        <v>1617.7919999999999</v>
      </c>
      <c r="N71" s="93">
        <f>Trade!AF60</f>
        <v>2701.913</v>
      </c>
      <c r="O71" s="93">
        <f>Trade!AG60</f>
        <v>2755.9512600000003</v>
      </c>
      <c r="P71" s="93">
        <f>Trade!AH60</f>
        <v>2811.0702852000004</v>
      </c>
      <c r="Q71" s="93">
        <f>Trade!AI60</f>
        <v>2867.2916909040005</v>
      </c>
    </row>
    <row r="72" spans="2:17">
      <c r="B72" s="28" t="s">
        <v>93</v>
      </c>
      <c r="C72" s="26" t="s">
        <v>94</v>
      </c>
      <c r="D72" s="93">
        <f t="shared" ref="D72:P72" si="51">D70+D71</f>
        <v>17225</v>
      </c>
      <c r="E72" s="93">
        <f t="shared" si="51"/>
        <v>17335</v>
      </c>
      <c r="F72" s="93">
        <f t="shared" si="51"/>
        <v>18254</v>
      </c>
      <c r="G72" s="93">
        <f t="shared" si="51"/>
        <v>20301.7</v>
      </c>
      <c r="H72" s="93">
        <f t="shared" si="51"/>
        <v>20971.400000000001</v>
      </c>
      <c r="I72" s="93">
        <f t="shared" si="51"/>
        <v>20149.7</v>
      </c>
      <c r="J72" s="93">
        <f t="shared" si="51"/>
        <v>21507.200000000001</v>
      </c>
      <c r="K72" s="93">
        <f t="shared" si="51"/>
        <v>22196.799999999999</v>
      </c>
      <c r="L72" s="93">
        <f t="shared" si="51"/>
        <v>22657.8</v>
      </c>
      <c r="M72" s="93">
        <f t="shared" si="51"/>
        <v>25008.527000000002</v>
      </c>
      <c r="N72" s="93">
        <f t="shared" si="51"/>
        <v>27729.999450000003</v>
      </c>
      <c r="O72" s="93">
        <f t="shared" si="51"/>
        <v>29536.003761500007</v>
      </c>
      <c r="P72" s="93">
        <f t="shared" si="51"/>
        <v>31465.726461805007</v>
      </c>
      <c r="Q72" s="93">
        <f>Q70+Q71</f>
        <v>33527.773799871364</v>
      </c>
    </row>
    <row r="73" spans="2:17">
      <c r="B73" s="7" t="s">
        <v>95</v>
      </c>
      <c r="C73" s="27" t="s">
        <v>96</v>
      </c>
      <c r="D73" s="185">
        <f>Trade!V19</f>
        <v>1396</v>
      </c>
      <c r="E73" s="185">
        <f>Trade!W19</f>
        <v>1428</v>
      </c>
      <c r="F73" s="185">
        <f>Trade!X19</f>
        <v>1421</v>
      </c>
      <c r="G73" s="185">
        <f>Trade!Y19</f>
        <v>2945</v>
      </c>
      <c r="H73" s="185">
        <f>Trade!Z19</f>
        <v>3175</v>
      </c>
      <c r="I73" s="185">
        <f>Trade!AA19</f>
        <v>1870.3</v>
      </c>
      <c r="J73" s="185">
        <f>Trade!AB19</f>
        <v>3302.6</v>
      </c>
      <c r="K73" s="185">
        <f>Trade!AC19</f>
        <v>3341</v>
      </c>
      <c r="L73" s="185">
        <f>Trade!AD19</f>
        <v>3606.6</v>
      </c>
      <c r="M73" s="185">
        <f>Trade!AE19</f>
        <v>3901.7</v>
      </c>
      <c r="N73" s="185">
        <f>Trade!AF19</f>
        <v>3948.5203999999999</v>
      </c>
      <c r="O73" s="185">
        <f>Trade!AG19</f>
        <v>3995.9026448</v>
      </c>
      <c r="P73" s="185">
        <f>Trade!AH19</f>
        <v>4043.8534765375998</v>
      </c>
      <c r="Q73" s="185">
        <f>Trade!AI19</f>
        <v>4092.3797182560511</v>
      </c>
    </row>
    <row r="74" spans="2:17">
      <c r="B74" s="7" t="s">
        <v>97</v>
      </c>
      <c r="C74" s="26" t="s">
        <v>98</v>
      </c>
      <c r="D74" s="93">
        <f>D72-D73</f>
        <v>15829</v>
      </c>
      <c r="E74" s="93">
        <f t="shared" ref="E74:Q74" si="52">E72-E73</f>
        <v>15907</v>
      </c>
      <c r="F74" s="93">
        <f t="shared" si="52"/>
        <v>16833</v>
      </c>
      <c r="G74" s="93">
        <f t="shared" si="52"/>
        <v>17356.7</v>
      </c>
      <c r="H74" s="93">
        <f t="shared" si="52"/>
        <v>17796.400000000001</v>
      </c>
      <c r="I74" s="93">
        <f t="shared" si="52"/>
        <v>18279.400000000001</v>
      </c>
      <c r="J74" s="93">
        <f t="shared" si="52"/>
        <v>18204.600000000002</v>
      </c>
      <c r="K74" s="93">
        <f t="shared" si="52"/>
        <v>18855.8</v>
      </c>
      <c r="L74" s="93">
        <f t="shared" si="52"/>
        <v>19051.2</v>
      </c>
      <c r="M74" s="93">
        <f t="shared" si="52"/>
        <v>21106.827000000001</v>
      </c>
      <c r="N74" s="93">
        <f t="shared" si="52"/>
        <v>23781.479050000002</v>
      </c>
      <c r="O74" s="93">
        <f t="shared" si="52"/>
        <v>25540.101116700007</v>
      </c>
      <c r="P74" s="93">
        <f t="shared" si="52"/>
        <v>27421.872985267408</v>
      </c>
      <c r="Q74" s="93">
        <f t="shared" si="52"/>
        <v>29435.394081615312</v>
      </c>
    </row>
    <row r="75" spans="2:17">
      <c r="B75" s="29"/>
      <c r="C75" s="27" t="s">
        <v>99</v>
      </c>
    </row>
    <row r="76" spans="2:17" ht="15.75">
      <c r="B76" s="7" t="s">
        <v>100</v>
      </c>
      <c r="C76" s="27" t="s">
        <v>101</v>
      </c>
      <c r="D76">
        <v>4242</v>
      </c>
      <c r="E76">
        <v>4114</v>
      </c>
      <c r="F76">
        <v>3790</v>
      </c>
      <c r="G76">
        <v>3783</v>
      </c>
      <c r="H76">
        <v>3990</v>
      </c>
      <c r="I76">
        <v>2744</v>
      </c>
      <c r="J76">
        <v>3934</v>
      </c>
      <c r="K76" s="189">
        <f t="shared" ref="K76:P76" si="53">J76*K102/J102</f>
        <v>2545.6427858579846</v>
      </c>
      <c r="L76" s="189">
        <f t="shared" si="53"/>
        <v>2613.1512809831706</v>
      </c>
      <c r="M76" s="189">
        <f t="shared" si="53"/>
        <v>2959.5910668194024</v>
      </c>
      <c r="N76" s="94">
        <f t="shared" si="53"/>
        <v>3151.3219539029774</v>
      </c>
      <c r="O76" s="94">
        <f t="shared" si="53"/>
        <v>3885.709946871903</v>
      </c>
      <c r="P76" s="94">
        <f t="shared" si="53"/>
        <v>4554.8713530270516</v>
      </c>
      <c r="Q76" s="94">
        <f>P76*Q102/P102</f>
        <v>5344.6676985392869</v>
      </c>
    </row>
    <row r="77" spans="2:17" ht="15.75">
      <c r="B77" s="7" t="s">
        <v>102</v>
      </c>
      <c r="C77" s="27" t="s">
        <v>103</v>
      </c>
      <c r="D77">
        <v>45</v>
      </c>
      <c r="E77">
        <v>67</v>
      </c>
      <c r="F77">
        <v>227</v>
      </c>
      <c r="G77">
        <v>39</v>
      </c>
      <c r="H77">
        <v>46</v>
      </c>
      <c r="I77">
        <v>57</v>
      </c>
      <c r="J77">
        <v>43</v>
      </c>
      <c r="K77">
        <f>J77*GDP!AC52/GDP!AB52</f>
        <v>47.902000000000001</v>
      </c>
      <c r="L77">
        <f>K77*GDP!AD52/GDP!AC52</f>
        <v>53.793946000000005</v>
      </c>
      <c r="M77">
        <f>L77*GDP!AE52/GDP!AD52</f>
        <v>61.534385211229186</v>
      </c>
      <c r="N77">
        <f>M77*GDP!AF52/GDP!AE52</f>
        <v>41.900266797292794</v>
      </c>
      <c r="O77">
        <f>N77*GDP!AG52/GDP!AF52</f>
        <v>72.592182361450185</v>
      </c>
      <c r="P77">
        <f>O77*GDP!AH52/GDP!AG52</f>
        <v>84.269400810723795</v>
      </c>
      <c r="Q77">
        <f>P77*GDP!AI52/GDP!AH52</f>
        <v>93.429785564299237</v>
      </c>
    </row>
    <row r="78" spans="2:17" ht="15.75">
      <c r="B78" s="7" t="s">
        <v>104</v>
      </c>
      <c r="C78" s="27" t="s">
        <v>105</v>
      </c>
      <c r="D78">
        <v>2496</v>
      </c>
      <c r="E78">
        <v>2807</v>
      </c>
      <c r="F78">
        <v>2754</v>
      </c>
      <c r="G78">
        <v>2241</v>
      </c>
      <c r="H78">
        <v>2338</v>
      </c>
      <c r="I78">
        <v>2619</v>
      </c>
      <c r="J78">
        <v>2086</v>
      </c>
      <c r="K78">
        <f t="shared" ref="K78:P78" si="54">K137</f>
        <v>2949.488571500292</v>
      </c>
      <c r="L78">
        <f t="shared" si="54"/>
        <v>3309.3261772233282</v>
      </c>
      <c r="M78">
        <f t="shared" si="54"/>
        <v>3660.1147520090008</v>
      </c>
      <c r="N78" s="94">
        <f>N137</f>
        <v>4007.825653449856</v>
      </c>
      <c r="O78">
        <f t="shared" si="54"/>
        <v>4810.7592606636408</v>
      </c>
      <c r="P78">
        <f t="shared" si="54"/>
        <v>5708.9180201005429</v>
      </c>
      <c r="Q78">
        <f>Q137</f>
        <v>6705.0270428106278</v>
      </c>
    </row>
    <row r="79" spans="2:17" ht="15.75">
      <c r="B79" s="7" t="s">
        <v>106</v>
      </c>
      <c r="C79" s="27" t="s">
        <v>107</v>
      </c>
      <c r="D79">
        <v>45</v>
      </c>
      <c r="E79">
        <v>35</v>
      </c>
      <c r="F79">
        <v>30</v>
      </c>
      <c r="G79">
        <v>7</v>
      </c>
      <c r="H79">
        <v>8</v>
      </c>
      <c r="I79">
        <v>8</v>
      </c>
      <c r="J79">
        <v>9</v>
      </c>
      <c r="K79" s="94">
        <f>J79*(GDP!AC55/GDP!AB55)</f>
        <v>8.64</v>
      </c>
      <c r="L79" s="94">
        <f>K79*(GDP!AD55/GDP!AC55)</f>
        <v>10.514880000000002</v>
      </c>
      <c r="M79" s="94">
        <f>L79*(GDP!AE55/GDP!AD55)</f>
        <v>12.300541857391551</v>
      </c>
      <c r="N79" s="94">
        <f>M79*(GDP!AF55/GDP!AE55)</f>
        <v>16.961681466452649</v>
      </c>
      <c r="O79" s="94">
        <f>N79*(GDP!AG55/GDP!AF55)</f>
        <v>6.9483778697452916</v>
      </c>
      <c r="P79" s="94">
        <f>O79*(GDP!AH55/GDP!AG55)</f>
        <v>7.1113759414254103</v>
      </c>
      <c r="Q79" s="94">
        <f>P79*(GDP!AI55/GDP!AH55)</f>
        <v>6.9956273581710944</v>
      </c>
    </row>
    <row r="80" spans="2:17" ht="15.75">
      <c r="B80" s="7" t="s">
        <v>108</v>
      </c>
      <c r="C80" s="27" t="s">
        <v>109</v>
      </c>
      <c r="D80">
        <v>4914</v>
      </c>
      <c r="E80">
        <v>4845</v>
      </c>
      <c r="F80">
        <v>5424</v>
      </c>
      <c r="G80">
        <v>5579</v>
      </c>
      <c r="H80">
        <v>6019</v>
      </c>
      <c r="I80">
        <v>6857</v>
      </c>
      <c r="J80">
        <v>5410</v>
      </c>
      <c r="K80" s="189">
        <f t="shared" ref="K80:P80" si="55">J80*1.02</f>
        <v>5518.2</v>
      </c>
      <c r="L80" s="189">
        <f t="shared" si="55"/>
        <v>5628.5640000000003</v>
      </c>
      <c r="M80" s="189">
        <f t="shared" si="55"/>
        <v>5741.1352800000004</v>
      </c>
      <c r="N80" s="189">
        <f t="shared" si="55"/>
        <v>5855.9579856000009</v>
      </c>
      <c r="O80" s="189">
        <f t="shared" si="55"/>
        <v>5973.0771453120014</v>
      </c>
      <c r="P80" s="189">
        <f t="shared" si="55"/>
        <v>6092.538688218242</v>
      </c>
      <c r="Q80" s="189">
        <f>P80*1.02</f>
        <v>6214.3894619826069</v>
      </c>
    </row>
    <row r="81" spans="2:17">
      <c r="B81" s="7" t="s">
        <v>110</v>
      </c>
      <c r="C81" s="27" t="s">
        <v>111</v>
      </c>
      <c r="D81">
        <v>2670</v>
      </c>
      <c r="E81">
        <v>2746</v>
      </c>
      <c r="F81">
        <v>2884</v>
      </c>
      <c r="G81">
        <v>2878</v>
      </c>
      <c r="H81">
        <v>2429</v>
      </c>
      <c r="I81">
        <v>2549</v>
      </c>
      <c r="J81">
        <v>4897.3</v>
      </c>
      <c r="K81">
        <v>4760.7</v>
      </c>
      <c r="L81">
        <v>4642.8</v>
      </c>
      <c r="M81" s="210">
        <f>M83*(SUM(M76:M80,M82,M73))</f>
        <v>8690.9528206095929</v>
      </c>
      <c r="N81" s="210">
        <f>N83*(SUM(N76:N80,N82,N73))</f>
        <v>9657.3136092366003</v>
      </c>
      <c r="O81" s="210">
        <f t="shared" ref="O81:P81" si="56">O83*(SUM(O76:O80,O82,O73))</f>
        <v>10287.032405672877</v>
      </c>
      <c r="P81" s="210">
        <f t="shared" si="56"/>
        <v>10974.980061750271</v>
      </c>
      <c r="Q81" s="210">
        <f>Q83*(SUM(Q76:Q80,Q82,Q73))</f>
        <v>11707.084619942156</v>
      </c>
    </row>
    <row r="82" spans="2:17" ht="15.75">
      <c r="B82" s="7" t="s">
        <v>112</v>
      </c>
      <c r="C82" s="30" t="s">
        <v>72</v>
      </c>
      <c r="D82">
        <v>1417</v>
      </c>
      <c r="E82">
        <v>1293</v>
      </c>
      <c r="F82">
        <v>1724</v>
      </c>
      <c r="G82">
        <v>2625</v>
      </c>
      <c r="H82">
        <v>2740</v>
      </c>
      <c r="I82">
        <v>3445.7000000000007</v>
      </c>
      <c r="J82">
        <v>1820.5</v>
      </c>
      <c r="K82">
        <f t="shared" ref="K82:L82" si="57">K74-SUM(K76:K81)</f>
        <v>3025.2266426417227</v>
      </c>
      <c r="L82">
        <f t="shared" si="57"/>
        <v>2793.0497157935024</v>
      </c>
      <c r="M82" s="210">
        <f t="shared" ref="M82:P82" si="58">M74-SUM(M76:M80)</f>
        <v>8672.1509741029768</v>
      </c>
      <c r="N82" s="210">
        <f t="shared" si="58"/>
        <v>10707.511508783422</v>
      </c>
      <c r="O82" s="210">
        <f t="shared" si="58"/>
        <v>10791.014203621267</v>
      </c>
      <c r="P82" s="210">
        <f t="shared" si="58"/>
        <v>10974.16414716942</v>
      </c>
      <c r="Q82" s="210">
        <f>Q74-SUM(Q76:Q80)</f>
        <v>11070.884465360319</v>
      </c>
    </row>
    <row r="83" spans="2:17" ht="15.75">
      <c r="B83" s="7" t="s">
        <v>113</v>
      </c>
      <c r="C83" s="31" t="s">
        <v>114</v>
      </c>
      <c r="D83" s="260">
        <v>0.18344211611130196</v>
      </c>
      <c r="E83" s="260">
        <v>0.18822400438686682</v>
      </c>
      <c r="F83" s="260">
        <v>0.18763825634352635</v>
      </c>
      <c r="G83" s="260">
        <v>0.16518395224702978</v>
      </c>
      <c r="H83" s="260">
        <v>0.13109180204004534</v>
      </c>
      <c r="I83" s="260">
        <v>0.14482131697062667</v>
      </c>
      <c r="J83" s="260">
        <v>0.29484933321292034</v>
      </c>
      <c r="K83" s="410">
        <f t="shared" ref="K83:L83" si="59">K81/(K72-K81)</f>
        <v>0.27303697501161384</v>
      </c>
      <c r="L83" s="410">
        <f t="shared" si="59"/>
        <v>0.2577185678601166</v>
      </c>
      <c r="M83" s="409">
        <v>0.3475195808457488</v>
      </c>
      <c r="N83" s="409">
        <v>0.34826230799786762</v>
      </c>
      <c r="O83" s="409">
        <v>0.34828788920598519</v>
      </c>
      <c r="P83" s="409">
        <v>0.348791567710104</v>
      </c>
      <c r="Q83" s="409">
        <v>0.349175721890222</v>
      </c>
    </row>
    <row r="84" spans="2:17">
      <c r="B84" s="279" t="s">
        <v>781</v>
      </c>
      <c r="C84" s="280" t="s">
        <v>114</v>
      </c>
      <c r="K84" s="141">
        <f>K81/(K72-K81)</f>
        <v>0.27303697501161384</v>
      </c>
      <c r="L84" s="141">
        <f>L81/(L72-L81)</f>
        <v>0.2577185678601166</v>
      </c>
      <c r="M84" s="281">
        <f t="shared" ref="M84:P84" si="60">M81/(M72-M81)</f>
        <v>0.5326130419303704</v>
      </c>
      <c r="N84" s="281">
        <f t="shared" si="60"/>
        <v>0.53435962392785497</v>
      </c>
      <c r="O84" s="281">
        <f t="shared" si="60"/>
        <v>0.53441985109291268</v>
      </c>
      <c r="P84" s="281">
        <f t="shared" si="60"/>
        <v>0.53560665128923546</v>
      </c>
      <c r="Q84" s="281">
        <f>Q81/(Q72-Q81)</f>
        <v>0.53651305526639359</v>
      </c>
    </row>
    <row r="85" spans="2:17">
      <c r="B85" s="29"/>
      <c r="C85" s="30"/>
    </row>
    <row r="86" spans="2:17">
      <c r="B86" s="29"/>
      <c r="C86" s="30" t="s">
        <v>115</v>
      </c>
      <c r="D86" s="95">
        <v>49.422916666666666</v>
      </c>
      <c r="E86" s="95">
        <f t="shared" ref="E86:P86" si="61">D86*E71/D71</f>
        <v>80.802546296296285</v>
      </c>
      <c r="F86" s="95">
        <f t="shared" si="61"/>
        <v>86.293981481481467</v>
      </c>
      <c r="G86" s="95">
        <f t="shared" si="61"/>
        <v>439.07946759259261</v>
      </c>
      <c r="H86" s="95">
        <f t="shared" si="61"/>
        <v>230.95407407407404</v>
      </c>
      <c r="I86" s="95">
        <f t="shared" si="61"/>
        <v>297.08664351851849</v>
      </c>
      <c r="J86" s="95">
        <f t="shared" si="61"/>
        <v>693.01912037037027</v>
      </c>
      <c r="K86" s="95">
        <f t="shared" si="61"/>
        <v>625.47446759259253</v>
      </c>
      <c r="L86" s="95">
        <f t="shared" si="61"/>
        <v>625.47446759259253</v>
      </c>
      <c r="M86" s="95">
        <f t="shared" si="61"/>
        <v>1269.1428444444443</v>
      </c>
      <c r="N86" s="95">
        <f t="shared" si="61"/>
        <v>2119.6257307870369</v>
      </c>
      <c r="O86" s="95">
        <f t="shared" si="61"/>
        <v>2162.0182454027777</v>
      </c>
      <c r="P86" s="95">
        <f t="shared" si="61"/>
        <v>2205.2586103108333</v>
      </c>
      <c r="Q86" s="95">
        <f>P86*Q71/P71</f>
        <v>2249.3637825170499</v>
      </c>
    </row>
    <row r="87" spans="2:17">
      <c r="B87" s="29"/>
      <c r="C87" s="30" t="s">
        <v>116</v>
      </c>
      <c r="D87" s="282">
        <f t="shared" ref="D87:P87" si="62">D73</f>
        <v>1396</v>
      </c>
      <c r="E87" s="282">
        <f t="shared" si="62"/>
        <v>1428</v>
      </c>
      <c r="F87" s="282">
        <f t="shared" si="62"/>
        <v>1421</v>
      </c>
      <c r="G87" s="282">
        <f t="shared" si="62"/>
        <v>2945</v>
      </c>
      <c r="H87" s="282">
        <f t="shared" si="62"/>
        <v>3175</v>
      </c>
      <c r="I87" s="282">
        <f t="shared" si="62"/>
        <v>1870.3</v>
      </c>
      <c r="J87" s="282">
        <f t="shared" si="62"/>
        <v>3302.6</v>
      </c>
      <c r="K87" s="282">
        <f t="shared" si="62"/>
        <v>3341</v>
      </c>
      <c r="L87" s="282">
        <f t="shared" si="62"/>
        <v>3606.6</v>
      </c>
      <c r="M87" s="282">
        <f t="shared" si="62"/>
        <v>3901.7</v>
      </c>
      <c r="N87" s="282">
        <f t="shared" si="62"/>
        <v>3948.5203999999999</v>
      </c>
      <c r="O87" s="282">
        <f t="shared" si="62"/>
        <v>3995.9026448</v>
      </c>
      <c r="P87" s="282">
        <f t="shared" si="62"/>
        <v>4043.8534765375998</v>
      </c>
      <c r="Q87" s="282">
        <f>Q73</f>
        <v>4092.3797182560511</v>
      </c>
    </row>
    <row r="88" spans="2:17">
      <c r="B88" s="29"/>
      <c r="C88" s="30" t="s">
        <v>117</v>
      </c>
    </row>
    <row r="89" spans="2:17" ht="15.75">
      <c r="B89" s="7" t="s">
        <v>118</v>
      </c>
      <c r="C89" s="30" t="s">
        <v>119</v>
      </c>
      <c r="D89" s="94">
        <f>Trade!V10</f>
        <v>48.4</v>
      </c>
      <c r="E89" s="94">
        <f>Trade!W10</f>
        <v>51.7</v>
      </c>
      <c r="F89" s="94">
        <f>Trade!X10</f>
        <v>53.5</v>
      </c>
      <c r="G89" s="94">
        <f>Trade!Y10</f>
        <v>56.4</v>
      </c>
      <c r="H89" s="94">
        <f>Trade!Z10</f>
        <v>93.1</v>
      </c>
      <c r="I89" s="94">
        <f>Trade!AA10</f>
        <v>56.4</v>
      </c>
      <c r="J89" s="94">
        <f>Trade!AB10</f>
        <v>95.960999999999999</v>
      </c>
      <c r="K89" s="94">
        <f>Trade!AC10</f>
        <v>106.2</v>
      </c>
      <c r="L89" s="94">
        <f>Trade!AD10</f>
        <v>110.4</v>
      </c>
      <c r="M89" s="94">
        <f>Trade!AE10</f>
        <v>113</v>
      </c>
      <c r="N89" s="94">
        <f>Trade!AF10</f>
        <v>141.19999999999999</v>
      </c>
      <c r="O89" s="94">
        <f>Trade!AG10</f>
        <v>148.26</v>
      </c>
      <c r="P89" s="94">
        <f>Trade!AH10</f>
        <v>155.673</v>
      </c>
      <c r="Q89" s="94">
        <f>Trade!AI10</f>
        <v>163.45665</v>
      </c>
    </row>
    <row r="90" spans="2:17">
      <c r="B90" s="29"/>
      <c r="C90" s="30"/>
    </row>
    <row r="91" spans="2:17">
      <c r="B91" s="29"/>
      <c r="C91" s="30"/>
    </row>
    <row r="92" spans="2:17">
      <c r="B92" s="29"/>
      <c r="C92" s="30"/>
    </row>
    <row r="93" spans="2:17">
      <c r="B93" s="7" t="s">
        <v>120</v>
      </c>
      <c r="C93" s="30" t="s">
        <v>121</v>
      </c>
      <c r="D93" s="285">
        <v>6283</v>
      </c>
      <c r="E93" s="285">
        <v>6577</v>
      </c>
      <c r="F93" s="285">
        <v>5718</v>
      </c>
      <c r="G93" s="285">
        <v>6197</v>
      </c>
      <c r="H93" s="285">
        <v>6475</v>
      </c>
      <c r="I93" s="285">
        <v>6356</v>
      </c>
      <c r="J93" s="285">
        <v>6476</v>
      </c>
      <c r="K93" s="286">
        <f t="shared" ref="K93:Q93" si="63">J93*1.002</f>
        <v>6488.9520000000002</v>
      </c>
      <c r="L93" s="286">
        <f t="shared" si="63"/>
        <v>6501.9299040000005</v>
      </c>
      <c r="M93" s="286">
        <f t="shared" si="63"/>
        <v>6514.9337638080005</v>
      </c>
      <c r="N93" s="286">
        <f t="shared" si="63"/>
        <v>6527.9636313356168</v>
      </c>
      <c r="O93" s="286">
        <f t="shared" si="63"/>
        <v>6541.0195585982883</v>
      </c>
      <c r="P93" s="286">
        <f t="shared" si="63"/>
        <v>6554.1015977154848</v>
      </c>
      <c r="Q93" s="286">
        <f t="shared" si="63"/>
        <v>6567.2098009109159</v>
      </c>
    </row>
    <row r="94" spans="2:17">
      <c r="B94" s="7" t="s">
        <v>122</v>
      </c>
      <c r="C94" s="30" t="s">
        <v>123</v>
      </c>
      <c r="D94" s="95">
        <f t="shared" ref="D94:P94" si="64">D70/(D93*24*365)*1000</f>
        <v>0.31181480504397968</v>
      </c>
      <c r="E94" s="95">
        <f t="shared" si="64"/>
        <v>0.29909127074216713</v>
      </c>
      <c r="F94" s="95">
        <f t="shared" si="64"/>
        <v>0.3622303037272348</v>
      </c>
      <c r="G94" s="95">
        <f t="shared" si="64"/>
        <v>0.36366838277174918</v>
      </c>
      <c r="H94" s="95">
        <f t="shared" si="64"/>
        <v>0.36453870700446045</v>
      </c>
      <c r="I94" s="95">
        <f t="shared" si="64"/>
        <v>0.35509179835110677</v>
      </c>
      <c r="J94" s="95">
        <f t="shared" si="64"/>
        <v>0.36354463688899791</v>
      </c>
      <c r="K94" s="95">
        <f t="shared" si="64"/>
        <v>0.3764653054612907</v>
      </c>
      <c r="L94" s="95">
        <f t="shared" si="64"/>
        <v>0.38380771623586368</v>
      </c>
      <c r="M94" s="95">
        <f t="shared" si="64"/>
        <v>0.4098545472778185</v>
      </c>
      <c r="N94" s="95">
        <f t="shared" si="64"/>
        <v>0.43766902753220144</v>
      </c>
      <c r="O94" s="95">
        <f t="shared" si="64"/>
        <v>0.46737111722500552</v>
      </c>
      <c r="P94" s="95">
        <f t="shared" si="64"/>
        <v>0.49908891759556484</v>
      </c>
      <c r="Q94" s="95">
        <f>Q70/(Q93*24*365)*1000</f>
        <v>0.5329592233804934</v>
      </c>
    </row>
    <row r="95" spans="2:17">
      <c r="B95" s="7" t="s">
        <v>124</v>
      </c>
      <c r="C95" s="30" t="s">
        <v>125</v>
      </c>
      <c r="D95" s="94">
        <f>(0.46-D94)*D93*24*365/1000</f>
        <v>8155.9767999999995</v>
      </c>
      <c r="E95" s="94">
        <f t="shared" ref="E95:P95" si="65">(0.46-E94)*E93*24*365/1000</f>
        <v>9270.6791999999969</v>
      </c>
      <c r="F95" s="94">
        <f t="shared" si="65"/>
        <v>4897.2528000000029</v>
      </c>
      <c r="G95" s="94">
        <f t="shared" si="65"/>
        <v>5229.4312000000009</v>
      </c>
      <c r="H95" s="94">
        <f t="shared" si="65"/>
        <v>5414.66</v>
      </c>
      <c r="I95" s="94">
        <f t="shared" si="65"/>
        <v>5841.1376000000027</v>
      </c>
      <c r="J95" s="94">
        <f t="shared" si="65"/>
        <v>5471.8896000000032</v>
      </c>
      <c r="K95" s="94">
        <f t="shared" si="65"/>
        <v>4748.3809792000002</v>
      </c>
      <c r="L95" s="94">
        <f t="shared" si="65"/>
        <v>4339.6767411584033</v>
      </c>
      <c r="M95" s="94">
        <f t="shared" si="65"/>
        <v>2861.8420946407205</v>
      </c>
      <c r="N95" s="94">
        <f t="shared" si="65"/>
        <v>1276.99579883</v>
      </c>
      <c r="O95" s="94">
        <f t="shared" si="65"/>
        <v>-422.36008817233966</v>
      </c>
      <c r="P95" s="94">
        <f t="shared" si="65"/>
        <v>-2244.2483784506885</v>
      </c>
      <c r="Q95" s="94">
        <f>(0.46-Q94)*Q93*24*365/1000</f>
        <v>-4197.2534952167298</v>
      </c>
    </row>
    <row r="96" spans="2:17">
      <c r="B96" s="7" t="s">
        <v>126</v>
      </c>
      <c r="C96" s="32" t="s">
        <v>127</v>
      </c>
      <c r="D96" s="287">
        <f t="shared" ref="D96:P96" si="66">MAX(D73-D71,0)/D95</f>
        <v>0.16343842468997705</v>
      </c>
      <c r="E96" s="287">
        <f t="shared" si="66"/>
        <v>0.14292372450985041</v>
      </c>
      <c r="F96" s="287">
        <f t="shared" si="66"/>
        <v>0.26770110785377449</v>
      </c>
      <c r="G96" s="287">
        <f t="shared" si="66"/>
        <v>0.45612991332594638</v>
      </c>
      <c r="H96" s="287">
        <f t="shared" si="66"/>
        <v>0.53200016252174653</v>
      </c>
      <c r="I96" s="287">
        <f t="shared" si="66"/>
        <v>0.25536121593848415</v>
      </c>
      <c r="J96" s="287">
        <f t="shared" si="66"/>
        <v>0.4421141830054463</v>
      </c>
      <c r="K96" s="287">
        <f t="shared" si="66"/>
        <v>0.53569838038323503</v>
      </c>
      <c r="L96" s="287">
        <f t="shared" si="66"/>
        <v>0.64735236460264667</v>
      </c>
      <c r="M96" s="287">
        <f t="shared" si="66"/>
        <v>0.79805521215758235</v>
      </c>
      <c r="N96" s="287">
        <f t="shared" si="66"/>
        <v>0.97620321158625389</v>
      </c>
      <c r="O96" s="287">
        <f t="shared" si="66"/>
        <v>-2.9357683633545659</v>
      </c>
      <c r="P96" s="287">
        <f t="shared" si="66"/>
        <v>-0.54930782313348414</v>
      </c>
      <c r="Q96" s="287">
        <f>MAX(Q73-Q71,0)/Q95</f>
        <v>-0.2918784935787615</v>
      </c>
    </row>
    <row r="97" spans="2:17">
      <c r="B97" s="29"/>
      <c r="C97" s="32"/>
    </row>
    <row r="98" spans="2:17">
      <c r="B98" s="29"/>
      <c r="C98" s="32"/>
    </row>
    <row r="99" spans="2:17">
      <c r="B99" s="29"/>
      <c r="C99" s="32" t="s">
        <v>128</v>
      </c>
    </row>
    <row r="100" spans="2:17">
      <c r="B100" s="29"/>
      <c r="C100" s="32" t="s">
        <v>2</v>
      </c>
    </row>
    <row r="101" spans="2:17">
      <c r="B101" s="29"/>
      <c r="C101" s="20" t="s">
        <v>129</v>
      </c>
      <c r="D101" s="288">
        <v>1741.6613303049589</v>
      </c>
      <c r="E101" s="288">
        <f t="shared" ref="E101:P101" si="67">E102-D102</f>
        <v>281.18947462121741</v>
      </c>
      <c r="F101" s="288">
        <f t="shared" si="67"/>
        <v>678.28758776180712</v>
      </c>
      <c r="G101" s="288">
        <f t="shared" si="67"/>
        <v>853.84426281282686</v>
      </c>
      <c r="H101" s="288">
        <f t="shared" si="67"/>
        <v>3873.7028815854719</v>
      </c>
      <c r="I101" s="288">
        <f t="shared" si="67"/>
        <v>1219.7413165821235</v>
      </c>
      <c r="J101" s="288">
        <f t="shared" si="67"/>
        <v>1339.4228230839362</v>
      </c>
      <c r="K101" s="288">
        <f t="shared" si="67"/>
        <v>-5583.4802493210318</v>
      </c>
      <c r="L101" s="288">
        <f t="shared" si="67"/>
        <v>271.49522136909218</v>
      </c>
      <c r="M101" s="288">
        <f t="shared" si="67"/>
        <v>1393.2579325350362</v>
      </c>
      <c r="N101" s="288">
        <f t="shared" si="67"/>
        <v>771.07361874264643</v>
      </c>
      <c r="O101" s="288">
        <f t="shared" si="67"/>
        <v>2953.4480120193875</v>
      </c>
      <c r="P101" s="288">
        <f t="shared" si="67"/>
        <v>2691.1298164601776</v>
      </c>
      <c r="Q101" s="288">
        <f>Q102-P102</f>
        <v>3176.2807519811795</v>
      </c>
    </row>
    <row r="102" spans="2:17" ht="15.75">
      <c r="B102" s="7" t="s">
        <v>130</v>
      </c>
      <c r="C102" s="32" t="s">
        <v>131</v>
      </c>
      <c r="D102" s="289">
        <f t="shared" ref="D102:Q102" si="68">D109+D116+D123+D130</f>
        <v>7574.9642193951513</v>
      </c>
      <c r="E102" s="289">
        <f t="shared" si="68"/>
        <v>7856.1536940163687</v>
      </c>
      <c r="F102" s="289">
        <f t="shared" si="68"/>
        <v>8534.4412817781758</v>
      </c>
      <c r="G102" s="289">
        <f t="shared" si="68"/>
        <v>9388.2855445910027</v>
      </c>
      <c r="H102" s="289">
        <f t="shared" si="68"/>
        <v>13261.988426176475</v>
      </c>
      <c r="I102" s="289">
        <f t="shared" si="68"/>
        <v>14481.729742758598</v>
      </c>
      <c r="J102" s="289">
        <f t="shared" si="68"/>
        <v>15821.152565842534</v>
      </c>
      <c r="K102" s="289">
        <f t="shared" si="68"/>
        <v>10237.672316521503</v>
      </c>
      <c r="L102" s="289">
        <f t="shared" si="68"/>
        <v>10509.167537890595</v>
      </c>
      <c r="M102" s="289">
        <f t="shared" si="68"/>
        <v>11902.425470425631</v>
      </c>
      <c r="N102" s="289">
        <f t="shared" si="68"/>
        <v>12673.499089168277</v>
      </c>
      <c r="O102" s="289">
        <f t="shared" si="68"/>
        <v>15626.947101187665</v>
      </c>
      <c r="P102" s="289">
        <f t="shared" si="68"/>
        <v>18318.076917647842</v>
      </c>
      <c r="Q102" s="289">
        <f t="shared" si="68"/>
        <v>21494.357669629022</v>
      </c>
    </row>
    <row r="103" spans="2:17">
      <c r="B103" s="29"/>
      <c r="C103" s="33" t="s">
        <v>132</v>
      </c>
    </row>
    <row r="104" spans="2:17" ht="15.75">
      <c r="B104" s="7" t="s">
        <v>133</v>
      </c>
      <c r="C104" s="33" t="s">
        <v>134</v>
      </c>
      <c r="D104" s="290">
        <v>25</v>
      </c>
      <c r="E104" s="291">
        <v>26.3</v>
      </c>
      <c r="F104" s="290">
        <v>25</v>
      </c>
      <c r="G104" s="290">
        <v>26</v>
      </c>
      <c r="H104" s="290">
        <v>25</v>
      </c>
      <c r="I104" s="290">
        <v>25</v>
      </c>
      <c r="J104" s="290">
        <v>26</v>
      </c>
      <c r="K104" s="290">
        <v>26</v>
      </c>
      <c r="L104" s="290">
        <v>26</v>
      </c>
      <c r="M104" s="290">
        <v>26</v>
      </c>
      <c r="N104" s="290">
        <v>26</v>
      </c>
      <c r="O104" s="290">
        <v>27</v>
      </c>
      <c r="P104" s="290">
        <v>28</v>
      </c>
      <c r="Q104" s="290">
        <v>29</v>
      </c>
    </row>
    <row r="105" spans="2:17">
      <c r="B105" s="29"/>
      <c r="C105" s="33"/>
    </row>
    <row r="106" spans="2:17">
      <c r="B106" s="29"/>
      <c r="C106" s="19"/>
    </row>
    <row r="107" spans="2:17">
      <c r="B107" s="29"/>
      <c r="C107" s="32" t="s">
        <v>135</v>
      </c>
      <c r="D107" s="292">
        <f t="shared" ref="D107:Q107" si="69">D108+D109</f>
        <v>7274.7665082058593</v>
      </c>
      <c r="E107" s="292">
        <f t="shared" si="69"/>
        <v>7616.6805340915344</v>
      </c>
      <c r="F107" s="292">
        <f t="shared" si="69"/>
        <v>8332.6485042961376</v>
      </c>
      <c r="G107" s="292">
        <f t="shared" si="69"/>
        <v>9224.2418942558252</v>
      </c>
      <c r="H107" s="292">
        <f t="shared" si="69"/>
        <v>13116.871973631782</v>
      </c>
      <c r="I107" s="292">
        <f t="shared" si="69"/>
        <v>14349.857939153169</v>
      </c>
      <c r="J107" s="292">
        <f t="shared" si="69"/>
        <v>15698.744585433571</v>
      </c>
      <c r="K107" s="292">
        <f t="shared" si="69"/>
        <v>10121.802238769333</v>
      </c>
      <c r="L107" s="292">
        <f t="shared" si="69"/>
        <v>10395.090899216104</v>
      </c>
      <c r="M107" s="292">
        <f t="shared" si="69"/>
        <v>11798.428170610279</v>
      </c>
      <c r="N107" s="292">
        <f t="shared" si="69"/>
        <v>12565.326001699948</v>
      </c>
      <c r="O107" s="292">
        <f t="shared" si="69"/>
        <v>15541.69124627816</v>
      </c>
      <c r="P107" s="292">
        <f t="shared" si="69"/>
        <v>18235.534009941071</v>
      </c>
      <c r="Q107" s="292">
        <f t="shared" si="69"/>
        <v>21403.680571446821</v>
      </c>
    </row>
    <row r="108" spans="2:17">
      <c r="B108" s="29"/>
      <c r="C108" s="20" t="s">
        <v>129</v>
      </c>
    </row>
    <row r="109" spans="2:17" ht="15.75">
      <c r="B109" s="7" t="s">
        <v>136</v>
      </c>
      <c r="C109" s="32" t="s">
        <v>131</v>
      </c>
      <c r="D109" s="95">
        <v>7274.7665082058593</v>
      </c>
      <c r="E109">
        <f t="shared" ref="E109:P109" si="70">E111*E51</f>
        <v>7616.6805340915344</v>
      </c>
      <c r="F109">
        <f t="shared" si="70"/>
        <v>8332.6485042961376</v>
      </c>
      <c r="G109">
        <f t="shared" si="70"/>
        <v>9224.2418942558252</v>
      </c>
      <c r="H109">
        <f t="shared" si="70"/>
        <v>13116.871973631782</v>
      </c>
      <c r="I109">
        <f t="shared" si="70"/>
        <v>14349.857939153169</v>
      </c>
      <c r="J109">
        <f t="shared" si="70"/>
        <v>15698.744585433571</v>
      </c>
      <c r="K109">
        <f t="shared" si="70"/>
        <v>10121.802238769333</v>
      </c>
      <c r="L109">
        <f t="shared" si="70"/>
        <v>10395.090899216104</v>
      </c>
      <c r="M109">
        <f t="shared" si="70"/>
        <v>11798.428170610279</v>
      </c>
      <c r="N109">
        <f t="shared" si="70"/>
        <v>12565.326001699948</v>
      </c>
      <c r="O109">
        <f t="shared" si="70"/>
        <v>15541.69124627816</v>
      </c>
      <c r="P109">
        <f t="shared" si="70"/>
        <v>18235.534009941071</v>
      </c>
      <c r="Q109">
        <f>Q111*Q51</f>
        <v>21403.680571446821</v>
      </c>
    </row>
    <row r="110" spans="2:17">
      <c r="B110" s="29"/>
      <c r="C110" s="33" t="s">
        <v>132</v>
      </c>
      <c r="D110" s="293">
        <f t="shared" ref="D110:Q110" si="71">D107/D52</f>
        <v>52.079690122237892</v>
      </c>
      <c r="E110" s="293">
        <f t="shared" si="71"/>
        <v>52.531248129078108</v>
      </c>
      <c r="F110" s="293">
        <f t="shared" si="71"/>
        <v>43.903121049053816</v>
      </c>
      <c r="G110" s="293">
        <f t="shared" si="71"/>
        <v>52.769549404237331</v>
      </c>
      <c r="H110" s="293">
        <f t="shared" si="71"/>
        <v>63.163551559617403</v>
      </c>
      <c r="I110" s="293">
        <f t="shared" si="71"/>
        <v>60.881872604600389</v>
      </c>
      <c r="J110" s="293">
        <f t="shared" si="71"/>
        <v>60.82627272094323</v>
      </c>
      <c r="K110" s="293">
        <f t="shared" si="71"/>
        <v>36.549749681078772</v>
      </c>
      <c r="L110" s="293">
        <f t="shared" si="71"/>
        <v>34.000537067452804</v>
      </c>
      <c r="M110" s="293">
        <f t="shared" si="71"/>
        <v>41.49527910920316</v>
      </c>
      <c r="N110" s="293">
        <f t="shared" si="71"/>
        <v>38.629783436452243</v>
      </c>
      <c r="O110" s="293">
        <f t="shared" si="71"/>
        <v>67.971994673154285</v>
      </c>
      <c r="P110" s="293">
        <f t="shared" si="71"/>
        <v>80.449957005246645</v>
      </c>
      <c r="Q110" s="293">
        <f t="shared" si="71"/>
        <v>77.916456915519646</v>
      </c>
    </row>
    <row r="111" spans="2:17" ht="15.75">
      <c r="B111" s="7" t="s">
        <v>137</v>
      </c>
      <c r="C111" s="33" t="s">
        <v>138</v>
      </c>
      <c r="D111" s="95">
        <v>64.148662534279879</v>
      </c>
      <c r="E111" s="95">
        <f>D111</f>
        <v>64.148662534279879</v>
      </c>
      <c r="F111" s="95">
        <f t="shared" ref="F111:J111" si="72">E111</f>
        <v>64.148662534279879</v>
      </c>
      <c r="G111" s="95">
        <f t="shared" si="72"/>
        <v>64.148662534279879</v>
      </c>
      <c r="H111" s="95">
        <f t="shared" si="72"/>
        <v>64.148662534279879</v>
      </c>
      <c r="I111" s="95">
        <f t="shared" si="72"/>
        <v>64.148662534279879</v>
      </c>
      <c r="J111" s="95">
        <f t="shared" si="72"/>
        <v>64.148662534279879</v>
      </c>
      <c r="K111" s="186">
        <v>40</v>
      </c>
      <c r="L111" s="186">
        <v>40</v>
      </c>
      <c r="M111" s="186">
        <v>40</v>
      </c>
      <c r="N111" s="186">
        <v>40</v>
      </c>
      <c r="O111" s="186">
        <v>41</v>
      </c>
      <c r="P111" s="186">
        <v>42</v>
      </c>
      <c r="Q111" s="186">
        <v>43</v>
      </c>
    </row>
    <row r="112" spans="2:17">
      <c r="B112" s="7"/>
      <c r="C112" s="33"/>
    </row>
    <row r="113" spans="2:17">
      <c r="B113" s="29"/>
      <c r="C113" s="20"/>
    </row>
    <row r="114" spans="2:17">
      <c r="B114" s="29"/>
      <c r="C114" s="32" t="s">
        <v>139</v>
      </c>
    </row>
    <row r="115" spans="2:17">
      <c r="B115" s="29"/>
      <c r="C115" s="20" t="s">
        <v>129</v>
      </c>
    </row>
    <row r="116" spans="2:17" ht="15.75">
      <c r="B116" s="7" t="s">
        <v>140</v>
      </c>
      <c r="C116" s="32" t="s">
        <v>131</v>
      </c>
      <c r="D116" s="95">
        <v>28.621813174095479</v>
      </c>
      <c r="E116" s="95">
        <f t="shared" ref="E116:P116" si="73">E118*E52</f>
        <v>29.709442074711106</v>
      </c>
      <c r="F116" s="95">
        <f t="shared" si="73"/>
        <v>38.889659675796835</v>
      </c>
      <c r="G116" s="95">
        <f t="shared" si="73"/>
        <v>35.817376561408885</v>
      </c>
      <c r="H116" s="95">
        <f t="shared" si="73"/>
        <v>42.551043354953748</v>
      </c>
      <c r="I116" s="95">
        <f t="shared" si="73"/>
        <v>48.295434207872503</v>
      </c>
      <c r="J116" s="95">
        <f t="shared" si="73"/>
        <v>52.8835004576204</v>
      </c>
      <c r="K116" s="95">
        <f t="shared" si="73"/>
        <v>56.743995991026686</v>
      </c>
      <c r="L116" s="95">
        <f t="shared" si="73"/>
        <v>62.64537157409346</v>
      </c>
      <c r="M116" s="95">
        <f t="shared" si="73"/>
        <v>58.260195563906912</v>
      </c>
      <c r="N116" s="95">
        <f t="shared" si="73"/>
        <v>66.649663725109505</v>
      </c>
      <c r="O116" s="95">
        <f t="shared" si="73"/>
        <v>46.850554742371443</v>
      </c>
      <c r="P116" s="95">
        <f t="shared" si="73"/>
        <v>46.445018985940997</v>
      </c>
      <c r="Q116" s="95">
        <f>Q118*Q52</f>
        <v>56.286693931636421</v>
      </c>
    </row>
    <row r="117" spans="2:17">
      <c r="B117" s="29"/>
      <c r="C117" s="33" t="s">
        <v>132</v>
      </c>
    </row>
    <row r="118" spans="2:17" ht="15.75">
      <c r="B118" s="7" t="s">
        <v>141</v>
      </c>
      <c r="C118" s="33" t="s">
        <v>142</v>
      </c>
      <c r="D118" s="95">
        <v>0.20490213110786176</v>
      </c>
      <c r="E118" s="187">
        <f>D118</f>
        <v>0.20490213110786176</v>
      </c>
      <c r="F118" s="187">
        <f t="shared" ref="F118:Q118" si="74">E118</f>
        <v>0.20490213110786176</v>
      </c>
      <c r="G118" s="187">
        <f t="shared" si="74"/>
        <v>0.20490213110786176</v>
      </c>
      <c r="H118" s="187">
        <f t="shared" si="74"/>
        <v>0.20490213110786176</v>
      </c>
      <c r="I118" s="187">
        <f t="shared" si="74"/>
        <v>0.20490213110786176</v>
      </c>
      <c r="J118" s="187">
        <f t="shared" si="74"/>
        <v>0.20490213110786176</v>
      </c>
      <c r="K118" s="187">
        <f t="shared" si="74"/>
        <v>0.20490213110786176</v>
      </c>
      <c r="L118" s="187">
        <f t="shared" si="74"/>
        <v>0.20490213110786176</v>
      </c>
      <c r="M118" s="187">
        <f t="shared" si="74"/>
        <v>0.20490213110786176</v>
      </c>
      <c r="N118" s="187">
        <f t="shared" si="74"/>
        <v>0.20490213110786176</v>
      </c>
      <c r="O118" s="187">
        <f t="shared" si="74"/>
        <v>0.20490213110786176</v>
      </c>
      <c r="P118" s="187">
        <f t="shared" si="74"/>
        <v>0.20490213110786176</v>
      </c>
      <c r="Q118" s="187">
        <f t="shared" si="74"/>
        <v>0.20490213110786176</v>
      </c>
    </row>
    <row r="119" spans="2:17">
      <c r="B119" s="29"/>
      <c r="C119" s="33"/>
    </row>
    <row r="120" spans="2:17">
      <c r="B120" s="29"/>
      <c r="C120" s="20"/>
    </row>
    <row r="121" spans="2:17">
      <c r="B121" s="29"/>
      <c r="C121" s="32" t="s">
        <v>70</v>
      </c>
    </row>
    <row r="122" spans="2:17">
      <c r="B122" s="29"/>
      <c r="C122" s="20" t="s">
        <v>129</v>
      </c>
    </row>
    <row r="123" spans="2:17" ht="15.75">
      <c r="B123" s="7" t="s">
        <v>143</v>
      </c>
      <c r="C123" s="32" t="s">
        <v>131</v>
      </c>
      <c r="D123" s="95">
        <v>28.017685728909182</v>
      </c>
      <c r="E123" s="95">
        <v>29.530640758270284</v>
      </c>
      <c r="F123" s="95">
        <f>E123</f>
        <v>29.530640758270284</v>
      </c>
      <c r="G123" s="95">
        <f t="shared" ref="G123:Q123" si="75">F123</f>
        <v>29.530640758270284</v>
      </c>
      <c r="H123" s="95">
        <f t="shared" si="75"/>
        <v>29.530640758270284</v>
      </c>
      <c r="I123" s="95">
        <f t="shared" si="75"/>
        <v>29.530640758270284</v>
      </c>
      <c r="J123" s="95">
        <f t="shared" si="75"/>
        <v>29.530640758270284</v>
      </c>
      <c r="K123" s="95">
        <f t="shared" si="75"/>
        <v>29.530640758270284</v>
      </c>
      <c r="L123" s="95">
        <f t="shared" si="75"/>
        <v>29.530640758270284</v>
      </c>
      <c r="M123" s="95">
        <f t="shared" si="75"/>
        <v>29.530640758270284</v>
      </c>
      <c r="N123" s="95">
        <f t="shared" si="75"/>
        <v>29.530640758270284</v>
      </c>
      <c r="O123" s="95">
        <f t="shared" si="75"/>
        <v>29.530640758270284</v>
      </c>
      <c r="P123" s="95">
        <f t="shared" si="75"/>
        <v>29.530640758270284</v>
      </c>
      <c r="Q123" s="95">
        <f t="shared" si="75"/>
        <v>29.530640758270284</v>
      </c>
    </row>
    <row r="124" spans="2:17">
      <c r="B124" s="29"/>
      <c r="C124" s="33" t="s">
        <v>132</v>
      </c>
    </row>
    <row r="125" spans="2:17" ht="15.75">
      <c r="B125" s="7" t="s">
        <v>144</v>
      </c>
      <c r="C125" s="33" t="s">
        <v>145</v>
      </c>
      <c r="D125" s="187">
        <v>0.12</v>
      </c>
      <c r="E125" s="187">
        <f>Assumptions!W37</f>
        <v>0.12</v>
      </c>
      <c r="F125" s="187">
        <f>Assumptions!X37</f>
        <v>0.12</v>
      </c>
      <c r="G125" s="187">
        <f>Assumptions!Y37</f>
        <v>0.12</v>
      </c>
      <c r="H125" s="187">
        <f>Assumptions!Z37</f>
        <v>0.12</v>
      </c>
      <c r="I125" s="187">
        <f>Assumptions!AA37</f>
        <v>0.12</v>
      </c>
      <c r="J125" s="187">
        <f>Assumptions!AB37</f>
        <v>0.12</v>
      </c>
      <c r="K125" s="187">
        <f>Assumptions!AC37</f>
        <v>0.12</v>
      </c>
      <c r="L125" s="187">
        <f>Assumptions!AD37</f>
        <v>0.12</v>
      </c>
      <c r="M125" s="187">
        <f>Assumptions!AE37</f>
        <v>0.12</v>
      </c>
      <c r="N125" s="187">
        <f>Assumptions!AF37</f>
        <v>0.12</v>
      </c>
      <c r="O125" s="187">
        <f>Assumptions!AG37</f>
        <v>0.12</v>
      </c>
      <c r="P125" s="187">
        <f>Assumptions!AH37</f>
        <v>0.12</v>
      </c>
      <c r="Q125" s="187">
        <f>Assumptions!AI37</f>
        <v>0.12</v>
      </c>
    </row>
    <row r="126" spans="2:17">
      <c r="B126" s="29"/>
      <c r="C126" s="33"/>
    </row>
    <row r="127" spans="2:17">
      <c r="B127" s="29"/>
      <c r="C127" s="20"/>
    </row>
    <row r="128" spans="2:17">
      <c r="B128" s="29"/>
      <c r="C128" s="32" t="s">
        <v>72</v>
      </c>
    </row>
    <row r="129" spans="2:17">
      <c r="B129" s="29"/>
      <c r="C129" s="20" t="s">
        <v>129</v>
      </c>
    </row>
    <row r="130" spans="2:17" ht="15.75">
      <c r="B130" s="7" t="s">
        <v>146</v>
      </c>
      <c r="C130" s="32" t="s">
        <v>131</v>
      </c>
      <c r="D130" s="95">
        <v>243.55821228628824</v>
      </c>
      <c r="E130" s="95">
        <f t="shared" ref="E130:P130" si="76">D130*E132</f>
        <v>180.23307709185329</v>
      </c>
      <c r="F130" s="95">
        <f t="shared" si="76"/>
        <v>133.37247704797144</v>
      </c>
      <c r="G130" s="95">
        <f t="shared" si="76"/>
        <v>98.695633015498871</v>
      </c>
      <c r="H130" s="95">
        <f t="shared" si="76"/>
        <v>73.034768431469161</v>
      </c>
      <c r="I130" s="95">
        <f t="shared" si="76"/>
        <v>54.045728639287177</v>
      </c>
      <c r="J130" s="95">
        <f t="shared" si="76"/>
        <v>39.99383919307251</v>
      </c>
      <c r="K130" s="95">
        <f t="shared" si="76"/>
        <v>29.595441002873656</v>
      </c>
      <c r="L130" s="95">
        <f t="shared" si="76"/>
        <v>21.900626342126504</v>
      </c>
      <c r="M130" s="95">
        <f t="shared" si="76"/>
        <v>16.206463493173612</v>
      </c>
      <c r="N130" s="95">
        <f t="shared" si="76"/>
        <v>11.992782984948473</v>
      </c>
      <c r="O130" s="95">
        <f t="shared" si="76"/>
        <v>8.87465940886187</v>
      </c>
      <c r="P130" s="95">
        <f t="shared" si="76"/>
        <v>6.5672479625577838</v>
      </c>
      <c r="Q130" s="95">
        <f>P130*Q132</f>
        <v>4.8597634922927595</v>
      </c>
    </row>
    <row r="131" spans="2:17">
      <c r="B131" s="29"/>
      <c r="C131" s="33" t="s">
        <v>132</v>
      </c>
    </row>
    <row r="132" spans="2:17" ht="15.75">
      <c r="B132" s="7" t="s">
        <v>147</v>
      </c>
      <c r="C132" s="33" t="s">
        <v>148</v>
      </c>
      <c r="D132" s="95">
        <v>0.76064584014359071</v>
      </c>
      <c r="E132" s="188">
        <v>0.74</v>
      </c>
      <c r="F132" s="188">
        <v>0.74</v>
      </c>
      <c r="G132" s="188">
        <v>0.74</v>
      </c>
      <c r="H132" s="188">
        <v>0.74</v>
      </c>
      <c r="I132" s="188">
        <v>0.74</v>
      </c>
      <c r="J132" s="188">
        <v>0.74</v>
      </c>
      <c r="K132" s="188">
        <v>0.74</v>
      </c>
      <c r="L132" s="188">
        <v>0.74</v>
      </c>
      <c r="M132" s="188">
        <v>0.74</v>
      </c>
      <c r="N132" s="188">
        <v>0.74</v>
      </c>
      <c r="O132" s="188">
        <v>0.74</v>
      </c>
      <c r="P132" s="188">
        <v>0.74</v>
      </c>
      <c r="Q132" s="188">
        <v>0.74</v>
      </c>
    </row>
    <row r="133" spans="2:17">
      <c r="B133" s="29"/>
      <c r="C133" s="33"/>
    </row>
    <row r="134" spans="2:17">
      <c r="B134" s="29"/>
      <c r="C134" s="33"/>
    </row>
    <row r="135" spans="2:17">
      <c r="B135" s="29"/>
      <c r="C135" s="32" t="s">
        <v>149</v>
      </c>
    </row>
    <row r="136" spans="2:17" ht="15.75">
      <c r="B136" s="7" t="s">
        <v>150</v>
      </c>
      <c r="C136" s="32" t="s">
        <v>151</v>
      </c>
      <c r="D136" s="94">
        <v>191.99989175445072</v>
      </c>
      <c r="E136" s="94">
        <f>D136*GDP!W33/100</f>
        <v>201.98388612568215</v>
      </c>
      <c r="F136" s="94">
        <f>E136*GDP!X33/100</f>
        <v>215.71879038222855</v>
      </c>
      <c r="G136" s="94">
        <f>F136*GDP!Y33/100</f>
        <v>224.34754199751768</v>
      </c>
      <c r="H136" s="94">
        <f>G136*GDP!Z33/100</f>
        <v>240.27621747934143</v>
      </c>
      <c r="I136" s="94">
        <f>H136*GDP!AA33/100</f>
        <v>261.42052461752348</v>
      </c>
      <c r="J136" s="94">
        <f>I136*GDP!AB33/100</f>
        <v>278.67427924228002</v>
      </c>
      <c r="K136" s="94">
        <f>J136*GDP!AC33/100</f>
        <v>300.96822158166242</v>
      </c>
      <c r="L136" s="94">
        <f>K136*GDP!AD33/100</f>
        <v>337.68634461462528</v>
      </c>
      <c r="M136" s="112">
        <f>L136*GDP!AE33/100</f>
        <v>373.48109714377557</v>
      </c>
      <c r="N136" s="112">
        <f>M136*GDP!AF33/100</f>
        <v>408.96180137243425</v>
      </c>
      <c r="O136" s="112">
        <f>N136*GDP!AG33/100</f>
        <v>445.44067228367044</v>
      </c>
      <c r="P136" s="112">
        <f>O136*GDP!AH33/100</f>
        <v>483.80661187292731</v>
      </c>
      <c r="Q136" s="112">
        <f>P136*GDP!AI33/100</f>
        <v>523.83023771958028</v>
      </c>
    </row>
    <row r="137" spans="2:17" ht="15.75">
      <c r="B137" s="7" t="s">
        <v>152</v>
      </c>
      <c r="C137" s="32" t="s">
        <v>153</v>
      </c>
      <c r="D137" s="294">
        <f t="shared" ref="D137:I137" si="77">D78</f>
        <v>2496</v>
      </c>
      <c r="E137" s="294">
        <f t="shared" si="77"/>
        <v>2807</v>
      </c>
      <c r="F137" s="294">
        <f t="shared" si="77"/>
        <v>2754</v>
      </c>
      <c r="G137" s="294">
        <f t="shared" si="77"/>
        <v>2241</v>
      </c>
      <c r="H137" s="294">
        <f t="shared" si="77"/>
        <v>2338</v>
      </c>
      <c r="I137" s="294">
        <f t="shared" si="77"/>
        <v>2619</v>
      </c>
      <c r="J137" s="295">
        <f>J136*J138</f>
        <v>2731.0079365743445</v>
      </c>
      <c r="K137" s="295">
        <f t="shared" ref="K137:Q137" si="78">K136*K138</f>
        <v>2949.488571500292</v>
      </c>
      <c r="L137" s="295">
        <f t="shared" si="78"/>
        <v>3309.3261772233282</v>
      </c>
      <c r="M137" s="295">
        <f t="shared" si="78"/>
        <v>3660.1147520090008</v>
      </c>
      <c r="N137" s="295">
        <f>N136*N138</f>
        <v>4007.825653449856</v>
      </c>
      <c r="O137" s="295">
        <f t="shared" si="78"/>
        <v>4810.7592606636408</v>
      </c>
      <c r="P137" s="295">
        <f t="shared" si="78"/>
        <v>5708.9180201005429</v>
      </c>
      <c r="Q137" s="295">
        <f t="shared" si="78"/>
        <v>6705.0270428106278</v>
      </c>
    </row>
    <row r="138" spans="2:17" ht="15.75">
      <c r="B138" s="7" t="s">
        <v>154</v>
      </c>
      <c r="C138" s="33" t="s">
        <v>155</v>
      </c>
      <c r="D138" s="296">
        <f t="shared" ref="D138:H138" si="79">D137/D136</f>
        <v>13.000007329129865</v>
      </c>
      <c r="E138" s="296">
        <f t="shared" si="79"/>
        <v>13.897148202472827</v>
      </c>
      <c r="F138" s="296">
        <f t="shared" si="79"/>
        <v>12.76662081740878</v>
      </c>
      <c r="G138" s="296">
        <f t="shared" si="79"/>
        <v>9.9889661373013645</v>
      </c>
      <c r="H138" s="296">
        <f t="shared" si="79"/>
        <v>9.7304678112848091</v>
      </c>
      <c r="I138" s="296">
        <f>I137/I136</f>
        <v>10.018341152944208</v>
      </c>
      <c r="J138" s="296">
        <v>9.8000000000000007</v>
      </c>
      <c r="K138" s="296">
        <v>9.8000000000000007</v>
      </c>
      <c r="L138" s="296">
        <v>9.8000000000000007</v>
      </c>
      <c r="M138" s="296">
        <v>9.8000000000000007</v>
      </c>
      <c r="N138" s="296">
        <v>9.8000000000000007</v>
      </c>
      <c r="O138" s="296">
        <v>10.8</v>
      </c>
      <c r="P138" s="296">
        <v>11.8</v>
      </c>
      <c r="Q138" s="296">
        <v>12.8</v>
      </c>
    </row>
    <row r="139" spans="2:17">
      <c r="B139" s="29"/>
      <c r="C139" s="33"/>
      <c r="F139" s="297">
        <f t="shared" ref="F139:Q140" si="80">F142/E142</f>
        <v>1.0799438990182328</v>
      </c>
      <c r="G139" s="297">
        <f t="shared" si="80"/>
        <v>1.0805194805194807</v>
      </c>
      <c r="H139" s="297">
        <f t="shared" si="80"/>
        <v>1.3245192307692308</v>
      </c>
      <c r="I139" s="297">
        <f t="shared" si="80"/>
        <v>1</v>
      </c>
      <c r="J139" s="297">
        <f t="shared" si="80"/>
        <v>1</v>
      </c>
      <c r="K139" s="297">
        <f t="shared" si="80"/>
        <v>1.1007259528130671</v>
      </c>
      <c r="L139" s="297">
        <f t="shared" si="80"/>
        <v>1.1599340478153337</v>
      </c>
      <c r="M139" s="297">
        <f t="shared" si="80"/>
        <v>1</v>
      </c>
      <c r="N139" s="297">
        <f t="shared" si="80"/>
        <v>1</v>
      </c>
      <c r="O139" s="297">
        <f t="shared" si="80"/>
        <v>1</v>
      </c>
      <c r="P139" s="297">
        <f t="shared" si="80"/>
        <v>1</v>
      </c>
      <c r="Q139" s="297">
        <f t="shared" si="80"/>
        <v>1</v>
      </c>
    </row>
    <row r="140" spans="2:17">
      <c r="B140" s="29"/>
      <c r="C140" s="33"/>
      <c r="F140" s="297">
        <f t="shared" si="80"/>
        <v>1.1501706484641638</v>
      </c>
      <c r="G140" s="297">
        <f t="shared" si="80"/>
        <v>1.1572700296735905</v>
      </c>
      <c r="H140" s="297">
        <f t="shared" si="80"/>
        <v>1.164102564102564</v>
      </c>
      <c r="I140" s="297">
        <f t="shared" si="80"/>
        <v>1.1013215859030838</v>
      </c>
      <c r="J140" s="297">
        <f t="shared" si="80"/>
        <v>1</v>
      </c>
      <c r="K140" s="297">
        <f t="shared" si="80"/>
        <v>1.0604</v>
      </c>
      <c r="L140" s="297">
        <f t="shared" si="80"/>
        <v>1.1599396454168238</v>
      </c>
      <c r="M140" s="297">
        <f t="shared" si="80"/>
        <v>1</v>
      </c>
      <c r="N140" s="297">
        <f t="shared" si="80"/>
        <v>1</v>
      </c>
      <c r="O140" s="297">
        <f t="shared" si="80"/>
        <v>1</v>
      </c>
      <c r="P140" s="297">
        <f t="shared" si="80"/>
        <v>1</v>
      </c>
      <c r="Q140" s="297">
        <f t="shared" si="80"/>
        <v>1</v>
      </c>
    </row>
    <row r="141" spans="2:17">
      <c r="B141" s="7" t="s">
        <v>156</v>
      </c>
      <c r="C141" s="32" t="s">
        <v>157</v>
      </c>
      <c r="D141" s="298">
        <f>(D76+D77+D78+D79+D82-D71+D81)*D142/100+D80*D143/100+D89*Household!V2</f>
        <v>4238.2377999999999</v>
      </c>
      <c r="E141" s="298">
        <f>(E76+E77+E78+E79+E82-E71+E81)*E142/100+E80*E143/100+E89*Household!W2</f>
        <v>5021.7765199999994</v>
      </c>
      <c r="F141" s="298">
        <f>(F76+F77+F78+F79+F82-F71+F81)*F142/100+F80*F143/100+F89*Household!X2</f>
        <v>5721.4679500000002</v>
      </c>
      <c r="G141" s="298">
        <f>(G76+G77+G78+G79+G82-G71+G81)*G142/100+G80*G143/100+G89*Household!Y2</f>
        <v>6185.5654799999993</v>
      </c>
      <c r="H141" s="298">
        <f>(H76+H77+H78+H79+H82-H71+H81)*H142/100+H80*H143/100+H89*Household!Z2</f>
        <v>8455.9519099999998</v>
      </c>
      <c r="I141" s="298">
        <f>(I76+I77+I78+I79+I82-I71+I81)*I142/100+I80*I143/100+I89*Household!AA2</f>
        <v>8381.6491600000008</v>
      </c>
      <c r="J141" s="298">
        <f>(J76+J77+J78+J79+J82-J71+J81)*J142/100+J80*J143/100+J89*Household!AB2</f>
        <v>8998.1397529000005</v>
      </c>
      <c r="K141" s="298">
        <f>(K76+K77+K78+K79+K82-K71+K81)*K142/100+K80*K143/100+K89*Household!AC2</f>
        <v>10239.506729999999</v>
      </c>
      <c r="L141" s="298">
        <f>(L76+L77+L78+L79+L82-L71+L81)*L142/100+L80*L143/100+L89*Household!AD2</f>
        <v>11809.940106</v>
      </c>
      <c r="M141" s="298">
        <f>(M76+M77+M78+M79+M82-M71+M81)*M142/100+M80*M143/100+M89*Household!AE2</f>
        <v>18771.373660918845</v>
      </c>
      <c r="N141" s="298">
        <f>(N76+N77+N78+N79+N82-N71+N81)*N142/100+N80*N143/100+N89*Household!AF2</f>
        <v>20722.210557975344</v>
      </c>
      <c r="O141" s="298">
        <f>(O76+O77+O78+O79+O82-O71+O81)*O142/100+O80*O143/100+O89*Household!AG2</f>
        <v>22260.772452315774</v>
      </c>
      <c r="P141" s="298">
        <f>(P76+P77+P78+P79+P82-P71+P81)*P142/100+P80*P143/100+P89*Household!AH2</f>
        <v>24087.462210556314</v>
      </c>
      <c r="Q141" s="298">
        <f>(Q76+Q77+Q78+Q79+Q82-Q71+Q81)*Q142/100+Q80*Q143/100+Q89*Household!AI2</f>
        <v>26049.926186595399</v>
      </c>
    </row>
    <row r="142" spans="2:17" ht="15.75">
      <c r="B142" s="7" t="s">
        <v>158</v>
      </c>
      <c r="C142" s="32" t="s">
        <v>159</v>
      </c>
      <c r="D142">
        <v>30.6</v>
      </c>
      <c r="E142">
        <v>35.65</v>
      </c>
      <c r="F142">
        <v>38.5</v>
      </c>
      <c r="G142">
        <v>41.6</v>
      </c>
      <c r="H142">
        <v>55.1</v>
      </c>
      <c r="I142">
        <v>55.1</v>
      </c>
      <c r="J142">
        <v>55.1</v>
      </c>
      <c r="K142">
        <v>60.65</v>
      </c>
      <c r="L142">
        <v>70.349999999999994</v>
      </c>
      <c r="M142" s="131">
        <f>L142</f>
        <v>70.349999999999994</v>
      </c>
      <c r="N142">
        <f t="shared" ref="N142:Q143" si="81">M142</f>
        <v>70.349999999999994</v>
      </c>
      <c r="O142">
        <f t="shared" si="81"/>
        <v>70.349999999999994</v>
      </c>
      <c r="P142">
        <f t="shared" si="81"/>
        <v>70.349999999999994</v>
      </c>
      <c r="Q142">
        <f t="shared" si="81"/>
        <v>70.349999999999994</v>
      </c>
    </row>
    <row r="143" spans="2:17" ht="15.75">
      <c r="B143" s="7" t="s">
        <v>160</v>
      </c>
      <c r="C143" s="32" t="s">
        <v>161</v>
      </c>
      <c r="D143">
        <v>12.6</v>
      </c>
      <c r="E143">
        <v>14.65</v>
      </c>
      <c r="F143">
        <v>16.850000000000001</v>
      </c>
      <c r="G143">
        <v>19.5</v>
      </c>
      <c r="H143">
        <v>22.7</v>
      </c>
      <c r="I143">
        <v>25</v>
      </c>
      <c r="J143">
        <v>25</v>
      </c>
      <c r="K143">
        <v>26.51</v>
      </c>
      <c r="L143">
        <v>30.75</v>
      </c>
      <c r="M143" s="131">
        <f>L143</f>
        <v>30.75</v>
      </c>
      <c r="N143">
        <f t="shared" si="81"/>
        <v>30.75</v>
      </c>
      <c r="O143">
        <f t="shared" si="81"/>
        <v>30.75</v>
      </c>
      <c r="P143">
        <f t="shared" si="81"/>
        <v>30.75</v>
      </c>
      <c r="Q143">
        <f t="shared" si="81"/>
        <v>30.75</v>
      </c>
    </row>
    <row r="144" spans="2:17" ht="15.75">
      <c r="B144" s="34" t="s">
        <v>162</v>
      </c>
      <c r="C144" s="32"/>
      <c r="D144" s="132">
        <v>12</v>
      </c>
      <c r="E144" s="132">
        <v>12</v>
      </c>
      <c r="F144" s="132">
        <v>12</v>
      </c>
      <c r="G144" s="132">
        <v>12</v>
      </c>
      <c r="H144" s="132">
        <v>12</v>
      </c>
      <c r="I144" s="132">
        <v>12</v>
      </c>
      <c r="J144" s="132">
        <v>12</v>
      </c>
      <c r="K144" s="132">
        <v>12</v>
      </c>
      <c r="L144" s="132">
        <v>12</v>
      </c>
      <c r="M144" s="132">
        <v>12</v>
      </c>
      <c r="N144" s="132">
        <v>12</v>
      </c>
      <c r="O144" s="132">
        <v>12</v>
      </c>
      <c r="P144" s="132">
        <v>13</v>
      </c>
      <c r="Q144" s="132">
        <v>14</v>
      </c>
    </row>
    <row r="145" spans="2:17">
      <c r="B145" s="25"/>
      <c r="C145" s="35" t="s">
        <v>66</v>
      </c>
    </row>
    <row r="146" spans="2:17">
      <c r="B146" s="7" t="s">
        <v>163</v>
      </c>
      <c r="C146" s="20" t="s">
        <v>164</v>
      </c>
      <c r="D146" s="94">
        <f>Assumptions!V42</f>
        <v>139.1</v>
      </c>
      <c r="E146" s="94">
        <f>Assumptions!W42</f>
        <v>129.30000000000001</v>
      </c>
      <c r="F146" s="94">
        <f>Assumptions!X42</f>
        <v>103.1</v>
      </c>
      <c r="G146" s="94">
        <f>Assumptions!Y42</f>
        <v>95.8</v>
      </c>
      <c r="H146" s="94">
        <f>Assumptions!Z42</f>
        <v>100.8</v>
      </c>
      <c r="I146" s="94">
        <f>Assumptions!AA42</f>
        <v>84</v>
      </c>
      <c r="J146" s="94">
        <f>Assumptions!AB42</f>
        <v>60.5</v>
      </c>
      <c r="K146" s="94">
        <f>Assumptions!AC42</f>
        <v>62</v>
      </c>
      <c r="L146" s="94">
        <f>Assumptions!AD42</f>
        <v>66.599999999999994</v>
      </c>
      <c r="M146" s="94">
        <f>Assumptions!AE42</f>
        <v>82.2</v>
      </c>
      <c r="N146" s="117">
        <f>Assumptions!AF42</f>
        <v>88.3</v>
      </c>
      <c r="O146" s="94">
        <f>Assumptions!AG42</f>
        <v>101.54499999999999</v>
      </c>
      <c r="P146" s="94">
        <f>Assumptions!AH42</f>
        <v>116.77674999999998</v>
      </c>
      <c r="Q146" s="94">
        <f>Assumptions!AI42</f>
        <v>134.29326249999997</v>
      </c>
    </row>
    <row r="147" spans="2:17">
      <c r="B147" s="7"/>
      <c r="C147" s="20" t="s">
        <v>165</v>
      </c>
      <c r="D147" s="299">
        <f t="shared" ref="D147:Q147" si="82">D149</f>
        <v>257.10000000000002</v>
      </c>
      <c r="E147" s="299">
        <f t="shared" si="82"/>
        <v>261.39999999999998</v>
      </c>
      <c r="F147" s="299">
        <f t="shared" si="82"/>
        <v>205.2</v>
      </c>
      <c r="G147" s="299">
        <f t="shared" si="82"/>
        <v>159.69999999999999</v>
      </c>
      <c r="H147" s="299">
        <f t="shared" si="82"/>
        <v>197.3</v>
      </c>
      <c r="I147" s="299">
        <f t="shared" si="82"/>
        <v>171.2</v>
      </c>
      <c r="J147" s="299">
        <f t="shared" si="82"/>
        <v>104.8</v>
      </c>
      <c r="K147" s="299">
        <f t="shared" si="82"/>
        <v>110.04</v>
      </c>
      <c r="L147" s="299">
        <f t="shared" si="82"/>
        <v>123.1</v>
      </c>
      <c r="M147" s="299">
        <f t="shared" si="82"/>
        <v>129.255</v>
      </c>
      <c r="N147" s="299">
        <f t="shared" si="82"/>
        <v>135.71775</v>
      </c>
      <c r="O147" s="299">
        <f t="shared" si="82"/>
        <v>142.5036375</v>
      </c>
      <c r="P147" s="299">
        <f t="shared" si="82"/>
        <v>149.62881937500001</v>
      </c>
      <c r="Q147" s="299">
        <f t="shared" si="82"/>
        <v>157.11026034375001</v>
      </c>
    </row>
    <row r="148" spans="2:17">
      <c r="B148" s="7"/>
      <c r="C148" s="20" t="s">
        <v>166</v>
      </c>
    </row>
    <row r="149" spans="2:17">
      <c r="B149" s="7" t="s">
        <v>167</v>
      </c>
      <c r="C149" s="20" t="s">
        <v>168</v>
      </c>
      <c r="D149">
        <f>Trade!V62/1000</f>
        <v>257.10000000000002</v>
      </c>
      <c r="E149">
        <f>Trade!W62/1000</f>
        <v>261.39999999999998</v>
      </c>
      <c r="F149">
        <f>Trade!X62/1000</f>
        <v>205.2</v>
      </c>
      <c r="G149">
        <f>Trade!Y62/1000</f>
        <v>159.69999999999999</v>
      </c>
      <c r="H149">
        <f>Trade!Z62/1000</f>
        <v>197.3</v>
      </c>
      <c r="I149">
        <f>Trade!AA62/1000</f>
        <v>171.2</v>
      </c>
      <c r="J149">
        <f>Trade!AB62/1000</f>
        <v>104.8</v>
      </c>
      <c r="K149">
        <f>Trade!AC62/1000</f>
        <v>110.04</v>
      </c>
      <c r="L149">
        <f>Trade!AD62/1000</f>
        <v>123.1</v>
      </c>
      <c r="M149" s="123">
        <f>L149*1.05</f>
        <v>129.255</v>
      </c>
      <c r="N149" s="123">
        <f t="shared" ref="N149:Q149" si="83">M149*1.05</f>
        <v>135.71775</v>
      </c>
      <c r="O149" s="123">
        <f t="shared" si="83"/>
        <v>142.5036375</v>
      </c>
      <c r="P149" s="123">
        <f t="shared" si="83"/>
        <v>149.62881937500001</v>
      </c>
      <c r="Q149" s="123">
        <f t="shared" si="83"/>
        <v>157.11026034375001</v>
      </c>
    </row>
    <row r="150" spans="2:17" ht="15.75">
      <c r="B150" s="7" t="s">
        <v>169</v>
      </c>
      <c r="C150" s="32" t="s">
        <v>170</v>
      </c>
      <c r="D150">
        <f>Trade!V47</f>
        <v>0.629</v>
      </c>
      <c r="E150">
        <f>Trade!W47</f>
        <v>1.034</v>
      </c>
      <c r="F150">
        <f>Trade!X47</f>
        <v>1.034</v>
      </c>
      <c r="G150">
        <f>Trade!Y47</f>
        <v>1.034</v>
      </c>
      <c r="H150">
        <f>Trade!Z47</f>
        <v>3.8660000000000001</v>
      </c>
      <c r="I150">
        <f>Trade!AA47</f>
        <v>5.0999999999999996</v>
      </c>
      <c r="J150">
        <f>Trade!AB47</f>
        <v>16.8</v>
      </c>
      <c r="K150">
        <f>Trade!AC47</f>
        <v>15.8</v>
      </c>
      <c r="L150">
        <f>Trade!AD47</f>
        <v>18.664999999999999</v>
      </c>
      <c r="M150">
        <f>Trade!AE47</f>
        <v>29.443999999999999</v>
      </c>
      <c r="N150">
        <f>Trade!AF47</f>
        <v>45.930999999999997</v>
      </c>
      <c r="O150">
        <f>Trade!AG47</f>
        <v>45.930999999999997</v>
      </c>
      <c r="P150">
        <f>Trade!AH47</f>
        <v>45.930999999999997</v>
      </c>
      <c r="Q150">
        <f>Trade!AI47</f>
        <v>45.930999999999997</v>
      </c>
    </row>
    <row r="151" spans="2:17">
      <c r="B151" s="7"/>
      <c r="C151" s="36" t="s">
        <v>171</v>
      </c>
    </row>
    <row r="152" spans="2:17">
      <c r="B152" s="7" t="s">
        <v>172</v>
      </c>
      <c r="C152" s="32" t="s">
        <v>173</v>
      </c>
      <c r="D152">
        <f>Trade!V15/1000</f>
        <v>130.9</v>
      </c>
      <c r="E152">
        <f>Trade!W15/1000</f>
        <v>129.69999999999999</v>
      </c>
      <c r="F152">
        <f>Trade!X15/1000</f>
        <v>101.4</v>
      </c>
      <c r="G152">
        <f>Trade!Y15/1000</f>
        <v>94.8</v>
      </c>
      <c r="H152">
        <f>Trade!Z15/1000</f>
        <v>96.8</v>
      </c>
      <c r="I152">
        <f>Trade!AA15/1000</f>
        <v>87</v>
      </c>
      <c r="J152">
        <f>Trade!AB15/1000</f>
        <v>55.6</v>
      </c>
      <c r="K152">
        <f>Trade!AC15/1000</f>
        <v>56.5</v>
      </c>
      <c r="L152">
        <f>Trade!AD15/1000</f>
        <v>59.1</v>
      </c>
      <c r="M152" s="85">
        <f>Trade!AE15/1000</f>
        <v>76.099999999999994</v>
      </c>
      <c r="N152" s="117">
        <f>N146-N153-N154</f>
        <v>86.146549623788232</v>
      </c>
      <c r="O152" s="117">
        <f t="shared" ref="O152:Q152" si="84">O146-O153-O154</f>
        <v>99.257775123788221</v>
      </c>
      <c r="P152" s="117">
        <f t="shared" si="84"/>
        <v>114.33568444878821</v>
      </c>
      <c r="Q152" s="117">
        <f t="shared" si="84"/>
        <v>131.67528017253821</v>
      </c>
    </row>
    <row r="153" spans="2:17">
      <c r="B153" s="7"/>
      <c r="C153" s="32" t="s">
        <v>174</v>
      </c>
      <c r="D153" s="94">
        <f>D155*(D146-D154)/100</f>
        <v>3.6002653211009177</v>
      </c>
      <c r="E153" s="94">
        <f t="shared" ref="E153:Q153" si="85">E155*(E146-E154)/100</f>
        <v>3.3466161467889912</v>
      </c>
      <c r="F153" s="94">
        <f t="shared" si="85"/>
        <v>2.6684928440366971</v>
      </c>
      <c r="G153" s="94">
        <f t="shared" si="85"/>
        <v>2.4795500917431195</v>
      </c>
      <c r="H153" s="94">
        <f t="shared" si="85"/>
        <v>9.923711837586207E-3</v>
      </c>
      <c r="I153" s="94">
        <f t="shared" si="85"/>
        <v>8.2697598646551736E-3</v>
      </c>
      <c r="J153" s="94">
        <f t="shared" si="85"/>
        <v>0.60157580539256461</v>
      </c>
      <c r="K153" s="94">
        <f t="shared" si="85"/>
        <v>0.61649090800560347</v>
      </c>
      <c r="L153" s="94">
        <f t="shared" si="85"/>
        <v>0.66223055601892244</v>
      </c>
      <c r="M153" s="94">
        <f t="shared" si="85"/>
        <v>0.81734762319452581</v>
      </c>
      <c r="N153" s="94">
        <f>N155*(N146-N154)/100</f>
        <v>0.87895762319452586</v>
      </c>
      <c r="O153" s="94">
        <f t="shared" si="85"/>
        <v>1.0127321231945257</v>
      </c>
      <c r="P153" s="94">
        <f t="shared" si="85"/>
        <v>1.1665727981945258</v>
      </c>
      <c r="Q153" s="94">
        <f t="shared" si="85"/>
        <v>1.3434895744445257</v>
      </c>
    </row>
    <row r="154" spans="2:17">
      <c r="B154" s="7"/>
      <c r="C154" s="37" t="s">
        <v>175</v>
      </c>
      <c r="D154" s="94">
        <v>2.156714622198276</v>
      </c>
      <c r="E154" s="94">
        <f>D154*E146/D146</f>
        <v>2.0047677976293108</v>
      </c>
      <c r="F154" s="94">
        <f t="shared" ref="F154:L154" si="86">E154*F146/E146</f>
        <v>1.5985426135775862</v>
      </c>
      <c r="G154" s="94">
        <f t="shared" si="86"/>
        <v>1.4853577340517241</v>
      </c>
      <c r="H154" s="94">
        <f t="shared" si="86"/>
        <v>1.5628816241379311</v>
      </c>
      <c r="I154" s="94">
        <f t="shared" si="86"/>
        <v>1.3024013534482759</v>
      </c>
      <c r="J154" s="94">
        <f t="shared" si="86"/>
        <v>0.93803907004310338</v>
      </c>
      <c r="K154" s="94">
        <f t="shared" si="86"/>
        <v>0.9612962370689655</v>
      </c>
      <c r="L154" s="94">
        <f t="shared" si="86"/>
        <v>1.0326182159482757</v>
      </c>
      <c r="M154" s="94">
        <f>L154*M146/L146</f>
        <v>1.2744927530172412</v>
      </c>
      <c r="N154" s="117">
        <f>M154</f>
        <v>1.2744927530172412</v>
      </c>
      <c r="O154" s="117">
        <f t="shared" ref="O154:Q154" si="87">N154</f>
        <v>1.2744927530172412</v>
      </c>
      <c r="P154" s="117">
        <f t="shared" si="87"/>
        <v>1.2744927530172412</v>
      </c>
      <c r="Q154" s="117">
        <f t="shared" si="87"/>
        <v>1.2744927530172412</v>
      </c>
    </row>
    <row r="155" spans="2:17">
      <c r="C155" s="13" t="s">
        <v>176</v>
      </c>
      <c r="D155" s="94">
        <v>2.6290192404603392</v>
      </c>
      <c r="E155" s="94">
        <v>2.6290192404603392</v>
      </c>
      <c r="F155" s="94">
        <v>2.6290192404603392</v>
      </c>
      <c r="G155" s="94">
        <v>2.6290192404603392</v>
      </c>
      <c r="H155" s="94">
        <v>0.01</v>
      </c>
      <c r="I155" s="94">
        <v>0.01</v>
      </c>
      <c r="J155" s="94">
        <v>1.01</v>
      </c>
      <c r="K155" s="94">
        <v>1.01</v>
      </c>
      <c r="L155" s="94">
        <v>1.01</v>
      </c>
      <c r="M155" s="94">
        <v>1.01</v>
      </c>
      <c r="N155" s="94">
        <v>1.01</v>
      </c>
      <c r="O155" s="94">
        <v>1.01</v>
      </c>
      <c r="P155" s="94">
        <v>1.01</v>
      </c>
      <c r="Q155" s="94">
        <v>1.01</v>
      </c>
    </row>
    <row r="156" spans="2:17" ht="15.75">
      <c r="B156" s="7" t="s">
        <v>177</v>
      </c>
      <c r="C156" s="32" t="s">
        <v>178</v>
      </c>
      <c r="D156">
        <f>Trade!V6</f>
        <v>216.2</v>
      </c>
      <c r="E156">
        <f>Trade!W6</f>
        <v>207.5</v>
      </c>
      <c r="F156">
        <f>Trade!X6</f>
        <v>200.7</v>
      </c>
      <c r="G156">
        <f>Trade!Y6</f>
        <v>199.3</v>
      </c>
      <c r="H156">
        <f>Trade!Z6</f>
        <v>173.2</v>
      </c>
      <c r="I156">
        <f>Trade!AA6</f>
        <v>136.19999999999999</v>
      </c>
      <c r="J156">
        <f>Trade!AB6</f>
        <v>135.1</v>
      </c>
      <c r="K156">
        <f>Trade!AC6</f>
        <v>139.9</v>
      </c>
      <c r="L156">
        <f>Trade!AD6</f>
        <v>132.30000000000001</v>
      </c>
      <c r="M156" s="94">
        <f>Trade!AE6</f>
        <v>183.6</v>
      </c>
      <c r="N156" s="96">
        <f>Trade!AF6</f>
        <v>207.8</v>
      </c>
      <c r="O156" s="94">
        <f>Trade!AG6</f>
        <v>186.53044641871514</v>
      </c>
      <c r="P156" s="94">
        <f>Trade!AH6</f>
        <v>250.13930280125817</v>
      </c>
      <c r="Q156" s="94">
        <f>Trade!AI6</f>
        <v>293.3435838349161</v>
      </c>
    </row>
    <row r="158" spans="2:17">
      <c r="B158" s="7"/>
      <c r="C158" s="32" t="s">
        <v>179</v>
      </c>
      <c r="D158" s="95">
        <f>D153*D164</f>
        <v>3.4310065824102707</v>
      </c>
      <c r="E158" s="95">
        <f t="shared" ref="E158:Q158" si="88">E153*E164</f>
        <v>3.0892640323029283</v>
      </c>
      <c r="F158" s="95">
        <f t="shared" si="88"/>
        <v>3.0475192738569823</v>
      </c>
      <c r="G158" s="95">
        <f t="shared" si="88"/>
        <v>3.0077577093833345</v>
      </c>
      <c r="H158" s="95">
        <f t="shared" si="88"/>
        <v>1.0245134780876566E-2</v>
      </c>
      <c r="I158" s="95">
        <f t="shared" si="88"/>
        <v>7.470019830276251E-3</v>
      </c>
      <c r="J158" s="95">
        <f t="shared" si="88"/>
        <v>0.84341616321393831</v>
      </c>
      <c r="K158" s="95">
        <f t="shared" si="88"/>
        <v>0.88077898426533574</v>
      </c>
      <c r="L158" s="95">
        <f t="shared" si="88"/>
        <v>0.85536717482263613</v>
      </c>
      <c r="M158" s="95">
        <f t="shared" si="88"/>
        <v>1.1377997266983249</v>
      </c>
      <c r="N158" s="95">
        <f t="shared" si="88"/>
        <v>1.3156851268069747</v>
      </c>
      <c r="O158" s="95">
        <f t="shared" si="88"/>
        <v>1.5963361813434125</v>
      </c>
      <c r="P158" s="95">
        <f t="shared" si="88"/>
        <v>1.8728825641329534</v>
      </c>
      <c r="Q158" s="95">
        <f t="shared" si="88"/>
        <v>2.1961314897806208</v>
      </c>
    </row>
    <row r="159" spans="2:17">
      <c r="B159" s="7"/>
      <c r="C159" s="37" t="s">
        <v>180</v>
      </c>
      <c r="D159" s="95">
        <v>4.1485239714487836</v>
      </c>
      <c r="E159" s="95">
        <v>4.7002776596514719</v>
      </c>
      <c r="F159" s="95">
        <v>5.3254145883851178</v>
      </c>
      <c r="G159" s="95">
        <v>5.254048029557576</v>
      </c>
      <c r="H159" s="95">
        <v>4.7050325316817405</v>
      </c>
      <c r="I159" s="95">
        <v>3.4305733468106068</v>
      </c>
      <c r="J159" s="95">
        <v>3.8350011648291078</v>
      </c>
      <c r="K159" s="95">
        <v>4.0048893748290215</v>
      </c>
      <c r="L159" s="95">
        <v>3.6207089947470577</v>
      </c>
      <c r="M159" s="95">
        <v>4.4073948509712695</v>
      </c>
      <c r="N159" s="95">
        <v>5</v>
      </c>
      <c r="O159" s="95">
        <v>5</v>
      </c>
      <c r="P159" s="95">
        <v>5</v>
      </c>
      <c r="Q159" s="95">
        <v>5</v>
      </c>
    </row>
    <row r="160" spans="2:17">
      <c r="B160" s="29"/>
      <c r="C160" s="32"/>
    </row>
    <row r="161" spans="2:17" ht="15.75">
      <c r="B161" s="7" t="s">
        <v>181</v>
      </c>
      <c r="C161" s="32" t="s">
        <v>182</v>
      </c>
      <c r="D161" s="95">
        <f>D149/D146</f>
        <v>1.8483105679367364</v>
      </c>
      <c r="E161" s="95">
        <f t="shared" ref="E161:Q161" si="89">E149/E146</f>
        <v>2.0216550657385919</v>
      </c>
      <c r="F161" s="95">
        <f t="shared" si="89"/>
        <v>1.9903006789524733</v>
      </c>
      <c r="G161" s="95">
        <f t="shared" si="89"/>
        <v>1.6670146137787056</v>
      </c>
      <c r="H161" s="95">
        <f t="shared" si="89"/>
        <v>1.95734126984127</v>
      </c>
      <c r="I161" s="95">
        <f t="shared" si="89"/>
        <v>2.038095238095238</v>
      </c>
      <c r="J161" s="95">
        <f t="shared" si="89"/>
        <v>1.7322314049586776</v>
      </c>
      <c r="K161" s="95">
        <f t="shared" si="89"/>
        <v>1.7748387096774194</v>
      </c>
      <c r="L161" s="95">
        <f t="shared" si="89"/>
        <v>1.8483483483483485</v>
      </c>
      <c r="M161" s="95">
        <f t="shared" si="89"/>
        <v>1.5724452554744524</v>
      </c>
      <c r="N161" s="95">
        <f t="shared" si="89"/>
        <v>1.5370073612684032</v>
      </c>
      <c r="O161" s="95">
        <f t="shared" si="89"/>
        <v>1.4033545472450639</v>
      </c>
      <c r="P161" s="95">
        <f t="shared" si="89"/>
        <v>1.281323717049841</v>
      </c>
      <c r="Q161" s="95">
        <f t="shared" si="89"/>
        <v>1.1699042633933332</v>
      </c>
    </row>
    <row r="162" spans="2:17" ht="15.75">
      <c r="B162" s="7" t="s">
        <v>183</v>
      </c>
      <c r="C162" s="32" t="s">
        <v>184</v>
      </c>
      <c r="D162" s="94">
        <f>Trade!V24</f>
        <v>1651.6424751718869</v>
      </c>
      <c r="E162" s="94">
        <f>Trade!W24</f>
        <v>1599.8457979953739</v>
      </c>
      <c r="F162" s="94">
        <f>Trade!X24</f>
        <v>1979.2899408284022</v>
      </c>
      <c r="G162" s="94">
        <f>Trade!Y24</f>
        <v>2102.3206751054854</v>
      </c>
      <c r="H162" s="94">
        <f>Trade!Z24</f>
        <v>1789.2561983471073</v>
      </c>
      <c r="I162" s="94">
        <f>Trade!AA24</f>
        <v>1565.5172413793102</v>
      </c>
      <c r="J162" s="94">
        <f>Trade!AB24</f>
        <v>2429.8561151079134</v>
      </c>
      <c r="K162" s="94">
        <f>Trade!AC24</f>
        <v>2476.1061946902655</v>
      </c>
      <c r="L162" s="94">
        <f>Trade!AD24</f>
        <v>2238.5786802030461</v>
      </c>
      <c r="M162" s="94">
        <f>Trade!AE24</f>
        <v>2412.6149802890932</v>
      </c>
      <c r="N162" s="94">
        <f>Trade!AF24</f>
        <v>2594.2571785268419</v>
      </c>
      <c r="O162" s="94">
        <f>Trade!AG24</f>
        <v>2731.8620834721032</v>
      </c>
      <c r="P162" s="94">
        <f>Trade!AH24</f>
        <v>2782.45212205492</v>
      </c>
      <c r="Q162" s="94">
        <f>Trade!AI24</f>
        <v>2833.0421606377367</v>
      </c>
    </row>
    <row r="163" spans="2:17" ht="15.75">
      <c r="B163" s="7" t="s">
        <v>185</v>
      </c>
      <c r="C163" s="32" t="s">
        <v>186</v>
      </c>
      <c r="D163" s="95">
        <f>Trade!V75</f>
        <v>520.4200700116686</v>
      </c>
      <c r="E163" s="95">
        <f>Trade!W75</f>
        <v>517.59755164498858</v>
      </c>
      <c r="F163" s="95">
        <f>Trade!X75</f>
        <v>519.98050682261203</v>
      </c>
      <c r="G163" s="95">
        <f>Trade!Y75</f>
        <v>533.50031308703819</v>
      </c>
      <c r="H163" s="95">
        <f>Trade!Z75</f>
        <v>535.22554485554986</v>
      </c>
      <c r="I163" s="95">
        <f>Trade!AA75</f>
        <v>519.85981308411215</v>
      </c>
      <c r="J163" s="95">
        <f>Trade!AB75</f>
        <v>520.03816793893134</v>
      </c>
      <c r="K163" s="95">
        <f>Trade!AC75</f>
        <v>637.94983642311888</v>
      </c>
      <c r="L163" s="95">
        <f>Trade!AD75</f>
        <v>624.69536961819665</v>
      </c>
      <c r="M163" s="95">
        <f>Trade!AE75</f>
        <v>564.1025641025642</v>
      </c>
      <c r="N163" s="95">
        <f>Trade!AF75</f>
        <v>569.59195081050871</v>
      </c>
      <c r="O163" s="95">
        <f>Trade!AG75</f>
        <v>569.59195081050871</v>
      </c>
      <c r="P163" s="95">
        <f>Trade!AH75</f>
        <v>569.59195081050871</v>
      </c>
      <c r="Q163" s="95">
        <f>Trade!AI75</f>
        <v>569.59195081050871</v>
      </c>
    </row>
    <row r="164" spans="2:17">
      <c r="B164" s="7"/>
      <c r="C164" s="32" t="s">
        <v>187</v>
      </c>
      <c r="D164" s="95">
        <v>0.95298714855857081</v>
      </c>
      <c r="E164" s="95">
        <f>D164*E162/D162</f>
        <v>0.92310079698474323</v>
      </c>
      <c r="F164" s="95">
        <f t="shared" ref="F164:Q164" si="90">E164*F162/E162</f>
        <v>1.1420376414601594</v>
      </c>
      <c r="G164" s="95">
        <f t="shared" si="90"/>
        <v>1.2130255885529968</v>
      </c>
      <c r="H164" s="95">
        <f t="shared" si="90"/>
        <v>1.0323893870107115</v>
      </c>
      <c r="I164" s="95">
        <f t="shared" si="90"/>
        <v>0.90329343929356409</v>
      </c>
      <c r="J164" s="95">
        <f t="shared" si="90"/>
        <v>1.4020114433684019</v>
      </c>
      <c r="K164" s="95">
        <f t="shared" si="90"/>
        <v>1.4286974435920312</v>
      </c>
      <c r="L164" s="95">
        <f t="shared" si="90"/>
        <v>1.2916455863419793</v>
      </c>
      <c r="M164" s="95">
        <f t="shared" si="90"/>
        <v>1.3920634188074621</v>
      </c>
      <c r="N164" s="95">
        <f t="shared" si="90"/>
        <v>1.4968698058789063</v>
      </c>
      <c r="O164" s="95">
        <f t="shared" si="90"/>
        <v>1.5762669562687388</v>
      </c>
      <c r="P164" s="95">
        <f t="shared" si="90"/>
        <v>1.6054570850885301</v>
      </c>
      <c r="Q164" s="95">
        <f t="shared" si="90"/>
        <v>1.6346472139083217</v>
      </c>
    </row>
    <row r="165" spans="2:17">
      <c r="B165" s="29"/>
      <c r="C165" s="32" t="s">
        <v>188</v>
      </c>
      <c r="D165" s="95">
        <f>D159/D154</f>
        <v>1.9235386679116195</v>
      </c>
      <c r="E165" s="95">
        <f t="shared" ref="E165:Q165" si="91">E159/E154</f>
        <v>2.344549660668767</v>
      </c>
      <c r="F165" s="95">
        <f t="shared" si="91"/>
        <v>3.3314185953833788</v>
      </c>
      <c r="G165" s="95">
        <f t="shared" si="91"/>
        <v>3.5372273689420974</v>
      </c>
      <c r="H165" s="95">
        <f t="shared" si="91"/>
        <v>3.0104855409487499</v>
      </c>
      <c r="I165" s="95">
        <f t="shared" si="91"/>
        <v>2.6340369946082447</v>
      </c>
      <c r="J165" s="95">
        <f t="shared" si="91"/>
        <v>4.0883170939275351</v>
      </c>
      <c r="K165" s="95">
        <f t="shared" si="91"/>
        <v>4.166134455118752</v>
      </c>
      <c r="L165" s="95">
        <f t="shared" si="91"/>
        <v>3.5063384887337881</v>
      </c>
      <c r="M165" s="95">
        <f t="shared" si="91"/>
        <v>3.4581560707482866</v>
      </c>
      <c r="N165" s="95">
        <f t="shared" si="91"/>
        <v>3.9231294082786836</v>
      </c>
      <c r="O165" s="95">
        <f t="shared" si="91"/>
        <v>3.9231294082786836</v>
      </c>
      <c r="P165" s="95">
        <f t="shared" si="91"/>
        <v>3.9231294082786836</v>
      </c>
      <c r="Q165" s="95">
        <f t="shared" si="91"/>
        <v>3.9231294082786836</v>
      </c>
    </row>
    <row r="166" spans="2:17">
      <c r="B166" s="29"/>
      <c r="C166" s="32"/>
    </row>
    <row r="167" spans="2:17">
      <c r="B167" s="29"/>
      <c r="C167" s="305" t="s">
        <v>192</v>
      </c>
      <c r="D167" s="85">
        <v>431.7</v>
      </c>
      <c r="E167" s="85">
        <v>448.4</v>
      </c>
      <c r="F167" s="85">
        <v>399.9</v>
      </c>
      <c r="G167" s="85">
        <f>G168*G170*Assumptions!Y12/1000</f>
        <v>686.67839999999944</v>
      </c>
      <c r="H167" s="85">
        <f>H168*H170*Assumptions!Z12/1000</f>
        <v>803.94816000000048</v>
      </c>
      <c r="I167" s="85">
        <f>I168*I170*Assumptions!AA12/1000</f>
        <v>947.95200000000034</v>
      </c>
      <c r="J167" s="85">
        <f>J168*J170*Assumptions!AB12/1000</f>
        <v>947.95200000000057</v>
      </c>
      <c r="K167" s="85">
        <f>K168*K170*Assumptions!AC12/1000</f>
        <v>947.95199999999988</v>
      </c>
      <c r="L167" s="85">
        <f>L168*L170*Assumptions!AD12/1000</f>
        <v>947.952</v>
      </c>
      <c r="M167" s="85">
        <f>M168*M170*Assumptions!AE12/1000</f>
        <v>947.95199999999988</v>
      </c>
      <c r="N167" s="85">
        <f>N168*N170*Assumptions!AF12/1000</f>
        <v>947.95199999999841</v>
      </c>
      <c r="O167" s="85">
        <f>O168*O170*Assumptions!AG12/1000</f>
        <v>947.95199999999829</v>
      </c>
      <c r="P167" s="85">
        <f>P168*P170*Assumptions!AH12/1000</f>
        <v>947.95199999999841</v>
      </c>
      <c r="Q167" s="85">
        <f>Q168*Q170*Assumptions!AI12/1000</f>
        <v>947.95199999999841</v>
      </c>
    </row>
    <row r="168" spans="2:17">
      <c r="B168" s="29"/>
      <c r="C168" s="37" t="s">
        <v>189</v>
      </c>
      <c r="D168" s="94">
        <f>Assumptions!V42</f>
        <v>139.1</v>
      </c>
      <c r="E168" s="94">
        <f>Assumptions!W42</f>
        <v>129.30000000000001</v>
      </c>
      <c r="F168" s="94">
        <f>Assumptions!X42</f>
        <v>103.1</v>
      </c>
      <c r="G168" s="94">
        <f>Assumptions!Y42</f>
        <v>95.8</v>
      </c>
      <c r="H168" s="94">
        <f>Assumptions!Z42</f>
        <v>100.8</v>
      </c>
      <c r="I168" s="94">
        <f>Assumptions!AA42</f>
        <v>84</v>
      </c>
      <c r="J168" s="94">
        <f>Assumptions!AB42</f>
        <v>60.5</v>
      </c>
      <c r="K168" s="94">
        <f>Assumptions!AC42</f>
        <v>62</v>
      </c>
      <c r="L168" s="94">
        <f>Assumptions!AD42</f>
        <v>66.599999999999994</v>
      </c>
      <c r="M168" s="94">
        <f>Assumptions!AE42</f>
        <v>82.2</v>
      </c>
      <c r="N168" s="94">
        <f>Assumptions!AF42</f>
        <v>88.3</v>
      </c>
      <c r="O168" s="94">
        <f>Assumptions!AG42</f>
        <v>101.54499999999999</v>
      </c>
      <c r="P168" s="94">
        <f>Assumptions!AH42</f>
        <v>116.77674999999998</v>
      </c>
      <c r="Q168" s="94">
        <f>Assumptions!AI42</f>
        <v>134.29326249999997</v>
      </c>
    </row>
    <row r="169" spans="2:17">
      <c r="B169" s="29"/>
      <c r="C169" s="37" t="s">
        <v>190</v>
      </c>
      <c r="D169" s="303">
        <f>D171/D168*1000</f>
        <v>3103.5226455787206</v>
      </c>
      <c r="E169" s="303">
        <f t="shared" ref="E169:P169" si="92">E171/E168*1000</f>
        <v>3467.9040989945856</v>
      </c>
      <c r="F169" s="303">
        <f t="shared" si="92"/>
        <v>3878.7584869059165</v>
      </c>
      <c r="G169" s="303">
        <f>G171/G168*1000</f>
        <v>7167.832985386216</v>
      </c>
      <c r="H169" s="303">
        <f t="shared" si="92"/>
        <v>7975.6761904761961</v>
      </c>
      <c r="I169" s="303">
        <f t="shared" si="92"/>
        <v>11285.142857142862</v>
      </c>
      <c r="J169" s="303">
        <f t="shared" si="92"/>
        <v>15668.628099173564</v>
      </c>
      <c r="K169" s="303">
        <f t="shared" si="92"/>
        <v>15289.548387096773</v>
      </c>
      <c r="L169" s="303">
        <f t="shared" si="92"/>
        <v>14233.513513513515</v>
      </c>
      <c r="M169" s="303">
        <f t="shared" si="92"/>
        <v>11532.262773722627</v>
      </c>
      <c r="N169" s="303">
        <f t="shared" si="92"/>
        <v>10735.583238958079</v>
      </c>
      <c r="O169" s="303">
        <f t="shared" si="92"/>
        <v>9335.2897730070254</v>
      </c>
      <c r="P169" s="303">
        <f t="shared" si="92"/>
        <v>8117.6432808756754</v>
      </c>
      <c r="Q169" s="303">
        <f>Q171/Q168*1000</f>
        <v>7058.8202442397178</v>
      </c>
    </row>
    <row r="170" spans="2:17">
      <c r="B170" s="29"/>
      <c r="C170" s="37" t="s">
        <v>191</v>
      </c>
      <c r="D170" s="95">
        <f>D169/Assumptions!V12</f>
        <v>503.4508306559689</v>
      </c>
      <c r="E170" s="95">
        <f>E169/Assumptions!W12</f>
        <v>442.58309497608167</v>
      </c>
      <c r="F170" s="95">
        <f>F169/Assumptions!X12</f>
        <v>453.6718816924473</v>
      </c>
      <c r="G170" s="95">
        <f>G169/Assumptions!Y12</f>
        <v>783.26700163762314</v>
      </c>
      <c r="H170" s="95">
        <f>H169/Assumptions!Z12</f>
        <v>836.89323202025128</v>
      </c>
      <c r="I170" s="95">
        <f>I169/Assumptions!AA12</f>
        <v>1093.3203050933319</v>
      </c>
      <c r="J170" s="95">
        <f>J169/Assumptions!AB12</f>
        <v>1385.513011802524</v>
      </c>
      <c r="K170" s="95">
        <f>K169/Assumptions!AC12</f>
        <v>1386.7064872477981</v>
      </c>
      <c r="L170" s="95">
        <f>L169/Assumptions!AD12</f>
        <v>1312.5098910520094</v>
      </c>
      <c r="M170" s="95">
        <f>M169/Assumptions!AE12</f>
        <v>1067.9405454153896</v>
      </c>
      <c r="N170" s="95">
        <f>N169/Assumptions!AF12</f>
        <v>1069.1853557906243</v>
      </c>
      <c r="O170" s="95">
        <f>O169/Assumptions!AG12</f>
        <v>1017.2842256214095</v>
      </c>
      <c r="P170" s="95">
        <f>P169/Assumptions!AH12</f>
        <v>862.29260525314953</v>
      </c>
      <c r="Q170" s="95">
        <f>Q169/Assumptions!AI12</f>
        <v>728.31019109675822</v>
      </c>
    </row>
    <row r="171" spans="2:17">
      <c r="B171" s="29"/>
      <c r="C171" s="37" t="s">
        <v>192</v>
      </c>
      <c r="D171" s="299">
        <v>431.7</v>
      </c>
      <c r="E171" s="299">
        <v>448.4</v>
      </c>
      <c r="F171" s="299">
        <v>399.9</v>
      </c>
      <c r="G171" s="85">
        <v>686.67839999999944</v>
      </c>
      <c r="H171" s="85">
        <v>803.94816000000048</v>
      </c>
      <c r="I171" s="85">
        <v>947.95200000000034</v>
      </c>
      <c r="J171" s="85">
        <v>947.95200000000057</v>
      </c>
      <c r="K171" s="85">
        <v>947.95199999999988</v>
      </c>
      <c r="L171" s="85">
        <v>947.952</v>
      </c>
      <c r="M171" s="85">
        <v>947.952</v>
      </c>
      <c r="N171" s="85">
        <v>947.95199999999829</v>
      </c>
      <c r="O171" s="85">
        <v>947.95199999999829</v>
      </c>
      <c r="P171" s="85">
        <v>947.95199999999841</v>
      </c>
      <c r="Q171" s="85">
        <v>947.95199999999841</v>
      </c>
    </row>
    <row r="172" spans="2:17">
      <c r="B172" s="29"/>
      <c r="C172" s="37" t="s">
        <v>193</v>
      </c>
    </row>
    <row r="173" spans="2:17">
      <c r="B173" s="29"/>
      <c r="C173" s="302"/>
      <c r="D173" s="304"/>
      <c r="E173" s="304"/>
      <c r="F173" s="304"/>
      <c r="G173" s="304"/>
    </row>
    <row r="174" spans="2:17">
      <c r="B174" s="29"/>
      <c r="C174" s="37" t="s">
        <v>194</v>
      </c>
    </row>
    <row r="175" spans="2:17">
      <c r="B175" s="29"/>
      <c r="C175" s="37" t="s">
        <v>195</v>
      </c>
    </row>
    <row r="176" spans="2:17">
      <c r="B176" s="29"/>
      <c r="C176" s="37" t="s">
        <v>196</v>
      </c>
    </row>
    <row r="177" spans="2:17">
      <c r="B177" s="29"/>
      <c r="C177" s="32"/>
    </row>
    <row r="178" spans="2:17">
      <c r="B178" s="29"/>
      <c r="C178" s="37" t="s">
        <v>197</v>
      </c>
    </row>
    <row r="179" spans="2:17">
      <c r="B179" s="29"/>
      <c r="C179" s="37" t="s">
        <v>198</v>
      </c>
    </row>
    <row r="180" spans="2:17">
      <c r="B180" s="25"/>
      <c r="C180" s="25" t="s">
        <v>199</v>
      </c>
    </row>
    <row r="181" spans="2:17">
      <c r="B181" s="38"/>
      <c r="C181" s="39"/>
    </row>
    <row r="182" spans="2:17">
      <c r="B182" s="40" t="s">
        <v>200</v>
      </c>
      <c r="C182" s="41" t="s">
        <v>201</v>
      </c>
      <c r="D182">
        <v>107800</v>
      </c>
      <c r="E182">
        <v>87370</v>
      </c>
      <c r="F182">
        <v>75900</v>
      </c>
      <c r="G182">
        <v>93000</v>
      </c>
      <c r="H182">
        <v>94100</v>
      </c>
      <c r="I182">
        <v>100100</v>
      </c>
      <c r="J182">
        <v>100600</v>
      </c>
      <c r="K182">
        <v>81000</v>
      </c>
      <c r="L182">
        <v>109300</v>
      </c>
      <c r="M182" s="97">
        <f>M195*(1-M201/100)*1000</f>
        <v>35448</v>
      </c>
      <c r="N182" s="97">
        <f t="shared" ref="N182:Q182" si="93">N195*(1-N201/100)*1000</f>
        <v>40204.5</v>
      </c>
      <c r="O182" s="97">
        <f t="shared" si="93"/>
        <v>13562.317999999996</v>
      </c>
      <c r="P182" s="97">
        <f t="shared" si="93"/>
        <v>13725.065815999993</v>
      </c>
      <c r="Q182" s="97">
        <f t="shared" si="93"/>
        <v>13889.766605791996</v>
      </c>
    </row>
    <row r="183" spans="2:17">
      <c r="B183" s="39" t="s">
        <v>202</v>
      </c>
      <c r="C183" s="42" t="s">
        <v>203</v>
      </c>
      <c r="D183">
        <v>6801</v>
      </c>
      <c r="E183">
        <v>3636</v>
      </c>
      <c r="F183">
        <v>3817.8</v>
      </c>
      <c r="G183">
        <v>3894.1559999999981</v>
      </c>
      <c r="H183">
        <v>86849.4</v>
      </c>
      <c r="I183">
        <v>18045</v>
      </c>
      <c r="J183">
        <v>23585.973344510898</v>
      </c>
      <c r="K183">
        <v>46929.904611943362</v>
      </c>
      <c r="L183" s="85">
        <v>1046.0791334532719</v>
      </c>
      <c r="M183" s="129">
        <f>(M195*1000-M182-M197*1000)*(L183/(L184+L183))</f>
        <v>4948.5871604962376</v>
      </c>
      <c r="N183" s="91">
        <f>(N195*1000-N182-N197*1000)*(M183/(M184+M183))</f>
        <v>8730.7123264073798</v>
      </c>
      <c r="O183" s="91">
        <f t="shared" ref="O183:Q183" si="94">(O195*1000-O182-O197*1000)*(N183/(N184+N183))</f>
        <v>11359.903981274059</v>
      </c>
      <c r="P183" s="91">
        <f t="shared" si="94"/>
        <v>11496.222829049339</v>
      </c>
      <c r="Q183" s="91">
        <f t="shared" si="94"/>
        <v>11634.177502997936</v>
      </c>
    </row>
    <row r="184" spans="2:17">
      <c r="B184" s="43" t="s">
        <v>204</v>
      </c>
      <c r="C184" s="42" t="s">
        <v>205</v>
      </c>
      <c r="D184">
        <v>1455</v>
      </c>
      <c r="E184">
        <v>1484.1000000000001</v>
      </c>
      <c r="F184">
        <v>1513.7820000000002</v>
      </c>
      <c r="G184">
        <v>1544.0576400000002</v>
      </c>
      <c r="H184">
        <v>1574.9387928000003</v>
      </c>
      <c r="I184">
        <v>9099.8029999999999</v>
      </c>
      <c r="J184">
        <v>11894.026655489073</v>
      </c>
      <c r="K184">
        <v>23665.995388056312</v>
      </c>
      <c r="L184" s="85">
        <v>527.52086654671575</v>
      </c>
      <c r="M184" s="129">
        <f>(M195*1000-M182-M197*1000)-M183</f>
        <v>2495.4928395037496</v>
      </c>
      <c r="N184" s="91">
        <f>(N195*1000-N182-N197*1000)-N183</f>
        <v>4402.7576735926214</v>
      </c>
      <c r="O184" s="91">
        <f t="shared" ref="O184:Q184" si="95">(O195*1000-O182-O197*1000)-O183</f>
        <v>5728.6166987259421</v>
      </c>
      <c r="P184" s="91">
        <f t="shared" si="95"/>
        <v>5797.3600991106487</v>
      </c>
      <c r="Q184" s="91">
        <f t="shared" si="95"/>
        <v>5866.9284202999806</v>
      </c>
    </row>
    <row r="185" spans="2:17">
      <c r="B185" s="39"/>
      <c r="C185" s="39"/>
      <c r="H185" s="306">
        <f>H24</f>
        <v>118.8</v>
      </c>
      <c r="I185" s="306">
        <f t="shared" ref="I185:Q185" si="96">I24</f>
        <v>113.5</v>
      </c>
      <c r="J185" s="306">
        <f t="shared" si="96"/>
        <v>109.5</v>
      </c>
      <c r="K185" s="306">
        <f t="shared" si="96"/>
        <v>107.3</v>
      </c>
      <c r="L185" s="306">
        <f t="shared" si="96"/>
        <v>110.4</v>
      </c>
      <c r="M185" s="306">
        <f t="shared" si="96"/>
        <v>93</v>
      </c>
      <c r="N185" s="306">
        <f t="shared" si="96"/>
        <v>114.4</v>
      </c>
      <c r="O185" s="306">
        <f t="shared" si="96"/>
        <v>70.293760123985479</v>
      </c>
      <c r="P185" s="306">
        <f t="shared" si="96"/>
        <v>99.134405646506295</v>
      </c>
      <c r="Q185" s="306">
        <f t="shared" si="96"/>
        <v>121.18994708275288</v>
      </c>
    </row>
    <row r="186" spans="2:17" ht="15.75">
      <c r="B186" s="7" t="s">
        <v>206</v>
      </c>
      <c r="C186" s="42" t="s">
        <v>207</v>
      </c>
      <c r="D186" s="94">
        <f>Trade!V8</f>
        <v>144.5</v>
      </c>
      <c r="E186" s="94">
        <f>Trade!W8</f>
        <v>122.6</v>
      </c>
      <c r="F186" s="94">
        <f>Trade!X8</f>
        <v>121</v>
      </c>
      <c r="G186" s="94">
        <f>Trade!Y8</f>
        <v>165.3</v>
      </c>
      <c r="H186" s="94">
        <f>Trade!Z8</f>
        <v>139.6</v>
      </c>
      <c r="I186" s="94">
        <f>Trade!AA8</f>
        <v>136</v>
      </c>
      <c r="J186" s="94">
        <f>Trade!AB8</f>
        <v>202.6</v>
      </c>
      <c r="K186" s="94">
        <f>Trade!AC8</f>
        <v>194.7</v>
      </c>
      <c r="L186" s="94">
        <f>Trade!AD8</f>
        <v>198.6</v>
      </c>
      <c r="M186" s="94">
        <f>Trade!AE8</f>
        <v>170.1</v>
      </c>
      <c r="N186" s="94">
        <f>Trade!AF8</f>
        <v>142.1</v>
      </c>
      <c r="O186" s="94">
        <f>Trade!AG8</f>
        <v>146.52370712066906</v>
      </c>
      <c r="P186" s="94">
        <f>Trade!AH8</f>
        <v>163.02974845663502</v>
      </c>
      <c r="Q186" s="94">
        <f>Trade!AI8</f>
        <v>138.39295028526064</v>
      </c>
    </row>
    <row r="187" spans="2:17">
      <c r="B187" s="39"/>
      <c r="C187" s="42" t="s">
        <v>208</v>
      </c>
      <c r="D187" s="99">
        <f>(14477+3354+2940)/1000</f>
        <v>20.771000000000001</v>
      </c>
      <c r="E187" s="100">
        <f>(10909+143+291+162)/1000</f>
        <v>11.505000000000001</v>
      </c>
      <c r="F187" s="99">
        <f>E187</f>
        <v>11.505000000000001</v>
      </c>
      <c r="G187" s="99">
        <v>19.5</v>
      </c>
      <c r="H187" s="99">
        <v>22</v>
      </c>
      <c r="I187" s="101">
        <f>36.1+1.3</f>
        <v>37.4</v>
      </c>
      <c r="J187" s="102">
        <v>39</v>
      </c>
      <c r="K187" s="102">
        <f>J187</f>
        <v>39</v>
      </c>
      <c r="L187" s="102">
        <f t="shared" ref="L187:Q188" si="97">K187</f>
        <v>39</v>
      </c>
      <c r="M187" s="102">
        <f t="shared" si="97"/>
        <v>39</v>
      </c>
      <c r="N187" s="103">
        <f t="shared" si="97"/>
        <v>39</v>
      </c>
      <c r="O187" s="102">
        <f t="shared" si="97"/>
        <v>39</v>
      </c>
      <c r="P187" s="102">
        <f t="shared" si="97"/>
        <v>39</v>
      </c>
      <c r="Q187" s="102">
        <f t="shared" si="97"/>
        <v>39</v>
      </c>
    </row>
    <row r="188" spans="2:17">
      <c r="B188" s="43" t="s">
        <v>204</v>
      </c>
      <c r="C188" s="42" t="s">
        <v>209</v>
      </c>
      <c r="D188" s="99">
        <f>(514+41+19+14728+378+115+31+1702+22)/1000</f>
        <v>17.55</v>
      </c>
      <c r="E188" s="100">
        <f>(40+10+35+3+13144+107+87+1094)/1000</f>
        <v>14.52</v>
      </c>
      <c r="F188" s="93">
        <f>E188</f>
        <v>14.52</v>
      </c>
      <c r="G188" s="93">
        <f>F188</f>
        <v>14.52</v>
      </c>
      <c r="H188" s="100">
        <f>0.6+11+4.5+0.1+1.5</f>
        <v>17.700000000000003</v>
      </c>
      <c r="I188" s="130">
        <f>H188</f>
        <v>17.700000000000003</v>
      </c>
      <c r="J188" s="130">
        <f t="shared" ref="J188:K188" si="98">I188</f>
        <v>17.700000000000003</v>
      </c>
      <c r="K188" s="130">
        <f t="shared" si="98"/>
        <v>17.700000000000003</v>
      </c>
      <c r="L188" s="130">
        <f t="shared" si="97"/>
        <v>17.700000000000003</v>
      </c>
      <c r="M188" s="130">
        <f t="shared" si="97"/>
        <v>17.700000000000003</v>
      </c>
      <c r="N188" s="130">
        <f t="shared" si="97"/>
        <v>17.700000000000003</v>
      </c>
      <c r="O188" s="130">
        <f t="shared" si="97"/>
        <v>17.700000000000003</v>
      </c>
      <c r="P188" s="130">
        <f t="shared" si="97"/>
        <v>17.700000000000003</v>
      </c>
      <c r="Q188" s="130">
        <f t="shared" si="97"/>
        <v>17.700000000000003</v>
      </c>
    </row>
    <row r="189" spans="2:17">
      <c r="B189" s="39"/>
      <c r="C189" s="39"/>
    </row>
    <row r="190" spans="2:17">
      <c r="B190" s="39"/>
      <c r="C190" s="42" t="s">
        <v>210</v>
      </c>
      <c r="D190" s="307">
        <f t="shared" ref="D190:Q192" si="99">D186/D182*1000</f>
        <v>1.3404452690166977</v>
      </c>
      <c r="E190" s="307">
        <f t="shared" si="99"/>
        <v>1.403227652512304</v>
      </c>
      <c r="F190" s="307">
        <f t="shared" si="99"/>
        <v>1.5942028985507246</v>
      </c>
      <c r="G190" s="307">
        <f t="shared" si="99"/>
        <v>1.7774193548387098</v>
      </c>
      <c r="H190" s="307">
        <f t="shared" si="99"/>
        <v>1.4835281615302869</v>
      </c>
      <c r="I190" s="307">
        <f t="shared" si="99"/>
        <v>1.3586413586413586</v>
      </c>
      <c r="J190" s="307">
        <f t="shared" si="99"/>
        <v>2.0139165009940361</v>
      </c>
      <c r="K190" s="307">
        <f t="shared" si="99"/>
        <v>2.4037037037037035</v>
      </c>
      <c r="L190" s="307">
        <f t="shared" si="99"/>
        <v>1.8170173833485819</v>
      </c>
      <c r="M190" s="307">
        <f t="shared" si="99"/>
        <v>4.798578199052133</v>
      </c>
      <c r="N190" s="307">
        <f t="shared" si="99"/>
        <v>3.5344302254722728</v>
      </c>
      <c r="O190" s="307">
        <f t="shared" si="99"/>
        <v>10.80373628760726</v>
      </c>
      <c r="P190" s="307">
        <f t="shared" si="99"/>
        <v>11.87824893827344</v>
      </c>
      <c r="Q190" s="307">
        <f t="shared" si="99"/>
        <v>9.9636627607227872</v>
      </c>
    </row>
    <row r="191" spans="2:17">
      <c r="B191" s="39"/>
      <c r="C191" s="42" t="s">
        <v>211</v>
      </c>
      <c r="D191" s="307">
        <f t="shared" si="99"/>
        <v>3.0541096897515074</v>
      </c>
      <c r="E191" s="307">
        <f t="shared" si="99"/>
        <v>3.1641914191419147</v>
      </c>
      <c r="F191" s="307">
        <f t="shared" si="99"/>
        <v>3.0135156372780134</v>
      </c>
      <c r="G191" s="308">
        <f>F191*G190/F190</f>
        <v>3.3598490033335136</v>
      </c>
      <c r="H191" s="308">
        <f t="shared" ref="H191:Q191" si="100">G191*H190/G190</f>
        <v>2.8043076054986704</v>
      </c>
      <c r="I191" s="308">
        <f t="shared" si="100"/>
        <v>2.5682345600051657</v>
      </c>
      <c r="J191" s="308">
        <f t="shared" si="100"/>
        <v>3.806898653512043</v>
      </c>
      <c r="K191" s="308">
        <f t="shared" si="100"/>
        <v>4.5437119108736264</v>
      </c>
      <c r="L191" s="308">
        <f t="shared" si="100"/>
        <v>3.434701005063256</v>
      </c>
      <c r="M191" s="308">
        <f t="shared" si="100"/>
        <v>9.0707340029872991</v>
      </c>
      <c r="N191" s="308">
        <f t="shared" si="100"/>
        <v>6.6811199270880328</v>
      </c>
      <c r="O191" s="308">
        <f t="shared" si="100"/>
        <v>20.422261352886679</v>
      </c>
      <c r="P191" s="308">
        <f t="shared" si="100"/>
        <v>22.453408503716272</v>
      </c>
      <c r="Q191" s="308">
        <f t="shared" si="100"/>
        <v>18.834273580419897</v>
      </c>
    </row>
    <row r="192" spans="2:17">
      <c r="B192" s="39"/>
      <c r="C192" s="42" t="s">
        <v>212</v>
      </c>
      <c r="D192" s="307">
        <f t="shared" si="99"/>
        <v>12.061855670103093</v>
      </c>
      <c r="E192" s="307">
        <f t="shared" si="99"/>
        <v>9.7837072973519295</v>
      </c>
      <c r="F192" s="307">
        <f t="shared" si="99"/>
        <v>9.5918698993646352</v>
      </c>
      <c r="G192" s="308">
        <f t="shared" ref="G192:Q192" si="101">F192*G190/F190</f>
        <v>10.694231721523288</v>
      </c>
      <c r="H192" s="308">
        <f t="shared" si="101"/>
        <v>8.9259711736682359</v>
      </c>
      <c r="I192" s="308">
        <f t="shared" si="101"/>
        <v>8.1745624498808223</v>
      </c>
      <c r="J192" s="308">
        <f t="shared" si="101"/>
        <v>12.117168450314296</v>
      </c>
      <c r="K192" s="308">
        <f t="shared" si="101"/>
        <v>14.462408281597565</v>
      </c>
      <c r="L192" s="308">
        <f t="shared" si="101"/>
        <v>10.932481907922593</v>
      </c>
      <c r="M192" s="308">
        <f t="shared" si="101"/>
        <v>28.871693702902277</v>
      </c>
      <c r="N192" s="308">
        <f t="shared" si="101"/>
        <v>21.265671340788469</v>
      </c>
      <c r="O192" s="308">
        <f t="shared" si="101"/>
        <v>65.003038817694289</v>
      </c>
      <c r="P192" s="308">
        <f t="shared" si="101"/>
        <v>71.468078844770559</v>
      </c>
      <c r="Q192" s="308">
        <f t="shared" si="101"/>
        <v>59.948552978343727</v>
      </c>
    </row>
    <row r="193" spans="2:17">
      <c r="B193" s="39"/>
      <c r="C193" s="39"/>
    </row>
    <row r="194" spans="2:17">
      <c r="B194" s="39"/>
      <c r="C194" s="42" t="s">
        <v>213</v>
      </c>
      <c r="D194" s="94">
        <f>Assumptions!V47</f>
        <v>276.10000000000002</v>
      </c>
      <c r="E194" s="94">
        <f>Assumptions!W47</f>
        <v>284.7</v>
      </c>
      <c r="F194" s="94">
        <f>Assumptions!X47</f>
        <v>385.6</v>
      </c>
      <c r="G194" s="94">
        <f>Assumptions!Y47</f>
        <v>300.3</v>
      </c>
      <c r="H194" s="94">
        <f>Assumptions!Z47</f>
        <v>403</v>
      </c>
      <c r="I194" s="94">
        <f>Assumptions!AA47</f>
        <v>395.7</v>
      </c>
      <c r="J194" s="94">
        <f>Assumptions!AB47</f>
        <v>388.8</v>
      </c>
      <c r="K194" s="94">
        <f>Assumptions!AC47</f>
        <v>404.7</v>
      </c>
      <c r="L194" s="94">
        <f>Assumptions!AD47</f>
        <v>344.4</v>
      </c>
      <c r="M194" s="94">
        <f>Assumptions!AE47</f>
        <v>253.2</v>
      </c>
      <c r="N194" s="94">
        <f>Assumptions!AF47</f>
        <v>382.9</v>
      </c>
      <c r="O194" s="94">
        <f>Assumptions!AG47</f>
        <v>387.4948</v>
      </c>
      <c r="P194" s="94">
        <f>Assumptions!AH47</f>
        <v>392.14473759999998</v>
      </c>
      <c r="Q194" s="94">
        <f>Assumptions!AI47</f>
        <v>396.8504744512</v>
      </c>
    </row>
    <row r="195" spans="2:17">
      <c r="B195" s="39"/>
      <c r="C195" s="44" t="s">
        <v>214</v>
      </c>
      <c r="D195" s="94">
        <f t="shared" ref="D195:H195" si="102">D194*0.34</f>
        <v>93.874000000000009</v>
      </c>
      <c r="E195" s="94">
        <f t="shared" si="102"/>
        <v>96.798000000000002</v>
      </c>
      <c r="F195" s="94">
        <f t="shared" si="102"/>
        <v>131.10400000000001</v>
      </c>
      <c r="G195" s="94">
        <f t="shared" si="102"/>
        <v>102.10200000000002</v>
      </c>
      <c r="H195" s="94">
        <f t="shared" si="102"/>
        <v>137.02000000000001</v>
      </c>
      <c r="I195" s="94">
        <f>I194*0.34</f>
        <v>134.53800000000001</v>
      </c>
      <c r="J195" s="94">
        <f t="shared" ref="J195:P195" si="103">J194*0.35</f>
        <v>136.07999999999998</v>
      </c>
      <c r="K195" s="94">
        <f t="shared" si="103"/>
        <v>141.64499999999998</v>
      </c>
      <c r="L195" s="94">
        <f t="shared" si="103"/>
        <v>120.53999999999998</v>
      </c>
      <c r="M195" s="94">
        <f t="shared" si="103"/>
        <v>88.61999999999999</v>
      </c>
      <c r="N195" s="94">
        <f t="shared" si="103"/>
        <v>134.01499999999999</v>
      </c>
      <c r="O195" s="94">
        <f t="shared" si="103"/>
        <v>135.62317999999999</v>
      </c>
      <c r="P195" s="94">
        <f t="shared" si="103"/>
        <v>137.25065815999997</v>
      </c>
      <c r="Q195" s="94">
        <f>Q194*0.35</f>
        <v>138.89766605791999</v>
      </c>
    </row>
    <row r="196" spans="2:17">
      <c r="B196" s="39"/>
      <c r="C196" s="42" t="s">
        <v>215</v>
      </c>
      <c r="D196" s="94">
        <f>(D182+D183+D184)/1000</f>
        <v>116.056</v>
      </c>
      <c r="E196" s="94">
        <f t="shared" ref="E196:Q196" si="104">(E182+E183+E184)/1000</f>
        <v>92.490100000000012</v>
      </c>
      <c r="F196" s="94">
        <f t="shared" si="104"/>
        <v>81.231582000000003</v>
      </c>
      <c r="G196" s="94">
        <f t="shared" si="104"/>
        <v>98.438213640000001</v>
      </c>
      <c r="H196" s="94">
        <f t="shared" si="104"/>
        <v>182.52433879279999</v>
      </c>
      <c r="I196" s="94">
        <f t="shared" si="104"/>
        <v>127.244803</v>
      </c>
      <c r="J196" s="94">
        <f t="shared" si="104"/>
        <v>136.07999999999998</v>
      </c>
      <c r="K196" s="94">
        <f t="shared" si="104"/>
        <v>151.59589999999969</v>
      </c>
      <c r="L196" s="94">
        <f t="shared" si="104"/>
        <v>110.8736</v>
      </c>
      <c r="M196" s="94">
        <f t="shared" si="104"/>
        <v>42.892079999999986</v>
      </c>
      <c r="N196" s="94">
        <f t="shared" si="104"/>
        <v>53.337969999999999</v>
      </c>
      <c r="O196" s="94">
        <f t="shared" si="104"/>
        <v>30.650838679999996</v>
      </c>
      <c r="P196" s="94">
        <f t="shared" si="104"/>
        <v>31.018648744159982</v>
      </c>
      <c r="Q196" s="94">
        <f t="shared" si="104"/>
        <v>31.390872529089911</v>
      </c>
    </row>
    <row r="197" spans="2:17">
      <c r="B197" s="39"/>
      <c r="C197" s="45" t="s">
        <v>216</v>
      </c>
      <c r="D197" s="309">
        <f>D195-D196</f>
        <v>-22.181999999999988</v>
      </c>
      <c r="E197" s="309">
        <f t="shared" ref="E197:K197" si="105">E195-E196</f>
        <v>4.3078999999999894</v>
      </c>
      <c r="F197" s="309">
        <f t="shared" si="105"/>
        <v>49.87241800000001</v>
      </c>
      <c r="G197" s="309">
        <f t="shared" si="105"/>
        <v>3.6637863600000173</v>
      </c>
      <c r="H197" s="309">
        <f t="shared" si="105"/>
        <v>-45.504338792799985</v>
      </c>
      <c r="I197" s="309">
        <f t="shared" si="105"/>
        <v>7.2931970000000064</v>
      </c>
      <c r="J197" s="309">
        <f t="shared" si="105"/>
        <v>0</v>
      </c>
      <c r="K197" s="309">
        <f t="shared" si="105"/>
        <v>-9.9508999999997059</v>
      </c>
      <c r="L197" s="98">
        <f>(L195-L182/1000)*L202/100</f>
        <v>9.6663999999999835</v>
      </c>
      <c r="M197" s="98">
        <f t="shared" ref="M197:Q197" si="106">(M195-M182/1000)*M202/100</f>
        <v>45.727919999999997</v>
      </c>
      <c r="N197" s="98">
        <f t="shared" si="106"/>
        <v>80.677030000000002</v>
      </c>
      <c r="O197" s="98">
        <f t="shared" si="106"/>
        <v>104.97234132</v>
      </c>
      <c r="P197" s="98">
        <f t="shared" si="106"/>
        <v>106.23200941583998</v>
      </c>
      <c r="Q197" s="98">
        <f t="shared" si="106"/>
        <v>107.50679352883007</v>
      </c>
    </row>
    <row r="198" spans="2:17">
      <c r="B198" s="39"/>
      <c r="C198" s="42" t="s">
        <v>217</v>
      </c>
      <c r="D198">
        <v>-53.580980073933851</v>
      </c>
      <c r="E198">
        <v>33</v>
      </c>
      <c r="F198">
        <v>30</v>
      </c>
      <c r="G198">
        <v>35.658664450307988</v>
      </c>
      <c r="H198">
        <v>26.955504643476011</v>
      </c>
      <c r="I198">
        <v>24.150363257118858</v>
      </c>
      <c r="J198">
        <v>37.021371504080534</v>
      </c>
      <c r="K198">
        <v>56</v>
      </c>
      <c r="L198">
        <v>80</v>
      </c>
      <c r="M198">
        <v>80</v>
      </c>
      <c r="N198" s="91">
        <v>80</v>
      </c>
      <c r="O198">
        <v>80</v>
      </c>
      <c r="P198">
        <v>80</v>
      </c>
      <c r="Q198">
        <v>80</v>
      </c>
    </row>
    <row r="199" spans="2:17">
      <c r="B199" s="39"/>
      <c r="C199" s="42" t="s">
        <v>218</v>
      </c>
      <c r="D199" s="260">
        <v>0.30524295202553042</v>
      </c>
      <c r="E199" s="260">
        <v>0.30524295202553042</v>
      </c>
      <c r="F199" s="260">
        <v>0.31524295202553043</v>
      </c>
      <c r="G199" s="260">
        <v>0.39</v>
      </c>
      <c r="H199" s="260">
        <v>0.33</v>
      </c>
      <c r="I199" s="260">
        <v>0.31</v>
      </c>
      <c r="J199" s="260">
        <v>0.29599999999999999</v>
      </c>
      <c r="K199" s="260">
        <v>0.29599999999999999</v>
      </c>
      <c r="L199" s="260">
        <v>0.29599999999999999</v>
      </c>
      <c r="M199" s="260">
        <v>0.29599999999999999</v>
      </c>
      <c r="N199" s="260">
        <v>0.29599999999999999</v>
      </c>
      <c r="O199" s="260">
        <v>0.29599999999999999</v>
      </c>
      <c r="P199" s="260">
        <v>0.29599999999999999</v>
      </c>
      <c r="Q199" s="260">
        <v>0.29599999999999999</v>
      </c>
    </row>
    <row r="200" spans="2:17">
      <c r="B200" s="39"/>
      <c r="C200" s="42"/>
      <c r="D200" s="309"/>
      <c r="E200" s="309"/>
      <c r="F200" s="309"/>
      <c r="G200" s="309"/>
      <c r="H200" s="309"/>
      <c r="I200" s="309"/>
      <c r="J200" s="309"/>
      <c r="K200" s="309"/>
    </row>
    <row r="201" spans="2:17">
      <c r="B201" s="39"/>
      <c r="C201" s="42" t="s">
        <v>219</v>
      </c>
      <c r="D201" s="94">
        <f t="shared" ref="D201:K201" si="107">(1-(D182/1000)/D195)*100</f>
        <v>-14.834778532927096</v>
      </c>
      <c r="E201" s="94">
        <f t="shared" si="107"/>
        <v>9.7398706584846728</v>
      </c>
      <c r="F201" s="94">
        <f t="shared" si="107"/>
        <v>42.107029533805232</v>
      </c>
      <c r="G201" s="94">
        <f t="shared" si="107"/>
        <v>8.9146147969677578</v>
      </c>
      <c r="H201" s="94">
        <f>(1-(H182/1000)/H195)*100</f>
        <v>31.323894321996804</v>
      </c>
      <c r="I201" s="94">
        <f t="shared" si="107"/>
        <v>25.597229035662792</v>
      </c>
      <c r="J201" s="94">
        <f t="shared" si="107"/>
        <v>26.072898295120517</v>
      </c>
      <c r="K201" s="94">
        <f t="shared" si="107"/>
        <v>42.8147834374669</v>
      </c>
      <c r="L201" s="94">
        <f>K201</f>
        <v>42.8147834374669</v>
      </c>
      <c r="M201" s="96">
        <v>60</v>
      </c>
      <c r="N201" s="96">
        <v>70</v>
      </c>
      <c r="O201" s="96">
        <v>90</v>
      </c>
      <c r="P201" s="96">
        <v>90</v>
      </c>
      <c r="Q201" s="96">
        <v>90</v>
      </c>
    </row>
    <row r="202" spans="2:17">
      <c r="B202" s="39"/>
      <c r="C202" s="42" t="s">
        <v>220</v>
      </c>
      <c r="D202" s="94">
        <v>92.297926977376392</v>
      </c>
      <c r="E202">
        <v>85</v>
      </c>
      <c r="F202">
        <v>85</v>
      </c>
      <c r="G202">
        <v>85</v>
      </c>
      <c r="H202">
        <v>95</v>
      </c>
      <c r="I202">
        <v>95</v>
      </c>
      <c r="J202">
        <v>95</v>
      </c>
      <c r="K202">
        <v>86</v>
      </c>
      <c r="L202" s="92">
        <v>86</v>
      </c>
      <c r="M202">
        <v>86</v>
      </c>
      <c r="N202">
        <v>86</v>
      </c>
      <c r="O202">
        <v>86</v>
      </c>
      <c r="P202">
        <v>86</v>
      </c>
      <c r="Q202">
        <v>86</v>
      </c>
    </row>
    <row r="203" spans="2:17">
      <c r="B203" s="7" t="s">
        <v>221</v>
      </c>
      <c r="C203" s="32" t="s">
        <v>222</v>
      </c>
      <c r="D203" s="310">
        <f>D186*Household!V2</f>
        <v>890.77025000000003</v>
      </c>
      <c r="E203" s="310">
        <f>E186*Household!W2</f>
        <v>960.64455999999996</v>
      </c>
      <c r="F203" s="310">
        <f>F186*Household!X2</f>
        <v>1034.5137</v>
      </c>
      <c r="G203" s="310">
        <f>G186*Household!Y2</f>
        <v>1512.69336</v>
      </c>
      <c r="H203" s="310">
        <f>H186*Household!Z2</f>
        <v>1330.4019599999999</v>
      </c>
      <c r="I203" s="310">
        <f>I186*Household!AA2</f>
        <v>1403.7783999999999</v>
      </c>
      <c r="J203" s="310">
        <f>J186*Household!AB2</f>
        <v>2291.1831399999996</v>
      </c>
      <c r="K203" s="310">
        <f>K186*Household!AC2</f>
        <v>2146.7232599999998</v>
      </c>
      <c r="L203" s="310">
        <f>L186*Household!AD2</f>
        <v>2153.7177000000001</v>
      </c>
      <c r="M203" s="310">
        <f>M186*Household!AE2</f>
        <v>1836.84186</v>
      </c>
      <c r="N203" s="310">
        <f>N186*Household!AF2</f>
        <v>1426.8118899999999</v>
      </c>
      <c r="O203" s="310">
        <f>O186*Household!AG2</f>
        <v>1344.6008796126873</v>
      </c>
      <c r="P203" s="310">
        <f>P186*Household!AH2</f>
        <v>1534.7659646847248</v>
      </c>
      <c r="Q203" s="310">
        <f>Q186*Household!AI2</f>
        <v>1341.3116705981611</v>
      </c>
    </row>
    <row r="205" spans="2:17">
      <c r="E205" s="311">
        <v>89</v>
      </c>
      <c r="F205" s="311">
        <v>97.9</v>
      </c>
      <c r="G205" s="311">
        <v>107.7</v>
      </c>
      <c r="H205" s="311">
        <v>118.5</v>
      </c>
      <c r="I205" s="311">
        <v>130.30000000000001</v>
      </c>
      <c r="J205" s="311">
        <v>131.30000000000001</v>
      </c>
      <c r="K205" s="311">
        <v>132.30000000000001</v>
      </c>
      <c r="L205" s="311">
        <v>133.30000000000001</v>
      </c>
      <c r="M205" s="311">
        <v>134.30000000000001</v>
      </c>
      <c r="N205" s="311">
        <v>135.30000000000001</v>
      </c>
      <c r="O205" s="311">
        <v>136.30000000000001</v>
      </c>
      <c r="P205" s="311">
        <v>137.30000000000001</v>
      </c>
      <c r="Q205" s="311">
        <v>138.30000000000001</v>
      </c>
    </row>
    <row r="206" spans="2:17">
      <c r="E206" s="311"/>
      <c r="F206" s="311">
        <f>F205/E205*100</f>
        <v>110.00000000000001</v>
      </c>
      <c r="G206" s="311">
        <f t="shared" ref="G206:Q206" si="108">G205/F205*100</f>
        <v>110.01021450459652</v>
      </c>
      <c r="H206" s="311">
        <f t="shared" si="108"/>
        <v>110.02785515320335</v>
      </c>
      <c r="I206" s="311">
        <f>I205/H205*100</f>
        <v>109.95780590717301</v>
      </c>
      <c r="J206" s="311">
        <f t="shared" si="108"/>
        <v>100.76745970836531</v>
      </c>
      <c r="K206" s="311">
        <f t="shared" si="108"/>
        <v>100.76161462300077</v>
      </c>
      <c r="L206" s="311">
        <f t="shared" si="108"/>
        <v>100.75585789871504</v>
      </c>
      <c r="M206" s="311">
        <f t="shared" si="108"/>
        <v>100.75018754688672</v>
      </c>
      <c r="N206" s="311">
        <f t="shared" si="108"/>
        <v>100.7446016381236</v>
      </c>
      <c r="O206" s="311">
        <f t="shared" si="108"/>
        <v>100.73909830007391</v>
      </c>
      <c r="P206" s="311">
        <f t="shared" si="108"/>
        <v>100.73367571533383</v>
      </c>
      <c r="Q206" s="311">
        <f t="shared" si="108"/>
        <v>100.72833211944648</v>
      </c>
    </row>
    <row r="207" spans="2:17"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</row>
    <row r="208" spans="2:17">
      <c r="E208" s="311">
        <f t="shared" ref="E208:Q208" si="109">E194/E205*10</f>
        <v>31.988764044943817</v>
      </c>
      <c r="F208" s="311">
        <f t="shared" si="109"/>
        <v>39.387129724208371</v>
      </c>
      <c r="G208" s="311">
        <f t="shared" si="109"/>
        <v>27.883008356545961</v>
      </c>
      <c r="H208" s="311">
        <f t="shared" si="109"/>
        <v>34.008438818565402</v>
      </c>
      <c r="I208" s="311">
        <f t="shared" si="109"/>
        <v>30.368380660015344</v>
      </c>
      <c r="J208" s="311">
        <f t="shared" si="109"/>
        <v>29.61157654226961</v>
      </c>
      <c r="K208" s="311">
        <f t="shared" si="109"/>
        <v>30.589569160997726</v>
      </c>
      <c r="L208" s="311">
        <f t="shared" si="109"/>
        <v>25.836459114778691</v>
      </c>
      <c r="M208" s="311">
        <f t="shared" si="109"/>
        <v>18.85331347728965</v>
      </c>
      <c r="N208" s="311">
        <f t="shared" si="109"/>
        <v>28.300073909830004</v>
      </c>
      <c r="O208" s="311">
        <f t="shared" si="109"/>
        <v>28.429552457813646</v>
      </c>
      <c r="P208" s="311">
        <f t="shared" si="109"/>
        <v>28.561160786598684</v>
      </c>
      <c r="Q208" s="311">
        <f t="shared" si="109"/>
        <v>28.694900538770789</v>
      </c>
    </row>
    <row r="209" spans="5:17"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5:17"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5:17">
      <c r="E211" s="311">
        <f t="shared" ref="E211:Q211" si="110">E194/32*10</f>
        <v>88.96875</v>
      </c>
      <c r="F211" s="311">
        <f t="shared" si="110"/>
        <v>120.5</v>
      </c>
      <c r="G211" s="311">
        <f t="shared" si="110"/>
        <v>93.84375</v>
      </c>
      <c r="H211" s="311">
        <f t="shared" si="110"/>
        <v>125.9375</v>
      </c>
      <c r="I211" s="311">
        <f t="shared" si="110"/>
        <v>123.65625</v>
      </c>
      <c r="J211" s="311">
        <f t="shared" si="110"/>
        <v>121.5</v>
      </c>
      <c r="K211" s="311">
        <f t="shared" si="110"/>
        <v>126.46875</v>
      </c>
      <c r="L211" s="311">
        <f t="shared" si="110"/>
        <v>107.625</v>
      </c>
      <c r="M211" s="311">
        <f t="shared" si="110"/>
        <v>79.125</v>
      </c>
      <c r="N211" s="311">
        <f t="shared" si="110"/>
        <v>119.65625</v>
      </c>
      <c r="O211" s="311">
        <f t="shared" si="110"/>
        <v>121.092125</v>
      </c>
      <c r="P211" s="311">
        <f t="shared" si="110"/>
        <v>122.5452305</v>
      </c>
      <c r="Q211" s="311">
        <f t="shared" si="110"/>
        <v>124.015773266</v>
      </c>
    </row>
    <row r="212" spans="5:17"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5:17">
      <c r="E213" s="311">
        <f t="shared" ref="E213:Q213" si="111">E194/30*10</f>
        <v>94.9</v>
      </c>
      <c r="F213" s="311">
        <f t="shared" si="111"/>
        <v>128.53333333333333</v>
      </c>
      <c r="G213" s="311">
        <f t="shared" si="111"/>
        <v>100.1</v>
      </c>
      <c r="H213" s="311">
        <f t="shared" si="111"/>
        <v>134.33333333333334</v>
      </c>
      <c r="I213" s="311">
        <f t="shared" si="111"/>
        <v>131.9</v>
      </c>
      <c r="J213" s="311">
        <f t="shared" si="111"/>
        <v>129.60000000000002</v>
      </c>
      <c r="K213" s="311">
        <f t="shared" si="111"/>
        <v>134.9</v>
      </c>
      <c r="L213" s="311">
        <f t="shared" si="111"/>
        <v>114.79999999999998</v>
      </c>
      <c r="M213" s="311">
        <f t="shared" si="111"/>
        <v>84.399999999999991</v>
      </c>
      <c r="N213" s="311">
        <f t="shared" si="111"/>
        <v>127.63333333333333</v>
      </c>
      <c r="O213" s="311">
        <f t="shared" si="111"/>
        <v>129.16493333333332</v>
      </c>
      <c r="P213" s="311">
        <f t="shared" si="111"/>
        <v>130.71491253333332</v>
      </c>
      <c r="Q213" s="311">
        <f t="shared" si="111"/>
        <v>132.28349148373331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49CD-CE0D-4EF0-B00C-75C777AA2809}">
  <dimension ref="B1:BI55"/>
  <sheetViews>
    <sheetView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AN25" sqref="AN25:AP25"/>
    </sheetView>
  </sheetViews>
  <sheetFormatPr defaultRowHeight="15"/>
  <cols>
    <col min="1" max="1" width="3.28515625" customWidth="1"/>
    <col min="2" max="2" width="7.5703125" style="29" customWidth="1"/>
    <col min="3" max="3" width="33.42578125" style="32" customWidth="1"/>
    <col min="4" max="17" width="8.42578125" style="32" customWidth="1"/>
    <col min="18" max="21" width="8.28515625" style="32" customWidth="1"/>
    <col min="44" max="44" width="13.42578125" style="32" customWidth="1"/>
    <col min="45" max="61" width="9.140625" style="32"/>
  </cols>
  <sheetData>
    <row r="1" spans="2:61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</row>
    <row r="2" spans="2:61">
      <c r="B2" s="25"/>
      <c r="C2" s="25" t="s">
        <v>592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</row>
    <row r="3" spans="2:61" ht="18.75">
      <c r="B3" s="7" t="s">
        <v>593</v>
      </c>
      <c r="C3" s="19" t="s">
        <v>1165</v>
      </c>
      <c r="D3" s="289">
        <v>36</v>
      </c>
      <c r="E3" s="289">
        <v>34.6</v>
      </c>
      <c r="F3" s="289">
        <v>27.7</v>
      </c>
      <c r="G3" s="289">
        <v>27.676299999999998</v>
      </c>
      <c r="H3" s="289">
        <v>30.012700000000002</v>
      </c>
      <c r="I3" s="289">
        <v>35.602400000000003</v>
      </c>
      <c r="J3" s="289">
        <v>32.924599999999998</v>
      </c>
      <c r="K3" s="289">
        <v>35.732199999999999</v>
      </c>
      <c r="L3" s="289">
        <v>38.593599999999995</v>
      </c>
      <c r="M3" s="394">
        <v>39.540999999999997</v>
      </c>
      <c r="N3" s="394">
        <v>44.997999999999998</v>
      </c>
      <c r="O3" s="190">
        <v>47.731999999999999</v>
      </c>
      <c r="P3" s="190">
        <v>58.863</v>
      </c>
      <c r="Q3" s="190">
        <v>59.326999999999998</v>
      </c>
      <c r="R3" s="190">
        <v>61.656999999999996</v>
      </c>
      <c r="S3" s="190">
        <v>68.399000000000001</v>
      </c>
      <c r="T3" s="190">
        <v>72.2</v>
      </c>
      <c r="U3" s="190">
        <v>74.400000000000006</v>
      </c>
      <c r="V3" s="190">
        <v>74.400000000000006</v>
      </c>
      <c r="W3" s="190">
        <v>84.1</v>
      </c>
      <c r="X3" s="190">
        <v>84.1</v>
      </c>
      <c r="Y3" s="190">
        <v>89.6</v>
      </c>
      <c r="Z3" s="190">
        <v>85.4</v>
      </c>
      <c r="AA3" s="190">
        <v>79.900000000000006</v>
      </c>
      <c r="AB3" s="190">
        <v>82</v>
      </c>
      <c r="AC3" s="190">
        <v>103.4</v>
      </c>
      <c r="AD3" s="190">
        <v>120.6</v>
      </c>
      <c r="AE3" s="685">
        <v>134.4</v>
      </c>
      <c r="AF3" s="685">
        <v>154.80000000000001</v>
      </c>
      <c r="AG3" s="353">
        <f>AG5+AG6</f>
        <v>178.45920000000001</v>
      </c>
      <c r="AH3" s="353">
        <f t="shared" ref="AH3:AP3" si="0">AH5+AH6</f>
        <v>203.08556639999998</v>
      </c>
      <c r="AI3" s="353">
        <f t="shared" si="0"/>
        <v>232.96646383967999</v>
      </c>
      <c r="AJ3" s="353">
        <f t="shared" si="0"/>
        <v>262.83607018544598</v>
      </c>
      <c r="AK3" s="353">
        <f t="shared" si="0"/>
        <v>278.00860428620189</v>
      </c>
      <c r="AL3" s="353">
        <f t="shared" si="0"/>
        <v>294.05754746630157</v>
      </c>
      <c r="AM3" s="353">
        <f t="shared" si="0"/>
        <v>311.03355155742207</v>
      </c>
      <c r="AN3" s="353">
        <f t="shared" si="0"/>
        <v>328.99019720273134</v>
      </c>
      <c r="AO3" s="353">
        <f t="shared" si="0"/>
        <v>347.98416327821747</v>
      </c>
      <c r="AP3" s="353">
        <f t="shared" si="0"/>
        <v>368.07540611796816</v>
      </c>
      <c r="AS3" t="s">
        <v>782</v>
      </c>
    </row>
    <row r="4" spans="2:61" ht="18.75">
      <c r="B4" s="7" t="s">
        <v>594</v>
      </c>
      <c r="C4" s="32" t="s">
        <v>595</v>
      </c>
      <c r="D4" s="289"/>
      <c r="E4" s="289"/>
      <c r="F4" s="289"/>
      <c r="G4"/>
      <c r="H4"/>
      <c r="I4"/>
      <c r="J4" s="803">
        <v>100</v>
      </c>
      <c r="K4" s="289">
        <v>118.04233118840109</v>
      </c>
      <c r="L4" s="289">
        <v>137.16424690156148</v>
      </c>
      <c r="M4" s="289">
        <v>141.2394408590105</v>
      </c>
      <c r="N4" s="289">
        <v>167.12738588101689</v>
      </c>
      <c r="O4" s="289">
        <v>162.22222712534568</v>
      </c>
      <c r="P4" s="289">
        <v>151.63620741541897</v>
      </c>
      <c r="Q4" s="289">
        <v>175.32456118743553</v>
      </c>
      <c r="R4" s="289">
        <v>189.83791033372671</v>
      </c>
      <c r="S4" s="289">
        <v>242.58339167190815</v>
      </c>
      <c r="T4" s="289">
        <v>238.8654940919852</v>
      </c>
      <c r="U4" s="289">
        <v>242.72655526743137</v>
      </c>
      <c r="V4" s="94">
        <v>258.4009002907822</v>
      </c>
      <c r="W4">
        <f>(Industry!V9*Industry!W23+Industry!W24*Industry!V10+Industry!V14*Industry!W28+Industry!V7*Industry!W21)/(Industry!V7+Industry!V9+Industry!V10+Industry!V14)*V4/100</f>
        <v>295.53009088185399</v>
      </c>
      <c r="X4">
        <f>(Industry!W9*Industry!X23+Industry!X24*Industry!W10+Industry!W14*Industry!X28+Industry!W7*Industry!X21)/(Industry!W7+Industry!W9+Industry!W10+Industry!W14)*W4/100</f>
        <v>373.94613683368254</v>
      </c>
      <c r="Y4">
        <f>(Industry!X9*Industry!Y23+Industry!Y24*Industry!X10+Industry!X14*Industry!Y28+Industry!X7*Industry!Y21)/(Industry!X7+Industry!X9+Industry!X10+Industry!X14)*X4/100</f>
        <v>419.91300049284655</v>
      </c>
      <c r="Z4">
        <f>(Industry!Y9*Industry!Z23+Industry!Z24*Industry!Y10+Industry!Y14*Industry!Z28+Industry!Y7*Industry!Z21)/(Industry!Y7+Industry!Y9+Industry!Y10+Industry!Y14)*Y4/100</f>
        <v>455.18244019927516</v>
      </c>
      <c r="AA4">
        <f>(Industry!Z9*Industry!AA23+Industry!AA24*Industry!Z10+Industry!Z14*Industry!AA28+Industry!Z7*Industry!AA21)/(Industry!Z7+Industry!Z9+Industry!Z10+Industry!Z14)*Z4/100</f>
        <v>524.57137073110744</v>
      </c>
      <c r="AB4">
        <f>(Industry!AA9*Industry!AB23+Industry!AB24*Industry!AA10+Industry!AA14*Industry!AB28+Industry!AA7*Industry!AB21)/(Industry!AA7+Industry!AA9+Industry!AA10+Industry!AA14)*AA4/100</f>
        <v>614.13373190024413</v>
      </c>
      <c r="AC4">
        <f>(Industry!AB9*Industry!AC23+Industry!AC24*Industry!AB10+Industry!AB14*Industry!AC28+Industry!AB7*Industry!AC21)/(Industry!AB7+Industry!AB9+Industry!AB10+Industry!AB14)*AB4/100</f>
        <v>740.27138557628825</v>
      </c>
      <c r="AD4">
        <f>(Industry!AC9*Industry!AD23+Industry!AD24*Industry!AC10+Industry!AC14*Industry!AD28+Industry!AC7*Industry!AD21)/(Industry!AC7+Industry!AC9+Industry!AC10+Industry!AC14)*AC4/100</f>
        <v>850.60740806378021</v>
      </c>
      <c r="AE4">
        <f>(Industry!AD9*Industry!AE23+Industry!AE24*Industry!AD10+Industry!AD14*Industry!AE28+Industry!AD7*Industry!AE21)/(Industry!AD7+Industry!AD9+Industry!AD10+Industry!AD14)*AD4/100</f>
        <v>902.88223586581637</v>
      </c>
      <c r="AF4">
        <f>(Industry!AE9*Industry!AF23+Industry!AF24*Industry!AE10+Industry!AE14*Industry!AF28+Industry!AE7*Industry!AF21)/(Industry!AE7+Industry!AE9+Industry!AE10+Industry!AE14)*AE4/100</f>
        <v>1017.1199076167698</v>
      </c>
      <c r="AG4">
        <f>(Industry!AF9*Industry!AG23+Industry!AG24*Industry!AF10+Industry!AF14*Industry!AG28+Industry!AF7*Industry!AG21)/(Industry!AF7+Industry!AF9+Industry!AF10+Industry!AF14)*AF4/100</f>
        <v>1442.2762880725586</v>
      </c>
      <c r="AH4">
        <f>(Industry!AG9*Industry!AH23+Industry!AH24*Industry!AG10+Industry!AG14*Industry!AH28+Industry!AG7*Industry!AH21)/(Industry!AG7+Industry!AG9+Industry!AG10+Industry!AG14)*AG4/100</f>
        <v>2181.0947126961428</v>
      </c>
      <c r="AI4">
        <f>(Industry!AH9*Industry!AI23+Industry!AI24*Industry!AH10+Industry!AH14*Industry!AI28+Industry!AH7*Industry!AI21)/(Industry!AH7+Industry!AH9+Industry!AH10+Industry!AH14)*AH4/100</f>
        <v>3072.282984138707</v>
      </c>
      <c r="AJ4">
        <f>(Industry!AI9*Industry!AJ23+Industry!AJ24*Industry!AI10+Industry!AI14*Industry!AJ28+Industry!AI7*Industry!AJ21)/(Industry!AI7+Industry!AI9+Industry!AI10+Industry!AI14)*AI4/100</f>
        <v>4829.5358906038082</v>
      </c>
      <c r="AK4">
        <f>(Industry!AJ9*Industry!AK23+Industry!AK24*Industry!AJ10+Industry!AJ14*Industry!AK28+Industry!AJ7*Industry!AK21)/(Industry!AJ7+Industry!AJ9+Industry!AJ10+Industry!AJ14)*AJ4/100</f>
        <v>6890.8092282703838</v>
      </c>
      <c r="AL4">
        <f>(Industry!AK9*Industry!AL23+Industry!AL24*Industry!AK10+Industry!AK14*Industry!AL28+Industry!AK7*Industry!AL21)/(Industry!AK7+Industry!AK9+Industry!AK10+Industry!AK14)*AK4/100</f>
        <v>9791.4040178353262</v>
      </c>
      <c r="AM4">
        <f>(Industry!AL9*Industry!AM23+Industry!AM24*Industry!AL10+Industry!AL14*Industry!AM28+Industry!AL7*Industry!AM21)/(Industry!AL7+Industry!AL9+Industry!AL10+Industry!AL14)*AL4/100</f>
        <v>14359.334151892468</v>
      </c>
      <c r="AN4">
        <f>(Industry!AM9*Industry!AN23+Industry!AN24*Industry!AM10+Industry!AM14*Industry!AN28+Industry!AM7*Industry!AN21)/(Industry!AM7+Industry!AM9+Industry!AM10+Industry!AM14)*AM4/100</f>
        <v>15578.242161505881</v>
      </c>
      <c r="AO4">
        <f>(Industry!AN9*Industry!AO23+Industry!AO24*Industry!AN10+Industry!AN14*Industry!AO28+Industry!AN7*Industry!AO21)/(Industry!AN7+Industry!AN9+Industry!AN10+Industry!AN14)*AN4/100</f>
        <v>16209.066206087722</v>
      </c>
      <c r="AP4">
        <f>(Industry!AO9*Industry!AP23+Industry!AP24*Industry!AO10+Industry!AO14*Industry!AP28+Industry!AO7*Industry!AP21)/(Industry!AO7+Industry!AO9+Industry!AO10+Industry!AO14)*AO4/100</f>
        <v>21202.481645637476</v>
      </c>
      <c r="AS4" t="s">
        <v>783</v>
      </c>
    </row>
    <row r="5" spans="2:61" ht="18.75">
      <c r="B5" s="7" t="s">
        <v>596</v>
      </c>
      <c r="C5" s="32" t="s">
        <v>1166</v>
      </c>
      <c r="D5" s="289">
        <v>22.8</v>
      </c>
      <c r="E5" s="289">
        <v>21.900000000000002</v>
      </c>
      <c r="F5" s="289">
        <v>16.100000000000001</v>
      </c>
      <c r="G5" s="289">
        <v>14.576299999999998</v>
      </c>
      <c r="H5" s="289">
        <v>17.295900000000003</v>
      </c>
      <c r="I5" s="289">
        <v>23.802400000000002</v>
      </c>
      <c r="J5" s="289">
        <v>21.200299999999999</v>
      </c>
      <c r="K5" s="289">
        <v>23.459799999999998</v>
      </c>
      <c r="L5" s="289">
        <v>26.4757</v>
      </c>
      <c r="M5" s="289">
        <v>25.6036</v>
      </c>
      <c r="N5" s="289">
        <v>30.497500000000002</v>
      </c>
      <c r="O5" s="289">
        <v>33.185600000000001</v>
      </c>
      <c r="P5" s="289">
        <v>42.314800000000005</v>
      </c>
      <c r="Q5" s="289">
        <v>50.800000000000004</v>
      </c>
      <c r="R5" s="289">
        <v>52.396999999999998</v>
      </c>
      <c r="S5" s="289">
        <v>60.425601574078819</v>
      </c>
      <c r="T5" s="190">
        <v>65.5</v>
      </c>
      <c r="U5" s="190">
        <v>67.599999999999994</v>
      </c>
      <c r="V5" s="190">
        <v>68.3</v>
      </c>
      <c r="W5" s="190">
        <v>78.599999999999994</v>
      </c>
      <c r="X5" s="190">
        <v>79.5</v>
      </c>
      <c r="Y5" s="190">
        <v>84.3</v>
      </c>
      <c r="Z5" s="190">
        <v>79.599999999999994</v>
      </c>
      <c r="AA5" s="190">
        <v>73.599999999999994</v>
      </c>
      <c r="AB5" s="190">
        <v>76.3</v>
      </c>
      <c r="AC5" s="190">
        <v>97.3</v>
      </c>
      <c r="AD5" s="190">
        <v>114.1</v>
      </c>
      <c r="AE5" s="685">
        <v>127.7</v>
      </c>
      <c r="AF5" s="685">
        <v>147.4</v>
      </c>
      <c r="AG5" s="353">
        <f>AF5*1.158</f>
        <v>170.6892</v>
      </c>
      <c r="AH5" s="353">
        <f>AG5*1.142</f>
        <v>194.92706639999997</v>
      </c>
      <c r="AI5" s="353">
        <f>AH5*1.1512</f>
        <v>224.40003883967998</v>
      </c>
      <c r="AJ5" s="353">
        <f>AI5*1.1312</f>
        <v>253.84132393544598</v>
      </c>
      <c r="AK5" s="353">
        <f t="shared" ref="AK5:AP5" si="1">AJ5*1.058</f>
        <v>268.56412072370188</v>
      </c>
      <c r="AL5" s="353">
        <f t="shared" si="1"/>
        <v>284.14083972567659</v>
      </c>
      <c r="AM5" s="353">
        <f t="shared" si="1"/>
        <v>300.62100842976582</v>
      </c>
      <c r="AN5" s="353">
        <f t="shared" si="1"/>
        <v>318.05702691869226</v>
      </c>
      <c r="AO5" s="353">
        <f t="shared" si="1"/>
        <v>336.50433447997642</v>
      </c>
      <c r="AP5" s="353">
        <f t="shared" si="1"/>
        <v>356.02158587981506</v>
      </c>
      <c r="AS5" t="s">
        <v>784</v>
      </c>
    </row>
    <row r="6" spans="2:61" ht="18.75">
      <c r="B6" s="7" t="s">
        <v>598</v>
      </c>
      <c r="C6" s="32" t="s">
        <v>599</v>
      </c>
      <c r="D6" s="289">
        <v>13.2</v>
      </c>
      <c r="E6" s="289">
        <v>12.7</v>
      </c>
      <c r="F6" s="289">
        <v>11.6</v>
      </c>
      <c r="G6" s="289">
        <v>13.1</v>
      </c>
      <c r="H6" s="289">
        <v>12.716799999999999</v>
      </c>
      <c r="I6" s="289">
        <v>11.8</v>
      </c>
      <c r="J6" s="289">
        <v>11.724299999999999</v>
      </c>
      <c r="K6" s="289">
        <v>12.272400000000001</v>
      </c>
      <c r="L6" s="289">
        <v>12.117899999999995</v>
      </c>
      <c r="M6" s="289">
        <v>13.937399999999997</v>
      </c>
      <c r="N6" s="289">
        <v>14.5</v>
      </c>
      <c r="O6" s="289">
        <v>14.546700000000001</v>
      </c>
      <c r="P6" s="289">
        <v>14.548199999999994</v>
      </c>
      <c r="Q6" s="289">
        <v>10.4</v>
      </c>
      <c r="R6" s="353">
        <v>9.259999999999998</v>
      </c>
      <c r="S6" s="353">
        <v>7.9733984259211823</v>
      </c>
      <c r="T6" s="353">
        <v>6.7000000000000028</v>
      </c>
      <c r="U6" s="353">
        <v>6.8000000000000114</v>
      </c>
      <c r="V6" s="353">
        <f>V3-V5</f>
        <v>6.1000000000000085</v>
      </c>
      <c r="W6" s="353">
        <f t="shared" ref="W6:AA6" si="2">W3-W5</f>
        <v>5.5</v>
      </c>
      <c r="X6" s="353">
        <f t="shared" si="2"/>
        <v>4.5999999999999943</v>
      </c>
      <c r="Y6" s="353">
        <f t="shared" si="2"/>
        <v>5.2999999999999972</v>
      </c>
      <c r="Z6" s="353">
        <f t="shared" si="2"/>
        <v>5.8000000000000114</v>
      </c>
      <c r="AA6" s="353">
        <f t="shared" si="2"/>
        <v>6.3000000000000114</v>
      </c>
      <c r="AB6" s="353">
        <f>AB3-AB5</f>
        <v>5.7000000000000028</v>
      </c>
      <c r="AC6" s="353">
        <f t="shared" ref="AC6:AD6" si="3">AC3-AC5</f>
        <v>6.1000000000000085</v>
      </c>
      <c r="AD6" s="353">
        <f t="shared" si="3"/>
        <v>6.5</v>
      </c>
      <c r="AE6" s="685">
        <f>AE3-AE5</f>
        <v>6.7000000000000028</v>
      </c>
      <c r="AF6" s="685">
        <f>AF3-AF5</f>
        <v>7.4000000000000057</v>
      </c>
      <c r="AG6" s="353">
        <f t="shared" ref="AG6:AI6" si="4">AF6*1.05</f>
        <v>7.7700000000000067</v>
      </c>
      <c r="AH6" s="353">
        <f t="shared" si="4"/>
        <v>8.1585000000000072</v>
      </c>
      <c r="AI6" s="353">
        <f t="shared" si="4"/>
        <v>8.5664250000000077</v>
      </c>
      <c r="AJ6" s="353">
        <f t="shared" ref="AJ6" si="5">AI6*1.05</f>
        <v>8.9947462500000093</v>
      </c>
      <c r="AK6" s="353">
        <f t="shared" ref="AK6" si="6">AJ6*1.05</f>
        <v>9.444483562500011</v>
      </c>
      <c r="AL6" s="353">
        <f t="shared" ref="AL6" si="7">AK6*1.05</f>
        <v>9.9167077406250126</v>
      </c>
      <c r="AM6" s="353">
        <f t="shared" ref="AM6" si="8">AL6*1.05</f>
        <v>10.412543127656264</v>
      </c>
      <c r="AN6" s="353">
        <f t="shared" ref="AN6" si="9">AM6*1.05</f>
        <v>10.933170284039077</v>
      </c>
      <c r="AO6" s="353">
        <f t="shared" ref="AO6" si="10">AN6*1.05</f>
        <v>11.479828798241032</v>
      </c>
      <c r="AP6" s="353">
        <f t="shared" ref="AP6" si="11">AO6*1.05</f>
        <v>12.053820238153085</v>
      </c>
      <c r="AS6" t="s">
        <v>785</v>
      </c>
    </row>
    <row r="7" spans="2:61" ht="18.75">
      <c r="B7" s="7" t="s">
        <v>600</v>
      </c>
      <c r="C7" s="20" t="s">
        <v>601</v>
      </c>
      <c r="D7" s="289">
        <v>31.551270815074499</v>
      </c>
      <c r="E7" s="289">
        <v>96.111111111111114</v>
      </c>
      <c r="F7" s="289">
        <v>80.057803468208093</v>
      </c>
      <c r="G7" s="1023">
        <v>99.914440433212988</v>
      </c>
      <c r="H7" s="289">
        <v>108.44187987556143</v>
      </c>
      <c r="I7" s="289">
        <v>118.62444898326375</v>
      </c>
      <c r="J7" s="289">
        <v>92.478596948520305</v>
      </c>
      <c r="K7" s="289">
        <v>108.52736251921056</v>
      </c>
      <c r="L7" s="289">
        <v>108.00790323573695</v>
      </c>
      <c r="M7" s="289">
        <v>102.45481116039966</v>
      </c>
      <c r="N7" s="289">
        <v>113.79960041475938</v>
      </c>
      <c r="O7" s="289">
        <v>106.07767098172121</v>
      </c>
      <c r="P7" s="289">
        <v>119.12897555743176</v>
      </c>
      <c r="Q7" s="289">
        <v>107.62710374056945</v>
      </c>
      <c r="R7" s="353">
        <v>103.92738550744181</v>
      </c>
      <c r="S7" s="353">
        <v>110.93468705905252</v>
      </c>
      <c r="T7" s="190">
        <v>105.5</v>
      </c>
      <c r="U7" s="190">
        <v>103</v>
      </c>
      <c r="V7" s="190">
        <v>100</v>
      </c>
      <c r="W7" s="190">
        <v>113</v>
      </c>
      <c r="X7" s="190">
        <v>100.1</v>
      </c>
      <c r="Y7" s="190">
        <f t="shared" ref="Y7:Z7" si="12">Y3/X3*100</f>
        <v>106.53983353151011</v>
      </c>
      <c r="Z7" s="190">
        <f t="shared" si="12"/>
        <v>95.312500000000014</v>
      </c>
      <c r="AA7" s="190">
        <v>99.7</v>
      </c>
      <c r="AB7" s="190">
        <v>103.8</v>
      </c>
      <c r="AC7" s="190">
        <v>126.1</v>
      </c>
      <c r="AD7" s="190">
        <v>116.6</v>
      </c>
      <c r="AE7" s="685">
        <v>111.5</v>
      </c>
      <c r="AF7" s="685">
        <f t="shared" ref="AF7:AI7" si="13">AF3/AE3*100</f>
        <v>115.17857142857144</v>
      </c>
      <c r="AG7" s="353">
        <f>AG3/AF3*100</f>
        <v>115.28372093023256</v>
      </c>
      <c r="AH7" s="353">
        <f t="shared" si="13"/>
        <v>113.7994378547029</v>
      </c>
      <c r="AI7" s="353">
        <f t="shared" si="13"/>
        <v>114.71345205341979</v>
      </c>
      <c r="AJ7" s="353">
        <f t="shared" ref="AJ7" si="14">AJ3/AI3*100</f>
        <v>112.82141895166562</v>
      </c>
      <c r="AK7" s="353">
        <f t="shared" ref="AK7" si="15">AK3/AJ3*100</f>
        <v>105.77262249053214</v>
      </c>
      <c r="AL7" s="353">
        <f t="shared" ref="AL7" si="16">AL3/AK3*100</f>
        <v>105.77282247119868</v>
      </c>
      <c r="AM7" s="353">
        <f t="shared" ref="AM7" si="17">AM3/AL3*100</f>
        <v>105.77302104210263</v>
      </c>
      <c r="AN7" s="353">
        <f t="shared" ref="AN7" si="18">AN3/AM3*100</f>
        <v>105.7732182124391</v>
      </c>
      <c r="AO7" s="353">
        <f t="shared" ref="AO7" si="19">AO3/AN3*100</f>
        <v>105.77341399135416</v>
      </c>
      <c r="AP7" s="353">
        <f t="shared" ref="AP7" si="20">AP3/AO3*100</f>
        <v>105.7736083879448</v>
      </c>
      <c r="AS7" t="s">
        <v>786</v>
      </c>
    </row>
    <row r="8" spans="2:61">
      <c r="B8" s="7"/>
      <c r="C8" s="20"/>
      <c r="D8"/>
      <c r="E8"/>
      <c r="F8"/>
      <c r="G8" s="1021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AE8">
        <f>AE5/AD5</f>
        <v>1.119193689745837</v>
      </c>
      <c r="AF8">
        <f>AF5/AE5</f>
        <v>1.154267815191856</v>
      </c>
    </row>
    <row r="9" spans="2:61">
      <c r="B9" s="7"/>
      <c r="C9" s="20"/>
      <c r="D9"/>
      <c r="E9"/>
      <c r="F9"/>
      <c r="G9" s="1021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AF9">
        <f>AF3/AB3*100</f>
        <v>188.78048780487805</v>
      </c>
    </row>
    <row r="10" spans="2:61">
      <c r="B10" s="7"/>
      <c r="C10" s="20"/>
      <c r="D10"/>
      <c r="E10"/>
      <c r="F10"/>
      <c r="G10" s="1021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</row>
    <row r="11" spans="2:61">
      <c r="D11"/>
      <c r="E11"/>
      <c r="F11"/>
      <c r="G11" s="1021"/>
      <c r="H11" s="1021"/>
      <c r="I11" s="1021"/>
      <c r="J11" s="1021"/>
      <c r="K11" s="1021"/>
      <c r="L11" s="1022"/>
      <c r="M11" s="1022"/>
      <c r="N11" s="1022"/>
      <c r="O11" s="1022"/>
      <c r="P11" s="1022"/>
      <c r="Q11" s="289"/>
      <c r="R11"/>
      <c r="S11"/>
      <c r="T11"/>
      <c r="U11"/>
    </row>
    <row r="12" spans="2:61" ht="18.75">
      <c r="B12" s="7" t="s">
        <v>602</v>
      </c>
      <c r="C12" s="19" t="s">
        <v>603</v>
      </c>
      <c r="D12" s="288">
        <v>124.5</v>
      </c>
      <c r="E12" s="288">
        <v>174.1</v>
      </c>
      <c r="F12" s="288">
        <v>187.6</v>
      </c>
      <c r="G12" s="1023">
        <v>151.4</v>
      </c>
      <c r="H12" s="1023">
        <v>171.6</v>
      </c>
      <c r="I12" s="1023">
        <v>225.9</v>
      </c>
      <c r="J12" s="1023">
        <v>265.5</v>
      </c>
      <c r="K12" s="1023">
        <v>340.6</v>
      </c>
      <c r="L12" s="1022">
        <v>398.4</v>
      </c>
      <c r="M12" s="1024">
        <v>415.4</v>
      </c>
      <c r="N12" s="1024">
        <v>429.2</v>
      </c>
      <c r="O12" s="1025">
        <v>455</v>
      </c>
      <c r="P12" s="1025">
        <v>514.6</v>
      </c>
      <c r="Q12" s="354">
        <v>539.5</v>
      </c>
      <c r="R12" s="354">
        <v>479.3</v>
      </c>
      <c r="S12" s="354">
        <v>512.79999999999995</v>
      </c>
      <c r="T12" s="354">
        <v>545</v>
      </c>
      <c r="U12" s="354">
        <v>556.9</v>
      </c>
      <c r="V12" s="354">
        <v>564.5</v>
      </c>
      <c r="W12" s="354">
        <v>572.9</v>
      </c>
      <c r="X12" s="354">
        <v>594.70000000000005</v>
      </c>
      <c r="Y12" s="354">
        <v>614.5</v>
      </c>
      <c r="Z12" s="354">
        <v>658.1</v>
      </c>
      <c r="AA12" s="354">
        <v>654.70000000000005</v>
      </c>
      <c r="AB12" s="354">
        <v>737.1</v>
      </c>
      <c r="AC12" s="354">
        <v>818.6</v>
      </c>
      <c r="AD12" s="354">
        <v>899.3</v>
      </c>
      <c r="AE12" s="686">
        <v>1020</v>
      </c>
      <c r="AF12" s="686">
        <v>1131.2</v>
      </c>
      <c r="AG12" s="355">
        <f>AG13+AG14</f>
        <v>1258.5824000000002</v>
      </c>
      <c r="AH12" s="355">
        <f t="shared" ref="AH12:AP12" si="21">AH13+AH14</f>
        <v>1396.7094164000002</v>
      </c>
      <c r="AI12" s="355">
        <f t="shared" si="21"/>
        <v>1563.7856292844001</v>
      </c>
      <c r="AJ12" s="355">
        <f t="shared" si="21"/>
        <v>1772.4760953627942</v>
      </c>
      <c r="AK12" s="355">
        <f t="shared" si="21"/>
        <v>1955.198930778025</v>
      </c>
      <c r="AL12" s="355">
        <f t="shared" si="21"/>
        <v>2156.844207151315</v>
      </c>
      <c r="AM12" s="355">
        <f t="shared" si="21"/>
        <v>2379.3758216460456</v>
      </c>
      <c r="AN12" s="355">
        <f t="shared" si="21"/>
        <v>2624.9617148957777</v>
      </c>
      <c r="AO12" s="355">
        <f t="shared" si="21"/>
        <v>2895.9950814334097</v>
      </c>
      <c r="AP12" s="355">
        <f t="shared" si="21"/>
        <v>3195.1177855003789</v>
      </c>
      <c r="AS12" t="s">
        <v>787</v>
      </c>
    </row>
    <row r="13" spans="2:61" ht="18.75">
      <c r="B13" s="7" t="s">
        <v>604</v>
      </c>
      <c r="C13" s="32" t="s">
        <v>597</v>
      </c>
      <c r="D13" s="288">
        <v>93.6</v>
      </c>
      <c r="E13" s="288">
        <v>140.80000000000001</v>
      </c>
      <c r="F13" s="288">
        <v>145.80000000000001</v>
      </c>
      <c r="G13" s="1023">
        <v>122.80000000000001</v>
      </c>
      <c r="H13" s="1023">
        <v>147.1</v>
      </c>
      <c r="I13" s="1023">
        <v>203.70000000000002</v>
      </c>
      <c r="J13" s="1023">
        <v>243.5</v>
      </c>
      <c r="K13" s="1023">
        <v>317.40000000000003</v>
      </c>
      <c r="L13" s="1022">
        <v>380.7</v>
      </c>
      <c r="M13" s="1024">
        <v>391.4</v>
      </c>
      <c r="N13" s="1024">
        <v>406.5</v>
      </c>
      <c r="O13" s="1025">
        <v>443</v>
      </c>
      <c r="P13" s="1025">
        <v>502.90000000000003</v>
      </c>
      <c r="Q13" s="354">
        <v>526.79999999999995</v>
      </c>
      <c r="R13" s="354">
        <v>467.3</v>
      </c>
      <c r="S13" s="354">
        <v>500.8</v>
      </c>
      <c r="T13" s="354">
        <v>533.20000000000005</v>
      </c>
      <c r="U13" s="354">
        <v>545.20000000000005</v>
      </c>
      <c r="V13" s="354">
        <v>553.1</v>
      </c>
      <c r="W13" s="354">
        <v>560.70000000000005</v>
      </c>
      <c r="X13" s="354">
        <v>582.20000000000005</v>
      </c>
      <c r="Y13" s="354">
        <v>602.6</v>
      </c>
      <c r="Z13" s="354">
        <v>635.4</v>
      </c>
      <c r="AA13" s="354">
        <v>634.79999999999995</v>
      </c>
      <c r="AB13" s="354">
        <v>717.1</v>
      </c>
      <c r="AC13" s="354">
        <v>797.1</v>
      </c>
      <c r="AD13" s="354">
        <v>876.7</v>
      </c>
      <c r="AE13" s="686">
        <v>996.1</v>
      </c>
      <c r="AF13" s="686">
        <v>1106.5999999999999</v>
      </c>
      <c r="AG13" s="355">
        <f>AF13*1.114</f>
        <v>1232.7524000000001</v>
      </c>
      <c r="AH13" s="355">
        <f>AG13*1.111</f>
        <v>1369.5879164</v>
      </c>
      <c r="AI13" s="355">
        <f>AH13*1.121</f>
        <v>1535.3080542844</v>
      </c>
      <c r="AJ13" s="355">
        <f>AI13*1.135</f>
        <v>1742.574641612794</v>
      </c>
      <c r="AK13" s="355">
        <f t="shared" ref="AK13:AP13" si="22">AJ13*1.104</f>
        <v>1923.8024043405248</v>
      </c>
      <c r="AL13" s="355">
        <f t="shared" si="22"/>
        <v>2123.8778543919398</v>
      </c>
      <c r="AM13" s="355">
        <f t="shared" si="22"/>
        <v>2344.7611512487015</v>
      </c>
      <c r="AN13" s="355">
        <f t="shared" si="22"/>
        <v>2588.6163109785666</v>
      </c>
      <c r="AO13" s="355">
        <f t="shared" si="22"/>
        <v>2857.832407320338</v>
      </c>
      <c r="AP13" s="355">
        <f t="shared" si="22"/>
        <v>3155.0469776816535</v>
      </c>
      <c r="AS13" t="s">
        <v>788</v>
      </c>
    </row>
    <row r="14" spans="2:61" ht="18.75">
      <c r="B14" s="7" t="s">
        <v>605</v>
      </c>
      <c r="C14" s="32" t="s">
        <v>599</v>
      </c>
      <c r="D14" s="288">
        <v>30.9</v>
      </c>
      <c r="E14" s="288">
        <v>33.299999999999997</v>
      </c>
      <c r="F14" s="288">
        <v>41.8</v>
      </c>
      <c r="G14" s="289">
        <v>28.6</v>
      </c>
      <c r="H14" s="289">
        <v>24.5</v>
      </c>
      <c r="I14" s="289">
        <v>22.2</v>
      </c>
      <c r="J14" s="289">
        <v>22</v>
      </c>
      <c r="K14" s="289">
        <v>23.2</v>
      </c>
      <c r="L14" s="289">
        <v>17.7</v>
      </c>
      <c r="M14" s="190">
        <v>24</v>
      </c>
      <c r="N14" s="190">
        <v>22.7</v>
      </c>
      <c r="O14" s="354">
        <v>12</v>
      </c>
      <c r="P14" s="354">
        <v>11.7</v>
      </c>
      <c r="Q14" s="354">
        <v>12.7</v>
      </c>
      <c r="R14" s="354">
        <v>12</v>
      </c>
      <c r="S14" s="354">
        <v>11.999999999999943</v>
      </c>
      <c r="T14" s="354">
        <v>11.799999999999955</v>
      </c>
      <c r="U14" s="354">
        <v>11.699999999999932</v>
      </c>
      <c r="V14" s="354">
        <f t="shared" ref="V14:AF14" si="23">V12-V13</f>
        <v>11.399999999999977</v>
      </c>
      <c r="W14" s="354">
        <f t="shared" si="23"/>
        <v>12.199999999999932</v>
      </c>
      <c r="X14" s="354">
        <f t="shared" si="23"/>
        <v>12.5</v>
      </c>
      <c r="Y14" s="354">
        <f t="shared" si="23"/>
        <v>11.899999999999977</v>
      </c>
      <c r="Z14" s="354">
        <f t="shared" si="23"/>
        <v>22.700000000000045</v>
      </c>
      <c r="AA14" s="354">
        <f t="shared" si="23"/>
        <v>19.900000000000091</v>
      </c>
      <c r="AB14" s="354">
        <f t="shared" si="23"/>
        <v>20</v>
      </c>
      <c r="AC14" s="354">
        <f t="shared" si="23"/>
        <v>21.5</v>
      </c>
      <c r="AD14" s="354">
        <f t="shared" si="23"/>
        <v>22.599999999999909</v>
      </c>
      <c r="AE14" s="686">
        <f t="shared" si="23"/>
        <v>23.899999999999977</v>
      </c>
      <c r="AF14" s="686">
        <f t="shared" si="23"/>
        <v>24.600000000000136</v>
      </c>
      <c r="AG14" s="355">
        <f t="shared" ref="AG14:AI14" si="24">AF14*1.05</f>
        <v>25.830000000000144</v>
      </c>
      <c r="AH14" s="355">
        <f t="shared" si="24"/>
        <v>27.121500000000154</v>
      </c>
      <c r="AI14" s="355">
        <f t="shared" si="24"/>
        <v>28.477575000000162</v>
      </c>
      <c r="AJ14" s="355">
        <f t="shared" ref="AJ14" si="25">AI14*1.05</f>
        <v>29.901453750000172</v>
      </c>
      <c r="AK14" s="355">
        <f t="shared" ref="AK14" si="26">AJ14*1.05</f>
        <v>31.396526437500182</v>
      </c>
      <c r="AL14" s="355">
        <f t="shared" ref="AL14" si="27">AK14*1.05</f>
        <v>32.966352759375191</v>
      </c>
      <c r="AM14" s="355">
        <f t="shared" ref="AM14" si="28">AL14*1.05</f>
        <v>34.61467039734395</v>
      </c>
      <c r="AN14" s="355">
        <f t="shared" ref="AN14" si="29">AM14*1.05</f>
        <v>36.345403917211151</v>
      </c>
      <c r="AO14" s="355">
        <f t="shared" ref="AO14" si="30">AN14*1.05</f>
        <v>38.162674113071709</v>
      </c>
      <c r="AP14" s="355">
        <f t="shared" ref="AP14" si="31">AO14*1.05</f>
        <v>40.070807818725299</v>
      </c>
      <c r="AS14" t="s">
        <v>789</v>
      </c>
    </row>
    <row r="15" spans="2:61" ht="18.75">
      <c r="B15" s="7" t="s">
        <v>606</v>
      </c>
      <c r="C15" s="20" t="s">
        <v>601</v>
      </c>
      <c r="D15" s="288">
        <v>105.0632911392405</v>
      </c>
      <c r="E15" s="288">
        <v>139.83935742971886</v>
      </c>
      <c r="F15" s="288">
        <v>107.75416427340609</v>
      </c>
      <c r="G15" s="289">
        <v>80.703624733475493</v>
      </c>
      <c r="H15" s="289">
        <v>113.34214002642007</v>
      </c>
      <c r="I15" s="289">
        <v>131.64335664335664</v>
      </c>
      <c r="J15" s="289">
        <v>117.52988047808766</v>
      </c>
      <c r="K15" s="289">
        <v>128.28625235404897</v>
      </c>
      <c r="L15" s="289">
        <v>116.97005284791541</v>
      </c>
      <c r="M15" s="355">
        <v>104.26706827309238</v>
      </c>
      <c r="N15" s="355">
        <v>103.3220991815118</v>
      </c>
      <c r="O15" s="355">
        <v>106.0111835973905</v>
      </c>
      <c r="P15" s="355">
        <v>113.09890109890111</v>
      </c>
      <c r="Q15" s="355">
        <v>104.83870967741935</v>
      </c>
      <c r="R15" s="355">
        <v>88.841519925857284</v>
      </c>
      <c r="S15" s="355">
        <v>106.98935948257875</v>
      </c>
      <c r="T15" s="354">
        <v>104.7</v>
      </c>
      <c r="U15" s="354">
        <v>102.2</v>
      </c>
      <c r="V15" s="354">
        <v>101.4</v>
      </c>
      <c r="W15" s="354">
        <v>101.5</v>
      </c>
      <c r="X15" s="354">
        <v>103.8</v>
      </c>
      <c r="Y15" s="354">
        <v>103.3</v>
      </c>
      <c r="Z15" s="354">
        <v>107.1</v>
      </c>
      <c r="AA15" s="354">
        <v>97.5</v>
      </c>
      <c r="AB15" s="354">
        <v>113</v>
      </c>
      <c r="AC15" s="354">
        <f>AC12/AB12*100</f>
        <v>111.05684439017773</v>
      </c>
      <c r="AD15" s="354">
        <f>AD12/AC12*100</f>
        <v>109.8582946494014</v>
      </c>
      <c r="AE15" s="686">
        <f>AE12/AD12*100</f>
        <v>113.42155009451795</v>
      </c>
      <c r="AF15" s="686">
        <f>AF12/AE12*100</f>
        <v>110.90196078431373</v>
      </c>
      <c r="AG15" s="355">
        <f t="shared" ref="AG15:AI15" si="32">AG12/AF12*100</f>
        <v>111.26082036775107</v>
      </c>
      <c r="AH15" s="355">
        <f t="shared" si="32"/>
        <v>110.97480915035838</v>
      </c>
      <c r="AI15" s="355">
        <f t="shared" si="32"/>
        <v>111.96213120085039</v>
      </c>
      <c r="AJ15" s="355">
        <f t="shared" ref="AJ15" si="33">AJ12/AI12*100</f>
        <v>113.34520935416784</v>
      </c>
      <c r="AK15" s="355">
        <f t="shared" ref="AK15" si="34">AK12/AJ12*100</f>
        <v>110.30890266409097</v>
      </c>
      <c r="AL15" s="355">
        <f t="shared" ref="AL15" si="35">AL12/AK12*100</f>
        <v>110.3132869601688</v>
      </c>
      <c r="AM15" s="355">
        <f t="shared" ref="AM15" si="36">AM12/AL12*100</f>
        <v>110.31746353106526</v>
      </c>
      <c r="AN15" s="355">
        <f t="shared" ref="AN15" si="37">AN12/AM12*100</f>
        <v>110.32144190991386</v>
      </c>
      <c r="AO15" s="355">
        <f t="shared" ref="AO15" si="38">AO12/AN12*100</f>
        <v>110.32523122145395</v>
      </c>
      <c r="AP15" s="355">
        <f t="shared" ref="AP15" si="39">AP12/AO12*100</f>
        <v>110.32884019674904</v>
      </c>
      <c r="AS15" t="s">
        <v>790</v>
      </c>
    </row>
    <row r="16" spans="2:61">
      <c r="B16" s="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AF16">
        <f>AF13/AE13</f>
        <v>1.1109326372854129</v>
      </c>
    </row>
    <row r="17" spans="2:48">
      <c r="B17" s="7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spans="2:48">
      <c r="B18" s="7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2:48">
      <c r="B19" s="7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2:48">
      <c r="B20" s="7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W20" s="725">
        <f>W22-V22</f>
        <v>1759.3000000000011</v>
      </c>
      <c r="X20" s="725">
        <f t="shared" ref="X20:AD20" si="40">X22-W22</f>
        <v>297.09999999999854</v>
      </c>
      <c r="Y20" s="725">
        <f t="shared" si="40"/>
        <v>1554.7000000000007</v>
      </c>
      <c r="Z20" s="725">
        <f t="shared" si="40"/>
        <v>-843.20000000000073</v>
      </c>
      <c r="AA20" s="725">
        <f t="shared" si="40"/>
        <v>-900.89999999999964</v>
      </c>
      <c r="AB20" s="725">
        <f t="shared" si="40"/>
        <v>3140.3000000000011</v>
      </c>
      <c r="AC20" s="725">
        <f t="shared" si="40"/>
        <v>1522.2999999999993</v>
      </c>
      <c r="AD20" s="725">
        <f t="shared" si="40"/>
        <v>3579.5</v>
      </c>
      <c r="AE20" s="725">
        <f t="shared" ref="AE20:AJ20" si="41">AE22-AD22</f>
        <v>2684</v>
      </c>
      <c r="AF20" s="725">
        <f>AF22-AE22</f>
        <v>6193</v>
      </c>
      <c r="AG20" s="725">
        <f>AG22-AF22</f>
        <v>4031.9719999999979</v>
      </c>
      <c r="AH20" s="725">
        <f t="shared" si="41"/>
        <v>6155.9495600000046</v>
      </c>
      <c r="AI20" s="725">
        <f t="shared" si="41"/>
        <v>5600.5092504000058</v>
      </c>
      <c r="AJ20" s="725">
        <f t="shared" si="41"/>
        <v>6851.0531019599948</v>
      </c>
      <c r="AK20" s="725">
        <f>AK22-AJ22</f>
        <v>4188.5778534191995</v>
      </c>
      <c r="AL20" s="725">
        <f t="shared" ref="AL20:AP21" si="42">AL22-AK22</f>
        <v>7690.8870708114264</v>
      </c>
      <c r="AM20" s="725">
        <f t="shared" si="42"/>
        <v>10001.944484228821</v>
      </c>
      <c r="AN20" s="725">
        <f>AN22-AM22</f>
        <v>18086.09277426498</v>
      </c>
      <c r="AO20" s="725">
        <f t="shared" si="42"/>
        <v>22870.113384085271</v>
      </c>
      <c r="AP20" s="725">
        <f t="shared" si="42"/>
        <v>28977.345270992257</v>
      </c>
    </row>
    <row r="21" spans="2:48">
      <c r="W21" s="725">
        <f>W23-V23</f>
        <v>953.89999999999964</v>
      </c>
      <c r="X21" s="725">
        <f t="shared" ref="X21:AI21" si="43">X23-W23</f>
        <v>613.90000000000055</v>
      </c>
      <c r="Y21" s="725">
        <f t="shared" si="43"/>
        <v>1455</v>
      </c>
      <c r="Z21" s="725">
        <f t="shared" si="43"/>
        <v>-207.40000000000055</v>
      </c>
      <c r="AA21" s="725">
        <f t="shared" si="43"/>
        <v>-574.5</v>
      </c>
      <c r="AB21" s="725">
        <f t="shared" si="43"/>
        <v>421.90000000000055</v>
      </c>
      <c r="AC21" s="725">
        <f t="shared" si="43"/>
        <v>628.09999999999945</v>
      </c>
      <c r="AD21" s="725">
        <f t="shared" si="43"/>
        <v>1185.6000000000004</v>
      </c>
      <c r="AE21" s="725">
        <f>AE23-AD23</f>
        <v>1908</v>
      </c>
      <c r="AF21" s="725">
        <f>AF23-AE23</f>
        <v>3450</v>
      </c>
      <c r="AG21" s="725">
        <f>AG23-AF23</f>
        <v>929.63500000000022</v>
      </c>
      <c r="AH21" s="725">
        <f>AH23-AG23</f>
        <v>1421.0135000000009</v>
      </c>
      <c r="AI21" s="725">
        <f t="shared" si="43"/>
        <v>1250.4918799999996</v>
      </c>
      <c r="AJ21" s="725">
        <f>AJ23-AI23</f>
        <v>1181.7148266000004</v>
      </c>
      <c r="AK21" s="725">
        <f>AK23-AJ23</f>
        <v>722.53420826400179</v>
      </c>
      <c r="AL21" s="725">
        <f t="shared" si="42"/>
        <v>939.29447074319978</v>
      </c>
      <c r="AM21" s="725">
        <f t="shared" si="42"/>
        <v>1972.5183885607221</v>
      </c>
      <c r="AN21" s="725">
        <f t="shared" si="42"/>
        <v>4339.5404548335828</v>
      </c>
      <c r="AO21" s="725">
        <f t="shared" si="42"/>
        <v>5207.4485458003001</v>
      </c>
      <c r="AP21" s="725">
        <f t="shared" si="42"/>
        <v>6248.9382549603615</v>
      </c>
    </row>
    <row r="22" spans="2:48" ht="18.75">
      <c r="B22" s="7" t="s">
        <v>607</v>
      </c>
      <c r="C22" s="19" t="s">
        <v>608</v>
      </c>
      <c r="D22" s="32">
        <v>67.5</v>
      </c>
      <c r="E22" s="32">
        <v>68.3</v>
      </c>
      <c r="F22" s="32">
        <v>122.5</v>
      </c>
      <c r="G22" s="1026">
        <v>108.6</v>
      </c>
      <c r="H22" s="1026">
        <v>194.8</v>
      </c>
      <c r="I22" s="1026">
        <v>206.9</v>
      </c>
      <c r="J22" s="1026">
        <v>318.39999999999998</v>
      </c>
      <c r="K22" s="1026">
        <v>592</v>
      </c>
      <c r="L22" s="1026">
        <v>682.5</v>
      </c>
      <c r="M22" s="1026">
        <v>1214.5</v>
      </c>
      <c r="N22" s="1026">
        <v>2828.7</v>
      </c>
      <c r="O22" s="1026">
        <v>4341.3999999999996</v>
      </c>
      <c r="P22" s="1026">
        <v>3899.4</v>
      </c>
      <c r="Q22" s="1029">
        <v>4413.5</v>
      </c>
      <c r="R22" s="1029">
        <v>4848</v>
      </c>
      <c r="S22" s="357">
        <v>4540.2</v>
      </c>
      <c r="T22" s="357">
        <v>5796.7999999999993</v>
      </c>
      <c r="U22" s="357">
        <v>7495.2</v>
      </c>
      <c r="V22" s="357">
        <v>9749.9</v>
      </c>
      <c r="W22" s="357">
        <f>SUM(W23+W25+W26+W27)</f>
        <v>11509.2</v>
      </c>
      <c r="X22" s="357">
        <f>SUM(X23+X25+X26+X27)</f>
        <v>11806.3</v>
      </c>
      <c r="Y22" s="357">
        <v>13361</v>
      </c>
      <c r="Z22" s="357">
        <v>12517.8</v>
      </c>
      <c r="AA22" s="357">
        <f t="shared" ref="AA22:AC22" si="44">SUM(AA23+AA25+AA26+AA27)</f>
        <v>11616.9</v>
      </c>
      <c r="AB22" s="357">
        <f t="shared" si="44"/>
        <v>14757.2</v>
      </c>
      <c r="AC22" s="357">
        <f t="shared" si="44"/>
        <v>16279.5</v>
      </c>
      <c r="AD22" s="357">
        <f>SUM(AD23+AD25+AD26+AD27)</f>
        <v>19859</v>
      </c>
      <c r="AE22" s="654">
        <f t="shared" ref="AE22:AG22" si="45">SUM(AE23+AE25+AE26+AE27)</f>
        <v>22543</v>
      </c>
      <c r="AF22" s="360">
        <f>SUM(AF23+AF25+AF26+AF27)</f>
        <v>28736</v>
      </c>
      <c r="AG22" s="360">
        <f t="shared" si="45"/>
        <v>32767.971999999998</v>
      </c>
      <c r="AH22" s="360">
        <f>SUM(AH23+AH25+AH26+AH27)</f>
        <v>38923.921560000003</v>
      </c>
      <c r="AI22" s="360">
        <f>SUM(AI23+AI25+AI26+AI27)</f>
        <v>44524.430810400008</v>
      </c>
      <c r="AJ22" s="360">
        <f t="shared" ref="AJ22:AP22" si="46">SUM(AJ23+AJ25+AJ26+AJ27)</f>
        <v>51375.483912360003</v>
      </c>
      <c r="AK22" s="360">
        <f t="shared" si="46"/>
        <v>55564.061765779203</v>
      </c>
      <c r="AL22" s="360">
        <f t="shared" si="46"/>
        <v>63254.948836590629</v>
      </c>
      <c r="AM22" s="360">
        <f t="shared" si="46"/>
        <v>73256.89332081945</v>
      </c>
      <c r="AN22" s="360">
        <f t="shared" si="46"/>
        <v>91342.98609508443</v>
      </c>
      <c r="AO22" s="360">
        <f t="shared" si="46"/>
        <v>114213.0994791697</v>
      </c>
      <c r="AP22" s="360">
        <f t="shared" si="46"/>
        <v>143190.44475016196</v>
      </c>
      <c r="AS22" t="s">
        <v>791</v>
      </c>
    </row>
    <row r="23" spans="2:48">
      <c r="C23" s="192" t="s">
        <v>609</v>
      </c>
      <c r="D23" s="32">
        <v>47.6</v>
      </c>
      <c r="E23" s="32">
        <v>46.3</v>
      </c>
      <c r="F23" s="32">
        <v>95.2</v>
      </c>
      <c r="G23" s="1026">
        <v>47.3</v>
      </c>
      <c r="H23" s="1026">
        <v>100.5</v>
      </c>
      <c r="I23" s="1026">
        <v>117.2</v>
      </c>
      <c r="J23" s="1026">
        <v>180.2</v>
      </c>
      <c r="K23" s="1026">
        <v>349</v>
      </c>
      <c r="L23" s="1026">
        <v>319.2</v>
      </c>
      <c r="M23" s="1026">
        <v>429.3</v>
      </c>
      <c r="N23" s="1026">
        <v>547.5</v>
      </c>
      <c r="O23" s="1026">
        <v>1015</v>
      </c>
      <c r="P23" s="1026">
        <v>1219.3</v>
      </c>
      <c r="Q23" s="1029">
        <v>1629.9</v>
      </c>
      <c r="R23" s="1030">
        <v>2183.3169336919509</v>
      </c>
      <c r="S23" s="1035">
        <v>2018.5</v>
      </c>
      <c r="T23" s="359">
        <v>2426</v>
      </c>
      <c r="U23" s="358">
        <v>3104</v>
      </c>
      <c r="V23" s="358">
        <v>3446</v>
      </c>
      <c r="W23" s="359">
        <v>4399.8999999999996</v>
      </c>
      <c r="X23" s="359">
        <v>5013.8</v>
      </c>
      <c r="Y23" s="359">
        <v>6468.8</v>
      </c>
      <c r="Z23" s="359">
        <v>6261.4</v>
      </c>
      <c r="AA23" s="359">
        <v>5686.9</v>
      </c>
      <c r="AB23" s="359">
        <v>6108.8</v>
      </c>
      <c r="AC23" s="359">
        <v>6736.9</v>
      </c>
      <c r="AD23" s="359">
        <v>7922.5</v>
      </c>
      <c r="AE23" s="652">
        <v>9830.5</v>
      </c>
      <c r="AF23" s="652">
        <v>13280.5</v>
      </c>
      <c r="AG23" s="652">
        <f>AF23*1.07</f>
        <v>14210.135</v>
      </c>
      <c r="AH23" s="361">
        <f>AG23*1.1</f>
        <v>15631.148500000001</v>
      </c>
      <c r="AI23" s="361">
        <f>AH23*1.08</f>
        <v>16881.640380000001</v>
      </c>
      <c r="AJ23" s="361">
        <f>AI23*1.07</f>
        <v>18063.355206600001</v>
      </c>
      <c r="AK23" s="361">
        <f>AJ23*1.04</f>
        <v>18785.889414864003</v>
      </c>
      <c r="AL23" s="361">
        <f>AK23*1.05</f>
        <v>19725.183885607203</v>
      </c>
      <c r="AM23" s="361">
        <f t="shared" ref="AM23" si="47">AL23*1.1</f>
        <v>21697.702274167925</v>
      </c>
      <c r="AN23" s="361">
        <f>AM23*1.2</f>
        <v>26037.242729001508</v>
      </c>
      <c r="AO23" s="361">
        <f t="shared" ref="AO23:AP23" si="48">AN23*1.2</f>
        <v>31244.691274801808</v>
      </c>
      <c r="AP23" s="361">
        <f t="shared" si="48"/>
        <v>37493.629529762169</v>
      </c>
    </row>
    <row r="24" spans="2:48">
      <c r="C24" s="193" t="s">
        <v>610</v>
      </c>
      <c r="D24"/>
      <c r="E24"/>
      <c r="F24"/>
      <c r="G24" s="1026"/>
      <c r="H24" s="1026"/>
      <c r="I24" s="1026"/>
      <c r="J24" s="1026"/>
      <c r="K24" s="1026"/>
      <c r="L24" s="1026"/>
      <c r="M24" s="1026"/>
      <c r="N24" s="1026"/>
      <c r="O24" s="1026"/>
      <c r="P24" s="1026"/>
      <c r="Q24" s="1029"/>
      <c r="R24" s="1030"/>
      <c r="S24" s="1035"/>
      <c r="T24" s="359"/>
      <c r="U24" s="358"/>
      <c r="W24" s="637">
        <v>3375.4</v>
      </c>
      <c r="X24" s="637">
        <v>3174.2</v>
      </c>
      <c r="Y24" s="637">
        <v>3410.6</v>
      </c>
    </row>
    <row r="25" spans="2:48">
      <c r="C25" s="192" t="s">
        <v>611</v>
      </c>
      <c r="D25"/>
      <c r="E25"/>
      <c r="F25"/>
      <c r="G25" s="1026">
        <v>27.3</v>
      </c>
      <c r="H25" s="1026">
        <v>48.9</v>
      </c>
      <c r="I25" s="1026">
        <v>19.3</v>
      </c>
      <c r="J25" s="1026">
        <v>48</v>
      </c>
      <c r="K25" s="1026">
        <v>79.7</v>
      </c>
      <c r="L25" s="1026">
        <v>143.9</v>
      </c>
      <c r="M25" s="1026">
        <v>230.2</v>
      </c>
      <c r="N25" s="1026">
        <v>587.29999999999995</v>
      </c>
      <c r="O25" s="1026">
        <v>414.1</v>
      </c>
      <c r="P25" s="1026">
        <v>787.9</v>
      </c>
      <c r="Q25" s="1029">
        <v>744.7</v>
      </c>
      <c r="R25" s="1029">
        <v>1058.2553036062541</v>
      </c>
      <c r="S25" s="362">
        <v>1119.1999999999998</v>
      </c>
      <c r="T25" s="362">
        <v>1701.9</v>
      </c>
      <c r="U25" s="362">
        <v>2310</v>
      </c>
      <c r="V25" s="362">
        <v>2444.2999999999997</v>
      </c>
      <c r="W25" s="362">
        <v>1993.7000000000016</v>
      </c>
      <c r="X25" s="362">
        <v>1821</v>
      </c>
      <c r="Y25" s="359">
        <v>2256.3000000000002</v>
      </c>
      <c r="Z25" s="359">
        <v>3067.8</v>
      </c>
      <c r="AA25" s="359">
        <v>3095.2</v>
      </c>
      <c r="AB25" s="359">
        <v>4443.8</v>
      </c>
      <c r="AC25" s="359">
        <v>4620</v>
      </c>
      <c r="AD25" s="359">
        <v>5721.4</v>
      </c>
      <c r="AE25" s="652">
        <v>8295</v>
      </c>
      <c r="AF25" s="652">
        <v>11306.3</v>
      </c>
      <c r="AG25" s="361">
        <f>AF25*1.23</f>
        <v>13906.749</v>
      </c>
      <c r="AH25" s="361">
        <f>AG25*1.3</f>
        <v>18078.773700000002</v>
      </c>
      <c r="AI25" s="361">
        <f t="shared" ref="AG25:AI26" si="49">AH25*1.2</f>
        <v>21694.528440000002</v>
      </c>
      <c r="AJ25" s="361">
        <f>AI25*1.22</f>
        <v>26467.324696800002</v>
      </c>
      <c r="AK25" s="361">
        <f>AJ25*1.1</f>
        <v>29114.057166480005</v>
      </c>
      <c r="AL25" s="361">
        <f t="shared" ref="AL25:AL26" si="50">AK25*1.2</f>
        <v>34936.868599776004</v>
      </c>
      <c r="AM25" s="361">
        <f t="shared" ref="AM25:AM26" si="51">AL25*1.2</f>
        <v>41924.242319731202</v>
      </c>
      <c r="AN25" s="361">
        <f>AM25*1.3</f>
        <v>54501.515015650562</v>
      </c>
      <c r="AO25" s="361">
        <f t="shared" ref="AO25:AP25" si="52">AN25*1.3</f>
        <v>70851.969520345738</v>
      </c>
      <c r="AP25" s="361">
        <f t="shared" si="52"/>
        <v>92107.560376449459</v>
      </c>
      <c r="AS25" s="356"/>
      <c r="AT25" s="356"/>
      <c r="AU25" s="356"/>
      <c r="AV25" s="356"/>
    </row>
    <row r="26" spans="2:48">
      <c r="C26" s="192" t="s">
        <v>612</v>
      </c>
      <c r="D26" s="32">
        <v>3.4</v>
      </c>
      <c r="E26" s="32">
        <v>3.9</v>
      </c>
      <c r="F26" s="32">
        <v>6.3</v>
      </c>
      <c r="G26" s="1026">
        <v>4.9000000000000004</v>
      </c>
      <c r="H26" s="1026">
        <v>9.8000000000000007</v>
      </c>
      <c r="I26" s="1026">
        <v>42.3</v>
      </c>
      <c r="J26" s="1026">
        <v>39</v>
      </c>
      <c r="K26" s="1026">
        <v>58.6</v>
      </c>
      <c r="L26" s="1026">
        <v>68.3</v>
      </c>
      <c r="M26" s="1026">
        <v>115.2</v>
      </c>
      <c r="N26" s="1026">
        <v>105.4</v>
      </c>
      <c r="O26" s="1026">
        <v>211.3</v>
      </c>
      <c r="P26" s="1026">
        <v>280.7</v>
      </c>
      <c r="Q26" s="803">
        <v>316.60000000000002</v>
      </c>
      <c r="R26" s="1029">
        <v>449.90416157075333</v>
      </c>
      <c r="S26" s="362">
        <v>367</v>
      </c>
      <c r="T26" s="357">
        <v>509.39999999999918</v>
      </c>
      <c r="U26" s="357">
        <v>509.39999999999986</v>
      </c>
      <c r="V26" s="363">
        <v>276.19999999999982</v>
      </c>
      <c r="W26" s="363">
        <v>509.39999999999964</v>
      </c>
      <c r="X26" s="363">
        <v>509.39999999999873</v>
      </c>
      <c r="Y26" s="363">
        <v>433.59999999999945</v>
      </c>
      <c r="Z26" s="363">
        <v>161.79999999999927</v>
      </c>
      <c r="AA26" s="357">
        <v>45.2</v>
      </c>
      <c r="AB26" s="359">
        <v>101.5</v>
      </c>
      <c r="AC26" s="359">
        <v>230.6</v>
      </c>
      <c r="AD26" s="359">
        <v>695.9</v>
      </c>
      <c r="AE26" s="652">
        <v>98.8</v>
      </c>
      <c r="AF26" s="356">
        <v>49.8</v>
      </c>
      <c r="AG26" s="356">
        <f t="shared" si="49"/>
        <v>59.759999999999991</v>
      </c>
      <c r="AH26" s="356">
        <f t="shared" si="49"/>
        <v>71.711999999999989</v>
      </c>
      <c r="AI26" s="356">
        <f t="shared" si="49"/>
        <v>86.054399999999987</v>
      </c>
      <c r="AJ26" s="356">
        <f t="shared" ref="AJ26" si="53">AI26*1.2</f>
        <v>103.26527999999998</v>
      </c>
      <c r="AK26" s="356">
        <f>AJ26*1.1</f>
        <v>113.59180799999999</v>
      </c>
      <c r="AL26" s="356">
        <f t="shared" si="50"/>
        <v>136.31016959999997</v>
      </c>
      <c r="AM26" s="356">
        <f t="shared" si="51"/>
        <v>163.57220351999996</v>
      </c>
      <c r="AN26" s="356">
        <f t="shared" ref="AN26" si="54">AM26*1.2</f>
        <v>196.28664422399996</v>
      </c>
      <c r="AO26" s="356">
        <f t="shared" ref="AO26" si="55">AN26*1.2</f>
        <v>235.54397306879994</v>
      </c>
      <c r="AP26" s="356">
        <f t="shared" ref="AP26" si="56">AO26*1.2</f>
        <v>282.6527676825599</v>
      </c>
    </row>
    <row r="27" spans="2:48">
      <c r="C27" s="192" t="s">
        <v>613</v>
      </c>
      <c r="D27"/>
      <c r="E27"/>
      <c r="F27"/>
      <c r="G27" s="1032">
        <v>29.1</v>
      </c>
      <c r="H27" s="1032">
        <v>35.6</v>
      </c>
      <c r="I27" s="1032">
        <v>28.1</v>
      </c>
      <c r="J27" s="1032">
        <v>51.2</v>
      </c>
      <c r="K27" s="1032">
        <v>104.7</v>
      </c>
      <c r="L27" s="1032">
        <v>151.1</v>
      </c>
      <c r="M27" s="1032">
        <v>439.8</v>
      </c>
      <c r="N27" s="1032">
        <v>1588.5</v>
      </c>
      <c r="O27" s="1032">
        <v>2701</v>
      </c>
      <c r="P27" s="1032">
        <v>1611.5</v>
      </c>
      <c r="Q27" s="952">
        <v>1722.3</v>
      </c>
      <c r="R27" s="1033">
        <v>1156.5236011310417</v>
      </c>
      <c r="S27" s="394">
        <v>1035.5</v>
      </c>
      <c r="T27" s="1034">
        <v>1159.5</v>
      </c>
      <c r="U27" s="364">
        <v>1571.8</v>
      </c>
      <c r="V27" s="364">
        <v>3583.4</v>
      </c>
      <c r="W27" s="364">
        <v>4606.2</v>
      </c>
      <c r="X27" s="364">
        <v>4462.1000000000004</v>
      </c>
      <c r="Y27" s="364">
        <v>4202.3</v>
      </c>
      <c r="Z27" s="364">
        <v>3026.8</v>
      </c>
      <c r="AA27" s="359">
        <v>2789.6</v>
      </c>
      <c r="AB27" s="364">
        <v>4103.1000000000004</v>
      </c>
      <c r="AC27" s="364">
        <v>4692</v>
      </c>
      <c r="AD27" s="364">
        <v>5519.2</v>
      </c>
      <c r="AE27" s="653">
        <v>4318.7</v>
      </c>
      <c r="AF27" s="1254">
        <v>4099.3999999999996</v>
      </c>
      <c r="AG27" s="365">
        <f>AF27*1.12</f>
        <v>4591.3280000000004</v>
      </c>
      <c r="AH27" s="365">
        <f>AG27*1.12</f>
        <v>5142.2873600000012</v>
      </c>
      <c r="AI27" s="365">
        <f>AH27*1.14</f>
        <v>5862.2075904000012</v>
      </c>
      <c r="AJ27" s="365">
        <f>AI27*1.15</f>
        <v>6741.5387289600012</v>
      </c>
      <c r="AK27" s="365">
        <f t="shared" ref="AK27:AP27" si="57">AJ27*1.12</f>
        <v>7550.5233764352024</v>
      </c>
      <c r="AL27" s="365">
        <f t="shared" si="57"/>
        <v>8456.5861816074266</v>
      </c>
      <c r="AM27" s="365">
        <f t="shared" si="57"/>
        <v>9471.3765234003185</v>
      </c>
      <c r="AN27" s="365">
        <f t="shared" si="57"/>
        <v>10607.941706208358</v>
      </c>
      <c r="AO27" s="365">
        <f t="shared" si="57"/>
        <v>11880.894710953362</v>
      </c>
      <c r="AP27" s="365">
        <f t="shared" si="57"/>
        <v>13306.602076267767</v>
      </c>
      <c r="AS27" s="288"/>
      <c r="AT27" s="288"/>
      <c r="AU27" s="288"/>
      <c r="AV27" s="288"/>
    </row>
    <row r="28" spans="2:48">
      <c r="C28" s="192"/>
      <c r="D28"/>
      <c r="E28"/>
      <c r="F28"/>
      <c r="G28" s="1032"/>
      <c r="H28" s="1032"/>
      <c r="I28" s="1032"/>
      <c r="J28" s="1032"/>
      <c r="K28" s="1032"/>
      <c r="L28" s="1032"/>
      <c r="M28" s="1032"/>
      <c r="N28" s="1032"/>
      <c r="O28" s="1032"/>
      <c r="P28" s="1032"/>
      <c r="Q28" s="952"/>
      <c r="R28" s="1033"/>
      <c r="S28" s="394"/>
      <c r="T28" s="1034"/>
      <c r="U28" s="364"/>
      <c r="V28" s="306">
        <f>V27/Household!V2</f>
        <v>581.29613107307966</v>
      </c>
      <c r="W28" s="306">
        <f>W27/Household!W2</f>
        <v>587.8554290673336</v>
      </c>
      <c r="X28" s="306">
        <f>X27/Household!X2</f>
        <v>521.90135326385723</v>
      </c>
      <c r="Y28" s="306">
        <f>Y27/Household!Y2</f>
        <v>459.20753562374341</v>
      </c>
      <c r="Z28" s="306">
        <f>Z27/Household!Z2</f>
        <v>317.60422241109751</v>
      </c>
      <c r="AA28" s="306">
        <f>AA27/Household!AA2</f>
        <v>270.26032028986913</v>
      </c>
      <c r="AB28" s="306">
        <f>AB27/Household!AB2</f>
        <v>362.82043346390901</v>
      </c>
      <c r="AC28" s="306">
        <f>AC27/Household!AC2</f>
        <v>425.54735257305589</v>
      </c>
      <c r="AD28" s="306">
        <f>AD27/Household!AD2</f>
        <v>508.94001567614919</v>
      </c>
      <c r="AE28" s="306">
        <f>AE27/Household!AE2</f>
        <v>399.93147259829976</v>
      </c>
      <c r="AF28" s="306">
        <f>AF27/Household!AF2</f>
        <v>408.27017498431411</v>
      </c>
      <c r="AG28" s="306">
        <f>AG27/Household!AG2</f>
        <v>500.32571699693506</v>
      </c>
      <c r="AH28" s="306">
        <f>AH27/Household!AH2</f>
        <v>546.23690783027553</v>
      </c>
      <c r="AI28" s="306">
        <f>AI27/Household!AI2</f>
        <v>604.84689830388868</v>
      </c>
      <c r="AJ28" s="306">
        <f>AJ27/Household!AJ2</f>
        <v>682.15769737507162</v>
      </c>
      <c r="AK28" s="306">
        <f>AK27/Household!AK2</f>
        <v>753.98093074093731</v>
      </c>
      <c r="AL28" s="306">
        <f>AL27/Household!AL2</f>
        <v>821.1585321941966</v>
      </c>
      <c r="AM28" s="306">
        <f>AM27/Household!AM2</f>
        <v>905.22397198899728</v>
      </c>
      <c r="AN28" s="306">
        <f>AN27/Household!AN2</f>
        <v>1025.8843520064097</v>
      </c>
      <c r="AO28" s="306">
        <f>AO27/Household!AO2</f>
        <v>1148.990474247179</v>
      </c>
      <c r="AP28" s="306">
        <f>AP27/Household!AP2</f>
        <v>1286.8693311568406</v>
      </c>
    </row>
    <row r="29" spans="2:48">
      <c r="C29" s="19" t="s">
        <v>608</v>
      </c>
      <c r="D29"/>
      <c r="E29"/>
      <c r="F29"/>
      <c r="G29" s="1032"/>
      <c r="H29" s="1032"/>
      <c r="I29" s="1032"/>
      <c r="J29" s="1032"/>
      <c r="K29" s="1032"/>
      <c r="L29" s="1032"/>
      <c r="M29" s="1036">
        <v>0.77948717948717938</v>
      </c>
      <c r="N29" s="1036">
        <v>1.3291066282420747</v>
      </c>
      <c r="O29" s="1036">
        <v>0.53476862162830985</v>
      </c>
      <c r="P29" s="1037">
        <v>-0.10181047588335546</v>
      </c>
      <c r="Q29" s="1037">
        <v>0.1318407960199004</v>
      </c>
      <c r="R29" s="1037">
        <v>9.8447943808768645E-2</v>
      </c>
      <c r="S29" s="366">
        <v>-6.3490099009900991E-2</v>
      </c>
      <c r="T29" s="366">
        <v>0.27677194837231833</v>
      </c>
      <c r="U29" s="366">
        <v>0.29298923544024302</v>
      </c>
      <c r="V29" s="366">
        <v>0.30081919094887399</v>
      </c>
      <c r="W29" s="366">
        <f t="shared" ref="W29:W30" si="58">W22/V22-1</f>
        <v>0.18044287633719325</v>
      </c>
      <c r="X29" s="366">
        <f>X22/W22-1</f>
        <v>2.5814131303652621E-2</v>
      </c>
      <c r="Y29" s="367">
        <f t="shared" ref="Y29:AH30" si="59">Y22/X22-1</f>
        <v>0.1316839314603222</v>
      </c>
      <c r="Z29" s="367">
        <f t="shared" si="59"/>
        <v>-6.3109048723897998E-2</v>
      </c>
      <c r="AA29" s="367">
        <f t="shared" si="59"/>
        <v>-7.1969515410056029E-2</v>
      </c>
      <c r="AB29" s="367">
        <f t="shared" si="59"/>
        <v>0.27032168650844901</v>
      </c>
      <c r="AC29" s="367">
        <f>AC22/AB22-1</f>
        <v>0.10315642533814007</v>
      </c>
      <c r="AD29" s="367">
        <f>AD22/AC22-1</f>
        <v>0.21987776037347584</v>
      </c>
      <c r="AE29" s="367">
        <f t="shared" si="59"/>
        <v>0.13515282743340551</v>
      </c>
      <c r="AF29" s="367">
        <f>AF22/AE22-1</f>
        <v>0.27471942509870018</v>
      </c>
      <c r="AG29" s="367">
        <f>AG22/AF22-1</f>
        <v>0.14031082962138086</v>
      </c>
      <c r="AH29" s="367">
        <f>AH22/AG22-1</f>
        <v>0.1878648321598908</v>
      </c>
      <c r="AI29" s="367">
        <f>AI22/AH22-1</f>
        <v>0.14388347900061915</v>
      </c>
      <c r="AJ29" s="367">
        <f t="shared" ref="AJ29:AJ30" si="60">AJ22/AI22-1</f>
        <v>0.15387177280567799</v>
      </c>
      <c r="AK29" s="367">
        <f>AK22/AJ22-1</f>
        <v>8.152872799338251E-2</v>
      </c>
      <c r="AL29" s="367">
        <f t="shared" ref="AL29:AL30" si="61">AL22/AK22-1</f>
        <v>0.13841477434157068</v>
      </c>
      <c r="AM29" s="367">
        <f t="shared" ref="AM29:AM30" si="62">AM22/AL22-1</f>
        <v>0.15812113784278448</v>
      </c>
      <c r="AN29" s="367">
        <f t="shared" ref="AN29:AN30" si="63">AN22/AM22-1</f>
        <v>0.24688588273951484</v>
      </c>
      <c r="AO29" s="367">
        <f t="shared" ref="AO29:AO30" si="64">AO22/AN22-1</f>
        <v>0.25037623972877765</v>
      </c>
      <c r="AP29" s="367">
        <f t="shared" ref="AP29:AP30" si="65">AP22/AO22-1</f>
        <v>0.25371297515901126</v>
      </c>
    </row>
    <row r="30" spans="2:48">
      <c r="C30" s="192" t="s">
        <v>609</v>
      </c>
      <c r="D30"/>
      <c r="E30"/>
      <c r="F30"/>
      <c r="G30" s="1032"/>
      <c r="H30" s="1032"/>
      <c r="I30" s="1032"/>
      <c r="J30" s="1032"/>
      <c r="K30" s="1032"/>
      <c r="L30" s="1032"/>
      <c r="M30" s="1036">
        <v>0.34492481203007519</v>
      </c>
      <c r="N30" s="1036">
        <v>0.27533193570929426</v>
      </c>
      <c r="O30" s="1036">
        <v>0.85388127853881279</v>
      </c>
      <c r="P30" s="1037">
        <v>0.20128078817733996</v>
      </c>
      <c r="Q30" s="1037">
        <v>0.33675059460346102</v>
      </c>
      <c r="R30" s="1037">
        <v>0.33954042192278711</v>
      </c>
      <c r="S30" s="366">
        <v>-7.5489238941250925E-2</v>
      </c>
      <c r="T30" s="366">
        <v>0.20188258607877141</v>
      </c>
      <c r="U30" s="366">
        <v>0.27947238252267104</v>
      </c>
      <c r="V30" s="366">
        <v>0.11018041237113407</v>
      </c>
      <c r="W30" s="366">
        <f t="shared" si="58"/>
        <v>0.27681369704004632</v>
      </c>
      <c r="X30" s="366">
        <f>X23/W23-1</f>
        <v>0.13952589831587092</v>
      </c>
      <c r="Y30" s="367">
        <f t="shared" si="59"/>
        <v>0.29019905062028806</v>
      </c>
      <c r="Z30" s="367">
        <f t="shared" si="59"/>
        <v>-3.206158792975522E-2</v>
      </c>
      <c r="AA30" s="367">
        <f t="shared" si="59"/>
        <v>-9.1752643178841797E-2</v>
      </c>
      <c r="AB30" s="367">
        <f t="shared" si="59"/>
        <v>7.4188046211468572E-2</v>
      </c>
      <c r="AC30" s="367">
        <f>AC23/AB23-1</f>
        <v>0.10281888423258234</v>
      </c>
      <c r="AD30" s="367">
        <f>AD23/AC23-1</f>
        <v>0.17598598762041906</v>
      </c>
      <c r="AE30" s="367">
        <f t="shared" si="59"/>
        <v>0.24083307036920165</v>
      </c>
      <c r="AF30" s="367">
        <f t="shared" si="59"/>
        <v>0.350948578403947</v>
      </c>
      <c r="AG30" s="367">
        <f t="shared" si="59"/>
        <v>7.0000000000000062E-2</v>
      </c>
      <c r="AH30" s="367">
        <f t="shared" si="59"/>
        <v>0.10000000000000009</v>
      </c>
      <c r="AI30" s="367">
        <f>AI23/AH23-1</f>
        <v>8.0000000000000071E-2</v>
      </c>
      <c r="AJ30" s="367">
        <f t="shared" si="60"/>
        <v>7.0000000000000062E-2</v>
      </c>
      <c r="AK30" s="367">
        <f t="shared" ref="AK30" si="66">AK23/AJ23-1</f>
        <v>4.0000000000000036E-2</v>
      </c>
      <c r="AL30" s="367">
        <f t="shared" si="61"/>
        <v>5.0000000000000044E-2</v>
      </c>
      <c r="AM30" s="367">
        <f t="shared" si="62"/>
        <v>0.10000000000000009</v>
      </c>
      <c r="AN30" s="367">
        <f t="shared" si="63"/>
        <v>0.19999999999999996</v>
      </c>
      <c r="AO30" s="367">
        <f t="shared" si="64"/>
        <v>0.19999999999999996</v>
      </c>
      <c r="AP30" s="367">
        <f t="shared" si="65"/>
        <v>0.19999999999999996</v>
      </c>
    </row>
    <row r="31" spans="2:48">
      <c r="C31" s="192" t="s">
        <v>611</v>
      </c>
      <c r="D31"/>
      <c r="E31"/>
      <c r="F31"/>
      <c r="G31" s="1032"/>
      <c r="H31" s="1032"/>
      <c r="I31" s="1032"/>
      <c r="J31" s="1032"/>
      <c r="K31" s="1032"/>
      <c r="L31" s="1032"/>
      <c r="M31" s="1036">
        <v>0.59972202918693518</v>
      </c>
      <c r="N31" s="1036">
        <v>1.5512597741094698</v>
      </c>
      <c r="O31" s="1036">
        <v>-0.29490890515920309</v>
      </c>
      <c r="P31" s="1037">
        <v>0.9026805119536343</v>
      </c>
      <c r="Q31" s="1037">
        <v>-5.482929305749451E-2</v>
      </c>
      <c r="R31" s="1037">
        <v>0.4210491521502</v>
      </c>
      <c r="S31" s="366">
        <v>5.7589785929786919E-2</v>
      </c>
      <c r="T31" s="366">
        <v>0.52063974267333846</v>
      </c>
      <c r="U31" s="366">
        <v>0.35730653974969151</v>
      </c>
      <c r="V31" s="366">
        <v>5.8138528138528045E-2</v>
      </c>
      <c r="W31" s="366">
        <f t="shared" ref="W31:Z33" si="67">W25/V25-1</f>
        <v>-0.18434725688336051</v>
      </c>
      <c r="X31" s="366">
        <f t="shared" si="67"/>
        <v>-8.6622862015349078E-2</v>
      </c>
      <c r="Y31" s="367">
        <f t="shared" si="67"/>
        <v>0.23904448105436593</v>
      </c>
      <c r="Z31" s="367">
        <f>Z25/Y25-1</f>
        <v>0.35965961973141858</v>
      </c>
      <c r="AA31" s="367">
        <f>AA25/Z25-1</f>
        <v>8.9314818436663224E-3</v>
      </c>
      <c r="AB31" s="367">
        <f t="shared" ref="AA31:AI33" si="68">AB25/AA25-1</f>
        <v>0.43570690100801257</v>
      </c>
      <c r="AC31" s="367">
        <f t="shared" si="68"/>
        <v>3.9650749358656867E-2</v>
      </c>
      <c r="AD31" s="367">
        <f t="shared" si="68"/>
        <v>0.23839826839826839</v>
      </c>
      <c r="AE31" s="367">
        <f t="shared" si="68"/>
        <v>0.44981997413220554</v>
      </c>
      <c r="AF31" s="367">
        <f t="shared" si="68"/>
        <v>0.36302591922845084</v>
      </c>
      <c r="AG31" s="367">
        <f t="shared" si="68"/>
        <v>0.22999999999999998</v>
      </c>
      <c r="AH31" s="367">
        <f t="shared" si="68"/>
        <v>0.30000000000000004</v>
      </c>
      <c r="AI31" s="367">
        <f t="shared" si="68"/>
        <v>0.19999999999999996</v>
      </c>
      <c r="AJ31" s="367">
        <f t="shared" ref="AJ31:AJ33" si="69">AJ25/AI25-1</f>
        <v>0.21999999999999997</v>
      </c>
      <c r="AK31" s="367">
        <f t="shared" ref="AK31:AK33" si="70">AK25/AJ25-1</f>
        <v>0.10000000000000009</v>
      </c>
      <c r="AL31" s="367">
        <f t="shared" ref="AL31:AL33" si="71">AL25/AK25-1</f>
        <v>0.19999999999999996</v>
      </c>
      <c r="AM31" s="367">
        <f t="shared" ref="AM31:AM33" si="72">AM25/AL25-1</f>
        <v>0.19999999999999996</v>
      </c>
      <c r="AN31" s="367">
        <f t="shared" ref="AN31:AN33" si="73">AN25/AM25-1</f>
        <v>0.30000000000000004</v>
      </c>
      <c r="AO31" s="367">
        <f t="shared" ref="AO31:AO33" si="74">AO25/AN25-1</f>
        <v>0.30000000000000004</v>
      </c>
      <c r="AP31" s="367">
        <f t="shared" ref="AP31:AP33" si="75">AP25/AO25-1</f>
        <v>0.30000000000000004</v>
      </c>
    </row>
    <row r="32" spans="2:48">
      <c r="C32" s="192" t="s">
        <v>612</v>
      </c>
      <c r="D32"/>
      <c r="E32"/>
      <c r="F32"/>
      <c r="G32" s="1032"/>
      <c r="H32" s="1032"/>
      <c r="I32" s="1032"/>
      <c r="J32" s="1032"/>
      <c r="K32" s="1032"/>
      <c r="L32" s="1032"/>
      <c r="M32" s="1036">
        <v>0.6866764275256223</v>
      </c>
      <c r="N32" s="1036">
        <v>-8.506944444444442E-2</v>
      </c>
      <c r="O32" s="1036">
        <v>1.0047438330170779</v>
      </c>
      <c r="P32" s="1037">
        <v>0.32844297207761475</v>
      </c>
      <c r="Q32" s="1037">
        <v>0.12789454934093358</v>
      </c>
      <c r="R32" s="1037">
        <v>0.4210491521502</v>
      </c>
      <c r="S32" s="366">
        <v>-0.18427071508142867</v>
      </c>
      <c r="T32" s="366">
        <v>0.38801089918255904</v>
      </c>
      <c r="U32" s="366">
        <v>0</v>
      </c>
      <c r="V32" s="366">
        <v>-0.45779348252846508</v>
      </c>
      <c r="W32" s="366">
        <f t="shared" si="67"/>
        <v>0.84431571325126709</v>
      </c>
      <c r="X32" s="366">
        <f t="shared" si="67"/>
        <v>-1.7763568394002505E-15</v>
      </c>
      <c r="Y32" s="367">
        <f t="shared" si="67"/>
        <v>-0.14880251276010892</v>
      </c>
      <c r="Z32" s="367">
        <f t="shared" si="67"/>
        <v>-0.6268450184501857</v>
      </c>
      <c r="AA32" s="367">
        <f t="shared" si="68"/>
        <v>-0.72064276885043133</v>
      </c>
      <c r="AB32" s="367">
        <f t="shared" si="68"/>
        <v>1.2455752212389379</v>
      </c>
      <c r="AC32" s="367">
        <f t="shared" si="68"/>
        <v>1.2719211822660097</v>
      </c>
      <c r="AD32" s="367">
        <f t="shared" si="68"/>
        <v>2.017779705117086</v>
      </c>
      <c r="AE32" s="367">
        <f t="shared" si="68"/>
        <v>-0.85802557838769933</v>
      </c>
      <c r="AF32" s="367">
        <f t="shared" si="68"/>
        <v>-0.49595141700404854</v>
      </c>
      <c r="AG32" s="367">
        <f t="shared" si="68"/>
        <v>0.19999999999999996</v>
      </c>
      <c r="AH32" s="367">
        <f t="shared" si="68"/>
        <v>0.19999999999999996</v>
      </c>
      <c r="AI32" s="367">
        <f t="shared" si="68"/>
        <v>0.19999999999999996</v>
      </c>
      <c r="AJ32" s="367">
        <f t="shared" si="69"/>
        <v>0.19999999999999996</v>
      </c>
      <c r="AK32" s="367">
        <f t="shared" si="70"/>
        <v>0.10000000000000009</v>
      </c>
      <c r="AL32" s="367">
        <f t="shared" si="71"/>
        <v>0.19999999999999996</v>
      </c>
      <c r="AM32" s="367">
        <f t="shared" si="72"/>
        <v>0.19999999999999996</v>
      </c>
      <c r="AN32" s="367">
        <f t="shared" si="73"/>
        <v>0.19999999999999996</v>
      </c>
      <c r="AO32" s="367">
        <f t="shared" si="74"/>
        <v>0.19999999999999996</v>
      </c>
      <c r="AP32" s="367">
        <f t="shared" si="75"/>
        <v>0.19999999999999996</v>
      </c>
    </row>
    <row r="33" spans="2:45">
      <c r="C33" s="192" t="s">
        <v>613</v>
      </c>
      <c r="D33"/>
      <c r="E33"/>
      <c r="F33"/>
      <c r="G33" s="1028"/>
      <c r="H33" s="1028"/>
      <c r="I33" s="1028"/>
      <c r="J33" s="1028"/>
      <c r="K33" s="1028"/>
      <c r="L33" s="1028"/>
      <c r="M33" s="1036">
        <v>1.910655195234944</v>
      </c>
      <c r="N33" s="1036">
        <v>2.6118690313778989</v>
      </c>
      <c r="O33" s="1036">
        <v>0.70034623858986467</v>
      </c>
      <c r="P33" s="1037">
        <v>-0.40336912254720469</v>
      </c>
      <c r="Q33" s="1037">
        <v>6.8755817561278354E-2</v>
      </c>
      <c r="R33" s="1037">
        <v>-0.32850049286939453</v>
      </c>
      <c r="S33" s="366">
        <v>-0.10464429866600611</v>
      </c>
      <c r="T33" s="366">
        <v>0.11974891356832451</v>
      </c>
      <c r="U33" s="366">
        <v>0.35558430357912885</v>
      </c>
      <c r="V33" s="366">
        <v>1.2798065911693599</v>
      </c>
      <c r="W33" s="366">
        <f t="shared" si="67"/>
        <v>0.28542724786515583</v>
      </c>
      <c r="X33" s="366">
        <f t="shared" si="67"/>
        <v>-3.1283921670791415E-2</v>
      </c>
      <c r="Y33" s="367">
        <f t="shared" si="67"/>
        <v>-5.8223706326617553E-2</v>
      </c>
      <c r="Z33" s="367">
        <f t="shared" si="67"/>
        <v>-0.27972776812697808</v>
      </c>
      <c r="AA33" s="367">
        <f t="shared" si="68"/>
        <v>-7.8366591780097861E-2</v>
      </c>
      <c r="AB33" s="367">
        <f t="shared" si="68"/>
        <v>0.47085603670777187</v>
      </c>
      <c r="AC33" s="367">
        <f>AC27/AB27-1</f>
        <v>0.14352562696497762</v>
      </c>
      <c r="AD33" s="367">
        <f t="shared" si="68"/>
        <v>0.17630008525149177</v>
      </c>
      <c r="AE33" s="367">
        <f t="shared" si="68"/>
        <v>-0.21751340774025218</v>
      </c>
      <c r="AF33" s="367">
        <f t="shared" si="68"/>
        <v>-5.0779169657535927E-2</v>
      </c>
      <c r="AG33" s="367">
        <f t="shared" si="68"/>
        <v>0.12000000000000011</v>
      </c>
      <c r="AH33" s="367">
        <f t="shared" si="68"/>
        <v>0.12000000000000011</v>
      </c>
      <c r="AI33" s="367">
        <f t="shared" si="68"/>
        <v>0.1399999999999999</v>
      </c>
      <c r="AJ33" s="367">
        <f t="shared" si="69"/>
        <v>0.14999999999999991</v>
      </c>
      <c r="AK33" s="367">
        <f t="shared" si="70"/>
        <v>0.12000000000000011</v>
      </c>
      <c r="AL33" s="367">
        <f t="shared" si="71"/>
        <v>0.11999999999999988</v>
      </c>
      <c r="AM33" s="367">
        <f t="shared" si="72"/>
        <v>0.12000000000000011</v>
      </c>
      <c r="AN33" s="367">
        <f t="shared" si="73"/>
        <v>0.12000000000000011</v>
      </c>
      <c r="AO33" s="367">
        <f t="shared" si="74"/>
        <v>0.12000000000000011</v>
      </c>
      <c r="AP33" s="367">
        <f t="shared" si="75"/>
        <v>0.12000000000000011</v>
      </c>
    </row>
    <row r="34" spans="2:45">
      <c r="C34" s="612" t="s">
        <v>613</v>
      </c>
      <c r="D34"/>
      <c r="E34"/>
      <c r="F34"/>
      <c r="G34" s="1028"/>
      <c r="H34" s="1028"/>
      <c r="I34" s="1028"/>
      <c r="J34" s="1028"/>
      <c r="K34" s="1028"/>
      <c r="L34" s="1028"/>
      <c r="M34" s="1028"/>
      <c r="N34" s="1028"/>
      <c r="O34" s="1028"/>
      <c r="P34" s="1028"/>
      <c r="Q34" s="780"/>
      <c r="R34"/>
      <c r="S34"/>
      <c r="T34"/>
      <c r="U34"/>
      <c r="AC34" s="138">
        <v>2577</v>
      </c>
      <c r="AD34" s="138">
        <v>2690</v>
      </c>
      <c r="AE34" s="138">
        <v>5126.6000000000004</v>
      </c>
      <c r="AF34" s="138">
        <v>6925.3</v>
      </c>
      <c r="AG34" s="614">
        <f>AF34*1.101</f>
        <v>7624.7552999999998</v>
      </c>
      <c r="AH34" s="614">
        <f>AG34*1.123</f>
        <v>8562.6002018999989</v>
      </c>
      <c r="AI34" s="614">
        <f>AH34*1.121</f>
        <v>9598.6748263298996</v>
      </c>
      <c r="AJ34" s="614">
        <f>AI34*1.122</f>
        <v>10769.713155142148</v>
      </c>
      <c r="AK34" s="614">
        <f>AJ34*1.123</f>
        <v>12094.387873224632</v>
      </c>
      <c r="AL34" s="614">
        <f t="shared" ref="AL34" si="76">AK34*1.12</f>
        <v>13545.71441801159</v>
      </c>
      <c r="AM34" s="614">
        <f>AL34*1.121</f>
        <v>15184.745862590993</v>
      </c>
      <c r="AN34" s="614">
        <f>AM34*1.122</f>
        <v>17037.284857827097</v>
      </c>
      <c r="AO34" s="614">
        <f>AN34*1.123</f>
        <v>19132.870895339831</v>
      </c>
      <c r="AP34" s="614">
        <f t="shared" ref="AP34" si="77">AO34*1.12</f>
        <v>21428.815402780612</v>
      </c>
    </row>
    <row r="35" spans="2:45">
      <c r="C35" s="192"/>
      <c r="D35"/>
      <c r="E35"/>
      <c r="F35"/>
      <c r="G35" s="1031"/>
      <c r="H35" s="1031"/>
      <c r="I35" s="1031"/>
      <c r="J35" s="1031"/>
      <c r="K35" s="1031"/>
      <c r="L35" s="1031"/>
      <c r="M35" s="1031"/>
      <c r="N35" s="1031"/>
      <c r="O35" s="1031"/>
      <c r="P35" s="372"/>
      <c r="Q35" s="372"/>
      <c r="R35" s="372"/>
      <c r="S35" s="372"/>
      <c r="T35" s="372"/>
      <c r="U35" s="372"/>
      <c r="AC35" s="613"/>
      <c r="AD35" s="613">
        <f>AD34/AC34*100</f>
        <v>104.38494373302289</v>
      </c>
      <c r="AE35" s="613">
        <f>AE34/AD34*100</f>
        <v>190.57992565055764</v>
      </c>
      <c r="AF35" s="613">
        <f>AF34/AE34*100</f>
        <v>135.08563180275425</v>
      </c>
      <c r="AG35" s="613">
        <f t="shared" ref="AG35:AI35" si="78">AG34/AF34*100</f>
        <v>110.1</v>
      </c>
      <c r="AH35" s="613">
        <f t="shared" si="78"/>
        <v>112.29999999999998</v>
      </c>
      <c r="AI35" s="613">
        <f t="shared" si="78"/>
        <v>112.1</v>
      </c>
      <c r="AJ35" s="613">
        <f t="shared" ref="AJ35" si="79">AJ34/AI34*100</f>
        <v>112.20000000000002</v>
      </c>
      <c r="AK35" s="613">
        <f t="shared" ref="AK35" si="80">AK34/AJ34*100</f>
        <v>112.3</v>
      </c>
      <c r="AL35" s="613">
        <f t="shared" ref="AL35" si="81">AL34/AK34*100</f>
        <v>112.00000000000001</v>
      </c>
      <c r="AM35" s="613">
        <f t="shared" ref="AM35" si="82">AM34/AL34*100</f>
        <v>112.1</v>
      </c>
      <c r="AN35" s="613">
        <f t="shared" ref="AN35" si="83">AN34/AM34*100</f>
        <v>112.20000000000002</v>
      </c>
      <c r="AO35" s="613">
        <f t="shared" ref="AO35" si="84">AO34/AN34*100</f>
        <v>112.3</v>
      </c>
      <c r="AP35" s="613">
        <f t="shared" ref="AP35" si="85">AP34/AO34*100</f>
        <v>112.00000000000001</v>
      </c>
    </row>
    <row r="36" spans="2:45">
      <c r="C36" s="192"/>
      <c r="D36"/>
      <c r="E36"/>
      <c r="F36"/>
      <c r="G36" s="1032"/>
      <c r="H36" s="1032"/>
      <c r="I36" s="1032"/>
      <c r="J36" s="1032"/>
      <c r="K36" s="1032"/>
      <c r="L36" s="1032"/>
      <c r="M36" s="1032"/>
      <c r="N36" s="1032"/>
      <c r="O36" s="1032"/>
      <c r="P36" s="1032"/>
      <c r="Q36" s="1032"/>
      <c r="R36"/>
      <c r="S36"/>
      <c r="T36"/>
      <c r="U36"/>
      <c r="AD36" s="726">
        <f>AD34-AC34</f>
        <v>113</v>
      </c>
      <c r="AE36" s="725">
        <f>AE34-AD34</f>
        <v>2436.6000000000004</v>
      </c>
      <c r="AF36" s="725">
        <f>AF34-AE34</f>
        <v>1798.6999999999998</v>
      </c>
      <c r="AG36" s="725">
        <f>AG34-AF34</f>
        <v>699.45529999999962</v>
      </c>
      <c r="AH36" s="726">
        <f t="shared" ref="AH36:AI36" si="86">AH34-AG34</f>
        <v>937.84490189999906</v>
      </c>
      <c r="AI36" s="726">
        <f t="shared" si="86"/>
        <v>1036.0746244299007</v>
      </c>
      <c r="AJ36" s="726">
        <f t="shared" ref="AJ36" si="87">AJ34-AI34</f>
        <v>1171.0383288122484</v>
      </c>
      <c r="AK36" s="726">
        <f t="shared" ref="AK36" si="88">AK34-AJ34</f>
        <v>1324.6747180824841</v>
      </c>
      <c r="AL36" s="726">
        <f t="shared" ref="AL36" si="89">AL34-AK34</f>
        <v>1451.326544786958</v>
      </c>
      <c r="AM36" s="726">
        <f t="shared" ref="AM36" si="90">AM34-AL34</f>
        <v>1639.0314445794029</v>
      </c>
      <c r="AN36" s="726">
        <f t="shared" ref="AN36" si="91">AN34-AM34</f>
        <v>1852.5389952361038</v>
      </c>
      <c r="AO36" s="726">
        <f t="shared" ref="AO36" si="92">AO34-AN34</f>
        <v>2095.586037512734</v>
      </c>
      <c r="AP36" s="726">
        <f t="shared" ref="AP36" si="93">AP34-AO34</f>
        <v>2295.9445074407813</v>
      </c>
    </row>
    <row r="37" spans="2:45" ht="18">
      <c r="B37" s="7" t="s">
        <v>614</v>
      </c>
      <c r="C37" s="194" t="s">
        <v>615</v>
      </c>
      <c r="D37"/>
      <c r="E37"/>
      <c r="F37"/>
      <c r="G37" s="403">
        <v>38</v>
      </c>
      <c r="H37" s="403">
        <v>69.7</v>
      </c>
      <c r="I37" s="403">
        <v>68.900000000000006</v>
      </c>
      <c r="J37" s="403">
        <v>136.6</v>
      </c>
      <c r="K37" s="403">
        <v>262.3</v>
      </c>
      <c r="L37" s="403">
        <v>327.10000000000002</v>
      </c>
      <c r="M37" s="403">
        <v>567.5</v>
      </c>
      <c r="N37" s="403">
        <v>1034.5999999999999</v>
      </c>
      <c r="O37" s="403">
        <v>1832.6</v>
      </c>
      <c r="P37" s="403">
        <v>2098.4</v>
      </c>
      <c r="Q37" s="403">
        <v>2528.1999999999998</v>
      </c>
      <c r="R37" s="392">
        <v>2387.5</v>
      </c>
      <c r="S37" s="392">
        <v>3023.5</v>
      </c>
      <c r="T37" s="392">
        <v>4200.8</v>
      </c>
      <c r="U37" s="392">
        <v>4660</v>
      </c>
      <c r="V37" s="368">
        <f>GDP!V18</f>
        <v>7679.3</v>
      </c>
      <c r="W37" s="368">
        <f>GDP!W18</f>
        <v>8382.9</v>
      </c>
      <c r="X37" s="368">
        <f>GDP!X18</f>
        <v>7680.4</v>
      </c>
      <c r="Y37" s="368">
        <f>GDP!Y18</f>
        <v>9411.7000000000007</v>
      </c>
      <c r="Z37" s="368">
        <f>GDP!Z18</f>
        <v>9281.6</v>
      </c>
      <c r="AA37" s="368">
        <f>GDP!AA18</f>
        <v>8863.7000000000007</v>
      </c>
      <c r="AB37" s="368">
        <f>GDP!AB18</f>
        <v>11417.3</v>
      </c>
      <c r="AC37" s="368">
        <f>GDP!AC18</f>
        <v>13250.1</v>
      </c>
      <c r="AD37" s="368">
        <f>GDP!AD18</f>
        <v>14923.6</v>
      </c>
      <c r="AE37" s="368">
        <f>GDP!AE18</f>
        <v>17873.3</v>
      </c>
      <c r="AF37" s="368">
        <f>GDP!AF18</f>
        <v>12608.5</v>
      </c>
      <c r="AG37" s="368">
        <f>GDP!AG18</f>
        <v>24902.407679999997</v>
      </c>
      <c r="AH37" s="368">
        <f>GDP!AH18</f>
        <v>27462.811564400003</v>
      </c>
      <c r="AI37" s="368">
        <f>GDP!AI18</f>
        <v>29230.19254840845</v>
      </c>
      <c r="AJ37" s="368">
        <f>GDP!AJ18</f>
        <v>35086.559899528402</v>
      </c>
      <c r="AK37" s="368">
        <f>GDP!AK18</f>
        <v>38920.759875133626</v>
      </c>
      <c r="AL37" s="368">
        <f>GDP!AL18</f>
        <v>43544.137767052096</v>
      </c>
      <c r="AM37" s="368">
        <f>GDP!AM18</f>
        <v>47937.11777913331</v>
      </c>
      <c r="AN37" s="368">
        <f>GDP!AN18</f>
        <v>63940.090266559098</v>
      </c>
      <c r="AO37" s="368">
        <f>GDP!AO18</f>
        <v>78807.038640627085</v>
      </c>
      <c r="AP37" s="368">
        <f>GDP!AP18</f>
        <v>98801.406877611749</v>
      </c>
      <c r="AS37" t="s">
        <v>792</v>
      </c>
    </row>
    <row r="38" spans="2:45" ht="18.75">
      <c r="B38" s="7" t="s">
        <v>616</v>
      </c>
      <c r="C38" s="192" t="s">
        <v>617</v>
      </c>
      <c r="D38"/>
      <c r="E38"/>
      <c r="F38"/>
      <c r="G38" s="1028"/>
      <c r="I38" s="1026"/>
      <c r="J38" s="1026"/>
      <c r="K38" s="1026"/>
      <c r="L38" s="945">
        <v>107.13448177829483</v>
      </c>
      <c r="M38" s="945">
        <v>161.84173902727267</v>
      </c>
      <c r="N38" s="945">
        <v>165.13439315584498</v>
      </c>
      <c r="O38" s="945">
        <v>146.147903017636</v>
      </c>
      <c r="P38" s="945">
        <v>135.50767267638631</v>
      </c>
      <c r="Q38" s="945">
        <v>110</v>
      </c>
      <c r="R38" s="369">
        <v>89.511635762813469</v>
      </c>
      <c r="S38" s="369">
        <v>167.51156541732456</v>
      </c>
      <c r="T38" s="369">
        <v>118.54805163872757</v>
      </c>
      <c r="U38" s="369">
        <v>88.532522897246182</v>
      </c>
      <c r="V38" s="369">
        <v>135.96686921911075</v>
      </c>
      <c r="W38" s="369">
        <f t="shared" ref="W38" si="94">W37/V37/W39*10000</f>
        <v>90.741723556279297</v>
      </c>
      <c r="X38" s="369">
        <f t="shared" ref="X38" si="95">X37/W37/X39*10000</f>
        <v>88.011378636870774</v>
      </c>
      <c r="Y38" s="369">
        <f t="shared" ref="Y38" si="96">Y37/X37/Y39*10000</f>
        <v>111.1994507243129</v>
      </c>
      <c r="Z38" s="369">
        <f t="shared" ref="Z38" si="97">Z37/Y37/Z39*10000</f>
        <v>94.280762902998319</v>
      </c>
      <c r="AA38" s="369">
        <f t="shared" ref="AA38" si="98">AA37/Z37/AA39*10000</f>
        <v>91.824561083632801</v>
      </c>
      <c r="AB38" s="369">
        <f t="shared" ref="AB38" si="99">AB37/AA37/AB39*10000</f>
        <v>104.46848281866183</v>
      </c>
      <c r="AC38" s="370">
        <f t="shared" ref="AC38:AD38" si="100">AC37/AB37/AC39*10000</f>
        <v>104.17668950239158</v>
      </c>
      <c r="AD38" s="370">
        <f t="shared" si="100"/>
        <v>100.29393887603382</v>
      </c>
      <c r="AE38" s="1255">
        <v>104.7</v>
      </c>
      <c r="AF38" s="1255">
        <v>103.6</v>
      </c>
      <c r="AG38" s="371">
        <v>114</v>
      </c>
      <c r="AH38" s="371">
        <v>95</v>
      </c>
      <c r="AI38" s="371">
        <v>96</v>
      </c>
      <c r="AJ38" s="371">
        <v>96</v>
      </c>
      <c r="AK38" s="371">
        <v>96</v>
      </c>
      <c r="AL38" s="371">
        <v>96</v>
      </c>
      <c r="AM38" s="371">
        <v>96</v>
      </c>
      <c r="AN38" s="371">
        <v>96</v>
      </c>
      <c r="AO38" s="371">
        <v>96</v>
      </c>
      <c r="AP38" s="371">
        <v>96</v>
      </c>
      <c r="AS38" s="46" t="s">
        <v>793</v>
      </c>
    </row>
    <row r="39" spans="2:45" ht="18">
      <c r="B39" s="7" t="s">
        <v>618</v>
      </c>
      <c r="C39" s="32" t="s">
        <v>619</v>
      </c>
      <c r="D39"/>
      <c r="E39"/>
      <c r="F39"/>
      <c r="G39"/>
      <c r="H39"/>
      <c r="I39"/>
      <c r="J39"/>
      <c r="K39" s="193"/>
      <c r="L39" s="403">
        <v>116.4</v>
      </c>
      <c r="M39" s="403">
        <v>107.2</v>
      </c>
      <c r="N39" s="403">
        <v>110.39999999999999</v>
      </c>
      <c r="O39" s="403">
        <v>121.2</v>
      </c>
      <c r="P39" s="1027">
        <v>84.500000000000014</v>
      </c>
      <c r="Q39" s="1027">
        <v>109.52933837036008</v>
      </c>
      <c r="R39" s="1027">
        <v>105.5</v>
      </c>
      <c r="S39" s="190">
        <v>75.599999999999994</v>
      </c>
      <c r="T39" s="190">
        <v>117.2</v>
      </c>
      <c r="U39" s="190">
        <v>125.3</v>
      </c>
      <c r="V39" s="190">
        <v>121.2</v>
      </c>
      <c r="W39" s="190">
        <v>120.3</v>
      </c>
      <c r="X39" s="190">
        <v>104.1</v>
      </c>
      <c r="Y39" s="219">
        <v>110.2</v>
      </c>
      <c r="Z39" s="219">
        <v>104.6</v>
      </c>
      <c r="AA39" s="191">
        <v>104</v>
      </c>
      <c r="AB39" s="191">
        <v>123.3</v>
      </c>
      <c r="AC39" s="191">
        <v>111.4</v>
      </c>
      <c r="AD39" s="691">
        <v>112.3</v>
      </c>
      <c r="AE39" s="691">
        <f>AE37/AD37/AE38*10000</f>
        <v>114.38905264772578</v>
      </c>
      <c r="AF39" s="691">
        <f>AF37/AE37/AF38*10000</f>
        <v>68.092444010713166</v>
      </c>
      <c r="AG39" s="94">
        <f t="shared" ref="AG39:AH39" si="101">AG37/AF37/AG38*10000</f>
        <v>173.24992872393935</v>
      </c>
      <c r="AH39" s="94">
        <f t="shared" si="101"/>
        <v>116.08605509492818</v>
      </c>
      <c r="AI39" s="94">
        <f>AI37/AH37/AI38*10000</f>
        <v>110.87035705184428</v>
      </c>
      <c r="AJ39" s="94">
        <f t="shared" ref="AJ39:AP39" si="102">AJ37/AI37/AJ38*10000</f>
        <v>125.03680854928925</v>
      </c>
      <c r="AK39" s="94">
        <f>AK37/AJ37/AK38*10000</f>
        <v>115.54982397635719</v>
      </c>
      <c r="AL39" s="94">
        <f t="shared" si="102"/>
        <v>116.54057368406799</v>
      </c>
      <c r="AM39" s="94">
        <f t="shared" si="102"/>
        <v>114.67559181842475</v>
      </c>
      <c r="AN39" s="94">
        <f t="shared" si="102"/>
        <v>138.94089544808796</v>
      </c>
      <c r="AO39" s="94">
        <f t="shared" si="102"/>
        <v>128.38684604357985</v>
      </c>
      <c r="AP39" s="94">
        <f t="shared" si="102"/>
        <v>130.59510157906368</v>
      </c>
      <c r="AS39" t="s">
        <v>794</v>
      </c>
    </row>
    <row r="40" spans="2:45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2:45">
      <c r="B41" s="29" t="s">
        <v>620</v>
      </c>
      <c r="D41"/>
      <c r="E41"/>
      <c r="F41"/>
      <c r="G41" s="372">
        <v>0.34990791896869244</v>
      </c>
      <c r="H41" s="372">
        <v>0.3578028747433265</v>
      </c>
      <c r="I41" s="372">
        <v>0.33301111648139198</v>
      </c>
      <c r="J41" s="372">
        <v>0.4290201005025126</v>
      </c>
      <c r="K41" s="372">
        <v>0.44307432432432436</v>
      </c>
      <c r="L41" s="372">
        <v>0.47926739926739931</v>
      </c>
      <c r="M41" s="372">
        <v>0.46727048167970359</v>
      </c>
      <c r="N41" s="372">
        <v>0.36575105171987132</v>
      </c>
      <c r="O41" s="372">
        <v>0.42212189616252821</v>
      </c>
      <c r="P41" s="372">
        <v>0.53813407190849871</v>
      </c>
      <c r="Q41" s="372">
        <v>0.57283335221479548</v>
      </c>
      <c r="R41" s="372">
        <v>0.49247112211221122</v>
      </c>
      <c r="S41" s="372">
        <v>0.66593982643936389</v>
      </c>
      <c r="T41" s="372">
        <v>0.72467568313552322</v>
      </c>
      <c r="U41" s="372">
        <v>0.62173124132778312</v>
      </c>
      <c r="V41" s="372">
        <f t="shared" ref="V41:AA41" si="103">V37/V22</f>
        <v>0.78762859106247252</v>
      </c>
      <c r="W41" s="372">
        <f t="shared" si="103"/>
        <v>0.72836513397977265</v>
      </c>
      <c r="X41" s="373">
        <f t="shared" si="103"/>
        <v>0.65053403691249589</v>
      </c>
      <c r="Y41" s="373">
        <f t="shared" si="103"/>
        <v>0.70441583713793887</v>
      </c>
      <c r="Z41" s="373">
        <f t="shared" si="103"/>
        <v>0.74147214366741765</v>
      </c>
      <c r="AA41" s="373">
        <f t="shared" si="103"/>
        <v>0.76300045623186918</v>
      </c>
      <c r="AB41" s="373">
        <f>AB37/AB22</f>
        <v>0.773676578212669</v>
      </c>
      <c r="AC41" s="373">
        <f>AC37/AC22</f>
        <v>0.81391320372247311</v>
      </c>
      <c r="AD41" s="373">
        <f t="shared" ref="AD41:AP41" si="104">AD37/AD22</f>
        <v>0.7514779193312856</v>
      </c>
      <c r="AE41" s="373">
        <f t="shared" si="104"/>
        <v>0.7928536574546422</v>
      </c>
      <c r="AF41" s="373">
        <f>AF37/AF22</f>
        <v>0.43877018374164811</v>
      </c>
      <c r="AG41" s="373">
        <f t="shared" si="104"/>
        <v>0.75996182125643896</v>
      </c>
      <c r="AH41" s="373">
        <f t="shared" si="104"/>
        <v>0.70555099444610025</v>
      </c>
      <c r="AI41" s="373">
        <f t="shared" si="104"/>
        <v>0.65649783762268477</v>
      </c>
      <c r="AJ41" s="373">
        <f t="shared" si="104"/>
        <v>0.68294363824157023</v>
      </c>
      <c r="AK41" s="373">
        <f t="shared" si="104"/>
        <v>0.70046642808795068</v>
      </c>
      <c r="AL41" s="373">
        <f t="shared" si="104"/>
        <v>0.68839100446577928</v>
      </c>
      <c r="AM41" s="373">
        <f t="shared" si="104"/>
        <v>0.65437006138383003</v>
      </c>
      <c r="AN41" s="373">
        <f t="shared" si="104"/>
        <v>0.7</v>
      </c>
      <c r="AO41" s="373">
        <f t="shared" si="104"/>
        <v>0.69</v>
      </c>
      <c r="AP41" s="373">
        <f t="shared" si="104"/>
        <v>0.69</v>
      </c>
    </row>
    <row r="42" spans="2:45">
      <c r="AF42" s="281">
        <v>173423.84277369303</v>
      </c>
      <c r="AG42" s="281">
        <v>195459.65593619592</v>
      </c>
      <c r="AH42" s="281">
        <v>221947.31715478672</v>
      </c>
      <c r="AI42" s="281">
        <v>250924.59826628538</v>
      </c>
      <c r="AJ42" s="281">
        <v>285257.47851163207</v>
      </c>
      <c r="AK42" s="281">
        <v>324044.53846158064</v>
      </c>
    </row>
    <row r="43" spans="2:45">
      <c r="V43">
        <f>GDP!V2</f>
        <v>50977.399999999994</v>
      </c>
      <c r="W43">
        <f>GDP!W2</f>
        <v>54790.299999999996</v>
      </c>
      <c r="X43">
        <f>GDP!X2</f>
        <v>64434.3</v>
      </c>
      <c r="Y43">
        <f>GDP!Y2</f>
        <v>71059.199999999997</v>
      </c>
      <c r="Z43">
        <f>GDP!Z2</f>
        <v>79109.799999999988</v>
      </c>
      <c r="AA43">
        <f>GDP!AA2</f>
        <v>83958.3</v>
      </c>
      <c r="AB43">
        <f>GDP!AB2</f>
        <v>101076.30000000002</v>
      </c>
      <c r="AC43">
        <f>GDP!AC2</f>
        <v>118181.70000000001</v>
      </c>
      <c r="AD43">
        <f>GDP!AD2</f>
        <v>132781.90000000002</v>
      </c>
      <c r="AE43">
        <f>GDP!AE2</f>
        <v>155783.9</v>
      </c>
      <c r="AF43">
        <f>GDP!AF2</f>
        <v>176919</v>
      </c>
      <c r="AG43">
        <f>GDP!AG2</f>
        <v>199898.1373681862</v>
      </c>
      <c r="AH43">
        <f>GDP!AH2</f>
        <v>225457.20835606457</v>
      </c>
      <c r="AI43">
        <f>GDP!AI2</f>
        <v>254610.40971193821</v>
      </c>
      <c r="AJ43">
        <f>GDP!AJ2</f>
        <v>290955.27502497676</v>
      </c>
      <c r="AK43">
        <f>GDP!AK2</f>
        <v>325987.59758401546</v>
      </c>
      <c r="AL43">
        <f>GDP!AL2</f>
        <v>368330.80468772119</v>
      </c>
      <c r="AM43">
        <f>GDP!AM2</f>
        <v>413970.29228411877</v>
      </c>
      <c r="AN43">
        <f>GDP!AN2</f>
        <v>460417.1837588718</v>
      </c>
      <c r="AO43">
        <f>GDP!AO2</f>
        <v>511101.7351686334</v>
      </c>
      <c r="AP43">
        <f>GDP!AP2</f>
        <v>568732.0579310552</v>
      </c>
    </row>
    <row r="44" spans="2:45">
      <c r="V44" s="288">
        <f>V25+V26</f>
        <v>2720.4999999999995</v>
      </c>
      <c r="W44" s="288">
        <f t="shared" ref="W44:AP44" si="105">W25+W26</f>
        <v>2503.1000000000013</v>
      </c>
      <c r="X44" s="288">
        <f t="shared" si="105"/>
        <v>2330.3999999999987</v>
      </c>
      <c r="Y44" s="288">
        <f t="shared" si="105"/>
        <v>2689.8999999999996</v>
      </c>
      <c r="Z44" s="288">
        <f t="shared" si="105"/>
        <v>3229.5999999999995</v>
      </c>
      <c r="AA44" s="288">
        <f t="shared" si="105"/>
        <v>3140.3999999999996</v>
      </c>
      <c r="AB44" s="288">
        <f t="shared" si="105"/>
        <v>4545.3</v>
      </c>
      <c r="AC44" s="288">
        <f t="shared" si="105"/>
        <v>4850.6000000000004</v>
      </c>
      <c r="AD44" s="288">
        <f t="shared" si="105"/>
        <v>6417.2999999999993</v>
      </c>
      <c r="AE44" s="288">
        <f t="shared" ref="AE44:AJ44" si="106">AE25+AE26</f>
        <v>8393.7999999999993</v>
      </c>
      <c r="AF44" s="288">
        <f t="shared" si="106"/>
        <v>11356.099999999999</v>
      </c>
      <c r="AG44" s="288">
        <f t="shared" si="106"/>
        <v>13966.509</v>
      </c>
      <c r="AH44" s="288">
        <f t="shared" si="106"/>
        <v>18150.485700000001</v>
      </c>
      <c r="AI44" s="288">
        <f t="shared" si="106"/>
        <v>21780.582840000003</v>
      </c>
      <c r="AJ44" s="288">
        <f t="shared" si="106"/>
        <v>26570.589976800002</v>
      </c>
      <c r="AK44" s="288">
        <f>AK25+AK26</f>
        <v>29227.648974480006</v>
      </c>
      <c r="AL44" s="288">
        <f t="shared" si="105"/>
        <v>35073.178769376005</v>
      </c>
      <c r="AM44" s="288">
        <f t="shared" si="105"/>
        <v>42087.814523251203</v>
      </c>
      <c r="AN44" s="288">
        <f t="shared" si="105"/>
        <v>54697.80165987456</v>
      </c>
      <c r="AO44" s="288">
        <f t="shared" si="105"/>
        <v>71087.513493414532</v>
      </c>
      <c r="AP44" s="288">
        <f t="shared" si="105"/>
        <v>92390.213144132023</v>
      </c>
    </row>
    <row r="45" spans="2:45">
      <c r="V45" s="288">
        <f>V44/V43*100</f>
        <v>5.3366786065982179</v>
      </c>
      <c r="W45" s="288">
        <f t="shared" ref="W45:AP45" si="107">W44/W43*100</f>
        <v>4.5685093894357234</v>
      </c>
      <c r="X45" s="288">
        <f t="shared" si="107"/>
        <v>3.6167072506413489</v>
      </c>
      <c r="Y45" s="288">
        <f t="shared" si="107"/>
        <v>3.7854352427271905</v>
      </c>
      <c r="Z45" s="288">
        <f t="shared" si="107"/>
        <v>4.0824272087655382</v>
      </c>
      <c r="AA45" s="288">
        <f t="shared" si="107"/>
        <v>3.7404282840410059</v>
      </c>
      <c r="AB45" s="288">
        <f t="shared" si="107"/>
        <v>4.4968998667343376</v>
      </c>
      <c r="AC45" s="288">
        <f t="shared" si="107"/>
        <v>4.1043579505117966</v>
      </c>
      <c r="AD45" s="288">
        <f t="shared" si="107"/>
        <v>4.8329629264229528</v>
      </c>
      <c r="AE45" s="288">
        <f t="shared" si="107"/>
        <v>5.3881049325379582</v>
      </c>
      <c r="AF45" s="288">
        <f>AF44/AF43*100</f>
        <v>6.418813129172106</v>
      </c>
      <c r="AG45" s="288">
        <f>AG44/AG43*100</f>
        <v>6.9868129757885225</v>
      </c>
      <c r="AH45" s="288">
        <f t="shared" si="107"/>
        <v>8.0505235704572993</v>
      </c>
      <c r="AI45" s="288">
        <f t="shared" si="107"/>
        <v>8.5544746048058986</v>
      </c>
      <c r="AJ45" s="288">
        <f>AJ44/AJ43*100</f>
        <v>9.1321904971542711</v>
      </c>
      <c r="AK45" s="288">
        <f>AK44/AK43*100</f>
        <v>8.9658775950662619</v>
      </c>
      <c r="AL45" s="288">
        <f t="shared" si="107"/>
        <v>9.5221953534708561</v>
      </c>
      <c r="AM45" s="288">
        <f t="shared" si="107"/>
        <v>10.166868325509025</v>
      </c>
      <c r="AN45" s="288">
        <f t="shared" si="107"/>
        <v>11.880052176445419</v>
      </c>
      <c r="AO45" s="288">
        <f t="shared" si="107"/>
        <v>13.908681697188888</v>
      </c>
      <c r="AP45" s="288">
        <f t="shared" si="107"/>
        <v>16.244945551378091</v>
      </c>
    </row>
    <row r="46" spans="2:45">
      <c r="AF46" s="281">
        <f>AF44/AF42*100</f>
        <v>6.5481768933115951</v>
      </c>
      <c r="AG46" s="281">
        <f t="shared" ref="AG46:AK46" si="108">AG44/AG42*100</f>
        <v>7.1454689373642921</v>
      </c>
      <c r="AH46" s="281">
        <f t="shared" si="108"/>
        <v>8.1778351424458986</v>
      </c>
      <c r="AI46" s="281">
        <f t="shared" si="108"/>
        <v>8.680130601180073</v>
      </c>
      <c r="AJ46" s="281">
        <f t="shared" si="108"/>
        <v>9.3145989074275999</v>
      </c>
      <c r="AK46" s="281">
        <f t="shared" si="108"/>
        <v>9.0196394339000072</v>
      </c>
    </row>
    <row r="48" spans="2:45">
      <c r="B48" s="1272"/>
      <c r="C48" s="1272" t="s">
        <v>1200</v>
      </c>
      <c r="AE48" s="1271">
        <v>34159.194306709374</v>
      </c>
      <c r="AF48" s="1271">
        <v>37956.334012859239</v>
      </c>
      <c r="AG48" s="1271">
        <v>42970.896127707216</v>
      </c>
      <c r="AH48" s="1271">
        <v>47069.925399269516</v>
      </c>
      <c r="AI48" s="1271">
        <v>49542.699234590589</v>
      </c>
      <c r="AJ48" s="1271">
        <v>53161.455136613476</v>
      </c>
      <c r="AK48" s="1271">
        <v>61161.194089495715</v>
      </c>
      <c r="AL48" s="1271">
        <v>65704.460598273159</v>
      </c>
      <c r="AM48" s="1271">
        <v>76936.114771363369</v>
      </c>
    </row>
    <row r="49" spans="3:39">
      <c r="AE49">
        <f>AE22/AE48*100</f>
        <v>65.993945283341233</v>
      </c>
      <c r="AF49">
        <f t="shared" ref="AF49:AM49" si="109">AF22/AF48*100</f>
        <v>75.708049123670691</v>
      </c>
      <c r="AG49">
        <f t="shared" si="109"/>
        <v>76.256198852859228</v>
      </c>
      <c r="AH49">
        <f t="shared" si="109"/>
        <v>82.693824623321092</v>
      </c>
      <c r="AI49">
        <f t="shared" si="109"/>
        <v>89.870821530275364</v>
      </c>
      <c r="AJ49">
        <f t="shared" si="109"/>
        <v>96.640477165901657</v>
      </c>
      <c r="AK49">
        <f t="shared" si="109"/>
        <v>90.848556168595465</v>
      </c>
      <c r="AL49">
        <f t="shared" si="109"/>
        <v>96.271924707427075</v>
      </c>
      <c r="AM49">
        <f t="shared" si="109"/>
        <v>95.217822655228005</v>
      </c>
    </row>
    <row r="50" spans="3:39">
      <c r="AA50" t="s">
        <v>358</v>
      </c>
      <c r="AE50">
        <f>100-AE49</f>
        <v>34.006054716658767</v>
      </c>
      <c r="AF50">
        <f t="shared" ref="AF50:AL50" si="110">100-AF49</f>
        <v>24.291950876329309</v>
      </c>
      <c r="AG50">
        <f t="shared" si="110"/>
        <v>23.743801147140772</v>
      </c>
      <c r="AH50">
        <f t="shared" si="110"/>
        <v>17.306175376678908</v>
      </c>
      <c r="AI50">
        <f t="shared" si="110"/>
        <v>10.129178469724636</v>
      </c>
      <c r="AJ50">
        <f t="shared" si="110"/>
        <v>3.3595228340983425</v>
      </c>
      <c r="AK50">
        <f t="shared" si="110"/>
        <v>9.151443831404535</v>
      </c>
      <c r="AL50">
        <f t="shared" si="110"/>
        <v>3.7280752925729246</v>
      </c>
      <c r="AM50">
        <f>100-AM49</f>
        <v>4.7821773447719949</v>
      </c>
    </row>
    <row r="51" spans="3:39">
      <c r="AE51" s="138">
        <v>34.006054716658767</v>
      </c>
      <c r="AF51" s="138">
        <v>24.291950876329309</v>
      </c>
      <c r="AG51" s="138">
        <v>22.507569074108744</v>
      </c>
      <c r="AH51" s="138">
        <v>16.064741499222499</v>
      </c>
      <c r="AI51" s="138">
        <v>8.8553492885334499</v>
      </c>
      <c r="AJ51" s="138">
        <v>2.0893062580758799</v>
      </c>
      <c r="AK51" s="138">
        <v>8.0032055566900304</v>
      </c>
      <c r="AL51" s="138">
        <v>2.6057922008557002</v>
      </c>
      <c r="AM51" s="138">
        <v>3.7278882642943398</v>
      </c>
    </row>
    <row r="52" spans="3:39">
      <c r="C52" s="19" t="s">
        <v>608</v>
      </c>
      <c r="AG52" s="112">
        <v>31141.707129999973</v>
      </c>
      <c r="AH52" s="112">
        <v>35795.110050000105</v>
      </c>
      <c r="AI52" s="112">
        <v>40493.1924</v>
      </c>
      <c r="AJ52" s="112">
        <v>47714.065735735843</v>
      </c>
      <c r="AK52" s="112">
        <v>54848.892499454152</v>
      </c>
    </row>
    <row r="53" spans="3:39">
      <c r="AG53" s="112">
        <v>116.73516658598882</v>
      </c>
      <c r="AH53" s="112">
        <v>114.942671256186</v>
      </c>
      <c r="AI53" s="112">
        <v>113.12492780001911</v>
      </c>
      <c r="AJ53" s="112">
        <v>117.8323142922558</v>
      </c>
      <c r="AK53" s="112">
        <v>114.95329868394472</v>
      </c>
    </row>
    <row r="54" spans="3:39">
      <c r="C54" s="1266" t="s">
        <v>1201</v>
      </c>
      <c r="AG54" s="46">
        <v>6651.9935999999989</v>
      </c>
      <c r="AH54" s="46">
        <v>7915.8723839999984</v>
      </c>
      <c r="AI54" s="46">
        <v>9499.0468607999974</v>
      </c>
      <c r="AJ54" s="46">
        <v>11303.865764351996</v>
      </c>
      <c r="AK54" s="46">
        <v>13451.600259578876</v>
      </c>
    </row>
    <row r="55" spans="3:39">
      <c r="C55" s="1266" t="s">
        <v>1202</v>
      </c>
      <c r="AG55" s="46">
        <v>120</v>
      </c>
      <c r="AH55" s="46">
        <v>119</v>
      </c>
      <c r="AI55" s="46">
        <v>120</v>
      </c>
      <c r="AJ55" s="46">
        <v>119</v>
      </c>
      <c r="AK55" s="46">
        <v>119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E09D-729A-4FF2-86A8-9AE6287A6003}">
  <dimension ref="C1:AP100"/>
  <sheetViews>
    <sheetView zoomScale="90" zoomScaleNormal="90" workbookViewId="0">
      <pane xSplit="3" ySplit="23" topLeftCell="T30" activePane="bottomRight" state="frozen"/>
      <selection pane="topRight" activeCell="D1" sqref="D1"/>
      <selection pane="bottomLeft" activeCell="A24" sqref="A24"/>
      <selection pane="bottomRight" activeCell="AP16" sqref="AP16"/>
    </sheetView>
  </sheetViews>
  <sheetFormatPr defaultRowHeight="15"/>
  <cols>
    <col min="1" max="1" width="2.42578125" customWidth="1"/>
    <col min="2" max="2" width="3" customWidth="1"/>
    <col min="3" max="3" width="40.5703125" style="32" customWidth="1"/>
    <col min="4" max="20" width="9.85546875" style="32" customWidth="1"/>
    <col min="21" max="21" width="10" style="32" customWidth="1"/>
  </cols>
  <sheetData>
    <row r="1" spans="3:42"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5">
        <v>2026</v>
      </c>
      <c r="AH1" s="5">
        <v>2027</v>
      </c>
      <c r="AI1" s="5">
        <v>2028</v>
      </c>
      <c r="AJ1" s="5">
        <v>2029</v>
      </c>
      <c r="AK1" s="5">
        <v>2030</v>
      </c>
      <c r="AL1" s="5">
        <v>2031</v>
      </c>
      <c r="AM1" s="5">
        <v>2032</v>
      </c>
      <c r="AN1" s="5">
        <v>2033</v>
      </c>
      <c r="AO1" s="5">
        <v>2034</v>
      </c>
      <c r="AP1" s="5">
        <v>2035</v>
      </c>
    </row>
    <row r="2" spans="3:42">
      <c r="C2" s="20" t="s">
        <v>359</v>
      </c>
      <c r="D2" s="20"/>
      <c r="E2" s="20"/>
      <c r="F2" s="20"/>
      <c r="G2" s="760">
        <v>1.9367939393939382</v>
      </c>
      <c r="H2" s="760">
        <v>2.3588319819819761</v>
      </c>
      <c r="I2" s="760">
        <v>2.767768627450979</v>
      </c>
      <c r="J2" s="760">
        <v>3.0617000000000001</v>
      </c>
      <c r="K2" s="760">
        <v>2.9708999999999999</v>
      </c>
      <c r="L2" s="760">
        <v>3.1166</v>
      </c>
      <c r="M2" s="760">
        <v>3.2984</v>
      </c>
      <c r="N2" s="760">
        <v>3.4424999999999999</v>
      </c>
      <c r="O2" s="760">
        <v>3.43</v>
      </c>
      <c r="P2" s="760">
        <v>4.1399999999999997</v>
      </c>
      <c r="Q2" s="993">
        <v>4.3789999999999996</v>
      </c>
      <c r="R2" s="993">
        <v>4.6096000000000004</v>
      </c>
      <c r="S2" s="993">
        <v>4.7626999999999997</v>
      </c>
      <c r="T2" s="993">
        <v>4.7641999999999998</v>
      </c>
      <c r="U2" s="993">
        <v>4.9348999999999998</v>
      </c>
      <c r="V2">
        <f>Assumptions!V12</f>
        <v>6.1645000000000003</v>
      </c>
      <c r="W2">
        <f>Assumptions!W12</f>
        <v>7.8356000000000003</v>
      </c>
      <c r="X2">
        <f>Assumptions!X12</f>
        <v>8.5496999999999996</v>
      </c>
      <c r="Y2">
        <f>Assumptions!Y12</f>
        <v>9.1511999999999993</v>
      </c>
      <c r="Z2">
        <f>Assumptions!Z12</f>
        <v>9.5300999999999991</v>
      </c>
      <c r="AA2">
        <f>Assumptions!AA12</f>
        <v>10.321899999999999</v>
      </c>
      <c r="AB2">
        <f>Assumptions!AB12</f>
        <v>11.3089</v>
      </c>
      <c r="AC2">
        <f>Assumptions!AC12</f>
        <v>11.0258</v>
      </c>
      <c r="AD2">
        <f>Assumptions!AD12</f>
        <v>10.8445</v>
      </c>
      <c r="AE2">
        <f>Assumptions!AE12</f>
        <v>10.7986</v>
      </c>
      <c r="AF2">
        <f>Assumptions!AF12</f>
        <v>10.040900000000001</v>
      </c>
      <c r="AG2">
        <f>Assumptions!AG12</f>
        <v>9.1766780000000008</v>
      </c>
      <c r="AH2">
        <f>Assumptions!AH12</f>
        <v>9.4140239999999995</v>
      </c>
      <c r="AI2">
        <f>Assumptions!AI12</f>
        <v>9.6920520000000003</v>
      </c>
      <c r="AJ2">
        <f>Assumptions!AJ12</f>
        <v>9.8826689999999999</v>
      </c>
      <c r="AK2">
        <f>Assumptions!AK12</f>
        <v>10.01421</v>
      </c>
      <c r="AL2">
        <f>Assumptions!AL12</f>
        <v>10.298360000000001</v>
      </c>
      <c r="AM2">
        <f>Assumptions!AM12</f>
        <v>10.46302</v>
      </c>
      <c r="AN2">
        <f>Assumptions!AN12</f>
        <v>10.34029</v>
      </c>
      <c r="AO2">
        <f>Assumptions!AO12</f>
        <v>10.34029</v>
      </c>
      <c r="AP2">
        <f>Assumptions!AP12</f>
        <v>10.34029</v>
      </c>
    </row>
    <row r="3" spans="3:42">
      <c r="C3" s="32" t="s">
        <v>360</v>
      </c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993">
        <v>6079.2</v>
      </c>
      <c r="R3" s="993">
        <v>7506.7</v>
      </c>
      <c r="S3" s="993">
        <v>9204.7999999999993</v>
      </c>
      <c r="T3" s="299">
        <v>11586.3</v>
      </c>
      <c r="U3" s="378">
        <v>13122.1</v>
      </c>
      <c r="V3">
        <v>14696.7</v>
      </c>
      <c r="W3">
        <v>16573.400000000001</v>
      </c>
      <c r="X3">
        <v>18959.599999999999</v>
      </c>
      <c r="Y3">
        <v>20989</v>
      </c>
      <c r="Z3">
        <v>25456.799999999999</v>
      </c>
      <c r="AA3">
        <v>27599.7</v>
      </c>
      <c r="AB3">
        <v>33797.9</v>
      </c>
      <c r="AC3">
        <f>AC6+AC9</f>
        <v>47563.399999999994</v>
      </c>
      <c r="AD3">
        <f t="shared" ref="AD3:AP3" si="0">AD6+AD9</f>
        <v>56124.4</v>
      </c>
      <c r="AE3">
        <f t="shared" si="0"/>
        <v>65783.8</v>
      </c>
      <c r="AF3" s="94">
        <f>AF6+AF9</f>
        <v>77307.100000000006</v>
      </c>
      <c r="AG3" s="94">
        <f>AG6+AG9</f>
        <v>89946.541177669904</v>
      </c>
      <c r="AH3">
        <f t="shared" si="0"/>
        <v>105319.77392904399</v>
      </c>
      <c r="AI3" s="94">
        <f>AI6+AI9</f>
        <v>120054.47057104275</v>
      </c>
      <c r="AJ3" s="94">
        <f>AJ6+AJ9</f>
        <v>138358.42123583407</v>
      </c>
      <c r="AK3" s="94">
        <f>AK6+AK9</f>
        <v>149157.7179315917</v>
      </c>
      <c r="AL3">
        <f t="shared" si="0"/>
        <v>160879.07437051309</v>
      </c>
      <c r="AM3">
        <f t="shared" si="0"/>
        <v>174656.34444130448</v>
      </c>
      <c r="AN3">
        <f t="shared" si="0"/>
        <v>194923.91701782183</v>
      </c>
      <c r="AO3">
        <f t="shared" si="0"/>
        <v>210618.08386618146</v>
      </c>
      <c r="AP3">
        <f t="shared" si="0"/>
        <v>228337.24860437328</v>
      </c>
    </row>
    <row r="4" spans="3:42">
      <c r="C4" s="20" t="s">
        <v>77</v>
      </c>
      <c r="D4" s="20"/>
      <c r="E4" s="20"/>
      <c r="F4" s="20"/>
      <c r="G4" s="760"/>
      <c r="H4" s="760"/>
      <c r="I4" s="760"/>
      <c r="J4" s="760"/>
      <c r="K4" s="760"/>
      <c r="L4" s="760"/>
      <c r="M4" s="760"/>
      <c r="N4" s="760"/>
      <c r="O4" s="760"/>
      <c r="P4" s="760"/>
      <c r="Q4" s="993"/>
      <c r="R4" s="993"/>
      <c r="S4" s="993"/>
      <c r="T4" s="993"/>
      <c r="U4" s="993"/>
      <c r="Y4">
        <v>115.4</v>
      </c>
      <c r="Z4">
        <v>109</v>
      </c>
      <c r="AA4">
        <v>93.2</v>
      </c>
      <c r="AB4">
        <v>113</v>
      </c>
      <c r="AC4">
        <v>111.2</v>
      </c>
      <c r="AD4">
        <v>113.4</v>
      </c>
      <c r="AE4" s="175">
        <v>113.6</v>
      </c>
      <c r="AF4" s="175">
        <v>113.9</v>
      </c>
      <c r="AG4" s="138">
        <f>AG3/AF3/AG5*10000</f>
        <v>114.3279423781605</v>
      </c>
      <c r="AH4" s="138">
        <f>AH3/AG3/AH5*10000</f>
        <v>114.4652322077294</v>
      </c>
      <c r="AI4" s="138">
        <f>AI3/AH3/AI5*10000</f>
        <v>113.63166095807681</v>
      </c>
      <c r="AJ4" s="138">
        <f>AJ3/AI3/AJ5*10000</f>
        <v>113.89224358350485</v>
      </c>
      <c r="AK4" s="138">
        <f>AK3/AJ3/AK5*10000</f>
        <v>108.36872265199328</v>
      </c>
      <c r="AL4" s="138">
        <f t="shared" ref="AL4:AP4" si="1">AL3/AK3/AL5*10000</f>
        <v>109.8489746524762</v>
      </c>
      <c r="AM4" s="138">
        <f t="shared" si="1"/>
        <v>109.32916297519593</v>
      </c>
      <c r="AN4" s="138">
        <f t="shared" si="1"/>
        <v>109.35302151139886</v>
      </c>
      <c r="AO4" s="138">
        <f t="shared" si="1"/>
        <v>106.10895341643496</v>
      </c>
      <c r="AP4" s="138">
        <f t="shared" si="1"/>
        <v>106.39788604260637</v>
      </c>
    </row>
    <row r="5" spans="3:42">
      <c r="C5" s="20" t="s">
        <v>79</v>
      </c>
      <c r="D5" s="20"/>
      <c r="E5" s="20"/>
      <c r="F5" s="20"/>
      <c r="G5" s="760"/>
      <c r="H5" s="760"/>
      <c r="I5" s="760"/>
      <c r="J5" s="760"/>
      <c r="K5" s="760"/>
      <c r="L5" s="760"/>
      <c r="M5" s="760"/>
      <c r="N5" s="760"/>
      <c r="O5" s="760"/>
      <c r="P5" s="760"/>
      <c r="Q5" s="993"/>
      <c r="R5" s="993"/>
      <c r="S5" s="993"/>
      <c r="T5" s="993"/>
      <c r="U5" s="993"/>
      <c r="Y5" s="94">
        <f>Y3/X3/Y4*10000</f>
        <v>95.930513272717121</v>
      </c>
      <c r="Z5" s="94">
        <f t="shared" ref="Z5:AE5" si="2">Z3/Y3/Z4*10000</f>
        <v>111.27191569546477</v>
      </c>
      <c r="AA5" s="94">
        <f t="shared" si="2"/>
        <v>116.32810100706837</v>
      </c>
      <c r="AB5" s="94">
        <f t="shared" si="2"/>
        <v>108.36946060174247</v>
      </c>
      <c r="AC5" s="94">
        <f t="shared" si="2"/>
        <v>126.55473188162193</v>
      </c>
      <c r="AD5" s="94">
        <f t="shared" si="2"/>
        <v>104.05567353416612</v>
      </c>
      <c r="AE5" s="94">
        <f t="shared" si="2"/>
        <v>103.17842978791279</v>
      </c>
      <c r="AF5" s="94">
        <f>AF3/AE3/AF4*10000</f>
        <v>103.17552823507914</v>
      </c>
      <c r="AG5" s="374">
        <f>+AG12-3.3</f>
        <v>101.76834179574399</v>
      </c>
      <c r="AH5" s="374">
        <f>+AH12+0.4</f>
        <v>102.29439944837955</v>
      </c>
      <c r="AI5" s="374">
        <f>+AI12-0.3</f>
        <v>100.31573600148478</v>
      </c>
      <c r="AJ5" s="374">
        <f>+AJ12+0.5</f>
        <v>101.18895540190937</v>
      </c>
      <c r="AK5" s="374">
        <f>+AK12-1</f>
        <v>99.480091956121143</v>
      </c>
      <c r="AL5" s="374">
        <f>+AL12-2.1</f>
        <v>98.187865987079689</v>
      </c>
      <c r="AM5" s="374">
        <f>+AM12-1.9</f>
        <v>99.299893822995259</v>
      </c>
      <c r="AN5" s="374">
        <f>+AN12-1.9</f>
        <v>102.05868691760048</v>
      </c>
      <c r="AO5" s="374">
        <f>+AO12-1.9</f>
        <v>101.83064541947358</v>
      </c>
      <c r="AP5" s="374">
        <f>+AP12-1.9</f>
        <v>101.89388163422473</v>
      </c>
    </row>
    <row r="6" spans="3:42">
      <c r="C6" s="32" t="s">
        <v>361</v>
      </c>
      <c r="G6" s="760"/>
      <c r="H6" s="760"/>
      <c r="I6" s="760"/>
      <c r="J6" s="760"/>
      <c r="K6" s="760"/>
      <c r="L6" s="760"/>
      <c r="M6" s="760"/>
      <c r="N6" s="760"/>
      <c r="O6" s="760"/>
      <c r="P6" s="760"/>
      <c r="Q6" s="993">
        <v>81.5</v>
      </c>
      <c r="R6" s="993">
        <v>81.199999999999818</v>
      </c>
      <c r="S6" s="993">
        <v>190.89999999999964</v>
      </c>
      <c r="T6" s="993">
        <v>10274.599999999999</v>
      </c>
      <c r="U6" s="993">
        <v>298.20000000000073</v>
      </c>
      <c r="V6">
        <v>319</v>
      </c>
      <c r="W6">
        <v>406.70000000000073</v>
      </c>
      <c r="X6">
        <v>524.39999999999782</v>
      </c>
      <c r="Y6">
        <v>509.29999999999927</v>
      </c>
      <c r="Z6">
        <v>508.5</v>
      </c>
      <c r="AA6">
        <v>574.90000000000146</v>
      </c>
      <c r="AB6">
        <v>538.40000000000146</v>
      </c>
      <c r="AC6">
        <v>7977.2</v>
      </c>
      <c r="AD6">
        <v>8583.9</v>
      </c>
      <c r="AE6" s="704">
        <v>10120.799999999999</v>
      </c>
      <c r="AF6" s="704">
        <v>11601.5</v>
      </c>
      <c r="AG6" s="91">
        <f>AG9*0.14296</f>
        <v>11250.400299887739</v>
      </c>
      <c r="AH6" s="91">
        <f>AH9*0.15</f>
        <v>13737.361816831826</v>
      </c>
      <c r="AI6" s="91">
        <f>AI9*0.15</f>
        <v>15659.27877013601</v>
      </c>
      <c r="AJ6" s="91">
        <f>AJ9*0.16</f>
        <v>19083.920170459874</v>
      </c>
      <c r="AK6" s="91">
        <f>AK9*0.15</f>
        <v>19455.35451281631</v>
      </c>
      <c r="AL6" s="91">
        <f t="shared" ref="AL6" si="3">AL9*0.15</f>
        <v>20984.227091806053</v>
      </c>
      <c r="AM6" s="91">
        <f>AM9*0.15</f>
        <v>22781.262318431018</v>
      </c>
      <c r="AN6" s="91">
        <f>AN9*0.19</f>
        <v>31122.306078475754</v>
      </c>
      <c r="AO6" s="91">
        <f t="shared" ref="AO6:AP6" si="4">AO9*0.19</f>
        <v>33628.097424012165</v>
      </c>
      <c r="AP6" s="91">
        <f t="shared" si="4"/>
        <v>36457.207760362122</v>
      </c>
    </row>
    <row r="7" spans="3:42">
      <c r="C7" s="20" t="s">
        <v>77</v>
      </c>
      <c r="D7" s="20"/>
      <c r="E7" s="20"/>
      <c r="F7" s="20"/>
      <c r="G7" s="760"/>
      <c r="H7" s="760"/>
      <c r="I7" s="760"/>
      <c r="J7" s="760"/>
      <c r="K7" s="760"/>
      <c r="L7" s="760"/>
      <c r="M7" s="760"/>
      <c r="N7" s="760"/>
      <c r="O7" s="760"/>
      <c r="P7" s="760"/>
      <c r="Q7" s="993"/>
      <c r="R7" s="993"/>
      <c r="S7" s="993"/>
      <c r="T7" s="993"/>
      <c r="U7" s="993"/>
      <c r="Y7" s="299">
        <v>95.992564947581499</v>
      </c>
      <c r="Z7" s="299">
        <v>106.7</v>
      </c>
      <c r="AA7" s="299">
        <v>70.8</v>
      </c>
      <c r="AB7" s="299">
        <v>106.5</v>
      </c>
      <c r="AC7" s="299">
        <v>116.2</v>
      </c>
      <c r="AD7" s="299">
        <v>103.4</v>
      </c>
      <c r="AE7" s="705">
        <v>114.2</v>
      </c>
      <c r="AF7" s="705">
        <v>111.1</v>
      </c>
      <c r="AG7" s="374">
        <f>AG6/AF6/AG8*10000</f>
        <v>96.907441497383132</v>
      </c>
      <c r="AH7" s="374">
        <f t="shared" ref="AH7:AP7" si="5">AH6/AG6/AH8*10000</f>
        <v>117.52850844648398</v>
      </c>
      <c r="AI7" s="374">
        <f t="shared" si="5"/>
        <v>111.08475314074363</v>
      </c>
      <c r="AJ7" s="374">
        <f>AJ6/AI6/AJ8*10000</f>
        <v>114.22899942599285</v>
      </c>
      <c r="AK7" s="374">
        <f t="shared" si="5"/>
        <v>101.45922341108736</v>
      </c>
      <c r="AL7" s="374">
        <f t="shared" si="5"/>
        <v>107.54876769822792</v>
      </c>
      <c r="AM7" s="374">
        <f t="shared" si="5"/>
        <v>107.27653819659491</v>
      </c>
      <c r="AN7" s="374">
        <f t="shared" si="5"/>
        <v>131.41144757918283</v>
      </c>
      <c r="AO7" s="374">
        <f t="shared" si="5"/>
        <v>104.16539073371999</v>
      </c>
      <c r="AP7" s="374">
        <f t="shared" si="5"/>
        <v>104.45021841231811</v>
      </c>
    </row>
    <row r="8" spans="3:42">
      <c r="C8" s="20" t="s">
        <v>79</v>
      </c>
      <c r="D8" s="20"/>
      <c r="E8" s="20"/>
      <c r="F8" s="20"/>
      <c r="G8" s="760"/>
      <c r="H8" s="760"/>
      <c r="I8" s="760"/>
      <c r="J8" s="760"/>
      <c r="K8" s="760"/>
      <c r="L8" s="760"/>
      <c r="M8" s="760"/>
      <c r="N8" s="760"/>
      <c r="O8" s="760"/>
      <c r="P8" s="760"/>
      <c r="Q8" s="993"/>
      <c r="R8" s="993"/>
      <c r="S8" s="993"/>
      <c r="T8" s="993"/>
      <c r="U8" s="993"/>
      <c r="Y8" s="375">
        <f>Y12</f>
        <v>101.1750428182215</v>
      </c>
      <c r="Z8" s="375">
        <f t="shared" ref="Z8:AF8" si="6">Z12</f>
        <v>111.14932076766493</v>
      </c>
      <c r="AA8" s="375">
        <f t="shared" si="6"/>
        <v>109.30697517986873</v>
      </c>
      <c r="AB8" s="375">
        <f t="shared" si="6"/>
        <v>109.20167789882674</v>
      </c>
      <c r="AC8" s="375">
        <f t="shared" si="6"/>
        <v>108.0056572131227</v>
      </c>
      <c r="AD8" s="375">
        <f>AD12</f>
        <v>104.06726038406309</v>
      </c>
      <c r="AE8" s="376">
        <f>AE12</f>
        <v>103.15897129583971</v>
      </c>
      <c r="AF8" s="376">
        <f t="shared" si="6"/>
        <v>103.18338040523335</v>
      </c>
      <c r="AG8" s="376">
        <f>AG12-5</f>
        <v>100.06834179574399</v>
      </c>
      <c r="AH8" s="376">
        <f>AH12+2</f>
        <v>103.89439944837954</v>
      </c>
      <c r="AI8" s="376">
        <f>AI12+2</f>
        <v>102.61573600148478</v>
      </c>
      <c r="AJ8" s="376">
        <f>AJ12+6</f>
        <v>106.68895540190937</v>
      </c>
      <c r="AK8" s="376">
        <f>AK12</f>
        <v>100.48009195612114</v>
      </c>
      <c r="AL8" s="376">
        <f t="shared" ref="AL8:AP8" si="7">AL12</f>
        <v>100.28786598707968</v>
      </c>
      <c r="AM8" s="376">
        <f t="shared" si="7"/>
        <v>101.19989382299526</v>
      </c>
      <c r="AN8" s="376">
        <f t="shared" si="7"/>
        <v>103.95868691760049</v>
      </c>
      <c r="AO8" s="376">
        <f t="shared" si="7"/>
        <v>103.73064541947359</v>
      </c>
      <c r="AP8" s="376">
        <f t="shared" si="7"/>
        <v>103.79388163422473</v>
      </c>
    </row>
    <row r="9" spans="3:42">
      <c r="C9" s="19" t="s">
        <v>362</v>
      </c>
      <c r="D9" s="19"/>
      <c r="E9" s="19"/>
      <c r="F9" s="19"/>
      <c r="G9"/>
      <c r="H9"/>
      <c r="I9"/>
      <c r="J9" s="803">
        <v>1434.8</v>
      </c>
      <c r="K9" s="979">
        <v>1868.9</v>
      </c>
      <c r="L9" s="979">
        <v>2219.3000000000002</v>
      </c>
      <c r="M9" s="979">
        <v>2732.6</v>
      </c>
      <c r="N9" s="979">
        <v>3473.8</v>
      </c>
      <c r="O9" s="979">
        <v>4701.6000000000004</v>
      </c>
      <c r="P9" s="979">
        <v>5565.8</v>
      </c>
      <c r="Q9" s="378">
        <v>5997.7</v>
      </c>
      <c r="R9" s="378">
        <v>7425.5</v>
      </c>
      <c r="S9" s="1041">
        <v>9013.9</v>
      </c>
      <c r="T9" s="1041">
        <v>1311.7</v>
      </c>
      <c r="U9" s="378">
        <v>12823.9</v>
      </c>
      <c r="V9">
        <v>14377.7</v>
      </c>
      <c r="W9">
        <v>16166.7</v>
      </c>
      <c r="X9">
        <v>18435.2</v>
      </c>
      <c r="Y9">
        <v>20479.7</v>
      </c>
      <c r="Z9">
        <v>24948.3</v>
      </c>
      <c r="AA9">
        <v>27024.799999999999</v>
      </c>
      <c r="AB9">
        <v>33259.5</v>
      </c>
      <c r="AC9">
        <v>39586.199999999997</v>
      </c>
      <c r="AD9">
        <v>47540.5</v>
      </c>
      <c r="AE9" s="175">
        <v>55663</v>
      </c>
      <c r="AF9" s="175">
        <v>65705.600000000006</v>
      </c>
      <c r="AG9" s="377">
        <f>AG43*AG48</f>
        <v>78696.140877782163</v>
      </c>
      <c r="AH9" s="377">
        <f t="shared" ref="AH9:AI9" si="8">AH43*AH48</f>
        <v>91582.412112212172</v>
      </c>
      <c r="AI9" s="377">
        <f t="shared" si="8"/>
        <v>104395.19180090674</v>
      </c>
      <c r="AJ9" s="377">
        <f>AJ43*AJ48</f>
        <v>119274.50106537421</v>
      </c>
      <c r="AK9" s="377">
        <f>AK43*AK48</f>
        <v>129702.36341877539</v>
      </c>
      <c r="AL9" s="377">
        <f>AL43*AL48</f>
        <v>139894.84727870702</v>
      </c>
      <c r="AM9" s="377">
        <f t="shared" ref="AM9:AP9" si="9">AM43*AM48</f>
        <v>151875.08212287346</v>
      </c>
      <c r="AN9" s="377">
        <f t="shared" si="9"/>
        <v>163801.61093934608</v>
      </c>
      <c r="AO9" s="377">
        <f t="shared" si="9"/>
        <v>176989.98644216929</v>
      </c>
      <c r="AP9" s="377">
        <f t="shared" si="9"/>
        <v>191880.04084401115</v>
      </c>
    </row>
    <row r="10" spans="3:42">
      <c r="C10" s="32" t="s">
        <v>363</v>
      </c>
      <c r="G10"/>
      <c r="H10"/>
      <c r="I10"/>
      <c r="J10" s="803">
        <v>100</v>
      </c>
      <c r="K10" s="979">
        <v>123.2</v>
      </c>
      <c r="L10" s="979">
        <v>136</v>
      </c>
      <c r="M10" s="979">
        <v>150.69999999999999</v>
      </c>
      <c r="N10" s="979">
        <v>158.69999999999999</v>
      </c>
      <c r="O10" s="979">
        <v>178.4</v>
      </c>
      <c r="P10" s="979">
        <v>200.7</v>
      </c>
      <c r="Q10" s="390">
        <v>215.7525</v>
      </c>
      <c r="R10" s="390">
        <v>235.38597749999997</v>
      </c>
      <c r="S10" s="390">
        <v>272.81234792249995</v>
      </c>
      <c r="T10" s="390">
        <v>325.46513107154243</v>
      </c>
      <c r="U10" s="390">
        <v>346.6203645911927</v>
      </c>
      <c r="V10" s="94">
        <v>365.68448464370829</v>
      </c>
      <c r="W10" s="378">
        <f t="shared" ref="W10:AK10" si="10">V10*W11/100</f>
        <v>389.08829166090567</v>
      </c>
      <c r="X10" s="378">
        <f t="shared" si="10"/>
        <v>414.76811891052546</v>
      </c>
      <c r="Y10" s="378">
        <f t="shared" si="10"/>
        <v>455.41539456375693</v>
      </c>
      <c r="Z10" s="378">
        <f t="shared" si="10"/>
        <v>499.13527244187759</v>
      </c>
      <c r="AA10" s="378">
        <f t="shared" si="10"/>
        <v>494.64305498990063</v>
      </c>
      <c r="AB10" s="378">
        <f t="shared" si="10"/>
        <v>557.46272297361804</v>
      </c>
      <c r="AC10" s="378">
        <f t="shared" si="10"/>
        <v>614.32392071692709</v>
      </c>
      <c r="AD10" s="378">
        <f t="shared" si="10"/>
        <v>708.92980450733387</v>
      </c>
      <c r="AE10" s="379">
        <f t="shared" si="10"/>
        <v>804.635328115824</v>
      </c>
      <c r="AF10" s="379">
        <f>AE10*AF11/100</f>
        <v>920.50281536450279</v>
      </c>
      <c r="AG10" s="379">
        <f>AF10*AG11/100</f>
        <v>1049.3111634727718</v>
      </c>
      <c r="AH10" s="379">
        <f>AG10*AH11/100</f>
        <v>1198.4298599617975</v>
      </c>
      <c r="AI10" s="379">
        <f t="shared" si="10"/>
        <v>1357.735369284715</v>
      </c>
      <c r="AJ10" s="379">
        <f t="shared" si="10"/>
        <v>1540.6373002798248</v>
      </c>
      <c r="AK10" s="379">
        <f t="shared" si="10"/>
        <v>1667.3265498084825</v>
      </c>
      <c r="AL10" s="379">
        <f t="shared" ref="AL10" si="11">AK10*AL11/100</f>
        <v>1793.1891578244033</v>
      </c>
      <c r="AM10" s="379">
        <f t="shared" ref="AM10" si="12">AL10*AM11/100</f>
        <v>1923.6712518306949</v>
      </c>
      <c r="AN10" s="379">
        <f t="shared" ref="AN10" si="13">AM10*AN11/100</f>
        <v>1995.7296621278717</v>
      </c>
      <c r="AO10" s="379">
        <f t="shared" ref="AO10" si="14">AN10*AO11/100</f>
        <v>2078.8596005442473</v>
      </c>
      <c r="AP10" s="379">
        <f t="shared" ref="AP10" si="15">AO10*AP11/100</f>
        <v>2171.3733932539103</v>
      </c>
    </row>
    <row r="11" spans="3:42">
      <c r="C11" s="20" t="s">
        <v>77</v>
      </c>
      <c r="D11" s="20"/>
      <c r="E11" s="20"/>
      <c r="F11" s="20"/>
      <c r="G11"/>
      <c r="H11"/>
      <c r="I11"/>
      <c r="J11"/>
      <c r="K11" s="979">
        <v>123.2</v>
      </c>
      <c r="L11" s="979">
        <v>110.3896103896104</v>
      </c>
      <c r="M11" s="979">
        <v>110.80882352941175</v>
      </c>
      <c r="N11" s="979">
        <v>105.3085600530856</v>
      </c>
      <c r="O11" s="299">
        <v>112.41335853812227</v>
      </c>
      <c r="P11" s="299">
        <v>112.5</v>
      </c>
      <c r="Q11" s="378">
        <v>107.5</v>
      </c>
      <c r="R11" s="378">
        <v>109.1</v>
      </c>
      <c r="S11" s="378">
        <v>115.9</v>
      </c>
      <c r="T11" s="378">
        <v>119.3</v>
      </c>
      <c r="U11" s="378">
        <v>106.5</v>
      </c>
      <c r="V11" s="378">
        <v>105.5</v>
      </c>
      <c r="W11" s="378">
        <v>106.4</v>
      </c>
      <c r="X11" s="380">
        <v>106.6</v>
      </c>
      <c r="Y11" s="381">
        <v>109.8</v>
      </c>
      <c r="Z11" s="381">
        <v>109.6</v>
      </c>
      <c r="AA11" s="381">
        <v>99.1</v>
      </c>
      <c r="AB11" s="381">
        <v>112.7</v>
      </c>
      <c r="AC11" s="382">
        <v>110.2</v>
      </c>
      <c r="AD11" s="381">
        <v>115.4</v>
      </c>
      <c r="AE11" s="640">
        <v>113.5</v>
      </c>
      <c r="AF11" s="640">
        <v>114.4</v>
      </c>
      <c r="AG11" s="384">
        <f t="shared" ref="AG11:AL11" si="16">AG9/AF9/AG12*10000</f>
        <v>113.99325954883291</v>
      </c>
      <c r="AH11" s="384">
        <f t="shared" si="16"/>
        <v>114.21110359633519</v>
      </c>
      <c r="AI11" s="384">
        <f t="shared" si="16"/>
        <v>113.29285214305288</v>
      </c>
      <c r="AJ11" s="384">
        <f t="shared" si="16"/>
        <v>113.47110306859477</v>
      </c>
      <c r="AK11" s="384">
        <f t="shared" si="16"/>
        <v>108.2231716384932</v>
      </c>
      <c r="AL11" s="384">
        <f t="shared" si="16"/>
        <v>107.54876769822792</v>
      </c>
      <c r="AM11" s="384">
        <f t="shared" ref="AM11:AP11" si="17">AM9/AL9/AM12*10000</f>
        <v>107.27653819659493</v>
      </c>
      <c r="AN11" s="384">
        <f t="shared" si="17"/>
        <v>103.74587966777594</v>
      </c>
      <c r="AO11" s="384">
        <f t="shared" si="17"/>
        <v>104.16539073371999</v>
      </c>
      <c r="AP11" s="384">
        <f t="shared" si="17"/>
        <v>104.45021841231811</v>
      </c>
    </row>
    <row r="12" spans="3:42">
      <c r="C12" s="20" t="s">
        <v>79</v>
      </c>
      <c r="D12" s="20"/>
      <c r="E12" s="20"/>
      <c r="F12" s="20"/>
      <c r="G12"/>
      <c r="H12"/>
      <c r="I12"/>
      <c r="J12"/>
      <c r="K12" s="979">
        <v>105.72653231908879</v>
      </c>
      <c r="L12" s="979">
        <v>107.57262057265518</v>
      </c>
      <c r="M12" s="979">
        <v>111.11833029245668</v>
      </c>
      <c r="N12" s="979">
        <v>120.71606559941551</v>
      </c>
      <c r="O12" s="979">
        <v>120.39901768188102</v>
      </c>
      <c r="P12" s="299">
        <v>105.22753483447715</v>
      </c>
      <c r="Q12" s="391">
        <v>100.24175884784735</v>
      </c>
      <c r="R12" s="391">
        <v>113.47918626979938</v>
      </c>
      <c r="S12" s="391">
        <v>104.73783616131921</v>
      </c>
      <c r="T12" s="391">
        <v>12.197795251995412</v>
      </c>
      <c r="U12" s="391">
        <v>917.98587003712703</v>
      </c>
      <c r="V12" s="385">
        <v>106.27150600650172</v>
      </c>
      <c r="W12" s="385">
        <f t="shared" ref="W12" si="18">W9/V9/W11*10000</f>
        <v>105.67939877235743</v>
      </c>
      <c r="X12" s="385">
        <f t="shared" ref="X12" si="19">X9/W9/X11*10000</f>
        <v>106.97179158637196</v>
      </c>
      <c r="Y12" s="385">
        <f t="shared" ref="Y12" si="20">Y9/X9/Y11*10000</f>
        <v>101.1750428182215</v>
      </c>
      <c r="Z12" s="385">
        <f t="shared" ref="Z12" si="21">Z9/Y9/Z11*10000</f>
        <v>111.14932076766493</v>
      </c>
      <c r="AA12" s="385">
        <f t="shared" ref="AA12" si="22">AA9/Z9/AA11*10000</f>
        <v>109.30697517986873</v>
      </c>
      <c r="AB12" s="385">
        <f t="shared" ref="AB12" si="23">AB9/AA9/AB11*10000</f>
        <v>109.20167789882674</v>
      </c>
      <c r="AC12" s="385">
        <f t="shared" ref="AC12" si="24">AC9/AB9/AC11*10000</f>
        <v>108.0056572131227</v>
      </c>
      <c r="AD12" s="385">
        <f t="shared" ref="AD12" si="25">AD9/AC9/AD11*10000</f>
        <v>104.06726038406309</v>
      </c>
      <c r="AE12" s="641">
        <f>AE9/AD9/AE11*10000</f>
        <v>103.15897129583971</v>
      </c>
      <c r="AF12" s="641">
        <f>AF9/AE9/AF11*10000</f>
        <v>103.18338040523335</v>
      </c>
      <c r="AG12" s="376">
        <f>Monetary!AG4-3.1</f>
        <v>105.06834179574399</v>
      </c>
      <c r="AH12" s="376">
        <f>Monetary!AH4-2.2</f>
        <v>101.89439944837954</v>
      </c>
      <c r="AI12" s="376">
        <f>Monetary!AI4-3.5</f>
        <v>100.61573600148478</v>
      </c>
      <c r="AJ12" s="376">
        <f>Monetary!AJ4-4.52</f>
        <v>100.68895540190937</v>
      </c>
      <c r="AK12" s="376">
        <f>Monetary!AK4-4.7</f>
        <v>100.48009195612114</v>
      </c>
      <c r="AL12" s="376">
        <f>Monetary!AL4-3.7</f>
        <v>100.28786598707968</v>
      </c>
      <c r="AM12" s="376">
        <f>Monetary!AM4-5.5</f>
        <v>101.19989382299526</v>
      </c>
      <c r="AN12" s="376">
        <f>Monetary!AN4</f>
        <v>103.95868691760049</v>
      </c>
      <c r="AO12" s="376">
        <f>Monetary!AO4</f>
        <v>103.73064541947359</v>
      </c>
      <c r="AP12" s="376">
        <f>Monetary!AP4</f>
        <v>103.79388163422473</v>
      </c>
    </row>
    <row r="13" spans="3:42">
      <c r="C13" s="20"/>
      <c r="D13" s="20"/>
      <c r="E13" s="20"/>
      <c r="F13" s="20"/>
      <c r="G13"/>
      <c r="H13"/>
      <c r="I13"/>
      <c r="J13"/>
      <c r="K13" s="979"/>
      <c r="L13" s="979"/>
      <c r="M13" s="979"/>
      <c r="N13" s="979"/>
      <c r="O13" s="979"/>
      <c r="P13" s="979"/>
      <c r="Q13" s="388"/>
      <c r="R13" s="1038"/>
      <c r="S13" s="1039"/>
      <c r="T13" s="1038"/>
      <c r="U13" s="1038"/>
      <c r="W13" s="726">
        <f>W3-V3</f>
        <v>1876.7000000000007</v>
      </c>
      <c r="X13" s="726">
        <f t="shared" ref="X13:AD13" si="26">X3-W3</f>
        <v>2386.1999999999971</v>
      </c>
      <c r="Y13" s="726">
        <f t="shared" si="26"/>
        <v>2029.4000000000015</v>
      </c>
      <c r="Z13" s="726">
        <f t="shared" si="26"/>
        <v>4467.7999999999993</v>
      </c>
      <c r="AA13" s="726">
        <f t="shared" si="26"/>
        <v>2142.9000000000015</v>
      </c>
      <c r="AB13" s="726">
        <f t="shared" si="26"/>
        <v>6198.2000000000007</v>
      </c>
      <c r="AC13" s="726">
        <f t="shared" si="26"/>
        <v>13765.499999999993</v>
      </c>
      <c r="AD13" s="726">
        <f t="shared" si="26"/>
        <v>8561.0000000000073</v>
      </c>
      <c r="AE13" s="726">
        <f t="shared" ref="AE13:AK13" si="27">AE3-AD3</f>
        <v>9659.4000000000015</v>
      </c>
      <c r="AF13" s="725">
        <f>AF3-AE3</f>
        <v>11523.300000000003</v>
      </c>
      <c r="AG13" s="725">
        <f>AG3-AF3</f>
        <v>12639.441177669898</v>
      </c>
      <c r="AH13" s="725">
        <f>AH3-AG3</f>
        <v>15373.232751374089</v>
      </c>
      <c r="AI13" s="725">
        <f>AI3-AH3</f>
        <v>14734.696641998758</v>
      </c>
      <c r="AJ13" s="725">
        <f>AJ3-AI3</f>
        <v>18303.950664791322</v>
      </c>
      <c r="AK13" s="725">
        <f t="shared" si="27"/>
        <v>10799.296695757628</v>
      </c>
      <c r="AL13" s="725">
        <f>AL3-AK3</f>
        <v>11721.356438921386</v>
      </c>
      <c r="AM13" s="725">
        <f t="shared" ref="AM13:AO13" si="28">AM3-AL3</f>
        <v>13777.27007079139</v>
      </c>
      <c r="AN13" s="725">
        <f t="shared" si="28"/>
        <v>20267.572576517356</v>
      </c>
      <c r="AO13" s="725">
        <f t="shared" si="28"/>
        <v>15694.16684835963</v>
      </c>
      <c r="AP13" s="725">
        <f>AP3-AO3</f>
        <v>17719.164738191816</v>
      </c>
    </row>
    <row r="14" spans="3:42">
      <c r="C14" s="20"/>
      <c r="D14" s="20"/>
      <c r="E14" s="20"/>
      <c r="F14" s="20"/>
      <c r="G14"/>
      <c r="H14"/>
      <c r="I14"/>
      <c r="J14" s="403">
        <v>544.1</v>
      </c>
      <c r="K14" s="403">
        <v>1017.5</v>
      </c>
      <c r="L14" s="403">
        <v>1191.5999999999999</v>
      </c>
      <c r="M14" s="403">
        <v>1593.8</v>
      </c>
      <c r="N14" s="403">
        <v>2119.6999999999998</v>
      </c>
      <c r="O14" s="403">
        <v>3577.3</v>
      </c>
      <c r="P14" s="403">
        <v>4345.8</v>
      </c>
      <c r="Q14" s="392">
        <v>5997.7</v>
      </c>
      <c r="R14" s="385">
        <v>7425.5</v>
      </c>
      <c r="S14" s="385">
        <v>9013.9</v>
      </c>
      <c r="T14" s="1042">
        <v>11311.7</v>
      </c>
      <c r="U14" s="385">
        <v>12823.9</v>
      </c>
      <c r="W14" s="726">
        <f>W9-V9</f>
        <v>1789</v>
      </c>
      <c r="X14" s="726">
        <f t="shared" ref="X14:AD14" si="29">X9-W9</f>
        <v>2268.5</v>
      </c>
      <c r="Y14" s="726">
        <f t="shared" si="29"/>
        <v>2044.5</v>
      </c>
      <c r="Z14" s="726">
        <f t="shared" si="29"/>
        <v>4468.5999999999985</v>
      </c>
      <c r="AA14" s="726">
        <f t="shared" si="29"/>
        <v>2076.5</v>
      </c>
      <c r="AB14" s="726">
        <f t="shared" si="29"/>
        <v>6234.7000000000007</v>
      </c>
      <c r="AC14" s="726">
        <f t="shared" si="29"/>
        <v>6326.6999999999971</v>
      </c>
      <c r="AD14" s="726">
        <f t="shared" si="29"/>
        <v>7954.3000000000029</v>
      </c>
      <c r="AE14" s="726">
        <f t="shared" ref="AE14:AP14" si="30">AE9-AD9</f>
        <v>8122.5</v>
      </c>
      <c r="AF14" s="725">
        <f t="shared" ref="AF14:AK14" si="31">AF9-AE9</f>
        <v>10042.600000000006</v>
      </c>
      <c r="AG14" s="725">
        <f>AG9-AF9</f>
        <v>12990.540877782158</v>
      </c>
      <c r="AH14" s="725">
        <f>AH9-AG9</f>
        <v>12886.271234430009</v>
      </c>
      <c r="AI14" s="725">
        <f>AI9-AH9</f>
        <v>12812.779688694573</v>
      </c>
      <c r="AJ14" s="725">
        <f>AJ9-AI9</f>
        <v>14879.309264467462</v>
      </c>
      <c r="AK14" s="725">
        <f t="shared" si="31"/>
        <v>10427.862353401186</v>
      </c>
      <c r="AL14" s="725">
        <f>AL9-AK9</f>
        <v>10192.483859931628</v>
      </c>
      <c r="AM14" s="725">
        <f>AM9-AL9</f>
        <v>11980.234844166436</v>
      </c>
      <c r="AN14" s="725">
        <f t="shared" si="30"/>
        <v>11926.528816472623</v>
      </c>
      <c r="AO14" s="725">
        <f t="shared" si="30"/>
        <v>13188.375502823212</v>
      </c>
      <c r="AP14" s="725">
        <f t="shared" si="30"/>
        <v>14890.054401841859</v>
      </c>
    </row>
    <row r="15" spans="3:42">
      <c r="C15" s="19" t="s">
        <v>364</v>
      </c>
      <c r="D15" s="19"/>
      <c r="E15" s="19"/>
      <c r="F15" s="19"/>
      <c r="G15"/>
      <c r="H15"/>
      <c r="I15"/>
      <c r="J15" s="403"/>
      <c r="K15" s="403"/>
      <c r="L15" s="403"/>
      <c r="M15" s="403"/>
      <c r="N15" s="403"/>
      <c r="O15" s="403"/>
      <c r="P15" s="403"/>
      <c r="Q15" s="392"/>
      <c r="R15" s="385"/>
      <c r="S15" s="385"/>
      <c r="T15" s="1043">
        <v>11566.3</v>
      </c>
      <c r="U15" s="386">
        <v>12757.6</v>
      </c>
      <c r="V15" s="386">
        <v>11782.9</v>
      </c>
      <c r="W15" s="386">
        <v>11729</v>
      </c>
      <c r="X15" s="386">
        <v>11998.8</v>
      </c>
      <c r="Y15" s="386">
        <v>12130.8</v>
      </c>
      <c r="Z15" s="386">
        <v>12983.6</v>
      </c>
      <c r="AA15" s="386">
        <v>13110.4</v>
      </c>
      <c r="AB15" s="386">
        <v>15111.8</v>
      </c>
      <c r="AC15" s="386">
        <v>18696.8</v>
      </c>
      <c r="AD15" s="386">
        <v>21760.3</v>
      </c>
      <c r="AE15" s="663">
        <v>25722.9</v>
      </c>
      <c r="AF15" s="663">
        <v>30470.2</v>
      </c>
      <c r="AG15" s="387">
        <f>AG18*1.37</f>
        <v>35439.755165198461</v>
      </c>
      <c r="AH15" s="387">
        <f>AH18*1.39</f>
        <v>41254.484715362232</v>
      </c>
      <c r="AI15" s="387">
        <f>AI18*1.42</f>
        <v>47612.182093920492</v>
      </c>
      <c r="AJ15" s="387">
        <f>AJ18*1.39</f>
        <v>51548.635208337779</v>
      </c>
      <c r="AK15" s="387">
        <f>AK18*1.39</f>
        <v>56661.403904945022</v>
      </c>
      <c r="AL15" s="387">
        <f>AL18*1.44</f>
        <v>62425.439388689359</v>
      </c>
      <c r="AM15" s="387">
        <f>AM18*1.4</f>
        <v>64323.564193216989</v>
      </c>
      <c r="AN15" s="387">
        <f>AN18*1.5</f>
        <v>76394.868967510149</v>
      </c>
      <c r="AO15" s="387">
        <f t="shared" ref="AO15" si="32">AO18*1.5</f>
        <v>87007.682410646259</v>
      </c>
      <c r="AP15" s="387">
        <f>AP18*1.3</f>
        <v>83427.506834194428</v>
      </c>
    </row>
    <row r="16" spans="3:42">
      <c r="C16" s="20" t="s">
        <v>77</v>
      </c>
      <c r="D16" s="20"/>
      <c r="E16" s="20"/>
      <c r="F16" s="20"/>
      <c r="G16"/>
      <c r="H16"/>
      <c r="I16"/>
      <c r="J16" s="403"/>
      <c r="K16" s="403"/>
      <c r="L16" s="403"/>
      <c r="M16" s="403"/>
      <c r="N16" s="403"/>
      <c r="O16" s="403"/>
      <c r="P16" s="403"/>
      <c r="Q16" s="392"/>
      <c r="R16" s="385"/>
      <c r="S16" s="385"/>
      <c r="T16" s="1042"/>
      <c r="U16" s="385">
        <v>106.08200283030205</v>
      </c>
      <c r="V16" s="385">
        <v>89.100849388148731</v>
      </c>
      <c r="W16" s="385">
        <f>W15/V15/W21*10000</f>
        <v>94.919662453915919</v>
      </c>
      <c r="X16" s="385">
        <f>X15/W15/X21*10000</f>
        <v>96.005736770956531</v>
      </c>
      <c r="Y16" s="385">
        <f t="shared" ref="Y16:Z16" si="33">Y15/X15/Y21*10000</f>
        <v>92.613961396139615</v>
      </c>
      <c r="Z16" s="385">
        <f t="shared" si="33"/>
        <v>102.9</v>
      </c>
      <c r="AA16" s="385">
        <v>97.4</v>
      </c>
      <c r="AB16" s="385">
        <v>107.9</v>
      </c>
      <c r="AC16" s="385">
        <v>116</v>
      </c>
      <c r="AD16" s="385">
        <v>114.1</v>
      </c>
      <c r="AE16" s="664">
        <v>113</v>
      </c>
      <c r="AF16" s="664">
        <v>113.2</v>
      </c>
      <c r="AG16" s="385">
        <f t="shared" ref="AG16:AH16" si="34">AG15/AF15/AG17*10000</f>
        <v>114.9303940053814</v>
      </c>
      <c r="AH16" s="385">
        <f t="shared" si="34"/>
        <v>113.901530110427</v>
      </c>
      <c r="AI16" s="385">
        <f>AI15/AH15/AI17*10000</f>
        <v>113.70534406322643</v>
      </c>
      <c r="AJ16" s="385">
        <f>AJ15/AI15/AJ17*10000</f>
        <v>108.1595839667325</v>
      </c>
      <c r="AK16" s="385">
        <f>AK15/AJ15/AK17*10000</f>
        <v>109.69894171168636</v>
      </c>
      <c r="AL16" s="385">
        <f t="shared" ref="AL16:AP16" si="35">AL15/AK15/AL17*10000</f>
        <v>109.62464884840513</v>
      </c>
      <c r="AM16" s="385">
        <f t="shared" si="35"/>
        <v>102.52798712780707</v>
      </c>
      <c r="AN16" s="385">
        <f t="shared" si="35"/>
        <v>118.17565762402712</v>
      </c>
      <c r="AO16" s="385">
        <f t="shared" si="35"/>
        <v>113.32542294904846</v>
      </c>
      <c r="AP16" s="385">
        <f t="shared" si="35"/>
        <v>95.408178118512126</v>
      </c>
    </row>
    <row r="17" spans="3:42">
      <c r="C17" s="20" t="s">
        <v>79</v>
      </c>
      <c r="D17" s="20"/>
      <c r="E17" s="20"/>
      <c r="F17" s="20"/>
      <c r="G17"/>
      <c r="H17"/>
      <c r="I17"/>
      <c r="J17"/>
      <c r="K17" s="979"/>
      <c r="L17" s="979"/>
      <c r="M17" s="979"/>
      <c r="N17" s="979"/>
      <c r="O17" s="979"/>
      <c r="P17" s="979"/>
      <c r="Q17" s="388"/>
      <c r="R17" s="388"/>
      <c r="S17" s="1040"/>
      <c r="T17" s="388"/>
      <c r="U17" s="388">
        <v>103.97593106590993</v>
      </c>
      <c r="V17" s="388">
        <f t="shared" ref="V17:Y17" si="36">V21</f>
        <v>103.65765184232238</v>
      </c>
      <c r="W17" s="388">
        <f t="shared" si="36"/>
        <v>104.87032387336546</v>
      </c>
      <c r="X17" s="388">
        <f t="shared" si="36"/>
        <v>106.5564254748335</v>
      </c>
      <c r="Y17" s="388">
        <f t="shared" si="36"/>
        <v>109.1629258558151</v>
      </c>
      <c r="Z17" s="388">
        <f t="shared" ref="Z17:AA17" si="37">Z15/Y15/Z16*10000</f>
        <v>104.01364357527891</v>
      </c>
      <c r="AA17" s="388">
        <f t="shared" si="37"/>
        <v>103.67209102141364</v>
      </c>
      <c r="AB17" s="388">
        <f>AB15/AA15/AB16*10000</f>
        <v>106.82645340755445</v>
      </c>
      <c r="AC17" s="388">
        <f t="shared" ref="AC17:AF17" si="38">AC15/AB15/AC16*10000</f>
        <v>106.65791655846928</v>
      </c>
      <c r="AD17" s="388">
        <f t="shared" si="38"/>
        <v>102.00276671190102</v>
      </c>
      <c r="AE17" s="388">
        <f t="shared" si="38"/>
        <v>104.61082024872854</v>
      </c>
      <c r="AF17" s="388">
        <f t="shared" si="38"/>
        <v>104.64270284138753</v>
      </c>
      <c r="AG17" s="389">
        <v>101.2</v>
      </c>
      <c r="AH17" s="389">
        <v>102.2</v>
      </c>
      <c r="AI17" s="389">
        <v>101.5</v>
      </c>
      <c r="AJ17" s="389">
        <v>100.1</v>
      </c>
      <c r="AK17" s="389">
        <v>100.2</v>
      </c>
      <c r="AL17" s="389">
        <v>100.5</v>
      </c>
      <c r="AM17" s="389">
        <v>100.5</v>
      </c>
      <c r="AN17" s="389">
        <v>100.5</v>
      </c>
      <c r="AO17" s="389">
        <v>100.5</v>
      </c>
      <c r="AP17" s="389">
        <v>100.5</v>
      </c>
    </row>
    <row r="18" spans="3:42">
      <c r="C18" s="19" t="s">
        <v>365</v>
      </c>
      <c r="D18" s="19"/>
      <c r="E18" s="19"/>
      <c r="F18" s="19"/>
      <c r="G18"/>
      <c r="H18"/>
      <c r="I18"/>
      <c r="J18" s="803">
        <v>756.5</v>
      </c>
      <c r="K18" s="979">
        <v>1142</v>
      </c>
      <c r="L18" s="979">
        <v>1460.3</v>
      </c>
      <c r="M18" s="979">
        <v>1865.3</v>
      </c>
      <c r="N18" s="979">
        <v>2390.1999999999998</v>
      </c>
      <c r="O18" s="979">
        <v>4011</v>
      </c>
      <c r="P18" s="979">
        <v>4635.2</v>
      </c>
      <c r="Q18" s="378">
        <v>5374.5</v>
      </c>
      <c r="R18" s="378">
        <v>6773.2</v>
      </c>
      <c r="S18" s="378">
        <v>8661.6</v>
      </c>
      <c r="T18" s="378">
        <v>9560</v>
      </c>
      <c r="U18" s="378">
        <v>10039.5</v>
      </c>
      <c r="V18" s="378">
        <v>9615.7999999999993</v>
      </c>
      <c r="W18" s="378">
        <v>10033.700000000001</v>
      </c>
      <c r="X18" s="380">
        <v>10884</v>
      </c>
      <c r="Y18" s="380">
        <v>12130.8</v>
      </c>
      <c r="Z18" s="380">
        <v>12983.6</v>
      </c>
      <c r="AA18" s="380">
        <v>9723.6</v>
      </c>
      <c r="AB18" s="380">
        <v>9669.7000000000007</v>
      </c>
      <c r="AC18" s="380">
        <v>13866.9</v>
      </c>
      <c r="AD18" s="380">
        <v>16740.8</v>
      </c>
      <c r="AE18" s="655">
        <v>19094.900000000001</v>
      </c>
      <c r="AF18" s="377">
        <v>22148.5</v>
      </c>
      <c r="AG18" s="377">
        <f>AG43*AG49</f>
        <v>25868.434427152159</v>
      </c>
      <c r="AH18" s="377">
        <f t="shared" ref="AH18:AI18" si="39">AH43*AH49</f>
        <v>29679.485406735421</v>
      </c>
      <c r="AI18" s="377">
        <f t="shared" si="39"/>
        <v>33529.70569994401</v>
      </c>
      <c r="AJ18" s="377">
        <f>AJ43*AJ49</f>
        <v>37085.349070746604</v>
      </c>
      <c r="AK18" s="377">
        <f>AK43*AK49</f>
        <v>40763.599931615128</v>
      </c>
      <c r="AL18" s="377">
        <f t="shared" ref="AL18:AP18" si="40">AL43*AL49</f>
        <v>43350.999575478723</v>
      </c>
      <c r="AM18" s="377">
        <f>AM43*AM49</f>
        <v>45945.402995154996</v>
      </c>
      <c r="AN18" s="377">
        <f>AN43*AN49</f>
        <v>50929.912645006763</v>
      </c>
      <c r="AO18" s="377">
        <f>AO43*AO49</f>
        <v>58005.121607097506</v>
      </c>
      <c r="AP18" s="377">
        <f t="shared" si="40"/>
        <v>64175.00525707264</v>
      </c>
    </row>
    <row r="19" spans="3:42">
      <c r="C19" s="32" t="s">
        <v>366</v>
      </c>
      <c r="G19"/>
      <c r="H19"/>
      <c r="I19"/>
      <c r="J19" s="803">
        <v>2026</v>
      </c>
      <c r="K19" s="979">
        <v>2607.5</v>
      </c>
      <c r="L19" s="979">
        <v>3037.8</v>
      </c>
      <c r="M19" s="979">
        <v>3271.7</v>
      </c>
      <c r="N19" s="378">
        <v>3297.8735999999999</v>
      </c>
      <c r="O19" s="378">
        <v>4132.2356208000001</v>
      </c>
      <c r="P19" s="378">
        <v>4632.2361309168</v>
      </c>
      <c r="Q19" s="390">
        <v>5243.6913001978173</v>
      </c>
      <c r="R19" s="390">
        <v>6219.0178820346109</v>
      </c>
      <c r="S19" s="390">
        <v>6934.2049384685906</v>
      </c>
      <c r="T19" s="390">
        <v>7530.5465631768884</v>
      </c>
      <c r="U19" s="390">
        <v>7605.8520288086575</v>
      </c>
      <c r="V19" s="94">
        <v>7027.8072746192001</v>
      </c>
      <c r="W19" s="390">
        <f>V19*W20/100</f>
        <v>6992.668238246104</v>
      </c>
      <c r="X19" s="390">
        <f>W19*X20/100</f>
        <v>7118.5362665345338</v>
      </c>
      <c r="Y19" s="390">
        <f t="shared" ref="Y19:AE19" si="41">X19*Y20/100</f>
        <v>7268.0255281317586</v>
      </c>
      <c r="Z19" s="390">
        <f t="shared" si="41"/>
        <v>7478.7982684475801</v>
      </c>
      <c r="AA19" s="390">
        <f>Z19*AA20/100</f>
        <v>6738.3972398712694</v>
      </c>
      <c r="AB19" s="390">
        <f t="shared" si="41"/>
        <v>6832.7348012294678</v>
      </c>
      <c r="AC19" s="390">
        <f t="shared" si="41"/>
        <v>7577.5028945634804</v>
      </c>
      <c r="AD19" s="390">
        <f t="shared" si="41"/>
        <v>8971.7634271631614</v>
      </c>
      <c r="AE19" s="390">
        <f t="shared" si="41"/>
        <v>9779.2221356078462</v>
      </c>
      <c r="AF19" s="390">
        <f>AE19*AF20/100</f>
        <v>10845.157348389102</v>
      </c>
      <c r="AG19" s="388">
        <f t="shared" ref="AG19:AK19" si="42">AF19*AG20/100</f>
        <v>12063.473790827535</v>
      </c>
      <c r="AH19" s="388">
        <f t="shared" si="42"/>
        <v>13437.589852961211</v>
      </c>
      <c r="AI19" s="388">
        <f t="shared" si="42"/>
        <v>15030.498419628706</v>
      </c>
      <c r="AJ19" s="388">
        <f>AI19*AJ20/100</f>
        <v>16607.793434166426</v>
      </c>
      <c r="AK19" s="388">
        <f t="shared" si="42"/>
        <v>18074.268105169696</v>
      </c>
      <c r="AL19" s="388">
        <f t="shared" ref="AL19:AP19" si="43">AK19*AL20/100</f>
        <v>19125.871937273663</v>
      </c>
      <c r="AM19" s="388">
        <f>AL19*AM20/100</f>
        <v>19873.026933295914</v>
      </c>
      <c r="AN19" s="388">
        <f t="shared" si="43"/>
        <v>21597.064011365372</v>
      </c>
      <c r="AO19" s="388">
        <f t="shared" si="43"/>
        <v>23381.500908872458</v>
      </c>
      <c r="AP19" s="388">
        <f t="shared" si="43"/>
        <v>25612.418150138798</v>
      </c>
    </row>
    <row r="20" spans="3:42">
      <c r="C20" s="20" t="s">
        <v>77</v>
      </c>
      <c r="D20" s="20"/>
      <c r="E20" s="20"/>
      <c r="F20" s="20"/>
      <c r="G20"/>
      <c r="H20"/>
      <c r="I20"/>
      <c r="J20"/>
      <c r="K20" s="979">
        <v>128.70187561697927</v>
      </c>
      <c r="L20" s="979">
        <v>116.50239693192714</v>
      </c>
      <c r="M20" s="979">
        <v>107.7</v>
      </c>
      <c r="N20" s="299">
        <v>100.8</v>
      </c>
      <c r="O20" s="299">
        <v>125.3</v>
      </c>
      <c r="P20" s="299">
        <v>112.1</v>
      </c>
      <c r="Q20" s="378">
        <v>113.2</v>
      </c>
      <c r="R20" s="378">
        <v>118.6</v>
      </c>
      <c r="S20" s="378">
        <v>111.5</v>
      </c>
      <c r="T20" s="378">
        <v>108.6</v>
      </c>
      <c r="U20" s="378">
        <v>101</v>
      </c>
      <c r="V20" s="378">
        <v>92.4</v>
      </c>
      <c r="W20" s="378">
        <v>99.5</v>
      </c>
      <c r="X20" s="380">
        <v>101.8</v>
      </c>
      <c r="Y20" s="380">
        <v>102.1</v>
      </c>
      <c r="Z20" s="380">
        <v>102.9</v>
      </c>
      <c r="AA20" s="380">
        <v>90.1</v>
      </c>
      <c r="AB20" s="380">
        <v>101.4</v>
      </c>
      <c r="AC20" s="380">
        <v>110.9</v>
      </c>
      <c r="AD20" s="380">
        <v>118.4</v>
      </c>
      <c r="AE20" s="655">
        <v>109</v>
      </c>
      <c r="AF20" s="377">
        <v>110.9</v>
      </c>
      <c r="AG20" s="377">
        <f>AG18/AF18/AG21*10000</f>
        <v>111.2337368956606</v>
      </c>
      <c r="AH20" s="377">
        <f t="shared" ref="AH20:AI20" si="44">AH18/AG18/AH21*10000</f>
        <v>111.39071618971383</v>
      </c>
      <c r="AI20" s="377">
        <f t="shared" si="44"/>
        <v>111.85412402147747</v>
      </c>
      <c r="AJ20" s="377">
        <f>AJ18/AI18/AJ21*10000</f>
        <v>110.49396347680587</v>
      </c>
      <c r="AK20" s="377">
        <f t="shared" ref="AK20" si="45">AK18/AJ18/AK21*10000</f>
        <v>108.83003920307897</v>
      </c>
      <c r="AL20" s="377">
        <f t="shared" ref="AL20" si="46">AL18/AK18/AL21*10000</f>
        <v>105.81823743005772</v>
      </c>
      <c r="AM20" s="377">
        <f t="shared" ref="AM20" si="47">AM18/AL18/AM21*10000</f>
        <v>103.906514685828</v>
      </c>
      <c r="AN20" s="377">
        <f t="shared" ref="AN20" si="48">AN18/AM18/AN21*10000</f>
        <v>108.67526161895826</v>
      </c>
      <c r="AO20" s="377">
        <f t="shared" ref="AO20" si="49">AO18/AN18/AO21*10000</f>
        <v>108.26240500360619</v>
      </c>
      <c r="AP20" s="377">
        <f t="shared" ref="AP20" si="50">AP18/AO18/AP21*10000</f>
        <v>109.5413773904471</v>
      </c>
    </row>
    <row r="21" spans="3:42">
      <c r="C21" s="20" t="s">
        <v>79</v>
      </c>
      <c r="D21" s="20"/>
      <c r="E21" s="20"/>
      <c r="F21" s="20"/>
      <c r="G21"/>
      <c r="H21"/>
      <c r="I21"/>
      <c r="J21"/>
      <c r="K21" s="979">
        <v>117.29305431545968</v>
      </c>
      <c r="L21" s="979">
        <v>109.75924743445658</v>
      </c>
      <c r="M21" s="979">
        <v>118.60169661529591</v>
      </c>
      <c r="N21" s="299">
        <v>127.12325946122118</v>
      </c>
      <c r="O21" s="299">
        <v>133.92675585456257</v>
      </c>
      <c r="P21" s="299">
        <v>103.08849593146057</v>
      </c>
      <c r="Q21" s="391">
        <v>102.42905418179646</v>
      </c>
      <c r="R21" s="391">
        <v>106.26032587524908</v>
      </c>
      <c r="S21" s="391">
        <v>114.6910045632232</v>
      </c>
      <c r="T21" s="391">
        <v>101.63187624690406</v>
      </c>
      <c r="U21" s="391">
        <v>103.97593106590993</v>
      </c>
      <c r="V21" s="94">
        <v>103.65765184232238</v>
      </c>
      <c r="W21" s="391">
        <f t="shared" ref="W21" si="51">W18/V18/W20*10000</f>
        <v>104.87032387336546</v>
      </c>
      <c r="X21" s="391">
        <f t="shared" ref="X21" si="52">X18/W18/X20*10000</f>
        <v>106.5564254748335</v>
      </c>
      <c r="Y21" s="391">
        <f t="shared" ref="Y21" si="53">Y18/X18/Y20*10000</f>
        <v>109.1629258558151</v>
      </c>
      <c r="Z21" s="391">
        <f t="shared" ref="Z21" si="54">Z18/Y18/Z20*10000</f>
        <v>104.01364357527891</v>
      </c>
      <c r="AA21" s="391">
        <f t="shared" ref="AA21" si="55">AA18/Z18/AA20*10000</f>
        <v>83.120312386574668</v>
      </c>
      <c r="AB21" s="391">
        <f t="shared" ref="AB21" si="56">AB18/AA18/AB20*10000</f>
        <v>98.072661297108084</v>
      </c>
      <c r="AC21" s="391">
        <f t="shared" ref="AC21" si="57">AC18/AB18/AC20*10000</f>
        <v>129.31081148663156</v>
      </c>
      <c r="AD21" s="391">
        <f t="shared" ref="AD21" si="58">AD18/AC18/AD20*10000</f>
        <v>101.96359091930559</v>
      </c>
      <c r="AE21" s="656">
        <f t="shared" ref="AE21" si="59">AE18/AD18/AE20*10000</f>
        <v>104.6440843970058</v>
      </c>
      <c r="AF21" s="656">
        <f>AF18/AE18/AF20*10000</f>
        <v>104.59125752144121</v>
      </c>
      <c r="AG21" s="391">
        <f>Monetary!AG7+32</f>
        <v>105</v>
      </c>
      <c r="AH21" s="391">
        <f>Monetary!AH7+2</f>
        <v>103</v>
      </c>
      <c r="AI21" s="391">
        <f>Monetary!AI7+2</f>
        <v>101</v>
      </c>
      <c r="AJ21" s="391">
        <f>Monetary!AJ7+14.1</f>
        <v>100.1</v>
      </c>
      <c r="AK21" s="391">
        <f>Monetary!AK7+10</f>
        <v>101</v>
      </c>
      <c r="AL21" s="391">
        <f>Monetary!AL7-13</f>
        <v>100.5</v>
      </c>
      <c r="AM21" s="391">
        <f>Monetary!AM7+32</f>
        <v>102</v>
      </c>
      <c r="AN21" s="391">
        <f>Monetary!AN7-7</f>
        <v>102</v>
      </c>
      <c r="AO21" s="391">
        <f>Monetary!AO7</f>
        <v>105.2</v>
      </c>
      <c r="AP21" s="391">
        <f>Monetary!AP7-9</f>
        <v>101</v>
      </c>
    </row>
    <row r="22" spans="3:42">
      <c r="C22" s="20"/>
      <c r="D22" s="20"/>
      <c r="E22" s="20"/>
      <c r="F22" s="20"/>
      <c r="G22"/>
      <c r="H22"/>
      <c r="I22"/>
      <c r="J22"/>
      <c r="K22" s="979"/>
      <c r="L22" s="979"/>
      <c r="M22" s="979"/>
      <c r="N22" s="979"/>
      <c r="O22" s="979"/>
      <c r="P22" s="979"/>
      <c r="Q22" s="388"/>
      <c r="R22" s="388"/>
      <c r="S22" s="388"/>
      <c r="T22" s="388"/>
      <c r="U22" s="388"/>
      <c r="W22" s="725">
        <f>W15-V15</f>
        <v>-53.899999999999636</v>
      </c>
      <c r="X22" s="725">
        <f t="shared" ref="X22:AH22" si="60">X15-W15</f>
        <v>269.79999999999927</v>
      </c>
      <c r="Y22" s="725">
        <f t="shared" si="60"/>
        <v>132</v>
      </c>
      <c r="Z22" s="725">
        <f t="shared" si="60"/>
        <v>852.80000000000109</v>
      </c>
      <c r="AA22" s="725">
        <f t="shared" si="60"/>
        <v>126.79999999999927</v>
      </c>
      <c r="AB22" s="725">
        <f t="shared" si="60"/>
        <v>2001.3999999999996</v>
      </c>
      <c r="AC22" s="725">
        <f t="shared" si="60"/>
        <v>3585</v>
      </c>
      <c r="AD22" s="725">
        <f t="shared" si="60"/>
        <v>3063.5</v>
      </c>
      <c r="AE22" s="725">
        <f t="shared" si="60"/>
        <v>3962.6000000000022</v>
      </c>
      <c r="AF22" s="725">
        <f>AF15-AE15</f>
        <v>4747.2999999999993</v>
      </c>
      <c r="AG22" s="725">
        <f t="shared" si="60"/>
        <v>4969.5551651984606</v>
      </c>
      <c r="AH22" s="725">
        <f t="shared" si="60"/>
        <v>5814.7295501637709</v>
      </c>
      <c r="AI22" s="725">
        <f>AI15-AH15</f>
        <v>6357.6973785582595</v>
      </c>
      <c r="AJ22" s="725">
        <f>AJ15-AI15</f>
        <v>3936.453114417287</v>
      </c>
      <c r="AK22" s="725">
        <f t="shared" ref="AK22:AP22" si="61">AK15-AJ15</f>
        <v>5112.7686966072433</v>
      </c>
      <c r="AL22" s="725">
        <f t="shared" si="61"/>
        <v>5764.0354837443374</v>
      </c>
      <c r="AM22" s="725">
        <f t="shared" si="61"/>
        <v>1898.1248045276297</v>
      </c>
      <c r="AN22" s="725">
        <f t="shared" si="61"/>
        <v>12071.304774293159</v>
      </c>
      <c r="AO22" s="725">
        <f t="shared" si="61"/>
        <v>10612.81344313611</v>
      </c>
      <c r="AP22" s="725">
        <f t="shared" si="61"/>
        <v>-3580.1755764518311</v>
      </c>
    </row>
    <row r="23" spans="3:42">
      <c r="C23" s="20"/>
      <c r="D23" s="20"/>
      <c r="E23" s="20"/>
      <c r="F23" s="20"/>
      <c r="G23"/>
      <c r="H23"/>
      <c r="I23"/>
      <c r="J23"/>
      <c r="K23" s="979"/>
      <c r="L23" s="979"/>
      <c r="M23" s="979"/>
      <c r="N23" s="979"/>
      <c r="O23" s="979"/>
      <c r="P23" s="979"/>
      <c r="Q23" s="388"/>
      <c r="R23" s="388">
        <v>235.7</v>
      </c>
      <c r="S23" s="388">
        <v>301.41426799740151</v>
      </c>
      <c r="T23" s="388">
        <v>332.67761176401103</v>
      </c>
      <c r="U23" s="388">
        <v>349.36369072225824</v>
      </c>
      <c r="W23" s="725">
        <f>W18-V18</f>
        <v>417.90000000000146</v>
      </c>
      <c r="X23" s="725">
        <f t="shared" ref="X23:AI23" si="62">X18-W18</f>
        <v>850.29999999999927</v>
      </c>
      <c r="Y23" s="725">
        <f t="shared" si="62"/>
        <v>1246.7999999999993</v>
      </c>
      <c r="Z23" s="725">
        <f t="shared" si="62"/>
        <v>852.80000000000109</v>
      </c>
      <c r="AA23" s="725">
        <f t="shared" si="62"/>
        <v>-3260</v>
      </c>
      <c r="AB23" s="725">
        <f t="shared" si="62"/>
        <v>-53.899999999999636</v>
      </c>
      <c r="AC23" s="725">
        <f t="shared" si="62"/>
        <v>4197.1999999999989</v>
      </c>
      <c r="AD23" s="725">
        <f t="shared" si="62"/>
        <v>2873.8999999999996</v>
      </c>
      <c r="AE23" s="725">
        <f>AE18-AD18</f>
        <v>2354.1000000000022</v>
      </c>
      <c r="AF23" s="725">
        <f>AF18-AE18</f>
        <v>3053.5999999999985</v>
      </c>
      <c r="AG23" s="736">
        <f>AG18-AF18</f>
        <v>3719.9344271521586</v>
      </c>
      <c r="AH23" s="736">
        <f t="shared" si="62"/>
        <v>3811.0509795832622</v>
      </c>
      <c r="AI23" s="736">
        <f t="shared" si="62"/>
        <v>3850.2202932085893</v>
      </c>
      <c r="AJ23" s="736">
        <f>AJ18-AI18</f>
        <v>3555.6433708025943</v>
      </c>
      <c r="AK23" s="736">
        <f>AK18-AJ18</f>
        <v>3678.2508608685239</v>
      </c>
      <c r="AL23" s="736">
        <f t="shared" ref="AL23" si="63">AL18-AK18</f>
        <v>2587.399643863595</v>
      </c>
      <c r="AM23" s="736">
        <f t="shared" ref="AM23" si="64">AM18-AL18</f>
        <v>2594.4034196762732</v>
      </c>
      <c r="AN23" s="736">
        <f t="shared" ref="AN23" si="65">AN18-AM18</f>
        <v>4984.5096498517669</v>
      </c>
      <c r="AO23" s="736">
        <f t="shared" ref="AO23" si="66">AO18-AN18</f>
        <v>7075.2089620907427</v>
      </c>
      <c r="AP23" s="736">
        <f t="shared" ref="AP23" si="67">AP18-AO18</f>
        <v>6169.8836499751342</v>
      </c>
    </row>
    <row r="24" spans="3:42">
      <c r="G24"/>
      <c r="H24"/>
      <c r="I24"/>
      <c r="J24" s="403"/>
      <c r="K24" s="403"/>
      <c r="L24" s="403"/>
      <c r="M24" s="403"/>
      <c r="N24" s="403"/>
      <c r="O24" s="403"/>
      <c r="P24" s="403"/>
      <c r="Q24" s="403"/>
      <c r="R24"/>
      <c r="S24"/>
      <c r="T24" s="804"/>
      <c r="U24" s="804"/>
      <c r="AE24">
        <v>6063.0592513524616</v>
      </c>
      <c r="AF24">
        <v>6570.4102870924871</v>
      </c>
      <c r="AG24">
        <v>7138.3348128911421</v>
      </c>
      <c r="AH24">
        <v>7845.7360299850798</v>
      </c>
      <c r="AI24">
        <v>8671.3754665886681</v>
      </c>
    </row>
    <row r="25" spans="3:42">
      <c r="C25" s="86" t="s">
        <v>367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AE25" s="397">
        <f>0.105*AE29</f>
        <v>7522.1580000000004</v>
      </c>
      <c r="AF25" s="397">
        <f>0.12*AF29</f>
        <v>10155.961535297216</v>
      </c>
      <c r="AG25" s="397">
        <f>0.12*AG29</f>
        <v>11413.583679473524</v>
      </c>
      <c r="AH25" s="397">
        <f t="shared" ref="AH25" si="68">0.12*AH29</f>
        <v>12568.243588393425</v>
      </c>
      <c r="AI25" s="397">
        <f>0.12*AI29</f>
        <v>13793.178727573617</v>
      </c>
      <c r="AJ25" s="397">
        <f>0.12*AJ29</f>
        <v>14784.575793173135</v>
      </c>
      <c r="AK25" s="397">
        <f t="shared" ref="AK25:AP25" si="69">0.12*AK29</f>
        <v>14531.561460999586</v>
      </c>
      <c r="AL25" s="397">
        <f t="shared" si="69"/>
        <v>15714.258949686482</v>
      </c>
      <c r="AM25" s="397">
        <f t="shared" si="69"/>
        <v>16933.818314253309</v>
      </c>
      <c r="AN25" s="397">
        <f t="shared" si="69"/>
        <v>18252.108566073555</v>
      </c>
      <c r="AO25" s="397">
        <f t="shared" si="69"/>
        <v>19628.295861395614</v>
      </c>
      <c r="AP25" s="397">
        <f t="shared" si="69"/>
        <v>21157.658797798584</v>
      </c>
    </row>
    <row r="26" spans="3:42">
      <c r="C26" s="87" t="s">
        <v>368</v>
      </c>
      <c r="D26" s="87"/>
      <c r="E26" s="87"/>
      <c r="F26" s="87"/>
      <c r="G26"/>
      <c r="H26"/>
      <c r="I26"/>
      <c r="J26"/>
      <c r="K26"/>
      <c r="L26" s="780">
        <v>6051.8</v>
      </c>
      <c r="M26" s="780">
        <v>7950.9</v>
      </c>
      <c r="N26" s="780">
        <v>9889.2000000000007</v>
      </c>
      <c r="O26" s="780">
        <v>15299.7</v>
      </c>
      <c r="P26" s="1048">
        <v>18535.5</v>
      </c>
      <c r="Q26" s="1048">
        <v>22126</v>
      </c>
      <c r="R26" s="392">
        <v>29004.9</v>
      </c>
      <c r="S26" s="392">
        <v>35191.1</v>
      </c>
      <c r="T26" s="392">
        <v>38573.800000000003</v>
      </c>
      <c r="U26" s="392">
        <v>41235.4</v>
      </c>
      <c r="V26" s="392">
        <v>44902.8</v>
      </c>
      <c r="W26" s="393">
        <v>48684.6</v>
      </c>
      <c r="X26" s="392">
        <v>58584.4</v>
      </c>
      <c r="Y26" s="392">
        <v>59770.5</v>
      </c>
      <c r="Z26" s="392">
        <v>67442.5</v>
      </c>
      <c r="AA26" s="392">
        <v>73948.5</v>
      </c>
      <c r="AB26" s="392">
        <v>88393.7</v>
      </c>
      <c r="AC26" s="392">
        <v>108414.8</v>
      </c>
      <c r="AD26" s="746">
        <v>117209.60000000001</v>
      </c>
      <c r="AE26" s="746">
        <v>136277.20000000001</v>
      </c>
      <c r="AF26">
        <f>AE26*(Assumptions!AF56/100+1)*(Assumptions!AF57/100+1)</f>
        <v>155946.3780892877</v>
      </c>
      <c r="AG26">
        <f>AF26*(Assumptions!AG56/100+1)*(Assumptions!AG57/100+1)</f>
        <v>175292.00712536101</v>
      </c>
      <c r="AH26">
        <f>AG26*(Assumptions!AH56/100+1)*(Assumptions!AH57/100+1)</f>
        <v>192674.64014992004</v>
      </c>
      <c r="AI26">
        <f>AH26*(Assumptions!AI56/100+1)*(Assumptions!AI57/100+1)</f>
        <v>211325.91923382069</v>
      </c>
      <c r="AJ26">
        <f>AI26*(Assumptions!AJ56/100+1)*(Assumptions!AJ57/100+1)</f>
        <v>231071.52053439006</v>
      </c>
      <c r="AK26">
        <f>AJ26*(Assumptions!AK56/100+1)*(Assumptions!AK57/100+1)</f>
        <v>252284.05314235392</v>
      </c>
      <c r="AL26">
        <f>AK26*(Assumptions!AL56/100+1)*(Assumptions!AL57/100+1)</f>
        <v>272816.99565427925</v>
      </c>
      <c r="AM26">
        <f>AL26*(Assumptions!AM56/100+1)*(Assumptions!AM57/100+1)</f>
        <v>293989.90128911997</v>
      </c>
      <c r="AN26">
        <f>AM26*(Assumptions!AN56/100+1)*(Assumptions!AN57/100+1)</f>
        <v>316876.88482766593</v>
      </c>
      <c r="AO26">
        <f>AN26*(Assumptions!AO56/100+1)*(Assumptions!AO57/100+1)</f>
        <v>340769.02537145169</v>
      </c>
      <c r="AP26">
        <f>AO26*(Assumptions!AP56/100+1)*(Assumptions!AP57/100+1)</f>
        <v>367320.46523955878</v>
      </c>
    </row>
    <row r="27" spans="3:42">
      <c r="C27" s="87" t="s">
        <v>369</v>
      </c>
      <c r="D27" s="87"/>
      <c r="E27" s="87"/>
      <c r="F27" s="87"/>
      <c r="G27"/>
      <c r="H27"/>
      <c r="I27"/>
      <c r="J27"/>
      <c r="K27"/>
      <c r="L27" s="803">
        <v>2953.7</v>
      </c>
      <c r="M27" s="803">
        <v>3865.2</v>
      </c>
      <c r="N27" s="803">
        <v>4833</v>
      </c>
      <c r="O27" s="132">
        <v>7952.5</v>
      </c>
      <c r="P27" s="1048">
        <v>9126.9</v>
      </c>
      <c r="Q27" s="1048">
        <v>10625.5</v>
      </c>
      <c r="R27" s="132">
        <v>14778.9</v>
      </c>
      <c r="S27" s="132">
        <v>16671.400000000001</v>
      </c>
      <c r="T27" s="132">
        <v>19011</v>
      </c>
      <c r="U27" s="190">
        <v>19514.8</v>
      </c>
      <c r="V27" s="190">
        <v>23229.4</v>
      </c>
      <c r="W27" s="362">
        <v>25210.400000000001</v>
      </c>
      <c r="X27" s="190">
        <v>30205</v>
      </c>
      <c r="Y27" s="190">
        <v>31589.3</v>
      </c>
      <c r="Z27" s="190">
        <v>35649.800000000003</v>
      </c>
      <c r="AA27" s="190">
        <v>36157.300000000003</v>
      </c>
      <c r="AB27" s="190">
        <v>47422.7</v>
      </c>
      <c r="AC27" s="190">
        <v>59476.9</v>
      </c>
      <c r="AD27" s="747">
        <v>62620</v>
      </c>
      <c r="AE27" s="747">
        <v>72190.5</v>
      </c>
      <c r="AF27" s="289">
        <f t="shared" ref="AF27:AP27" si="70">0.52*AF26</f>
        <v>81092.116606429612</v>
      </c>
      <c r="AG27" s="289">
        <f t="shared" si="70"/>
        <v>91151.843705187726</v>
      </c>
      <c r="AH27" s="289">
        <f t="shared" si="70"/>
        <v>100190.81287795842</v>
      </c>
      <c r="AI27" s="289">
        <f t="shared" si="70"/>
        <v>109889.47800158676</v>
      </c>
      <c r="AJ27" s="289">
        <f t="shared" si="70"/>
        <v>120157.19067788284</v>
      </c>
      <c r="AK27" s="289">
        <f t="shared" si="70"/>
        <v>131187.70763402403</v>
      </c>
      <c r="AL27" s="289">
        <f t="shared" si="70"/>
        <v>141864.83774022522</v>
      </c>
      <c r="AM27" s="289">
        <f t="shared" si="70"/>
        <v>152874.74867034238</v>
      </c>
      <c r="AN27" s="289">
        <f t="shared" si="70"/>
        <v>164775.9801103863</v>
      </c>
      <c r="AO27" s="289">
        <f t="shared" si="70"/>
        <v>177199.89319315489</v>
      </c>
      <c r="AP27" s="289">
        <f t="shared" si="70"/>
        <v>191006.64192457058</v>
      </c>
    </row>
    <row r="28" spans="3:42">
      <c r="C28" s="87" t="s">
        <v>370</v>
      </c>
      <c r="D28" s="87"/>
      <c r="E28" s="87"/>
      <c r="F28" s="87"/>
      <c r="G28"/>
      <c r="H28"/>
      <c r="I28"/>
      <c r="J28"/>
      <c r="K28"/>
      <c r="L28" s="803">
        <v>354.1</v>
      </c>
      <c r="M28" s="803">
        <v>475.8</v>
      </c>
      <c r="N28" s="803">
        <v>676.7</v>
      </c>
      <c r="O28" s="803">
        <v>1017.3</v>
      </c>
      <c r="P28" s="780">
        <v>1122.7</v>
      </c>
      <c r="Q28" s="1048">
        <v>1410.3</v>
      </c>
      <c r="R28" s="132">
        <v>2106</v>
      </c>
      <c r="S28" s="132">
        <v>2584.4</v>
      </c>
      <c r="T28" s="132">
        <v>3312.4</v>
      </c>
      <c r="U28" s="190">
        <v>3950.6</v>
      </c>
      <c r="V28" s="190">
        <v>2982.7</v>
      </c>
      <c r="W28" s="362">
        <v>3147.8</v>
      </c>
      <c r="X28" s="190">
        <v>3593.1</v>
      </c>
      <c r="Y28" s="190">
        <v>3652.6</v>
      </c>
      <c r="Z28" s="190">
        <v>4000.2</v>
      </c>
      <c r="AA28" s="190">
        <v>3922.2</v>
      </c>
      <c r="AB28" s="190">
        <v>5042.2</v>
      </c>
      <c r="AC28" s="190">
        <v>5557.4</v>
      </c>
      <c r="AD28" s="747">
        <v>6862.5</v>
      </c>
      <c r="AE28" s="747">
        <v>7552.9</v>
      </c>
      <c r="AF28" s="396">
        <v>9778.751311285374</v>
      </c>
      <c r="AG28" s="396">
        <v>10973.033908772766</v>
      </c>
      <c r="AH28" s="396">
        <v>12251.535964650267</v>
      </c>
      <c r="AI28" s="396">
        <v>13506.714830879546</v>
      </c>
      <c r="AJ28" s="779">
        <v>12290.468419935587</v>
      </c>
      <c r="AK28" s="779"/>
      <c r="AL28" s="779"/>
      <c r="AM28" s="779"/>
      <c r="AN28" s="779"/>
      <c r="AO28" s="779"/>
      <c r="AP28" s="779"/>
    </row>
    <row r="29" spans="3:42">
      <c r="C29" s="88" t="s">
        <v>371</v>
      </c>
      <c r="D29" s="88"/>
      <c r="E29" s="88"/>
      <c r="F29" s="88"/>
      <c r="G29" s="780"/>
      <c r="H29" s="780"/>
      <c r="I29" s="780"/>
      <c r="J29" s="780"/>
      <c r="K29" s="780"/>
      <c r="L29" s="780">
        <v>3452.1</v>
      </c>
      <c r="M29" s="780">
        <v>4561.3999999999996</v>
      </c>
      <c r="N29" s="780">
        <v>5732.8</v>
      </c>
      <c r="O29" s="1048">
        <v>8364.5</v>
      </c>
      <c r="P29" s="1048">
        <v>10531.4</v>
      </c>
      <c r="Q29" s="1048">
        <v>12910.8</v>
      </c>
      <c r="R29" s="100">
        <v>16332.1</v>
      </c>
      <c r="S29" s="1048">
        <v>21104</v>
      </c>
      <c r="T29" s="1048">
        <v>22875</v>
      </c>
      <c r="U29" s="394">
        <v>25671.200000000001</v>
      </c>
      <c r="V29" s="394">
        <f t="shared" ref="V29:AH29" si="71">V26-V27+V28</f>
        <v>24656.100000000002</v>
      </c>
      <c r="W29" s="394">
        <f t="shared" si="71"/>
        <v>26621.999999999996</v>
      </c>
      <c r="X29" s="394">
        <f t="shared" si="71"/>
        <v>31972.5</v>
      </c>
      <c r="Y29" s="394">
        <f t="shared" si="71"/>
        <v>31833.8</v>
      </c>
      <c r="Z29" s="394">
        <f t="shared" si="71"/>
        <v>35792.899999999994</v>
      </c>
      <c r="AA29" s="394">
        <f t="shared" si="71"/>
        <v>41713.399999999994</v>
      </c>
      <c r="AB29" s="394">
        <f t="shared" si="71"/>
        <v>46013.2</v>
      </c>
      <c r="AC29" s="394">
        <f t="shared" si="71"/>
        <v>54495.3</v>
      </c>
      <c r="AD29" s="394">
        <f>AD26-AD27+AD28</f>
        <v>61452.100000000006</v>
      </c>
      <c r="AE29" s="394">
        <f>AE26-AE27+AE28</f>
        <v>71639.600000000006</v>
      </c>
      <c r="AF29" s="395">
        <f>AF26-AF27+AF28</f>
        <v>84633.012794143462</v>
      </c>
      <c r="AG29" s="395">
        <f t="shared" si="71"/>
        <v>95113.197328946044</v>
      </c>
      <c r="AH29" s="395">
        <f t="shared" si="71"/>
        <v>104735.36323661188</v>
      </c>
      <c r="AI29" s="395">
        <f>AI26-AI27+AI28</f>
        <v>114943.15606311348</v>
      </c>
      <c r="AJ29" s="395">
        <f>AJ26-AJ27+AJ28</f>
        <v>123204.7982764428</v>
      </c>
      <c r="AK29" s="395">
        <f t="shared" ref="AK29:AP29" si="72">AK26-AK27+AK28</f>
        <v>121096.34550832989</v>
      </c>
      <c r="AL29" s="395">
        <f t="shared" si="72"/>
        <v>130952.15791405403</v>
      </c>
      <c r="AM29" s="395">
        <f t="shared" si="72"/>
        <v>141115.15261877759</v>
      </c>
      <c r="AN29" s="395">
        <f t="shared" si="72"/>
        <v>152100.90471727963</v>
      </c>
      <c r="AO29" s="395">
        <f t="shared" si="72"/>
        <v>163569.1321782968</v>
      </c>
      <c r="AP29" s="395">
        <f t="shared" si="72"/>
        <v>176313.8233149882</v>
      </c>
    </row>
    <row r="30" spans="3:42">
      <c r="C30" s="87" t="s">
        <v>372</v>
      </c>
      <c r="D30" s="87"/>
      <c r="E30" s="87"/>
      <c r="F30" s="87"/>
      <c r="G30"/>
      <c r="H30"/>
      <c r="I30"/>
      <c r="J30"/>
      <c r="K30"/>
      <c r="L30" s="803">
        <v>446.7</v>
      </c>
      <c r="M30" s="803">
        <v>540.79999999999995</v>
      </c>
      <c r="N30" s="803">
        <v>779.7</v>
      </c>
      <c r="O30" s="132">
        <v>12846.8</v>
      </c>
      <c r="P30" s="1048">
        <v>1537.3</v>
      </c>
      <c r="Q30" s="1048">
        <v>1965.2</v>
      </c>
      <c r="R30" s="132">
        <v>2881.2</v>
      </c>
      <c r="S30" s="132">
        <v>3643.4</v>
      </c>
      <c r="T30" s="132">
        <v>4730</v>
      </c>
      <c r="U30" s="190">
        <v>5613.9</v>
      </c>
      <c r="V30" s="190">
        <v>4281.7</v>
      </c>
      <c r="W30" s="362">
        <v>4618.2</v>
      </c>
      <c r="X30" s="190">
        <v>3593.1</v>
      </c>
      <c r="Y30" s="190">
        <v>5527.2</v>
      </c>
      <c r="Z30" s="190">
        <v>6064.4</v>
      </c>
      <c r="AA30" s="190">
        <v>5995.1</v>
      </c>
      <c r="AB30" s="190">
        <v>8404.2999999999993</v>
      </c>
      <c r="AC30" s="190">
        <v>11075.3</v>
      </c>
      <c r="AD30" s="747">
        <v>12936.3</v>
      </c>
      <c r="AE30" s="747">
        <v>14456.1</v>
      </c>
      <c r="AF30" s="289">
        <f t="shared" ref="AF30:AP30" si="73">0.146*AF29</f>
        <v>12356.419867944946</v>
      </c>
      <c r="AG30" s="289">
        <f t="shared" si="73"/>
        <v>13886.526810026122</v>
      </c>
      <c r="AH30" s="289">
        <f t="shared" si="73"/>
        <v>15291.363032545334</v>
      </c>
      <c r="AI30" s="289">
        <f t="shared" si="73"/>
        <v>16781.700785214565</v>
      </c>
      <c r="AJ30" s="289">
        <f t="shared" si="73"/>
        <v>17987.900548360649</v>
      </c>
      <c r="AK30" s="289">
        <f t="shared" si="73"/>
        <v>17680.066444216161</v>
      </c>
      <c r="AL30" s="289">
        <f t="shared" si="73"/>
        <v>19119.015055451888</v>
      </c>
      <c r="AM30" s="289">
        <f t="shared" si="73"/>
        <v>20602.812282341525</v>
      </c>
      <c r="AN30" s="289">
        <f t="shared" si="73"/>
        <v>22206.732088722823</v>
      </c>
      <c r="AO30" s="289">
        <f t="shared" si="73"/>
        <v>23881.09329803133</v>
      </c>
      <c r="AP30" s="289">
        <f t="shared" si="73"/>
        <v>25741.818203988274</v>
      </c>
    </row>
    <row r="31" spans="3:42">
      <c r="C31" s="87" t="s">
        <v>373</v>
      </c>
      <c r="D31" s="87"/>
      <c r="E31" s="87"/>
      <c r="F31" s="87"/>
      <c r="G31"/>
      <c r="H31"/>
      <c r="I31"/>
      <c r="J31"/>
      <c r="K31"/>
      <c r="L31" s="952">
        <v>3005.4</v>
      </c>
      <c r="M31" s="952">
        <v>4020.7</v>
      </c>
      <c r="N31" s="952">
        <v>4953.1000000000004</v>
      </c>
      <c r="O31" s="100">
        <v>7136.6</v>
      </c>
      <c r="P31" s="1048">
        <v>8994</v>
      </c>
      <c r="Q31" s="1048">
        <v>10945.6</v>
      </c>
      <c r="R31" s="100">
        <v>13450.9</v>
      </c>
      <c r="S31" s="100">
        <v>17460.599999999999</v>
      </c>
      <c r="T31" s="100">
        <v>18145.099999999999</v>
      </c>
      <c r="U31" s="394">
        <v>20057.300000000003</v>
      </c>
      <c r="V31" s="394">
        <v>20374.400000000001</v>
      </c>
      <c r="W31" s="394">
        <f>W29-W30</f>
        <v>22003.799999999996</v>
      </c>
      <c r="X31" s="394">
        <f>X29-X30</f>
        <v>28379.4</v>
      </c>
      <c r="Y31" s="394">
        <v>26306.5</v>
      </c>
      <c r="Z31" s="394">
        <f t="shared" ref="Z31:AA31" si="74">Z29-Z30</f>
        <v>29728.499999999993</v>
      </c>
      <c r="AA31" s="394">
        <f t="shared" si="74"/>
        <v>35718.299999999996</v>
      </c>
      <c r="AB31" s="394">
        <f>AB29-AB30</f>
        <v>37608.899999999994</v>
      </c>
      <c r="AC31" s="394">
        <f>AC29-AC30</f>
        <v>43420</v>
      </c>
      <c r="AD31" s="394">
        <f t="shared" ref="AD31:AP31" si="75">AD29-AD30</f>
        <v>48515.8</v>
      </c>
      <c r="AE31" s="394">
        <f>AE29-AE30</f>
        <v>57183.500000000007</v>
      </c>
      <c r="AF31" s="395">
        <f t="shared" si="75"/>
        <v>72276.592926198515</v>
      </c>
      <c r="AG31" s="395">
        <f t="shared" si="75"/>
        <v>81226.670518919927</v>
      </c>
      <c r="AH31" s="395">
        <f t="shared" si="75"/>
        <v>89444.000204066542</v>
      </c>
      <c r="AI31" s="395">
        <f t="shared" si="75"/>
        <v>98161.455277898916</v>
      </c>
      <c r="AJ31" s="395">
        <f t="shared" si="75"/>
        <v>105216.89772808216</v>
      </c>
      <c r="AK31" s="395">
        <f t="shared" si="75"/>
        <v>103416.27906411373</v>
      </c>
      <c r="AL31" s="395">
        <f t="shared" si="75"/>
        <v>111833.14285860214</v>
      </c>
      <c r="AM31" s="395">
        <f t="shared" si="75"/>
        <v>120512.34033643606</v>
      </c>
      <c r="AN31" s="395">
        <f t="shared" si="75"/>
        <v>129894.1726285568</v>
      </c>
      <c r="AO31" s="395">
        <f t="shared" si="75"/>
        <v>139688.03888026546</v>
      </c>
      <c r="AP31" s="395">
        <f t="shared" si="75"/>
        <v>150572.00511099992</v>
      </c>
    </row>
    <row r="32" spans="3:42">
      <c r="C32" s="87" t="s">
        <v>374</v>
      </c>
      <c r="D32" s="87"/>
      <c r="E32" s="87"/>
      <c r="F32" s="87"/>
      <c r="G32"/>
      <c r="H32"/>
      <c r="I32"/>
      <c r="J32"/>
      <c r="K32"/>
      <c r="L32" s="403">
        <v>2651.3</v>
      </c>
      <c r="M32" s="403">
        <v>3544.8999999999996</v>
      </c>
      <c r="N32" s="403">
        <v>4276.4000000000005</v>
      </c>
      <c r="O32" s="403">
        <v>6119.3</v>
      </c>
      <c r="P32" s="780">
        <v>7871.4000000000005</v>
      </c>
      <c r="Q32" s="1050">
        <v>9535.1999999999989</v>
      </c>
      <c r="R32" s="1051">
        <v>11344.9</v>
      </c>
      <c r="S32" s="1051">
        <v>14876.199999999999</v>
      </c>
      <c r="T32" s="1051">
        <v>14832.699999999999</v>
      </c>
      <c r="U32" s="1051">
        <v>16106.700000000003</v>
      </c>
      <c r="V32" s="353">
        <f t="shared" ref="V32:AA32" si="76">V31-V28</f>
        <v>17391.7</v>
      </c>
      <c r="W32" s="353">
        <f t="shared" si="76"/>
        <v>18855.999999999996</v>
      </c>
      <c r="X32" s="353">
        <f t="shared" si="76"/>
        <v>24786.300000000003</v>
      </c>
      <c r="Y32" s="353">
        <f t="shared" si="76"/>
        <v>22653.9</v>
      </c>
      <c r="Z32" s="353">
        <f t="shared" si="76"/>
        <v>25728.299999999992</v>
      </c>
      <c r="AA32" s="353">
        <f t="shared" si="76"/>
        <v>31796.099999999995</v>
      </c>
      <c r="AB32" s="353">
        <f>AB31-AB28</f>
        <v>32566.699999999993</v>
      </c>
      <c r="AC32" s="353">
        <f>AC31-AC28</f>
        <v>37862.6</v>
      </c>
      <c r="AD32" s="353">
        <f t="shared" ref="AD32:AP32" si="77">AD31-AD28</f>
        <v>41653.300000000003</v>
      </c>
      <c r="AE32" s="353">
        <f t="shared" si="77"/>
        <v>49630.600000000006</v>
      </c>
      <c r="AF32" s="289">
        <f t="shared" si="77"/>
        <v>62497.841614913137</v>
      </c>
      <c r="AG32" s="289">
        <f t="shared" si="77"/>
        <v>70253.636610147165</v>
      </c>
      <c r="AH32" s="289">
        <f t="shared" si="77"/>
        <v>77192.46423941628</v>
      </c>
      <c r="AI32" s="289">
        <f t="shared" si="77"/>
        <v>84654.740447019372</v>
      </c>
      <c r="AJ32" s="289">
        <f t="shared" si="77"/>
        <v>92926.429308146573</v>
      </c>
      <c r="AK32" s="289">
        <f t="shared" si="77"/>
        <v>103416.27906411373</v>
      </c>
      <c r="AL32" s="289">
        <f t="shared" si="77"/>
        <v>111833.14285860214</v>
      </c>
      <c r="AM32" s="289">
        <f t="shared" si="77"/>
        <v>120512.34033643606</v>
      </c>
      <c r="AN32" s="289">
        <f t="shared" si="77"/>
        <v>129894.1726285568</v>
      </c>
      <c r="AO32" s="289">
        <f t="shared" si="77"/>
        <v>139688.03888026546</v>
      </c>
      <c r="AP32" s="289">
        <f t="shared" si="77"/>
        <v>150572.00511099992</v>
      </c>
    </row>
    <row r="33" spans="3:42">
      <c r="C33" s="89" t="s">
        <v>375</v>
      </c>
      <c r="D33" s="89"/>
      <c r="E33" s="89"/>
      <c r="F33" s="89"/>
      <c r="G33" s="780"/>
      <c r="H33" s="780"/>
      <c r="I33" s="780"/>
      <c r="J33" s="780"/>
      <c r="K33" s="780"/>
      <c r="L33" s="780">
        <v>3147.6</v>
      </c>
      <c r="M33" s="780">
        <v>4762.6000000000004</v>
      </c>
      <c r="N33" s="780">
        <v>5980.2</v>
      </c>
      <c r="O33" s="1048">
        <v>10135.1</v>
      </c>
      <c r="P33" s="1048">
        <v>8094.3</v>
      </c>
      <c r="Q33" s="1048">
        <v>10468.599999999999</v>
      </c>
      <c r="R33" s="1048">
        <v>10909.599999999999</v>
      </c>
      <c r="S33" s="1048">
        <v>15061.7</v>
      </c>
      <c r="T33" s="1048">
        <v>23565</v>
      </c>
      <c r="U33" s="1048">
        <v>23229.7</v>
      </c>
      <c r="V33">
        <f>SUM(V34:V36)</f>
        <v>18463.5</v>
      </c>
      <c r="W33">
        <f t="shared" ref="W33:AH33" si="78">SUM(W34:W36)</f>
        <v>19414.400000000001</v>
      </c>
      <c r="X33">
        <f t="shared" si="78"/>
        <v>23755.1</v>
      </c>
      <c r="Y33">
        <f t="shared" si="78"/>
        <v>25470.300000000003</v>
      </c>
      <c r="Z33">
        <f t="shared" si="78"/>
        <v>27904.7</v>
      </c>
      <c r="AA33">
        <f t="shared" si="78"/>
        <v>28507.5</v>
      </c>
      <c r="AB33">
        <f t="shared" si="78"/>
        <v>37625.9</v>
      </c>
      <c r="AC33">
        <f t="shared" si="78"/>
        <v>57778.600000000006</v>
      </c>
      <c r="AD33">
        <f t="shared" si="78"/>
        <v>54182</v>
      </c>
      <c r="AE33">
        <f t="shared" si="78"/>
        <v>75291.864875400002</v>
      </c>
      <c r="AF33">
        <f t="shared" si="78"/>
        <v>59439.161392424314</v>
      </c>
      <c r="AG33">
        <f t="shared" si="78"/>
        <v>61420.074365202046</v>
      </c>
      <c r="AH33">
        <f t="shared" si="78"/>
        <v>62554.891681284098</v>
      </c>
      <c r="AI33">
        <f>SUM(AI34:AI36)</f>
        <v>64317.924597097794</v>
      </c>
      <c r="AJ33">
        <f>SUM(AJ34:AJ36)</f>
        <v>70413.304702069378</v>
      </c>
      <c r="AK33">
        <f>SUM(AK34:AK36)</f>
        <v>77874.12696840681</v>
      </c>
      <c r="AL33">
        <f t="shared" ref="AL33:AP33" si="79">SUM(AL34:AL36)</f>
        <v>84183.299674196096</v>
      </c>
      <c r="AM33">
        <f t="shared" si="79"/>
        <v>97104.780528851858</v>
      </c>
      <c r="AN33">
        <f t="shared" si="79"/>
        <v>92484.183039789525</v>
      </c>
      <c r="AO33">
        <f t="shared" si="79"/>
        <v>99165.315176219621</v>
      </c>
      <c r="AP33">
        <f t="shared" si="79"/>
        <v>106583.42837424981</v>
      </c>
    </row>
    <row r="34" spans="3:42">
      <c r="C34" s="87" t="s">
        <v>376</v>
      </c>
      <c r="D34" s="87"/>
      <c r="E34" s="87"/>
      <c r="F34" s="87"/>
      <c r="G34"/>
      <c r="H34" s="1315">
        <v>378.1</v>
      </c>
      <c r="I34" s="1315">
        <v>437.4</v>
      </c>
      <c r="J34" s="1315">
        <v>489.8</v>
      </c>
      <c r="K34" s="1315">
        <v>831.8</v>
      </c>
      <c r="L34" s="803">
        <v>260.60000000000002</v>
      </c>
      <c r="M34" s="803">
        <v>365.7</v>
      </c>
      <c r="N34" s="803">
        <v>526.5</v>
      </c>
      <c r="O34" s="132">
        <v>652</v>
      </c>
      <c r="P34" s="1048">
        <v>919.3</v>
      </c>
      <c r="Q34" s="1048">
        <v>1138.2</v>
      </c>
      <c r="R34" s="132">
        <v>1328.9</v>
      </c>
      <c r="S34" s="132">
        <v>1744.4</v>
      </c>
      <c r="T34" s="190">
        <v>2401.1999999999998</v>
      </c>
      <c r="U34" s="190">
        <v>3177.3</v>
      </c>
      <c r="V34" s="190">
        <v>3403.7</v>
      </c>
      <c r="W34" s="362">
        <v>3915.2</v>
      </c>
      <c r="X34" s="362">
        <v>4496.8999999999996</v>
      </c>
      <c r="Y34" s="362">
        <v>4923.8999999999996</v>
      </c>
      <c r="Z34" s="190">
        <v>4980.3</v>
      </c>
      <c r="AA34" s="190">
        <v>5417.4</v>
      </c>
      <c r="AB34" s="190">
        <v>6169.5</v>
      </c>
      <c r="AC34" s="190">
        <v>7053.8</v>
      </c>
      <c r="AD34" s="747">
        <v>10667.5</v>
      </c>
      <c r="AE34" s="747">
        <v>12768.8</v>
      </c>
      <c r="AF34">
        <f>Assumptions!AF53</f>
        <v>13420.008799999998</v>
      </c>
      <c r="AG34">
        <f>Assumptions!AG53</f>
        <v>14104.429248799997</v>
      </c>
      <c r="AH34">
        <f>Assumptions!AH53</f>
        <v>14823.755140488796</v>
      </c>
      <c r="AI34">
        <f>Assumptions!AI53</f>
        <v>15579.766652653723</v>
      </c>
      <c r="AJ34">
        <f>Assumptions!AJ53</f>
        <v>16374.334751939063</v>
      </c>
      <c r="AK34">
        <f>Assumptions!AK53</f>
        <v>17209.425824287955</v>
      </c>
      <c r="AL34">
        <f>Assumptions!AL53</f>
        <v>18087.106541326641</v>
      </c>
      <c r="AM34">
        <f>Assumptions!AM53</f>
        <v>19009.5489749343</v>
      </c>
      <c r="AN34">
        <f>Assumptions!AN53</f>
        <v>19979.035972655947</v>
      </c>
      <c r="AO34">
        <f>Assumptions!AO53</f>
        <v>20997.9668072614</v>
      </c>
      <c r="AP34">
        <f>Assumptions!AP53</f>
        <v>22068.86311443173</v>
      </c>
    </row>
    <row r="35" spans="3:42">
      <c r="C35" s="87" t="s">
        <v>377</v>
      </c>
      <c r="D35" s="87"/>
      <c r="E35" s="87"/>
      <c r="F35" s="87"/>
      <c r="G35"/>
      <c r="H35" s="1315"/>
      <c r="I35" s="1315"/>
      <c r="J35" s="1315"/>
      <c r="K35" s="1315"/>
      <c r="L35" s="803">
        <v>752.4</v>
      </c>
      <c r="M35" s="803">
        <v>902.3</v>
      </c>
      <c r="N35" s="803">
        <v>1219.2</v>
      </c>
      <c r="O35" s="132">
        <v>1509.6</v>
      </c>
      <c r="P35" s="1048">
        <v>1962</v>
      </c>
      <c r="Q35" s="1048">
        <v>2412</v>
      </c>
      <c r="R35" s="132">
        <v>2942</v>
      </c>
      <c r="S35" s="132">
        <v>3531.3</v>
      </c>
      <c r="T35" s="190">
        <v>4167</v>
      </c>
      <c r="U35" s="190">
        <v>4481.1000000000004</v>
      </c>
      <c r="V35" s="190">
        <v>4935.3</v>
      </c>
      <c r="W35" s="362">
        <v>5187.6000000000004</v>
      </c>
      <c r="X35" s="362">
        <v>5650.1</v>
      </c>
      <c r="Y35" s="362">
        <v>6496.3</v>
      </c>
      <c r="Z35" s="190">
        <v>7364.3</v>
      </c>
      <c r="AA35" s="190">
        <v>7217.5</v>
      </c>
      <c r="AB35" s="190">
        <v>8221.7000000000007</v>
      </c>
      <c r="AC35" s="190">
        <v>9278.9</v>
      </c>
      <c r="AD35" s="747">
        <v>8177.8</v>
      </c>
      <c r="AE35" s="747">
        <v>10872.4</v>
      </c>
      <c r="AF35" s="210">
        <f>AE35*(GDP!AF17/GDP!AE17)</f>
        <v>9529.5379331245567</v>
      </c>
      <c r="AG35" s="210">
        <f>AF35*(GDP!AG17/GDP!AF17)</f>
        <v>15078.051197911764</v>
      </c>
      <c r="AH35" s="210">
        <f>AG35*(GDP!AH17/GDP!AG17)</f>
        <v>17119.125299685231</v>
      </c>
      <c r="AI35" s="210">
        <f>AH35*(GDP!AI17/GDP!AH17)</f>
        <v>19821.54168285285</v>
      </c>
      <c r="AJ35" s="210">
        <f>AI35*(GDP!AJ17/GDP!AI17)</f>
        <v>23501.244636536838</v>
      </c>
      <c r="AK35" s="210">
        <f>AJ35*(GDP!AK17/GDP!AJ17)</f>
        <v>28674.083118626673</v>
      </c>
      <c r="AL35" s="210">
        <f>AK35*(GDP!AL17/GDP!AK17)</f>
        <v>32086.482373164956</v>
      </c>
      <c r="AM35" s="210">
        <f>AL35*(GDP!AM17/GDP!AL17)</f>
        <v>42206.816305722219</v>
      </c>
      <c r="AN35" s="210">
        <f>AM35*(GDP!AN17/GDP!AM17)</f>
        <v>35314.810373436812</v>
      </c>
      <c r="AO35" s="210">
        <f>AN35*(GDP!AO17/GDP!AN17)</f>
        <v>39274.882963096985</v>
      </c>
      <c r="AP35" s="210">
        <f>AO35*(GDP!AP17/GDP!AO17)</f>
        <v>43686.712752033483</v>
      </c>
    </row>
    <row r="36" spans="3:42">
      <c r="C36" s="87" t="s">
        <v>378</v>
      </c>
      <c r="D36" s="87"/>
      <c r="E36" s="87"/>
      <c r="F36" s="87"/>
      <c r="G36"/>
      <c r="H36" s="803">
        <v>594.29999999999995</v>
      </c>
      <c r="I36" s="803">
        <v>710.7</v>
      </c>
      <c r="J36" s="803">
        <v>1251.3</v>
      </c>
      <c r="K36" s="803">
        <v>1975.4</v>
      </c>
      <c r="L36" s="803">
        <v>2134.6</v>
      </c>
      <c r="M36" s="803">
        <v>3494.6</v>
      </c>
      <c r="N36" s="803">
        <v>4234.5</v>
      </c>
      <c r="O36" s="132">
        <v>7973.5</v>
      </c>
      <c r="P36" s="1048">
        <v>5213</v>
      </c>
      <c r="Q36" s="1048">
        <v>6918.4</v>
      </c>
      <c r="R36" s="392">
        <v>6638.7</v>
      </c>
      <c r="S36" s="392">
        <v>9786</v>
      </c>
      <c r="T36" s="190">
        <v>16996.8</v>
      </c>
      <c r="U36" s="190">
        <v>15571.3</v>
      </c>
      <c r="V36" s="190">
        <v>10124.5</v>
      </c>
      <c r="W36" s="362">
        <v>10311.6</v>
      </c>
      <c r="X36" s="362">
        <v>13608.1</v>
      </c>
      <c r="Y36" s="362">
        <v>14050.1</v>
      </c>
      <c r="Z36" s="362">
        <v>15560.1</v>
      </c>
      <c r="AA36" s="362">
        <v>15872.6</v>
      </c>
      <c r="AB36" s="362">
        <v>23234.7</v>
      </c>
      <c r="AC36" s="362">
        <v>41445.9</v>
      </c>
      <c r="AD36" s="748">
        <v>35336.699999999997</v>
      </c>
      <c r="AE36" s="748">
        <v>51650.664875399998</v>
      </c>
      <c r="AF36">
        <f>GDP!AF128</f>
        <v>36489.614659299761</v>
      </c>
      <c r="AG36">
        <f>GDP!AG128</f>
        <v>32237.593918490285</v>
      </c>
      <c r="AH36">
        <f>GDP!AH128</f>
        <v>30612.011241110071</v>
      </c>
      <c r="AI36">
        <f>GDP!AI128</f>
        <v>28916.616261591214</v>
      </c>
      <c r="AJ36">
        <f>GDP!AJ128</f>
        <v>30537.725313593481</v>
      </c>
      <c r="AK36">
        <f>GDP!AK128</f>
        <v>31990.618025492171</v>
      </c>
      <c r="AL36">
        <f>GDP!AL128</f>
        <v>34009.710759704496</v>
      </c>
      <c r="AM36">
        <f>GDP!AM128</f>
        <v>35888.415248195335</v>
      </c>
      <c r="AN36">
        <f>GDP!AN128</f>
        <v>37190.336693696758</v>
      </c>
      <c r="AO36">
        <f>GDP!AO128</f>
        <v>38892.465405861243</v>
      </c>
      <c r="AP36">
        <f>GDP!AP128</f>
        <v>40827.852507784606</v>
      </c>
    </row>
    <row r="37" spans="3:42">
      <c r="C37" s="88" t="s">
        <v>379</v>
      </c>
      <c r="D37" s="88"/>
      <c r="E37" s="88"/>
      <c r="F37" s="88"/>
      <c r="G37" s="780"/>
      <c r="H37" s="780"/>
      <c r="I37" s="780"/>
      <c r="J37" s="780"/>
      <c r="K37" s="780"/>
      <c r="L37" s="952">
        <v>5798.9</v>
      </c>
      <c r="M37" s="952">
        <v>8307.5</v>
      </c>
      <c r="N37" s="952">
        <v>10256.6</v>
      </c>
      <c r="O37" s="952">
        <v>16254.400000000001</v>
      </c>
      <c r="P37" s="780">
        <v>17644.407894759999</v>
      </c>
      <c r="Q37" s="1048">
        <v>22814.398087826885</v>
      </c>
      <c r="R37" s="100">
        <v>22254.5</v>
      </c>
      <c r="S37" s="100">
        <v>29937.9</v>
      </c>
      <c r="T37" s="100">
        <v>38397.699999999997</v>
      </c>
      <c r="U37" s="100">
        <v>39336.400000000001</v>
      </c>
      <c r="V37" s="100">
        <f t="shared" ref="V37:AA37" si="80">V33+V32</f>
        <v>35855.199999999997</v>
      </c>
      <c r="W37" s="398">
        <f t="shared" si="80"/>
        <v>38270.399999999994</v>
      </c>
      <c r="X37" s="398">
        <f t="shared" si="80"/>
        <v>48541.4</v>
      </c>
      <c r="Y37" s="394">
        <f t="shared" si="80"/>
        <v>48124.200000000004</v>
      </c>
      <c r="Z37" s="394">
        <f t="shared" si="80"/>
        <v>53632.999999999993</v>
      </c>
      <c r="AA37" s="394">
        <f t="shared" si="80"/>
        <v>60303.599999999991</v>
      </c>
      <c r="AB37" s="394">
        <f>AB33+AB32</f>
        <v>70192.599999999991</v>
      </c>
      <c r="AC37" s="394">
        <f t="shared" ref="AC37:AH37" si="81">AC33+AC32</f>
        <v>95641.200000000012</v>
      </c>
      <c r="AD37" s="394">
        <f t="shared" si="81"/>
        <v>95835.3</v>
      </c>
      <c r="AE37" s="394">
        <f>AE33+AE32</f>
        <v>124922.46487540001</v>
      </c>
      <c r="AF37">
        <f t="shared" si="81"/>
        <v>121937.00300733745</v>
      </c>
      <c r="AG37" s="94">
        <f>AG33+AG32</f>
        <v>131673.71097534921</v>
      </c>
      <c r="AH37">
        <f t="shared" si="81"/>
        <v>139747.35592070039</v>
      </c>
      <c r="AI37" s="94">
        <f>AI33+AI32</f>
        <v>148972.66504411717</v>
      </c>
      <c r="AJ37" s="94">
        <f>AJ33+AJ32</f>
        <v>163339.73401021597</v>
      </c>
      <c r="AK37" s="94">
        <f t="shared" ref="AK37:AP37" si="82">AK33+AK32</f>
        <v>181290.40603252052</v>
      </c>
      <c r="AL37" s="94">
        <f t="shared" si="82"/>
        <v>196016.44253279822</v>
      </c>
      <c r="AM37" s="94">
        <f t="shared" si="82"/>
        <v>217617.1208652879</v>
      </c>
      <c r="AN37" s="94">
        <f t="shared" si="82"/>
        <v>222378.35566834634</v>
      </c>
      <c r="AO37" s="94">
        <f t="shared" si="82"/>
        <v>238853.35405648508</v>
      </c>
      <c r="AP37" s="94">
        <f t="shared" si="82"/>
        <v>257155.43348524973</v>
      </c>
    </row>
    <row r="38" spans="3:42">
      <c r="C38" s="87" t="s">
        <v>380</v>
      </c>
      <c r="D38" s="87"/>
      <c r="E38" s="87"/>
      <c r="F38" s="87"/>
      <c r="G38"/>
      <c r="H38"/>
      <c r="I38"/>
      <c r="J38"/>
      <c r="K38"/>
      <c r="L38" s="803">
        <v>16</v>
      </c>
      <c r="M38" s="803">
        <v>25</v>
      </c>
      <c r="N38" s="803">
        <v>45.1</v>
      </c>
      <c r="O38" s="132">
        <v>72.3</v>
      </c>
      <c r="P38" s="1048">
        <v>101.4</v>
      </c>
      <c r="Q38" s="1048">
        <v>152</v>
      </c>
      <c r="R38" s="132">
        <v>1097</v>
      </c>
      <c r="S38" s="132">
        <v>906.5</v>
      </c>
      <c r="T38" s="190">
        <v>1117</v>
      </c>
      <c r="U38" s="190">
        <v>2134.8000000000002</v>
      </c>
      <c r="V38" s="190">
        <v>1227.7</v>
      </c>
      <c r="W38" s="362">
        <v>1486.7</v>
      </c>
      <c r="X38" s="190">
        <v>982.3</v>
      </c>
      <c r="Y38" s="190">
        <v>1078.5</v>
      </c>
      <c r="Z38" s="190">
        <v>1253.5</v>
      </c>
      <c r="AA38" s="190">
        <v>643.1</v>
      </c>
      <c r="AB38" s="190">
        <v>845.6</v>
      </c>
      <c r="AC38" s="190">
        <v>1066.3</v>
      </c>
      <c r="AD38" s="747">
        <v>1087.7</v>
      </c>
      <c r="AE38" s="747">
        <v>2111</v>
      </c>
      <c r="AF38">
        <f>AE38*GDP!AF93/GDP!AE93</f>
        <v>2397.3979917051761</v>
      </c>
      <c r="AG38">
        <f>AF38*GDP!AG93/GDP!AF93</f>
        <v>2708.7842067392144</v>
      </c>
      <c r="AH38">
        <f>AG38*GDP!AH93/GDP!AG93</f>
        <v>3055.1306446921176</v>
      </c>
      <c r="AI38">
        <f>AH38*GDP!AI93/GDP!AH93</f>
        <v>3450.1805058282766</v>
      </c>
      <c r="AJ38">
        <f>AI38*GDP!AJ93/GDP!AI93</f>
        <v>3942.6833297775061</v>
      </c>
      <c r="AK38">
        <f>AJ38*GDP!AK93/GDP!AJ93</f>
        <v>4417.4001196520094</v>
      </c>
      <c r="AL38">
        <f>AK38*GDP!AL93/GDP!AK93</f>
        <v>4991.1854093765751</v>
      </c>
      <c r="AM38">
        <f>AL38*GDP!AM93/GDP!AL93</f>
        <v>5609.6380114490312</v>
      </c>
      <c r="AN38">
        <f>AM38*GDP!AN93/GDP!AM93</f>
        <v>6239.0316002807631</v>
      </c>
      <c r="AO38">
        <f>AN38*GDP!AO93/GDP!AN93</f>
        <v>6925.8489673257964</v>
      </c>
      <c r="AP38">
        <f>AO38*GDP!AP93/GDP!AO93</f>
        <v>7706.7872501102975</v>
      </c>
    </row>
    <row r="39" spans="3:42">
      <c r="C39" s="87" t="s">
        <v>381</v>
      </c>
      <c r="D39" s="87"/>
      <c r="E39" s="87"/>
      <c r="F39" s="87"/>
      <c r="G39"/>
      <c r="H39"/>
      <c r="I39"/>
      <c r="J39"/>
      <c r="K39"/>
      <c r="L39" s="803">
        <v>273.2</v>
      </c>
      <c r="M39" s="803">
        <v>357.59999999999997</v>
      </c>
      <c r="N39" s="803">
        <v>481.19999999999993</v>
      </c>
      <c r="O39" s="1046">
        <v>773.5</v>
      </c>
      <c r="P39" s="780">
        <v>1157.0999999999999</v>
      </c>
      <c r="Q39" s="1048">
        <v>1272.4000000000001</v>
      </c>
      <c r="R39" s="190">
        <v>1676.2</v>
      </c>
      <c r="S39" s="190">
        <v>2008.1119513069325</v>
      </c>
      <c r="T39" s="190">
        <v>1970.7</v>
      </c>
      <c r="U39" s="190">
        <v>2278.1</v>
      </c>
      <c r="V39" s="190">
        <v>1469.9</v>
      </c>
      <c r="W39" s="362">
        <v>2430.5</v>
      </c>
      <c r="X39" s="190">
        <v>2319</v>
      </c>
      <c r="Y39" s="190">
        <v>2836.5</v>
      </c>
      <c r="Z39" s="190">
        <v>2065</v>
      </c>
      <c r="AA39" s="190">
        <v>2035.1</v>
      </c>
      <c r="AB39" s="190">
        <v>2569.6999999999998</v>
      </c>
      <c r="AC39" s="190">
        <v>3200</v>
      </c>
      <c r="AD39" s="747">
        <v>3263.9</v>
      </c>
      <c r="AE39" s="747">
        <v>7376.3</v>
      </c>
      <c r="AF39">
        <f>AE39*GDP!AF93/GDP!AE93</f>
        <v>8377.0378049336305</v>
      </c>
      <c r="AG39">
        <f>AF39*GDP!AG93/GDP!AF93</f>
        <v>9465.0899782901306</v>
      </c>
      <c r="AH39">
        <f>AG39*GDP!AH93/GDP!AG93</f>
        <v>10675.300887940532</v>
      </c>
      <c r="AI39">
        <f>AH39*GDP!AI93/GDP!AH93</f>
        <v>12055.692309398915</v>
      </c>
      <c r="AJ39">
        <f>AI39*GDP!AJ93/GDP!AI93</f>
        <v>13776.605895517676</v>
      </c>
      <c r="AK39">
        <f>AJ39*GDP!AK93/GDP!AJ93</f>
        <v>15435.371152339705</v>
      </c>
      <c r="AL39">
        <f>AK39*GDP!AL93/GDP!AK93</f>
        <v>17440.303616856669</v>
      </c>
      <c r="AM39">
        <f>AL39*GDP!AM93/GDP!AL93</f>
        <v>19601.313530957596</v>
      </c>
      <c r="AN39">
        <f>AM39*GDP!AN93/GDP!AM93</f>
        <v>21800.553668001416</v>
      </c>
      <c r="AO39">
        <f>AN39*GDP!AO93/GDP!AN93</f>
        <v>24200.445162333144</v>
      </c>
      <c r="AP39">
        <f>AO39*GDP!AP93/GDP!AO93</f>
        <v>26929.215913305816</v>
      </c>
    </row>
    <row r="40" spans="3:42">
      <c r="C40" s="87" t="s">
        <v>382</v>
      </c>
      <c r="D40" s="87"/>
      <c r="E40" s="87"/>
      <c r="F40" s="87"/>
      <c r="G40"/>
      <c r="H40"/>
      <c r="I40"/>
      <c r="J40"/>
      <c r="K40"/>
      <c r="L40" s="1044">
        <v>768.1</v>
      </c>
      <c r="M40" s="1044">
        <v>662.5</v>
      </c>
      <c r="N40" s="1044">
        <v>904</v>
      </c>
      <c r="O40" s="1049">
        <v>1088.8</v>
      </c>
      <c r="P40" s="1048">
        <v>2242.1999999999998</v>
      </c>
      <c r="Q40" s="1048">
        <v>2267.4</v>
      </c>
      <c r="R40" s="1048">
        <v>2898.8</v>
      </c>
      <c r="S40" s="1048">
        <v>3838.8</v>
      </c>
      <c r="T40" s="394">
        <v>4525.3</v>
      </c>
      <c r="U40" s="394">
        <v>5399.5</v>
      </c>
      <c r="V40" s="394">
        <v>4055.1</v>
      </c>
      <c r="W40" s="398">
        <v>4817.8999999999996</v>
      </c>
      <c r="X40" s="394">
        <v>5466.7</v>
      </c>
      <c r="Y40" s="394">
        <v>5744</v>
      </c>
      <c r="Z40" s="394">
        <v>6433.2</v>
      </c>
      <c r="AA40" s="394">
        <v>7283.3</v>
      </c>
      <c r="AB40" s="394">
        <v>8932.6</v>
      </c>
      <c r="AC40" s="394">
        <v>10146.4</v>
      </c>
      <c r="AD40" s="749">
        <v>10448.9</v>
      </c>
      <c r="AE40" s="749">
        <v>11743.9</v>
      </c>
      <c r="AF40">
        <f>Assumptions!AF52</f>
        <v>13505.484999999999</v>
      </c>
      <c r="AG40" s="93">
        <f>Assumptions!AG52</f>
        <v>15531.307749999998</v>
      </c>
      <c r="AH40">
        <f>Assumptions!AH52</f>
        <v>17861.003912499997</v>
      </c>
      <c r="AI40">
        <f>Assumptions!AI52</f>
        <v>20540.154499374996</v>
      </c>
      <c r="AJ40">
        <f>Assumptions!AJ52</f>
        <v>23621.177674281244</v>
      </c>
      <c r="AK40">
        <f>Assumptions!AK52</f>
        <v>27164.354325423428</v>
      </c>
      <c r="AL40">
        <f>Assumptions!AL52</f>
        <v>31239.00747423694</v>
      </c>
      <c r="AM40">
        <f>Assumptions!AM52</f>
        <v>35924.858595372476</v>
      </c>
      <c r="AN40">
        <f>Assumptions!AN52</f>
        <v>41313.587384678343</v>
      </c>
      <c r="AO40">
        <f>Assumptions!AO52</f>
        <v>47510.625492380088</v>
      </c>
      <c r="AP40">
        <f>Assumptions!AP52</f>
        <v>54637.219316237097</v>
      </c>
    </row>
    <row r="41" spans="3:42">
      <c r="C41" s="88" t="s">
        <v>383</v>
      </c>
      <c r="D41" s="88"/>
      <c r="E41" s="88"/>
      <c r="F41" s="88"/>
      <c r="G41" s="780"/>
      <c r="H41" s="780"/>
      <c r="I41" s="780"/>
      <c r="J41" s="780"/>
      <c r="K41" s="780"/>
      <c r="L41" s="1045">
        <v>6856.2</v>
      </c>
      <c r="M41" s="1045">
        <v>9352.6</v>
      </c>
      <c r="N41" s="1045">
        <v>11686.900000000001</v>
      </c>
      <c r="O41" s="1047">
        <v>18189</v>
      </c>
      <c r="P41" s="780">
        <v>21144.907894759999</v>
      </c>
      <c r="Q41" s="100">
        <v>26506.198087826888</v>
      </c>
      <c r="R41" s="100">
        <v>27926.5</v>
      </c>
      <c r="S41" s="100">
        <v>36691.31195130694</v>
      </c>
      <c r="T41" s="100">
        <v>46010.7</v>
      </c>
      <c r="U41" s="100">
        <v>49148.800000000003</v>
      </c>
      <c r="V41" s="93">
        <f>SUM(V37:V40)</f>
        <v>42607.899999999994</v>
      </c>
      <c r="W41" s="93">
        <f t="shared" ref="W41:AC41" si="83">SUM(W37:W40)</f>
        <v>47005.499999999993</v>
      </c>
      <c r="X41" s="93">
        <f t="shared" si="83"/>
        <v>57309.4</v>
      </c>
      <c r="Y41" s="93">
        <f t="shared" si="83"/>
        <v>57783.200000000004</v>
      </c>
      <c r="Z41" s="93">
        <f t="shared" si="83"/>
        <v>63384.69999999999</v>
      </c>
      <c r="AA41" s="93">
        <f t="shared" si="83"/>
        <v>70265.099999999991</v>
      </c>
      <c r="AB41" s="93">
        <f t="shared" si="83"/>
        <v>82540.5</v>
      </c>
      <c r="AC41" s="93">
        <f t="shared" si="83"/>
        <v>110053.90000000001</v>
      </c>
      <c r="AD41" s="93">
        <f>SUM(AD37:AD40)</f>
        <v>110635.79999999999</v>
      </c>
      <c r="AE41" s="93">
        <f>SUM(AE37:AE40)</f>
        <v>146153.66487539999</v>
      </c>
      <c r="AF41" s="93">
        <f>SUM(AF37:AF40)</f>
        <v>146216.92380397624</v>
      </c>
      <c r="AG41" s="93">
        <f>SUM(AG37:AG40)</f>
        <v>159378.89291037858</v>
      </c>
      <c r="AH41" s="93">
        <f t="shared" ref="AH41" si="84">SUM(AH37:AH40)</f>
        <v>171338.79136583302</v>
      </c>
      <c r="AI41" s="93">
        <f>SUM(AI37:AI40)</f>
        <v>185018.69235871933</v>
      </c>
      <c r="AJ41" s="93">
        <f>SUM(AJ37:AJ40)</f>
        <v>204680.20090979239</v>
      </c>
      <c r="AK41" s="93">
        <f>SUM(AK37:AK40)</f>
        <v>228307.53162993566</v>
      </c>
      <c r="AL41" s="93">
        <f t="shared" ref="AL41:AP41" si="85">SUM(AL37:AL40)</f>
        <v>249686.9390332684</v>
      </c>
      <c r="AM41" s="93">
        <f t="shared" si="85"/>
        <v>278752.931003067</v>
      </c>
      <c r="AN41" s="93">
        <f t="shared" si="85"/>
        <v>291731.52832130686</v>
      </c>
      <c r="AO41" s="93">
        <f t="shared" si="85"/>
        <v>317490.27367852407</v>
      </c>
      <c r="AP41" s="93">
        <f t="shared" si="85"/>
        <v>346428.65596490295</v>
      </c>
    </row>
    <row r="42" spans="3:42">
      <c r="C42" s="408" t="s">
        <v>384</v>
      </c>
      <c r="D42" s="408"/>
      <c r="E42" s="408"/>
      <c r="F42" s="408"/>
      <c r="G42"/>
      <c r="H42"/>
      <c r="I42"/>
      <c r="J42"/>
      <c r="K42"/>
      <c r="L42" s="803">
        <v>40.5</v>
      </c>
      <c r="M42" s="803">
        <v>163.6</v>
      </c>
      <c r="N42" s="803">
        <v>327.20000000000005</v>
      </c>
      <c r="O42" s="1046">
        <v>376.20000000000005</v>
      </c>
      <c r="P42" s="780">
        <v>468</v>
      </c>
      <c r="Q42" s="1048">
        <v>559.5</v>
      </c>
      <c r="R42" s="392">
        <v>696.3</v>
      </c>
      <c r="S42" s="392">
        <v>871</v>
      </c>
      <c r="T42" s="392">
        <v>1021.2</v>
      </c>
      <c r="U42" s="190">
        <v>1153.2</v>
      </c>
      <c r="V42" s="399">
        <v>1248.5806177966849</v>
      </c>
      <c r="W42" s="399">
        <v>1356.6990317734828</v>
      </c>
      <c r="X42" s="399">
        <v>1695.1362106618531</v>
      </c>
      <c r="Y42" s="399">
        <v>1653.4435840791753</v>
      </c>
      <c r="Z42" s="399">
        <v>1847.4851054697854</v>
      </c>
      <c r="AA42" s="399">
        <v>2156.0115126803589</v>
      </c>
      <c r="AB42" s="399">
        <v>2278.6291780804622</v>
      </c>
      <c r="AC42" s="399">
        <v>2629.8235631240773</v>
      </c>
      <c r="AD42" s="751">
        <v>2935.6908037416215</v>
      </c>
      <c r="AE42" s="751">
        <v>3555.5095396190222</v>
      </c>
      <c r="AF42" s="752">
        <v>4123.151543690471</v>
      </c>
      <c r="AG42" s="752">
        <v>4714.8263696450776</v>
      </c>
      <c r="AH42" s="752">
        <v>5138.9563823178978</v>
      </c>
      <c r="AI42" s="752">
        <v>5420.24572157286</v>
      </c>
      <c r="AJ42" s="752">
        <v>6160.1036280090884</v>
      </c>
      <c r="AK42" s="785">
        <v>6684.5743832981907</v>
      </c>
      <c r="AL42" s="785">
        <v>6216.9749968830138</v>
      </c>
      <c r="AM42" s="785">
        <v>7082.4155110693382</v>
      </c>
      <c r="AN42" s="785">
        <v>7255.5128494841265</v>
      </c>
      <c r="AO42" s="785">
        <v>7201.9236304197057</v>
      </c>
      <c r="AP42" s="785">
        <v>7253.5525735405818</v>
      </c>
    </row>
    <row r="43" spans="3:42">
      <c r="C43" s="771" t="s">
        <v>385</v>
      </c>
      <c r="D43" s="771"/>
      <c r="E43" s="771"/>
      <c r="F43" s="771"/>
      <c r="G43"/>
      <c r="H43"/>
      <c r="I43"/>
      <c r="J43"/>
      <c r="K43"/>
      <c r="L43" s="952">
        <v>6815.7</v>
      </c>
      <c r="M43" s="952">
        <v>9189</v>
      </c>
      <c r="N43" s="952">
        <v>11359.7</v>
      </c>
      <c r="O43" s="952">
        <v>17812.8</v>
      </c>
      <c r="P43" s="780">
        <v>20676.907894759999</v>
      </c>
      <c r="Q43" s="100">
        <v>25946.698087826888</v>
      </c>
      <c r="R43" s="100">
        <v>27230.2</v>
      </c>
      <c r="S43" s="100">
        <v>35820.31195130694</v>
      </c>
      <c r="T43" s="100">
        <v>44989.5</v>
      </c>
      <c r="U43" s="100">
        <v>47995.600000000006</v>
      </c>
      <c r="V43" s="100">
        <f t="shared" ref="V43:AA43" si="86">V41-V42</f>
        <v>41359.319382203306</v>
      </c>
      <c r="W43" s="100">
        <f t="shared" si="86"/>
        <v>45648.800968226511</v>
      </c>
      <c r="X43" s="100">
        <f t="shared" si="86"/>
        <v>55614.263789338147</v>
      </c>
      <c r="Y43" s="100">
        <f t="shared" si="86"/>
        <v>56129.756415920827</v>
      </c>
      <c r="Z43" s="100">
        <f t="shared" si="86"/>
        <v>61537.214894530203</v>
      </c>
      <c r="AA43" s="100">
        <f t="shared" si="86"/>
        <v>68109.088487319634</v>
      </c>
      <c r="AB43" s="100">
        <f>AB41-AB42</f>
        <v>80261.87082191954</v>
      </c>
      <c r="AC43" s="100">
        <f>AC41-AC42</f>
        <v>107424.07643687593</v>
      </c>
      <c r="AD43" s="100">
        <f>AD41-AD42</f>
        <v>107700.10919625836</v>
      </c>
      <c r="AE43" s="100">
        <f>AE41-AE42</f>
        <v>142598.15533578096</v>
      </c>
      <c r="AF43" s="100">
        <f>AF41-AF42</f>
        <v>142093.77226028577</v>
      </c>
      <c r="AG43" s="773">
        <v>155833.94233224192</v>
      </c>
      <c r="AH43" s="773">
        <v>169597.05946705956</v>
      </c>
      <c r="AI43" s="773">
        <v>181241.65243212978</v>
      </c>
      <c r="AJ43" s="773">
        <v>200461.34632836003</v>
      </c>
      <c r="AK43" s="784">
        <v>217987.16540970656</v>
      </c>
      <c r="AL43" s="784">
        <v>234329.72743502015</v>
      </c>
      <c r="AM43" s="784">
        <v>255252.2388619722</v>
      </c>
      <c r="AN43" s="784">
        <v>275296.82510814467</v>
      </c>
      <c r="AO43" s="784">
        <v>297462.16208767949</v>
      </c>
      <c r="AP43" s="784">
        <v>322487.46360338008</v>
      </c>
    </row>
    <row r="44" spans="3:42">
      <c r="C44" s="88" t="s">
        <v>386</v>
      </c>
      <c r="D44" s="88"/>
      <c r="E44" s="88"/>
      <c r="F44" s="88"/>
      <c r="G44"/>
      <c r="H44"/>
      <c r="I44"/>
      <c r="J44"/>
      <c r="K44"/>
      <c r="L44" s="952">
        <v>3396.2999999999993</v>
      </c>
      <c r="M44" s="952">
        <v>4981.6000000000004</v>
      </c>
      <c r="N44" s="952">
        <v>6179.3</v>
      </c>
      <c r="O44" s="952">
        <v>10604.7</v>
      </c>
      <c r="P44" s="100">
        <v>10563.307894759997</v>
      </c>
      <c r="Q44" s="100">
        <v>14144.098087826887</v>
      </c>
      <c r="R44" s="100">
        <v>12986.500000000002</v>
      </c>
      <c r="S44" s="100">
        <v>17105.31195130694</v>
      </c>
      <c r="T44" s="100">
        <v>25631.5</v>
      </c>
      <c r="U44" s="100">
        <v>26489.4</v>
      </c>
      <c r="V44" s="100">
        <f t="shared" ref="V44:AA44" si="87">V43-V40-V32</f>
        <v>19912.519382203307</v>
      </c>
      <c r="W44" s="100">
        <f t="shared" si="87"/>
        <v>21974.900968226513</v>
      </c>
      <c r="X44" s="100">
        <f t="shared" si="87"/>
        <v>25361.263789338147</v>
      </c>
      <c r="Y44" s="100">
        <f t="shared" si="87"/>
        <v>27731.856415920825</v>
      </c>
      <c r="Z44" s="100">
        <f t="shared" si="87"/>
        <v>29375.714894530214</v>
      </c>
      <c r="AA44" s="100">
        <f t="shared" si="87"/>
        <v>29029.688487319636</v>
      </c>
      <c r="AB44" s="100">
        <f>AB43-AB40-AB32</f>
        <v>38762.570821919537</v>
      </c>
      <c r="AC44" s="394">
        <f>AC43-AC40-AC32</f>
        <v>59415.076436875934</v>
      </c>
      <c r="AD44" s="394">
        <f t="shared" ref="AD44:AP44" si="88">AD43-AD40-AD32</f>
        <v>55597.909196258362</v>
      </c>
      <c r="AE44" s="394">
        <f>AE43-AE40-AE32</f>
        <v>81223.655335780961</v>
      </c>
      <c r="AF44" s="395">
        <f t="shared" si="88"/>
        <v>66090.445645372631</v>
      </c>
      <c r="AG44" s="395">
        <f t="shared" si="88"/>
        <v>70048.997972094745</v>
      </c>
      <c r="AH44" s="395">
        <f t="shared" si="88"/>
        <v>74543.591315143291</v>
      </c>
      <c r="AI44" s="395">
        <f t="shared" si="88"/>
        <v>76046.757485735405</v>
      </c>
      <c r="AJ44" s="395">
        <f t="shared" si="88"/>
        <v>83913.739345932219</v>
      </c>
      <c r="AK44" s="780">
        <f>AK43-AK40-AK32</f>
        <v>87406.532020169412</v>
      </c>
      <c r="AL44" s="395">
        <f t="shared" si="88"/>
        <v>91257.577102181065</v>
      </c>
      <c r="AM44" s="395">
        <f t="shared" si="88"/>
        <v>98815.039930163679</v>
      </c>
      <c r="AN44" s="395">
        <f t="shared" si="88"/>
        <v>104089.06509490953</v>
      </c>
      <c r="AO44" s="395">
        <f t="shared" si="88"/>
        <v>110263.49771503394</v>
      </c>
      <c r="AP44" s="395">
        <f t="shared" si="88"/>
        <v>117278.23917614308</v>
      </c>
    </row>
    <row r="45" spans="3:42">
      <c r="C45" s="87" t="s">
        <v>387</v>
      </c>
      <c r="D45" s="87"/>
      <c r="E45" s="87"/>
      <c r="F45" s="87"/>
      <c r="G45"/>
      <c r="H45"/>
      <c r="I45"/>
      <c r="J45"/>
      <c r="K45"/>
      <c r="L45" s="803">
        <v>6432</v>
      </c>
      <c r="M45" s="803">
        <v>8186.2</v>
      </c>
      <c r="N45" s="803">
        <v>11093.6</v>
      </c>
      <c r="O45" s="803">
        <v>16233.8</v>
      </c>
      <c r="P45" s="1048">
        <v>19532.8</v>
      </c>
      <c r="Q45" s="1048">
        <v>22819</v>
      </c>
      <c r="R45" s="132">
        <v>31464</v>
      </c>
      <c r="S45" s="132">
        <v>39226.800000000003</v>
      </c>
      <c r="T45" s="132">
        <v>44135.5</v>
      </c>
      <c r="U45" s="132">
        <v>49278.7</v>
      </c>
      <c r="V45" s="190">
        <v>47627</v>
      </c>
      <c r="W45" s="362">
        <v>47267</v>
      </c>
      <c r="X45" s="190">
        <v>56444.5</v>
      </c>
      <c r="Y45" s="190">
        <v>59307.7</v>
      </c>
      <c r="Z45" s="190">
        <v>65923.100000000006</v>
      </c>
      <c r="AA45" s="190">
        <v>71467.8</v>
      </c>
      <c r="AB45" s="190">
        <v>88467.7</v>
      </c>
      <c r="AC45" s="190">
        <v>111546.8</v>
      </c>
      <c r="AD45" s="747">
        <v>126991.7</v>
      </c>
      <c r="AE45" s="747">
        <f>143478+12984.5</f>
        <v>156462.5</v>
      </c>
      <c r="AF45" s="289">
        <f t="shared" ref="AF45:AH45" si="89">AE45*AF43/AE43</f>
        <v>155909.07743458296</v>
      </c>
      <c r="AG45" s="289">
        <f t="shared" si="89"/>
        <v>170985.15857196637</v>
      </c>
      <c r="AH45" s="289">
        <f t="shared" si="89"/>
        <v>186086.41783886004</v>
      </c>
      <c r="AI45" s="289">
        <f>AH45*AI43/AH43</f>
        <v>198863.1758727007</v>
      </c>
      <c r="AJ45" s="289">
        <f>AI45*AJ43/AI43</f>
        <v>219951.53672251574</v>
      </c>
      <c r="AK45" s="289">
        <f t="shared" ref="AK45:AP45" si="90">AJ45*AK43/AJ43</f>
        <v>239181.3329394316</v>
      </c>
      <c r="AL45" s="289">
        <f t="shared" si="90"/>
        <v>257112.82794976025</v>
      </c>
      <c r="AM45" s="289">
        <f t="shared" si="90"/>
        <v>280069.56561884895</v>
      </c>
      <c r="AN45" s="289">
        <f t="shared" si="90"/>
        <v>302063.02035994834</v>
      </c>
      <c r="AO45" s="289">
        <f t="shared" si="90"/>
        <v>326383.41937909514</v>
      </c>
      <c r="AP45" s="289">
        <f t="shared" si="90"/>
        <v>353841.84778008173</v>
      </c>
    </row>
    <row r="46" spans="3:42">
      <c r="C46" s="87" t="s">
        <v>388</v>
      </c>
      <c r="D46" s="87"/>
      <c r="E46" s="87"/>
      <c r="F46" s="87"/>
      <c r="G46"/>
      <c r="H46"/>
      <c r="I46"/>
      <c r="J46"/>
      <c r="K46"/>
      <c r="L46" s="132">
        <v>6899.3</v>
      </c>
      <c r="M46" s="132">
        <v>8773.7999999999993</v>
      </c>
      <c r="N46" s="132">
        <v>11923.8</v>
      </c>
      <c r="O46" s="132">
        <v>17156.5</v>
      </c>
      <c r="P46" s="1048">
        <v>20380.2</v>
      </c>
      <c r="Q46" s="1048">
        <v>23726.2</v>
      </c>
      <c r="R46" s="132">
        <v>28932.7</v>
      </c>
      <c r="S46" s="132">
        <v>36067.9</v>
      </c>
      <c r="T46" s="132">
        <v>40396.6</v>
      </c>
      <c r="U46" s="401">
        <v>44710.8</v>
      </c>
      <c r="V46" s="132">
        <v>36003</v>
      </c>
      <c r="W46" s="400">
        <v>43219.8</v>
      </c>
      <c r="X46" s="401">
        <v>51499.4</v>
      </c>
      <c r="Y46" s="401">
        <v>53938.7</v>
      </c>
      <c r="Z46" s="401">
        <v>59925</v>
      </c>
      <c r="AA46" s="402">
        <v>64584</v>
      </c>
      <c r="AB46" s="402">
        <v>80377.100000000006</v>
      </c>
      <c r="AC46" s="402">
        <v>102715.8</v>
      </c>
      <c r="AD46" s="753">
        <v>118160.2</v>
      </c>
      <c r="AE46" s="753">
        <v>143478</v>
      </c>
    </row>
    <row r="47" spans="3:42">
      <c r="C47" s="87" t="s">
        <v>389</v>
      </c>
      <c r="D47" s="87"/>
      <c r="E47" s="87"/>
      <c r="F47" s="87"/>
      <c r="G47"/>
      <c r="H47"/>
      <c r="I47"/>
      <c r="J47"/>
      <c r="K47"/>
      <c r="L47" s="190">
        <v>3679.6000000000004</v>
      </c>
      <c r="M47" s="190">
        <v>4597.8999999999996</v>
      </c>
      <c r="N47" s="190">
        <v>5864</v>
      </c>
      <c r="O47" s="190">
        <v>8712.6</v>
      </c>
      <c r="P47" s="190">
        <v>10201</v>
      </c>
      <c r="Q47" s="190">
        <v>11372.2</v>
      </c>
      <c r="R47" s="190">
        <v>14198.7</v>
      </c>
      <c r="S47" s="190">
        <v>17675.5</v>
      </c>
      <c r="T47" s="190">
        <v>10871.7</v>
      </c>
      <c r="U47" s="190">
        <v>22863.4</v>
      </c>
      <c r="V47" s="190">
        <f t="shared" ref="V47:Y47" si="91">V9+V18</f>
        <v>23993.5</v>
      </c>
      <c r="W47" s="190">
        <f t="shared" si="91"/>
        <v>26200.400000000001</v>
      </c>
      <c r="X47" s="190">
        <f t="shared" si="91"/>
        <v>29319.200000000001</v>
      </c>
      <c r="Y47" s="190">
        <f t="shared" si="91"/>
        <v>32610.5</v>
      </c>
      <c r="Z47" s="190">
        <f t="shared" ref="Z47:AD47" si="92">Z9+Z18</f>
        <v>37931.9</v>
      </c>
      <c r="AA47" s="190">
        <f t="shared" si="92"/>
        <v>36748.400000000001</v>
      </c>
      <c r="AB47" s="190">
        <f t="shared" si="92"/>
        <v>42929.2</v>
      </c>
      <c r="AC47" s="190">
        <f t="shared" si="92"/>
        <v>53453.1</v>
      </c>
      <c r="AD47" s="747">
        <f t="shared" si="92"/>
        <v>64281.3</v>
      </c>
      <c r="AE47" s="747">
        <f>AE9+AE18</f>
        <v>74757.899999999994</v>
      </c>
      <c r="AF47" s="747">
        <f>AF9+AF18</f>
        <v>87854.1</v>
      </c>
      <c r="AG47" s="403">
        <f t="shared" ref="AG47:AP47" si="93">AG50*AG43</f>
        <v>96349.40740381385</v>
      </c>
      <c r="AH47" s="403">
        <f t="shared" si="93"/>
        <v>104858.90257619256</v>
      </c>
      <c r="AI47" s="403">
        <f t="shared" si="93"/>
        <v>112058.55122045973</v>
      </c>
      <c r="AJ47" s="403">
        <f t="shared" si="93"/>
        <v>123941.75259283076</v>
      </c>
      <c r="AK47" s="403">
        <f t="shared" si="93"/>
        <v>134777.6607235129</v>
      </c>
      <c r="AL47" s="403">
        <f t="shared" si="93"/>
        <v>144881.98166305479</v>
      </c>
      <c r="AM47" s="403">
        <f t="shared" si="93"/>
        <v>157818.00540227626</v>
      </c>
      <c r="AN47" s="403">
        <f t="shared" si="93"/>
        <v>170211.22332110303</v>
      </c>
      <c r="AO47" s="403">
        <f t="shared" si="93"/>
        <v>183915.66441347319</v>
      </c>
      <c r="AP47" s="403">
        <f t="shared" si="93"/>
        <v>199388.37167514817</v>
      </c>
    </row>
    <row r="48" spans="3:42">
      <c r="C48" s="32" t="s">
        <v>390</v>
      </c>
      <c r="G48"/>
      <c r="H48"/>
      <c r="I48"/>
      <c r="J48"/>
      <c r="K48"/>
      <c r="L48" s="190">
        <v>0.32561585750546534</v>
      </c>
      <c r="M48" s="190">
        <v>0.29737729894439002</v>
      </c>
      <c r="N48" s="190">
        <v>0.30580032923404665</v>
      </c>
      <c r="O48" s="190">
        <v>0.26394502829426036</v>
      </c>
      <c r="P48" s="190">
        <v>0.26917951312297045</v>
      </c>
      <c r="Q48" s="190">
        <v>0.23115465327026993</v>
      </c>
      <c r="R48" s="190">
        <v>0.27269355348106145</v>
      </c>
      <c r="S48" s="190">
        <v>0.25164214125921697</v>
      </c>
      <c r="T48" s="190">
        <v>2.9155691883661745E-2</v>
      </c>
      <c r="U48" s="190">
        <v>0.26718907566526928</v>
      </c>
      <c r="V48" s="190">
        <f t="shared" ref="V48:AC48" si="94">V9/V43</f>
        <v>0.34762902810694335</v>
      </c>
      <c r="W48" s="190">
        <f t="shared" si="94"/>
        <v>0.3541538804327567</v>
      </c>
      <c r="X48" s="190">
        <f t="shared" si="94"/>
        <v>0.33148330561078515</v>
      </c>
      <c r="Y48" s="190">
        <f t="shared" si="94"/>
        <v>0.36486351104475973</v>
      </c>
      <c r="Z48" s="190">
        <f t="shared" si="94"/>
        <v>0.40541808794498357</v>
      </c>
      <c r="AA48" s="190">
        <f t="shared" si="94"/>
        <v>0.39678698687960567</v>
      </c>
      <c r="AB48" s="190">
        <f t="shared" si="94"/>
        <v>0.41438730071211871</v>
      </c>
      <c r="AC48" s="190">
        <f t="shared" si="94"/>
        <v>0.3685039826547773</v>
      </c>
      <c r="AD48" s="190">
        <f>AD9/AD43</f>
        <v>0.44141552273980067</v>
      </c>
      <c r="AE48" s="190">
        <f>AE9/AE43</f>
        <v>0.3903486680380146</v>
      </c>
      <c r="AF48" s="190">
        <f>AF9/AF43</f>
        <v>0.46241013208968251</v>
      </c>
      <c r="AG48" s="210">
        <v>0.505</v>
      </c>
      <c r="AH48" s="210">
        <v>0.54</v>
      </c>
      <c r="AI48" s="210">
        <v>0.57599999999999996</v>
      </c>
      <c r="AJ48" s="210">
        <v>0.59499999999999997</v>
      </c>
      <c r="AK48" s="210">
        <v>0.59499999999999997</v>
      </c>
      <c r="AL48" s="210">
        <v>0.59699999999999998</v>
      </c>
      <c r="AM48" s="210">
        <v>0.59499999999999997</v>
      </c>
      <c r="AN48" s="210">
        <v>0.59499999999999997</v>
      </c>
      <c r="AO48" s="210">
        <v>0.59499999999999997</v>
      </c>
      <c r="AP48" s="210">
        <v>0.59499999999999997</v>
      </c>
    </row>
    <row r="49" spans="3:42">
      <c r="C49" s="32" t="s">
        <v>391</v>
      </c>
      <c r="G49"/>
      <c r="H49"/>
      <c r="I49"/>
      <c r="J49"/>
      <c r="K49"/>
      <c r="L49" s="190">
        <v>0.21425532227063984</v>
      </c>
      <c r="M49" s="190">
        <v>0.20299270867341385</v>
      </c>
      <c r="N49" s="190">
        <v>0.21041048619241703</v>
      </c>
      <c r="O49" s="190">
        <v>0.22517515494475884</v>
      </c>
      <c r="P49" s="190">
        <v>0.22417278364791987</v>
      </c>
      <c r="Q49" s="190">
        <v>0.20713618287027791</v>
      </c>
      <c r="R49" s="190">
        <v>0.24873853295238374</v>
      </c>
      <c r="S49" s="190">
        <v>0.24180693936374201</v>
      </c>
      <c r="T49" s="190">
        <v>0.21249402638393403</v>
      </c>
      <c r="U49" s="190">
        <v>0.20917542441390458</v>
      </c>
      <c r="V49" s="190">
        <f t="shared" ref="V49:AC49" si="95">V18/V43</f>
        <v>0.23249415473064158</v>
      </c>
      <c r="W49" s="190">
        <f t="shared" si="95"/>
        <v>0.21980204928019639</v>
      </c>
      <c r="X49" s="190">
        <f t="shared" si="95"/>
        <v>0.19570518889232477</v>
      </c>
      <c r="Y49" s="190">
        <f t="shared" si="95"/>
        <v>0.21612065995994914</v>
      </c>
      <c r="Z49" s="190">
        <f t="shared" si="95"/>
        <v>0.21098777418270942</v>
      </c>
      <c r="AA49" s="190">
        <f t="shared" si="95"/>
        <v>0.14276508783127106</v>
      </c>
      <c r="AB49" s="190">
        <f t="shared" si="95"/>
        <v>0.12047688274616199</v>
      </c>
      <c r="AC49" s="190">
        <f t="shared" si="95"/>
        <v>0.12908558732779432</v>
      </c>
      <c r="AD49" s="190">
        <f>AD18/AD43</f>
        <v>0.15543902531699194</v>
      </c>
      <c r="AE49" s="190">
        <f>AE18/AE43</f>
        <v>0.13390706180621031</v>
      </c>
      <c r="AF49" s="190">
        <f>AF18/AF43</f>
        <v>0.15587241895041415</v>
      </c>
      <c r="AG49" s="210">
        <v>0.16600000000000001</v>
      </c>
      <c r="AH49" s="404">
        <v>0.17499999999999999</v>
      </c>
      <c r="AI49" s="404">
        <v>0.185</v>
      </c>
      <c r="AJ49" s="404">
        <v>0.185</v>
      </c>
      <c r="AK49" s="404">
        <v>0.187</v>
      </c>
      <c r="AL49" s="404">
        <v>0.185</v>
      </c>
      <c r="AM49" s="404">
        <v>0.18</v>
      </c>
      <c r="AN49" s="404">
        <v>0.185</v>
      </c>
      <c r="AO49" s="404">
        <v>0.19500000000000001</v>
      </c>
      <c r="AP49" s="404">
        <v>0.19900000000000001</v>
      </c>
    </row>
    <row r="50" spans="3:42">
      <c r="C50" s="87" t="s">
        <v>328</v>
      </c>
      <c r="D50" s="87"/>
      <c r="E50" s="87"/>
      <c r="F50" s="87"/>
      <c r="G50"/>
      <c r="H50"/>
      <c r="I50"/>
      <c r="J50"/>
      <c r="K50"/>
      <c r="L50" s="951">
        <v>0.53987117977610521</v>
      </c>
      <c r="M50" s="951">
        <v>0.50037000761780381</v>
      </c>
      <c r="N50" s="951">
        <v>0.51621081542646374</v>
      </c>
      <c r="O50" s="951">
        <v>0.48912018323901918</v>
      </c>
      <c r="P50" s="951">
        <v>0.49335229677089032</v>
      </c>
      <c r="Q50" s="405">
        <v>0.43829083614054787</v>
      </c>
      <c r="R50" s="405">
        <v>0.52143208643344519</v>
      </c>
      <c r="S50" s="405">
        <v>0.493449080622959</v>
      </c>
      <c r="T50" s="405">
        <v>0.24164971826759579</v>
      </c>
      <c r="U50" s="405">
        <v>0.47636450007917391</v>
      </c>
      <c r="V50" s="405">
        <f t="shared" ref="V50:AC50" si="96">V47/V43</f>
        <v>0.58012318283758491</v>
      </c>
      <c r="W50" s="405">
        <f t="shared" si="96"/>
        <v>0.57395592971295306</v>
      </c>
      <c r="X50" s="405">
        <f t="shared" si="96"/>
        <v>0.52718849450311001</v>
      </c>
      <c r="Y50" s="405">
        <f t="shared" si="96"/>
        <v>0.58098417100470889</v>
      </c>
      <c r="Z50" s="405">
        <f t="shared" si="96"/>
        <v>0.61640586212769299</v>
      </c>
      <c r="AA50" s="405">
        <f t="shared" si="96"/>
        <v>0.53955207471087674</v>
      </c>
      <c r="AB50" s="405">
        <f>AB47/AB43</f>
        <v>0.53486418345828068</v>
      </c>
      <c r="AC50" s="405">
        <f t="shared" si="96"/>
        <v>0.49758956998257164</v>
      </c>
      <c r="AD50" s="754">
        <f>AD47/AD43</f>
        <v>0.59685454805679272</v>
      </c>
      <c r="AE50" s="754">
        <f>AE47/AE43</f>
        <v>0.52425572984422486</v>
      </c>
      <c r="AF50" s="754">
        <f>AF47/AF43</f>
        <v>0.61828255104009666</v>
      </c>
      <c r="AG50" s="406">
        <f t="shared" ref="AG50" si="97">AF50</f>
        <v>0.61828255104009666</v>
      </c>
      <c r="AH50" s="406">
        <f t="shared" ref="AH50" si="98">AG50</f>
        <v>0.61828255104009666</v>
      </c>
      <c r="AI50" s="406">
        <f t="shared" ref="AI50" si="99">AH50</f>
        <v>0.61828255104009666</v>
      </c>
      <c r="AJ50" s="406">
        <f t="shared" ref="AJ50" si="100">AI50</f>
        <v>0.61828255104009666</v>
      </c>
      <c r="AK50" s="406">
        <f t="shared" ref="AK50" si="101">AJ50</f>
        <v>0.61828255104009666</v>
      </c>
      <c r="AL50" s="406">
        <f t="shared" ref="AL50" si="102">AK50</f>
        <v>0.61828255104009666</v>
      </c>
      <c r="AM50" s="406">
        <f t="shared" ref="AM50" si="103">AL50</f>
        <v>0.61828255104009666</v>
      </c>
      <c r="AN50" s="406">
        <f t="shared" ref="AN50" si="104">AM50</f>
        <v>0.61828255104009666</v>
      </c>
      <c r="AO50" s="406">
        <f t="shared" ref="AO50" si="105">AN50</f>
        <v>0.61828255104009666</v>
      </c>
      <c r="AP50" s="406">
        <f t="shared" ref="AP50" si="106">AO50</f>
        <v>0.61828255104009666</v>
      </c>
    </row>
    <row r="51" spans="3:42">
      <c r="C51" s="87" t="s">
        <v>392</v>
      </c>
      <c r="D51" s="87"/>
      <c r="E51" s="87"/>
      <c r="F51" s="87"/>
      <c r="G51"/>
      <c r="H51"/>
      <c r="I51"/>
      <c r="J51"/>
      <c r="K51"/>
      <c r="L51" s="372">
        <v>0.88358467006051311</v>
      </c>
      <c r="M51" s="372">
        <v>0.8146382948565758</v>
      </c>
      <c r="N51" s="372">
        <v>0.82786271935397338</v>
      </c>
      <c r="O51" s="372">
        <v>0.74508060033351864</v>
      </c>
      <c r="P51" s="372">
        <v>0.79661034016262955</v>
      </c>
      <c r="Q51" s="404">
        <v>0.69294100630796451</v>
      </c>
      <c r="R51" s="404">
        <v>0.89382636777397972</v>
      </c>
      <c r="S51" s="404">
        <v>0.84393647441791031</v>
      </c>
      <c r="T51" s="404">
        <v>0.36050575657894735</v>
      </c>
      <c r="U51" s="404">
        <v>0.71697048189181822</v>
      </c>
      <c r="V51" s="404">
        <f t="shared" ref="V51:AC51" si="107">V47/(V43-V32)</f>
        <v>1.0010798159543501</v>
      </c>
      <c r="W51" s="404">
        <f t="shared" si="107"/>
        <v>0.97788954693728969</v>
      </c>
      <c r="X51" s="404">
        <f t="shared" si="107"/>
        <v>0.95105859732909281</v>
      </c>
      <c r="Y51" s="404">
        <f t="shared" si="107"/>
        <v>0.97414983487892881</v>
      </c>
      <c r="Z51" s="404">
        <f t="shared" si="107"/>
        <v>1.0592864964415347</v>
      </c>
      <c r="AA51" s="404">
        <f t="shared" si="107"/>
        <v>1.0119905171900794</v>
      </c>
      <c r="AB51" s="404">
        <f t="shared" si="107"/>
        <v>0.90007435260659097</v>
      </c>
      <c r="AC51" s="404">
        <f t="shared" si="107"/>
        <v>0.7684296357410757</v>
      </c>
      <c r="AD51" s="755">
        <f>AD47/(AD43-AD32)</f>
        <v>0.97326881922467845</v>
      </c>
      <c r="AE51" s="755">
        <f>AE47/(AE43-AE32)</f>
        <v>0.80412892142843617</v>
      </c>
      <c r="AF51" s="755">
        <f>AF47/(AF43-AF32)</f>
        <v>1.1037511501865638</v>
      </c>
      <c r="AG51" s="755">
        <f>AG47/(AG43-AG32)</f>
        <v>1.125836214195</v>
      </c>
      <c r="AH51" s="755">
        <f t="shared" ref="AH51:AP51" si="108">AH47/(AH43-AH32)</f>
        <v>1.1347801731923339</v>
      </c>
      <c r="AI51" s="755">
        <f t="shared" si="108"/>
        <v>1.1601835995930214</v>
      </c>
      <c r="AJ51" s="755">
        <f t="shared" si="108"/>
        <v>1.1525721693683297</v>
      </c>
      <c r="AK51" s="755">
        <f t="shared" si="108"/>
        <v>1.1763691896121684</v>
      </c>
      <c r="AL51" s="755">
        <f t="shared" si="108"/>
        <v>1.1827430304611628</v>
      </c>
      <c r="AM51" s="755">
        <f t="shared" si="108"/>
        <v>1.171278939121112</v>
      </c>
      <c r="AN51" s="755">
        <f t="shared" si="108"/>
        <v>1.1706197955707711</v>
      </c>
      <c r="AO51" s="755">
        <f t="shared" si="108"/>
        <v>1.1656896623769717</v>
      </c>
      <c r="AP51" s="755">
        <f t="shared" si="108"/>
        <v>1.1598047867463046</v>
      </c>
    </row>
    <row r="52" spans="3:42">
      <c r="C52" s="87" t="s">
        <v>393</v>
      </c>
      <c r="D52" s="87"/>
      <c r="E52" s="87"/>
      <c r="F52" s="87"/>
      <c r="G52"/>
      <c r="H52"/>
      <c r="I52"/>
      <c r="J52"/>
      <c r="K52"/>
      <c r="L52" s="372">
        <v>1.0834143038011959</v>
      </c>
      <c r="M52" s="372">
        <v>0.92297655371768095</v>
      </c>
      <c r="N52" s="372">
        <v>0.94897480297121029</v>
      </c>
      <c r="O52" s="372">
        <v>0.8215791111488302</v>
      </c>
      <c r="P52" s="372">
        <v>0.96570128425966617</v>
      </c>
      <c r="Q52" s="404">
        <v>0.80402440151256305</v>
      </c>
      <c r="R52" s="404">
        <v>1.0933430870519385</v>
      </c>
      <c r="S52" s="404">
        <v>1.033333975452549</v>
      </c>
      <c r="T52" s="404">
        <v>0.42415387316388042</v>
      </c>
      <c r="U52" s="404">
        <v>0.8631150573436922</v>
      </c>
      <c r="V52" s="404">
        <f t="shared" ref="V52:AB52" si="109">V47/V44</f>
        <v>1.2049454687006629</v>
      </c>
      <c r="W52" s="404">
        <f t="shared" si="109"/>
        <v>1.1922875119156684</v>
      </c>
      <c r="X52" s="404">
        <f t="shared" si="109"/>
        <v>1.1560622626513497</v>
      </c>
      <c r="Y52" s="404">
        <f t="shared" si="109"/>
        <v>1.1759219978247959</v>
      </c>
      <c r="Z52" s="404">
        <f t="shared" si="109"/>
        <v>1.2912672980449902</v>
      </c>
      <c r="AA52" s="404">
        <f t="shared" si="109"/>
        <v>1.2658902632059572</v>
      </c>
      <c r="AB52" s="404">
        <f t="shared" si="109"/>
        <v>1.1074910432856095</v>
      </c>
      <c r="AC52" s="404">
        <f>AC47/AC44</f>
        <v>0.89965549496161823</v>
      </c>
      <c r="AD52" s="755">
        <f>AD47/AD44</f>
        <v>1.1561819667191013</v>
      </c>
      <c r="AE52" s="755">
        <f>AE47/AE44</f>
        <v>0.9203956617188509</v>
      </c>
      <c r="AF52" s="755">
        <f>AF47/AF44</f>
        <v>1.3293010682876394</v>
      </c>
      <c r="AG52" s="755">
        <f t="shared" ref="AG52:AP52" si="110">AG47/AG44</f>
        <v>1.3754573254880296</v>
      </c>
      <c r="AH52" s="755">
        <f t="shared" si="110"/>
        <v>1.4066789743586021</v>
      </c>
      <c r="AI52" s="755">
        <f t="shared" si="110"/>
        <v>1.4735480502436846</v>
      </c>
      <c r="AJ52" s="755">
        <f t="shared" si="110"/>
        <v>1.4770138187011794</v>
      </c>
      <c r="AK52" s="755">
        <f t="shared" si="110"/>
        <v>1.5419632561604482</v>
      </c>
      <c r="AL52" s="755">
        <f t="shared" si="110"/>
        <v>1.5876159138087844</v>
      </c>
      <c r="AM52" s="755">
        <f t="shared" si="110"/>
        <v>1.5971051118717576</v>
      </c>
      <c r="AN52" s="755">
        <f t="shared" si="110"/>
        <v>1.6352459613879959</v>
      </c>
      <c r="AO52" s="755">
        <f t="shared" si="110"/>
        <v>1.66796508567855</v>
      </c>
      <c r="AP52" s="755">
        <f t="shared" si="110"/>
        <v>1.700131013867644</v>
      </c>
    </row>
    <row r="53" spans="3:42">
      <c r="C53" s="87" t="s">
        <v>394</v>
      </c>
      <c r="D53" s="87"/>
      <c r="E53" s="87"/>
      <c r="F53" s="87"/>
      <c r="G53"/>
      <c r="H53"/>
      <c r="I53"/>
      <c r="J53"/>
      <c r="K53"/>
      <c r="L53" s="803">
        <v>6448.3</v>
      </c>
      <c r="M53" s="803">
        <v>1371.9</v>
      </c>
      <c r="N53" s="803">
        <v>777.5</v>
      </c>
      <c r="O53" s="132">
        <v>2684.5</v>
      </c>
      <c r="P53" s="132">
        <v>139.69999999999999</v>
      </c>
      <c r="Q53" s="1052">
        <v>1527.1</v>
      </c>
      <c r="R53" s="1052">
        <v>-2843.5</v>
      </c>
      <c r="S53" s="1052">
        <v>-2438.6</v>
      </c>
      <c r="T53" s="1052">
        <v>1900.5</v>
      </c>
      <c r="U53" s="1052">
        <v>-2058</v>
      </c>
      <c r="V53">
        <v>21178.799999999999</v>
      </c>
      <c r="W53">
        <v>17673.5</v>
      </c>
      <c r="X53">
        <v>19551.099999999999</v>
      </c>
      <c r="Y53">
        <v>24508.1</v>
      </c>
      <c r="Z53">
        <v>28757.5</v>
      </c>
      <c r="AA53">
        <v>30106.7</v>
      </c>
      <c r="AB53">
        <v>40454.800000000003</v>
      </c>
      <c r="AC53" s="94">
        <v>59136</v>
      </c>
      <c r="AD53" s="691">
        <v>56178.8</v>
      </c>
      <c r="AE53" s="691">
        <v>58569.1</v>
      </c>
      <c r="AF53" s="747">
        <f t="shared" ref="AF53:AJ53" si="111">AE53</f>
        <v>58569.1</v>
      </c>
      <c r="AG53" s="747">
        <f t="shared" si="111"/>
        <v>58569.1</v>
      </c>
      <c r="AH53" s="747">
        <f t="shared" si="111"/>
        <v>58569.1</v>
      </c>
      <c r="AI53" s="747">
        <f t="shared" si="111"/>
        <v>58569.1</v>
      </c>
      <c r="AJ53" s="747">
        <f t="shared" si="111"/>
        <v>58569.1</v>
      </c>
      <c r="AK53" s="747">
        <f t="shared" ref="AK53" si="112">AJ53</f>
        <v>58569.1</v>
      </c>
      <c r="AL53" s="747">
        <f t="shared" ref="AL53" si="113">AK53</f>
        <v>58569.1</v>
      </c>
      <c r="AM53" s="747">
        <f t="shared" ref="AM53" si="114">AL53</f>
        <v>58569.1</v>
      </c>
      <c r="AN53" s="747">
        <f t="shared" ref="AN53" si="115">AM53</f>
        <v>58569.1</v>
      </c>
      <c r="AO53" s="747">
        <f t="shared" ref="AO53" si="116">AN53</f>
        <v>58569.1</v>
      </c>
      <c r="AP53" s="747">
        <f t="shared" ref="AP53" si="117">AO53</f>
        <v>58569.1</v>
      </c>
    </row>
    <row r="54" spans="3:42">
      <c r="C54" s="87" t="s">
        <v>395</v>
      </c>
      <c r="D54" s="87"/>
      <c r="E54" s="87"/>
      <c r="F54" s="87"/>
      <c r="G54"/>
      <c r="H54"/>
      <c r="I54"/>
      <c r="J54"/>
      <c r="K54"/>
      <c r="L54" s="803">
        <v>68.3</v>
      </c>
      <c r="M54" s="803">
        <v>407.6</v>
      </c>
      <c r="N54" s="803">
        <v>460.9</v>
      </c>
      <c r="O54" s="132">
        <v>712</v>
      </c>
      <c r="P54" s="132">
        <v>1676</v>
      </c>
      <c r="Q54" s="1052">
        <v>1785.2</v>
      </c>
      <c r="R54" s="1052">
        <v>2923.4</v>
      </c>
      <c r="S54" s="1052">
        <v>1924.7</v>
      </c>
      <c r="T54" s="1052">
        <v>2852.7</v>
      </c>
      <c r="U54" s="1052">
        <v>3618.3</v>
      </c>
      <c r="V54">
        <v>19736.900000000001</v>
      </c>
      <c r="W54">
        <v>21954</v>
      </c>
      <c r="X54">
        <v>20133</v>
      </c>
      <c r="Y54">
        <v>25146.799999999999</v>
      </c>
      <c r="Z54">
        <v>24926.6</v>
      </c>
      <c r="AA54">
        <v>23150.400000000001</v>
      </c>
      <c r="AB54">
        <v>32314.3</v>
      </c>
      <c r="AC54">
        <v>37469.9</v>
      </c>
      <c r="AD54" s="704">
        <v>37577.9</v>
      </c>
      <c r="AE54" s="704">
        <v>47110.6</v>
      </c>
    </row>
    <row r="55" spans="3:42">
      <c r="C55" s="87" t="s">
        <v>396</v>
      </c>
      <c r="D55" s="87"/>
      <c r="E55" s="87"/>
      <c r="F55" s="87"/>
      <c r="G55"/>
      <c r="H55"/>
      <c r="I55"/>
      <c r="J55"/>
      <c r="K55"/>
      <c r="L55" s="803">
        <v>581.6</v>
      </c>
      <c r="M55" s="803">
        <v>966</v>
      </c>
      <c r="N55" s="803">
        <v>318.5</v>
      </c>
      <c r="O55" s="132">
        <v>1975.8</v>
      </c>
      <c r="P55" s="132">
        <v>1974.4</v>
      </c>
      <c r="Q55" s="1052">
        <v>-254.6</v>
      </c>
      <c r="R55" s="1052">
        <v>-5763</v>
      </c>
      <c r="S55" s="1052">
        <v>-4358.1000000000004</v>
      </c>
      <c r="T55" s="1052">
        <v>-947.7</v>
      </c>
      <c r="U55" s="177">
        <v>-5671.6</v>
      </c>
      <c r="V55">
        <v>-650.79999999999995</v>
      </c>
      <c r="W55">
        <v>-3375</v>
      </c>
      <c r="X55">
        <v>1527.6</v>
      </c>
      <c r="Y55">
        <v>-293.7</v>
      </c>
      <c r="Z55">
        <v>2431</v>
      </c>
      <c r="AA55">
        <v>4128</v>
      </c>
      <c r="AB55">
        <v>8631.1</v>
      </c>
      <c r="AC55">
        <v>20574.2</v>
      </c>
      <c r="AD55" s="704">
        <v>18009.3</v>
      </c>
      <c r="AE55" s="704">
        <v>15764.5</v>
      </c>
    </row>
    <row r="56" spans="3:42">
      <c r="C56" s="87"/>
      <c r="D56" s="87"/>
      <c r="E56" s="87"/>
      <c r="F56" s="87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s="803"/>
    </row>
    <row r="57" spans="3:42">
      <c r="C57" s="88" t="s">
        <v>397</v>
      </c>
      <c r="D57" s="88"/>
      <c r="E57" s="88"/>
      <c r="F57" s="88"/>
      <c r="G57"/>
      <c r="H57"/>
      <c r="I57"/>
      <c r="J57"/>
      <c r="K57"/>
      <c r="L57" s="970"/>
      <c r="M57" s="289">
        <v>22.921074871253126</v>
      </c>
      <c r="N57" s="289">
        <v>2.1228098813799221</v>
      </c>
      <c r="O57" s="289">
        <v>36.406957930227009</v>
      </c>
      <c r="P57" s="289">
        <v>9.6789314131411146</v>
      </c>
      <c r="Q57" s="289">
        <v>18.986355212726821</v>
      </c>
      <c r="R57" s="289">
        <v>-7.55331311202454</v>
      </c>
      <c r="S57" s="289">
        <v>25.746268302498478</v>
      </c>
      <c r="T57" s="289">
        <v>21.897733657812296</v>
      </c>
      <c r="U57" s="289">
        <v>-0.71821869547336803</v>
      </c>
      <c r="V57" s="95">
        <v>-18.926852081850626</v>
      </c>
      <c r="W57" s="95">
        <f>W43/V43*100-Monetary!W15</f>
        <v>4.2712576756496361</v>
      </c>
      <c r="X57" s="95">
        <f>X43/W43*100-Monetary!X15</f>
        <v>15.089621968027203</v>
      </c>
      <c r="Y57" s="95">
        <f>Y43/X43*100-Monetary!Y15</f>
        <v>-4.4519796389683677</v>
      </c>
      <c r="Z57" s="95">
        <f>Z43/Y43*100-Monetary!Z15</f>
        <v>1.6338534565163059</v>
      </c>
      <c r="AA57" s="95">
        <f>AA43/Z43*100-Monetary!AA15</f>
        <v>1.27951093342962</v>
      </c>
      <c r="AB57" s="95">
        <f>AB43/AA43*100-Monetary!AB15</f>
        <v>9.8431140461709106</v>
      </c>
      <c r="AC57" s="95">
        <f>AC43/AB43*100-Monetary!AC15</f>
        <v>29.64197918239698</v>
      </c>
      <c r="AD57" s="95">
        <f>AD43/AC43*100-Monetary!AD15</f>
        <v>-3.5430438608009496</v>
      </c>
      <c r="AE57" s="95">
        <f>AE43/AD43*100-Monetary!AE15</f>
        <v>28.802981203973559</v>
      </c>
      <c r="AF57" s="95">
        <f>AF43/AE43*100-Monetary!AF15</f>
        <v>-3.8537093970868739</v>
      </c>
      <c r="AG57" s="95">
        <f>AG43/AF43*100-Monetary!AG15</f>
        <v>7.2536326561871078</v>
      </c>
      <c r="AH57" s="95">
        <f>AH43/AG43*100-Monetary!AH15</f>
        <v>4.5638133734528736</v>
      </c>
      <c r="AI57" s="95">
        <f>AI43/AH43*100-Monetary!AI15</f>
        <v>2.065334682865938</v>
      </c>
      <c r="AJ57" s="95">
        <f>AJ43/AI43*100-Monetary!AJ15</f>
        <v>6.4234965034671774</v>
      </c>
      <c r="AK57" s="95">
        <f>AK43/AJ43*100-Monetary!AK15</f>
        <v>4.836369465424994</v>
      </c>
      <c r="AL57" s="95">
        <f>AL43/AK43*100-Monetary!AL15</f>
        <v>2.4645570652292292</v>
      </c>
      <c r="AM57" s="95">
        <f>AM43/AL43*100-Monetary!AM15</f>
        <v>4.2019339227690011</v>
      </c>
      <c r="AN57" s="95">
        <f>AN43/AM43*100-Monetary!AN15</f>
        <v>3.2818355591666233</v>
      </c>
      <c r="AO57" s="95">
        <f>AO43/AN43*100-Monetary!AO15</f>
        <v>3.3552652955808071</v>
      </c>
      <c r="AP57" s="95">
        <f>AP43/AO43*100-Monetary!AP15</f>
        <v>3.4957612605638673</v>
      </c>
    </row>
    <row r="58" spans="3:42">
      <c r="C58" s="407" t="s">
        <v>384</v>
      </c>
      <c r="D58" s="407"/>
      <c r="E58" s="407"/>
      <c r="F58" s="407"/>
      <c r="G58"/>
      <c r="H58"/>
      <c r="I58"/>
      <c r="J58"/>
      <c r="K58"/>
      <c r="L58" s="403"/>
      <c r="M58" s="289"/>
      <c r="N58" s="289"/>
      <c r="O58" s="289"/>
      <c r="P58" s="289"/>
      <c r="Q58" s="289"/>
      <c r="R58" s="289"/>
      <c r="S58" s="289"/>
      <c r="T58" s="289"/>
      <c r="U58" s="289"/>
      <c r="V58" s="90"/>
      <c r="W58" s="750">
        <f t="shared" ref="W58:AC58" si="118">(W37-W36)/(V37-V36)*V42</f>
        <v>1356.6990317734828</v>
      </c>
      <c r="X58" s="750">
        <f t="shared" si="118"/>
        <v>1695.1362106618531</v>
      </c>
      <c r="Y58" s="750">
        <f t="shared" si="118"/>
        <v>1653.4435840791753</v>
      </c>
      <c r="Z58" s="750">
        <f t="shared" si="118"/>
        <v>1847.4851054697854</v>
      </c>
      <c r="AA58" s="750">
        <f t="shared" si="118"/>
        <v>2156.0115126803589</v>
      </c>
      <c r="AB58" s="750">
        <f>(AB37-AB36)/(AA37-AA36)*AA42</f>
        <v>2278.6291780804622</v>
      </c>
      <c r="AC58" s="750">
        <f t="shared" si="118"/>
        <v>2629.8235631240773</v>
      </c>
      <c r="AD58" s="750">
        <f t="shared" ref="AD58" si="119">(AD37-AD36)/(AC37-AC36)*AC42</f>
        <v>2935.6908037416215</v>
      </c>
      <c r="AE58" s="90">
        <f t="shared" ref="AE58:AJ58" si="120">(AE37-AE36)/(AD37-AD36)*AD42</f>
        <v>3555.5095396190222</v>
      </c>
      <c r="AF58" s="90">
        <f t="shared" si="120"/>
        <v>4146.3292072390641</v>
      </c>
      <c r="AG58" s="90">
        <f t="shared" si="120"/>
        <v>4798.1592821963604</v>
      </c>
      <c r="AH58" s="90">
        <f t="shared" si="120"/>
        <v>5174.7213807776498</v>
      </c>
      <c r="AI58" s="90">
        <f t="shared" si="120"/>
        <v>5653.1896237480842</v>
      </c>
      <c r="AJ58" s="90">
        <f t="shared" si="120"/>
        <v>5995.6955668102819</v>
      </c>
      <c r="AK58" s="90">
        <f t="shared" ref="AK58" si="121">(AK37-AK36)/(AJ37-AJ36)*AJ42</f>
        <v>6925.3633645262298</v>
      </c>
      <c r="AL58" s="90">
        <f t="shared" ref="AL58" si="122">(AL37-AL36)/(AK37-AK36)*AK42</f>
        <v>7253.5002466400238</v>
      </c>
      <c r="AM58" s="90">
        <f t="shared" ref="AM58" si="123">(AM37-AM36)/(AL37-AL36)*AL42</f>
        <v>6973.8016851039092</v>
      </c>
      <c r="AN58" s="90">
        <f t="shared" ref="AN58" si="124">(AN37-AN36)/(AM37-AM36)*AM42</f>
        <v>7217.2334777632404</v>
      </c>
      <c r="AO58" s="90">
        <f t="shared" ref="AO58" si="125">(AO37-AO36)/(AN37-AN36)*AN42</f>
        <v>7834.3016196823673</v>
      </c>
      <c r="AP58" s="90">
        <f t="shared" ref="AP58" si="126">(AP37-AP36)/(AO37-AO36)*AO42</f>
        <v>7791.3972470649833</v>
      </c>
    </row>
    <row r="59" spans="3:42">
      <c r="C59" s="770" t="s">
        <v>385</v>
      </c>
      <c r="D59" s="770"/>
      <c r="E59" s="770"/>
      <c r="F59" s="770"/>
      <c r="G59"/>
      <c r="H59"/>
      <c r="I59"/>
      <c r="J59"/>
      <c r="K59"/>
      <c r="L59" s="403"/>
      <c r="M59" s="403"/>
      <c r="N59" s="403"/>
      <c r="O59" s="372">
        <v>49.077609444500183</v>
      </c>
      <c r="P59" s="372">
        <v>-26.535963138005542</v>
      </c>
      <c r="Q59" s="372">
        <v>22.832987410894077</v>
      </c>
      <c r="R59" s="372">
        <v>-8.2874023269586985</v>
      </c>
      <c r="S59" s="372">
        <v>32.259140573439922</v>
      </c>
      <c r="T59" s="372">
        <v>52.756442499850593</v>
      </c>
      <c r="U59" s="372">
        <v>-8.8228729047315966</v>
      </c>
      <c r="V59" s="772">
        <f t="shared" ref="V59:X59" si="127">V41-V42</f>
        <v>41359.319382203306</v>
      </c>
      <c r="W59" s="772">
        <f t="shared" si="127"/>
        <v>45648.800968226511</v>
      </c>
      <c r="X59" s="772">
        <f t="shared" si="127"/>
        <v>55614.263789338147</v>
      </c>
      <c r="Y59" s="772">
        <f>Y41-Y42</f>
        <v>56129.756415920827</v>
      </c>
      <c r="Z59" s="772">
        <f t="shared" ref="Z59:AD59" si="128">Z41-Z42</f>
        <v>61537.214894530203</v>
      </c>
      <c r="AA59" s="772">
        <f t="shared" si="128"/>
        <v>68109.088487319634</v>
      </c>
      <c r="AB59" s="772">
        <f t="shared" si="128"/>
        <v>80261.87082191954</v>
      </c>
      <c r="AC59" s="772">
        <f t="shared" si="128"/>
        <v>107424.07643687593</v>
      </c>
      <c r="AD59" s="772">
        <f t="shared" si="128"/>
        <v>107700.10919625836</v>
      </c>
      <c r="AE59" s="772">
        <f>AE41-AE42</f>
        <v>142598.15533578096</v>
      </c>
      <c r="AF59" s="772">
        <f>AF41-AF42</f>
        <v>142093.77226028577</v>
      </c>
      <c r="AG59" s="772">
        <f>AG41-AG42</f>
        <v>154664.0665407335</v>
      </c>
      <c r="AH59" s="772">
        <f t="shared" ref="AH59" si="129">AH41-AH42</f>
        <v>166199.83498351512</v>
      </c>
      <c r="AI59" s="772">
        <f>AI41-AI42</f>
        <v>179598.44663714647</v>
      </c>
      <c r="AJ59" s="772">
        <f>AJ41-AJ42</f>
        <v>198520.0972817833</v>
      </c>
      <c r="AK59" s="772">
        <f>AK41-AK42</f>
        <v>221622.95724663747</v>
      </c>
      <c r="AL59" s="772">
        <f t="shared" ref="AL59:AP59" si="130">AL41-AL42</f>
        <v>243469.96403638538</v>
      </c>
      <c r="AM59" s="772">
        <f t="shared" si="130"/>
        <v>271670.51549199765</v>
      </c>
      <c r="AN59" s="772">
        <f t="shared" si="130"/>
        <v>284476.01547182276</v>
      </c>
      <c r="AO59" s="772">
        <f t="shared" si="130"/>
        <v>310288.35004810436</v>
      </c>
      <c r="AP59" s="772">
        <f t="shared" si="130"/>
        <v>339175.10339136235</v>
      </c>
    </row>
    <row r="60" spans="3:42">
      <c r="C60" s="769"/>
      <c r="D60" s="769"/>
      <c r="E60" s="769"/>
      <c r="F60" s="769"/>
      <c r="G60"/>
      <c r="H60"/>
      <c r="I60"/>
      <c r="J60"/>
      <c r="K60"/>
      <c r="L60" s="403"/>
      <c r="M60" s="403"/>
      <c r="N60" s="403"/>
      <c r="O60" s="403"/>
      <c r="P60" s="403"/>
      <c r="Q60"/>
      <c r="R60"/>
      <c r="S60"/>
      <c r="T60"/>
      <c r="U60"/>
    </row>
    <row r="64" spans="3:42">
      <c r="AG64" s="112">
        <v>83951.63500222229</v>
      </c>
      <c r="AH64" s="112">
        <v>93435.174215489227</v>
      </c>
      <c r="AI64" s="112">
        <v>102834.86954189574</v>
      </c>
      <c r="AJ64" s="112">
        <v>115545.54571144178</v>
      </c>
      <c r="AK64" s="112">
        <v>133144.36460568017</v>
      </c>
    </row>
    <row r="65" spans="33:37">
      <c r="AG65" s="112">
        <v>110.67867174980449</v>
      </c>
      <c r="AH65" s="112">
        <v>112.01989689041703</v>
      </c>
      <c r="AI65" s="112">
        <v>110.78664338715811</v>
      </c>
      <c r="AJ65" s="112">
        <v>114.26583864902257</v>
      </c>
      <c r="AK65" s="112">
        <v>116.56208472103739</v>
      </c>
    </row>
    <row r="66" spans="33:37">
      <c r="AH66">
        <f>AH64-AG64</f>
        <v>9483.5392132669367</v>
      </c>
      <c r="AI66">
        <f t="shared" ref="AI66:AK66" si="131">AI64-AH64</f>
        <v>9399.6953264065087</v>
      </c>
      <c r="AJ66">
        <f t="shared" si="131"/>
        <v>12710.676169546045</v>
      </c>
      <c r="AK66">
        <f t="shared" si="131"/>
        <v>17598.818894238386</v>
      </c>
    </row>
    <row r="79" spans="33:37">
      <c r="AK79" s="94">
        <f>AK3+AK15</f>
        <v>205819.12183653674</v>
      </c>
    </row>
    <row r="81" spans="3:42">
      <c r="C81" s="37" t="s">
        <v>360</v>
      </c>
      <c r="AG81" s="1269">
        <v>89946.541177669904</v>
      </c>
      <c r="AH81" s="1269">
        <v>105319.77392904399</v>
      </c>
      <c r="AI81" s="1269">
        <v>120054.47057104275</v>
      </c>
      <c r="AJ81" s="1269">
        <v>138358.42123583407</v>
      </c>
      <c r="AK81" s="1269">
        <v>149157.7179315917</v>
      </c>
      <c r="AL81" s="1269">
        <v>160879.07437051309</v>
      </c>
      <c r="AM81" s="1269">
        <v>174656.34444130448</v>
      </c>
      <c r="AN81" s="1269">
        <v>188371.852580248</v>
      </c>
      <c r="AO81" s="1269">
        <v>203538.4844084947</v>
      </c>
      <c r="AP81" s="1269">
        <v>220662.04697061284</v>
      </c>
    </row>
    <row r="82" spans="3:42">
      <c r="C82" s="1268" t="s">
        <v>77</v>
      </c>
      <c r="AG82" s="1269">
        <v>114.15335710871818</v>
      </c>
      <c r="AH82" s="1269">
        <v>114.48579696091133</v>
      </c>
      <c r="AI82" s="1269">
        <v>113.55900111382716</v>
      </c>
      <c r="AJ82" s="1269">
        <v>113.89538379213461</v>
      </c>
      <c r="AK82" s="1269">
        <v>108.35112163981705</v>
      </c>
      <c r="AL82" s="1269">
        <v>109.75396208525304</v>
      </c>
      <c r="AM82" s="1269">
        <v>109.31574730186023</v>
      </c>
      <c r="AN82" s="1269">
        <v>105.07758844963486</v>
      </c>
      <c r="AO82" s="1269">
        <v>105.53663133916993</v>
      </c>
      <c r="AP82" s="1269">
        <v>106.2062194621241</v>
      </c>
    </row>
    <row r="84" spans="3:42">
      <c r="C84" s="1273" t="s">
        <v>362</v>
      </c>
      <c r="AG84" s="1269">
        <v>78696.140877782163</v>
      </c>
      <c r="AH84" s="1269">
        <v>91582.412112212172</v>
      </c>
      <c r="AI84" s="1269">
        <v>104395.19180090674</v>
      </c>
      <c r="AJ84" s="1269">
        <v>119274.50106537421</v>
      </c>
      <c r="AK84" s="1269">
        <v>129702.36341877539</v>
      </c>
      <c r="AL84" s="1269">
        <v>139894.84727870702</v>
      </c>
      <c r="AM84" s="1269">
        <v>151875.08212287346</v>
      </c>
      <c r="AN84" s="1269">
        <v>163801.61093934608</v>
      </c>
      <c r="AO84" s="1269">
        <v>176989.98644216929</v>
      </c>
      <c r="AP84" s="1269">
        <v>191880.04084401115</v>
      </c>
    </row>
    <row r="85" spans="3:42">
      <c r="C85" s="1268" t="s">
        <v>77</v>
      </c>
      <c r="AG85" s="1269">
        <v>114.04140394834157</v>
      </c>
      <c r="AH85" s="1269">
        <v>114.23170325789494</v>
      </c>
      <c r="AI85" s="1269">
        <v>113.33319262525691</v>
      </c>
      <c r="AJ85" s="1269">
        <v>113.47424720202291</v>
      </c>
      <c r="AK85" s="1269">
        <v>108.20576917214376</v>
      </c>
      <c r="AL85" s="1269">
        <v>107.45769089454079</v>
      </c>
      <c r="AM85" s="1269">
        <v>107.26362151571591</v>
      </c>
      <c r="AN85" s="1269">
        <v>103.16783901992272</v>
      </c>
      <c r="AO85" s="1269">
        <v>103.61378821583023</v>
      </c>
      <c r="AP85" s="1269">
        <v>104.26549862391025</v>
      </c>
    </row>
    <row r="88" spans="3:42">
      <c r="C88" s="1266" t="s">
        <v>364</v>
      </c>
      <c r="AE88" s="46">
        <v>25722.9</v>
      </c>
      <c r="AF88" s="46">
        <v>30470.2</v>
      </c>
      <c r="AG88" s="46">
        <v>35439.755165198461</v>
      </c>
      <c r="AH88" s="46">
        <v>41254.484715362232</v>
      </c>
      <c r="AI88" s="46">
        <v>47612.182093920492</v>
      </c>
      <c r="AJ88" s="46">
        <v>51548.635208337779</v>
      </c>
      <c r="AK88" s="46">
        <v>56661.403904945022</v>
      </c>
      <c r="AL88" s="46">
        <v>62425.439388689359</v>
      </c>
      <c r="AM88" s="46">
        <v>64323.564193216989</v>
      </c>
      <c r="AN88" s="46">
        <v>69773.980323659271</v>
      </c>
      <c r="AO88" s="46">
        <v>74826.60687315579</v>
      </c>
      <c r="AP88" s="46">
        <v>79577.006518770067</v>
      </c>
    </row>
    <row r="89" spans="3:42">
      <c r="C89" s="1268" t="s">
        <v>77</v>
      </c>
      <c r="AE89" s="46">
        <v>113</v>
      </c>
      <c r="AF89" s="46">
        <v>113.2</v>
      </c>
      <c r="AG89" s="46">
        <v>114.9303940053814</v>
      </c>
      <c r="AH89" s="46">
        <v>113.901530110427</v>
      </c>
      <c r="AI89" s="46">
        <v>113.70534406322643</v>
      </c>
      <c r="AJ89" s="46">
        <v>108.1595839667325</v>
      </c>
      <c r="AK89" s="46">
        <v>109.69894171168636</v>
      </c>
      <c r="AL89" s="46">
        <v>109.62464884840513</v>
      </c>
      <c r="AM89" s="46">
        <v>102.52798712780707</v>
      </c>
      <c r="AN89" s="46">
        <v>107.93376729661145</v>
      </c>
      <c r="AO89" s="46">
        <v>106.70788000311863</v>
      </c>
      <c r="AP89" s="46">
        <v>105.81944621373438</v>
      </c>
    </row>
    <row r="91" spans="3:42">
      <c r="C91" s="1266" t="s">
        <v>365</v>
      </c>
      <c r="AE91" s="46">
        <v>19094.900000000001</v>
      </c>
      <c r="AF91" s="46">
        <v>22148.5</v>
      </c>
      <c r="AG91" s="46">
        <v>25868.434427152159</v>
      </c>
      <c r="AH91" s="46">
        <v>29679.485406735421</v>
      </c>
      <c r="AI91" s="46">
        <v>33529.70569994401</v>
      </c>
      <c r="AJ91" s="46">
        <v>37085.349070746604</v>
      </c>
      <c r="AK91" s="46">
        <v>40763.599931615128</v>
      </c>
      <c r="AL91" s="46">
        <v>43350.999575478723</v>
      </c>
      <c r="AM91" s="46">
        <v>45945.402995154996</v>
      </c>
      <c r="AN91" s="46">
        <v>50929.912645006763</v>
      </c>
      <c r="AO91" s="46">
        <v>58005.121607097506</v>
      </c>
      <c r="AP91" s="46">
        <v>64175.00525707264</v>
      </c>
    </row>
    <row r="92" spans="3:42">
      <c r="C92" s="1268" t="s">
        <v>77</v>
      </c>
      <c r="AE92" s="46">
        <v>109</v>
      </c>
      <c r="AF92" s="46">
        <v>110.9</v>
      </c>
      <c r="AG92" s="46">
        <v>111.2337368956606</v>
      </c>
      <c r="AH92" s="46">
        <v>111.39071618971383</v>
      </c>
      <c r="AI92" s="46">
        <v>111.85412402147747</v>
      </c>
      <c r="AJ92" s="46">
        <v>110.49396347680587</v>
      </c>
      <c r="AK92" s="46">
        <v>108.83003920307897</v>
      </c>
      <c r="AL92" s="46">
        <v>105.81823743005772</v>
      </c>
      <c r="AM92" s="46">
        <v>103.906514685828</v>
      </c>
      <c r="AN92" s="46">
        <v>107.62016199158974</v>
      </c>
      <c r="AO92" s="46">
        <v>108.26240500360619</v>
      </c>
      <c r="AP92" s="46">
        <v>109.5413773904471</v>
      </c>
    </row>
    <row r="95" spans="3:42">
      <c r="AC95">
        <f t="shared" ref="AC95" si="132">AC96/AB96</f>
        <v>1.2650746268656716</v>
      </c>
      <c r="AD95">
        <f t="shared" ref="AD95:AE95" si="133">AD96/AC96</f>
        <v>1.2122070158879976</v>
      </c>
      <c r="AE95">
        <f t="shared" si="133"/>
        <v>1.2291720737087981</v>
      </c>
      <c r="AF95">
        <f>AF96/AE96</f>
        <v>1.2639358108108107</v>
      </c>
      <c r="AG95">
        <f t="shared" ref="AG95:AP95" si="134">AG96/AF96</f>
        <v>1.2639358108108107</v>
      </c>
      <c r="AH95" s="85">
        <v>1.21393581081081</v>
      </c>
      <c r="AI95" s="85">
        <v>1.1139358108108099</v>
      </c>
      <c r="AJ95">
        <f t="shared" si="134"/>
        <v>1.1139358108108099</v>
      </c>
      <c r="AK95">
        <f t="shared" si="134"/>
        <v>1.1139358108108099</v>
      </c>
      <c r="AL95">
        <f t="shared" si="134"/>
        <v>1.1139358108108099</v>
      </c>
      <c r="AM95">
        <f t="shared" si="134"/>
        <v>1.1139358108108099</v>
      </c>
      <c r="AN95">
        <f t="shared" si="134"/>
        <v>1.1139358108108099</v>
      </c>
      <c r="AO95">
        <f t="shared" si="134"/>
        <v>1.1139358108108099</v>
      </c>
      <c r="AP95">
        <f t="shared" si="134"/>
        <v>1.1139358108108099</v>
      </c>
    </row>
    <row r="96" spans="3:42">
      <c r="C96" s="1280" t="s">
        <v>1207</v>
      </c>
      <c r="AB96">
        <v>1507.5</v>
      </c>
      <c r="AC96">
        <v>1907.1</v>
      </c>
      <c r="AD96">
        <v>2311.8000000000002</v>
      </c>
      <c r="AE96">
        <v>2841.6</v>
      </c>
      <c r="AF96">
        <v>3591.6</v>
      </c>
      <c r="AG96">
        <f>AF95*AF96</f>
        <v>4539.5518581081078</v>
      </c>
      <c r="AH96">
        <f t="shared" ref="AH96:AP96" si="135">AG95*AG96</f>
        <v>5737.7021584955937</v>
      </c>
      <c r="AI96">
        <f>AH95*AH96</f>
        <v>6965.2021219642838</v>
      </c>
      <c r="AJ96">
        <f t="shared" si="135"/>
        <v>7758.7880731914584</v>
      </c>
      <c r="AK96">
        <f t="shared" si="135"/>
        <v>8642.7918832197684</v>
      </c>
      <c r="AL96">
        <f t="shared" si="135"/>
        <v>9627.5153841034989</v>
      </c>
      <c r="AM96">
        <f t="shared" si="135"/>
        <v>10724.434155484878</v>
      </c>
      <c r="AN96">
        <f t="shared" si="135"/>
        <v>11946.331256477191</v>
      </c>
      <c r="AO96">
        <f t="shared" si="135"/>
        <v>13307.446194398442</v>
      </c>
      <c r="AP96">
        <f t="shared" si="135"/>
        <v>14823.640866378457</v>
      </c>
    </row>
    <row r="97" spans="3:42">
      <c r="C97" s="20" t="s">
        <v>77</v>
      </c>
      <c r="AB97">
        <v>124.3</v>
      </c>
      <c r="AC97">
        <v>118.1</v>
      </c>
      <c r="AD97">
        <v>117.2</v>
      </c>
      <c r="AE97">
        <v>117.2</v>
      </c>
      <c r="AF97">
        <v>121.6</v>
      </c>
      <c r="AG97" s="138">
        <f>AG96/AF96/AG98*10000</f>
        <v>121.53228950103949</v>
      </c>
      <c r="AH97" s="138">
        <f>AH96/AG96/AH98*10000</f>
        <v>120.8351635574389</v>
      </c>
      <c r="AI97" s="138">
        <f t="shared" ref="AI97:AP97" si="136">AI96/AH96/AI98*10000</f>
        <v>119.36438651040413</v>
      </c>
      <c r="AJ97" s="138">
        <f t="shared" si="136"/>
        <v>110.83938416027961</v>
      </c>
      <c r="AK97" s="138">
        <f t="shared" si="136"/>
        <v>110.29067433770395</v>
      </c>
      <c r="AL97" s="138">
        <f t="shared" si="136"/>
        <v>109.7473705232325</v>
      </c>
      <c r="AM97" s="138">
        <f t="shared" si="136"/>
        <v>110.07270857814328</v>
      </c>
      <c r="AN97" s="138">
        <f t="shared" si="136"/>
        <v>110.18158366081207</v>
      </c>
      <c r="AO97" s="138">
        <f t="shared" si="136"/>
        <v>109.96404845121519</v>
      </c>
      <c r="AP97" s="138">
        <f t="shared" si="136"/>
        <v>109.85560264406408</v>
      </c>
    </row>
    <row r="98" spans="3:42">
      <c r="C98" s="20" t="s">
        <v>79</v>
      </c>
      <c r="AB98">
        <f t="shared" ref="AB98:AC98" si="137">AVERAGE(AB99:AB100)</f>
        <v>105</v>
      </c>
      <c r="AC98">
        <f t="shared" si="137"/>
        <v>105.15</v>
      </c>
      <c r="AD98">
        <f>AVERAGE(AD99:AD100)</f>
        <v>103.65</v>
      </c>
      <c r="AE98">
        <f>AVERAGE(AE99:AE100)</f>
        <v>108.45</v>
      </c>
      <c r="AF98">
        <f>AVERAGE(AF99:AF100)</f>
        <v>106.4</v>
      </c>
      <c r="AG98">
        <v>104</v>
      </c>
      <c r="AH98">
        <v>104.6</v>
      </c>
      <c r="AI98">
        <v>101.7</v>
      </c>
      <c r="AJ98">
        <v>100.5</v>
      </c>
      <c r="AK98">
        <v>101</v>
      </c>
      <c r="AL98">
        <v>101.5</v>
      </c>
      <c r="AM98">
        <v>101.2</v>
      </c>
      <c r="AN98">
        <v>101.1</v>
      </c>
      <c r="AO98">
        <v>101.3</v>
      </c>
      <c r="AP98">
        <v>101.4</v>
      </c>
    </row>
    <row r="99" spans="3:42">
      <c r="AB99">
        <v>104.8</v>
      </c>
      <c r="AC99">
        <v>104.6</v>
      </c>
      <c r="AD99">
        <v>105</v>
      </c>
      <c r="AE99">
        <v>108.9</v>
      </c>
      <c r="AF99">
        <v>109.7</v>
      </c>
    </row>
    <row r="100" spans="3:42">
      <c r="AB100">
        <v>105.2</v>
      </c>
      <c r="AC100">
        <v>105.7</v>
      </c>
      <c r="AD100">
        <v>102.3</v>
      </c>
      <c r="AE100">
        <v>108</v>
      </c>
      <c r="AF100">
        <v>103.1</v>
      </c>
    </row>
  </sheetData>
  <mergeCells count="4">
    <mergeCell ref="H34:H35"/>
    <mergeCell ref="I34:I35"/>
    <mergeCell ref="J34:J35"/>
    <mergeCell ref="K34:K35"/>
  </mergeCells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FEB4-B206-4E06-AE64-0123AA290485}">
  <dimension ref="A1:AP152"/>
  <sheetViews>
    <sheetView workbookViewId="0">
      <pane xSplit="3" ySplit="1" topLeftCell="AJ2" activePane="bottomRight" state="frozen"/>
      <selection pane="topRight" activeCell="D1" sqref="D1"/>
      <selection pane="bottomLeft" activeCell="A2" sqref="A2"/>
      <selection pane="bottomRight" activeCell="AP12" sqref="AP12"/>
    </sheetView>
  </sheetViews>
  <sheetFormatPr defaultRowHeight="15"/>
  <cols>
    <col min="1" max="1" width="13" style="47" customWidth="1"/>
    <col min="2" max="2" width="30.7109375" style="47" customWidth="1"/>
    <col min="3" max="3" width="16.7109375" style="77" customWidth="1"/>
    <col min="4" max="20" width="10" style="77" customWidth="1"/>
    <col min="21" max="21" width="9.28515625" style="77" customWidth="1"/>
    <col min="32" max="35" width="9.140625" style="112"/>
  </cols>
  <sheetData>
    <row r="1" spans="1:42">
      <c r="B1" s="48"/>
      <c r="C1" s="49"/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</row>
    <row r="2" spans="1:42">
      <c r="A2" s="50" t="s">
        <v>0</v>
      </c>
      <c r="B2" s="51" t="s">
        <v>223</v>
      </c>
      <c r="C2" s="52" t="s">
        <v>224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411"/>
      <c r="W2" s="411"/>
      <c r="X2" s="411"/>
      <c r="Y2" s="411"/>
      <c r="Z2" s="411"/>
      <c r="AA2" s="411"/>
      <c r="AB2" s="411"/>
      <c r="AC2" s="411"/>
      <c r="AD2" s="411"/>
      <c r="AE2" s="411"/>
      <c r="AF2" s="411"/>
      <c r="AG2" s="411"/>
      <c r="AH2" s="411"/>
      <c r="AI2" s="412"/>
    </row>
    <row r="3" spans="1:42" ht="15.75">
      <c r="A3" s="53" t="s">
        <v>225</v>
      </c>
      <c r="B3" s="53" t="s">
        <v>226</v>
      </c>
      <c r="C3" s="54" t="s">
        <v>227</v>
      </c>
      <c r="D3" s="54"/>
      <c r="E3" s="54"/>
      <c r="F3" s="54"/>
      <c r="G3" s="119">
        <v>4.8209999999999997</v>
      </c>
      <c r="H3" s="119">
        <v>2.5150000000000001</v>
      </c>
      <c r="I3" s="119">
        <v>2.96</v>
      </c>
      <c r="J3" s="119">
        <v>4.0549999999999997</v>
      </c>
      <c r="K3" s="119">
        <v>5.1849999999999996</v>
      </c>
      <c r="L3" s="119">
        <v>4.8719999999999999</v>
      </c>
      <c r="M3" s="119">
        <v>5.5439999999999996</v>
      </c>
      <c r="N3" s="119">
        <v>5.702</v>
      </c>
      <c r="O3" s="119">
        <v>3.0640000000000001</v>
      </c>
      <c r="P3" s="119">
        <v>2.8000000000000001E-2</v>
      </c>
      <c r="Q3" s="1060">
        <v>5.431</v>
      </c>
      <c r="R3" s="1060">
        <v>4.2249999999999996</v>
      </c>
      <c r="S3" s="1060">
        <v>3.4260000000000002</v>
      </c>
      <c r="T3" s="1060">
        <v>3.3079999999999998</v>
      </c>
      <c r="U3" s="1060">
        <v>3.4279999999999999</v>
      </c>
      <c r="V3" s="411">
        <v>3.2</v>
      </c>
      <c r="W3" s="411">
        <v>3.2</v>
      </c>
      <c r="X3" s="411">
        <v>3.8</v>
      </c>
      <c r="Y3" s="411">
        <v>3.5</v>
      </c>
      <c r="Z3" s="411">
        <v>2.8</v>
      </c>
      <c r="AA3" s="411">
        <v>-3.2</v>
      </c>
      <c r="AB3" s="411">
        <v>6.1</v>
      </c>
      <c r="AC3" s="411">
        <v>3.4</v>
      </c>
      <c r="AD3" s="411">
        <v>3.3</v>
      </c>
      <c r="AE3" s="411">
        <v>3.2</v>
      </c>
      <c r="AF3" s="1251">
        <v>3.2</v>
      </c>
      <c r="AG3" s="1251">
        <v>3.1</v>
      </c>
      <c r="AH3" s="1251">
        <v>3.1</v>
      </c>
      <c r="AI3" s="412">
        <v>3.2</v>
      </c>
      <c r="AJ3" s="412">
        <v>4.2</v>
      </c>
      <c r="AK3" s="412">
        <v>5.2</v>
      </c>
      <c r="AL3" s="412">
        <v>6.2</v>
      </c>
      <c r="AM3" s="412">
        <v>7.2</v>
      </c>
      <c r="AN3" s="412">
        <v>8.1999999999999993</v>
      </c>
      <c r="AO3" s="412">
        <v>9.1999999999999993</v>
      </c>
      <c r="AP3" s="412">
        <v>10.199999999999999</v>
      </c>
    </row>
    <row r="4" spans="1:42" ht="15.75">
      <c r="A4" s="53" t="s">
        <v>228</v>
      </c>
      <c r="B4" s="53" t="s">
        <v>229</v>
      </c>
      <c r="C4" s="54" t="s">
        <v>230</v>
      </c>
      <c r="D4" s="54"/>
      <c r="E4" s="54"/>
      <c r="F4" s="54"/>
      <c r="G4" s="119">
        <v>5.8339999999999996</v>
      </c>
      <c r="H4" s="119">
        <v>3.8029999999999999</v>
      </c>
      <c r="I4" s="119">
        <v>4.5270000000000001</v>
      </c>
      <c r="J4" s="119">
        <v>6.4210000000000003</v>
      </c>
      <c r="K4" s="119">
        <v>7.5039999999999996</v>
      </c>
      <c r="L4" s="119">
        <v>7.2530000000000001</v>
      </c>
      <c r="M4" s="119">
        <v>8.1660000000000004</v>
      </c>
      <c r="N4" s="119">
        <v>8.6820000000000004</v>
      </c>
      <c r="O4" s="119">
        <v>5.8250000000000002</v>
      </c>
      <c r="P4" s="119">
        <v>3.13</v>
      </c>
      <c r="Q4" s="119">
        <v>7.4509999999999996</v>
      </c>
      <c r="R4" s="119">
        <v>6.3230000000000004</v>
      </c>
      <c r="S4" s="119">
        <v>5.2110000000000003</v>
      </c>
      <c r="T4" s="119">
        <v>4.976</v>
      </c>
      <c r="U4" s="119">
        <v>4.6260000000000003</v>
      </c>
      <c r="V4" s="119">
        <v>3.9649999999999999</v>
      </c>
      <c r="W4" s="119">
        <v>4.4000000000000004</v>
      </c>
      <c r="X4" s="119">
        <v>4.7</v>
      </c>
      <c r="Y4" s="119">
        <v>4.5</v>
      </c>
      <c r="Z4" s="119">
        <v>1.6</v>
      </c>
      <c r="AA4" s="119">
        <v>-4.5</v>
      </c>
      <c r="AB4" s="119">
        <v>6.6</v>
      </c>
      <c r="AC4" s="119">
        <v>3.7</v>
      </c>
      <c r="AD4" s="119">
        <v>4.4000000000000004</v>
      </c>
      <c r="AE4" s="119">
        <v>4.2</v>
      </c>
      <c r="AF4" s="1237">
        <v>4.2</v>
      </c>
      <c r="AG4" s="1237">
        <v>4.2</v>
      </c>
      <c r="AH4" s="1237">
        <v>4.2</v>
      </c>
      <c r="AI4" s="128">
        <v>4.2</v>
      </c>
      <c r="AJ4" s="128">
        <v>4.2</v>
      </c>
      <c r="AK4" s="128">
        <v>4.2</v>
      </c>
      <c r="AL4" s="128">
        <v>4.2</v>
      </c>
      <c r="AM4" s="128">
        <v>4.2</v>
      </c>
      <c r="AN4" s="128">
        <v>4.2</v>
      </c>
      <c r="AO4" s="128">
        <v>4.2</v>
      </c>
      <c r="AP4" s="128">
        <v>4.2</v>
      </c>
    </row>
    <row r="5" spans="1:42" ht="15.75">
      <c r="A5" s="53" t="s">
        <v>231</v>
      </c>
      <c r="B5" s="53" t="s">
        <v>232</v>
      </c>
      <c r="C5" s="54" t="s">
        <v>233</v>
      </c>
      <c r="D5" s="54"/>
      <c r="E5" s="54"/>
      <c r="F5" s="54"/>
      <c r="G5" s="119">
        <v>12.092000000000001</v>
      </c>
      <c r="H5" s="119">
        <v>0.216</v>
      </c>
      <c r="I5" s="119">
        <v>3.7709999999999999</v>
      </c>
      <c r="J5" s="119">
        <v>5.4349999999999996</v>
      </c>
      <c r="K5" s="119">
        <v>11.016</v>
      </c>
      <c r="L5" s="119">
        <v>7.6879999999999997</v>
      </c>
      <c r="M5" s="119">
        <v>9.2420000000000009</v>
      </c>
      <c r="N5" s="119">
        <v>7.915</v>
      </c>
      <c r="O5" s="119">
        <v>2.903</v>
      </c>
      <c r="P5" s="119">
        <v>-10.327</v>
      </c>
      <c r="Q5" s="119">
        <v>12.516999999999999</v>
      </c>
      <c r="R5" s="119">
        <v>6.6660000000000004</v>
      </c>
      <c r="S5" s="119">
        <v>2.911</v>
      </c>
      <c r="T5" s="119">
        <v>3.331</v>
      </c>
      <c r="U5" s="119">
        <v>3.9</v>
      </c>
      <c r="V5" s="119">
        <v>2.7</v>
      </c>
      <c r="W5" s="119">
        <v>2.5</v>
      </c>
      <c r="X5" s="119">
        <v>5.7</v>
      </c>
      <c r="Y5" s="119">
        <v>3.6</v>
      </c>
      <c r="Z5" s="119">
        <v>1</v>
      </c>
      <c r="AA5" s="119">
        <v>-8.1999999999999993</v>
      </c>
      <c r="AB5" s="119">
        <v>10.1</v>
      </c>
      <c r="AC5" s="119">
        <v>4.0999999999999996</v>
      </c>
      <c r="AD5" s="119">
        <v>0.8</v>
      </c>
      <c r="AE5" s="119">
        <v>3.1</v>
      </c>
      <c r="AF5" s="1237">
        <v>3.6</v>
      </c>
      <c r="AG5" s="1237">
        <v>2.2999999999999998</v>
      </c>
      <c r="AH5" s="1237">
        <v>3.5</v>
      </c>
      <c r="AI5" s="128">
        <v>3.5</v>
      </c>
      <c r="AJ5" s="128">
        <v>3.5</v>
      </c>
      <c r="AK5" s="128">
        <v>3.5</v>
      </c>
      <c r="AL5" s="128">
        <v>3.5</v>
      </c>
      <c r="AM5" s="128">
        <v>3.5</v>
      </c>
      <c r="AN5" s="128">
        <v>3.5</v>
      </c>
      <c r="AO5" s="128">
        <v>3.5</v>
      </c>
      <c r="AP5" s="128">
        <v>3.5</v>
      </c>
    </row>
    <row r="6" spans="1:42" ht="15.75">
      <c r="A6" s="53" t="s">
        <v>234</v>
      </c>
      <c r="B6" s="47" t="s">
        <v>235</v>
      </c>
      <c r="C6" s="54" t="s">
        <v>236</v>
      </c>
      <c r="D6" s="54"/>
      <c r="E6" s="54"/>
      <c r="F6" s="54"/>
      <c r="G6" s="119">
        <v>28.234000000000002</v>
      </c>
      <c r="H6" s="119">
        <v>24.331</v>
      </c>
      <c r="I6" s="119">
        <v>24.95</v>
      </c>
      <c r="J6" s="119">
        <v>28.891999999999999</v>
      </c>
      <c r="K6" s="119">
        <v>37.76</v>
      </c>
      <c r="L6" s="119">
        <v>53.353999999999999</v>
      </c>
      <c r="M6" s="119">
        <v>64.272999999999996</v>
      </c>
      <c r="N6" s="119">
        <v>71.128</v>
      </c>
      <c r="O6" s="119">
        <v>97.034999999999997</v>
      </c>
      <c r="P6" s="119">
        <v>61.777000000000001</v>
      </c>
      <c r="Q6" s="119">
        <v>79.03</v>
      </c>
      <c r="R6" s="119">
        <v>104.008</v>
      </c>
      <c r="S6" s="119">
        <v>105.00700000000001</v>
      </c>
      <c r="T6" s="119">
        <v>104.069</v>
      </c>
      <c r="U6" s="119">
        <v>97.387119094673437</v>
      </c>
      <c r="V6" s="120">
        <v>50.793041982976774</v>
      </c>
      <c r="W6" s="120">
        <v>42.7</v>
      </c>
      <c r="X6" s="120">
        <v>54.4</v>
      </c>
      <c r="Y6" s="120">
        <v>71.069999999999993</v>
      </c>
      <c r="Z6" s="120">
        <v>64.03</v>
      </c>
      <c r="AA6" s="120">
        <v>42.8</v>
      </c>
      <c r="AB6" s="120">
        <v>71</v>
      </c>
      <c r="AC6" s="120">
        <v>96.7</v>
      </c>
      <c r="AD6" s="120">
        <v>80.599999999999994</v>
      </c>
      <c r="AE6" s="120">
        <v>81.290000000000006</v>
      </c>
      <c r="AF6" s="1238">
        <v>69.599999999999994</v>
      </c>
      <c r="AG6" s="1238">
        <v>70</v>
      </c>
      <c r="AH6" s="1238">
        <v>75</v>
      </c>
      <c r="AI6" s="122">
        <v>93</v>
      </c>
      <c r="AJ6" s="122">
        <v>93</v>
      </c>
      <c r="AK6" s="122">
        <v>93</v>
      </c>
      <c r="AL6" s="122">
        <v>93</v>
      </c>
      <c r="AM6" s="122">
        <v>93</v>
      </c>
      <c r="AN6" s="122">
        <v>93</v>
      </c>
      <c r="AO6" s="122">
        <v>93</v>
      </c>
      <c r="AP6" s="122">
        <v>93</v>
      </c>
    </row>
    <row r="7" spans="1:42" ht="15.75">
      <c r="A7" s="53" t="s">
        <v>237</v>
      </c>
      <c r="B7" s="53" t="s">
        <v>238</v>
      </c>
      <c r="C7" s="54" t="s">
        <v>239</v>
      </c>
      <c r="D7" s="54"/>
      <c r="E7" s="54"/>
      <c r="F7" s="54"/>
      <c r="G7" s="119">
        <v>1551.498</v>
      </c>
      <c r="H7" s="119">
        <v>1446.7470000000001</v>
      </c>
      <c r="I7" s="119">
        <v>1351.057</v>
      </c>
      <c r="J7" s="119">
        <v>1432.836</v>
      </c>
      <c r="K7" s="119">
        <v>1718.508</v>
      </c>
      <c r="L7" s="119">
        <v>1900.5139999999999</v>
      </c>
      <c r="M7" s="119">
        <v>2573.0630000000001</v>
      </c>
      <c r="N7" s="119">
        <v>2639.8609999999999</v>
      </c>
      <c r="O7" s="119">
        <v>2577.9160000000002</v>
      </c>
      <c r="P7" s="119">
        <v>1669.175</v>
      </c>
      <c r="Q7" s="119">
        <v>2173.0050000000001</v>
      </c>
      <c r="R7" s="119">
        <v>2400.643</v>
      </c>
      <c r="S7" s="119">
        <v>2022.7950000000001</v>
      </c>
      <c r="T7" s="119">
        <v>1846.6769999999999</v>
      </c>
      <c r="U7" s="119">
        <v>1867.4210609589686</v>
      </c>
      <c r="V7" s="119">
        <v>1664.7</v>
      </c>
      <c r="W7" s="120">
        <v>1604.181921897547</v>
      </c>
      <c r="X7" s="120">
        <v>1967.7</v>
      </c>
      <c r="Y7" s="120">
        <v>2108.5</v>
      </c>
      <c r="Z7" s="120">
        <v>1802.05</v>
      </c>
      <c r="AA7" s="120">
        <v>1824.4</v>
      </c>
      <c r="AB7" s="121">
        <v>2505</v>
      </c>
      <c r="AC7" s="120">
        <v>2494</v>
      </c>
      <c r="AD7" s="120">
        <v>2256.1</v>
      </c>
      <c r="AE7" s="120">
        <v>2410.04</v>
      </c>
      <c r="AF7" s="1238">
        <v>2564</v>
      </c>
      <c r="AG7" s="1238">
        <v>2700</v>
      </c>
      <c r="AH7" s="1238">
        <v>2750</v>
      </c>
      <c r="AI7" s="758">
        <v>2800</v>
      </c>
      <c r="AJ7" s="758">
        <v>2850</v>
      </c>
      <c r="AK7" s="758">
        <v>2900</v>
      </c>
      <c r="AL7" s="758">
        <v>2900</v>
      </c>
      <c r="AM7" s="758">
        <v>2900</v>
      </c>
      <c r="AN7" s="758">
        <v>2900</v>
      </c>
      <c r="AO7" s="758">
        <v>2900</v>
      </c>
      <c r="AP7" s="758">
        <v>2900</v>
      </c>
    </row>
    <row r="8" spans="1:42" ht="15.75">
      <c r="A8" s="53" t="s">
        <v>240</v>
      </c>
      <c r="B8" s="53" t="s">
        <v>241</v>
      </c>
      <c r="C8" s="54" t="s">
        <v>242</v>
      </c>
      <c r="D8" s="54"/>
      <c r="E8" s="54"/>
      <c r="F8" s="54"/>
      <c r="G8" s="119">
        <v>98.406000000000006</v>
      </c>
      <c r="H8" s="119">
        <v>95.057000000000002</v>
      </c>
      <c r="I8" s="119">
        <v>94.858999999999995</v>
      </c>
      <c r="J8" s="119">
        <v>95.421000000000006</v>
      </c>
      <c r="K8" s="119">
        <v>99.290999999999997</v>
      </c>
      <c r="L8" s="119">
        <v>100</v>
      </c>
      <c r="M8" s="119">
        <v>108.72799999999999</v>
      </c>
      <c r="N8" s="119">
        <v>114.16500000000001</v>
      </c>
      <c r="O8" s="119">
        <v>113.367</v>
      </c>
      <c r="P8" s="119">
        <v>93.929000000000002</v>
      </c>
      <c r="Q8" s="119">
        <v>125.10797770508894</v>
      </c>
      <c r="R8" s="119">
        <v>153.50407991065018</v>
      </c>
      <c r="S8" s="119">
        <v>134.03217255004989</v>
      </c>
      <c r="T8" s="119">
        <v>136.20047183225114</v>
      </c>
      <c r="U8" s="119">
        <v>145.1</v>
      </c>
      <c r="V8" s="119">
        <v>166</v>
      </c>
      <c r="W8" s="119">
        <v>107.6</v>
      </c>
      <c r="X8" s="119">
        <v>111.8</v>
      </c>
      <c r="Y8" s="119">
        <v>104.4</v>
      </c>
      <c r="Z8" s="119">
        <v>86.6</v>
      </c>
      <c r="AA8" s="119">
        <v>153.6</v>
      </c>
      <c r="AB8" s="119">
        <v>112.2</v>
      </c>
      <c r="AC8" s="119">
        <v>114.4</v>
      </c>
      <c r="AD8" s="119">
        <v>101.2</v>
      </c>
      <c r="AE8" s="119">
        <v>106.06</v>
      </c>
      <c r="AF8" s="1237">
        <v>105</v>
      </c>
      <c r="AG8" s="1237">
        <v>105</v>
      </c>
      <c r="AH8" s="1237">
        <v>106</v>
      </c>
      <c r="AI8" s="128">
        <v>107</v>
      </c>
      <c r="AJ8" s="128">
        <v>108</v>
      </c>
      <c r="AK8" s="128">
        <v>108</v>
      </c>
      <c r="AL8" s="128">
        <v>108</v>
      </c>
      <c r="AM8" s="128">
        <v>108</v>
      </c>
      <c r="AN8" s="128">
        <v>108</v>
      </c>
      <c r="AO8" s="128">
        <v>108</v>
      </c>
      <c r="AP8" s="128">
        <v>108</v>
      </c>
    </row>
    <row r="9" spans="1:42" ht="15.75">
      <c r="A9" s="53" t="s">
        <v>243</v>
      </c>
      <c r="B9" s="53" t="s">
        <v>244</v>
      </c>
      <c r="C9" s="54" t="s">
        <v>245</v>
      </c>
      <c r="D9" s="54"/>
      <c r="E9" s="54"/>
      <c r="F9" s="54"/>
      <c r="G9" s="119">
        <v>59.048000000000002</v>
      </c>
      <c r="H9" s="119">
        <v>47.997</v>
      </c>
      <c r="I9" s="119">
        <v>46.26</v>
      </c>
      <c r="J9" s="119">
        <v>63.444000000000003</v>
      </c>
      <c r="K9" s="119">
        <v>62.006</v>
      </c>
      <c r="L9" s="119">
        <v>55.167999999999999</v>
      </c>
      <c r="M9" s="119">
        <v>58.052</v>
      </c>
      <c r="N9" s="119">
        <v>63.283999999999999</v>
      </c>
      <c r="O9" s="119">
        <v>71.400000000000006</v>
      </c>
      <c r="P9" s="119">
        <v>62.752000000000002</v>
      </c>
      <c r="Q9" s="119">
        <v>103.54454554947976</v>
      </c>
      <c r="R9" s="119">
        <v>154.60833690162494</v>
      </c>
      <c r="S9" s="119">
        <v>89.240966835732266</v>
      </c>
      <c r="T9" s="119">
        <v>90.40061256979736</v>
      </c>
      <c r="U9" s="119">
        <v>83.09674077733861</v>
      </c>
      <c r="V9">
        <v>70.417182467449905</v>
      </c>
      <c r="W9">
        <v>74.2</v>
      </c>
      <c r="X9">
        <v>83.6</v>
      </c>
      <c r="Y9">
        <v>91.4</v>
      </c>
      <c r="Z9">
        <v>77.900000000000006</v>
      </c>
      <c r="AA9">
        <v>71.2</v>
      </c>
      <c r="AB9">
        <v>72.599999999999994</v>
      </c>
      <c r="AC9">
        <v>74.099999999999994</v>
      </c>
      <c r="AD9">
        <v>95.01</v>
      </c>
      <c r="AE9">
        <v>86.7</v>
      </c>
      <c r="AF9" s="1252">
        <v>78.209999999999994</v>
      </c>
      <c r="AG9" s="1250">
        <v>79</v>
      </c>
      <c r="AH9" s="1250">
        <v>80</v>
      </c>
      <c r="AI9" s="113">
        <v>85</v>
      </c>
      <c r="AJ9" s="113">
        <v>90</v>
      </c>
      <c r="AK9" s="113">
        <v>97.3</v>
      </c>
      <c r="AL9" s="113">
        <v>97.3</v>
      </c>
      <c r="AM9" s="113">
        <v>97.3</v>
      </c>
      <c r="AN9" s="113">
        <v>97.3</v>
      </c>
      <c r="AO9" s="113">
        <v>97.3</v>
      </c>
      <c r="AP9" s="113">
        <v>97.3</v>
      </c>
    </row>
    <row r="10" spans="1:42" ht="15.75">
      <c r="A10" s="53" t="s">
        <v>246</v>
      </c>
      <c r="B10" s="53" t="s">
        <v>247</v>
      </c>
      <c r="C10" s="54" t="s">
        <v>248</v>
      </c>
      <c r="D10" s="54"/>
      <c r="E10" s="54"/>
      <c r="F10" s="54"/>
      <c r="G10" s="119">
        <v>114.004</v>
      </c>
      <c r="H10" s="119">
        <v>126.80500000000001</v>
      </c>
      <c r="I10" s="119">
        <v>148.52799999999999</v>
      </c>
      <c r="J10" s="119">
        <v>146.142</v>
      </c>
      <c r="K10" s="119">
        <v>156.88200000000001</v>
      </c>
      <c r="L10" s="119">
        <v>152.43899999999999</v>
      </c>
      <c r="M10" s="119">
        <v>191.721</v>
      </c>
      <c r="N10" s="119">
        <v>255.20599999999999</v>
      </c>
      <c r="O10" s="119">
        <v>325.94</v>
      </c>
      <c r="P10" s="119">
        <v>190.11166952333505</v>
      </c>
      <c r="Q10" s="119">
        <v>194.50038125586607</v>
      </c>
      <c r="R10" s="119">
        <v>279.9890731329279</v>
      </c>
      <c r="S10" s="119">
        <v>276.12151726845349</v>
      </c>
      <c r="T10" s="119">
        <v>265.7512908517578</v>
      </c>
      <c r="U10" s="119">
        <v>242.49559502155896</v>
      </c>
      <c r="V10" s="119">
        <v>284.89999999999998</v>
      </c>
      <c r="W10" s="119">
        <v>204.4</v>
      </c>
      <c r="X10" s="119">
        <v>166.6</v>
      </c>
      <c r="Y10" s="119">
        <v>210</v>
      </c>
      <c r="Z10" s="119">
        <v>202</v>
      </c>
      <c r="AA10" s="119">
        <v>211</v>
      </c>
      <c r="AB10" s="119">
        <v>255</v>
      </c>
      <c r="AC10" s="119">
        <v>320</v>
      </c>
      <c r="AD10" s="119">
        <v>272.3</v>
      </c>
      <c r="AE10" s="119">
        <v>202.6</v>
      </c>
      <c r="AF10" s="1237">
        <v>176.1</v>
      </c>
      <c r="AG10" s="1237">
        <v>180</v>
      </c>
      <c r="AH10" s="1237">
        <v>185</v>
      </c>
      <c r="AI10" s="128">
        <v>190</v>
      </c>
      <c r="AJ10" s="128">
        <v>240</v>
      </c>
      <c r="AK10" s="128">
        <v>240</v>
      </c>
      <c r="AL10" s="128">
        <v>240</v>
      </c>
      <c r="AM10" s="128">
        <v>240</v>
      </c>
      <c r="AN10" s="128">
        <v>240</v>
      </c>
      <c r="AO10" s="128">
        <v>240</v>
      </c>
      <c r="AP10" s="128">
        <v>240</v>
      </c>
    </row>
    <row r="11" spans="1:42" ht="15.75">
      <c r="A11" s="53" t="s">
        <v>249</v>
      </c>
      <c r="B11" s="53" t="s">
        <v>250</v>
      </c>
      <c r="C11" s="54" t="s">
        <v>251</v>
      </c>
      <c r="D11" s="54"/>
      <c r="E11" s="54"/>
      <c r="F11" s="54"/>
      <c r="G11" s="119">
        <v>4.8579999999999997</v>
      </c>
      <c r="H11" s="119">
        <v>4.6449999999999996</v>
      </c>
      <c r="I11" s="119">
        <v>3.726</v>
      </c>
      <c r="J11" s="119">
        <v>3.944</v>
      </c>
      <c r="K11" s="119">
        <v>3.8410000000000002</v>
      </c>
      <c r="L11" s="119">
        <v>4.0839999999999996</v>
      </c>
      <c r="M11" s="119">
        <v>4.0880000000000001</v>
      </c>
      <c r="N11" s="119">
        <v>4.34</v>
      </c>
      <c r="O11" s="119">
        <v>6.4119999999999999</v>
      </c>
      <c r="P11" s="119">
        <v>2.7679999999999998</v>
      </c>
      <c r="Q11" s="119">
        <v>3.786</v>
      </c>
      <c r="R11" s="119">
        <v>5.1509999999999998</v>
      </c>
      <c r="S11" s="119">
        <v>4.18</v>
      </c>
      <c r="T11" s="119">
        <v>3.8570000000000002</v>
      </c>
      <c r="U11" s="119">
        <v>3.2</v>
      </c>
      <c r="V11" s="119">
        <v>2.7</v>
      </c>
      <c r="W11" s="119">
        <v>2.6</v>
      </c>
      <c r="X11" s="119">
        <v>3.2</v>
      </c>
      <c r="Y11" s="119">
        <v>3.6</v>
      </c>
      <c r="Z11" s="119">
        <v>3.5</v>
      </c>
      <c r="AA11" s="119">
        <v>3.2</v>
      </c>
      <c r="AB11" s="119">
        <v>4.7</v>
      </c>
      <c r="AC11" s="119">
        <v>8.8000000000000007</v>
      </c>
      <c r="AD11" s="119">
        <v>6.7</v>
      </c>
      <c r="AE11" s="119">
        <v>5.8</v>
      </c>
      <c r="AF11" s="1237">
        <v>4.5</v>
      </c>
      <c r="AG11" s="1237">
        <v>3</v>
      </c>
      <c r="AH11" s="1237">
        <v>3.5</v>
      </c>
      <c r="AI11" s="128">
        <v>3.5</v>
      </c>
      <c r="AJ11" s="128">
        <v>3.5</v>
      </c>
      <c r="AK11" s="128">
        <v>3.5</v>
      </c>
      <c r="AL11" s="128">
        <v>3.5</v>
      </c>
      <c r="AM11" s="128">
        <v>3.5</v>
      </c>
      <c r="AN11" s="128">
        <v>3.5</v>
      </c>
      <c r="AO11" s="128">
        <v>3.5</v>
      </c>
      <c r="AP11" s="128">
        <v>3.5</v>
      </c>
    </row>
    <row r="12" spans="1:42" ht="15.75">
      <c r="A12" s="55" t="s">
        <v>252</v>
      </c>
      <c r="B12" s="53" t="s">
        <v>253</v>
      </c>
      <c r="C12" s="53" t="s">
        <v>254</v>
      </c>
      <c r="D12" s="53"/>
      <c r="E12" s="53"/>
      <c r="F12" s="53"/>
      <c r="G12" s="1054">
        <v>1.9367939393939382</v>
      </c>
      <c r="H12" s="1054">
        <v>2.3588319819819761</v>
      </c>
      <c r="I12" s="1054">
        <v>2.767768627450979</v>
      </c>
      <c r="J12" s="1054">
        <v>3.0617000000000001</v>
      </c>
      <c r="K12" s="1054">
        <v>2.9708999999999999</v>
      </c>
      <c r="L12" s="1054">
        <v>3.1166</v>
      </c>
      <c r="M12" s="1054">
        <v>3.2984</v>
      </c>
      <c r="N12" s="1054">
        <v>3.4424999999999999</v>
      </c>
      <c r="O12" s="1057">
        <v>3.43</v>
      </c>
      <c r="P12" s="1057">
        <v>4.1399999999999997</v>
      </c>
      <c r="Q12" s="1057">
        <v>4.3789999999999996</v>
      </c>
      <c r="R12" s="1058">
        <v>4.6096000000000004</v>
      </c>
      <c r="S12" s="1057">
        <v>4.7626999999999997</v>
      </c>
      <c r="T12" s="1057">
        <v>4.7641999999999998</v>
      </c>
      <c r="U12" s="1061">
        <v>4.9348999999999998</v>
      </c>
      <c r="V12">
        <v>6.1645000000000003</v>
      </c>
      <c r="W12">
        <v>7.8356000000000003</v>
      </c>
      <c r="X12">
        <v>8.5496999999999996</v>
      </c>
      <c r="Y12">
        <v>9.1511999999999993</v>
      </c>
      <c r="Z12">
        <v>9.5300999999999991</v>
      </c>
      <c r="AA12">
        <v>10.321899999999999</v>
      </c>
      <c r="AB12">
        <v>11.3089</v>
      </c>
      <c r="AC12">
        <v>11.0258</v>
      </c>
      <c r="AD12">
        <v>10.8445</v>
      </c>
      <c r="AE12">
        <v>10.7986</v>
      </c>
      <c r="AF12" s="1252">
        <v>10.040900000000001</v>
      </c>
      <c r="AG12" s="1250">
        <v>9.1766780000000008</v>
      </c>
      <c r="AH12" s="1250">
        <v>9.4140239999999995</v>
      </c>
      <c r="AI12" s="112">
        <v>9.6920520000000003</v>
      </c>
      <c r="AJ12" s="112">
        <v>9.8826689999999999</v>
      </c>
      <c r="AK12" s="112">
        <v>10.01421</v>
      </c>
      <c r="AL12" s="112">
        <v>10.298360000000001</v>
      </c>
      <c r="AM12" s="112">
        <v>10.46302</v>
      </c>
      <c r="AN12" s="112">
        <v>10.34029</v>
      </c>
      <c r="AO12" s="112">
        <v>10.34029</v>
      </c>
      <c r="AP12" s="112">
        <v>10.34029</v>
      </c>
    </row>
    <row r="13" spans="1:42" ht="15.75">
      <c r="A13" s="55" t="s">
        <v>255</v>
      </c>
      <c r="B13" s="56" t="s">
        <v>256</v>
      </c>
      <c r="C13" s="56" t="s">
        <v>257</v>
      </c>
      <c r="D13" s="56"/>
      <c r="E13" s="56"/>
      <c r="F13" s="56"/>
      <c r="G13" s="1054">
        <v>0.65139999999999998</v>
      </c>
      <c r="H13" s="1054">
        <v>0.81379999999999997</v>
      </c>
      <c r="I13" s="1054">
        <v>0.8821</v>
      </c>
      <c r="J13" s="1054">
        <v>0.997</v>
      </c>
      <c r="K13" s="1056">
        <v>1.0304</v>
      </c>
      <c r="L13" s="1054">
        <v>1.1027</v>
      </c>
      <c r="M13" s="1054">
        <v>1.2144999999999999</v>
      </c>
      <c r="N13" s="1054">
        <v>1.3466</v>
      </c>
      <c r="O13" s="1054">
        <v>1.3854</v>
      </c>
      <c r="P13" s="1054">
        <v>1.3227</v>
      </c>
      <c r="Q13" s="414">
        <v>1.4543999999999999</v>
      </c>
      <c r="R13" s="414">
        <v>1.58</v>
      </c>
      <c r="S13" s="414">
        <v>1.5324002574002573</v>
      </c>
      <c r="T13" s="414">
        <v>1.4645557946510912</v>
      </c>
      <c r="U13" s="414">
        <v>1.1102137232845894</v>
      </c>
      <c r="V13" s="414">
        <f t="shared" ref="V13:AC13" si="0">V12/V19*10</f>
        <v>1.0105737704918032</v>
      </c>
      <c r="W13" s="414">
        <f t="shared" si="0"/>
        <v>1.1689691183052366</v>
      </c>
      <c r="X13" s="414">
        <f t="shared" si="0"/>
        <v>1.4015901639344261</v>
      </c>
      <c r="Y13" s="414">
        <f t="shared" si="0"/>
        <v>1.4525714285714284</v>
      </c>
      <c r="Z13" s="414">
        <f t="shared" si="0"/>
        <v>1.457201834862385</v>
      </c>
      <c r="AA13" s="414">
        <f t="shared" si="0"/>
        <v>1.4355910987482612</v>
      </c>
      <c r="AB13" s="414">
        <f t="shared" si="0"/>
        <v>1.5365353260869565</v>
      </c>
      <c r="AC13" s="414">
        <f t="shared" si="0"/>
        <v>1.6190602055800296</v>
      </c>
      <c r="AD13" s="414">
        <v>1.3962365591397849</v>
      </c>
      <c r="AE13" s="414">
        <v>1.1653932624752295</v>
      </c>
      <c r="AF13" s="1237">
        <f>AF12/AF19*10</f>
        <v>1.1981980906921244</v>
      </c>
      <c r="AG13" s="1237">
        <f t="shared" ref="AG13:AH13" si="1">AG12/AG19*10</f>
        <v>1.0162434108527132</v>
      </c>
      <c r="AH13" s="1237">
        <f t="shared" si="1"/>
        <v>0.96455163934426225</v>
      </c>
      <c r="AI13" s="383">
        <v>1.204301075268817</v>
      </c>
      <c r="AJ13" s="383">
        <v>1.204301075268817</v>
      </c>
      <c r="AK13" s="383">
        <v>1.204301075268817</v>
      </c>
      <c r="AL13" s="383">
        <v>1.204301075268817</v>
      </c>
      <c r="AM13" s="383">
        <v>1.204301075268817</v>
      </c>
      <c r="AN13" s="383">
        <v>1.204301075268817</v>
      </c>
      <c r="AO13" s="383">
        <v>1.204301075268817</v>
      </c>
      <c r="AP13" s="383">
        <v>1.204301075268817</v>
      </c>
    </row>
    <row r="14" spans="1:42" ht="15.75">
      <c r="A14" s="53" t="s">
        <v>258</v>
      </c>
      <c r="B14" s="53" t="s">
        <v>259</v>
      </c>
      <c r="C14" s="54" t="s">
        <v>260</v>
      </c>
      <c r="D14" s="54"/>
      <c r="E14" s="54"/>
      <c r="F14" s="54"/>
      <c r="G14" s="1054"/>
      <c r="H14" s="1054"/>
      <c r="I14" s="1054"/>
      <c r="J14" s="1054"/>
      <c r="K14" s="1054"/>
      <c r="L14" s="1054"/>
      <c r="M14" s="1054"/>
      <c r="N14" s="1054"/>
      <c r="O14" s="415">
        <v>646.298</v>
      </c>
      <c r="P14" s="415">
        <v>677.41399999999999</v>
      </c>
      <c r="Q14" s="415">
        <v>736.44600000000003</v>
      </c>
      <c r="R14" s="415">
        <v>750.07</v>
      </c>
      <c r="S14" s="415">
        <v>744.36800000000005</v>
      </c>
      <c r="T14" s="415">
        <v>799.69799999999998</v>
      </c>
      <c r="U14" s="416">
        <v>770.89800000000002</v>
      </c>
      <c r="V14" s="94">
        <v>706.89800000000002</v>
      </c>
      <c r="W14" s="416">
        <f>V14+(W17-V17)</f>
        <v>571.89800000000002</v>
      </c>
      <c r="X14" s="416">
        <f t="shared" ref="X14:AC14" si="2">W14+(X17-W17)</f>
        <v>610.89800000000002</v>
      </c>
      <c r="Y14" s="416">
        <f t="shared" si="2"/>
        <v>776.89800000000002</v>
      </c>
      <c r="Z14" s="416">
        <f t="shared" si="2"/>
        <v>1286.8980000000001</v>
      </c>
      <c r="AA14" s="416">
        <f t="shared" si="2"/>
        <v>466.89800000000014</v>
      </c>
      <c r="AB14" s="416">
        <f t="shared" si="2"/>
        <v>332.89800000000014</v>
      </c>
      <c r="AC14" s="416">
        <f t="shared" si="2"/>
        <v>333.89800000000014</v>
      </c>
      <c r="AD14" s="416">
        <v>332.89800000000014</v>
      </c>
      <c r="AE14" s="416">
        <v>332.47800000000007</v>
      </c>
      <c r="AF14" s="1239">
        <v>283</v>
      </c>
      <c r="AG14" s="1239">
        <v>250</v>
      </c>
      <c r="AH14" s="1239">
        <v>220</v>
      </c>
      <c r="AI14" s="416">
        <v>200</v>
      </c>
      <c r="AJ14" s="416">
        <v>200</v>
      </c>
      <c r="AK14" s="416">
        <v>200</v>
      </c>
      <c r="AL14" s="416">
        <v>200</v>
      </c>
      <c r="AM14" s="416">
        <v>200</v>
      </c>
      <c r="AN14" s="416">
        <v>200</v>
      </c>
      <c r="AO14" s="416">
        <v>200</v>
      </c>
      <c r="AP14" s="416">
        <v>200</v>
      </c>
    </row>
    <row r="15" spans="1:42" ht="15.75">
      <c r="A15" s="53" t="s">
        <v>261</v>
      </c>
      <c r="B15" s="53" t="s">
        <v>262</v>
      </c>
      <c r="C15" s="54" t="s">
        <v>263</v>
      </c>
      <c r="D15" s="54"/>
      <c r="E15" s="54"/>
      <c r="F15" s="54"/>
      <c r="G15" s="1054">
        <v>15.024830162937198</v>
      </c>
      <c r="H15" s="1054">
        <v>15.092215245482466</v>
      </c>
      <c r="I15" s="1054">
        <v>10.152582741671997</v>
      </c>
      <c r="J15" s="1054">
        <v>16.722735735049156</v>
      </c>
      <c r="K15" s="1054">
        <v>35.241845905281231</v>
      </c>
      <c r="L15" s="1054">
        <v>48.482320477443366</v>
      </c>
      <c r="M15" s="1054">
        <v>133.33737569730778</v>
      </c>
      <c r="N15" s="1054">
        <v>461.43790849673206</v>
      </c>
      <c r="O15" s="119">
        <v>989.25009999999997</v>
      </c>
      <c r="P15" s="119">
        <v>383.13600000000002</v>
      </c>
      <c r="Q15" s="119">
        <v>459.17360000000002</v>
      </c>
      <c r="R15" s="119">
        <v>325.51850000000002</v>
      </c>
      <c r="S15" s="119">
        <v>746.41129999999998</v>
      </c>
      <c r="T15" s="119">
        <v>1011.8628</v>
      </c>
      <c r="U15" s="119">
        <v>909.25440000000003</v>
      </c>
      <c r="V15" s="418">
        <v>977.8</v>
      </c>
      <c r="W15" s="418">
        <v>842.7</v>
      </c>
      <c r="X15" s="418">
        <v>1100.4000000000001</v>
      </c>
      <c r="Y15" s="415">
        <v>644.4</v>
      </c>
      <c r="Z15" s="415">
        <v>607.1</v>
      </c>
      <c r="AA15" s="415">
        <v>482</v>
      </c>
      <c r="AB15" s="415">
        <v>823.4</v>
      </c>
      <c r="AC15" s="419">
        <v>2577</v>
      </c>
      <c r="AD15" s="419">
        <v>2690</v>
      </c>
      <c r="AE15" s="419">
        <v>3222</v>
      </c>
      <c r="AF15" s="419">
        <v>3790</v>
      </c>
      <c r="AG15" s="419">
        <v>3365</v>
      </c>
      <c r="AH15" s="419">
        <v>3500</v>
      </c>
      <c r="AI15" s="417">
        <v>3501</v>
      </c>
      <c r="AJ15" s="417">
        <v>3501</v>
      </c>
      <c r="AK15" s="417">
        <v>3501</v>
      </c>
      <c r="AL15" s="417">
        <v>3501</v>
      </c>
      <c r="AM15" s="417">
        <v>3501</v>
      </c>
      <c r="AN15" s="417">
        <v>3501</v>
      </c>
      <c r="AO15" s="417">
        <v>3501</v>
      </c>
      <c r="AP15" s="417">
        <v>3501</v>
      </c>
    </row>
    <row r="16" spans="1:42" ht="15.75">
      <c r="A16" s="53" t="s">
        <v>264</v>
      </c>
      <c r="B16" s="57" t="s">
        <v>265</v>
      </c>
      <c r="C16" s="54" t="s">
        <v>266</v>
      </c>
      <c r="D16" s="54"/>
      <c r="E16" s="54"/>
      <c r="F16" s="54"/>
      <c r="G16" s="1054">
        <v>141.62460007109848</v>
      </c>
      <c r="H16" s="1054">
        <v>182.51542152159013</v>
      </c>
      <c r="I16" s="1054">
        <v>217.82525510204081</v>
      </c>
      <c r="J16" s="1054">
        <v>290.2021519400065</v>
      </c>
      <c r="K16" s="1054">
        <v>380.98923984727526</v>
      </c>
      <c r="L16" s="1054">
        <v>481.49825783972125</v>
      </c>
      <c r="M16" s="1054">
        <v>650.24821361414058</v>
      </c>
      <c r="N16" s="1054">
        <v>864.91071428571433</v>
      </c>
      <c r="O16" s="414">
        <v>634.49541284403665</v>
      </c>
      <c r="P16" s="414">
        <v>632.65444670739987</v>
      </c>
      <c r="Q16" s="414">
        <v>682.25333767502445</v>
      </c>
      <c r="R16" s="414">
        <v>748.5265855221013</v>
      </c>
      <c r="S16" s="414">
        <v>856.78893178893179</v>
      </c>
      <c r="T16" s="414">
        <v>915.83154011681518</v>
      </c>
      <c r="U16" s="414">
        <v>731.0461192350956</v>
      </c>
      <c r="V16" s="414">
        <f>V18/V19</f>
        <v>557.86885245901635</v>
      </c>
      <c r="W16" s="414">
        <f>W18/W19</f>
        <v>505.38564821721616</v>
      </c>
      <c r="X16" s="414">
        <f t="shared" ref="X16:AC16" si="3">X18/X19</f>
        <v>642.08196721311481</v>
      </c>
      <c r="Y16" s="414">
        <f t="shared" si="3"/>
        <v>694.03174603174602</v>
      </c>
      <c r="Z16" s="414">
        <f t="shared" si="3"/>
        <v>731.91131498470941</v>
      </c>
      <c r="AA16" s="414">
        <f t="shared" si="3"/>
        <v>714.20879972183582</v>
      </c>
      <c r="AB16" s="414">
        <f t="shared" si="3"/>
        <v>777.7670339673914</v>
      </c>
      <c r="AC16" s="414">
        <f t="shared" si="3"/>
        <v>938.14771365638774</v>
      </c>
      <c r="AD16" s="414">
        <v>965.85806451612905</v>
      </c>
      <c r="AE16" s="414">
        <v>904.22626553774069</v>
      </c>
      <c r="AF16" s="1237">
        <v>1148.5</v>
      </c>
      <c r="AG16" s="1237">
        <v>1188.5999999999999</v>
      </c>
      <c r="AH16" s="1237">
        <v>1188.5</v>
      </c>
      <c r="AI16" s="414">
        <v>1122.4489795918366</v>
      </c>
      <c r="AJ16" s="414">
        <v>1122.4489795918366</v>
      </c>
      <c r="AK16" s="414">
        <v>1122.4489795918366</v>
      </c>
      <c r="AL16" s="414">
        <v>1122.4489795918366</v>
      </c>
      <c r="AM16" s="414">
        <v>1122.4489795918366</v>
      </c>
      <c r="AN16" s="414">
        <v>1122.4489795918366</v>
      </c>
      <c r="AO16" s="414">
        <v>1122.4489795918366</v>
      </c>
      <c r="AP16" s="414">
        <v>1122.4489795918366</v>
      </c>
    </row>
    <row r="17" spans="1:42">
      <c r="A17" s="53"/>
      <c r="B17" s="57" t="s">
        <v>267</v>
      </c>
      <c r="C17" s="54" t="s">
        <v>268</v>
      </c>
      <c r="D17" s="54"/>
      <c r="E17" s="54"/>
      <c r="F17" s="54"/>
      <c r="G17" s="1053"/>
      <c r="H17" s="1053"/>
      <c r="I17" s="1053"/>
      <c r="J17" s="1053"/>
      <c r="K17" s="1053"/>
      <c r="L17" s="1053"/>
      <c r="M17" s="1053"/>
      <c r="N17" s="1053"/>
      <c r="O17" s="1053"/>
      <c r="P17" s="1055">
        <v>1983.6949999999997</v>
      </c>
      <c r="Q17" s="416">
        <v>2088.1</v>
      </c>
      <c r="R17" s="1059">
        <v>2198</v>
      </c>
      <c r="S17" s="1059">
        <v>2368</v>
      </c>
      <c r="T17" s="1059">
        <v>2334</v>
      </c>
      <c r="U17" s="415">
        <v>2238</v>
      </c>
      <c r="V17" s="415">
        <v>2174</v>
      </c>
      <c r="W17" s="415">
        <v>2039</v>
      </c>
      <c r="X17" s="415">
        <v>2078</v>
      </c>
      <c r="Y17" s="415">
        <v>2244</v>
      </c>
      <c r="Z17" s="415">
        <v>2754</v>
      </c>
      <c r="AA17" s="415">
        <v>1934</v>
      </c>
      <c r="AB17" s="416">
        <v>1800</v>
      </c>
      <c r="AC17" s="416">
        <v>1801</v>
      </c>
      <c r="AD17" s="416">
        <v>1800</v>
      </c>
      <c r="AE17" s="416">
        <v>1799.58</v>
      </c>
      <c r="AF17" s="1239">
        <v>2020</v>
      </c>
      <c r="AG17" s="1239">
        <v>1725</v>
      </c>
      <c r="AH17" s="1239">
        <v>1933</v>
      </c>
      <c r="AI17" s="417">
        <v>1805.51</v>
      </c>
      <c r="AJ17" s="417">
        <v>1805.51</v>
      </c>
      <c r="AK17" s="417">
        <v>1805.51</v>
      </c>
      <c r="AL17" s="417">
        <v>1805.51</v>
      </c>
      <c r="AM17" s="417">
        <v>1805.51</v>
      </c>
      <c r="AN17" s="417">
        <v>1805.51</v>
      </c>
      <c r="AO17" s="417">
        <v>1805.51</v>
      </c>
      <c r="AP17" s="417">
        <v>1805.51</v>
      </c>
    </row>
    <row r="18" spans="1:42" ht="15.75">
      <c r="A18" s="53" t="s">
        <v>269</v>
      </c>
      <c r="B18" s="53" t="s">
        <v>270</v>
      </c>
      <c r="C18" s="54" t="s">
        <v>271</v>
      </c>
      <c r="D18" s="54"/>
      <c r="E18" s="54"/>
      <c r="F18" s="54"/>
      <c r="G18" s="1055">
        <v>3983.9</v>
      </c>
      <c r="H18" s="1055">
        <v>5325.8</v>
      </c>
      <c r="I18" s="1055">
        <v>6831</v>
      </c>
      <c r="J18" s="1055">
        <v>8900.5</v>
      </c>
      <c r="K18" s="1055">
        <v>10976.3</v>
      </c>
      <c r="L18" s="1055">
        <v>13819</v>
      </c>
      <c r="M18" s="1055">
        <v>17290.099999999999</v>
      </c>
      <c r="N18" s="1055">
        <v>21311.4</v>
      </c>
      <c r="O18" s="415">
        <v>17290</v>
      </c>
      <c r="P18" s="415">
        <v>18638</v>
      </c>
      <c r="Q18" s="415">
        <v>20952</v>
      </c>
      <c r="R18" s="415">
        <v>23369</v>
      </c>
      <c r="S18" s="415">
        <v>26629</v>
      </c>
      <c r="T18" s="415">
        <v>29792</v>
      </c>
      <c r="U18" s="415">
        <v>32495</v>
      </c>
      <c r="V18" s="415">
        <v>34030</v>
      </c>
      <c r="W18" s="415">
        <v>33876</v>
      </c>
      <c r="X18" s="415">
        <v>39167</v>
      </c>
      <c r="Y18" s="415">
        <v>43724</v>
      </c>
      <c r="Z18" s="415">
        <v>47867</v>
      </c>
      <c r="AA18" s="415">
        <v>51351.612699999998</v>
      </c>
      <c r="AB18" s="415">
        <v>57243.653700000003</v>
      </c>
      <c r="AC18" s="415">
        <v>63887.859299999996</v>
      </c>
      <c r="AD18" s="415">
        <v>74854</v>
      </c>
      <c r="AE18" s="415">
        <v>83656</v>
      </c>
      <c r="AF18" s="1239">
        <v>96202</v>
      </c>
      <c r="AG18" s="1239">
        <v>107331</v>
      </c>
      <c r="AH18" s="1239">
        <v>116000</v>
      </c>
      <c r="AI18" s="417">
        <v>110000</v>
      </c>
      <c r="AJ18" s="417">
        <v>110000</v>
      </c>
      <c r="AK18" s="417">
        <v>110000</v>
      </c>
      <c r="AL18" s="417">
        <v>110000</v>
      </c>
      <c r="AM18" s="417">
        <v>110000</v>
      </c>
      <c r="AN18" s="417">
        <v>110000</v>
      </c>
      <c r="AO18" s="417">
        <v>110000</v>
      </c>
      <c r="AP18" s="417">
        <v>110000</v>
      </c>
    </row>
    <row r="19" spans="1:42" ht="15.75">
      <c r="A19" s="55" t="s">
        <v>272</v>
      </c>
      <c r="B19" s="53" t="s">
        <v>273</v>
      </c>
      <c r="C19" s="54" t="s">
        <v>274</v>
      </c>
      <c r="D19" s="54"/>
      <c r="E19" s="54"/>
      <c r="F19" s="54"/>
      <c r="G19" s="1053">
        <v>28.13</v>
      </c>
      <c r="H19" s="1053">
        <v>29.18</v>
      </c>
      <c r="I19" s="1053">
        <v>31.36</v>
      </c>
      <c r="J19" s="1053">
        <v>30.67</v>
      </c>
      <c r="K19" s="1059">
        <v>28.81</v>
      </c>
      <c r="L19" s="1059">
        <v>28.7</v>
      </c>
      <c r="M19" s="1059">
        <v>26.59</v>
      </c>
      <c r="N19" s="1059">
        <v>24.64</v>
      </c>
      <c r="O19" s="1059">
        <v>27.25</v>
      </c>
      <c r="P19" s="1059">
        <v>29.46</v>
      </c>
      <c r="Q19" s="1059">
        <v>30.71</v>
      </c>
      <c r="R19" s="299">
        <v>31.22</v>
      </c>
      <c r="S19" s="299">
        <v>31.08</v>
      </c>
      <c r="T19" s="151">
        <v>32.53</v>
      </c>
      <c r="U19" s="119">
        <v>44.45</v>
      </c>
      <c r="V19" s="413">
        <v>61</v>
      </c>
      <c r="W19" s="413">
        <v>67.03</v>
      </c>
      <c r="X19" s="413">
        <v>61</v>
      </c>
      <c r="Y19" s="413">
        <v>63</v>
      </c>
      <c r="Z19" s="120">
        <v>65.400000000000006</v>
      </c>
      <c r="AA19" s="120">
        <v>71.900000000000006</v>
      </c>
      <c r="AB19" s="120">
        <v>73.599999999999994</v>
      </c>
      <c r="AC19" s="120">
        <v>68.099999999999994</v>
      </c>
      <c r="AD19" s="120">
        <v>77.5</v>
      </c>
      <c r="AE19" s="120">
        <v>92.516666666666694</v>
      </c>
      <c r="AF19" s="1238">
        <v>83.8</v>
      </c>
      <c r="AG19" s="1238">
        <v>90.3</v>
      </c>
      <c r="AH19" s="1238">
        <v>97.6</v>
      </c>
      <c r="AI19" s="122">
        <v>98</v>
      </c>
      <c r="AJ19" s="122">
        <v>98</v>
      </c>
      <c r="AK19" s="122">
        <v>98</v>
      </c>
      <c r="AL19" s="122">
        <v>98</v>
      </c>
      <c r="AM19" s="122">
        <v>98</v>
      </c>
      <c r="AN19" s="122">
        <v>98</v>
      </c>
      <c r="AO19" s="122">
        <v>98</v>
      </c>
      <c r="AP19" s="122">
        <v>98</v>
      </c>
    </row>
    <row r="20" spans="1:42" ht="15.75">
      <c r="A20" s="53" t="s">
        <v>275</v>
      </c>
      <c r="B20" s="53" t="s">
        <v>276</v>
      </c>
      <c r="C20" s="54" t="s">
        <v>277</v>
      </c>
      <c r="D20" s="54"/>
      <c r="E20" s="54"/>
      <c r="F20" s="54"/>
      <c r="G20" s="1053"/>
      <c r="H20" s="1053"/>
      <c r="I20" s="1053"/>
      <c r="J20" s="1053"/>
      <c r="K20" s="1053"/>
      <c r="L20" s="1053"/>
      <c r="M20" s="1053"/>
      <c r="N20" s="1053"/>
      <c r="O20" s="1053"/>
      <c r="P20" s="1053"/>
      <c r="Q20" s="1059">
        <v>320</v>
      </c>
      <c r="R20" s="420">
        <v>336.48320000000001</v>
      </c>
      <c r="S20" s="420">
        <v>350.54819776000005</v>
      </c>
      <c r="T20" s="420">
        <v>364.06884174760324</v>
      </c>
      <c r="U20" s="420">
        <v>375.71904468352653</v>
      </c>
      <c r="V20" s="94">
        <v>385.8634588899817</v>
      </c>
      <c r="W20" s="420">
        <f t="shared" ref="W20" si="4">V20*(1+W11/100)</f>
        <v>395.89590882112122</v>
      </c>
      <c r="X20" s="420">
        <f t="shared" ref="X20" si="5">W20*(1+X11/100)</f>
        <v>408.56457790339709</v>
      </c>
      <c r="Y20" s="420">
        <f t="shared" ref="Y20" si="6">X20*(1+Y11/100)</f>
        <v>423.2729027079194</v>
      </c>
      <c r="Z20" s="420">
        <f t="shared" ref="Z20" si="7">Y20*(1+Z11/100)</f>
        <v>438.08745430269653</v>
      </c>
      <c r="AA20" s="420">
        <f t="shared" ref="AA20" si="8">Z20*(1+AA11/100)</f>
        <v>452.10625284038281</v>
      </c>
      <c r="AB20" s="420">
        <f t="shared" ref="AB20" si="9">AA20*(1+AB11/100)</f>
        <v>473.35524672388078</v>
      </c>
      <c r="AC20" s="420">
        <f t="shared" ref="AC20" si="10">AB20*(1+AC11/100)</f>
        <v>515.01050843558232</v>
      </c>
      <c r="AD20" s="420">
        <v>549.5162125007663</v>
      </c>
      <c r="AE20" s="420">
        <v>581.38815282581072</v>
      </c>
      <c r="AF20" s="1240">
        <v>607.6</v>
      </c>
      <c r="AG20" s="1240">
        <v>625.79999999999995</v>
      </c>
      <c r="AH20" s="1240">
        <v>647.70000000000005</v>
      </c>
      <c r="AI20" s="420">
        <v>672.31304115730984</v>
      </c>
      <c r="AJ20" s="420">
        <v>672.31304115730984</v>
      </c>
      <c r="AK20" s="420">
        <v>672.31304115730984</v>
      </c>
      <c r="AL20" s="420">
        <v>672.31304115730984</v>
      </c>
      <c r="AM20" s="420">
        <v>672.31304115730984</v>
      </c>
      <c r="AN20" s="420">
        <v>672.31304115730984</v>
      </c>
      <c r="AO20" s="420">
        <v>672.31304115730984</v>
      </c>
      <c r="AP20" s="420">
        <v>672.31304115730984</v>
      </c>
    </row>
    <row r="21" spans="1:42" ht="15.75">
      <c r="A21" s="53" t="s">
        <v>278</v>
      </c>
      <c r="B21" s="53" t="s">
        <v>279</v>
      </c>
      <c r="C21" s="54" t="s">
        <v>280</v>
      </c>
      <c r="D21" s="54"/>
      <c r="E21" s="54"/>
      <c r="F21" s="54"/>
      <c r="G21" s="1053"/>
      <c r="H21" s="1053"/>
      <c r="I21" s="1053"/>
      <c r="J21" s="1053"/>
      <c r="K21" s="1053"/>
      <c r="L21" s="1053"/>
      <c r="M21" s="1053"/>
      <c r="N21" s="1053"/>
      <c r="O21" s="1053"/>
      <c r="P21" s="1053"/>
      <c r="Q21" s="987">
        <v>1225</v>
      </c>
      <c r="R21" s="987">
        <v>1570</v>
      </c>
      <c r="S21" s="987">
        <v>1670</v>
      </c>
      <c r="T21" s="987">
        <v>1410</v>
      </c>
      <c r="U21" s="987">
        <v>1275</v>
      </c>
      <c r="V21">
        <v>1167.7</v>
      </c>
      <c r="W21">
        <v>1258.5</v>
      </c>
      <c r="X21">
        <v>1257.0999999999999</v>
      </c>
      <c r="Y21">
        <v>1269.0999999999999</v>
      </c>
      <c r="Z21">
        <v>1411.15</v>
      </c>
      <c r="AA21">
        <v>1786.6</v>
      </c>
      <c r="AB21">
        <v>1794.25</v>
      </c>
      <c r="AC21">
        <v>1809.45</v>
      </c>
      <c r="AD21">
        <v>1943</v>
      </c>
      <c r="AE21">
        <v>2388.11</v>
      </c>
      <c r="AF21" s="1252">
        <v>3202.86</v>
      </c>
      <c r="AG21" s="1250">
        <v>3299</v>
      </c>
      <c r="AH21" s="1250">
        <f>AG21</f>
        <v>3299</v>
      </c>
      <c r="AI21" s="757">
        <f>AH21</f>
        <v>3299</v>
      </c>
      <c r="AJ21" s="757">
        <f t="shared" ref="AJ21:AP21" si="11">AI21</f>
        <v>3299</v>
      </c>
      <c r="AK21" s="757">
        <f t="shared" si="11"/>
        <v>3299</v>
      </c>
      <c r="AL21" s="757">
        <f t="shared" si="11"/>
        <v>3299</v>
      </c>
      <c r="AM21" s="757">
        <f t="shared" si="11"/>
        <v>3299</v>
      </c>
      <c r="AN21" s="757">
        <f t="shared" si="11"/>
        <v>3299</v>
      </c>
      <c r="AO21" s="757">
        <f t="shared" si="11"/>
        <v>3299</v>
      </c>
      <c r="AP21" s="757">
        <f t="shared" si="11"/>
        <v>3299</v>
      </c>
    </row>
    <row r="22" spans="1:42">
      <c r="A22" s="58"/>
      <c r="B22" s="58" t="s">
        <v>281</v>
      </c>
      <c r="C22" s="52" t="s">
        <v>282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AF22"/>
    </row>
    <row r="23" spans="1:42">
      <c r="A23" s="58"/>
      <c r="B23" s="58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AF23"/>
    </row>
    <row r="24" spans="1:42">
      <c r="A24" s="58"/>
      <c r="B24" s="58" t="s">
        <v>70</v>
      </c>
      <c r="C24" s="52" t="s">
        <v>283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AF24"/>
    </row>
    <row r="25" spans="1:42">
      <c r="A25" s="59" t="s">
        <v>284</v>
      </c>
      <c r="B25" s="60" t="s">
        <v>85</v>
      </c>
      <c r="C25" s="60" t="s">
        <v>285</v>
      </c>
      <c r="D25" s="60"/>
      <c r="E25" s="60"/>
      <c r="F25" s="60"/>
      <c r="G25" s="60"/>
      <c r="H25" s="60"/>
      <c r="I25" s="60"/>
      <c r="J25" s="1063">
        <v>0.34399916364650124</v>
      </c>
      <c r="K25" s="1063">
        <v>0.33410883407351921</v>
      </c>
      <c r="L25" s="1063">
        <v>0.37588879376379936</v>
      </c>
      <c r="M25" s="1063">
        <v>0.33616738637195342</v>
      </c>
      <c r="N25" s="1063">
        <v>0.33678104669238301</v>
      </c>
      <c r="O25" s="1063">
        <v>0.2688323124042879</v>
      </c>
      <c r="P25" s="1063">
        <v>0.24411746739013257</v>
      </c>
      <c r="Q25" s="1063">
        <v>0.50138176075799445</v>
      </c>
      <c r="R25" s="1062">
        <v>0.32886674298027069</v>
      </c>
      <c r="S25" s="1062">
        <v>0.36809815950920249</v>
      </c>
      <c r="T25" s="1062">
        <v>2.7353815659068386</v>
      </c>
      <c r="U25" s="1062">
        <v>0.2546807133555315</v>
      </c>
      <c r="V25" s="95">
        <f>Industry!V65</f>
        <v>0.24218059912225182</v>
      </c>
      <c r="W25" s="95">
        <f>Industry!W65</f>
        <v>0.22824695206814005</v>
      </c>
      <c r="X25" s="95">
        <f>Industry!X65</f>
        <v>0.23346641208123589</v>
      </c>
      <c r="Y25" s="95">
        <f>Industry!Y65</f>
        <v>0.23926131730445269</v>
      </c>
      <c r="Z25" s="95">
        <f>Industry!Z65</f>
        <v>0.21640753077363989</v>
      </c>
      <c r="AA25" s="95">
        <f>Industry!AA65</f>
        <v>0.26231461472425327</v>
      </c>
      <c r="AB25" s="95">
        <f>Industry!AB65</f>
        <v>0.22874667388265008</v>
      </c>
      <c r="AC25" s="95">
        <f>Industry!AC65</f>
        <v>0.25511415594323278</v>
      </c>
      <c r="AD25" s="95">
        <f>Industry!AD65</f>
        <v>0.24421282906153702</v>
      </c>
      <c r="AE25" s="95">
        <f>Industry!AE65</f>
        <v>0.20562492140200853</v>
      </c>
      <c r="AF25" s="95">
        <f>Industry!AF65</f>
        <v>0.18919696342473089</v>
      </c>
      <c r="AG25" s="421">
        <f t="shared" ref="AG25:AP25" si="12">AF25</f>
        <v>0.18919696342473089</v>
      </c>
      <c r="AH25" s="421">
        <f t="shared" si="12"/>
        <v>0.18919696342473089</v>
      </c>
      <c r="AI25" s="421">
        <f t="shared" si="12"/>
        <v>0.18919696342473089</v>
      </c>
      <c r="AJ25" s="421">
        <f t="shared" si="12"/>
        <v>0.18919696342473089</v>
      </c>
      <c r="AK25" s="421">
        <f t="shared" si="12"/>
        <v>0.18919696342473089</v>
      </c>
      <c r="AL25" s="421">
        <f t="shared" si="12"/>
        <v>0.18919696342473089</v>
      </c>
      <c r="AM25" s="421">
        <f t="shared" si="12"/>
        <v>0.18919696342473089</v>
      </c>
      <c r="AN25" s="421">
        <f t="shared" si="12"/>
        <v>0.18919696342473089</v>
      </c>
      <c r="AO25" s="421">
        <f t="shared" si="12"/>
        <v>0.18919696342473089</v>
      </c>
      <c r="AP25" s="421">
        <f t="shared" si="12"/>
        <v>0.18919696342473089</v>
      </c>
    </row>
    <row r="26" spans="1:42">
      <c r="A26" s="58"/>
      <c r="B26" s="58" t="s">
        <v>286</v>
      </c>
      <c r="C26" s="52" t="s">
        <v>287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AF26"/>
    </row>
    <row r="27" spans="1:42">
      <c r="A27" s="59" t="s">
        <v>288</v>
      </c>
      <c r="B27" s="60" t="s">
        <v>87</v>
      </c>
      <c r="C27" s="61" t="s">
        <v>289</v>
      </c>
      <c r="D27" s="61"/>
      <c r="E27" s="61"/>
      <c r="F27" s="61"/>
      <c r="G27" s="1069"/>
      <c r="H27" s="1069"/>
      <c r="I27" s="1069"/>
      <c r="J27" s="1070"/>
      <c r="K27" s="1070"/>
      <c r="L27" s="1070"/>
      <c r="M27" s="1070"/>
      <c r="N27" s="1070"/>
      <c r="O27" s="1070"/>
      <c r="P27" s="1070"/>
      <c r="Q27" s="421">
        <v>-0.23084661343985619</v>
      </c>
      <c r="R27" s="1062">
        <v>0.2283079540552318</v>
      </c>
      <c r="S27" s="1062">
        <v>0.18457947016102619</v>
      </c>
      <c r="T27" s="1062">
        <v>0.18642913244281462</v>
      </c>
      <c r="U27" s="1062">
        <v>0.26606517145436059</v>
      </c>
      <c r="V27" s="95">
        <f>Industry!V66</f>
        <v>0.29392050880414655</v>
      </c>
      <c r="W27" s="95">
        <f>Industry!W66</f>
        <v>0.32363117544161002</v>
      </c>
      <c r="X27" s="95">
        <f>Industry!X66</f>
        <v>0.32141141582457972</v>
      </c>
      <c r="Y27" s="95">
        <f>Industry!Y66</f>
        <v>0.34006178690650168</v>
      </c>
      <c r="Z27" s="95">
        <f>Industry!Z66</f>
        <v>0.35311480706840914</v>
      </c>
      <c r="AA27" s="95">
        <f>Industry!AA66</f>
        <v>0.30576747115373193</v>
      </c>
      <c r="AB27" s="95">
        <f>Industry!AB66</f>
        <v>0.30686263038521772</v>
      </c>
      <c r="AC27" s="95">
        <f>Industry!AC66</f>
        <v>0.29457890561592731</v>
      </c>
      <c r="AD27" s="95">
        <f>Industry!AD66</f>
        <v>0.28442002847253373</v>
      </c>
      <c r="AE27" s="95">
        <f>Industry!AE66</f>
        <v>0.3157252936231284</v>
      </c>
      <c r="AF27" s="95">
        <f>Industry!AF66</f>
        <v>0.30346623858902566</v>
      </c>
      <c r="AG27" s="421">
        <f t="shared" ref="AG27:AP27" si="13">AF27</f>
        <v>0.30346623858902566</v>
      </c>
      <c r="AH27" s="421">
        <f t="shared" si="13"/>
        <v>0.30346623858902566</v>
      </c>
      <c r="AI27" s="421">
        <f t="shared" si="13"/>
        <v>0.30346623858902566</v>
      </c>
      <c r="AJ27" s="421">
        <f t="shared" si="13"/>
        <v>0.30346623858902566</v>
      </c>
      <c r="AK27" s="421">
        <f t="shared" si="13"/>
        <v>0.30346623858902566</v>
      </c>
      <c r="AL27" s="421">
        <f t="shared" si="13"/>
        <v>0.30346623858902566</v>
      </c>
      <c r="AM27" s="421">
        <f t="shared" si="13"/>
        <v>0.30346623858902566</v>
      </c>
      <c r="AN27" s="421">
        <f t="shared" si="13"/>
        <v>0.30346623858902566</v>
      </c>
      <c r="AO27" s="421">
        <f t="shared" si="13"/>
        <v>0.30346623858902566</v>
      </c>
      <c r="AP27" s="421">
        <f t="shared" si="13"/>
        <v>0.30346623858902566</v>
      </c>
    </row>
    <row r="28" spans="1:42">
      <c r="A28" s="58"/>
      <c r="B28" s="58" t="s">
        <v>64</v>
      </c>
      <c r="C28" s="52" t="s">
        <v>290</v>
      </c>
      <c r="D28" s="52"/>
      <c r="E28" s="52"/>
      <c r="F28" s="52"/>
      <c r="G28" s="1067"/>
      <c r="H28" s="1067"/>
      <c r="I28" s="1068"/>
      <c r="J28" s="1068"/>
      <c r="K28" s="1068"/>
      <c r="L28" s="1068"/>
      <c r="M28" s="1068"/>
      <c r="N28" s="1068"/>
      <c r="O28" s="1068"/>
      <c r="P28" s="1068"/>
      <c r="Q28" s="1068"/>
      <c r="R28" s="1065"/>
      <c r="S28" s="1065"/>
      <c r="T28" s="1065"/>
      <c r="U28" s="1065"/>
      <c r="AF28"/>
    </row>
    <row r="29" spans="1:42" ht="15.75">
      <c r="A29" s="59" t="s">
        <v>108</v>
      </c>
      <c r="B29" s="62" t="s">
        <v>291</v>
      </c>
      <c r="C29" s="62" t="s">
        <v>292</v>
      </c>
      <c r="D29" s="62"/>
      <c r="E29" s="62"/>
      <c r="F29" s="62"/>
      <c r="G29" s="1055"/>
      <c r="H29" s="1055"/>
      <c r="I29" s="1076">
        <v>2900</v>
      </c>
      <c r="J29" s="1076">
        <v>2700</v>
      </c>
      <c r="K29" s="1076">
        <v>2600</v>
      </c>
      <c r="L29" s="1076">
        <v>2700</v>
      </c>
      <c r="M29" s="1076">
        <v>2600</v>
      </c>
      <c r="N29" s="1076">
        <v>2400</v>
      </c>
      <c r="O29" s="1076">
        <v>2400</v>
      </c>
      <c r="P29" s="1076">
        <v>2700</v>
      </c>
      <c r="Q29" s="415">
        <v>3031</v>
      </c>
      <c r="R29" s="415">
        <v>3046</v>
      </c>
      <c r="S29" s="415">
        <v>3061</v>
      </c>
      <c r="T29" s="415">
        <v>4503</v>
      </c>
      <c r="U29" s="415">
        <v>4692</v>
      </c>
      <c r="V29" s="94">
        <f>Industry!V80</f>
        <v>4914</v>
      </c>
      <c r="W29" s="94">
        <f>Industry!W80</f>
        <v>4845</v>
      </c>
      <c r="X29" s="94">
        <f>Industry!X80</f>
        <v>5424</v>
      </c>
      <c r="Y29" s="94">
        <f>Industry!Y80</f>
        <v>5579</v>
      </c>
      <c r="Z29" s="94">
        <f>Industry!Z80</f>
        <v>6019</v>
      </c>
      <c r="AA29" s="94">
        <f>Industry!AA80</f>
        <v>6857</v>
      </c>
      <c r="AB29" s="94">
        <f>Industry!AB80</f>
        <v>5410</v>
      </c>
      <c r="AC29" s="94">
        <f>Industry!AC80</f>
        <v>5518.2</v>
      </c>
      <c r="AD29" s="94">
        <f>Industry!AD80</f>
        <v>5628.5640000000003</v>
      </c>
      <c r="AE29" s="94">
        <f>Industry!AE80</f>
        <v>5741.1352800000004</v>
      </c>
      <c r="AF29" s="94">
        <f>Industry!AF80</f>
        <v>5855.9579856000009</v>
      </c>
      <c r="AG29" s="416">
        <f t="shared" ref="AG29:AP29" si="14">AF29*1.01</f>
        <v>5914.5175654560007</v>
      </c>
      <c r="AH29" s="416">
        <f t="shared" si="14"/>
        <v>5973.662741110561</v>
      </c>
      <c r="AI29" s="416">
        <f t="shared" si="14"/>
        <v>6033.3993685216665</v>
      </c>
      <c r="AJ29" s="416">
        <f t="shared" si="14"/>
        <v>6093.7333622068836</v>
      </c>
      <c r="AK29" s="416">
        <f t="shared" si="14"/>
        <v>6154.6706958289524</v>
      </c>
      <c r="AL29" s="416">
        <f t="shared" si="14"/>
        <v>6216.2174027872416</v>
      </c>
      <c r="AM29" s="416">
        <f t="shared" si="14"/>
        <v>6278.379576815114</v>
      </c>
      <c r="AN29" s="416">
        <f t="shared" si="14"/>
        <v>6341.1633725832653</v>
      </c>
      <c r="AO29" s="416">
        <f t="shared" si="14"/>
        <v>6404.5750063090982</v>
      </c>
      <c r="AP29" s="416">
        <f t="shared" si="14"/>
        <v>6468.6207563721891</v>
      </c>
    </row>
    <row r="30" spans="1:42" ht="15.75">
      <c r="A30" s="59" t="s">
        <v>113</v>
      </c>
      <c r="B30" s="63" t="s">
        <v>114</v>
      </c>
      <c r="C30" s="63" t="s">
        <v>293</v>
      </c>
      <c r="D30" s="63"/>
      <c r="E30" s="63"/>
      <c r="F30" s="63"/>
      <c r="G30" s="1064"/>
      <c r="H30" s="1064"/>
      <c r="I30" s="1080">
        <v>0.13024225058609012</v>
      </c>
      <c r="J30" s="1080">
        <v>0.13586313684165252</v>
      </c>
      <c r="K30" s="1080">
        <v>0.13028503499917743</v>
      </c>
      <c r="L30" s="1080">
        <v>0.14568025677073662</v>
      </c>
      <c r="M30" s="1080">
        <v>0.14424895951570185</v>
      </c>
      <c r="N30" s="1080">
        <v>0.15472449193379426</v>
      </c>
      <c r="O30" s="1080">
        <v>0.15256056424409689</v>
      </c>
      <c r="P30" s="1080">
        <v>0.10483991808600969</v>
      </c>
      <c r="Q30" s="1077">
        <v>0.16028066313544748</v>
      </c>
      <c r="R30" s="1077">
        <v>0.16061956291109697</v>
      </c>
      <c r="S30" s="1077">
        <v>0.16697398074165129</v>
      </c>
      <c r="T30" s="1077">
        <v>0.17192600652883569</v>
      </c>
      <c r="U30" s="1077">
        <v>0.20437317784256559</v>
      </c>
      <c r="V30" s="260">
        <f>Industry!V83</f>
        <v>0.18344211611130196</v>
      </c>
      <c r="W30" s="260">
        <f>Industry!W83</f>
        <v>0.18822400438686682</v>
      </c>
      <c r="X30" s="260">
        <f>Industry!X83</f>
        <v>0.18763825634352635</v>
      </c>
      <c r="Y30" s="260">
        <f>Industry!Y83</f>
        <v>0.16518395224702978</v>
      </c>
      <c r="Z30" s="260">
        <f>Industry!Z83</f>
        <v>0.13109180204004534</v>
      </c>
      <c r="AA30" s="260">
        <f>Industry!AA83</f>
        <v>0.14482131697062667</v>
      </c>
      <c r="AB30" s="260">
        <f>Industry!AB83</f>
        <v>0.29484933321292034</v>
      </c>
      <c r="AC30" s="260">
        <f>Industry!AC83</f>
        <v>0.27303697501161384</v>
      </c>
      <c r="AD30" s="260">
        <f>Industry!AD83</f>
        <v>0.2577185678601166</v>
      </c>
      <c r="AE30" s="260">
        <f>Industry!AE83</f>
        <v>0.34714126358038283</v>
      </c>
      <c r="AF30" s="260">
        <f>Industry!AF83</f>
        <v>0.50271849472786767</v>
      </c>
      <c r="AG30" s="422">
        <f t="shared" ref="AG30:AP30" si="15">AF30</f>
        <v>0.50271849472786767</v>
      </c>
      <c r="AH30" s="422">
        <f t="shared" si="15"/>
        <v>0.50271849472786767</v>
      </c>
      <c r="AI30" s="422">
        <f t="shared" si="15"/>
        <v>0.50271849472786767</v>
      </c>
      <c r="AJ30" s="422">
        <f t="shared" si="15"/>
        <v>0.50271849472786767</v>
      </c>
      <c r="AK30" s="422">
        <f t="shared" si="15"/>
        <v>0.50271849472786767</v>
      </c>
      <c r="AL30" s="422">
        <f t="shared" si="15"/>
        <v>0.50271849472786767</v>
      </c>
      <c r="AM30" s="422">
        <f t="shared" si="15"/>
        <v>0.50271849472786767</v>
      </c>
      <c r="AN30" s="422">
        <f t="shared" si="15"/>
        <v>0.50271849472786767</v>
      </c>
      <c r="AO30" s="422">
        <f t="shared" si="15"/>
        <v>0.50271849472786767</v>
      </c>
      <c r="AP30" s="422">
        <f t="shared" si="15"/>
        <v>0.50271849472786767</v>
      </c>
    </row>
    <row r="31" spans="1:42">
      <c r="A31" s="59" t="s">
        <v>120</v>
      </c>
      <c r="B31" s="64" t="s">
        <v>121</v>
      </c>
      <c r="C31" s="64" t="s">
        <v>294</v>
      </c>
      <c r="D31" s="64"/>
      <c r="E31" s="64"/>
      <c r="F31" s="64"/>
      <c r="G31"/>
      <c r="H31"/>
      <c r="I31" s="1071"/>
      <c r="J31" s="1076">
        <v>4420</v>
      </c>
      <c r="K31" s="1076">
        <v>4396</v>
      </c>
      <c r="L31" s="1076">
        <v>4404</v>
      </c>
      <c r="M31" s="1076">
        <v>4389</v>
      </c>
      <c r="N31" s="1076">
        <v>4386</v>
      </c>
      <c r="O31" s="1076">
        <v>5069</v>
      </c>
      <c r="P31" s="1076">
        <v>5078</v>
      </c>
      <c r="Q31" s="415">
        <v>5105</v>
      </c>
      <c r="R31" s="415">
        <v>5079</v>
      </c>
      <c r="S31" s="415">
        <v>6168</v>
      </c>
      <c r="T31" s="415">
        <v>6180</v>
      </c>
      <c r="U31" s="415">
        <v>6280</v>
      </c>
      <c r="V31" s="93">
        <f>Industry!V93</f>
        <v>6283</v>
      </c>
      <c r="W31" s="93">
        <f>Industry!W93</f>
        <v>6577</v>
      </c>
      <c r="X31" s="93">
        <f>Industry!X93</f>
        <v>5718</v>
      </c>
      <c r="Y31" s="93">
        <f>Industry!Y93</f>
        <v>6197</v>
      </c>
      <c r="Z31" s="93">
        <f>Industry!Z93</f>
        <v>6475</v>
      </c>
      <c r="AA31" s="93">
        <f>Industry!AA93</f>
        <v>6356</v>
      </c>
      <c r="AB31" s="93">
        <f>Industry!AB93</f>
        <v>6476</v>
      </c>
      <c r="AC31" s="93">
        <f>Industry!AC93</f>
        <v>6488.9520000000002</v>
      </c>
      <c r="AD31" s="93">
        <f>Industry!AD93</f>
        <v>6501.9299040000005</v>
      </c>
      <c r="AE31" s="93">
        <f>Industry!AE93</f>
        <v>6514.9337638080005</v>
      </c>
      <c r="AF31" s="93">
        <f>Industry!AF93</f>
        <v>6527.9636313356168</v>
      </c>
      <c r="AG31" s="423">
        <f t="shared" ref="AG31:AP31" si="16">AF31+100</f>
        <v>6627.9636313356168</v>
      </c>
      <c r="AH31" s="423">
        <f t="shared" si="16"/>
        <v>6727.9636313356168</v>
      </c>
      <c r="AI31" s="423">
        <f t="shared" si="16"/>
        <v>6827.9636313356168</v>
      </c>
      <c r="AJ31" s="423">
        <f t="shared" si="16"/>
        <v>6927.9636313356168</v>
      </c>
      <c r="AK31" s="423">
        <f t="shared" si="16"/>
        <v>7027.9636313356168</v>
      </c>
      <c r="AL31" s="423">
        <f t="shared" si="16"/>
        <v>7127.9636313356168</v>
      </c>
      <c r="AM31" s="423">
        <f t="shared" si="16"/>
        <v>7227.9636313356168</v>
      </c>
      <c r="AN31" s="423">
        <f t="shared" si="16"/>
        <v>7327.9636313356168</v>
      </c>
      <c r="AO31" s="423">
        <f t="shared" si="16"/>
        <v>7427.9636313356168</v>
      </c>
      <c r="AP31" s="423">
        <f t="shared" si="16"/>
        <v>7527.9636313356168</v>
      </c>
    </row>
    <row r="32" spans="1:42">
      <c r="A32" s="59" t="s">
        <v>126</v>
      </c>
      <c r="B32" s="54" t="s">
        <v>295</v>
      </c>
      <c r="C32" s="54" t="s">
        <v>296</v>
      </c>
      <c r="D32" s="54"/>
      <c r="E32" s="54"/>
      <c r="F32" s="54"/>
      <c r="G32"/>
      <c r="H32"/>
      <c r="I32"/>
      <c r="J32"/>
      <c r="K32"/>
      <c r="L32"/>
      <c r="M32"/>
      <c r="N32"/>
      <c r="O32" s="1071">
        <v>0</v>
      </c>
      <c r="P32" s="1071">
        <v>0</v>
      </c>
      <c r="Q32" s="1054">
        <v>0</v>
      </c>
      <c r="R32" s="426">
        <v>0</v>
      </c>
      <c r="S32" s="424">
        <v>0.24</v>
      </c>
      <c r="T32" s="424">
        <v>0.3</v>
      </c>
      <c r="U32" s="424">
        <v>0.15</v>
      </c>
      <c r="V32" s="424">
        <v>0.15</v>
      </c>
      <c r="W32" s="424">
        <v>0.2</v>
      </c>
      <c r="X32" s="424">
        <v>0.22</v>
      </c>
      <c r="Y32" s="424">
        <v>0.22</v>
      </c>
      <c r="Z32" s="424">
        <v>0.23</v>
      </c>
      <c r="AA32" s="424">
        <v>0.23</v>
      </c>
      <c r="AB32" s="424">
        <v>0.23</v>
      </c>
      <c r="AC32" s="424">
        <v>0.23</v>
      </c>
      <c r="AD32" s="424">
        <v>0.23</v>
      </c>
      <c r="AE32" s="424">
        <v>0.24</v>
      </c>
      <c r="AF32" s="424">
        <v>0.24</v>
      </c>
      <c r="AG32" s="424">
        <v>0.24</v>
      </c>
      <c r="AH32" s="424">
        <v>0.24</v>
      </c>
      <c r="AI32" s="424">
        <v>0.24</v>
      </c>
      <c r="AJ32" s="424">
        <v>0.24</v>
      </c>
      <c r="AK32" s="424">
        <v>0.24</v>
      </c>
      <c r="AL32" s="424">
        <v>0.24</v>
      </c>
      <c r="AM32" s="424">
        <v>0.24</v>
      </c>
      <c r="AN32" s="424">
        <v>0.24</v>
      </c>
      <c r="AO32" s="424">
        <v>0.24</v>
      </c>
      <c r="AP32" s="424">
        <v>0.24</v>
      </c>
    </row>
    <row r="33" spans="1:42" ht="15.75">
      <c r="A33" s="59" t="s">
        <v>297</v>
      </c>
      <c r="B33" s="53" t="s">
        <v>298</v>
      </c>
      <c r="C33" s="53" t="s">
        <v>299</v>
      </c>
      <c r="D33" s="53"/>
      <c r="E33" s="53"/>
      <c r="F33" s="53"/>
      <c r="G33" s="425">
        <v>4.6460639087164537E-2</v>
      </c>
      <c r="H33" s="425">
        <v>1.9408944897454906E-2</v>
      </c>
      <c r="I33" s="425">
        <v>1.7596131760283986E-2</v>
      </c>
      <c r="J33" s="425">
        <v>1.1994453145392847E-2</v>
      </c>
      <c r="K33" s="425">
        <v>1.2936418782296113E-2</v>
      </c>
      <c r="L33" s="425">
        <v>1.2342939007491957E-2</v>
      </c>
      <c r="M33" s="425">
        <v>1.1584184155795046E-2</v>
      </c>
      <c r="N33" s="425">
        <v>1.3998356421695233E-2</v>
      </c>
      <c r="O33" s="425">
        <v>1.4009660476458449E-2</v>
      </c>
      <c r="P33" s="425">
        <v>1.4947626144347454E-2</v>
      </c>
      <c r="Q33" s="425">
        <v>1.2097969369009805E-2</v>
      </c>
      <c r="R33" s="425">
        <v>1.4373737373737374E-2</v>
      </c>
      <c r="S33" s="425">
        <v>2.7529032258064516E-2</v>
      </c>
      <c r="T33" s="425">
        <v>3.135532516493874E-2</v>
      </c>
      <c r="U33" s="425">
        <v>3.2331378299120236E-2</v>
      </c>
      <c r="V33">
        <f>Trade!V28</f>
        <v>3.4670487106017188E-2</v>
      </c>
      <c r="W33">
        <f>Trade!W28</f>
        <v>3.620448179271709E-2</v>
      </c>
      <c r="X33">
        <f>Trade!X28</f>
        <v>3.7649542575650952E-2</v>
      </c>
      <c r="Y33">
        <f>Trade!Y28</f>
        <v>1.9151103565365025E-2</v>
      </c>
      <c r="Z33">
        <f>Trade!Z28</f>
        <v>2.9322834645669288E-2</v>
      </c>
      <c r="AA33">
        <f>Trade!AA28</f>
        <v>3.0155590012297492E-2</v>
      </c>
      <c r="AB33">
        <f>Trade!AB28</f>
        <v>2.9056198146914552E-2</v>
      </c>
      <c r="AC33">
        <f>Trade!AC28</f>
        <v>3.1786890152648906E-2</v>
      </c>
      <c r="AD33">
        <f>Trade!AD28</f>
        <v>3.0610547329895193E-2</v>
      </c>
      <c r="AE33">
        <f>Trade!AE28</f>
        <v>2.8961734628495273E-2</v>
      </c>
      <c r="AF33">
        <f>Trade!AF28</f>
        <v>3.5760230591692012E-2</v>
      </c>
      <c r="AG33" s="425">
        <f t="shared" ref="AG33:AP33" si="17">AF33*1.2</f>
        <v>4.2912276710030416E-2</v>
      </c>
      <c r="AH33" s="425">
        <f t="shared" si="17"/>
        <v>5.1494732052036495E-2</v>
      </c>
      <c r="AI33" s="425">
        <f t="shared" si="17"/>
        <v>6.1793678462443789E-2</v>
      </c>
      <c r="AJ33" s="425">
        <f t="shared" si="17"/>
        <v>7.4152414154932539E-2</v>
      </c>
      <c r="AK33" s="425">
        <f t="shared" si="17"/>
        <v>8.8982896985919047E-2</v>
      </c>
      <c r="AL33" s="425">
        <f t="shared" si="17"/>
        <v>0.10677947638310285</v>
      </c>
      <c r="AM33" s="425">
        <f t="shared" si="17"/>
        <v>0.12813537165972341</v>
      </c>
      <c r="AN33" s="425">
        <f t="shared" si="17"/>
        <v>0.15376244599166808</v>
      </c>
      <c r="AO33" s="425">
        <f t="shared" si="17"/>
        <v>0.1845149351900017</v>
      </c>
      <c r="AP33" s="425">
        <f t="shared" si="17"/>
        <v>0.22141792222800202</v>
      </c>
    </row>
    <row r="34" spans="1:42">
      <c r="C34" s="49"/>
      <c r="D34" s="49"/>
      <c r="E34" s="49"/>
      <c r="F34" s="49"/>
      <c r="G34"/>
      <c r="H34"/>
      <c r="I34"/>
      <c r="J34"/>
      <c r="K34"/>
      <c r="L34"/>
      <c r="M34"/>
      <c r="N34"/>
      <c r="O34"/>
      <c r="P34"/>
      <c r="Q34" s="1054"/>
      <c r="R34" s="426"/>
      <c r="S34" s="426"/>
      <c r="T34" s="426"/>
      <c r="U34" s="426"/>
    </row>
    <row r="35" spans="1:42" ht="15.75">
      <c r="A35" s="59" t="s">
        <v>137</v>
      </c>
      <c r="B35" s="65" t="s">
        <v>138</v>
      </c>
      <c r="C35" s="49" t="s">
        <v>300</v>
      </c>
      <c r="D35" s="49"/>
      <c r="E35" s="49"/>
      <c r="F35" s="49"/>
      <c r="G35" s="1066"/>
      <c r="H35" s="1066"/>
      <c r="I35" s="1066"/>
      <c r="J35" s="426">
        <v>54.6</v>
      </c>
      <c r="K35" s="426">
        <v>52.685512367491164</v>
      </c>
      <c r="L35" s="426">
        <v>50.398355422086219</v>
      </c>
      <c r="M35" s="426">
        <v>58.257296584778715</v>
      </c>
      <c r="N35" s="426">
        <v>51.310706494824352</v>
      </c>
      <c r="O35" s="426">
        <v>58.699895533527943</v>
      </c>
      <c r="P35" s="426">
        <v>64.148662534279879</v>
      </c>
      <c r="Q35" s="426">
        <v>64.148662534279879</v>
      </c>
      <c r="R35" s="426">
        <v>64.148662534279879</v>
      </c>
      <c r="S35" s="426">
        <v>52</v>
      </c>
      <c r="T35" s="426">
        <v>52</v>
      </c>
      <c r="U35" s="426">
        <v>52</v>
      </c>
      <c r="V35" s="426">
        <v>48</v>
      </c>
      <c r="W35" s="426">
        <f t="shared" ref="W35:AD35" si="18">V35</f>
        <v>48</v>
      </c>
      <c r="X35" s="426">
        <f t="shared" si="18"/>
        <v>48</v>
      </c>
      <c r="Y35" s="426">
        <f t="shared" si="18"/>
        <v>48</v>
      </c>
      <c r="Z35" s="426">
        <f t="shared" si="18"/>
        <v>48</v>
      </c>
      <c r="AA35" s="426">
        <f t="shared" si="18"/>
        <v>48</v>
      </c>
      <c r="AB35" s="426">
        <f t="shared" si="18"/>
        <v>48</v>
      </c>
      <c r="AC35" s="426">
        <f t="shared" si="18"/>
        <v>48</v>
      </c>
      <c r="AD35" s="426">
        <f t="shared" si="18"/>
        <v>48</v>
      </c>
      <c r="AE35" s="426">
        <f>AD35</f>
        <v>48</v>
      </c>
      <c r="AF35" s="426">
        <f t="shared" ref="AF35:AP38" si="19">AE35</f>
        <v>48</v>
      </c>
      <c r="AG35" s="426">
        <f t="shared" si="19"/>
        <v>48</v>
      </c>
      <c r="AH35" s="426">
        <f t="shared" si="19"/>
        <v>48</v>
      </c>
      <c r="AI35" s="426">
        <f t="shared" si="19"/>
        <v>48</v>
      </c>
      <c r="AJ35" s="426">
        <f t="shared" si="19"/>
        <v>48</v>
      </c>
      <c r="AK35" s="426">
        <f t="shared" si="19"/>
        <v>48</v>
      </c>
      <c r="AL35" s="426">
        <f t="shared" si="19"/>
        <v>48</v>
      </c>
      <c r="AM35" s="426">
        <f t="shared" si="19"/>
        <v>48</v>
      </c>
      <c r="AN35" s="426">
        <f t="shared" si="19"/>
        <v>48</v>
      </c>
      <c r="AO35" s="426">
        <f t="shared" si="19"/>
        <v>48</v>
      </c>
      <c r="AP35" s="426">
        <f t="shared" si="19"/>
        <v>48</v>
      </c>
    </row>
    <row r="36" spans="1:42" ht="15.75">
      <c r="A36" s="59" t="s">
        <v>141</v>
      </c>
      <c r="B36" s="65" t="s">
        <v>142</v>
      </c>
      <c r="C36" s="49" t="s">
        <v>301</v>
      </c>
      <c r="D36" s="49"/>
      <c r="E36" s="49"/>
      <c r="F36" s="49"/>
      <c r="G36"/>
      <c r="H36"/>
      <c r="I36"/>
      <c r="J36" s="427">
        <v>0.38</v>
      </c>
      <c r="K36" s="427">
        <v>0.30035335689045933</v>
      </c>
      <c r="L36" s="427">
        <v>0.41051292010471235</v>
      </c>
      <c r="M36" s="427">
        <v>0.29270697264407808</v>
      </c>
      <c r="N36" s="427">
        <v>0.40319821750880602</v>
      </c>
      <c r="O36" s="427">
        <v>0.32992102207869572</v>
      </c>
      <c r="P36" s="427">
        <v>0.20490213110786176</v>
      </c>
      <c r="Q36" s="427">
        <v>0.20490213110786176</v>
      </c>
      <c r="R36" s="427">
        <v>0.20490213110786176</v>
      </c>
      <c r="S36" s="427">
        <v>0.20490213110786176</v>
      </c>
      <c r="T36" s="427">
        <v>0.20490213110786176</v>
      </c>
      <c r="U36" s="427">
        <v>0.20490213110786176</v>
      </c>
      <c r="V36" s="95">
        <f>Industry!V118</f>
        <v>0.20490213110786176</v>
      </c>
      <c r="W36" s="95">
        <f>Industry!W118</f>
        <v>0.20490213110786176</v>
      </c>
      <c r="X36" s="95">
        <f>Industry!X118</f>
        <v>0.20490213110786176</v>
      </c>
      <c r="Y36" s="95">
        <f>Industry!Y118</f>
        <v>0.20490213110786176</v>
      </c>
      <c r="Z36" s="95">
        <f>Industry!Z118</f>
        <v>0.20490213110786176</v>
      </c>
      <c r="AA36" s="95">
        <f>Industry!AA118</f>
        <v>0.20490213110786176</v>
      </c>
      <c r="AB36" s="95">
        <f>Industry!AB118</f>
        <v>0.20490213110786176</v>
      </c>
      <c r="AC36" s="95">
        <f>Industry!AC118</f>
        <v>0.20490213110786176</v>
      </c>
      <c r="AD36" s="95">
        <f>Industry!AD118</f>
        <v>0.20490213110786176</v>
      </c>
      <c r="AE36" s="95">
        <f>Industry!AE118</f>
        <v>0.20490213110786176</v>
      </c>
      <c r="AF36" s="95">
        <f>Industry!AF118</f>
        <v>0.20490213110786176</v>
      </c>
      <c r="AG36" s="427">
        <f t="shared" si="19"/>
        <v>0.20490213110786176</v>
      </c>
      <c r="AH36" s="427">
        <f t="shared" si="19"/>
        <v>0.20490213110786176</v>
      </c>
      <c r="AI36" s="427">
        <f t="shared" si="19"/>
        <v>0.20490213110786176</v>
      </c>
      <c r="AJ36" s="427">
        <f t="shared" si="19"/>
        <v>0.20490213110786176</v>
      </c>
      <c r="AK36" s="427">
        <f t="shared" si="19"/>
        <v>0.20490213110786176</v>
      </c>
      <c r="AL36" s="427">
        <f t="shared" si="19"/>
        <v>0.20490213110786176</v>
      </c>
      <c r="AM36" s="427">
        <f t="shared" si="19"/>
        <v>0.20490213110786176</v>
      </c>
      <c r="AN36" s="427">
        <f t="shared" si="19"/>
        <v>0.20490213110786176</v>
      </c>
      <c r="AO36" s="427">
        <f t="shared" si="19"/>
        <v>0.20490213110786176</v>
      </c>
      <c r="AP36" s="427">
        <f t="shared" si="19"/>
        <v>0.20490213110786176</v>
      </c>
    </row>
    <row r="37" spans="1:42" ht="15.75">
      <c r="A37" s="59" t="s">
        <v>144</v>
      </c>
      <c r="B37" s="65" t="s">
        <v>145</v>
      </c>
      <c r="C37" s="49" t="s">
        <v>302</v>
      </c>
      <c r="D37" s="49"/>
      <c r="E37" s="49"/>
      <c r="F37" s="49"/>
      <c r="G37"/>
      <c r="H37"/>
      <c r="I37"/>
      <c r="J37" s="424">
        <v>0.63</v>
      </c>
      <c r="K37" s="424">
        <v>0.54560954816709295</v>
      </c>
      <c r="L37" s="424">
        <v>0.31696914107305946</v>
      </c>
      <c r="M37" s="424">
        <v>0.11714934796895678</v>
      </c>
      <c r="N37" s="424">
        <v>0.10141044664902769</v>
      </c>
      <c r="O37" s="424">
        <v>0.178260550750244</v>
      </c>
      <c r="P37" s="424">
        <v>0.1206447936457042</v>
      </c>
      <c r="Q37" s="424">
        <v>0.12</v>
      </c>
      <c r="R37" s="424">
        <v>0.12</v>
      </c>
      <c r="S37" s="424">
        <v>0.12</v>
      </c>
      <c r="T37" s="424">
        <v>0.12</v>
      </c>
      <c r="U37" s="424">
        <v>0.12</v>
      </c>
      <c r="V37">
        <v>0.12</v>
      </c>
      <c r="W37">
        <f>V37</f>
        <v>0.12</v>
      </c>
      <c r="X37">
        <f t="shared" ref="X37:AE37" si="20">W37</f>
        <v>0.12</v>
      </c>
      <c r="Y37">
        <f t="shared" si="20"/>
        <v>0.12</v>
      </c>
      <c r="Z37">
        <f t="shared" si="20"/>
        <v>0.12</v>
      </c>
      <c r="AA37">
        <f t="shared" si="20"/>
        <v>0.12</v>
      </c>
      <c r="AB37">
        <f t="shared" si="20"/>
        <v>0.12</v>
      </c>
      <c r="AC37">
        <f t="shared" si="20"/>
        <v>0.12</v>
      </c>
      <c r="AD37">
        <f t="shared" si="20"/>
        <v>0.12</v>
      </c>
      <c r="AE37">
        <f t="shared" si="20"/>
        <v>0.12</v>
      </c>
      <c r="AF37">
        <f t="shared" si="19"/>
        <v>0.12</v>
      </c>
      <c r="AG37">
        <f t="shared" si="19"/>
        <v>0.12</v>
      </c>
      <c r="AH37">
        <f t="shared" si="19"/>
        <v>0.12</v>
      </c>
      <c r="AI37">
        <f t="shared" si="19"/>
        <v>0.12</v>
      </c>
      <c r="AJ37">
        <f t="shared" si="19"/>
        <v>0.12</v>
      </c>
      <c r="AK37">
        <f t="shared" si="19"/>
        <v>0.12</v>
      </c>
      <c r="AL37">
        <f t="shared" si="19"/>
        <v>0.12</v>
      </c>
      <c r="AM37">
        <f t="shared" si="19"/>
        <v>0.12</v>
      </c>
      <c r="AN37">
        <f t="shared" si="19"/>
        <v>0.12</v>
      </c>
      <c r="AO37">
        <f t="shared" si="19"/>
        <v>0.12</v>
      </c>
      <c r="AP37">
        <f t="shared" si="19"/>
        <v>0.12</v>
      </c>
    </row>
    <row r="38" spans="1:42" ht="15.75">
      <c r="A38" s="59" t="s">
        <v>147</v>
      </c>
      <c r="B38" s="65" t="s">
        <v>148</v>
      </c>
      <c r="C38" s="49" t="s">
        <v>303</v>
      </c>
      <c r="D38" s="49"/>
      <c r="E38" s="49"/>
      <c r="F38" s="49"/>
      <c r="G38"/>
      <c r="H38"/>
      <c r="I38"/>
      <c r="J38" s="1072">
        <v>3.07</v>
      </c>
      <c r="K38" s="1072">
        <v>1.9476767337786345</v>
      </c>
      <c r="L38" s="1072">
        <v>2.9047076945328452</v>
      </c>
      <c r="M38" s="1072">
        <v>0.61801458377461382</v>
      </c>
      <c r="N38" s="1072">
        <v>1.5697016156831121</v>
      </c>
      <c r="O38" s="1072">
        <v>1.7584716898357016</v>
      </c>
      <c r="P38" s="1072">
        <v>0.76064584014359071</v>
      </c>
      <c r="Q38" s="1072">
        <v>0.76064584014359071</v>
      </c>
      <c r="R38" s="1072">
        <v>0.76064584014359071</v>
      </c>
      <c r="S38" s="1072">
        <v>0.76064584014359071</v>
      </c>
      <c r="T38" s="1072">
        <v>0.76064584014359071</v>
      </c>
      <c r="U38" s="1072">
        <v>0.76064584014359071</v>
      </c>
      <c r="V38" s="95">
        <v>0.76064584014359071</v>
      </c>
      <c r="W38" s="95">
        <f>V38</f>
        <v>0.76064584014359071</v>
      </c>
      <c r="X38" s="95">
        <f t="shared" ref="X38:AE38" si="21">W38</f>
        <v>0.76064584014359071</v>
      </c>
      <c r="Y38" s="95">
        <f t="shared" si="21"/>
        <v>0.76064584014359071</v>
      </c>
      <c r="Z38" s="95">
        <f t="shared" si="21"/>
        <v>0.76064584014359071</v>
      </c>
      <c r="AA38" s="95">
        <f t="shared" si="21"/>
        <v>0.76064584014359071</v>
      </c>
      <c r="AB38" s="95">
        <f t="shared" si="21"/>
        <v>0.76064584014359071</v>
      </c>
      <c r="AC38" s="95">
        <f t="shared" si="21"/>
        <v>0.76064584014359071</v>
      </c>
      <c r="AD38" s="95">
        <f t="shared" si="21"/>
        <v>0.76064584014359071</v>
      </c>
      <c r="AE38" s="95">
        <f t="shared" si="21"/>
        <v>0.76064584014359071</v>
      </c>
      <c r="AF38" s="95">
        <f t="shared" si="19"/>
        <v>0.76064584014359071</v>
      </c>
      <c r="AG38" s="95">
        <f t="shared" si="19"/>
        <v>0.76064584014359071</v>
      </c>
      <c r="AH38" s="95">
        <f t="shared" si="19"/>
        <v>0.76064584014359071</v>
      </c>
      <c r="AI38" s="95">
        <f t="shared" si="19"/>
        <v>0.76064584014359071</v>
      </c>
      <c r="AJ38" s="95">
        <f t="shared" si="19"/>
        <v>0.76064584014359071</v>
      </c>
      <c r="AK38" s="95">
        <f t="shared" si="19"/>
        <v>0.76064584014359071</v>
      </c>
      <c r="AL38" s="95">
        <f t="shared" si="19"/>
        <v>0.76064584014359071</v>
      </c>
      <c r="AM38" s="95">
        <f t="shared" si="19"/>
        <v>0.76064584014359071</v>
      </c>
      <c r="AN38" s="95">
        <f t="shared" si="19"/>
        <v>0.76064584014359071</v>
      </c>
      <c r="AO38" s="95">
        <f t="shared" si="19"/>
        <v>0.76064584014359071</v>
      </c>
      <c r="AP38" s="95">
        <f t="shared" si="19"/>
        <v>0.76064584014359071</v>
      </c>
    </row>
    <row r="39" spans="1:42" ht="15.75">
      <c r="A39" s="59" t="s">
        <v>154</v>
      </c>
      <c r="B39" s="65" t="s">
        <v>155</v>
      </c>
      <c r="C39" s="49" t="s">
        <v>304</v>
      </c>
      <c r="D39" s="49"/>
      <c r="E39" s="49"/>
      <c r="F39" s="49"/>
      <c r="G39" s="1073"/>
      <c r="H39" s="1074"/>
      <c r="I39" s="1074"/>
      <c r="J39" s="1074"/>
      <c r="K39" s="1074">
        <v>43.09</v>
      </c>
      <c r="L39" s="1074">
        <v>38.648915187376723</v>
      </c>
      <c r="M39" s="1074">
        <v>36.565876589230839</v>
      </c>
      <c r="N39" s="1074">
        <v>31.733616426711496</v>
      </c>
      <c r="O39" s="1074">
        <v>25.623331947923781</v>
      </c>
      <c r="P39" s="1074">
        <v>27.451568025909381</v>
      </c>
      <c r="Q39" s="1054">
        <v>27.451568025909381</v>
      </c>
      <c r="R39" s="1078">
        <v>27.451568025909381</v>
      </c>
      <c r="S39" s="1078">
        <v>26.63</v>
      </c>
      <c r="T39" s="1078">
        <v>26.63</v>
      </c>
      <c r="U39" s="426">
        <v>25</v>
      </c>
      <c r="V39" s="426">
        <v>25</v>
      </c>
      <c r="W39" s="426">
        <v>25</v>
      </c>
      <c r="X39" s="426">
        <v>26</v>
      </c>
      <c r="Y39" s="426">
        <v>27</v>
      </c>
      <c r="Z39" s="426">
        <v>28</v>
      </c>
      <c r="AA39" s="426">
        <v>29</v>
      </c>
      <c r="AB39" s="426">
        <v>30</v>
      </c>
      <c r="AC39" s="426">
        <v>31</v>
      </c>
      <c r="AD39" s="426">
        <v>32</v>
      </c>
      <c r="AE39" s="426">
        <v>33</v>
      </c>
      <c r="AF39" s="426">
        <v>34</v>
      </c>
      <c r="AG39" s="426">
        <v>35</v>
      </c>
      <c r="AH39" s="426">
        <v>36</v>
      </c>
      <c r="AI39" s="426">
        <v>37</v>
      </c>
      <c r="AJ39" s="426">
        <v>37</v>
      </c>
      <c r="AK39" s="426">
        <v>37</v>
      </c>
      <c r="AL39" s="426">
        <v>37</v>
      </c>
      <c r="AM39" s="426">
        <v>37</v>
      </c>
      <c r="AN39" s="426">
        <v>37</v>
      </c>
      <c r="AO39" s="426">
        <v>37</v>
      </c>
      <c r="AP39" s="426">
        <v>37</v>
      </c>
    </row>
    <row r="40" spans="1:42" ht="15.75">
      <c r="A40" s="59" t="s">
        <v>305</v>
      </c>
      <c r="B40" s="66" t="s">
        <v>306</v>
      </c>
      <c r="C40" s="49" t="s">
        <v>307</v>
      </c>
      <c r="D40" s="49"/>
      <c r="E40" s="49"/>
      <c r="F40" s="49"/>
      <c r="G40" s="1073"/>
      <c r="H40" s="1073"/>
      <c r="I40" s="1073"/>
      <c r="J40" s="1073"/>
      <c r="K40" s="1073"/>
      <c r="L40" s="1073"/>
      <c r="M40" s="1073"/>
      <c r="N40" s="1073"/>
      <c r="O40" s="1073"/>
      <c r="P40" s="1073">
        <v>7.5</v>
      </c>
      <c r="Q40" s="1075">
        <v>9</v>
      </c>
      <c r="R40" s="1079">
        <v>10.96875</v>
      </c>
      <c r="S40" s="1079">
        <v>10.96875</v>
      </c>
      <c r="T40" s="1079">
        <v>10.96875</v>
      </c>
      <c r="U40" s="428">
        <v>11.5171875</v>
      </c>
      <c r="V40">
        <v>12.093046875000001</v>
      </c>
      <c r="W40" s="428">
        <f t="shared" ref="W40" si="22">V40*1.05</f>
        <v>12.697699218750001</v>
      </c>
      <c r="X40" s="428">
        <f t="shared" ref="X40" si="23">W40*1.05</f>
        <v>13.332584179687501</v>
      </c>
      <c r="Y40" s="428">
        <f t="shared" ref="Y40" si="24">X40*1.05</f>
        <v>13.999213388671876</v>
      </c>
      <c r="Z40" s="428">
        <f t="shared" ref="Z40" si="25">Y40*1.05</f>
        <v>14.69917405810547</v>
      </c>
      <c r="AA40" s="428">
        <f t="shared" ref="AA40" si="26">Z40*1.05</f>
        <v>15.434132761010744</v>
      </c>
      <c r="AB40" s="428">
        <f t="shared" ref="AB40" si="27">AA40*1.05</f>
        <v>16.205839399061283</v>
      </c>
      <c r="AC40" s="428">
        <f t="shared" ref="AC40" si="28">AB40*1.05</f>
        <v>17.016131369014349</v>
      </c>
      <c r="AD40" s="428">
        <f t="shared" ref="AD40" si="29">AC40*1.05</f>
        <v>17.866937937465067</v>
      </c>
      <c r="AE40" s="428">
        <f t="shared" ref="AE40:AP40" si="30">AD40*1.05</f>
        <v>18.760284834338322</v>
      </c>
      <c r="AF40" s="428">
        <f t="shared" si="30"/>
        <v>19.698299076055239</v>
      </c>
      <c r="AG40" s="428">
        <f t="shared" si="30"/>
        <v>20.683214029858</v>
      </c>
      <c r="AH40" s="428">
        <f t="shared" si="30"/>
        <v>21.717374731350901</v>
      </c>
      <c r="AI40" s="428">
        <f t="shared" si="30"/>
        <v>22.803243467918445</v>
      </c>
      <c r="AJ40" s="428">
        <f t="shared" si="30"/>
        <v>23.943405641314367</v>
      </c>
      <c r="AK40" s="428">
        <f t="shared" si="30"/>
        <v>25.140575923380087</v>
      </c>
      <c r="AL40" s="428">
        <f t="shared" si="30"/>
        <v>26.397604719549093</v>
      </c>
      <c r="AM40" s="428">
        <f t="shared" si="30"/>
        <v>27.717484955526551</v>
      </c>
      <c r="AN40" s="428">
        <f t="shared" si="30"/>
        <v>29.10335920330288</v>
      </c>
      <c r="AO40" s="428">
        <f t="shared" si="30"/>
        <v>30.558527163468025</v>
      </c>
      <c r="AP40" s="428">
        <f t="shared" si="30"/>
        <v>32.086453521641424</v>
      </c>
    </row>
    <row r="41" spans="1:42">
      <c r="A41" s="58"/>
      <c r="B41" s="58" t="s">
        <v>308</v>
      </c>
      <c r="C41" s="52" t="s">
        <v>309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AF41"/>
    </row>
    <row r="42" spans="1:42">
      <c r="A42" s="67"/>
      <c r="B42" s="67" t="s">
        <v>310</v>
      </c>
      <c r="C42" s="42" t="s">
        <v>311</v>
      </c>
      <c r="D42" s="42"/>
      <c r="E42" s="42"/>
      <c r="F42" s="42"/>
      <c r="G42" s="1081"/>
      <c r="H42" s="1081"/>
      <c r="I42" s="1082"/>
      <c r="J42" s="1082"/>
      <c r="K42" s="1082"/>
      <c r="L42" s="1082"/>
      <c r="M42" s="119">
        <v>439.82167100304002</v>
      </c>
      <c r="N42" s="119">
        <v>419.15005246589715</v>
      </c>
      <c r="O42" s="119">
        <v>399.45</v>
      </c>
      <c r="P42" s="119">
        <v>357.78974358974364</v>
      </c>
      <c r="Q42" s="119">
        <v>348.84500000000003</v>
      </c>
      <c r="R42" s="119">
        <v>278.39999999999998</v>
      </c>
      <c r="S42" s="119">
        <v>272.5</v>
      </c>
      <c r="T42" s="119">
        <v>216.4</v>
      </c>
      <c r="U42" s="119">
        <v>125.7</v>
      </c>
      <c r="V42">
        <v>139.1</v>
      </c>
      <c r="W42">
        <v>129.30000000000001</v>
      </c>
      <c r="X42">
        <v>103.1</v>
      </c>
      <c r="Y42">
        <v>95.8</v>
      </c>
      <c r="Z42">
        <v>100.8</v>
      </c>
      <c r="AA42">
        <v>84</v>
      </c>
      <c r="AB42">
        <v>60.5</v>
      </c>
      <c r="AC42">
        <v>62</v>
      </c>
      <c r="AD42">
        <v>66.599999999999994</v>
      </c>
      <c r="AE42" s="646">
        <v>82.2</v>
      </c>
      <c r="AF42" s="646">
        <v>88.3</v>
      </c>
      <c r="AG42" s="114">
        <f t="shared" ref="AG42:AP42" si="31">AF42*1.15</f>
        <v>101.54499999999999</v>
      </c>
      <c r="AH42" s="114">
        <f t="shared" si="31"/>
        <v>116.77674999999998</v>
      </c>
      <c r="AI42" s="114">
        <f t="shared" si="31"/>
        <v>134.29326249999997</v>
      </c>
      <c r="AJ42" s="114">
        <f t="shared" si="31"/>
        <v>154.43725187499996</v>
      </c>
      <c r="AK42" s="114">
        <f t="shared" si="31"/>
        <v>177.60283965624993</v>
      </c>
      <c r="AL42" s="114">
        <f t="shared" si="31"/>
        <v>204.24326560468739</v>
      </c>
      <c r="AM42" s="114">
        <f t="shared" si="31"/>
        <v>234.87975544539049</v>
      </c>
      <c r="AN42" s="114">
        <f t="shared" si="31"/>
        <v>270.11171876219902</v>
      </c>
      <c r="AO42" s="114">
        <f t="shared" si="31"/>
        <v>310.62847657652884</v>
      </c>
      <c r="AP42" s="114">
        <f t="shared" si="31"/>
        <v>357.22274806300811</v>
      </c>
    </row>
    <row r="43" spans="1:42" ht="15.75">
      <c r="A43" s="59" t="s">
        <v>181</v>
      </c>
      <c r="B43" s="54" t="s">
        <v>182</v>
      </c>
      <c r="C43" s="54" t="s">
        <v>312</v>
      </c>
      <c r="D43" s="54"/>
      <c r="E43" s="54"/>
      <c r="F43" s="54"/>
      <c r="G43" s="1053"/>
      <c r="H43" s="1083"/>
      <c r="I43" s="1083"/>
      <c r="J43" s="1083"/>
      <c r="K43" s="1083"/>
      <c r="L43" s="1083"/>
      <c r="M43" s="422">
        <v>1.909401367342346</v>
      </c>
      <c r="N43" s="422">
        <v>1.9965553984228315</v>
      </c>
      <c r="O43" s="422">
        <v>2.0456312429590691</v>
      </c>
      <c r="P43" s="422">
        <v>1.798345009961444</v>
      </c>
      <c r="Q43" s="422">
        <v>2.0301767260531181</v>
      </c>
      <c r="R43" s="422">
        <v>1.9040948275862071</v>
      </c>
      <c r="S43" s="422">
        <v>1.7431192660550459</v>
      </c>
      <c r="T43" s="422">
        <v>1.798521256931608</v>
      </c>
      <c r="U43" s="422">
        <v>1.9984089101034208</v>
      </c>
      <c r="V43" s="95">
        <f>Industry!V161</f>
        <v>1.8483105679367364</v>
      </c>
      <c r="W43" s="95">
        <f>Industry!W161</f>
        <v>2.0216550657385919</v>
      </c>
      <c r="X43" s="95">
        <f>Industry!X161</f>
        <v>1.9903006789524733</v>
      </c>
      <c r="Y43" s="95">
        <f>Industry!Y161</f>
        <v>1.6670146137787056</v>
      </c>
      <c r="Z43" s="95">
        <f>Industry!Z161</f>
        <v>1.95734126984127</v>
      </c>
      <c r="AA43" s="95">
        <f>Industry!AA161</f>
        <v>2.038095238095238</v>
      </c>
      <c r="AB43" s="95">
        <f>Industry!AB161</f>
        <v>1.7322314049586776</v>
      </c>
      <c r="AC43" s="95">
        <f>Industry!AC161</f>
        <v>1.7748387096774194</v>
      </c>
      <c r="AD43" s="95">
        <f>Industry!AD161</f>
        <v>1.8483483483483485</v>
      </c>
      <c r="AE43" s="95">
        <f>Industry!AE161</f>
        <v>1.9452554744525548</v>
      </c>
      <c r="AF43" s="95">
        <f>Industry!AF161</f>
        <v>2.0260475651189127</v>
      </c>
      <c r="AG43" s="95">
        <f>Industry!AG161</f>
        <v>1.8498695159781382</v>
      </c>
      <c r="AH43" s="95">
        <f>Industry!AH161</f>
        <v>1.6890112971974309</v>
      </c>
      <c r="AI43" s="95">
        <f>Industry!AI161</f>
        <v>1.5421407496150457</v>
      </c>
      <c r="AJ43" s="95">
        <f>Industry!AJ161</f>
        <v>1.408041553996346</v>
      </c>
      <c r="AK43" s="95">
        <f>Industry!AK161</f>
        <v>1.285603157996664</v>
      </c>
      <c r="AL43" s="95">
        <f>Industry!AL161</f>
        <v>1.1738115790404327</v>
      </c>
      <c r="AM43" s="95">
        <f>Industry!AM161</f>
        <v>1.0717410069499602</v>
      </c>
      <c r="AN43" s="95">
        <f>Industry!AN161</f>
        <v>0.9785461367803987</v>
      </c>
      <c r="AO43" s="95">
        <f>Industry!AO161</f>
        <v>0.89345516836471206</v>
      </c>
      <c r="AP43" s="95">
        <f>Industry!AP161</f>
        <v>0.8157634145938677</v>
      </c>
    </row>
    <row r="44" spans="1:42">
      <c r="A44" s="53"/>
      <c r="B44" s="53" t="s">
        <v>313</v>
      </c>
      <c r="C44" s="54"/>
      <c r="D44" s="54"/>
      <c r="E44" s="54"/>
      <c r="F44" s="54"/>
      <c r="G44" s="1053"/>
      <c r="H44" s="1053"/>
      <c r="I44" s="1053"/>
      <c r="J44" s="1053"/>
      <c r="K44" s="1053"/>
      <c r="L44" s="1053"/>
      <c r="M44" s="1053"/>
      <c r="N44" s="1053"/>
      <c r="O44" s="1053"/>
      <c r="P44" s="1053"/>
      <c r="Q44" s="415">
        <v>0</v>
      </c>
      <c r="R44" s="415">
        <v>0</v>
      </c>
      <c r="S44" s="415">
        <v>0</v>
      </c>
      <c r="T44" s="415">
        <v>0</v>
      </c>
      <c r="U44" s="415">
        <v>0</v>
      </c>
      <c r="V44">
        <f>Industry!V148</f>
        <v>0</v>
      </c>
      <c r="W44">
        <f>Industry!W148</f>
        <v>0</v>
      </c>
      <c r="X44">
        <f>Industry!X148</f>
        <v>0</v>
      </c>
      <c r="Y44">
        <f>Industry!Y148</f>
        <v>0</v>
      </c>
      <c r="Z44">
        <f>Industry!Z148</f>
        <v>0</v>
      </c>
      <c r="AA44">
        <f>Industry!AA148</f>
        <v>0</v>
      </c>
      <c r="AB44">
        <f>Industry!AB148</f>
        <v>0</v>
      </c>
      <c r="AC44">
        <f>Industry!AC148</f>
        <v>0</v>
      </c>
      <c r="AD44">
        <f>Industry!AD148</f>
        <v>0</v>
      </c>
      <c r="AE44">
        <f>Industry!AE148</f>
        <v>0</v>
      </c>
      <c r="AF44">
        <f>Industry!AF148</f>
        <v>0</v>
      </c>
      <c r="AG44">
        <f>Industry!AG148</f>
        <v>0</v>
      </c>
      <c r="AH44">
        <f>Industry!AH148</f>
        <v>0</v>
      </c>
      <c r="AI44">
        <f>Industry!AI148</f>
        <v>0</v>
      </c>
      <c r="AJ44">
        <f>Industry!AJ148</f>
        <v>0</v>
      </c>
      <c r="AK44">
        <f>Industry!AK148</f>
        <v>0</v>
      </c>
      <c r="AL44">
        <f>Industry!AL148</f>
        <v>0</v>
      </c>
      <c r="AM44">
        <f>Industry!AM148</f>
        <v>0</v>
      </c>
      <c r="AN44">
        <f>Industry!AN148</f>
        <v>0</v>
      </c>
      <c r="AO44">
        <f>Industry!AO148</f>
        <v>0</v>
      </c>
      <c r="AP44">
        <f>Industry!AP148</f>
        <v>0</v>
      </c>
    </row>
    <row r="45" spans="1:42">
      <c r="A45" s="53"/>
      <c r="B45" s="13" t="s">
        <v>176</v>
      </c>
      <c r="C45" s="13"/>
      <c r="D45" s="13"/>
      <c r="E45" s="13"/>
      <c r="F45" s="13"/>
      <c r="G45" s="5"/>
      <c r="H45" s="5"/>
      <c r="I45" s="5"/>
      <c r="J45" s="5"/>
      <c r="K45" s="5"/>
      <c r="L45" s="5"/>
      <c r="M45" s="5"/>
      <c r="N45" s="5"/>
      <c r="O45" s="5"/>
      <c r="P45" s="5"/>
      <c r="Q45" s="1087">
        <v>1.9698490130453192</v>
      </c>
      <c r="R45" s="1087">
        <v>3.7714788153926095</v>
      </c>
      <c r="S45" s="1087">
        <v>2.6290192404603392</v>
      </c>
      <c r="T45" s="1087">
        <v>2.6290192404603392</v>
      </c>
      <c r="U45" s="1087">
        <v>2.6290192404603392</v>
      </c>
      <c r="V45" s="95">
        <f>Industry!V155</f>
        <v>2.6290192404603392</v>
      </c>
      <c r="W45" s="95">
        <f>Industry!W155</f>
        <v>2.6290192404603392</v>
      </c>
      <c r="X45" s="95">
        <f>Industry!X155</f>
        <v>2.6290192404603392</v>
      </c>
      <c r="Y45" s="95">
        <f>Industry!Y155</f>
        <v>2.6290192404603392</v>
      </c>
      <c r="Z45" s="95">
        <f>Industry!Z155</f>
        <v>2.6290192404603392</v>
      </c>
      <c r="AA45" s="95">
        <f>Industry!AA155</f>
        <v>2.6290192404603392</v>
      </c>
      <c r="AB45" s="95">
        <f>Industry!AB155</f>
        <v>2.6290192404603392</v>
      </c>
      <c r="AC45" s="95">
        <f>Industry!AC155</f>
        <v>2.6290192404603392</v>
      </c>
      <c r="AD45" s="95">
        <f>Industry!AD155</f>
        <v>2.6290192404603392</v>
      </c>
      <c r="AE45" s="710">
        <f>Industry!AE155</f>
        <v>2.6290192404603392</v>
      </c>
      <c r="AF45" s="710">
        <f>Industry!AF155</f>
        <v>2.6290192404603392</v>
      </c>
      <c r="AG45" s="422">
        <f t="shared" ref="AG45:AP45" si="32">AF45</f>
        <v>2.6290192404603392</v>
      </c>
      <c r="AH45" s="422">
        <f t="shared" si="32"/>
        <v>2.6290192404603392</v>
      </c>
      <c r="AI45" s="422">
        <f t="shared" si="32"/>
        <v>2.6290192404603392</v>
      </c>
      <c r="AJ45" s="422">
        <f t="shared" si="32"/>
        <v>2.6290192404603392</v>
      </c>
      <c r="AK45" s="422">
        <f t="shared" si="32"/>
        <v>2.6290192404603392</v>
      </c>
      <c r="AL45" s="422">
        <f t="shared" si="32"/>
        <v>2.6290192404603392</v>
      </c>
      <c r="AM45" s="422">
        <f t="shared" si="32"/>
        <v>2.6290192404603392</v>
      </c>
      <c r="AN45" s="422">
        <f t="shared" si="32"/>
        <v>2.6290192404603392</v>
      </c>
      <c r="AO45" s="422">
        <f t="shared" si="32"/>
        <v>2.6290192404603392</v>
      </c>
      <c r="AP45" s="422">
        <f t="shared" si="32"/>
        <v>2.6290192404603392</v>
      </c>
    </row>
    <row r="46" spans="1:42">
      <c r="A46" s="68"/>
      <c r="B46" s="68" t="s">
        <v>314</v>
      </c>
      <c r="C46" s="69" t="s">
        <v>315</v>
      </c>
      <c r="D46" s="69"/>
      <c r="E46" s="69"/>
      <c r="F46" s="69"/>
      <c r="G46" s="1084"/>
      <c r="H46" s="1084"/>
      <c r="I46" s="1085"/>
      <c r="J46" s="1085"/>
      <c r="K46" s="1085"/>
      <c r="L46" s="1085"/>
      <c r="M46" s="1085"/>
      <c r="N46" s="1085"/>
      <c r="O46" s="1085"/>
      <c r="P46" s="1085"/>
      <c r="Q46" s="1085"/>
      <c r="R46" s="1086"/>
      <c r="S46" s="1086"/>
      <c r="T46" s="1086"/>
      <c r="U46" s="1086"/>
      <c r="AF46"/>
    </row>
    <row r="47" spans="1:42">
      <c r="A47" s="53"/>
      <c r="B47" s="13" t="s">
        <v>316</v>
      </c>
      <c r="C47" s="13"/>
      <c r="D47" s="13"/>
      <c r="E47" s="13"/>
      <c r="F47" s="13"/>
      <c r="G47" s="5"/>
      <c r="H47" s="5"/>
      <c r="I47" s="5"/>
      <c r="J47" s="5"/>
      <c r="K47" s="5"/>
      <c r="L47" s="5"/>
      <c r="M47" s="5"/>
      <c r="N47" s="5"/>
      <c r="O47" s="5"/>
      <c r="P47" s="5"/>
      <c r="Q47" s="946">
        <v>310.67961165048547</v>
      </c>
      <c r="R47" s="1089">
        <v>416</v>
      </c>
      <c r="S47" s="1088">
        <v>418.1</v>
      </c>
      <c r="T47" s="1088">
        <v>392.81099999999998</v>
      </c>
      <c r="U47" s="1088">
        <v>372.65</v>
      </c>
      <c r="V47">
        <v>276.10000000000002</v>
      </c>
      <c r="W47">
        <v>284.7</v>
      </c>
      <c r="X47">
        <v>385.6</v>
      </c>
      <c r="Y47">
        <v>300.3</v>
      </c>
      <c r="Z47">
        <v>403</v>
      </c>
      <c r="AA47">
        <v>395.7</v>
      </c>
      <c r="AB47">
        <v>388.8</v>
      </c>
      <c r="AC47">
        <v>404.7</v>
      </c>
      <c r="AD47">
        <v>344.4</v>
      </c>
      <c r="AE47" s="704">
        <v>253.2</v>
      </c>
      <c r="AF47" s="704">
        <v>382.9</v>
      </c>
      <c r="AG47" s="112">
        <f t="shared" ref="AG47:AP47" si="33">AF47*1.012</f>
        <v>387.4948</v>
      </c>
      <c r="AH47" s="112">
        <f t="shared" si="33"/>
        <v>392.14473759999998</v>
      </c>
      <c r="AI47" s="112">
        <f t="shared" si="33"/>
        <v>396.8504744512</v>
      </c>
      <c r="AJ47" s="112">
        <f t="shared" si="33"/>
        <v>401.61268014461439</v>
      </c>
      <c r="AK47" s="112">
        <f t="shared" si="33"/>
        <v>406.43203230634975</v>
      </c>
      <c r="AL47" s="112">
        <f t="shared" si="33"/>
        <v>411.30921669402596</v>
      </c>
      <c r="AM47" s="112">
        <f t="shared" si="33"/>
        <v>416.24492729435428</v>
      </c>
      <c r="AN47" s="112">
        <f t="shared" si="33"/>
        <v>421.23986642188652</v>
      </c>
      <c r="AO47" s="112">
        <f t="shared" si="33"/>
        <v>426.29474481894914</v>
      </c>
      <c r="AP47" s="112">
        <f t="shared" si="33"/>
        <v>431.41028175677656</v>
      </c>
    </row>
    <row r="48" spans="1:42">
      <c r="A48" s="53"/>
      <c r="B48" s="13" t="s">
        <v>219</v>
      </c>
      <c r="C48" s="13"/>
      <c r="D48" s="13"/>
      <c r="E48" s="13"/>
      <c r="F48" s="13"/>
      <c r="G48" s="5"/>
      <c r="H48" s="5"/>
      <c r="I48" s="5"/>
      <c r="J48" s="5"/>
      <c r="K48" s="5"/>
      <c r="L48" s="5"/>
      <c r="M48" s="5"/>
      <c r="N48" s="5"/>
      <c r="O48" s="5"/>
      <c r="P48" s="5"/>
      <c r="Q48" s="938">
        <v>10.348345588235308</v>
      </c>
      <c r="R48" s="938">
        <v>48.842406674208135</v>
      </c>
      <c r="S48" s="938">
        <v>-1.1922984931834302</v>
      </c>
      <c r="T48" s="938">
        <v>14.268005253836346</v>
      </c>
      <c r="U48" s="938">
        <v>31.807957316832546</v>
      </c>
      <c r="V48" s="94">
        <f>Industry!V201</f>
        <v>-14.834778532927096</v>
      </c>
      <c r="W48" s="94">
        <f>Industry!W201</f>
        <v>9.7398706584846728</v>
      </c>
      <c r="X48" s="94">
        <f>Industry!X201</f>
        <v>42.107029533805232</v>
      </c>
      <c r="Y48" s="94">
        <f>Industry!Y201</f>
        <v>8.9146147969677578</v>
      </c>
      <c r="Z48" s="94">
        <f>Industry!Z201</f>
        <v>31.323894321996804</v>
      </c>
      <c r="AA48" s="94">
        <f>Industry!AA201</f>
        <v>25.597229035662792</v>
      </c>
      <c r="AB48" s="94">
        <f>Industry!AB201</f>
        <v>26.072898295120517</v>
      </c>
      <c r="AC48" s="94">
        <f>Industry!AC201</f>
        <v>42.8147834374669</v>
      </c>
      <c r="AD48" s="94">
        <f>Industry!AD201</f>
        <v>9.3247054919528676</v>
      </c>
      <c r="AE48" s="691">
        <f>Industry!AE201</f>
        <v>-13.432408034303789</v>
      </c>
      <c r="AF48" s="691">
        <f>Industry!AF201</f>
        <v>30.604783046673877</v>
      </c>
      <c r="AG48" s="429">
        <f t="shared" ref="AG48:AP48" si="34">MIN(AF48+3,60)</f>
        <v>33.604783046673873</v>
      </c>
      <c r="AH48" s="429">
        <f t="shared" si="34"/>
        <v>36.604783046673873</v>
      </c>
      <c r="AI48" s="429">
        <f t="shared" si="34"/>
        <v>39.604783046673873</v>
      </c>
      <c r="AJ48" s="429">
        <f t="shared" si="34"/>
        <v>42.604783046673873</v>
      </c>
      <c r="AK48" s="429">
        <f t="shared" si="34"/>
        <v>45.604783046673873</v>
      </c>
      <c r="AL48" s="429">
        <f t="shared" si="34"/>
        <v>48.604783046673873</v>
      </c>
      <c r="AM48" s="429">
        <f t="shared" si="34"/>
        <v>51.604783046673873</v>
      </c>
      <c r="AN48" s="429">
        <f t="shared" si="34"/>
        <v>54.604783046673873</v>
      </c>
      <c r="AO48" s="429">
        <f t="shared" si="34"/>
        <v>57.604783046673873</v>
      </c>
      <c r="AP48" s="429">
        <f t="shared" si="34"/>
        <v>60</v>
      </c>
    </row>
    <row r="49" spans="1:42">
      <c r="A49" s="53"/>
      <c r="B49" s="13" t="s">
        <v>220</v>
      </c>
      <c r="C49" s="13"/>
      <c r="D49" s="13"/>
      <c r="E49" s="13"/>
      <c r="F49" s="13"/>
      <c r="G49" s="5"/>
      <c r="H49" s="5"/>
      <c r="I49" s="5"/>
      <c r="J49" s="5"/>
      <c r="K49" s="5"/>
      <c r="L49" s="5"/>
      <c r="M49" s="5"/>
      <c r="N49" s="5"/>
      <c r="O49" s="5"/>
      <c r="P49" s="5"/>
      <c r="Q49" s="938">
        <v>56.811173283595416</v>
      </c>
      <c r="R49" s="938">
        <v>92.297926977376392</v>
      </c>
      <c r="S49" s="938">
        <v>92.297926977376392</v>
      </c>
      <c r="T49" s="938">
        <v>92.297926977376392</v>
      </c>
      <c r="U49" s="938">
        <v>92.297926977376392</v>
      </c>
      <c r="V49" s="95">
        <f>Industry!V202</f>
        <v>92.297926977376392</v>
      </c>
      <c r="W49" s="95">
        <f>Industry!W202</f>
        <v>85</v>
      </c>
      <c r="X49" s="95">
        <f>Industry!X202</f>
        <v>85</v>
      </c>
      <c r="Y49" s="95">
        <f>Industry!Y202</f>
        <v>85</v>
      </c>
      <c r="Z49" s="95">
        <f>Industry!Z202</f>
        <v>95</v>
      </c>
      <c r="AA49" s="95">
        <f>Industry!AA202</f>
        <v>95</v>
      </c>
      <c r="AB49" s="95">
        <f>Industry!AB202</f>
        <v>95</v>
      </c>
      <c r="AC49" s="95">
        <f>Industry!AC202</f>
        <v>86</v>
      </c>
      <c r="AD49" s="95">
        <f>Industry!AD202</f>
        <v>86</v>
      </c>
      <c r="AE49" s="710">
        <f>Industry!AE202</f>
        <v>86</v>
      </c>
      <c r="AF49" s="710">
        <f>Industry!AF202</f>
        <v>86</v>
      </c>
      <c r="AG49" s="429">
        <f t="shared" ref="AG49:AP50" si="35">AF49</f>
        <v>86</v>
      </c>
      <c r="AH49" s="429">
        <f t="shared" si="35"/>
        <v>86</v>
      </c>
      <c r="AI49" s="429">
        <f t="shared" si="35"/>
        <v>86</v>
      </c>
      <c r="AJ49" s="429">
        <f t="shared" si="35"/>
        <v>86</v>
      </c>
      <c r="AK49" s="429">
        <f t="shared" si="35"/>
        <v>86</v>
      </c>
      <c r="AL49" s="429">
        <f t="shared" si="35"/>
        <v>86</v>
      </c>
      <c r="AM49" s="429">
        <f t="shared" si="35"/>
        <v>86</v>
      </c>
      <c r="AN49" s="429">
        <f t="shared" si="35"/>
        <v>86</v>
      </c>
      <c r="AO49" s="429">
        <f t="shared" si="35"/>
        <v>86</v>
      </c>
      <c r="AP49" s="429">
        <f t="shared" si="35"/>
        <v>86</v>
      </c>
    </row>
    <row r="50" spans="1:42">
      <c r="A50" s="70" t="s">
        <v>317</v>
      </c>
      <c r="B50" s="71" t="s">
        <v>318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430">
        <v>120</v>
      </c>
      <c r="W50" s="430">
        <f>V50</f>
        <v>120</v>
      </c>
      <c r="X50" s="430">
        <f t="shared" ref="X50:AE50" si="36">W50</f>
        <v>120</v>
      </c>
      <c r="Y50" s="430">
        <f t="shared" si="36"/>
        <v>120</v>
      </c>
      <c r="Z50" s="430">
        <f t="shared" si="36"/>
        <v>120</v>
      </c>
      <c r="AA50" s="430">
        <f t="shared" si="36"/>
        <v>120</v>
      </c>
      <c r="AB50" s="430">
        <f t="shared" si="36"/>
        <v>120</v>
      </c>
      <c r="AC50" s="430">
        <f t="shared" si="36"/>
        <v>120</v>
      </c>
      <c r="AD50" s="430">
        <f t="shared" si="36"/>
        <v>120</v>
      </c>
      <c r="AE50" s="430">
        <f t="shared" si="36"/>
        <v>120</v>
      </c>
      <c r="AF50" s="430">
        <f t="shared" ref="AF50" si="37">AE50</f>
        <v>120</v>
      </c>
      <c r="AG50" s="430">
        <f t="shared" si="35"/>
        <v>120</v>
      </c>
      <c r="AH50" s="430">
        <f t="shared" si="35"/>
        <v>120</v>
      </c>
      <c r="AI50" s="430">
        <f t="shared" si="35"/>
        <v>120</v>
      </c>
      <c r="AJ50" s="430">
        <f t="shared" si="35"/>
        <v>120</v>
      </c>
      <c r="AK50" s="430">
        <f t="shared" si="35"/>
        <v>120</v>
      </c>
      <c r="AL50" s="430">
        <f t="shared" si="35"/>
        <v>120</v>
      </c>
      <c r="AM50" s="430">
        <f t="shared" si="35"/>
        <v>120</v>
      </c>
      <c r="AN50" s="430">
        <f t="shared" si="35"/>
        <v>120</v>
      </c>
      <c r="AO50" s="430">
        <f t="shared" si="35"/>
        <v>120</v>
      </c>
      <c r="AP50" s="430">
        <f t="shared" si="35"/>
        <v>120</v>
      </c>
    </row>
    <row r="51" spans="1:42">
      <c r="A51" s="58"/>
      <c r="B51" s="58" t="s">
        <v>319</v>
      </c>
      <c r="C51" s="52" t="s">
        <v>320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AF51"/>
    </row>
    <row r="52" spans="1:42" ht="15.75">
      <c r="A52" s="65" t="s">
        <v>321</v>
      </c>
      <c r="B52" s="42" t="s">
        <v>322</v>
      </c>
      <c r="C52" s="72" t="s">
        <v>323</v>
      </c>
      <c r="D52" s="72"/>
      <c r="E52" s="72"/>
      <c r="F52" s="72"/>
      <c r="G52" s="1053"/>
      <c r="H52" s="1053"/>
      <c r="I52" s="1053"/>
      <c r="J52" s="1053"/>
      <c r="K52" s="1053"/>
      <c r="L52" s="1098">
        <v>768.1</v>
      </c>
      <c r="M52" s="1098">
        <v>662.5</v>
      </c>
      <c r="N52" s="1098">
        <v>904</v>
      </c>
      <c r="O52" s="1098">
        <v>1088.8</v>
      </c>
      <c r="P52" s="1098">
        <v>2242.1999999999998</v>
      </c>
      <c r="Q52" s="1103">
        <v>2267.4</v>
      </c>
      <c r="R52" s="1103">
        <v>2898.8</v>
      </c>
      <c r="S52" s="1103">
        <v>3838.8</v>
      </c>
      <c r="T52" s="1103">
        <v>4525.3</v>
      </c>
      <c r="U52" s="1103">
        <v>5399.5</v>
      </c>
      <c r="V52">
        <f>Household!V40</f>
        <v>4055.1</v>
      </c>
      <c r="W52">
        <f>Household!W40</f>
        <v>4817.8999999999996</v>
      </c>
      <c r="X52">
        <f>Household!X40</f>
        <v>5466.7</v>
      </c>
      <c r="Y52">
        <f>Household!Y40</f>
        <v>5744</v>
      </c>
      <c r="Z52">
        <f>Household!Z40</f>
        <v>6433.2</v>
      </c>
      <c r="AA52">
        <f>Household!AA40</f>
        <v>7283.3</v>
      </c>
      <c r="AB52">
        <f>Household!AB40</f>
        <v>8932.6</v>
      </c>
      <c r="AC52">
        <f>Household!AC40</f>
        <v>10146.4</v>
      </c>
      <c r="AD52">
        <f>Household!AD40</f>
        <v>10448.9</v>
      </c>
      <c r="AE52">
        <f>Household!AE40</f>
        <v>11743.9</v>
      </c>
      <c r="AF52" s="711">
        <f t="shared" ref="AF52:AP52" si="38">AE52*1.15</f>
        <v>13505.484999999999</v>
      </c>
      <c r="AG52" s="417">
        <f t="shared" si="38"/>
        <v>15531.307749999998</v>
      </c>
      <c r="AH52" s="417">
        <f t="shared" si="38"/>
        <v>17861.003912499997</v>
      </c>
      <c r="AI52" s="417">
        <f t="shared" si="38"/>
        <v>20540.154499374996</v>
      </c>
      <c r="AJ52" s="417">
        <f t="shared" si="38"/>
        <v>23621.177674281244</v>
      </c>
      <c r="AK52" s="417">
        <f t="shared" si="38"/>
        <v>27164.354325423428</v>
      </c>
      <c r="AL52" s="417">
        <f t="shared" si="38"/>
        <v>31239.00747423694</v>
      </c>
      <c r="AM52" s="417">
        <f t="shared" si="38"/>
        <v>35924.858595372476</v>
      </c>
      <c r="AN52" s="417">
        <f t="shared" si="38"/>
        <v>41313.587384678343</v>
      </c>
      <c r="AO52" s="417">
        <f t="shared" si="38"/>
        <v>47510.625492380088</v>
      </c>
      <c r="AP52" s="417">
        <f t="shared" si="38"/>
        <v>54637.219316237097</v>
      </c>
    </row>
    <row r="53" spans="1:42">
      <c r="A53" s="65" t="s">
        <v>324</v>
      </c>
      <c r="B53" s="42" t="s">
        <v>325</v>
      </c>
      <c r="C53" s="72" t="s">
        <v>326</v>
      </c>
      <c r="D53" s="72"/>
      <c r="E53" s="72"/>
      <c r="F53" s="72"/>
      <c r="G53" s="1053"/>
      <c r="H53" s="1053"/>
      <c r="I53" s="1091"/>
      <c r="J53" s="1091"/>
      <c r="K53" s="1091"/>
      <c r="L53" s="1053">
        <v>260.60000000000002</v>
      </c>
      <c r="M53" s="1053">
        <v>365.7</v>
      </c>
      <c r="N53" s="1053">
        <v>526.5</v>
      </c>
      <c r="O53" s="1053">
        <v>652</v>
      </c>
      <c r="P53" s="1053">
        <v>919.3</v>
      </c>
      <c r="Q53" s="1059">
        <v>1138.2</v>
      </c>
      <c r="R53" s="1059">
        <v>1328.9</v>
      </c>
      <c r="S53" s="1059">
        <v>1744.4</v>
      </c>
      <c r="T53" s="1059">
        <v>2401.1999999999998</v>
      </c>
      <c r="U53" s="1059">
        <v>3177.3</v>
      </c>
      <c r="V53">
        <f>Household!V34</f>
        <v>3403.7</v>
      </c>
      <c r="W53">
        <f>Household!W34</f>
        <v>3915.2</v>
      </c>
      <c r="X53">
        <f>Household!X34</f>
        <v>4496.8999999999996</v>
      </c>
      <c r="Y53">
        <f>Household!Y34</f>
        <v>4923.8999999999996</v>
      </c>
      <c r="Z53">
        <f>Household!Z34</f>
        <v>4980.3</v>
      </c>
      <c r="AA53">
        <f>Household!AA34</f>
        <v>5417.4</v>
      </c>
      <c r="AB53">
        <f>Household!AB34</f>
        <v>6169.5</v>
      </c>
      <c r="AC53">
        <f>Household!AC34</f>
        <v>7053.8</v>
      </c>
      <c r="AD53">
        <f>Household!AD34</f>
        <v>10667.5</v>
      </c>
      <c r="AE53">
        <f>Household!AE34</f>
        <v>12768.8</v>
      </c>
      <c r="AF53" s="712">
        <f t="shared" ref="AF53:AP53" si="39">AE53*1.051</f>
        <v>13420.008799999998</v>
      </c>
      <c r="AG53" s="128">
        <f t="shared" si="39"/>
        <v>14104.429248799997</v>
      </c>
      <c r="AH53" s="128">
        <f t="shared" si="39"/>
        <v>14823.755140488796</v>
      </c>
      <c r="AI53" s="128">
        <f t="shared" si="39"/>
        <v>15579.766652653723</v>
      </c>
      <c r="AJ53" s="128">
        <f t="shared" si="39"/>
        <v>16374.334751939063</v>
      </c>
      <c r="AK53" s="128">
        <f t="shared" si="39"/>
        <v>17209.425824287955</v>
      </c>
      <c r="AL53" s="128">
        <f t="shared" si="39"/>
        <v>18087.106541326641</v>
      </c>
      <c r="AM53" s="128">
        <f t="shared" si="39"/>
        <v>19009.5489749343</v>
      </c>
      <c r="AN53" s="128">
        <f t="shared" si="39"/>
        <v>19979.035972655947</v>
      </c>
      <c r="AO53" s="128">
        <f t="shared" si="39"/>
        <v>20997.9668072614</v>
      </c>
      <c r="AP53" s="128">
        <f t="shared" si="39"/>
        <v>22068.86311443173</v>
      </c>
    </row>
    <row r="54" spans="1:42" ht="15.75">
      <c r="A54" s="73" t="s">
        <v>327</v>
      </c>
      <c r="B54" s="42" t="s">
        <v>328</v>
      </c>
      <c r="C54" s="42" t="s">
        <v>329</v>
      </c>
      <c r="D54" s="42"/>
      <c r="E54" s="42"/>
      <c r="F54" s="42"/>
      <c r="G54" s="54"/>
      <c r="H54" s="54"/>
      <c r="I54" s="54"/>
      <c r="J54" s="54"/>
      <c r="K54" s="54"/>
      <c r="L54" s="1064">
        <v>0.53987117977610521</v>
      </c>
      <c r="M54" s="1064">
        <v>0.50037000761780381</v>
      </c>
      <c r="N54" s="1064">
        <v>0.51621081542646374</v>
      </c>
      <c r="O54" s="1064">
        <v>0.48912018323901918</v>
      </c>
      <c r="P54" s="1064">
        <v>0.49335229677089032</v>
      </c>
      <c r="Q54" s="1077">
        <v>0.43829083614054787</v>
      </c>
      <c r="R54" s="1077">
        <v>0.52143208643344519</v>
      </c>
      <c r="S54" s="1077">
        <v>0.493449080622959</v>
      </c>
      <c r="T54" s="1077">
        <v>0.24164971826759579</v>
      </c>
      <c r="U54" s="1077">
        <v>0.47636450007917391</v>
      </c>
      <c r="V54" s="260">
        <f>Household!V50</f>
        <v>0.58012318283758491</v>
      </c>
      <c r="W54" s="260">
        <f>Household!W50</f>
        <v>0.57395592971295306</v>
      </c>
      <c r="X54" s="260">
        <f>Household!X50</f>
        <v>0.52718849450311001</v>
      </c>
      <c r="Y54" s="260">
        <f>Household!Y50</f>
        <v>0.58098417100470889</v>
      </c>
      <c r="Z54" s="260">
        <f>Household!Z50</f>
        <v>0.61640586212769299</v>
      </c>
      <c r="AA54" s="260">
        <f>Household!AA50</f>
        <v>0.53955207471087674</v>
      </c>
      <c r="AB54" s="260">
        <f>Household!AB50</f>
        <v>0.53486418345828068</v>
      </c>
      <c r="AC54" s="260">
        <f>Household!AC50</f>
        <v>0.49758956998257164</v>
      </c>
      <c r="AD54" s="260">
        <f>Household!AD50</f>
        <v>0.59685454805679272</v>
      </c>
      <c r="AE54" s="260">
        <f>Household!AE50</f>
        <v>0.52425572984422486</v>
      </c>
      <c r="AF54" s="713">
        <f t="shared" ref="AF54:AP54" si="40">AE54</f>
        <v>0.52425572984422486</v>
      </c>
      <c r="AG54" s="431">
        <f t="shared" si="40"/>
        <v>0.52425572984422486</v>
      </c>
      <c r="AH54" s="431">
        <f t="shared" si="40"/>
        <v>0.52425572984422486</v>
      </c>
      <c r="AI54" s="431">
        <f t="shared" si="40"/>
        <v>0.52425572984422486</v>
      </c>
      <c r="AJ54" s="431">
        <f t="shared" si="40"/>
        <v>0.52425572984422486</v>
      </c>
      <c r="AK54" s="431">
        <f t="shared" si="40"/>
        <v>0.52425572984422486</v>
      </c>
      <c r="AL54" s="431">
        <f t="shared" si="40"/>
        <v>0.52425572984422486</v>
      </c>
      <c r="AM54" s="431">
        <f t="shared" si="40"/>
        <v>0.52425572984422486</v>
      </c>
      <c r="AN54" s="431">
        <f t="shared" si="40"/>
        <v>0.52425572984422486</v>
      </c>
      <c r="AO54" s="431">
        <f t="shared" si="40"/>
        <v>0.52425572984422486</v>
      </c>
      <c r="AP54" s="431">
        <f t="shared" si="40"/>
        <v>0.52425572984422486</v>
      </c>
    </row>
    <row r="55" spans="1:42">
      <c r="A55" s="74"/>
      <c r="B55" s="58" t="s">
        <v>330</v>
      </c>
      <c r="C55" s="52" t="s">
        <v>331</v>
      </c>
      <c r="D55" s="52"/>
      <c r="E55" s="52"/>
      <c r="F55" s="52"/>
      <c r="G55" s="81"/>
      <c r="H55" s="81"/>
      <c r="I55" s="81"/>
      <c r="J55" s="81"/>
      <c r="K55" s="81"/>
      <c r="L55" s="1092"/>
      <c r="M55" s="1092"/>
      <c r="N55" s="1092"/>
      <c r="O55" s="1092"/>
      <c r="P55" s="1092"/>
      <c r="Q55" s="1065"/>
      <c r="R55" s="1090"/>
      <c r="S55" s="1090"/>
      <c r="T55" s="1090"/>
      <c r="U55" s="1090"/>
      <c r="AF55"/>
    </row>
    <row r="56" spans="1:42">
      <c r="A56" s="59" t="s">
        <v>332</v>
      </c>
      <c r="B56" s="75" t="s">
        <v>333</v>
      </c>
      <c r="C56" s="75" t="s">
        <v>334</v>
      </c>
      <c r="D56" s="75"/>
      <c r="E56" s="75"/>
      <c r="F56" s="75"/>
      <c r="G56" s="54"/>
      <c r="H56" s="54"/>
      <c r="I56" s="54"/>
      <c r="J56" s="54"/>
      <c r="K56" s="54"/>
      <c r="L56" s="1054">
        <v>1.4000000000000057</v>
      </c>
      <c r="M56" s="1054">
        <v>5.7000000000000028</v>
      </c>
      <c r="N56" s="1054">
        <v>3.5</v>
      </c>
      <c r="O56" s="1054">
        <v>6.0999999999999943</v>
      </c>
      <c r="P56" s="1054">
        <v>10.5</v>
      </c>
      <c r="Q56" s="1104">
        <v>6.8</v>
      </c>
      <c r="R56" s="1104">
        <v>7.9000000000000057</v>
      </c>
      <c r="S56" s="1104">
        <v>10.400000000000006</v>
      </c>
      <c r="T56" s="1104">
        <v>7.5999999999999943</v>
      </c>
      <c r="U56" s="1104">
        <v>4.5</v>
      </c>
      <c r="V56">
        <f>GDP!V33-100</f>
        <v>3.2000000000000028</v>
      </c>
      <c r="W56">
        <f>GDP!W33-100</f>
        <v>5.2000000000000028</v>
      </c>
      <c r="X56">
        <f>GDP!X33-100</f>
        <v>6.7999999999999972</v>
      </c>
      <c r="Y56">
        <f>GDP!Y33-100</f>
        <v>4</v>
      </c>
      <c r="Z56">
        <f>GDP!Z33-100</f>
        <v>7.0999999999999943</v>
      </c>
      <c r="AA56">
        <f>GDP!AA33-100</f>
        <v>8.7999999999999972</v>
      </c>
      <c r="AB56">
        <f>GDP!AB33-100</f>
        <v>6.5999999999999943</v>
      </c>
      <c r="AC56">
        <f>GDP!AC33-100</f>
        <v>8</v>
      </c>
      <c r="AD56">
        <f>GDP!AD33-100</f>
        <v>12.200000000000003</v>
      </c>
      <c r="AE56">
        <f>GDP!AE33-100</f>
        <v>10.599999999999994</v>
      </c>
      <c r="AF56">
        <f>GDP!AF33-100</f>
        <v>9.5</v>
      </c>
      <c r="AG56">
        <f>GDP!AG33-100</f>
        <v>8.9198724156673705</v>
      </c>
      <c r="AH56">
        <f>GDP!AH33-100</f>
        <v>8.6130301915547278</v>
      </c>
      <c r="AI56">
        <f>GDP!AI33-100</f>
        <v>8.2726496216561287</v>
      </c>
      <c r="AJ56">
        <f>GDP!AJ33-100</f>
        <v>8.1539784997811608</v>
      </c>
      <c r="AK56">
        <f>GDP!AK33-100</f>
        <v>8.313563771735403</v>
      </c>
      <c r="AL56">
        <f>GDP!AL33-100</f>
        <v>7.6008149493551542</v>
      </c>
      <c r="AM56">
        <f>GDP!AM33-100</f>
        <v>7.5457540301961785</v>
      </c>
      <c r="AN56">
        <f>GDP!AN33-100</f>
        <v>7.2487121260070069</v>
      </c>
      <c r="AO56">
        <f>GDP!AO33-100</f>
        <v>7.00485687696262</v>
      </c>
      <c r="AP56">
        <f>GDP!AP33-100</f>
        <v>7.2553468848775822</v>
      </c>
    </row>
    <row r="57" spans="1:42">
      <c r="A57" s="53" t="s">
        <v>335</v>
      </c>
      <c r="B57" s="75" t="s">
        <v>336</v>
      </c>
      <c r="C57" s="75" t="s">
        <v>337</v>
      </c>
      <c r="D57" s="75"/>
      <c r="E57" s="75"/>
      <c r="F57" s="75"/>
      <c r="G57" s="54"/>
      <c r="H57" s="54"/>
      <c r="I57" s="54"/>
      <c r="J57" s="54"/>
      <c r="K57" s="54"/>
      <c r="L57" s="1054">
        <v>27.033940487693215</v>
      </c>
      <c r="M57" s="1054">
        <v>24.057581153456738</v>
      </c>
      <c r="N57" s="1054">
        <v>20.051662307599173</v>
      </c>
      <c r="O57" s="1054">
        <v>33.249432035611846</v>
      </c>
      <c r="P57" s="1054">
        <v>-1.5506860260498456</v>
      </c>
      <c r="Q57" s="119">
        <v>-6.1758248826038198E-4</v>
      </c>
      <c r="R57" s="119">
        <v>46.578802608890129</v>
      </c>
      <c r="S57" s="119">
        <v>0.48455049807405715</v>
      </c>
      <c r="T57" s="119">
        <v>-5.4890103041265519</v>
      </c>
      <c r="U57" s="119">
        <v>20.052103157581811</v>
      </c>
      <c r="V57" s="119">
        <f>Agriculture!V4-100</f>
        <v>-0.53838649107571257</v>
      </c>
      <c r="W57" s="119">
        <f>Agriculture!W4-100</f>
        <v>0.91553984452420423</v>
      </c>
      <c r="X57" s="119">
        <f>Agriculture!X4-100</f>
        <v>0.45209406332661217</v>
      </c>
      <c r="Y57" s="119">
        <f>Agriculture!Y4-100</f>
        <v>78.589649689503204</v>
      </c>
      <c r="Z57" s="119">
        <f>Agriculture!Z4-100</f>
        <v>6.4397946762397851E-3</v>
      </c>
      <c r="AA57" s="119">
        <f>Agriculture!AA4-100</f>
        <v>8.1022554205333108E-2</v>
      </c>
      <c r="AB57" s="119">
        <f>Agriculture!AB4-100</f>
        <v>0.10216406067088712</v>
      </c>
      <c r="AC57" s="119">
        <f>Agriculture!AC4-100</f>
        <v>-2.1737133380653972E-2</v>
      </c>
      <c r="AD57" s="119">
        <f>Agriculture!AD4-100</f>
        <v>7.3123295023123092E-2</v>
      </c>
      <c r="AE57" s="1088">
        <f>Agriculture!AE4-100</f>
        <v>-3.0761345794928729E-2</v>
      </c>
      <c r="AF57" s="1088">
        <f>Agriculture!AF4-100</f>
        <v>4.5052170452468232</v>
      </c>
      <c r="AG57" s="1088">
        <f>Agriculture!AG4-100</f>
        <v>3.2000000000000028</v>
      </c>
      <c r="AH57" s="1088">
        <f>Agriculture!AH4-100</f>
        <v>1.2000000000000028</v>
      </c>
      <c r="AI57" s="1088">
        <f>Agriculture!AI4-100</f>
        <v>1.2999999999999972</v>
      </c>
      <c r="AJ57" s="1088">
        <f>Agriculture!AJ4-100</f>
        <v>1.0999999999999943</v>
      </c>
      <c r="AK57" s="1088">
        <f>Agriculture!AK4-100</f>
        <v>0.79999999999999716</v>
      </c>
      <c r="AL57" s="1088">
        <f>Agriculture!AL4-100</f>
        <v>0.5</v>
      </c>
      <c r="AM57" s="1088">
        <f>Agriculture!AM4-100</f>
        <v>0.20000000000000284</v>
      </c>
      <c r="AN57" s="1088">
        <f>Agriculture!AN4-100</f>
        <v>0.5</v>
      </c>
      <c r="AO57" s="1088">
        <f>Agriculture!AO4-100</f>
        <v>0.5</v>
      </c>
      <c r="AP57" s="1088">
        <f>Agriculture!AP4-100</f>
        <v>0.5</v>
      </c>
    </row>
    <row r="58" spans="1:42">
      <c r="A58" s="53" t="s">
        <v>338</v>
      </c>
      <c r="B58" s="75" t="s">
        <v>339</v>
      </c>
      <c r="C58" s="75" t="s">
        <v>340</v>
      </c>
      <c r="D58" s="75"/>
      <c r="E58" s="75"/>
      <c r="F58" s="75"/>
      <c r="G58" s="54"/>
      <c r="H58" s="54"/>
      <c r="I58" s="54"/>
      <c r="J58" s="54"/>
      <c r="K58" s="54"/>
      <c r="L58" s="1054"/>
      <c r="M58" s="1054"/>
      <c r="N58" s="1054"/>
      <c r="O58" s="1054"/>
      <c r="P58" s="383">
        <v>194</v>
      </c>
      <c r="Q58" s="381">
        <v>257</v>
      </c>
      <c r="R58" s="381">
        <v>89.686000000000007</v>
      </c>
      <c r="S58" s="381">
        <v>103.324</v>
      </c>
      <c r="T58" s="381">
        <v>227</v>
      </c>
      <c r="U58" s="381">
        <v>179.3</v>
      </c>
      <c r="V58">
        <f>Trade!V18</f>
        <v>220.4</v>
      </c>
      <c r="W58">
        <f>Trade!W18</f>
        <v>170.4</v>
      </c>
      <c r="X58">
        <f>Trade!X18</f>
        <v>118.6</v>
      </c>
      <c r="Y58">
        <f>Trade!Y18</f>
        <v>136.9</v>
      </c>
      <c r="Z58">
        <f>Trade!Z18</f>
        <v>118.4</v>
      </c>
      <c r="AA58">
        <f>Trade!AA18</f>
        <v>129</v>
      </c>
      <c r="AB58">
        <f>Trade!AB18</f>
        <v>208</v>
      </c>
      <c r="AC58">
        <f>Trade!AC18</f>
        <v>189.3</v>
      </c>
      <c r="AD58">
        <f>Trade!AD18</f>
        <v>177.1</v>
      </c>
      <c r="AE58">
        <f>Trade!AE18</f>
        <v>165.3</v>
      </c>
      <c r="AF58">
        <f>Trade!AF18</f>
        <v>168.60600000000002</v>
      </c>
      <c r="AG58">
        <f>Trade!AG18</f>
        <v>171.97812000000002</v>
      </c>
      <c r="AH58">
        <f>Trade!AH18</f>
        <v>175.41768240000002</v>
      </c>
      <c r="AI58">
        <f>Trade!AI18</f>
        <v>178.92603604800001</v>
      </c>
      <c r="AJ58">
        <f>Trade!AJ18</f>
        <v>182.50455676896001</v>
      </c>
      <c r="AK58">
        <f>Trade!AK18</f>
        <v>186.15464790433921</v>
      </c>
      <c r="AL58">
        <f>Trade!AL18</f>
        <v>189.87774086242601</v>
      </c>
      <c r="AM58">
        <f>Trade!AM18</f>
        <v>193.67529567967452</v>
      </c>
      <c r="AN58">
        <f>Trade!AN18</f>
        <v>197.54880159326802</v>
      </c>
      <c r="AO58">
        <f>Trade!AO18</f>
        <v>201.49977762513339</v>
      </c>
      <c r="AP58">
        <f>Trade!AP18</f>
        <v>205.52977317763606</v>
      </c>
    </row>
    <row r="59" spans="1:42">
      <c r="A59" s="58"/>
      <c r="B59" s="58" t="s">
        <v>341</v>
      </c>
      <c r="C59" s="52" t="s">
        <v>342</v>
      </c>
      <c r="D59" s="52"/>
      <c r="E59" s="52"/>
      <c r="F59" s="52"/>
      <c r="G59" s="1067"/>
      <c r="H59" s="1067"/>
      <c r="I59" s="1068"/>
      <c r="J59" s="1068"/>
      <c r="K59" s="1068"/>
      <c r="L59" s="1068"/>
      <c r="M59" s="1068"/>
      <c r="N59" s="1068"/>
      <c r="O59" s="1068"/>
      <c r="P59" s="1068"/>
      <c r="Q59" s="1068"/>
      <c r="R59" s="1065"/>
      <c r="S59" s="1065"/>
      <c r="T59" s="1065"/>
      <c r="U59" s="1065"/>
    </row>
    <row r="60" spans="1:42">
      <c r="A60" s="76" t="s">
        <v>343</v>
      </c>
      <c r="B60" s="77" t="s">
        <v>344</v>
      </c>
      <c r="C60" s="54" t="s">
        <v>345</v>
      </c>
      <c r="D60" s="54"/>
      <c r="E60" s="54"/>
      <c r="F60" s="54"/>
      <c r="G60" s="1093"/>
      <c r="H60" s="1093"/>
      <c r="I60" s="1093"/>
      <c r="J60" s="1093"/>
      <c r="K60" s="1093"/>
      <c r="L60" s="1094">
        <v>97.001641079936462</v>
      </c>
      <c r="M60" s="1094">
        <v>96.376862502212006</v>
      </c>
      <c r="N60" s="1094">
        <v>78.004340229242416</v>
      </c>
      <c r="O60" s="1094">
        <v>92.627551333129034</v>
      </c>
      <c r="P60" s="1094">
        <v>73.250436592317783</v>
      </c>
      <c r="Q60" s="417">
        <v>93</v>
      </c>
      <c r="R60" s="432">
        <v>97</v>
      </c>
      <c r="S60" s="432">
        <v>95</v>
      </c>
      <c r="T60" s="432">
        <v>95</v>
      </c>
      <c r="U60" s="432">
        <v>102</v>
      </c>
      <c r="V60" s="432">
        <v>100</v>
      </c>
      <c r="W60" s="432">
        <v>100</v>
      </c>
      <c r="X60" s="432">
        <v>100</v>
      </c>
      <c r="Y60" s="432">
        <v>100</v>
      </c>
      <c r="Z60" s="432">
        <v>100</v>
      </c>
      <c r="AA60" s="432">
        <v>100</v>
      </c>
      <c r="AB60" s="432">
        <v>100</v>
      </c>
      <c r="AC60" s="432">
        <v>100</v>
      </c>
      <c r="AD60" s="432">
        <v>100</v>
      </c>
      <c r="AE60" s="432">
        <v>100</v>
      </c>
      <c r="AF60" s="432">
        <v>100</v>
      </c>
      <c r="AG60" s="432">
        <v>100</v>
      </c>
      <c r="AH60" s="432">
        <v>100</v>
      </c>
      <c r="AI60" s="432">
        <v>100</v>
      </c>
      <c r="AJ60" s="432">
        <v>100</v>
      </c>
      <c r="AK60" s="432">
        <v>100</v>
      </c>
      <c r="AL60" s="432">
        <v>100</v>
      </c>
      <c r="AM60" s="432">
        <v>100</v>
      </c>
      <c r="AN60" s="432">
        <v>100</v>
      </c>
      <c r="AO60" s="432">
        <v>100</v>
      </c>
      <c r="AP60" s="432">
        <v>100</v>
      </c>
    </row>
    <row r="61" spans="1:42">
      <c r="A61" s="58"/>
      <c r="B61" s="52" t="s">
        <v>346</v>
      </c>
      <c r="C61" s="58"/>
      <c r="D61" s="58"/>
      <c r="E61" s="58"/>
      <c r="F61" s="58"/>
      <c r="G61" s="1067"/>
      <c r="H61" s="1067"/>
      <c r="I61" s="1068"/>
      <c r="J61" s="1068"/>
      <c r="K61" s="1068"/>
      <c r="L61" s="1068"/>
      <c r="M61" s="1068"/>
      <c r="N61" s="1068"/>
      <c r="O61" s="1068"/>
      <c r="P61" s="1068"/>
      <c r="Q61" s="1068"/>
      <c r="R61" s="1065"/>
      <c r="S61" s="1065"/>
      <c r="T61" s="1065"/>
      <c r="U61" s="1065"/>
    </row>
    <row r="62" spans="1:42" ht="15.75">
      <c r="A62" s="59" t="s">
        <v>347</v>
      </c>
      <c r="B62" s="75" t="s">
        <v>348</v>
      </c>
      <c r="C62" s="75" t="s">
        <v>349</v>
      </c>
      <c r="D62" s="75"/>
      <c r="E62" s="75"/>
      <c r="F62" s="75"/>
      <c r="G62" s="1095">
        <v>128.1</v>
      </c>
      <c r="H62" s="1095">
        <v>127</v>
      </c>
      <c r="I62" s="1095">
        <v>114.8</v>
      </c>
      <c r="J62" s="1095">
        <v>140.80000000000001</v>
      </c>
      <c r="K62" s="1095">
        <v>117.3</v>
      </c>
      <c r="L62" s="1096">
        <v>109.8</v>
      </c>
      <c r="M62" s="1096">
        <v>118.6</v>
      </c>
      <c r="N62" s="1096">
        <v>127.1</v>
      </c>
      <c r="O62" s="1096">
        <v>120.5</v>
      </c>
      <c r="P62" s="1096">
        <v>114.5</v>
      </c>
      <c r="Q62" s="1097">
        <v>110</v>
      </c>
      <c r="R62" s="426">
        <v>110.7</v>
      </c>
      <c r="S62" s="426">
        <v>110</v>
      </c>
      <c r="T62" s="426">
        <v>110</v>
      </c>
      <c r="U62" s="426">
        <v>104</v>
      </c>
      <c r="V62" s="426">
        <v>110</v>
      </c>
      <c r="W62" s="426">
        <v>110</v>
      </c>
      <c r="X62" s="426">
        <v>110</v>
      </c>
      <c r="Y62" s="426">
        <v>110</v>
      </c>
      <c r="Z62" s="426">
        <v>110</v>
      </c>
      <c r="AA62" s="426">
        <v>110</v>
      </c>
      <c r="AB62" s="426">
        <v>110</v>
      </c>
      <c r="AC62" s="426">
        <v>110</v>
      </c>
      <c r="AD62" s="426">
        <v>110</v>
      </c>
      <c r="AE62" s="426">
        <v>110</v>
      </c>
      <c r="AF62" s="426">
        <v>110</v>
      </c>
      <c r="AG62" s="426">
        <v>110</v>
      </c>
      <c r="AH62" s="426">
        <v>110</v>
      </c>
      <c r="AI62" s="426">
        <v>110</v>
      </c>
      <c r="AJ62" s="426">
        <v>110</v>
      </c>
      <c r="AK62" s="426">
        <v>110</v>
      </c>
      <c r="AL62" s="426">
        <v>110</v>
      </c>
      <c r="AM62" s="426">
        <v>110</v>
      </c>
      <c r="AN62" s="426">
        <v>110</v>
      </c>
      <c r="AO62" s="426">
        <v>110</v>
      </c>
      <c r="AP62" s="426">
        <v>110</v>
      </c>
    </row>
    <row r="63" spans="1:42">
      <c r="A63" s="78" t="s">
        <v>350</v>
      </c>
      <c r="B63" s="66" t="s">
        <v>351</v>
      </c>
      <c r="C63" s="66" t="s">
        <v>352</v>
      </c>
      <c r="D63" s="66"/>
      <c r="E63" s="66"/>
      <c r="F63" s="66"/>
      <c r="G63" s="1073"/>
      <c r="H63" s="1073"/>
      <c r="I63" s="1073"/>
      <c r="J63" s="1073"/>
      <c r="K63" s="1073"/>
      <c r="L63" s="1073"/>
      <c r="M63" s="1073"/>
      <c r="N63" s="1073"/>
      <c r="O63" s="1073"/>
      <c r="P63" s="202">
        <v>7.4169999999999998</v>
      </c>
      <c r="Q63" s="1088">
        <v>7.6210000000000004</v>
      </c>
      <c r="R63" s="202">
        <v>7.7140000000000004</v>
      </c>
      <c r="S63" s="202">
        <v>7.89</v>
      </c>
      <c r="T63" s="202">
        <v>8.1609999999999996</v>
      </c>
      <c r="U63" s="202">
        <v>8.3520000000000003</v>
      </c>
      <c r="V63" s="202">
        <v>8.4510000000000005</v>
      </c>
      <c r="W63" s="202">
        <v>8.6470000000000002</v>
      </c>
      <c r="X63" s="202">
        <v>8.8369999999999997</v>
      </c>
      <c r="Y63" s="202">
        <v>9.0289999999999999</v>
      </c>
      <c r="Z63" s="202">
        <v>9.2200000000000006</v>
      </c>
      <c r="AA63" s="202">
        <v>9.41</v>
      </c>
      <c r="AB63" s="202">
        <v>9.8010000000000002</v>
      </c>
      <c r="AC63" s="202">
        <v>10.01</v>
      </c>
      <c r="AD63" s="202">
        <v>10.183299999999999</v>
      </c>
      <c r="AE63" s="202">
        <v>10.398400000000001</v>
      </c>
      <c r="AF63" s="202">
        <v>10.6038</v>
      </c>
      <c r="AG63" s="203">
        <v>10.826000000000001</v>
      </c>
      <c r="AH63" s="203">
        <v>11.065</v>
      </c>
      <c r="AI63" s="203">
        <v>11.308</v>
      </c>
      <c r="AJ63" s="203">
        <v>11.557</v>
      </c>
      <c r="AK63" s="203">
        <v>11.811</v>
      </c>
      <c r="AL63" s="203">
        <v>12.071</v>
      </c>
      <c r="AM63" s="203">
        <v>12.337</v>
      </c>
      <c r="AN63" s="203">
        <f t="shared" ref="AN63:AP63" si="41">AM63</f>
        <v>12.337</v>
      </c>
      <c r="AO63" s="203">
        <f t="shared" si="41"/>
        <v>12.337</v>
      </c>
      <c r="AP63" s="203">
        <f t="shared" si="41"/>
        <v>12.337</v>
      </c>
    </row>
    <row r="64" spans="1:42">
      <c r="A64" s="79" t="s">
        <v>353</v>
      </c>
      <c r="B64" s="80"/>
      <c r="C64" s="81"/>
      <c r="D64" s="81"/>
      <c r="E64" s="81"/>
      <c r="F64" s="81"/>
      <c r="G64" s="1099"/>
      <c r="H64" s="1099"/>
      <c r="I64" s="1099"/>
      <c r="J64" s="1099"/>
      <c r="K64" s="1099"/>
      <c r="L64" s="1099"/>
      <c r="M64" s="1099"/>
      <c r="N64" s="1099"/>
      <c r="O64" s="1099"/>
      <c r="P64" s="1100"/>
      <c r="Q64" s="1100"/>
      <c r="R64" s="1101"/>
      <c r="S64" s="1101"/>
      <c r="T64" s="1101"/>
      <c r="U64" s="1101"/>
      <c r="AF64"/>
    </row>
    <row r="65" spans="1:42" ht="15.75">
      <c r="A65" s="47" t="s">
        <v>354</v>
      </c>
      <c r="B65" s="47" t="s">
        <v>355</v>
      </c>
      <c r="C65" s="77" t="s">
        <v>356</v>
      </c>
      <c r="G65" s="1074">
        <v>18.971635479717857</v>
      </c>
      <c r="H65" s="1074">
        <v>26.40190850333229</v>
      </c>
      <c r="I65" s="1074">
        <v>21.15869108581817</v>
      </c>
      <c r="J65" s="1074">
        <v>22.258092088718133</v>
      </c>
      <c r="K65" s="1074">
        <v>32.887223021734599</v>
      </c>
      <c r="L65" s="1074">
        <v>23.107391020635795</v>
      </c>
      <c r="M65" s="1074">
        <v>23.853756966722258</v>
      </c>
      <c r="N65" s="1074">
        <v>22.688898444241918</v>
      </c>
      <c r="O65" s="1074">
        <v>29.321741606297575</v>
      </c>
      <c r="P65" s="1074">
        <v>31.588492078912939</v>
      </c>
      <c r="Q65" s="1078">
        <v>35.400635580391842</v>
      </c>
      <c r="R65" s="1078">
        <v>34.145617396453972</v>
      </c>
      <c r="S65" s="1078">
        <v>25.941613715733308</v>
      </c>
      <c r="T65" s="1078">
        <v>25.820047255156563</v>
      </c>
      <c r="U65" s="1078">
        <v>27.061192819717011</v>
      </c>
      <c r="V65">
        <f>OEA!V23/'Revenue Model'!V15*100</f>
        <v>28.465696481496177</v>
      </c>
      <c r="W65">
        <f>OEA!W23/'Revenue Model'!W15*100</f>
        <v>34.819332227583374</v>
      </c>
      <c r="X65">
        <f>OEA!X23/'Revenue Model'!X15*100</f>
        <v>34.517741615241398</v>
      </c>
      <c r="Y65">
        <f>OEA!Y23/'Revenue Model'!Y15*100</f>
        <v>39.006019437766533</v>
      </c>
      <c r="Z65">
        <f>OEA!Z23/'Revenue Model'!Z15*100</f>
        <v>35.174748514648577</v>
      </c>
      <c r="AA65">
        <f>OEA!AA23/'Revenue Model'!AA15*100</f>
        <v>32.944755649542742</v>
      </c>
      <c r="AB65">
        <f>OEA!AB23/'Revenue Model'!AB15*100</f>
        <v>28.719220910270675</v>
      </c>
      <c r="AC65">
        <f>OEA!AC23/'Revenue Model'!AC15*100</f>
        <v>27.79880037957459</v>
      </c>
      <c r="AD65">
        <f>OEA!AD23/'Revenue Model'!AD15*100</f>
        <v>27.657863035329765</v>
      </c>
      <c r="AE65">
        <f>OEA!AE23/'Revenue Model'!AE15*100</f>
        <v>22.432642741252739</v>
      </c>
      <c r="AF65">
        <f>OEA!AF23/'Revenue Model'!AF15*100</f>
        <v>36.972741431078653</v>
      </c>
      <c r="AG65" s="426">
        <f t="shared" ref="AG65:AP65" si="42">AF65</f>
        <v>36.972741431078653</v>
      </c>
      <c r="AH65" s="426">
        <f t="shared" si="42"/>
        <v>36.972741431078653</v>
      </c>
      <c r="AI65" s="426">
        <f t="shared" si="42"/>
        <v>36.972741431078653</v>
      </c>
      <c r="AJ65" s="426">
        <f t="shared" si="42"/>
        <v>36.972741431078653</v>
      </c>
      <c r="AK65" s="426">
        <f t="shared" si="42"/>
        <v>36.972741431078653</v>
      </c>
      <c r="AL65" s="426">
        <f t="shared" si="42"/>
        <v>36.972741431078653</v>
      </c>
      <c r="AM65" s="426">
        <f t="shared" si="42"/>
        <v>36.972741431078653</v>
      </c>
      <c r="AN65" s="426">
        <f t="shared" si="42"/>
        <v>36.972741431078653</v>
      </c>
      <c r="AO65" s="426">
        <f t="shared" si="42"/>
        <v>36.972741431078653</v>
      </c>
      <c r="AP65" s="426">
        <f t="shared" si="42"/>
        <v>36.972741431078653</v>
      </c>
    </row>
    <row r="66" spans="1:42">
      <c r="A66" s="58"/>
      <c r="B66" s="58"/>
      <c r="C66" s="52"/>
      <c r="D66" s="52"/>
      <c r="E66" s="52"/>
      <c r="F66" s="52"/>
      <c r="G66" s="1067"/>
      <c r="H66" s="1067"/>
      <c r="I66" s="1067"/>
      <c r="J66" s="1067"/>
      <c r="K66" s="1067"/>
      <c r="L66" s="1067"/>
      <c r="M66" s="1067"/>
      <c r="N66" s="1067"/>
      <c r="O66" s="1067"/>
      <c r="P66" s="1067"/>
      <c r="Q66" s="1067"/>
      <c r="R66" s="1102"/>
      <c r="S66" s="1102"/>
      <c r="T66" s="1102"/>
      <c r="U66" s="1102"/>
      <c r="AF66"/>
    </row>
    <row r="67" spans="1:42">
      <c r="B67" s="66" t="s">
        <v>357</v>
      </c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3"/>
      <c r="R67" s="1079">
        <v>113.5</v>
      </c>
      <c r="S67" s="1079">
        <v>126.9</v>
      </c>
      <c r="T67" s="1079">
        <v>250</v>
      </c>
      <c r="U67" s="1079">
        <v>68.3</v>
      </c>
      <c r="V67" s="445">
        <v>90</v>
      </c>
      <c r="W67" s="446">
        <v>100</v>
      </c>
      <c r="X67" s="446">
        <v>102</v>
      </c>
      <c r="Y67" s="446">
        <v>104</v>
      </c>
      <c r="Z67" s="446">
        <v>106</v>
      </c>
      <c r="AA67" s="446">
        <v>108</v>
      </c>
      <c r="AB67" s="446">
        <v>108</v>
      </c>
      <c r="AC67" s="446">
        <v>109</v>
      </c>
      <c r="AD67" s="446">
        <v>110</v>
      </c>
      <c r="AE67" s="712">
        <f>Industry!AE21</f>
        <v>116.5</v>
      </c>
      <c r="AF67" s="712">
        <f>Industry!AF21</f>
        <v>114</v>
      </c>
      <c r="AG67" s="1262">
        <v>113</v>
      </c>
      <c r="AH67" s="1262">
        <v>114</v>
      </c>
      <c r="AI67" s="1262">
        <v>115</v>
      </c>
      <c r="AJ67" s="1262">
        <v>115</v>
      </c>
      <c r="AK67" s="1262">
        <v>115</v>
      </c>
      <c r="AL67" s="1262">
        <v>115</v>
      </c>
      <c r="AM67" s="1262">
        <v>115</v>
      </c>
      <c r="AN67" s="1262">
        <v>115</v>
      </c>
      <c r="AO67" s="1262">
        <v>115</v>
      </c>
      <c r="AP67" s="1262">
        <v>115</v>
      </c>
    </row>
    <row r="68" spans="1:42">
      <c r="B68" s="66"/>
    </row>
    <row r="69" spans="1:42">
      <c r="B69" s="66"/>
    </row>
    <row r="70" spans="1:42">
      <c r="B70" s="66"/>
    </row>
    <row r="71" spans="1:42">
      <c r="B71" s="66"/>
    </row>
    <row r="72" spans="1:42">
      <c r="B72" s="66"/>
    </row>
    <row r="73" spans="1:42">
      <c r="B73" s="66"/>
    </row>
    <row r="74" spans="1:42">
      <c r="B74" s="66"/>
    </row>
    <row r="75" spans="1:42">
      <c r="B75" s="66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</row>
    <row r="76" spans="1:42">
      <c r="B76" s="66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</row>
    <row r="77" spans="1:42">
      <c r="B77" s="66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</row>
    <row r="78" spans="1:42">
      <c r="B78" s="66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</row>
    <row r="79" spans="1:42">
      <c r="B79" s="66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</row>
    <row r="80" spans="1:42">
      <c r="B80" s="66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</row>
    <row r="81" spans="2:21">
      <c r="B81" s="66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 spans="2:21">
      <c r="B82" s="66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spans="2:21">
      <c r="B83" s="66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 spans="2:21">
      <c r="B84" s="66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2:21">
      <c r="B85" s="66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</row>
    <row r="86" spans="2:21">
      <c r="B86" s="66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2:21">
      <c r="B87" s="66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2:21">
      <c r="B88" s="66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spans="2:21">
      <c r="B89" s="66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spans="2:21">
      <c r="B90" s="66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</row>
    <row r="91" spans="2:21">
      <c r="B91" s="66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</row>
    <row r="92" spans="2:21">
      <c r="B92" s="82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</row>
    <row r="93" spans="2:21"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</row>
    <row r="94" spans="2:21"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</row>
    <row r="95" spans="2:21"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</row>
    <row r="96" spans="2:21"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</row>
    <row r="97" spans="2:21"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</row>
    <row r="98" spans="2:21"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</row>
    <row r="99" spans="2:21"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</row>
    <row r="100" spans="2:21"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</row>
    <row r="101" spans="2:21"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</row>
    <row r="102" spans="2:21">
      <c r="B102" s="66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</row>
    <row r="103" spans="2:21">
      <c r="B103" s="82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</row>
    <row r="104" spans="2:21">
      <c r="B104" s="66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</row>
    <row r="105" spans="2:21">
      <c r="B105" s="83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</row>
    <row r="106" spans="2:21">
      <c r="B106" s="83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</row>
    <row r="107" spans="2:21">
      <c r="B107" s="83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</row>
    <row r="108" spans="2:21">
      <c r="B108" s="83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</row>
    <row r="109" spans="2:21">
      <c r="B109" s="66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</row>
    <row r="110" spans="2:21">
      <c r="B110" s="82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</row>
    <row r="111" spans="2:21"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</row>
    <row r="112" spans="2:21"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</row>
    <row r="113" spans="2:21">
      <c r="B113" s="66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</row>
    <row r="114" spans="2:21"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</row>
    <row r="115" spans="2:21">
      <c r="B115" s="82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</row>
    <row r="116" spans="2:21"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</row>
    <row r="117" spans="2:21"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</row>
    <row r="118" spans="2:21"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</row>
    <row r="119" spans="2:21"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</row>
    <row r="120" spans="2:21"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</row>
    <row r="121" spans="2:21"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</row>
    <row r="122" spans="2:21"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</row>
    <row r="123" spans="2:21"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</row>
    <row r="124" spans="2:21"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</row>
    <row r="125" spans="2:21"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</row>
    <row r="126" spans="2:21">
      <c r="B126" s="82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</row>
    <row r="127" spans="2:21"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</row>
    <row r="128" spans="2:21"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</row>
    <row r="129" spans="2:21"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</row>
    <row r="130" spans="2:21"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</row>
    <row r="131" spans="2:21"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</row>
    <row r="132" spans="2:21"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</row>
    <row r="133" spans="2:21"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</row>
    <row r="134" spans="2:21"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</row>
    <row r="135" spans="2:21"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</row>
    <row r="136" spans="2:21"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</row>
    <row r="137" spans="2:21">
      <c r="B137" s="82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</row>
    <row r="138" spans="2:21">
      <c r="B138" s="66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</row>
    <row r="139" spans="2:21"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</row>
    <row r="140" spans="2:21">
      <c r="B140" s="82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</row>
    <row r="141" spans="2:21">
      <c r="B141" s="84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</row>
    <row r="142" spans="2:21"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</row>
    <row r="143" spans="2:21"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</row>
    <row r="144" spans="2:21"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</row>
    <row r="145" spans="3:21"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</row>
    <row r="146" spans="3:21"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</row>
    <row r="147" spans="3:21"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</row>
    <row r="148" spans="3:21"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</row>
    <row r="149" spans="3:21"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</row>
    <row r="150" spans="3:21"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</row>
    <row r="151" spans="3:21"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</row>
    <row r="152" spans="3:21"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6976-0010-47BC-9AD4-C92D8DB4F9B2}">
  <dimension ref="B1:BP226"/>
  <sheetViews>
    <sheetView topLeftCell="B1" workbookViewId="0">
      <pane xSplit="2" ySplit="1" topLeftCell="AK2" activePane="bottomRight" state="frozen"/>
      <selection activeCell="B1" sqref="B1"/>
      <selection pane="topRight" activeCell="D1" sqref="D1"/>
      <selection pane="bottomLeft" activeCell="B2" sqref="B2"/>
      <selection pane="bottomRight" activeCell="AP40" sqref="AP40"/>
    </sheetView>
  </sheetViews>
  <sheetFormatPr defaultRowHeight="15"/>
  <cols>
    <col min="1" max="1" width="3.7109375" customWidth="1"/>
    <col min="2" max="2" width="8.140625" style="53" customWidth="1"/>
    <col min="3" max="3" width="31.85546875" style="53" customWidth="1"/>
    <col min="4" max="21" width="10" style="53" customWidth="1"/>
    <col min="31" max="31" width="8" customWidth="1"/>
    <col min="32" max="41" width="9.140625" style="112"/>
    <col min="45" max="68" width="9.140625" style="53"/>
  </cols>
  <sheetData>
    <row r="1" spans="2:68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2:68">
      <c r="B2" s="104"/>
      <c r="C2" s="105" t="s">
        <v>96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W2" s="726">
        <f>W3-V3</f>
        <v>-12.5</v>
      </c>
      <c r="X2" s="726">
        <f t="shared" ref="X2:AI2" si="0">X3-W3</f>
        <v>319.5</v>
      </c>
      <c r="Y2" s="726">
        <f t="shared" si="0"/>
        <v>-134.5</v>
      </c>
      <c r="Z2" s="726">
        <f t="shared" si="0"/>
        <v>101.25</v>
      </c>
      <c r="AA2" s="726">
        <f t="shared" si="0"/>
        <v>128.65000000000009</v>
      </c>
      <c r="AB2" s="726">
        <f t="shared" si="0"/>
        <v>751</v>
      </c>
      <c r="AC2" s="726">
        <f t="shared" si="0"/>
        <v>-17</v>
      </c>
      <c r="AD2" s="726">
        <f t="shared" si="0"/>
        <v>-174.42200000000003</v>
      </c>
      <c r="AE2" s="726">
        <f>AE3-AD3</f>
        <v>37.172000000000025</v>
      </c>
      <c r="AF2" s="726">
        <f>AF3-AE3</f>
        <v>431.14699999999993</v>
      </c>
      <c r="AG2" s="726">
        <f>AG3-AF3</f>
        <v>196.16906443853941</v>
      </c>
      <c r="AH2" s="726">
        <f t="shared" si="0"/>
        <v>170.70559587582011</v>
      </c>
      <c r="AI2" s="726">
        <f t="shared" si="0"/>
        <v>135.26260830459023</v>
      </c>
      <c r="AJ2" s="726">
        <f t="shared" ref="AJ2" si="1">AJ3-AI3</f>
        <v>169.9368317940507</v>
      </c>
      <c r="AK2" s="726">
        <f t="shared" ref="AK2" si="2">AK3-AJ3</f>
        <v>161.44987525821261</v>
      </c>
      <c r="AL2" s="726">
        <f t="shared" ref="AL2" si="3">AL3-AK3</f>
        <v>-249.81056701687066</v>
      </c>
      <c r="AM2" s="726">
        <f t="shared" ref="AM2" si="4">AM3-AL3</f>
        <v>158.79306135583056</v>
      </c>
      <c r="AN2" s="726">
        <f t="shared" ref="AN2" si="5">AN3-AM3</f>
        <v>286.10055039237022</v>
      </c>
      <c r="AO2" s="726">
        <f t="shared" ref="AO2" si="6">AO3-AN3</f>
        <v>308.09063277394853</v>
      </c>
      <c r="AP2" s="726">
        <f t="shared" ref="AP2" si="7">AP3-AO3</f>
        <v>367.91212308461945</v>
      </c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</row>
    <row r="3" spans="2:68" ht="18.75">
      <c r="B3" s="59" t="s">
        <v>398</v>
      </c>
      <c r="C3" s="106" t="s">
        <v>399</v>
      </c>
      <c r="D3" s="106"/>
      <c r="E3" s="106"/>
      <c r="F3" s="106"/>
      <c r="G3" s="1105">
        <v>901.52650000000006</v>
      </c>
      <c r="H3" s="1105">
        <v>713.77070000000003</v>
      </c>
      <c r="I3" s="1105">
        <v>768.13720000000001</v>
      </c>
      <c r="J3" s="1105">
        <v>994.72469999999998</v>
      </c>
      <c r="K3" s="1105">
        <v>1219.8416999999999</v>
      </c>
      <c r="L3" s="1105">
        <v>1254.4346000000003</v>
      </c>
      <c r="M3" s="1105">
        <v>1589.6258</v>
      </c>
      <c r="N3" s="1105">
        <v>1705.5683000000001</v>
      </c>
      <c r="O3" s="1105">
        <v>1686.3090000000002</v>
      </c>
      <c r="P3" s="1105">
        <v>600.14799999999991</v>
      </c>
      <c r="Q3" s="1105">
        <v>791.24732999999992</v>
      </c>
      <c r="R3" s="1108">
        <v>1821.8</v>
      </c>
      <c r="S3" s="1108">
        <v>1847.3000000000002</v>
      </c>
      <c r="T3" s="1108">
        <v>1306.77</v>
      </c>
      <c r="U3" s="1108">
        <v>1229.7</v>
      </c>
      <c r="V3">
        <f>V4+V5</f>
        <v>1143</v>
      </c>
      <c r="W3">
        <f t="shared" ref="W3:AP3" si="8">W4+W5</f>
        <v>1130.5</v>
      </c>
      <c r="X3">
        <f t="shared" si="8"/>
        <v>1450</v>
      </c>
      <c r="Y3">
        <f t="shared" si="8"/>
        <v>1315.5</v>
      </c>
      <c r="Z3">
        <f t="shared" si="8"/>
        <v>1416.75</v>
      </c>
      <c r="AA3">
        <f t="shared" si="8"/>
        <v>1545.4</v>
      </c>
      <c r="AB3">
        <f t="shared" si="8"/>
        <v>2296.4</v>
      </c>
      <c r="AC3">
        <f t="shared" si="8"/>
        <v>2279.4</v>
      </c>
      <c r="AD3">
        <f t="shared" si="8"/>
        <v>2104.9780000000001</v>
      </c>
      <c r="AE3">
        <f t="shared" si="8"/>
        <v>2142.15</v>
      </c>
      <c r="AF3">
        <f t="shared" si="8"/>
        <v>2573.297</v>
      </c>
      <c r="AG3">
        <f t="shared" si="8"/>
        <v>2769.4660644385394</v>
      </c>
      <c r="AH3">
        <f t="shared" si="8"/>
        <v>2940.1716603143595</v>
      </c>
      <c r="AI3">
        <f t="shared" si="8"/>
        <v>3075.4342686189498</v>
      </c>
      <c r="AJ3">
        <f t="shared" si="8"/>
        <v>3245.3711004130005</v>
      </c>
      <c r="AK3">
        <f t="shared" si="8"/>
        <v>3406.8209756712131</v>
      </c>
      <c r="AL3">
        <f t="shared" si="8"/>
        <v>3157.0104086543424</v>
      </c>
      <c r="AM3">
        <f t="shared" si="8"/>
        <v>3315.803470010173</v>
      </c>
      <c r="AN3">
        <f t="shared" si="8"/>
        <v>3601.9040204025432</v>
      </c>
      <c r="AO3">
        <f t="shared" si="8"/>
        <v>3909.9946531764917</v>
      </c>
      <c r="AP3">
        <f t="shared" si="8"/>
        <v>4277.9067762611112</v>
      </c>
      <c r="AS3" t="s">
        <v>938</v>
      </c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</row>
    <row r="4" spans="2:68" ht="18.75">
      <c r="B4" s="59" t="s">
        <v>400</v>
      </c>
      <c r="C4" s="107" t="s">
        <v>401</v>
      </c>
      <c r="D4" s="107"/>
      <c r="E4" s="107"/>
      <c r="F4" s="107"/>
      <c r="G4" s="474">
        <v>62.6</v>
      </c>
      <c r="H4" s="474">
        <v>62.2</v>
      </c>
      <c r="I4" s="474">
        <v>68.989199999999997</v>
      </c>
      <c r="J4" s="474">
        <v>88.526499999999999</v>
      </c>
      <c r="K4" s="474">
        <v>122.907</v>
      </c>
      <c r="L4" s="474">
        <v>146.34200000000001</v>
      </c>
      <c r="M4" s="474">
        <v>134.215</v>
      </c>
      <c r="N4" s="474">
        <v>148.69200000000001</v>
      </c>
      <c r="O4" s="484">
        <v>181.40899999999999</v>
      </c>
      <c r="P4" s="484">
        <v>179.74799999999999</v>
      </c>
      <c r="Q4" s="181">
        <v>333.74732999999998</v>
      </c>
      <c r="R4" s="1107">
        <v>564.5</v>
      </c>
      <c r="S4" s="1107">
        <v>487.6</v>
      </c>
      <c r="T4" s="1107">
        <v>363.37</v>
      </c>
      <c r="U4" s="1107">
        <v>252.4</v>
      </c>
      <c r="V4">
        <f>BoP!V10</f>
        <v>252.4</v>
      </c>
      <c r="W4">
        <f>BoP!W10</f>
        <v>231.8</v>
      </c>
      <c r="X4">
        <f>BoP!X10</f>
        <v>252</v>
      </c>
      <c r="Y4">
        <f>BoP!Y10</f>
        <v>242.2</v>
      </c>
      <c r="Z4">
        <f>BoP!Z10</f>
        <v>242.35</v>
      </c>
      <c r="AA4">
        <f>BoP!AA10</f>
        <v>138.5</v>
      </c>
      <c r="AB4">
        <f>BoP!AB10</f>
        <v>146.80000000000001</v>
      </c>
      <c r="AC4">
        <f>BoP!AC10</f>
        <v>137.4</v>
      </c>
      <c r="AD4">
        <f>BoP!AD10</f>
        <v>243.5</v>
      </c>
      <c r="AE4" s="175">
        <f>BoP!AE10</f>
        <v>194.65</v>
      </c>
      <c r="AF4" s="85">
        <f>BoP!AF10</f>
        <v>85.397000000000006</v>
      </c>
      <c r="AG4" s="447">
        <f t="shared" ref="AG4:AH4" si="9">AF4*(0.0701742196128*AG5 + 0.0271620953584*AF43)/(0.0701742196128*AF5 + 0.0271620953584*AE43)</f>
        <v>96.680933568954202</v>
      </c>
      <c r="AH4" s="447">
        <f t="shared" si="9"/>
        <v>99.7130200320792</v>
      </c>
      <c r="AI4" s="447">
        <f>AH4*(0.0701742196128*AI5 + 0.0271620953584*AH43)/(0.0701742196128*AH5 + 0.0271620953584*AG43)</f>
        <v>101.96744646050972</v>
      </c>
      <c r="AJ4" s="447">
        <f t="shared" ref="AJ4:AP4" si="10">AI4*(0.0701742196128*AJ5 + 0.0271620953584*AI43)/(0.0701742196128*AI5 + 0.0271620953584*AH43)</f>
        <v>104.73154260693993</v>
      </c>
      <c r="AK4" s="447">
        <f t="shared" si="10"/>
        <v>108.34569556274232</v>
      </c>
      <c r="AL4" s="447">
        <f t="shared" si="10"/>
        <v>105.29168690955537</v>
      </c>
      <c r="AM4" s="447">
        <f t="shared" si="10"/>
        <v>109.38016639073655</v>
      </c>
      <c r="AN4" s="447">
        <f t="shared" si="10"/>
        <v>115.06309809644874</v>
      </c>
      <c r="AO4" s="447">
        <f t="shared" si="10"/>
        <v>115.40993099543488</v>
      </c>
      <c r="AP4" s="447">
        <f t="shared" si="10"/>
        <v>116.5426580747194</v>
      </c>
      <c r="AS4" t="s">
        <v>939</v>
      </c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</row>
    <row r="5" spans="2:68" ht="18.75">
      <c r="B5" s="59" t="s">
        <v>402</v>
      </c>
      <c r="C5" s="108" t="s">
        <v>403</v>
      </c>
      <c r="D5" s="108"/>
      <c r="E5" s="108"/>
      <c r="F5" s="108"/>
      <c r="G5" s="1111">
        <v>838.92650000000003</v>
      </c>
      <c r="H5" s="1111">
        <v>651.57069999999999</v>
      </c>
      <c r="I5" s="1111">
        <v>699.14800000000002</v>
      </c>
      <c r="J5" s="1111">
        <v>906.19819999999993</v>
      </c>
      <c r="K5" s="1111">
        <v>1096.9347</v>
      </c>
      <c r="L5" s="1111">
        <v>1108.0926000000002</v>
      </c>
      <c r="M5" s="1111">
        <v>1455.4108000000001</v>
      </c>
      <c r="N5" s="1111">
        <v>1556.8763000000001</v>
      </c>
      <c r="O5" s="1112">
        <v>1504.9</v>
      </c>
      <c r="P5" s="1112">
        <v>420.4</v>
      </c>
      <c r="Q5" s="1112">
        <v>457.5</v>
      </c>
      <c r="R5" s="1112">
        <v>1257.3</v>
      </c>
      <c r="S5" s="1112">
        <v>1359.7</v>
      </c>
      <c r="T5" s="1112">
        <v>943.4</v>
      </c>
      <c r="U5" s="1113">
        <v>977.3</v>
      </c>
      <c r="V5" s="465">
        <v>890.6</v>
      </c>
      <c r="W5" s="465">
        <v>898.7</v>
      </c>
      <c r="X5" s="465">
        <v>1198</v>
      </c>
      <c r="Y5" s="466">
        <v>1073.3</v>
      </c>
      <c r="Z5" s="466">
        <v>1174.4000000000001</v>
      </c>
      <c r="AA5" s="465">
        <v>1406.9</v>
      </c>
      <c r="AB5" s="465">
        <v>2149.6</v>
      </c>
      <c r="AC5" s="466">
        <v>2142</v>
      </c>
      <c r="AD5" s="465">
        <v>1861.4780000000001</v>
      </c>
      <c r="AE5" s="1270">
        <v>1947.5</v>
      </c>
      <c r="AF5" s="466">
        <v>2487.9</v>
      </c>
      <c r="AG5" s="466">
        <f>SUM(AG6:AG11)</f>
        <v>2672.7851308695854</v>
      </c>
      <c r="AH5" s="466">
        <f t="shared" ref="AH5:AP5" si="11">SUM(AH6:AH11)</f>
        <v>2840.4586402822802</v>
      </c>
      <c r="AI5" s="466">
        <f t="shared" si="11"/>
        <v>2973.4668221584402</v>
      </c>
      <c r="AJ5" s="466">
        <f t="shared" si="11"/>
        <v>3140.6395578060606</v>
      </c>
      <c r="AK5" s="466">
        <f t="shared" si="11"/>
        <v>3298.4752801084705</v>
      </c>
      <c r="AL5" s="466">
        <f t="shared" si="11"/>
        <v>3051.7187217447872</v>
      </c>
      <c r="AM5" s="466">
        <f t="shared" si="11"/>
        <v>3206.4233036194364</v>
      </c>
      <c r="AN5" s="466">
        <f t="shared" si="11"/>
        <v>3486.8409223060944</v>
      </c>
      <c r="AO5" s="466">
        <f t="shared" si="11"/>
        <v>3794.5847221810568</v>
      </c>
      <c r="AP5" s="466">
        <f t="shared" si="11"/>
        <v>4161.3641181863914</v>
      </c>
      <c r="AS5" t="s">
        <v>940</v>
      </c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</row>
    <row r="6" spans="2:68" ht="18.75">
      <c r="B6" s="59" t="s">
        <v>177</v>
      </c>
      <c r="C6" s="53" t="s">
        <v>404</v>
      </c>
      <c r="G6" s="109">
        <v>433.55529999999999</v>
      </c>
      <c r="H6" s="109">
        <v>398.39709999999997</v>
      </c>
      <c r="I6" s="109">
        <v>398.55520000000001</v>
      </c>
      <c r="J6" s="109">
        <v>429.55379999999997</v>
      </c>
      <c r="K6" s="109">
        <v>563.35440000000006</v>
      </c>
      <c r="L6" s="109">
        <v>563.01599999999996</v>
      </c>
      <c r="M6" s="109">
        <v>1049.5101999999999</v>
      </c>
      <c r="N6" s="109">
        <v>1082.9825000000001</v>
      </c>
      <c r="O6" s="109">
        <v>1012.9915999999999</v>
      </c>
      <c r="P6" s="109">
        <v>589.46249999999998</v>
      </c>
      <c r="Q6" s="109">
        <v>735.5</v>
      </c>
      <c r="R6" s="471">
        <v>664.6</v>
      </c>
      <c r="S6" s="471">
        <v>535.50900000000001</v>
      </c>
      <c r="T6" s="471">
        <v>369.5</v>
      </c>
      <c r="U6" s="177">
        <v>234.2</v>
      </c>
      <c r="V6">
        <v>216.2</v>
      </c>
      <c r="W6">
        <v>207.5</v>
      </c>
      <c r="X6">
        <v>200.7</v>
      </c>
      <c r="Y6">
        <v>199.3</v>
      </c>
      <c r="Z6">
        <v>173.2</v>
      </c>
      <c r="AA6">
        <v>136.19999999999999</v>
      </c>
      <c r="AB6">
        <v>135.1</v>
      </c>
      <c r="AC6">
        <v>139.9</v>
      </c>
      <c r="AD6">
        <v>132.30000000000001</v>
      </c>
      <c r="AE6" s="646">
        <v>183.6</v>
      </c>
      <c r="AF6" s="646">
        <v>207.8</v>
      </c>
      <c r="AG6" s="115">
        <f>AG15*AG24/1000000*0.7</f>
        <v>186.53044641871514</v>
      </c>
      <c r="AH6" s="114">
        <f t="shared" ref="AH6:AP6" si="12">AH15*AH24/1000000*0.8</f>
        <v>250.13930280125817</v>
      </c>
      <c r="AI6" s="114">
        <f t="shared" si="12"/>
        <v>293.3435838349161</v>
      </c>
      <c r="AJ6" s="114">
        <f t="shared" si="12"/>
        <v>343.83043448715415</v>
      </c>
      <c r="AK6" s="114">
        <f t="shared" si="12"/>
        <v>402.8113153912052</v>
      </c>
      <c r="AL6" s="114">
        <f t="shared" si="12"/>
        <v>463.70239861226355</v>
      </c>
      <c r="AM6" s="114">
        <f t="shared" si="12"/>
        <v>533.72714431648069</v>
      </c>
      <c r="AN6" s="114">
        <f t="shared" si="12"/>
        <v>614.25560187633027</v>
      </c>
      <c r="AO6" s="114">
        <f t="shared" si="12"/>
        <v>706.86332807015731</v>
      </c>
      <c r="AP6" s="114">
        <f t="shared" si="12"/>
        <v>813.36221319305832</v>
      </c>
      <c r="AS6" t="s">
        <v>941</v>
      </c>
    </row>
    <row r="7" spans="2:68">
      <c r="C7" s="54" t="s">
        <v>405</v>
      </c>
      <c r="D7" s="54"/>
      <c r="E7" s="54"/>
      <c r="F7" s="54"/>
      <c r="G7"/>
      <c r="H7"/>
      <c r="I7"/>
      <c r="J7"/>
      <c r="K7"/>
      <c r="L7"/>
      <c r="M7"/>
      <c r="N7"/>
      <c r="O7"/>
      <c r="P7"/>
      <c r="Q7" s="1109">
        <v>15.898</v>
      </c>
      <c r="R7" s="1110">
        <v>16.799526</v>
      </c>
      <c r="S7" s="1110">
        <v>10.488356958000001</v>
      </c>
      <c r="T7" s="1110">
        <v>3.2376873072691938</v>
      </c>
      <c r="U7" s="1110">
        <v>3.6650381074802723</v>
      </c>
      <c r="V7" s="118">
        <f>Industry!V158+Industry!V159</f>
        <v>7.5795305538590547</v>
      </c>
      <c r="W7" s="118">
        <f>Industry!W158+Industry!W159</f>
        <v>7.7895416919544003</v>
      </c>
      <c r="X7" s="118">
        <f>Industry!X158+Industry!X159</f>
        <v>8.3729338622420997</v>
      </c>
      <c r="Y7" s="118">
        <f>Industry!Y158+Industry!Y159</f>
        <v>8.261805738940911</v>
      </c>
      <c r="Z7" s="118">
        <f>Industry!Z158+Industry!Z159</f>
        <v>7.3984981776851324</v>
      </c>
      <c r="AA7" s="118">
        <f>Industry!AA158+Industry!AA159</f>
        <v>5.394455932852261</v>
      </c>
      <c r="AB7" s="118">
        <f>Industry!AB158+Industry!AB159</f>
        <v>6.0304044527545351</v>
      </c>
      <c r="AC7" s="118">
        <f>Industry!AC158+Industry!AC159</f>
        <v>6.2975476879247463</v>
      </c>
      <c r="AD7" s="118">
        <f>Industry!AD158+Industry!AD159</f>
        <v>5.8472206385756831</v>
      </c>
      <c r="AE7" s="118">
        <f>Industry!AE158+Industry!AE159</f>
        <v>7.3690754185756377</v>
      </c>
      <c r="AF7" s="118">
        <f>Industry!AF158+Industry!AF159</f>
        <v>8.4209923963973754</v>
      </c>
      <c r="AG7" s="118">
        <f>Industry!AG158+Industry!AG159</f>
        <v>9.1513266802498237</v>
      </c>
      <c r="AH7" s="118">
        <f>Industry!AH158+Industry!AH159</f>
        <v>9.8711013872293201</v>
      </c>
      <c r="AI7" s="118">
        <f>Industry!AI158+Industry!AI159</f>
        <v>10.712442315745886</v>
      </c>
      <c r="AJ7" s="118">
        <f>Industry!AJ158+Industry!AJ159</f>
        <v>11.695600761839225</v>
      </c>
      <c r="AK7" s="118">
        <f>Industry!AK158+Industry!AK159</f>
        <v>12.844168170376374</v>
      </c>
      <c r="AL7" s="118">
        <f>Industry!AL158+Industry!AL159</f>
        <v>14.029934008156992</v>
      </c>
      <c r="AM7" s="118">
        <f>Industry!AM158+Industry!AM159</f>
        <v>15.393564721604701</v>
      </c>
      <c r="AN7" s="118">
        <f>Industry!AN158+Industry!AN159</f>
        <v>16.961740042069565</v>
      </c>
      <c r="AO7" s="118">
        <f>Industry!AO158+Industry!AO159</f>
        <v>18.765141660604158</v>
      </c>
      <c r="AP7" s="118">
        <f>Industry!AP158+Industry!AP159</f>
        <v>20.839053521918942</v>
      </c>
    </row>
    <row r="8" spans="2:68" ht="18.75">
      <c r="B8" s="59" t="s">
        <v>206</v>
      </c>
      <c r="C8" s="53" t="s">
        <v>406</v>
      </c>
      <c r="G8" s="109">
        <v>91.828600000000009</v>
      </c>
      <c r="H8" s="109">
        <v>71.500199999999992</v>
      </c>
      <c r="I8" s="109">
        <v>127.97139999999999</v>
      </c>
      <c r="J8" s="109">
        <v>192.74189999999999</v>
      </c>
      <c r="K8" s="109">
        <v>161.59729999999999</v>
      </c>
      <c r="L8" s="109">
        <v>143.91200000000001</v>
      </c>
      <c r="M8" s="109">
        <v>128.66679999999999</v>
      </c>
      <c r="N8" s="109">
        <v>137.8451</v>
      </c>
      <c r="O8" s="109">
        <v>108.2178</v>
      </c>
      <c r="P8" s="109">
        <v>99.6828</v>
      </c>
      <c r="Q8" s="109">
        <v>201.1</v>
      </c>
      <c r="R8" s="471">
        <v>197.3</v>
      </c>
      <c r="S8" s="471">
        <v>223.86500000000001</v>
      </c>
      <c r="T8" s="471">
        <v>189.166</v>
      </c>
      <c r="U8" s="177">
        <v>132.1</v>
      </c>
      <c r="V8">
        <v>144.5</v>
      </c>
      <c r="W8">
        <v>122.6</v>
      </c>
      <c r="X8">
        <v>121</v>
      </c>
      <c r="Y8">
        <v>165.3</v>
      </c>
      <c r="Z8">
        <v>139.6</v>
      </c>
      <c r="AA8">
        <v>136</v>
      </c>
      <c r="AB8">
        <v>202.6</v>
      </c>
      <c r="AC8">
        <v>194.7</v>
      </c>
      <c r="AD8">
        <v>198.6</v>
      </c>
      <c r="AE8" s="646">
        <v>170.1</v>
      </c>
      <c r="AF8" s="646">
        <v>142.1</v>
      </c>
      <c r="AG8" s="114">
        <f t="shared" ref="AG8:AP8" si="13">AG17*AG26/1000000</f>
        <v>146.52370712066906</v>
      </c>
      <c r="AH8" s="114">
        <f t="shared" si="13"/>
        <v>163.02974845663502</v>
      </c>
      <c r="AI8" s="114">
        <f t="shared" si="13"/>
        <v>138.39295028526064</v>
      </c>
      <c r="AJ8" s="114">
        <f t="shared" si="13"/>
        <v>185.3651457644344</v>
      </c>
      <c r="AK8" s="114">
        <f t="shared" si="13"/>
        <v>189.28478102150837</v>
      </c>
      <c r="AL8" s="114">
        <f t="shared" si="13"/>
        <v>191.55619839376646</v>
      </c>
      <c r="AM8" s="114">
        <f t="shared" si="13"/>
        <v>193.85487277449164</v>
      </c>
      <c r="AN8" s="114">
        <f t="shared" si="13"/>
        <v>196.18113124778554</v>
      </c>
      <c r="AO8" s="114">
        <f t="shared" si="13"/>
        <v>198.53530482275897</v>
      </c>
      <c r="AP8" s="114">
        <f t="shared" si="13"/>
        <v>229.6202611207224</v>
      </c>
      <c r="AS8" t="s">
        <v>942</v>
      </c>
    </row>
    <row r="9" spans="2:68" ht="18.75">
      <c r="B9" s="59" t="s">
        <v>407</v>
      </c>
      <c r="C9" s="53" t="s">
        <v>408</v>
      </c>
      <c r="G9"/>
      <c r="H9"/>
      <c r="I9"/>
      <c r="J9"/>
      <c r="K9"/>
      <c r="L9"/>
      <c r="M9"/>
      <c r="N9"/>
      <c r="O9" s="109"/>
      <c r="P9" s="109">
        <v>52.399999999999991</v>
      </c>
      <c r="Q9" s="109">
        <v>56.796999999999997</v>
      </c>
      <c r="R9" s="471">
        <v>32.993000000000002</v>
      </c>
      <c r="S9" s="471">
        <v>33.575000000000003</v>
      </c>
      <c r="T9" s="471">
        <v>48.5</v>
      </c>
      <c r="U9" s="177">
        <v>36.6</v>
      </c>
      <c r="V9" s="177">
        <v>32.1</v>
      </c>
      <c r="W9" s="283">
        <v>21.811199999999999</v>
      </c>
      <c r="X9" s="283">
        <v>17.3</v>
      </c>
      <c r="Y9" s="283">
        <v>16.3</v>
      </c>
      <c r="Z9" s="283">
        <v>18.2</v>
      </c>
      <c r="AA9" s="467">
        <v>19.5</v>
      </c>
      <c r="AB9" s="467">
        <v>36</v>
      </c>
      <c r="AC9" s="467">
        <v>51.5</v>
      </c>
      <c r="AD9" s="467">
        <v>46.3</v>
      </c>
      <c r="AE9" s="661">
        <v>50.3</v>
      </c>
      <c r="AF9" s="661">
        <v>76.099999999999994</v>
      </c>
      <c r="AG9" s="468">
        <f>AG18*AG27/1000</f>
        <v>79.947082949308751</v>
      </c>
      <c r="AH9" s="468">
        <f t="shared" ref="AH9:AP9" si="14">AH18*AH27/1000</f>
        <v>84.399744549045423</v>
      </c>
      <c r="AI9" s="468">
        <f t="shared" si="14"/>
        <v>89.359132174281598</v>
      </c>
      <c r="AJ9" s="468">
        <f t="shared" si="14"/>
        <v>91.146314817767205</v>
      </c>
      <c r="AK9" s="468">
        <f t="shared" si="14"/>
        <v>92.969241114122553</v>
      </c>
      <c r="AL9" s="468">
        <f t="shared" si="14"/>
        <v>94.828625936405018</v>
      </c>
      <c r="AM9" s="468">
        <f t="shared" si="14"/>
        <v>96.725198455133111</v>
      </c>
      <c r="AN9" s="468">
        <f t="shared" si="14"/>
        <v>98.659702424235789</v>
      </c>
      <c r="AO9" s="468">
        <f t="shared" si="14"/>
        <v>100.6328964727205</v>
      </c>
      <c r="AP9" s="468">
        <f t="shared" si="14"/>
        <v>102.64555440217491</v>
      </c>
      <c r="AS9" t="s">
        <v>943</v>
      </c>
    </row>
    <row r="10" spans="2:68" ht="18.75">
      <c r="B10" s="59" t="s">
        <v>118</v>
      </c>
      <c r="C10" s="53" t="s">
        <v>409</v>
      </c>
      <c r="G10" s="109">
        <v>181.60070000000002</v>
      </c>
      <c r="H10" s="109">
        <v>78.548000000000002</v>
      </c>
      <c r="I10" s="109">
        <v>67.414299999999997</v>
      </c>
      <c r="J10" s="109">
        <v>55.140900000000002</v>
      </c>
      <c r="K10" s="109">
        <v>57.58</v>
      </c>
      <c r="L10" s="109">
        <v>52.555</v>
      </c>
      <c r="M10" s="109">
        <v>49.015000000000001</v>
      </c>
      <c r="N10" s="109">
        <v>59.619</v>
      </c>
      <c r="O10" s="109">
        <v>59.748400000000004</v>
      </c>
      <c r="P10" s="109">
        <v>63.188099999999999</v>
      </c>
      <c r="Q10" s="109">
        <v>3.4600192395368046</v>
      </c>
      <c r="R10" s="471">
        <v>4.2690000000000001</v>
      </c>
      <c r="S10" s="471">
        <v>21.335000000000001</v>
      </c>
      <c r="T10" s="471">
        <v>33.268000000000001</v>
      </c>
      <c r="U10" s="177">
        <v>44.1</v>
      </c>
      <c r="V10" s="177">
        <v>48.4</v>
      </c>
      <c r="W10" s="177">
        <v>51.7</v>
      </c>
      <c r="X10" s="283">
        <v>53.5</v>
      </c>
      <c r="Y10" s="283">
        <v>56.4</v>
      </c>
      <c r="Z10" s="283">
        <v>93.1</v>
      </c>
      <c r="AA10" s="283">
        <v>56.4</v>
      </c>
      <c r="AB10" s="283">
        <v>95.960999999999999</v>
      </c>
      <c r="AC10" s="283">
        <v>106.2</v>
      </c>
      <c r="AD10" s="283">
        <v>110.4</v>
      </c>
      <c r="AE10" s="660">
        <v>113</v>
      </c>
      <c r="AF10" s="284">
        <v>141.19999999999999</v>
      </c>
      <c r="AG10" s="284">
        <f>AF10*1.05</f>
        <v>148.26</v>
      </c>
      <c r="AH10" s="284">
        <f>AG10*1.05</f>
        <v>155.673</v>
      </c>
      <c r="AI10" s="284">
        <f>AH10*1.05</f>
        <v>163.45665</v>
      </c>
      <c r="AJ10" s="284">
        <f t="shared" ref="AJ10:AP10" si="15">AI10*1.05</f>
        <v>171.62948249999999</v>
      </c>
      <c r="AK10" s="284">
        <f t="shared" si="15"/>
        <v>180.21095662499999</v>
      </c>
      <c r="AL10" s="284">
        <f t="shared" si="15"/>
        <v>189.22150445624999</v>
      </c>
      <c r="AM10" s="284">
        <f t="shared" si="15"/>
        <v>198.68257967906248</v>
      </c>
      <c r="AN10" s="284">
        <f t="shared" si="15"/>
        <v>208.61670866301563</v>
      </c>
      <c r="AO10" s="284">
        <f t="shared" si="15"/>
        <v>219.04754409616643</v>
      </c>
      <c r="AP10" s="284">
        <f t="shared" si="15"/>
        <v>229.99992130097476</v>
      </c>
      <c r="AS10" t="s">
        <v>944</v>
      </c>
    </row>
    <row r="11" spans="2:68" ht="18.75">
      <c r="B11" s="59" t="s">
        <v>410</v>
      </c>
      <c r="C11" s="53" t="s">
        <v>411</v>
      </c>
      <c r="G11" s="1106">
        <v>131.94190000000003</v>
      </c>
      <c r="H11" s="1106">
        <v>103.12540000000001</v>
      </c>
      <c r="I11" s="1106">
        <v>105.20709999999997</v>
      </c>
      <c r="J11" s="1106">
        <v>228.76160000000004</v>
      </c>
      <c r="K11" s="1106">
        <v>314.40299999999991</v>
      </c>
      <c r="L11" s="1106">
        <v>348.60960000000023</v>
      </c>
      <c r="M11" s="1106">
        <v>228.2188000000001</v>
      </c>
      <c r="N11" s="1106">
        <v>276.42970000000014</v>
      </c>
      <c r="O11" s="1106">
        <v>323.94220000000018</v>
      </c>
      <c r="P11" s="1106">
        <v>-384.33339999999998</v>
      </c>
      <c r="Q11" s="1106">
        <v>-555.25501923953686</v>
      </c>
      <c r="R11" s="469">
        <v>341.33847399999979</v>
      </c>
      <c r="S11" s="469">
        <v>534.92764304199989</v>
      </c>
      <c r="T11" s="469">
        <v>299.72831269273081</v>
      </c>
      <c r="U11" s="469">
        <v>526.63496189251964</v>
      </c>
      <c r="V11" s="469">
        <f>V5-SUM(V6:V10)</f>
        <v>441.82046944614098</v>
      </c>
      <c r="W11" s="469">
        <f t="shared" ref="W11:AD11" si="16">W5-SUM(W6:W10)</f>
        <v>487.29925830804569</v>
      </c>
      <c r="X11" s="469">
        <f t="shared" si="16"/>
        <v>797.12706613775799</v>
      </c>
      <c r="Y11" s="469">
        <f t="shared" si="16"/>
        <v>627.73819426105911</v>
      </c>
      <c r="Z11" s="469">
        <f t="shared" si="16"/>
        <v>742.90150182231503</v>
      </c>
      <c r="AA11" s="469">
        <f t="shared" si="16"/>
        <v>1053.4055440671477</v>
      </c>
      <c r="AB11" s="469">
        <f t="shared" si="16"/>
        <v>1673.9085955472453</v>
      </c>
      <c r="AC11" s="469">
        <f t="shared" si="16"/>
        <v>1643.4024523120752</v>
      </c>
      <c r="AD11" s="469">
        <f t="shared" si="16"/>
        <v>1368.0307793614243</v>
      </c>
      <c r="AE11" s="469">
        <f>AE5-SUM(AE6:AE10)</f>
        <v>1423.1309245814243</v>
      </c>
      <c r="AF11" s="469">
        <f>AF5-SUM(AF6:AF10)</f>
        <v>1912.2790076036026</v>
      </c>
      <c r="AG11" s="113">
        <f>AF11*(Assumptions!AG4/100+1)*(1+Assumptions!AG11/100)+50</f>
        <v>2102.3725677006428</v>
      </c>
      <c r="AH11" s="113">
        <f>AG11*(Assumptions!AH4/100+1)*(1+Assumptions!AH11/100)-90</f>
        <v>2177.3457430881122</v>
      </c>
      <c r="AI11" s="113">
        <f>AH11*(Assumptions!AI4/100+1)*(1+Assumptions!AI11/100)-70</f>
        <v>2278.2020635482359</v>
      </c>
      <c r="AJ11" s="113">
        <f>AI11*(Assumptions!AJ4/100+1)*(1+Assumptions!AJ11/100)-120</f>
        <v>2336.9725794748656</v>
      </c>
      <c r="AK11" s="113">
        <f>AJ11*(Assumptions!AK4/100+1)*(1+Assumptions!AK11/100)-100</f>
        <v>2420.3548177862581</v>
      </c>
      <c r="AL11" s="113">
        <f>AK11*(Assumptions!AL4/100+1)*(1+Assumptions!AL11/100)-511.9</f>
        <v>2098.3800603379455</v>
      </c>
      <c r="AM11" s="113">
        <f>AL11*(Assumptions!AM4/100+1)*(1+Assumptions!AM11/100)-95</f>
        <v>2168.0399436726639</v>
      </c>
      <c r="AN11" s="113">
        <f>AM11*(Assumptions!AN4/100+1)*(1+Assumptions!AN11/100)+14</f>
        <v>2352.1660380526578</v>
      </c>
      <c r="AO11" s="113">
        <f>AN11*(Assumptions!AO4/100+1)*(1+Assumptions!AO11/100)+14</f>
        <v>2550.7405070586497</v>
      </c>
      <c r="AP11" s="113">
        <f>AO11*(Assumptions!AP4/100+1)*(1+Assumptions!AP11/100)+14</f>
        <v>2764.8971146475419</v>
      </c>
      <c r="AS11" t="s">
        <v>945</v>
      </c>
    </row>
    <row r="12" spans="2:68">
      <c r="C12" s="59"/>
      <c r="D12" s="59"/>
      <c r="E12" s="59"/>
      <c r="F12" s="59"/>
      <c r="G12"/>
      <c r="H12"/>
      <c r="I12"/>
      <c r="J12"/>
      <c r="K12"/>
      <c r="L12"/>
      <c r="M12"/>
      <c r="N12"/>
      <c r="O12"/>
      <c r="P12"/>
      <c r="R12"/>
      <c r="S12"/>
      <c r="T12"/>
      <c r="U12"/>
      <c r="V12" s="306">
        <v>91.128619666427923</v>
      </c>
      <c r="W12" s="470">
        <f>W5/V5*100</f>
        <v>100.90949921401302</v>
      </c>
      <c r="X12" s="470">
        <f t="shared" ref="X12:AI12" si="17">X5/W5*100</f>
        <v>133.30366084344053</v>
      </c>
      <c r="Y12" s="470">
        <f t="shared" si="17"/>
        <v>89.590984974958261</v>
      </c>
      <c r="Z12" s="470">
        <f t="shared" si="17"/>
        <v>109.41954719090657</v>
      </c>
      <c r="AA12" s="470">
        <f>AA5/Z5*100</f>
        <v>119.79734332425068</v>
      </c>
      <c r="AB12" s="470">
        <f t="shared" si="17"/>
        <v>152.78982159357452</v>
      </c>
      <c r="AC12" s="470">
        <f t="shared" si="17"/>
        <v>99.646445850390776</v>
      </c>
      <c r="AD12" s="470">
        <f t="shared" si="17"/>
        <v>86.903734827264245</v>
      </c>
      <c r="AE12" s="470">
        <f t="shared" si="17"/>
        <v>104.62116662136216</v>
      </c>
      <c r="AF12" s="470">
        <f t="shared" si="17"/>
        <v>127.74839537869063</v>
      </c>
      <c r="AG12" s="470">
        <f t="shared" si="17"/>
        <v>107.431373080493</v>
      </c>
      <c r="AH12" s="470">
        <f t="shared" si="17"/>
        <v>106.27336284821902</v>
      </c>
      <c r="AI12" s="470">
        <f t="shared" si="17"/>
        <v>104.68263047346966</v>
      </c>
      <c r="AJ12" s="470">
        <f t="shared" ref="AJ12" si="18">AJ5/AI5*100</f>
        <v>105.62214901480789</v>
      </c>
      <c r="AK12" s="470">
        <f t="shared" ref="AK12" si="19">AK5/AJ5*100</f>
        <v>105.02559174325208</v>
      </c>
      <c r="AL12" s="470">
        <f t="shared" ref="AL12" si="20">AL5/AK5*100</f>
        <v>92.519072073944159</v>
      </c>
      <c r="AM12" s="470">
        <f t="shared" ref="AM12" si="21">AM5/AL5*100</f>
        <v>105.06942467444046</v>
      </c>
      <c r="AN12" s="470">
        <f t="shared" ref="AN12" si="22">AN5/AM5*100</f>
        <v>108.74549590411597</v>
      </c>
      <c r="AO12" s="470">
        <f t="shared" ref="AO12" si="23">AO5/AN5*100</f>
        <v>108.82586291523243</v>
      </c>
      <c r="AP12" s="470">
        <f t="shared" ref="AP12" si="24">AP5/AO5*100</f>
        <v>109.6658639313373</v>
      </c>
      <c r="AS12" s="472"/>
      <c r="AT12" s="472"/>
    </row>
    <row r="13" spans="2:68">
      <c r="C13" s="59"/>
      <c r="D13" s="59"/>
      <c r="E13" s="59"/>
      <c r="F13" s="59"/>
      <c r="G13" s="1106"/>
      <c r="H13" s="1106"/>
      <c r="I13" s="1106"/>
      <c r="J13" s="1106"/>
      <c r="K13" s="1106"/>
      <c r="L13" s="1106"/>
      <c r="M13" s="1119">
        <v>2.0539847317639524</v>
      </c>
      <c r="N13" s="1119">
        <v>2.0353672340568356</v>
      </c>
      <c r="O13" s="1119">
        <v>2.0770625103423876</v>
      </c>
      <c r="P13" s="1119">
        <v>1.8452710279301732</v>
      </c>
      <c r="Q13" s="1106"/>
      <c r="R13" s="109"/>
      <c r="S13" s="109"/>
      <c r="T13" s="109"/>
      <c r="U13" s="109"/>
      <c r="W13" s="727">
        <f>W5-V5</f>
        <v>8.1000000000000227</v>
      </c>
      <c r="X13" s="727">
        <f t="shared" ref="X13:AD13" si="25">X5-W5</f>
        <v>299.29999999999995</v>
      </c>
      <c r="Y13" s="727">
        <f t="shared" si="25"/>
        <v>-124.70000000000005</v>
      </c>
      <c r="Z13" s="727">
        <f t="shared" si="25"/>
        <v>101.10000000000014</v>
      </c>
      <c r="AA13" s="727">
        <f t="shared" si="25"/>
        <v>232.5</v>
      </c>
      <c r="AB13" s="727">
        <f t="shared" si="25"/>
        <v>742.69999999999982</v>
      </c>
      <c r="AC13" s="727">
        <f t="shared" si="25"/>
        <v>-7.5999999999999091</v>
      </c>
      <c r="AD13" s="727">
        <f t="shared" si="25"/>
        <v>-280.52199999999993</v>
      </c>
      <c r="AE13" s="727">
        <f>AE5-AD5</f>
        <v>86.021999999999935</v>
      </c>
      <c r="AF13" s="727">
        <f>AF5-AE5</f>
        <v>540.40000000000009</v>
      </c>
      <c r="AG13" s="727">
        <f>AG5-AF5</f>
        <v>184.88513086958528</v>
      </c>
      <c r="AH13" s="727">
        <f>AH5-AG5</f>
        <v>167.67350941269478</v>
      </c>
      <c r="AI13" s="727">
        <f>AI5-AH5</f>
        <v>133.00818187616005</v>
      </c>
      <c r="AJ13" s="727">
        <f t="shared" ref="AJ13" si="26">AJ5-AI5</f>
        <v>167.17273564762036</v>
      </c>
      <c r="AK13" s="727">
        <f t="shared" ref="AK13" si="27">AK5-AJ5</f>
        <v>157.83572230240998</v>
      </c>
      <c r="AL13" s="727">
        <f t="shared" ref="AL13" si="28">AL5-AK5</f>
        <v>-246.75655836368333</v>
      </c>
      <c r="AM13" s="727">
        <f t="shared" ref="AM13" si="29">AM5-AL5</f>
        <v>154.70458187464919</v>
      </c>
      <c r="AN13" s="727">
        <f t="shared" ref="AN13" si="30">AN5-AM5</f>
        <v>280.41761868665799</v>
      </c>
      <c r="AO13" s="727">
        <f t="shared" ref="AO13" si="31">AO5-AN5</f>
        <v>307.74379987496241</v>
      </c>
      <c r="AP13" s="727">
        <f t="shared" ref="AP13" si="32">AP5-AO5</f>
        <v>366.77939600533455</v>
      </c>
      <c r="AS13" s="473"/>
      <c r="AT13" s="472"/>
      <c r="AU13" s="472"/>
    </row>
    <row r="14" spans="2:68">
      <c r="B14" s="107"/>
      <c r="C14" s="107" t="s">
        <v>412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115">
        <v>839796.1</v>
      </c>
      <c r="N14" s="1115">
        <v>836856.3</v>
      </c>
      <c r="O14" s="1115">
        <v>817127.4</v>
      </c>
      <c r="P14" s="1115">
        <v>643429.4</v>
      </c>
      <c r="Q14" s="1"/>
      <c r="R14" s="107"/>
      <c r="S14" s="107"/>
      <c r="T14" s="107"/>
      <c r="U14" s="107"/>
      <c r="AF14"/>
      <c r="AP14" s="112"/>
      <c r="AS14" s="474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</row>
    <row r="15" spans="2:68" ht="18.75">
      <c r="B15" s="59" t="s">
        <v>172</v>
      </c>
      <c r="C15" s="53" t="s">
        <v>413</v>
      </c>
      <c r="G15" s="1106">
        <v>273541.2</v>
      </c>
      <c r="H15" s="1106">
        <v>286993.8</v>
      </c>
      <c r="I15" s="1106">
        <v>305430</v>
      </c>
      <c r="J15" s="1106">
        <v>316676.09999999998</v>
      </c>
      <c r="K15" s="1106">
        <v>342633.8</v>
      </c>
      <c r="L15" s="1106">
        <v>375281</v>
      </c>
      <c r="M15" s="1106">
        <v>408861.9</v>
      </c>
      <c r="N15" s="1106">
        <v>411157.4</v>
      </c>
      <c r="O15" s="1106">
        <v>393405.3</v>
      </c>
      <c r="P15" s="1106">
        <v>348691</v>
      </c>
      <c r="Q15" s="109">
        <v>339385.79321715375</v>
      </c>
      <c r="R15" s="1120">
        <v>277.64999999999998</v>
      </c>
      <c r="S15" s="1120">
        <v>264798.90000000002</v>
      </c>
      <c r="T15" s="1120">
        <v>200200</v>
      </c>
      <c r="U15" s="1123">
        <v>125700</v>
      </c>
      <c r="V15">
        <v>130900</v>
      </c>
      <c r="W15">
        <v>129700</v>
      </c>
      <c r="X15">
        <v>101400</v>
      </c>
      <c r="Y15">
        <v>94800</v>
      </c>
      <c r="Z15">
        <v>96800</v>
      </c>
      <c r="AA15">
        <v>87000</v>
      </c>
      <c r="AB15">
        <v>55600</v>
      </c>
      <c r="AC15">
        <v>56500</v>
      </c>
      <c r="AD15">
        <v>59100</v>
      </c>
      <c r="AE15" s="175">
        <v>76100</v>
      </c>
      <c r="AF15" s="175">
        <v>80100</v>
      </c>
      <c r="AG15" s="112">
        <f>Industry!AG152*1000</f>
        <v>97542.283676990526</v>
      </c>
      <c r="AH15" s="112">
        <f>Industry!AH152*1000</f>
        <v>112373.5880388317</v>
      </c>
      <c r="AI15" s="112">
        <f>Industry!AI152*1000</f>
        <v>129429.58805494905</v>
      </c>
      <c r="AJ15" s="112">
        <f>Industry!AJ152*1000</f>
        <v>149043.98807348401</v>
      </c>
      <c r="AK15" s="112">
        <f>Industry!AK152*1000</f>
        <v>171600.54809479919</v>
      </c>
      <c r="AL15" s="112">
        <f>Industry!AL152*1000</f>
        <v>197540.59211931165</v>
      </c>
      <c r="AM15" s="112">
        <f>Industry!AM152*1000</f>
        <v>227371.64274750097</v>
      </c>
      <c r="AN15" s="112">
        <f>Industry!AN152*1000</f>
        <v>261677.35096991868</v>
      </c>
      <c r="AO15" s="112">
        <f>Industry!AO152*1000</f>
        <v>301128.91542569909</v>
      </c>
      <c r="AP15" s="112">
        <f>Industry!AP152*1000</f>
        <v>346498.21454984648</v>
      </c>
      <c r="AS15" t="s">
        <v>946</v>
      </c>
    </row>
    <row r="16" spans="2:68">
      <c r="C16" s="54" t="s">
        <v>405</v>
      </c>
      <c r="D16" s="54"/>
      <c r="E16" s="54"/>
      <c r="F16" s="54"/>
      <c r="G16"/>
      <c r="H16"/>
      <c r="I16"/>
      <c r="J16"/>
      <c r="K16"/>
      <c r="L16"/>
      <c r="M16"/>
      <c r="N16"/>
      <c r="O16"/>
      <c r="P16"/>
      <c r="Q16" s="1109">
        <v>10838.999999999998</v>
      </c>
      <c r="R16" s="1110">
        <v>14653.530199999999</v>
      </c>
      <c r="S16" s="1110">
        <v>11278.052009698275</v>
      </c>
      <c r="T16" s="1110">
        <v>8956.2218528392914</v>
      </c>
      <c r="U16" s="1124">
        <v>5202.3894958498104</v>
      </c>
      <c r="V16" s="175">
        <f>(Industry!V153+Industry!V154)*1000</f>
        <v>5756.979943299194</v>
      </c>
      <c r="W16" s="175">
        <f>(Industry!W153+Industry!W154)*1000</f>
        <v>5351.3839444183022</v>
      </c>
      <c r="X16" s="175">
        <f>(Industry!X153+Industry!X154)*1000</f>
        <v>4267.0354576142836</v>
      </c>
      <c r="Y16" s="175">
        <f>(Industry!Y153+Industry!Y154)*1000</f>
        <v>3964.9078257948436</v>
      </c>
      <c r="Z16" s="175">
        <f>(Industry!Z153+Industry!Z154)*1000</f>
        <v>4171.8445599177476</v>
      </c>
      <c r="AA16" s="175">
        <f>(Industry!AA153+Industry!AA154)*1000</f>
        <v>3476.5371332647896</v>
      </c>
      <c r="AB16" s="175">
        <f>(Industry!AB153+Industry!AB154)*1000</f>
        <v>2503.9344828871403</v>
      </c>
      <c r="AC16" s="175">
        <f>(Industry!AC153+Industry!AC154)*1000</f>
        <v>2566.0155031240115</v>
      </c>
      <c r="AD16" s="175">
        <f>(Industry!AD153+Industry!AD154)*1000</f>
        <v>2756.3972985170826</v>
      </c>
      <c r="AE16" s="175">
        <f>(Industry!AE153+Industry!AE154)*1000</f>
        <v>3402.0399089805446</v>
      </c>
      <c r="AF16" s="175">
        <f>(Industry!AF153+Industry!AF154)*1000</f>
        <v>3654.5027246104869</v>
      </c>
      <c r="AG16" s="175">
        <f>(Industry!AG153+Industry!AG154)*1000</f>
        <v>4002.7163230094588</v>
      </c>
      <c r="AH16" s="175">
        <f>(Industry!AH153+Industry!AH154)*1000</f>
        <v>4403.1619611682763</v>
      </c>
      <c r="AI16" s="175">
        <f>(Industry!AI153+Industry!AI154)*1000</f>
        <v>4863.6744450509168</v>
      </c>
      <c r="AJ16" s="175">
        <f>(Industry!AJ153+Industry!AJ154)*1000</f>
        <v>5393.2638015159537</v>
      </c>
      <c r="AK16" s="175">
        <f>(Industry!AK153+Industry!AK154)*1000</f>
        <v>6002.2915614507428</v>
      </c>
      <c r="AL16" s="175">
        <f>(Industry!AL153+Industry!AL154)*1000</f>
        <v>6702.6734853757534</v>
      </c>
      <c r="AM16" s="175">
        <f>(Industry!AM153+Industry!AM154)*1000</f>
        <v>7508.1126978895145</v>
      </c>
      <c r="AN16" s="175">
        <f>(Industry!AN153+Industry!AN154)*1000</f>
        <v>8434.3677922803399</v>
      </c>
      <c r="AO16" s="175">
        <f>(Industry!AO153+Industry!AO154)*1000</f>
        <v>9499.5611508297879</v>
      </c>
      <c r="AP16" s="175">
        <f>(Industry!AP153+Industry!AP154)*1000</f>
        <v>10724.533513161654</v>
      </c>
    </row>
    <row r="17" spans="2:68" ht="18">
      <c r="B17" s="59" t="s">
        <v>414</v>
      </c>
      <c r="C17" s="53" t="s">
        <v>415</v>
      </c>
      <c r="G17" s="1106">
        <v>78795.7</v>
      </c>
      <c r="H17" s="1106">
        <v>75382.8</v>
      </c>
      <c r="I17" s="1106">
        <v>140744.9</v>
      </c>
      <c r="J17" s="1106">
        <v>149262.70000000001</v>
      </c>
      <c r="K17" s="1106">
        <v>133072.70000000001</v>
      </c>
      <c r="L17" s="1106">
        <v>132874</v>
      </c>
      <c r="M17" s="1106">
        <v>120404.7</v>
      </c>
      <c r="N17" s="1106">
        <v>119965.3</v>
      </c>
      <c r="O17" s="1106">
        <v>83591.8</v>
      </c>
      <c r="P17" s="1106">
        <v>86648.2</v>
      </c>
      <c r="Q17" s="109">
        <v>94700</v>
      </c>
      <c r="R17" s="1120">
        <v>72357.3</v>
      </c>
      <c r="S17" s="1120">
        <v>143848.9</v>
      </c>
      <c r="T17" s="1120">
        <v>114500</v>
      </c>
      <c r="U17" s="1123">
        <v>86400</v>
      </c>
      <c r="V17">
        <f>Industry!V182</f>
        <v>107800</v>
      </c>
      <c r="W17">
        <f>Industry!W182</f>
        <v>87370</v>
      </c>
      <c r="X17">
        <f>Industry!X182</f>
        <v>75900</v>
      </c>
      <c r="Y17">
        <f>Industry!Y182</f>
        <v>93000</v>
      </c>
      <c r="Z17">
        <f>Industry!Z182</f>
        <v>94100</v>
      </c>
      <c r="AA17">
        <f>Industry!AA182</f>
        <v>100100</v>
      </c>
      <c r="AB17">
        <f>Industry!AB182</f>
        <v>100600</v>
      </c>
      <c r="AC17">
        <f>Industry!AC182</f>
        <v>81000</v>
      </c>
      <c r="AD17">
        <f>Industry!AD182</f>
        <v>109300</v>
      </c>
      <c r="AE17">
        <f>Industry!AE182</f>
        <v>100523.8</v>
      </c>
      <c r="AF17">
        <f>Industry!AF182</f>
        <v>93000</v>
      </c>
      <c r="AG17" s="112">
        <f>Industry!AG182</f>
        <v>94936.225999999995</v>
      </c>
      <c r="AH17" s="112">
        <f>Industry!AH182</f>
        <v>104310.50020159998</v>
      </c>
      <c r="AI17" s="112">
        <f>Industry!AI182</f>
        <v>83338.599634751983</v>
      </c>
      <c r="AJ17" s="112">
        <f>Industry!AJ182</f>
        <v>105423.32853796126</v>
      </c>
      <c r="AK17" s="112">
        <f>Industry!AK182</f>
        <v>99575.847915055681</v>
      </c>
      <c r="AL17" s="112">
        <f>Industry!AL182</f>
        <v>100770.75809003635</v>
      </c>
      <c r="AM17" s="112">
        <f>Industry!AM182</f>
        <v>101980.00718711679</v>
      </c>
      <c r="AN17" s="112">
        <f>Industry!AN182</f>
        <v>103203.76727336219</v>
      </c>
      <c r="AO17" s="112">
        <f>Industry!AO182</f>
        <v>104442.21248064254</v>
      </c>
      <c r="AP17" s="112">
        <f>Industry!AP182</f>
        <v>120794.87889189745</v>
      </c>
      <c r="AS17" t="s">
        <v>947</v>
      </c>
    </row>
    <row r="18" spans="2:68" ht="18">
      <c r="B18" s="59" t="s">
        <v>416</v>
      </c>
      <c r="C18" s="53" t="s">
        <v>417</v>
      </c>
      <c r="G18"/>
      <c r="H18"/>
      <c r="I18"/>
      <c r="J18"/>
      <c r="K18"/>
      <c r="L18"/>
      <c r="M18"/>
      <c r="N18"/>
      <c r="O18"/>
      <c r="P18" s="1121">
        <v>194</v>
      </c>
      <c r="Q18" s="1118">
        <v>257</v>
      </c>
      <c r="R18" s="471">
        <v>89.686000000000007</v>
      </c>
      <c r="S18" s="471">
        <v>103.324</v>
      </c>
      <c r="T18" s="471">
        <v>227</v>
      </c>
      <c r="U18" s="178">
        <v>179.3</v>
      </c>
      <c r="V18" s="471">
        <v>220.4</v>
      </c>
      <c r="W18" s="283">
        <v>170.4</v>
      </c>
      <c r="X18" s="283">
        <v>118.6</v>
      </c>
      <c r="Y18" s="283">
        <v>136.9</v>
      </c>
      <c r="Z18" s="283">
        <v>118.4</v>
      </c>
      <c r="AA18" s="283">
        <v>129</v>
      </c>
      <c r="AB18" s="283">
        <v>208</v>
      </c>
      <c r="AC18" s="283">
        <v>189.3</v>
      </c>
      <c r="AD18" s="283">
        <v>177.1</v>
      </c>
      <c r="AE18" s="660">
        <v>165.3</v>
      </c>
      <c r="AF18" s="284">
        <f t="shared" ref="AF18:AI18" si="33">AE18*1.02</f>
        <v>168.60600000000002</v>
      </c>
      <c r="AG18" s="284">
        <f t="shared" si="33"/>
        <v>171.97812000000002</v>
      </c>
      <c r="AH18" s="284">
        <f t="shared" si="33"/>
        <v>175.41768240000002</v>
      </c>
      <c r="AI18" s="284">
        <f t="shared" si="33"/>
        <v>178.92603604800001</v>
      </c>
      <c r="AJ18" s="284">
        <f t="shared" ref="AJ18" si="34">AI18*1.02</f>
        <v>182.50455676896001</v>
      </c>
      <c r="AK18" s="284">
        <f t="shared" ref="AK18" si="35">AJ18*1.02</f>
        <v>186.15464790433921</v>
      </c>
      <c r="AL18" s="284">
        <f t="shared" ref="AL18" si="36">AK18*1.02</f>
        <v>189.87774086242601</v>
      </c>
      <c r="AM18" s="284">
        <f t="shared" ref="AM18" si="37">AL18*1.02</f>
        <v>193.67529567967452</v>
      </c>
      <c r="AN18" s="284">
        <f t="shared" ref="AN18" si="38">AM18*1.02</f>
        <v>197.54880159326802</v>
      </c>
      <c r="AO18" s="284">
        <f t="shared" ref="AO18" si="39">AN18*1.02</f>
        <v>201.49977762513339</v>
      </c>
      <c r="AP18" s="284">
        <f t="shared" ref="AP18" si="40">AO18*1.02</f>
        <v>205.52977317763606</v>
      </c>
      <c r="AS18" t="s">
        <v>948</v>
      </c>
    </row>
    <row r="19" spans="2:68" ht="18">
      <c r="B19" s="59" t="s">
        <v>95</v>
      </c>
      <c r="C19" s="53" t="s">
        <v>418</v>
      </c>
      <c r="G19" s="1106">
        <v>3908.7</v>
      </c>
      <c r="H19" s="1106">
        <v>4047</v>
      </c>
      <c r="I19" s="1106">
        <v>3831.2</v>
      </c>
      <c r="J19" s="1106">
        <v>4597.2</v>
      </c>
      <c r="K19" s="1106">
        <v>4451</v>
      </c>
      <c r="L19" s="1106">
        <v>4257.8999999999996</v>
      </c>
      <c r="M19" s="1106">
        <v>4231.2</v>
      </c>
      <c r="N19" s="1120">
        <v>4464</v>
      </c>
      <c r="O19" s="1120">
        <v>5539</v>
      </c>
      <c r="P19" s="1120">
        <v>5960</v>
      </c>
      <c r="Q19" s="948">
        <v>286</v>
      </c>
      <c r="R19" s="392">
        <v>297</v>
      </c>
      <c r="S19" s="957">
        <v>775</v>
      </c>
      <c r="T19" s="957">
        <v>1061</v>
      </c>
      <c r="U19" s="1123">
        <v>1364</v>
      </c>
      <c r="V19" s="181">
        <v>1396</v>
      </c>
      <c r="W19" s="182">
        <v>1428</v>
      </c>
      <c r="X19" s="183">
        <v>1421</v>
      </c>
      <c r="Y19" s="183">
        <v>2945</v>
      </c>
      <c r="Z19" s="183">
        <v>3175</v>
      </c>
      <c r="AA19" s="183">
        <v>1870.3</v>
      </c>
      <c r="AB19" s="183">
        <v>3302.6</v>
      </c>
      <c r="AC19" s="183">
        <v>3341</v>
      </c>
      <c r="AD19" s="183">
        <v>3606.6</v>
      </c>
      <c r="AE19" s="665">
        <v>3901.7</v>
      </c>
      <c r="AF19" s="184">
        <f t="shared" ref="AF19:AI19" si="41">AE19*1.012</f>
        <v>3948.5203999999999</v>
      </c>
      <c r="AG19" s="184">
        <f t="shared" si="41"/>
        <v>3995.9026448</v>
      </c>
      <c r="AH19" s="184">
        <f t="shared" si="41"/>
        <v>4043.8534765375998</v>
      </c>
      <c r="AI19" s="184">
        <f t="shared" si="41"/>
        <v>4092.3797182560511</v>
      </c>
      <c r="AJ19" s="184">
        <f t="shared" ref="AJ19" si="42">AI19*1.012</f>
        <v>4141.4882748751234</v>
      </c>
      <c r="AK19" s="184">
        <f t="shared" ref="AK19" si="43">AJ19*1.012</f>
        <v>4191.1861341736249</v>
      </c>
      <c r="AL19" s="184">
        <f t="shared" ref="AL19" si="44">AK19*1.012</f>
        <v>4241.4803677837081</v>
      </c>
      <c r="AM19" s="184">
        <f t="shared" ref="AM19" si="45">AL19*1.012</f>
        <v>4292.3781321971128</v>
      </c>
      <c r="AN19" s="184">
        <f t="shared" ref="AN19" si="46">AM19*1.012</f>
        <v>4343.8866697834783</v>
      </c>
      <c r="AO19" s="184">
        <f t="shared" ref="AO19" si="47">AN19*1.012</f>
        <v>4396.0133098208798</v>
      </c>
      <c r="AP19" s="184">
        <f t="shared" ref="AP19" si="48">AO19*1.012</f>
        <v>4448.76546953873</v>
      </c>
      <c r="AS19" t="s">
        <v>949</v>
      </c>
    </row>
    <row r="20" spans="2:68" ht="18.75">
      <c r="B20" s="59" t="s">
        <v>419</v>
      </c>
      <c r="C20" s="53" t="s">
        <v>420</v>
      </c>
      <c r="G20" s="1106"/>
      <c r="H20" s="1106">
        <v>72.710054115674879</v>
      </c>
      <c r="I20" s="1106">
        <v>62.43762380010768</v>
      </c>
      <c r="J20" s="1106">
        <v>100</v>
      </c>
      <c r="K20" s="1106">
        <v>156.47845050347766</v>
      </c>
      <c r="L20" s="1106">
        <v>138.73315640722808</v>
      </c>
      <c r="M20" s="1106">
        <v>279.94878249065283</v>
      </c>
      <c r="N20" s="1106">
        <v>594.05760572372992</v>
      </c>
      <c r="O20" s="1106">
        <v>303.99211654174013</v>
      </c>
      <c r="P20" s="1106">
        <v>712.05336926866948</v>
      </c>
      <c r="Q20" s="1106">
        <v>587.95219251352546</v>
      </c>
      <c r="R20" s="469">
        <v>319.27509921993959</v>
      </c>
      <c r="S20" s="469">
        <v>268951.8223488573</v>
      </c>
      <c r="T20" s="469">
        <v>199892.71536904032</v>
      </c>
      <c r="U20" s="1125">
        <v>211160.56200667869</v>
      </c>
      <c r="V20" s="138">
        <v>217540.62261378896</v>
      </c>
      <c r="W20" s="112">
        <f t="shared" ref="W20:AB20" si="49">(V3*W33-SUM(V6:V10)*W34)/(V3-SUM(V6:V10))*V20/100</f>
        <v>220633.45556288154</v>
      </c>
      <c r="X20" s="112">
        <f t="shared" si="49"/>
        <v>251293.22757283063</v>
      </c>
      <c r="Y20" s="112">
        <f t="shared" si="49"/>
        <v>240295.23265164331</v>
      </c>
      <c r="Z20" s="112">
        <f t="shared" si="49"/>
        <v>276297.69245837128</v>
      </c>
      <c r="AA20" s="112">
        <f t="shared" si="49"/>
        <v>360225.41923825344</v>
      </c>
      <c r="AB20" s="112">
        <f t="shared" si="49"/>
        <v>415732.30649720709</v>
      </c>
      <c r="AC20" s="112">
        <f t="shared" ref="AC20:AH20" si="50">(AB3*AC33-SUM(AB6:AB10)*AC34)/(AB3-SUM(AB6:AB10))*AB20/100</f>
        <v>362052.03956681758</v>
      </c>
      <c r="AD20" s="112">
        <f t="shared" si="50"/>
        <v>369024.64728439006</v>
      </c>
      <c r="AE20" s="112">
        <f t="shared" si="50"/>
        <v>385075.41660244094</v>
      </c>
      <c r="AF20" s="112">
        <f t="shared" si="50"/>
        <v>447766.19745097903</v>
      </c>
      <c r="AG20" s="112">
        <f>(AF3*AG33-SUM(AF6:AF10)*AG34)/(AF3-SUM(AF6:AF10))*AF20/100</f>
        <v>465141.37640556594</v>
      </c>
      <c r="AH20" s="112">
        <f t="shared" si="50"/>
        <v>482914.98892794666</v>
      </c>
      <c r="AI20" s="112">
        <f>(AH3*AI33-SUM(AH6:AH10)*AI34)/(AH3-SUM(AH6:AH10))*AH20/100</f>
        <v>488863.57133583643</v>
      </c>
      <c r="AJ20" s="112">
        <f t="shared" ref="AJ20:AP20" si="51">(AI3*AJ33-SUM(AI6:AI10)*AJ34)/(AI3-SUM(AI6:AI10))*AI20/100</f>
        <v>501651.62024887145</v>
      </c>
      <c r="AK20" s="112">
        <f t="shared" si="51"/>
        <v>510015.56976556708</v>
      </c>
      <c r="AL20" s="112">
        <f t="shared" si="51"/>
        <v>468421.57205119805</v>
      </c>
      <c r="AM20" s="112">
        <f t="shared" si="51"/>
        <v>488708.48866768827</v>
      </c>
      <c r="AN20" s="112">
        <f t="shared" si="51"/>
        <v>527858.6369921749</v>
      </c>
      <c r="AO20" s="112">
        <f t="shared" si="51"/>
        <v>570729.49624399084</v>
      </c>
      <c r="AP20" s="112">
        <f t="shared" si="51"/>
        <v>622108.19321466098</v>
      </c>
      <c r="AS20" t="s">
        <v>950</v>
      </c>
    </row>
    <row r="21" spans="2:68">
      <c r="G21" s="1106"/>
      <c r="H21" s="1106"/>
      <c r="I21" s="1106"/>
      <c r="J21" s="1106"/>
      <c r="K21" s="1106"/>
      <c r="L21" s="1106"/>
      <c r="M21" s="1106"/>
      <c r="N21" s="1106"/>
      <c r="O21" s="1106"/>
      <c r="P21" s="1106"/>
      <c r="Q21" s="109"/>
      <c r="R21" s="1106"/>
      <c r="S21" s="1106"/>
      <c r="T21" s="1106"/>
      <c r="U21" s="1106"/>
      <c r="AF21"/>
      <c r="AP21" s="112"/>
    </row>
    <row r="22" spans="2:68">
      <c r="G22" s="1106"/>
      <c r="H22" s="1106"/>
      <c r="I22" s="1106"/>
      <c r="J22" s="1106"/>
      <c r="K22" s="1106"/>
      <c r="L22" s="1106"/>
      <c r="M22" s="1106"/>
      <c r="N22" s="1106"/>
      <c r="O22" s="1106"/>
      <c r="P22" s="1106"/>
      <c r="Q22" s="109"/>
      <c r="R22" s="1106"/>
      <c r="S22" s="1106"/>
      <c r="T22" s="1106"/>
      <c r="U22" s="1106"/>
      <c r="AF22"/>
      <c r="AP22" s="112"/>
    </row>
    <row r="23" spans="2:68">
      <c r="B23" s="107"/>
      <c r="C23" s="107" t="s">
        <v>421</v>
      </c>
      <c r="D23" s="107"/>
      <c r="E23" s="107"/>
      <c r="F23" s="107"/>
      <c r="G23" s="1114"/>
      <c r="H23" s="1114"/>
      <c r="I23" s="1114"/>
      <c r="J23" s="1114"/>
      <c r="K23" s="1114"/>
      <c r="L23" s="1114"/>
      <c r="M23" s="1114"/>
      <c r="N23" s="1114"/>
      <c r="O23" s="1114"/>
      <c r="P23" s="1114"/>
      <c r="Q23" s="1122"/>
      <c r="R23" s="107"/>
      <c r="S23" s="107"/>
      <c r="T23" s="107"/>
      <c r="U23" s="107"/>
      <c r="AF23"/>
      <c r="AP23" s="112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</row>
    <row r="24" spans="2:68" ht="18.75">
      <c r="B24" s="59" t="s">
        <v>183</v>
      </c>
      <c r="C24" s="53" t="s">
        <v>422</v>
      </c>
      <c r="G24" s="1106">
        <v>1584.9725745152832</v>
      </c>
      <c r="H24" s="1106">
        <v>1388.1731939853753</v>
      </c>
      <c r="I24" s="1106">
        <v>1304.898667452444</v>
      </c>
      <c r="J24" s="1106">
        <v>1356.4452764196603</v>
      </c>
      <c r="K24" s="1106">
        <v>1644.1880514998813</v>
      </c>
      <c r="L24" s="1106">
        <v>1500.2518113093922</v>
      </c>
      <c r="M24" s="1106">
        <v>2566.906331942399</v>
      </c>
      <c r="N24" s="1106">
        <v>2633.9851842627663</v>
      </c>
      <c r="O24" s="1106">
        <v>2574.9312477488229</v>
      </c>
      <c r="P24" s="1106">
        <v>1690.5010453381362</v>
      </c>
      <c r="Q24" s="109">
        <v>2167.1502305030053</v>
      </c>
      <c r="R24" s="471">
        <v>2393661.0840986855</v>
      </c>
      <c r="S24" s="471">
        <v>2022.3233555728514</v>
      </c>
      <c r="T24" s="471">
        <v>1845.6543456543457</v>
      </c>
      <c r="U24" s="471">
        <v>1863.1662688941924</v>
      </c>
      <c r="V24" s="94">
        <f t="shared" ref="V24:AC24" si="52">V6/V15*1000000</f>
        <v>1651.6424751718869</v>
      </c>
      <c r="W24" s="94">
        <f t="shared" si="52"/>
        <v>1599.8457979953739</v>
      </c>
      <c r="X24" s="94">
        <f t="shared" si="52"/>
        <v>1979.2899408284022</v>
      </c>
      <c r="Y24" s="94">
        <f t="shared" si="52"/>
        <v>2102.3206751054854</v>
      </c>
      <c r="Z24" s="94">
        <f t="shared" si="52"/>
        <v>1789.2561983471073</v>
      </c>
      <c r="AA24" s="94">
        <f t="shared" si="52"/>
        <v>1565.5172413793102</v>
      </c>
      <c r="AB24" s="94">
        <f t="shared" si="52"/>
        <v>2429.8561151079134</v>
      </c>
      <c r="AC24" s="94">
        <f t="shared" si="52"/>
        <v>2476.1061946902655</v>
      </c>
      <c r="AD24" s="94">
        <f>AD6/AD15*1000000</f>
        <v>2238.5786802030461</v>
      </c>
      <c r="AE24" s="666">
        <f>AE6/AE15*1000000</f>
        <v>2412.6149802890932</v>
      </c>
      <c r="AF24" s="666">
        <f>AF6/AF15*1000000</f>
        <v>2594.2571785268419</v>
      </c>
      <c r="AG24" s="114">
        <f>AF24*Assumptions!AG7/Assumptions!AF7</f>
        <v>2731.8620834721032</v>
      </c>
      <c r="AH24" s="114">
        <f>AG24*Assumptions!AH7/Assumptions!AG7</f>
        <v>2782.45212205492</v>
      </c>
      <c r="AI24" s="114">
        <f>AH24*Assumptions!AI7/Assumptions!AH7</f>
        <v>2833.0421606377367</v>
      </c>
      <c r="AJ24" s="114">
        <f>AI24*Assumptions!AJ7/Assumptions!AI7</f>
        <v>2883.6321992205535</v>
      </c>
      <c r="AK24" s="114">
        <f>AJ24*Assumptions!AK7/Assumptions!AJ7</f>
        <v>2934.2222378033703</v>
      </c>
      <c r="AL24" s="114">
        <f>AK24*Assumptions!AL7/Assumptions!AK7</f>
        <v>2934.2222378033703</v>
      </c>
      <c r="AM24" s="114">
        <f>AL24*Assumptions!AM7/Assumptions!AL7</f>
        <v>2934.2222378033703</v>
      </c>
      <c r="AN24" s="114">
        <f>AM24*Assumptions!AN7/Assumptions!AM7</f>
        <v>2934.2222378033703</v>
      </c>
      <c r="AO24" s="114">
        <f>AN24*Assumptions!AO7/Assumptions!AN7</f>
        <v>2934.2222378033703</v>
      </c>
      <c r="AP24" s="114">
        <f>AO24*Assumptions!AP7/Assumptions!AO7</f>
        <v>2934.2222378033703</v>
      </c>
      <c r="AS24" t="s">
        <v>951</v>
      </c>
    </row>
    <row r="25" spans="2:68">
      <c r="C25" s="54" t="s">
        <v>405</v>
      </c>
      <c r="D25" s="54"/>
      <c r="E25" s="54"/>
      <c r="F25" s="54"/>
      <c r="G25"/>
      <c r="H25"/>
      <c r="I25"/>
      <c r="J25"/>
      <c r="K25"/>
      <c r="L25"/>
      <c r="M25"/>
      <c r="N25"/>
      <c r="O25"/>
      <c r="P25"/>
      <c r="Q25" s="109">
        <v>1466.7404742134886</v>
      </c>
      <c r="R25" s="1110">
        <v>1146.4490652225224</v>
      </c>
      <c r="S25" s="1110">
        <v>929.97948129524536</v>
      </c>
      <c r="T25" s="1110">
        <v>361.50146350414332</v>
      </c>
      <c r="U25" s="1124">
        <v>704.49129393407486</v>
      </c>
      <c r="V25" s="475">
        <f>V7/V16*1000000</f>
        <v>1316.5810248620387</v>
      </c>
      <c r="W25" s="475">
        <f t="shared" ref="W25:AP25" si="53">W7/W16*1000000</f>
        <v>1455.6125616961551</v>
      </c>
      <c r="X25" s="475">
        <f t="shared" si="53"/>
        <v>1962.2367672856039</v>
      </c>
      <c r="Y25" s="475">
        <f t="shared" si="53"/>
        <v>2083.7321072614518</v>
      </c>
      <c r="Z25" s="475">
        <f t="shared" si="53"/>
        <v>1773.4357240364204</v>
      </c>
      <c r="AA25" s="475">
        <f t="shared" si="53"/>
        <v>1551.6750507958384</v>
      </c>
      <c r="AB25" s="475">
        <f t="shared" si="53"/>
        <v>2408.3715025168021</v>
      </c>
      <c r="AC25" s="475">
        <f t="shared" si="53"/>
        <v>2454.2126422298529</v>
      </c>
      <c r="AD25" s="475">
        <f t="shared" si="53"/>
        <v>2121.3272272910135</v>
      </c>
      <c r="AE25" s="475">
        <f t="shared" si="53"/>
        <v>2166.0755357757857</v>
      </c>
      <c r="AF25" s="475">
        <f t="shared" si="53"/>
        <v>2304.2785930047221</v>
      </c>
      <c r="AG25" s="475">
        <f t="shared" si="53"/>
        <v>2286.279101929802</v>
      </c>
      <c r="AH25" s="475">
        <f t="shared" si="53"/>
        <v>2241.8210990835901</v>
      </c>
      <c r="AI25" s="475">
        <f t="shared" si="53"/>
        <v>2202.5409876367125</v>
      </c>
      <c r="AJ25" s="475">
        <f t="shared" si="53"/>
        <v>2168.5571468897542</v>
      </c>
      <c r="AK25" s="475">
        <f t="shared" si="53"/>
        <v>2139.8774182958819</v>
      </c>
      <c r="AL25" s="475">
        <f t="shared" si="53"/>
        <v>2093.1847625829073</v>
      </c>
      <c r="AM25" s="475">
        <f t="shared" si="53"/>
        <v>2050.2575468708324</v>
      </c>
      <c r="AN25" s="475">
        <f t="shared" si="53"/>
        <v>2011.0268439555134</v>
      </c>
      <c r="AO25" s="475">
        <f t="shared" si="53"/>
        <v>1975.3693210306901</v>
      </c>
      <c r="AP25" s="475">
        <f t="shared" si="53"/>
        <v>1943.1198099520386</v>
      </c>
    </row>
    <row r="26" spans="2:68" ht="18.75">
      <c r="B26" s="59" t="s">
        <v>423</v>
      </c>
      <c r="C26" s="53" t="s">
        <v>424</v>
      </c>
      <c r="G26" s="1106">
        <v>1165.4011576773862</v>
      </c>
      <c r="H26" s="1106">
        <v>948.49488212165102</v>
      </c>
      <c r="I26" s="1106">
        <v>909.24360314299133</v>
      </c>
      <c r="J26" s="1106">
        <v>1291.2931361954459</v>
      </c>
      <c r="K26" s="1106">
        <v>1214.3535075188224</v>
      </c>
      <c r="L26" s="1106">
        <v>1083.0711802158435</v>
      </c>
      <c r="M26" s="1106">
        <v>1068.6194143584096</v>
      </c>
      <c r="N26" s="1106">
        <v>1149.0414311471734</v>
      </c>
      <c r="O26" s="1106">
        <v>1294.598273993382</v>
      </c>
      <c r="P26" s="1106">
        <v>1150.4312842044035</v>
      </c>
      <c r="Q26" s="109">
        <v>2123.548046462513</v>
      </c>
      <c r="R26" s="476">
        <v>2726.7462992676624</v>
      </c>
      <c r="S26" s="476">
        <v>1556.2510384160048</v>
      </c>
      <c r="T26" s="476">
        <v>1652.1048034934497</v>
      </c>
      <c r="U26" s="476">
        <v>1528.935185185185</v>
      </c>
      <c r="V26" s="94">
        <f t="shared" ref="V26:AC26" si="54">V8/V17*1000000</f>
        <v>1340.4452690166977</v>
      </c>
      <c r="W26" s="94">
        <f t="shared" si="54"/>
        <v>1403.2276525123038</v>
      </c>
      <c r="X26" s="94">
        <f t="shared" si="54"/>
        <v>1594.2028985507245</v>
      </c>
      <c r="Y26" s="94">
        <f t="shared" si="54"/>
        <v>1777.4193548387098</v>
      </c>
      <c r="Z26" s="94">
        <f t="shared" si="54"/>
        <v>1483.5281615302868</v>
      </c>
      <c r="AA26" s="94">
        <f t="shared" si="54"/>
        <v>1358.6413586413587</v>
      </c>
      <c r="AB26" s="94">
        <f t="shared" si="54"/>
        <v>2013.9165009940359</v>
      </c>
      <c r="AC26" s="94">
        <f t="shared" si="54"/>
        <v>2403.7037037037035</v>
      </c>
      <c r="AD26" s="94">
        <f>AD8/AD17*1000000</f>
        <v>1817.0173833485819</v>
      </c>
      <c r="AE26" s="666">
        <f>AE8/AE17*1000000</f>
        <v>1692.1365885491794</v>
      </c>
      <c r="AF26" s="666">
        <f>AF8/AF17*1000000</f>
        <v>1527.9569892473116</v>
      </c>
      <c r="AG26" s="114">
        <f>AF26*Assumptions!AG9/Assumptions!AF9</f>
        <v>1543.390898229608</v>
      </c>
      <c r="AH26" s="114">
        <f>AG26*Assumptions!AH9/Assumptions!AG9</f>
        <v>1562.9274918780841</v>
      </c>
      <c r="AI26" s="114">
        <f>AH26*Assumptions!AI9/Assumptions!AH9</f>
        <v>1660.6104601204643</v>
      </c>
      <c r="AJ26" s="114">
        <f>AI26*Assumptions!AJ9/Assumptions!AI9</f>
        <v>1758.2934283628445</v>
      </c>
      <c r="AK26" s="114">
        <f>AJ26*Assumptions!AK9/Assumptions!AJ9</f>
        <v>1900.9105619967195</v>
      </c>
      <c r="AL26" s="114">
        <f>AK26*Assumptions!AL9/Assumptions!AK9</f>
        <v>1900.9105619967193</v>
      </c>
      <c r="AM26" s="114">
        <f>AL26*Assumptions!AM9/Assumptions!AL9</f>
        <v>1900.9105619967193</v>
      </c>
      <c r="AN26" s="114">
        <f>AM26*Assumptions!AN9/Assumptions!AM9</f>
        <v>1900.9105619967193</v>
      </c>
      <c r="AO26" s="114">
        <f>AN26*Assumptions!AO9/Assumptions!AN9</f>
        <v>1900.9105619967193</v>
      </c>
      <c r="AP26" s="114">
        <f>AO26*Assumptions!AP9/Assumptions!AO9</f>
        <v>1900.9105619967193</v>
      </c>
      <c r="AS26" t="s">
        <v>952</v>
      </c>
    </row>
    <row r="27" spans="2:68" ht="18.75">
      <c r="B27" s="59" t="s">
        <v>425</v>
      </c>
      <c r="C27" s="53" t="s">
        <v>426</v>
      </c>
      <c r="G27"/>
      <c r="H27"/>
      <c r="I27"/>
      <c r="J27"/>
      <c r="K27"/>
      <c r="L27"/>
      <c r="M27"/>
      <c r="N27"/>
      <c r="O27"/>
      <c r="P27" s="472">
        <v>270.10309278350513</v>
      </c>
      <c r="Q27" s="472">
        <v>221</v>
      </c>
      <c r="R27" s="476">
        <v>367.87235465959014</v>
      </c>
      <c r="S27" s="476">
        <v>324.94870504432663</v>
      </c>
      <c r="T27" s="476">
        <v>213.65638766519822</v>
      </c>
      <c r="U27" s="476">
        <v>204.12716118237589</v>
      </c>
      <c r="V27" s="476">
        <f>V9/V18*1000</f>
        <v>145.64428312159711</v>
      </c>
      <c r="W27" s="476">
        <f t="shared" ref="W27:AF27" si="55">W9/W18*1000</f>
        <v>128</v>
      </c>
      <c r="X27" s="476">
        <f t="shared" si="55"/>
        <v>145.8684654300169</v>
      </c>
      <c r="Y27" s="476">
        <f t="shared" si="55"/>
        <v>119.06501095690285</v>
      </c>
      <c r="Z27" s="476">
        <f t="shared" si="55"/>
        <v>153.7162162162162</v>
      </c>
      <c r="AA27" s="476">
        <f t="shared" si="55"/>
        <v>151.16279069767441</v>
      </c>
      <c r="AB27" s="476">
        <f t="shared" si="55"/>
        <v>173.07692307692307</v>
      </c>
      <c r="AC27" s="476">
        <f t="shared" si="55"/>
        <v>272.05493924986791</v>
      </c>
      <c r="AD27" s="476">
        <f t="shared" si="55"/>
        <v>261.43421795595708</v>
      </c>
      <c r="AE27" s="667">
        <f t="shared" si="55"/>
        <v>304.29522081064727</v>
      </c>
      <c r="AF27" s="667">
        <f t="shared" si="55"/>
        <v>451.34811335302413</v>
      </c>
      <c r="AG27" s="112">
        <f>AF27*Assumptions!AG20/Assumptions!AF20</f>
        <v>464.86775730138658</v>
      </c>
      <c r="AH27" s="112">
        <f>AG27*Assumptions!AH20/Assumptions!AG20</f>
        <v>481.1359002941964</v>
      </c>
      <c r="AI27" s="112">
        <f>AH27*Assumptions!AI20/Assumptions!AH20</f>
        <v>499.41939221360411</v>
      </c>
      <c r="AJ27" s="112">
        <f>AI27*Assumptions!AJ20/Assumptions!AI20</f>
        <v>499.41939221360411</v>
      </c>
      <c r="AK27" s="112">
        <f>AJ27*Assumptions!AK20/Assumptions!AJ20</f>
        <v>499.41939221360411</v>
      </c>
      <c r="AL27" s="112">
        <f>AK27*Assumptions!AL20/Assumptions!AK20</f>
        <v>499.41939221360411</v>
      </c>
      <c r="AM27" s="112">
        <f>AL27*Assumptions!AM20/Assumptions!AL20</f>
        <v>499.41939221360411</v>
      </c>
      <c r="AN27" s="112">
        <f>AM27*Assumptions!AN20/Assumptions!AM20</f>
        <v>499.41939221360411</v>
      </c>
      <c r="AO27" s="112">
        <f>AN27*Assumptions!AO20/Assumptions!AN20</f>
        <v>499.41939221360411</v>
      </c>
      <c r="AP27" s="112">
        <f>AO27*Assumptions!AP20/Assumptions!AO20</f>
        <v>499.41939221360411</v>
      </c>
      <c r="AS27" t="s">
        <v>953</v>
      </c>
    </row>
    <row r="28" spans="2:68" ht="18.75">
      <c r="B28" s="59" t="s">
        <v>297</v>
      </c>
      <c r="C28" s="53" t="s">
        <v>298</v>
      </c>
      <c r="G28" s="1116">
        <v>4.6460639087164537E-2</v>
      </c>
      <c r="H28" s="1116">
        <v>1.9408944897454906E-2</v>
      </c>
      <c r="I28" s="1116">
        <v>1.7596131760283986E-2</v>
      </c>
      <c r="J28" s="1116">
        <v>1.1994453145392847E-2</v>
      </c>
      <c r="K28" s="1116">
        <v>1.2936418782296113E-2</v>
      </c>
      <c r="L28" s="1116">
        <v>1.2342939007491957E-2</v>
      </c>
      <c r="M28" s="1116">
        <v>1.1584184155795046E-2</v>
      </c>
      <c r="N28" s="1116">
        <v>1.3998356421695233E-2</v>
      </c>
      <c r="O28" s="1116">
        <v>1.4009660476458449E-2</v>
      </c>
      <c r="P28" s="1116">
        <v>1.4947626144347454E-2</v>
      </c>
      <c r="Q28" s="1116">
        <v>1.2097969369009805E-2</v>
      </c>
      <c r="R28" s="477">
        <v>1.4373737373737374E-2</v>
      </c>
      <c r="S28" s="477">
        <v>2.7529032258064516E-2</v>
      </c>
      <c r="T28" s="477">
        <v>3.135532516493874E-2</v>
      </c>
      <c r="U28" s="477">
        <v>3.2331378299120236E-2</v>
      </c>
      <c r="V28" s="477">
        <f>V10/V19</f>
        <v>3.4670487106017188E-2</v>
      </c>
      <c r="W28" s="477">
        <f t="shared" ref="W28:AP28" si="56">W10/W19</f>
        <v>3.620448179271709E-2</v>
      </c>
      <c r="X28" s="477">
        <f t="shared" si="56"/>
        <v>3.7649542575650952E-2</v>
      </c>
      <c r="Y28" s="477">
        <f t="shared" si="56"/>
        <v>1.9151103565365025E-2</v>
      </c>
      <c r="Z28" s="477">
        <f t="shared" si="56"/>
        <v>2.9322834645669288E-2</v>
      </c>
      <c r="AA28" s="477">
        <f t="shared" si="56"/>
        <v>3.0155590012297492E-2</v>
      </c>
      <c r="AB28" s="477">
        <f t="shared" si="56"/>
        <v>2.9056198146914552E-2</v>
      </c>
      <c r="AC28" s="477">
        <f t="shared" si="56"/>
        <v>3.1786890152648906E-2</v>
      </c>
      <c r="AD28" s="477">
        <f t="shared" si="56"/>
        <v>3.0610547329895193E-2</v>
      </c>
      <c r="AE28" s="477">
        <f>AE10/AE19</f>
        <v>2.8961734628495273E-2</v>
      </c>
      <c r="AF28" s="477">
        <f>AF10/AF19</f>
        <v>3.5760230591692012E-2</v>
      </c>
      <c r="AG28" s="477">
        <f t="shared" si="56"/>
        <v>3.7103006048692308E-2</v>
      </c>
      <c r="AH28" s="477">
        <f t="shared" si="56"/>
        <v>3.8496201927991039E-2</v>
      </c>
      <c r="AI28" s="477">
        <f t="shared" si="56"/>
        <v>3.9941711486551963E-2</v>
      </c>
      <c r="AJ28" s="477">
        <f t="shared" si="56"/>
        <v>4.1441499072015379E-2</v>
      </c>
      <c r="AK28" s="477">
        <f t="shared" si="56"/>
        <v>4.2997602792110817E-2</v>
      </c>
      <c r="AL28" s="477">
        <f t="shared" si="56"/>
        <v>4.4612137284304701E-2</v>
      </c>
      <c r="AM28" s="477">
        <f t="shared" si="56"/>
        <v>4.6287296589446573E-2</v>
      </c>
      <c r="AN28" s="477">
        <f t="shared" si="56"/>
        <v>4.8025357133319083E-2</v>
      </c>
      <c r="AO28" s="477">
        <f t="shared" si="56"/>
        <v>4.9828680820143322E-2</v>
      </c>
      <c r="AP28" s="477">
        <f t="shared" si="56"/>
        <v>5.1699718242243571E-2</v>
      </c>
      <c r="AS28" t="s">
        <v>954</v>
      </c>
    </row>
    <row r="29" spans="2:68" ht="18.75">
      <c r="B29" s="59" t="s">
        <v>427</v>
      </c>
      <c r="C29" s="53" t="s">
        <v>428</v>
      </c>
      <c r="G29" s="1106"/>
      <c r="H29" s="1106">
        <v>71.662396942298571</v>
      </c>
      <c r="I29" s="1106">
        <v>87.930344658695603</v>
      </c>
      <c r="J29" s="1106">
        <v>100</v>
      </c>
      <c r="K29" s="1106">
        <v>88.080766945286058</v>
      </c>
      <c r="L29" s="1106">
        <v>112.442030910466</v>
      </c>
      <c r="M29" s="1106">
        <v>40.803397426330228</v>
      </c>
      <c r="N29" s="1106">
        <v>22.554381867280142</v>
      </c>
      <c r="O29" s="1106">
        <v>52.393474047771399</v>
      </c>
      <c r="P29" s="1106">
        <v>-9.0554139449879507</v>
      </c>
      <c r="Q29" s="1106">
        <v>-11.873889644977343</v>
      </c>
      <c r="R29" s="469">
        <v>89.419436785920723</v>
      </c>
      <c r="S29" s="469">
        <v>0.11982481916129362</v>
      </c>
      <c r="T29" s="469">
        <v>0.10455075448628268</v>
      </c>
      <c r="U29" s="1125">
        <v>0.11627607284985012</v>
      </c>
      <c r="V29" s="95">
        <v>111.04768145762186</v>
      </c>
      <c r="W29" s="112">
        <f>V29*(W3-SUM(W6:W10))/(V3-SUM(V6:V10))/(W20/V20)</f>
        <v>113.41484968810282</v>
      </c>
      <c r="X29" s="112">
        <f t="shared" ref="X29:AH29" si="57">W29*(X3-SUM(X6:X10))/(W3-SUM(W6:W10))/(X20/W20)</f>
        <v>145.27796731961692</v>
      </c>
      <c r="Y29" s="112">
        <f t="shared" si="57"/>
        <v>125.97828499172806</v>
      </c>
      <c r="Z29" s="112">
        <f t="shared" si="57"/>
        <v>124.08586010275512</v>
      </c>
      <c r="AA29" s="112">
        <f t="shared" si="57"/>
        <v>115.13833160499678</v>
      </c>
      <c r="AB29" s="112">
        <f t="shared" si="57"/>
        <v>152.39794661224767</v>
      </c>
      <c r="AC29" s="112">
        <f t="shared" si="57"/>
        <v>171.15799657769583</v>
      </c>
      <c r="AD29" s="112">
        <f t="shared" si="57"/>
        <v>151.96223718174465</v>
      </c>
      <c r="AE29" s="112">
        <f t="shared" si="57"/>
        <v>146.19292788696251</v>
      </c>
      <c r="AF29" s="112">
        <f t="shared" si="57"/>
        <v>155.24806520923048</v>
      </c>
      <c r="AG29" s="112">
        <f t="shared" si="57"/>
        <v>164.51415440659662</v>
      </c>
      <c r="AH29" s="112">
        <f t="shared" si="57"/>
        <v>164.08013348427355</v>
      </c>
      <c r="AI29" s="112">
        <f>AH29*(AI3-SUM(AI6:AI10))/(AH3-SUM(AH6:AH10))/(AI20/AH20)</f>
        <v>169.42311373173058</v>
      </c>
      <c r="AJ29" s="112">
        <f t="shared" ref="AJ29:AP29" si="58">AI29*(AJ3-SUM(AJ6:AJ10))/(AI3-SUM(AI6:AI10))/(AJ20/AI20)</f>
        <v>169.37264307390492</v>
      </c>
      <c r="AK29" s="112">
        <f t="shared" si="58"/>
        <v>172.53071016825461</v>
      </c>
      <c r="AL29" s="112">
        <f t="shared" si="58"/>
        <v>163.70519599942133</v>
      </c>
      <c r="AM29" s="112">
        <f t="shared" si="58"/>
        <v>162.16073954162755</v>
      </c>
      <c r="AN29" s="112">
        <f t="shared" si="58"/>
        <v>162.64634220521373</v>
      </c>
      <c r="AO29" s="112">
        <f t="shared" si="58"/>
        <v>162.55741348177267</v>
      </c>
      <c r="AP29" s="112">
        <f t="shared" si="58"/>
        <v>161.1744040600162</v>
      </c>
      <c r="AS29" t="s">
        <v>955</v>
      </c>
    </row>
    <row r="30" spans="2:68">
      <c r="G30" s="1116"/>
      <c r="H30" s="1116"/>
      <c r="I30" s="1116"/>
      <c r="J30" s="1116"/>
      <c r="K30" s="1116"/>
      <c r="L30" s="1116"/>
      <c r="M30" s="1116"/>
      <c r="N30" s="1116"/>
      <c r="O30" s="1116"/>
      <c r="P30" s="1116"/>
      <c r="Q30" s="1116"/>
      <c r="R30" s="1117"/>
      <c r="S30" s="1117"/>
      <c r="T30" s="1117"/>
      <c r="U30" s="1117"/>
      <c r="AF30"/>
      <c r="AP30" s="112"/>
    </row>
    <row r="31" spans="2:68">
      <c r="G31"/>
      <c r="H31"/>
      <c r="I31"/>
      <c r="J31"/>
      <c r="K31"/>
      <c r="L31"/>
      <c r="M31"/>
      <c r="N31"/>
      <c r="O31"/>
      <c r="P31"/>
      <c r="R31"/>
      <c r="S31"/>
      <c r="T31"/>
      <c r="U31"/>
      <c r="AF31"/>
      <c r="AP31" s="112"/>
    </row>
    <row r="32" spans="2:68">
      <c r="B32" s="107"/>
      <c r="C32" s="107" t="s">
        <v>429</v>
      </c>
      <c r="D32" s="107"/>
      <c r="E32" s="107"/>
      <c r="F32" s="107"/>
      <c r="G32" s="1114"/>
      <c r="H32" s="1114"/>
      <c r="I32" s="1126"/>
      <c r="J32" s="1126"/>
      <c r="K32" s="1126"/>
      <c r="L32" s="1126"/>
      <c r="M32" s="1126"/>
      <c r="N32" s="1126"/>
      <c r="O32" s="1126"/>
      <c r="P32" s="1126"/>
      <c r="Q32" s="1126"/>
      <c r="R32" s="1115"/>
      <c r="S32" s="1115"/>
      <c r="T32" s="1115"/>
      <c r="U32" s="1115"/>
      <c r="AF32"/>
      <c r="AP32" s="112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</row>
    <row r="33" spans="2:68" ht="18">
      <c r="B33" s="59" t="s">
        <v>430</v>
      </c>
      <c r="C33" s="53" t="s">
        <v>431</v>
      </c>
      <c r="G33"/>
      <c r="H33"/>
      <c r="I33" s="110">
        <v>107.6</v>
      </c>
      <c r="J33" s="110">
        <v>129.5</v>
      </c>
      <c r="K33" s="110">
        <v>122.6</v>
      </c>
      <c r="L33" s="110">
        <v>102.9</v>
      </c>
      <c r="M33" s="110">
        <v>131.19999999999999</v>
      </c>
      <c r="N33" s="110">
        <v>127.9</v>
      </c>
      <c r="O33" s="110">
        <v>86</v>
      </c>
      <c r="P33" s="110">
        <v>98</v>
      </c>
      <c r="Q33" s="473">
        <v>82.5713658398099</v>
      </c>
      <c r="R33" s="480">
        <v>54.302901372817772</v>
      </c>
      <c r="S33" s="480">
        <v>84238.270696952794</v>
      </c>
      <c r="T33" s="480">
        <v>74.322870774141691</v>
      </c>
      <c r="U33" s="480">
        <v>105.63694710777017</v>
      </c>
      <c r="V33" s="479">
        <f>V34</f>
        <v>103.02142622963302</v>
      </c>
      <c r="W33" s="149">
        <f t="shared" ref="W33:AP33" si="59">W34</f>
        <v>101.42172662371361</v>
      </c>
      <c r="X33" s="149">
        <f t="shared" si="59"/>
        <v>113.89624793380932</v>
      </c>
      <c r="Y33" s="149">
        <f t="shared" si="59"/>
        <v>95.623441575639021</v>
      </c>
      <c r="Z33" s="149">
        <f t="shared" si="59"/>
        <v>114.98259429013346</v>
      </c>
      <c r="AA33" s="149">
        <f t="shared" si="59"/>
        <v>130.37583341110502</v>
      </c>
      <c r="AB33" s="149">
        <f t="shared" si="59"/>
        <v>115.40893126762977</v>
      </c>
      <c r="AC33" s="149">
        <f t="shared" si="59"/>
        <v>87.087780744614776</v>
      </c>
      <c r="AD33" s="149">
        <f t="shared" si="59"/>
        <v>101.92585787554599</v>
      </c>
      <c r="AE33" s="149">
        <f t="shared" si="59"/>
        <v>104.34951145842605</v>
      </c>
      <c r="AF33" s="149">
        <f t="shared" si="59"/>
        <v>116.28013063042694</v>
      </c>
      <c r="AG33" s="149">
        <f t="shared" si="59"/>
        <v>103.88041327226118</v>
      </c>
      <c r="AH33" s="149">
        <f t="shared" si="59"/>
        <v>103.82112050743117</v>
      </c>
      <c r="AI33" s="149">
        <f t="shared" si="59"/>
        <v>101.23180736657095</v>
      </c>
      <c r="AJ33" s="149">
        <f t="shared" si="59"/>
        <v>102.61587274300092</v>
      </c>
      <c r="AK33" s="149">
        <f t="shared" si="59"/>
        <v>101.66728246836846</v>
      </c>
      <c r="AL33" s="149">
        <f t="shared" si="59"/>
        <v>91.844563150593999</v>
      </c>
      <c r="AM33" s="149">
        <f t="shared" si="59"/>
        <v>104.33090998086502</v>
      </c>
      <c r="AN33" s="149">
        <f t="shared" si="59"/>
        <v>108.01094092538014</v>
      </c>
      <c r="AO33" s="149">
        <f t="shared" si="59"/>
        <v>108.12165535380856</v>
      </c>
      <c r="AP33" s="149">
        <f t="shared" si="59"/>
        <v>109.00228519969562</v>
      </c>
      <c r="AS33" t="s">
        <v>956</v>
      </c>
    </row>
    <row r="34" spans="2:68" ht="18.75">
      <c r="B34" s="59" t="s">
        <v>432</v>
      </c>
      <c r="C34" s="53" t="s">
        <v>433</v>
      </c>
      <c r="G34" s="472"/>
      <c r="H34" s="472">
        <v>103.48465071673478</v>
      </c>
      <c r="I34" s="472">
        <v>114.14975036226409</v>
      </c>
      <c r="J34" s="472">
        <v>120.50780710824478</v>
      </c>
      <c r="K34" s="472">
        <v>106.73249418293538</v>
      </c>
      <c r="L34" s="472">
        <v>110.85810910713508</v>
      </c>
      <c r="M34" s="472">
        <v>85.197220702102584</v>
      </c>
      <c r="N34" s="472">
        <v>103.00252382903368</v>
      </c>
      <c r="O34" s="472">
        <v>97.563207690308516</v>
      </c>
      <c r="P34" s="472">
        <v>39.703171488980495</v>
      </c>
      <c r="Q34" s="472">
        <v>82.5713658398099</v>
      </c>
      <c r="R34" s="480">
        <v>54.302901372817772</v>
      </c>
      <c r="S34" s="480">
        <v>84238.270696952794</v>
      </c>
      <c r="T34" s="480">
        <v>74.322870774141691</v>
      </c>
      <c r="U34" s="480">
        <v>105.63694710777017</v>
      </c>
      <c r="V34" s="95">
        <v>103.02142622963302</v>
      </c>
      <c r="W34" s="478">
        <f>W5/V5/W36*10000</f>
        <v>101.42172662371361</v>
      </c>
      <c r="X34" s="478">
        <f t="shared" ref="X34" si="60">X5/W5/X36*10000</f>
        <v>113.89624793380932</v>
      </c>
      <c r="Y34" s="478">
        <f t="shared" ref="Y34" si="61">Y5/X5/Y36*10000</f>
        <v>95.623441575639021</v>
      </c>
      <c r="Z34" s="478">
        <f t="shared" ref="Z34" si="62">Z5/Y5/Z36*10000</f>
        <v>114.98259429013346</v>
      </c>
      <c r="AA34" s="478">
        <f t="shared" ref="AA34" si="63">AA5/Z5/AA36*10000</f>
        <v>130.37583341110502</v>
      </c>
      <c r="AB34" s="478">
        <f t="shared" ref="AB34" si="64">AB5/AA5/AB36*10000</f>
        <v>115.40893126762977</v>
      </c>
      <c r="AC34" s="478">
        <f t="shared" ref="AC34" si="65">AC5/AB5/AC36*10000</f>
        <v>87.087780744614776</v>
      </c>
      <c r="AD34" s="478">
        <f t="shared" ref="AD34" si="66">AD5/AC5/AD36*10000</f>
        <v>101.92585787554599</v>
      </c>
      <c r="AE34" s="478">
        <f t="shared" ref="AE34" si="67">AE5/AD5/AE36*10000</f>
        <v>104.34951145842605</v>
      </c>
      <c r="AF34" s="478">
        <f t="shared" ref="AF34" si="68">AF5/AE5/AF36*10000</f>
        <v>116.28013063042694</v>
      </c>
      <c r="AG34" s="478">
        <f t="shared" ref="AG34" si="69">AG5/AF5/AG36*10000</f>
        <v>103.88041327226118</v>
      </c>
      <c r="AH34" s="478">
        <f t="shared" ref="AH34" si="70">AH5/AG5/AH36*10000</f>
        <v>103.82112050743117</v>
      </c>
      <c r="AI34" s="478">
        <f t="shared" ref="AI34" si="71">AI5/AH5/AI36*10000</f>
        <v>101.23180736657095</v>
      </c>
      <c r="AJ34" s="478">
        <f t="shared" ref="AJ34" si="72">AJ5/AI5/AJ36*10000</f>
        <v>102.61587274300092</v>
      </c>
      <c r="AK34" s="478">
        <f t="shared" ref="AK34" si="73">AK5/AJ5/AK36*10000</f>
        <v>101.66728246836846</v>
      </c>
      <c r="AL34" s="478">
        <f t="shared" ref="AL34" si="74">AL5/AK5/AL36*10000</f>
        <v>91.844563150593999</v>
      </c>
      <c r="AM34" s="478">
        <f t="shared" ref="AM34" si="75">AM5/AL5/AM36*10000</f>
        <v>104.33090998086502</v>
      </c>
      <c r="AN34" s="478">
        <f t="shared" ref="AN34" si="76">AN5/AM5/AN36*10000</f>
        <v>108.01094092538014</v>
      </c>
      <c r="AO34" s="478">
        <f t="shared" ref="AO34" si="77">AO5/AN5/AO36*10000</f>
        <v>108.12165535380856</v>
      </c>
      <c r="AP34" s="478">
        <f t="shared" ref="AP34" si="78">AP5/AO5/AP36*10000</f>
        <v>109.00228519969562</v>
      </c>
      <c r="AS34" t="s">
        <v>957</v>
      </c>
    </row>
    <row r="35" spans="2:68" ht="18.75">
      <c r="B35" s="59" t="s">
        <v>434</v>
      </c>
      <c r="C35" s="53" t="s">
        <v>435</v>
      </c>
      <c r="G35"/>
      <c r="H35"/>
      <c r="I35" s="472">
        <v>100.01561511754811</v>
      </c>
      <c r="J35" s="472">
        <v>99.998695736540483</v>
      </c>
      <c r="K35" s="472">
        <v>100.02535543780205</v>
      </c>
      <c r="L35" s="472">
        <v>99.937659445987308</v>
      </c>
      <c r="M35" s="472">
        <v>96.585747115696947</v>
      </c>
      <c r="N35" s="472">
        <v>83.888739385462117</v>
      </c>
      <c r="O35" s="472">
        <v>114.96604496018432</v>
      </c>
      <c r="P35" s="472">
        <v>36.315759351776379</v>
      </c>
      <c r="Q35" s="472">
        <v>159.6704046542375</v>
      </c>
      <c r="R35" s="480">
        <v>423.9995599802935</v>
      </c>
      <c r="S35" s="480">
        <v>0.12037250257996771</v>
      </c>
      <c r="T35" s="480">
        <v>95.17858614707842</v>
      </c>
      <c r="U35" s="480">
        <v>89.08081376283495</v>
      </c>
      <c r="V35" s="95">
        <v>90.22346445761309</v>
      </c>
      <c r="W35" s="480">
        <f t="shared" ref="W35:AG35" si="79">(W3)/(V3)/W33*10000</f>
        <v>97.519920035099062</v>
      </c>
      <c r="X35" s="480">
        <f t="shared" si="79"/>
        <v>112.61286774147993</v>
      </c>
      <c r="Y35" s="480">
        <f t="shared" si="79"/>
        <v>94.87646170868139</v>
      </c>
      <c r="Z35" s="480">
        <f t="shared" si="79"/>
        <v>93.663474839305579</v>
      </c>
      <c r="AA35" s="480">
        <f t="shared" si="79"/>
        <v>83.666304913427894</v>
      </c>
      <c r="AB35" s="480">
        <f t="shared" si="79"/>
        <v>128.7559213675668</v>
      </c>
      <c r="AC35" s="480">
        <f t="shared" si="79"/>
        <v>113.97662221161363</v>
      </c>
      <c r="AD35" s="480">
        <f t="shared" si="79"/>
        <v>90.603013302628426</v>
      </c>
      <c r="AE35" s="480">
        <f t="shared" si="79"/>
        <v>97.524087818029443</v>
      </c>
      <c r="AF35" s="480">
        <f t="shared" si="79"/>
        <v>103.30813573880883</v>
      </c>
      <c r="AG35" s="480">
        <f t="shared" si="79"/>
        <v>103.60303200228101</v>
      </c>
      <c r="AH35" s="480">
        <f>(AH3)/(AG3)/AH33*10000</f>
        <v>102.25650088658185</v>
      </c>
      <c r="AI35" s="480">
        <f>(AI3)/(AH3)/AI33*10000</f>
        <v>103.32770213002468</v>
      </c>
      <c r="AJ35" s="480">
        <f t="shared" ref="AJ35:AP35" si="80">(AJ3)/(AI3)/AJ33*10000</f>
        <v>102.83557295207704</v>
      </c>
      <c r="AK35" s="480">
        <f t="shared" si="80"/>
        <v>103.25325057961507</v>
      </c>
      <c r="AL35" s="480">
        <f t="shared" si="80"/>
        <v>100.89583722612164</v>
      </c>
      <c r="AM35" s="480">
        <f t="shared" si="80"/>
        <v>100.66993138384844</v>
      </c>
      <c r="AN35" s="480">
        <f t="shared" si="80"/>
        <v>100.57165685757946</v>
      </c>
      <c r="AO35" s="480">
        <f t="shared" si="80"/>
        <v>100.39945175809187</v>
      </c>
      <c r="AP35" s="480">
        <f t="shared" si="80"/>
        <v>100.37361132501655</v>
      </c>
      <c r="AS35" t="s">
        <v>958</v>
      </c>
    </row>
    <row r="36" spans="2:68" ht="18.75">
      <c r="B36" s="59" t="s">
        <v>436</v>
      </c>
      <c r="C36" s="53" t="s">
        <v>437</v>
      </c>
      <c r="G36" s="472"/>
      <c r="H36" s="472">
        <v>75.051900709143212</v>
      </c>
      <c r="I36" s="472">
        <v>94.001028839983746</v>
      </c>
      <c r="J36" s="472">
        <v>107.55705241363553</v>
      </c>
      <c r="K36" s="472">
        <v>113.41249935887431</v>
      </c>
      <c r="L36" s="472">
        <v>91.12295879403213</v>
      </c>
      <c r="M36" s="472">
        <v>154.16440505200353</v>
      </c>
      <c r="N36" s="472">
        <v>103.85338297159291</v>
      </c>
      <c r="O36" s="472">
        <v>99.075771768382808</v>
      </c>
      <c r="P36" s="472">
        <v>70.360653678552865</v>
      </c>
      <c r="Q36" s="472">
        <v>131.79499640409679</v>
      </c>
      <c r="R36" s="480">
        <v>506.08653531119268</v>
      </c>
      <c r="S36" s="480">
        <v>0.12837922193339274</v>
      </c>
      <c r="T36" s="480">
        <v>93.35343400907918</v>
      </c>
      <c r="U36" s="480">
        <v>98.065486047009813</v>
      </c>
      <c r="V36" s="95">
        <v>88.455987265507048</v>
      </c>
      <c r="W36" s="478">
        <f t="shared" ref="W36" si="81">(W6+W8+W9+W10)/(W6/(W24/V24*100)+W8/(W26/V26*100)+W9/(W27/V27*100)+W10/(W28/V28*100))</f>
        <v>99.494952978269623</v>
      </c>
      <c r="X36" s="478">
        <f t="shared" ref="X36" si="82">(X6+X8+X9+X10)/(X6/(X24/W24*100)+X8/(X26/W26*100)+X9/(X27/W27*100)+X10/(X28/W28*100))</f>
        <v>117.03955420981892</v>
      </c>
      <c r="Y36" s="478">
        <f t="shared" ref="Y36" si="83">(Y6+Y8+Y9+Y10)/(Y6/(Y24/X24*100)+Y8/(Y26/X26*100)+Y9/(Y27/X27*100)+Y10/(Y28/X28*100))</f>
        <v>93.691445840809834</v>
      </c>
      <c r="Z36" s="478">
        <f t="shared" ref="Z36" si="84">(Z6+Z8+Z9+Z10)/(Z6/(Z24/Y24*100)+Z8/(Z26/Y26*100)+Z9/(Z27/Y27*100)+Z10/(Z28/Y28*100))</f>
        <v>95.161835464253173</v>
      </c>
      <c r="AA36" s="478">
        <f t="shared" ref="AA36" si="85">(AA6+AA8+AA9+AA10)/(AA6/(AA24/Z24*100)+AA8/(AA26/Z26*100)+AA9/(AA27/Z27*100)+AA10/(AA28/Z28*100))</f>
        <v>91.886157265435898</v>
      </c>
      <c r="AB36" s="478">
        <f t="shared" ref="AB36" si="86">(AB6+AB8+AB9+AB10)/(AB6/(AB24/AA24*100)+AB8/(AB26/AA26*100)+AB9/(AB27/AA27*100)+AB10/(AB28/AA28*100))</f>
        <v>132.38994583465953</v>
      </c>
      <c r="AC36" s="478">
        <f t="shared" ref="AC36" si="87">(AC6+AC8+AC9+AC10)/(AC6/(AC24/AB24*100)+AC8/(AC26/AB26*100)+AC9/(AC27/AB27*100)+AC10/(AC28/AB28*100))</f>
        <v>114.42069713844739</v>
      </c>
      <c r="AD36" s="478">
        <f t="shared" ref="AD36" si="88">(AD6+AD8+AD9+AD10)/(AD6/(AD24/AC24*100)+AD8/(AD26/AC26*100)+AD9/(AD27/AC27*100)+AD10/(AD28/AC28*100))</f>
        <v>85.261715367042456</v>
      </c>
      <c r="AE36" s="478">
        <f t="shared" ref="AE36" si="89">(AE6+AE8+AE9+AE10)/(AE6/(AE24/AD24*100)+AE8/(AE26/AD26*100)+AE9/(AE27/AD27*100)+AE10/(AE28/AD28*100))</f>
        <v>100.26033199306768</v>
      </c>
      <c r="AF36" s="478">
        <f t="shared" ref="AF36" si="90">(AF6+AF8+AF9+AF10)/(AF6/(AF24/AE24*100)+AF8/(AF26/AE26*100)+AF9/(AF27/AE27*100)+AF10/(AF28/AE28*100))</f>
        <v>109.86261770268669</v>
      </c>
      <c r="AG36" s="478">
        <f t="shared" ref="AG36" si="91">(AG6+AG8+AG9+AG10)/(AG6/(AG24/AF24*100)+AG8/(AG26/AF26*100)+AG9/(AG27/AF27*100)+AG10/(AG28/AF28*100))</f>
        <v>103.41831505706958</v>
      </c>
      <c r="AH36" s="478">
        <f t="shared" ref="AH36" si="92">(AH6+AH8+AH9+AH10)/(AH6/(AH24/AG24*100)+AH8/(AH26/AG26*100)+AH9/(AH27/AG27*100)+AH10/(AH28/AG28*100))</f>
        <v>102.36198793540504</v>
      </c>
      <c r="AI36" s="478">
        <f t="shared" ref="AI36" si="93">(AI6+AI8+AI9+AI10)/(AI6/(AI24/AH24*100)+AI8/(AI26/AH26*100)+AI9/(AI27/AH27*100)+AI10/(AI28/AH28*100))</f>
        <v>103.408832852705</v>
      </c>
      <c r="AJ36" s="478">
        <f t="shared" ref="AJ36" si="94">(AJ6+AJ8+AJ9+AJ10)/(AJ6/(AJ24/AI24*100)+AJ8/(AJ26/AI26*100)+AJ9/(AJ27/AI27*100)+AJ10/(AJ28/AI28*100))</f>
        <v>102.92964060183566</v>
      </c>
      <c r="AK36" s="478">
        <f t="shared" ref="AK36" si="95">(AK6+AK8+AK9+AK10)/(AK6/(AK24/AJ24*100)+AK8/(AK26/AJ26*100)+AK9/(AK27/AJ27*100)+AK10/(AK28/AJ28*100))</f>
        <v>103.30323501656345</v>
      </c>
      <c r="AL36" s="478">
        <f t="shared" ref="AL36" si="96">(AL6+AL8+AL9+AL10)/(AL6/(AL24/AK24*100)+AL8/(AL26/AK26*100)+AL9/(AL27/AK27*100)+AL10/(AL28/AK28*100))</f>
        <v>100.7344026692622</v>
      </c>
      <c r="AM36" s="478">
        <f t="shared" ref="AM36" si="97">(AM6+AM8+AM9+AM10)/(AM6/(AM24/AL24*100)+AM8/(AM26/AL26*100)+AM9/(AM27/AL27*100)+AM10/(AM28/AL28*100))</f>
        <v>100.70785800076975</v>
      </c>
      <c r="AN36" s="478">
        <f t="shared" ref="AN36" si="98">(AN6+AN8+AN9+AN10)/(AN6/(AN24/AM24*100)+AN8/(AN26/AM26*100)+AN9/(AN27/AM27*100)+AN10/(AN28/AM28*100))</f>
        <v>100.68007460396377</v>
      </c>
      <c r="AO36" s="478">
        <f t="shared" ref="AO36" si="99">(AO6+AO8+AO9+AO10)/(AO6/(AO24/AN24*100)+AO8/(AO26/AN26*100)+AO9/(AO27/AN27*100)+AO10/(AO28/AN28*100))</f>
        <v>100.65131037729628</v>
      </c>
      <c r="AP36" s="478">
        <f t="shared" ref="AP36" si="100">(AP6+AP8+AP9+AP10)/(AP6/(AP24/AO24*100)+AP8/(AP26/AO26*100)+AP9/(AP27/AO27*100)+AP10/(AP28/AO28*100))</f>
        <v>100.60877506414292</v>
      </c>
      <c r="AS36" t="s">
        <v>959</v>
      </c>
    </row>
    <row r="37" spans="2:68">
      <c r="G37" s="472"/>
      <c r="H37" s="472"/>
      <c r="I37" s="472"/>
      <c r="J37" s="472"/>
      <c r="K37" s="472"/>
      <c r="L37" s="472"/>
      <c r="M37" s="472"/>
      <c r="N37" s="472"/>
      <c r="O37" s="472"/>
      <c r="P37" s="472"/>
      <c r="Q37" s="472"/>
      <c r="R37" s="472"/>
      <c r="S37" s="472"/>
      <c r="T37" s="472"/>
      <c r="U37" s="472"/>
      <c r="AF37"/>
    </row>
    <row r="38" spans="2:68">
      <c r="G38" s="472"/>
      <c r="H38" s="472"/>
      <c r="I38" s="472"/>
      <c r="J38" s="472"/>
      <c r="K38" s="472"/>
      <c r="L38" s="472"/>
      <c r="M38" s="472"/>
      <c r="N38" s="472"/>
      <c r="O38" s="472"/>
      <c r="P38" s="472"/>
      <c r="Q38" s="472"/>
      <c r="R38" s="1117">
        <v>1.0933919022154317</v>
      </c>
      <c r="S38" s="472"/>
      <c r="T38" s="472"/>
      <c r="U38" s="472"/>
      <c r="AF38"/>
    </row>
    <row r="39" spans="2:68">
      <c r="G39" s="472"/>
      <c r="H39" s="472"/>
      <c r="I39" s="472"/>
      <c r="J39" s="472"/>
      <c r="K39" s="472"/>
      <c r="L39" s="472"/>
      <c r="M39" s="472"/>
      <c r="N39" s="472"/>
      <c r="O39" s="472"/>
      <c r="P39" s="472"/>
      <c r="Q39" s="472"/>
      <c r="R39" s="472"/>
      <c r="S39" s="472"/>
      <c r="T39" s="472"/>
      <c r="U39" s="472"/>
      <c r="AF39"/>
    </row>
    <row r="40" spans="2:68">
      <c r="B40" s="104"/>
      <c r="C40" s="105" t="s">
        <v>92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W40" s="728">
        <f>W43-V43</f>
        <v>-404.40000000000009</v>
      </c>
      <c r="X40" s="728">
        <f t="shared" ref="X40:AC40" si="101">X43-W43</f>
        <v>-256.29999999999973</v>
      </c>
      <c r="Y40" s="728">
        <f t="shared" si="101"/>
        <v>376.09999999999991</v>
      </c>
      <c r="Z40" s="728">
        <f t="shared" si="101"/>
        <v>198.30000000000018</v>
      </c>
      <c r="AA40" s="728">
        <f t="shared" si="101"/>
        <v>-199.30000000000018</v>
      </c>
      <c r="AB40" s="728">
        <f t="shared" si="101"/>
        <v>1059.5</v>
      </c>
      <c r="AC40" s="728">
        <f t="shared" si="101"/>
        <v>958</v>
      </c>
      <c r="AD40" s="728">
        <f t="shared" ref="AD40:AI40" si="102">AD43-AC43</f>
        <v>712.60000000000036</v>
      </c>
      <c r="AE40" s="728">
        <f t="shared" si="102"/>
        <v>1127.5</v>
      </c>
      <c r="AF40" s="728">
        <f t="shared" si="102"/>
        <v>1297.6000000000004</v>
      </c>
      <c r="AG40" s="728">
        <f t="shared" si="102"/>
        <v>43.835962522265618</v>
      </c>
      <c r="AH40" s="728">
        <f t="shared" si="102"/>
        <v>11.048829303043021</v>
      </c>
      <c r="AI40" s="728">
        <f t="shared" si="102"/>
        <v>2.9678596348749124</v>
      </c>
      <c r="AJ40" s="728">
        <f t="shared" ref="AJ40" si="103">AJ43-AI43</f>
        <v>160.82647511543291</v>
      </c>
      <c r="AK40" s="728">
        <f>AK43-AJ43</f>
        <v>157.02891698178428</v>
      </c>
      <c r="AL40" s="728">
        <f t="shared" ref="AL40" si="104">AL43-AK43</f>
        <v>243.53982430092583</v>
      </c>
      <c r="AM40" s="728">
        <f t="shared" ref="AM40" si="105">AM43-AL43</f>
        <v>169.60475236608181</v>
      </c>
      <c r="AN40" s="728">
        <f t="shared" ref="AN40" si="106">AN43-AM43</f>
        <v>-740.50096319348268</v>
      </c>
      <c r="AO40" s="728">
        <f t="shared" ref="AO40" si="107">AO43-AN43</f>
        <v>-769.37982192807613</v>
      </c>
      <c r="AP40" s="728">
        <f t="shared" ref="AP40" si="108">AP43-AO43</f>
        <v>1819.1365349332445</v>
      </c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</row>
    <row r="41" spans="2:68" ht="18.75">
      <c r="B41" s="59" t="s">
        <v>438</v>
      </c>
      <c r="C41" s="106" t="s">
        <v>439</v>
      </c>
      <c r="D41" s="106"/>
      <c r="E41" s="106"/>
      <c r="F41" s="106"/>
      <c r="G41" s="1105">
        <v>977.47500000000002</v>
      </c>
      <c r="H41" s="1105">
        <v>835.28070000000002</v>
      </c>
      <c r="I41" s="1105">
        <v>927.77919999999995</v>
      </c>
      <c r="J41" s="1105">
        <v>1147.2646999999999</v>
      </c>
      <c r="K41" s="1105">
        <v>1444.9593000000002</v>
      </c>
      <c r="L41" s="1105">
        <v>1682.4449</v>
      </c>
      <c r="M41" s="1105">
        <v>2370.7754</v>
      </c>
      <c r="N41" s="1105">
        <v>3707.0835000000002</v>
      </c>
      <c r="O41" s="1105">
        <v>4084.5239999999999</v>
      </c>
      <c r="P41" s="1105">
        <v>2833.9009999999998</v>
      </c>
      <c r="Q41" s="1105">
        <v>3460.2849999999999</v>
      </c>
      <c r="R41" s="1108">
        <v>3646.76</v>
      </c>
      <c r="S41" s="1108">
        <v>4358.8999999999996</v>
      </c>
      <c r="T41" s="1108">
        <v>4836.09</v>
      </c>
      <c r="U41" s="1108">
        <v>4759.8999999999996</v>
      </c>
      <c r="V41" s="149">
        <f>V42+V43</f>
        <v>3898.14</v>
      </c>
      <c r="W41" s="149">
        <f t="shared" ref="W41:AP41" si="109">W42+W43</f>
        <v>3405.2999999999997</v>
      </c>
      <c r="X41" s="149">
        <f t="shared" si="109"/>
        <v>3149.08</v>
      </c>
      <c r="Y41" s="149">
        <f t="shared" si="109"/>
        <v>3608.8</v>
      </c>
      <c r="Z41" s="149">
        <f t="shared" si="109"/>
        <v>3837.1000000000004</v>
      </c>
      <c r="AA41" s="149">
        <f t="shared" si="109"/>
        <v>3560</v>
      </c>
      <c r="AB41" s="149">
        <f t="shared" si="109"/>
        <v>4741.1000000000004</v>
      </c>
      <c r="AC41" s="149">
        <f t="shared" si="109"/>
        <v>5852.8239999999996</v>
      </c>
      <c r="AD41" s="149">
        <f t="shared" si="109"/>
        <v>6628.3810000000003</v>
      </c>
      <c r="AE41" s="149">
        <f t="shared" si="109"/>
        <v>7978.2510000000002</v>
      </c>
      <c r="AF41" s="149">
        <f t="shared" si="109"/>
        <v>8819.8389999999999</v>
      </c>
      <c r="AG41" s="306">
        <f>AG42+AG43</f>
        <v>8896.2761193017832</v>
      </c>
      <c r="AH41" s="149">
        <f t="shared" si="109"/>
        <v>9176.3858823541159</v>
      </c>
      <c r="AI41" s="149">
        <f t="shared" si="109"/>
        <v>9450.5185233920056</v>
      </c>
      <c r="AJ41" s="149">
        <f t="shared" si="109"/>
        <v>9971.9490677945396</v>
      </c>
      <c r="AK41" s="149">
        <f t="shared" si="109"/>
        <v>10608.371029020051</v>
      </c>
      <c r="AL41" s="149">
        <f t="shared" si="109"/>
        <v>11452.333889350592</v>
      </c>
      <c r="AM41" s="149">
        <f t="shared" si="109"/>
        <v>12409.027555204493</v>
      </c>
      <c r="AN41" s="149">
        <f t="shared" si="109"/>
        <v>12700.262525404618</v>
      </c>
      <c r="AO41" s="149">
        <f t="shared" si="109"/>
        <v>13283.249411520101</v>
      </c>
      <c r="AP41" s="149">
        <f t="shared" si="109"/>
        <v>16874.958441956638</v>
      </c>
      <c r="AS41" t="s">
        <v>960</v>
      </c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</row>
    <row r="42" spans="2:68" ht="18.75">
      <c r="B42" s="59" t="s">
        <v>440</v>
      </c>
      <c r="C42" s="107" t="s">
        <v>441</v>
      </c>
      <c r="D42" s="107"/>
      <c r="E42" s="107"/>
      <c r="F42" s="107"/>
      <c r="G42" s="1127">
        <v>57</v>
      </c>
      <c r="H42" s="1127">
        <v>69.599999999999994</v>
      </c>
      <c r="I42" s="1127">
        <v>104.878</v>
      </c>
      <c r="J42" s="1127">
        <v>121.533</v>
      </c>
      <c r="K42" s="1127">
        <v>212.52600000000001</v>
      </c>
      <c r="L42" s="1127">
        <v>251.51900000000001</v>
      </c>
      <c r="M42" s="1127">
        <v>240.8</v>
      </c>
      <c r="N42" s="1127">
        <v>592.07799999999997</v>
      </c>
      <c r="O42" s="182">
        <v>455.524</v>
      </c>
      <c r="P42" s="182">
        <v>291.30099999999999</v>
      </c>
      <c r="Q42" s="182">
        <v>528.125</v>
      </c>
      <c r="R42" s="494">
        <v>440.76</v>
      </c>
      <c r="S42" s="494">
        <v>580.5</v>
      </c>
      <c r="T42" s="494">
        <v>790.69</v>
      </c>
      <c r="U42" s="494">
        <v>462.5</v>
      </c>
      <c r="V42">
        <f>BoP!V11</f>
        <v>462.54</v>
      </c>
      <c r="W42">
        <f>BoP!W11</f>
        <v>374.1</v>
      </c>
      <c r="X42">
        <f>BoP!X11</f>
        <v>374.18</v>
      </c>
      <c r="Y42">
        <f>BoP!Y11</f>
        <v>457.8</v>
      </c>
      <c r="Z42">
        <f>BoP!Z11</f>
        <v>487.8</v>
      </c>
      <c r="AA42">
        <f>BoP!AA11</f>
        <v>410</v>
      </c>
      <c r="AB42">
        <f>BoP!AB11</f>
        <v>531.6</v>
      </c>
      <c r="AC42">
        <f>BoP!AC11</f>
        <v>685.32399999999996</v>
      </c>
      <c r="AD42">
        <f>BoP!AD11</f>
        <v>748.28099999999995</v>
      </c>
      <c r="AE42" s="175">
        <f>BoP!AE11</f>
        <v>970.65099999999995</v>
      </c>
      <c r="AF42" s="175">
        <f>BoP!AF11</f>
        <v>514.63900000000001</v>
      </c>
      <c r="AG42" s="481">
        <f t="shared" ref="AG42" si="110">AF42*EXP(0.152474485921+0.843221616006*LN(AG6/AF6))</f>
        <v>547.24015677951763</v>
      </c>
      <c r="AH42" s="481">
        <f t="shared" ref="AH42" si="111">AG42*EXP(0.152474485921+0.843221616006*LN(AH6/AG6))</f>
        <v>816.30109052880687</v>
      </c>
      <c r="AI42" s="481">
        <f t="shared" ref="AI42" si="112">AH42*EXP(0.152474485921+0.843221616006*LN(AI6/AH6))</f>
        <v>1087.4658719318211</v>
      </c>
      <c r="AJ42" s="481">
        <f t="shared" ref="AJ42" si="113">AI42*EXP(0.152474485921+0.843221616006*LN(AJ6/AI6))</f>
        <v>1448.0699412189224</v>
      </c>
      <c r="AK42" s="481">
        <f t="shared" ref="AK42" si="114">AJ42*EXP(0.152474485921+0.843221616006*LN(AK6/AJ6))</f>
        <v>1927.4629854626482</v>
      </c>
      <c r="AL42" s="481">
        <f t="shared" ref="AL42" si="115">AK42*EXP(0.152474485921+0.843221616006*LN(AL6/AK6))</f>
        <v>2527.8860214922647</v>
      </c>
      <c r="AM42" s="481">
        <f t="shared" ref="AM42" si="116">AL42*EXP(0.152474485921+0.843221616006*LN(AM6/AL6))</f>
        <v>3314.9749349800845</v>
      </c>
      <c r="AN42" s="481">
        <f t="shared" ref="AN42" si="117">AM42*EXP(0.152474485921+0.843221616006*LN(AN6/AM6))</f>
        <v>4346.7108683736924</v>
      </c>
      <c r="AO42" s="481">
        <f t="shared" ref="AO42" si="118">AN42*EXP(0.152474485921+0.843221616006*LN(AO6/AN6))</f>
        <v>5699.0775764172513</v>
      </c>
      <c r="AP42" s="481">
        <f t="shared" ref="AP42" si="119">AO42*EXP(0.152474485921+0.843221616006*LN(AP6/AO6))</f>
        <v>7471.6500719205433</v>
      </c>
      <c r="AS42" t="s">
        <v>961</v>
      </c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</row>
    <row r="43" spans="2:68" ht="18.75">
      <c r="B43" s="59" t="s">
        <v>442</v>
      </c>
      <c r="C43" s="107" t="s">
        <v>443</v>
      </c>
      <c r="D43" s="107"/>
      <c r="E43" s="107"/>
      <c r="F43" s="107"/>
      <c r="G43" s="1114">
        <v>920.47500000000002</v>
      </c>
      <c r="H43" s="1114">
        <v>765.6807</v>
      </c>
      <c r="I43" s="1114">
        <v>822.9011999999999</v>
      </c>
      <c r="J43" s="1114">
        <v>1025.7317</v>
      </c>
      <c r="K43" s="1114">
        <v>1232.4333000000001</v>
      </c>
      <c r="L43" s="1114">
        <v>1430.9259</v>
      </c>
      <c r="M43" s="1114">
        <v>2129.9753999999998</v>
      </c>
      <c r="N43" s="1114">
        <v>3115.0055000000002</v>
      </c>
      <c r="O43" s="1107">
        <v>3629</v>
      </c>
      <c r="P43" s="1107">
        <v>2542.6</v>
      </c>
      <c r="Q43" s="1107">
        <v>2932.16</v>
      </c>
      <c r="R43" s="1107">
        <v>3206</v>
      </c>
      <c r="S43" s="1107">
        <v>3778.4</v>
      </c>
      <c r="T43" s="1107">
        <v>4045.4</v>
      </c>
      <c r="U43" s="1107">
        <v>4297.3999999999996</v>
      </c>
      <c r="V43" s="483">
        <v>3435.6</v>
      </c>
      <c r="W43" s="483">
        <v>3031.2</v>
      </c>
      <c r="X43" s="484">
        <v>2774.9</v>
      </c>
      <c r="Y43" s="484">
        <v>3151</v>
      </c>
      <c r="Z43" s="484">
        <v>3349.3</v>
      </c>
      <c r="AA43" s="484">
        <v>3150</v>
      </c>
      <c r="AB43" s="485">
        <v>4209.5</v>
      </c>
      <c r="AC43" s="485">
        <v>5167.5</v>
      </c>
      <c r="AD43" s="485">
        <v>5880.1</v>
      </c>
      <c r="AE43" s="659">
        <v>7007.6</v>
      </c>
      <c r="AF43" s="659">
        <v>8305.2000000000007</v>
      </c>
      <c r="AG43" s="482">
        <f>SUM(AG44:AG51)</f>
        <v>8349.0359625222663</v>
      </c>
      <c r="AH43" s="482">
        <f t="shared" ref="AH43" si="120">SUM(AH44:AH51)</f>
        <v>8360.0847918253094</v>
      </c>
      <c r="AI43" s="482">
        <f>SUM(AI44:AI51)</f>
        <v>8363.0526514601843</v>
      </c>
      <c r="AJ43" s="482">
        <f t="shared" ref="AJ43:AP43" si="121">SUM(AJ44:AJ51)</f>
        <v>8523.8791265756172</v>
      </c>
      <c r="AK43" s="482">
        <f>SUM(AK44:AK51)</f>
        <v>8680.9080435574015</v>
      </c>
      <c r="AL43" s="482">
        <f t="shared" si="121"/>
        <v>8924.4478678583273</v>
      </c>
      <c r="AM43" s="482">
        <f t="shared" si="121"/>
        <v>9094.0526202244091</v>
      </c>
      <c r="AN43" s="482">
        <f t="shared" si="121"/>
        <v>8353.5516570309264</v>
      </c>
      <c r="AO43" s="482">
        <f t="shared" si="121"/>
        <v>7584.1718351028503</v>
      </c>
      <c r="AP43" s="482">
        <f t="shared" si="121"/>
        <v>9403.3083700360949</v>
      </c>
      <c r="AS43" t="s">
        <v>962</v>
      </c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</row>
    <row r="44" spans="2:68" ht="18.75">
      <c r="B44" s="59" t="s">
        <v>444</v>
      </c>
      <c r="C44" s="53" t="s">
        <v>445</v>
      </c>
      <c r="G44" s="109">
        <v>36.322900000000004</v>
      </c>
      <c r="H44" s="109">
        <v>30.371200000000002</v>
      </c>
      <c r="I44" s="109">
        <v>23.332099999999997</v>
      </c>
      <c r="J44" s="109">
        <v>12.4162</v>
      </c>
      <c r="K44" s="109">
        <v>15.041</v>
      </c>
      <c r="L44" s="109">
        <v>30.69</v>
      </c>
      <c r="M44" s="109">
        <v>28.025500000000001</v>
      </c>
      <c r="N44" s="109">
        <v>40.121000000000002</v>
      </c>
      <c r="O44" s="109">
        <v>58.8643</v>
      </c>
      <c r="P44" s="109">
        <v>73.566000000000003</v>
      </c>
      <c r="Q44" s="470">
        <v>81.805131880140294</v>
      </c>
      <c r="R44" s="471">
        <v>116.2</v>
      </c>
      <c r="S44" s="471">
        <v>185.3</v>
      </c>
      <c r="T44" s="471">
        <v>208.4</v>
      </c>
      <c r="U44" s="178">
        <v>231.1</v>
      </c>
      <c r="V44" s="177">
        <v>244.5</v>
      </c>
      <c r="W44" s="177">
        <v>231.4</v>
      </c>
      <c r="X44" s="283">
        <v>197.5</v>
      </c>
      <c r="Y44" s="283">
        <v>172.6</v>
      </c>
      <c r="Z44" s="283">
        <v>222.8</v>
      </c>
      <c r="AA44" s="413">
        <v>243.2</v>
      </c>
      <c r="AB44" s="283">
        <v>265.89999999999998</v>
      </c>
      <c r="AC44" s="283">
        <v>329.1</v>
      </c>
      <c r="AD44" s="283">
        <v>288.8</v>
      </c>
      <c r="AE44" s="660">
        <v>274.5</v>
      </c>
      <c r="AF44" s="660">
        <v>300.10000000000002</v>
      </c>
      <c r="AG44" s="284">
        <f>AG57*AG70/1000000</f>
        <v>291.40885860306645</v>
      </c>
      <c r="AH44" s="284">
        <f t="shared" ref="AH44" si="122">AH57*AH70/1000000</f>
        <v>284.52837166382739</v>
      </c>
      <c r="AI44" s="284">
        <f>AI57*AI70/1000000</f>
        <v>277.60741127200453</v>
      </c>
      <c r="AJ44" s="284">
        <f t="shared" ref="AJ44:AP44" si="123">AJ57*AJ70/1000000</f>
        <v>333.12889352640542</v>
      </c>
      <c r="AK44" s="284">
        <f t="shared" si="123"/>
        <v>316.47244885008513</v>
      </c>
      <c r="AL44" s="284">
        <f t="shared" si="123"/>
        <v>300.64882640758083</v>
      </c>
      <c r="AM44" s="284">
        <f t="shared" si="123"/>
        <v>285.61638508720176</v>
      </c>
      <c r="AN44" s="284">
        <f t="shared" si="123"/>
        <v>271.33556583284167</v>
      </c>
      <c r="AO44" s="284">
        <f t="shared" si="123"/>
        <v>257.76878754119957</v>
      </c>
      <c r="AP44" s="284">
        <f t="shared" si="123"/>
        <v>244.8803481641396</v>
      </c>
      <c r="AS44" t="s">
        <v>963</v>
      </c>
    </row>
    <row r="45" spans="2:68" ht="18.75">
      <c r="B45" s="59" t="s">
        <v>446</v>
      </c>
      <c r="C45" s="53" t="s">
        <v>447</v>
      </c>
      <c r="G45" s="109">
        <v>68.00869999999999</v>
      </c>
      <c r="H45" s="109">
        <v>73.218199999999996</v>
      </c>
      <c r="I45" s="109">
        <v>69.575100000000006</v>
      </c>
      <c r="J45" s="109">
        <v>73.009299999999996</v>
      </c>
      <c r="K45" s="109">
        <v>106.8338</v>
      </c>
      <c r="L45" s="109">
        <v>126.129</v>
      </c>
      <c r="M45" s="109">
        <v>191.36660000000001</v>
      </c>
      <c r="N45" s="109">
        <v>275.2921</v>
      </c>
      <c r="O45" s="109">
        <v>412.51009999999997</v>
      </c>
      <c r="P45" s="109">
        <v>322.63309999999996</v>
      </c>
      <c r="Q45" s="470">
        <v>435.22792335805099</v>
      </c>
      <c r="R45" s="471">
        <v>451.9</v>
      </c>
      <c r="S45" s="471">
        <v>415.4</v>
      </c>
      <c r="T45" s="471">
        <v>394</v>
      </c>
      <c r="U45" s="178">
        <v>507.7</v>
      </c>
      <c r="V45" s="177">
        <v>351.6</v>
      </c>
      <c r="W45" s="283">
        <v>256.60000000000002</v>
      </c>
      <c r="X45" s="283">
        <v>266</v>
      </c>
      <c r="Y45" s="283">
        <v>310.8</v>
      </c>
      <c r="Z45" s="283">
        <v>328.5</v>
      </c>
      <c r="AA45" s="413">
        <v>272.60000000000002</v>
      </c>
      <c r="AB45" s="283">
        <v>412.6</v>
      </c>
      <c r="AC45" s="283">
        <v>681.6</v>
      </c>
      <c r="AD45" s="283">
        <v>667</v>
      </c>
      <c r="AE45" s="660">
        <v>829.4</v>
      </c>
      <c r="AF45" s="660">
        <v>959.3</v>
      </c>
      <c r="AG45" s="284">
        <f t="shared" ref="AG45:AH45" si="124">AG58*AG71/1000000</f>
        <v>945.51695402298844</v>
      </c>
      <c r="AH45" s="284">
        <f t="shared" si="124"/>
        <v>992.79280172413792</v>
      </c>
      <c r="AI45" s="284">
        <f>AI58*AI71/1000000</f>
        <v>1206.4418126551723</v>
      </c>
      <c r="AJ45" s="284">
        <f t="shared" ref="AJ45:AP45" si="125">AJ58*AJ71/1000000</f>
        <v>1182.3129764020689</v>
      </c>
      <c r="AK45" s="284">
        <f t="shared" si="125"/>
        <v>1158.6667168740275</v>
      </c>
      <c r="AL45" s="284">
        <f t="shared" si="125"/>
        <v>1135.493382536547</v>
      </c>
      <c r="AM45" s="284">
        <f t="shared" si="125"/>
        <v>1112.7835148858162</v>
      </c>
      <c r="AN45" s="284">
        <f t="shared" si="125"/>
        <v>1090.5278445880997</v>
      </c>
      <c r="AO45" s="284">
        <f t="shared" si="125"/>
        <v>1068.7172876963377</v>
      </c>
      <c r="AP45" s="284">
        <f t="shared" si="125"/>
        <v>1047.342941942411</v>
      </c>
      <c r="AS45" t="s">
        <v>964</v>
      </c>
    </row>
    <row r="46" spans="2:68">
      <c r="C46" s="53" t="s">
        <v>448</v>
      </c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470"/>
      <c r="R46" s="471">
        <v>207.5</v>
      </c>
      <c r="S46" s="471">
        <v>166.8</v>
      </c>
      <c r="T46" s="471">
        <v>131.69999999999999</v>
      </c>
      <c r="U46" s="178">
        <v>196.3</v>
      </c>
      <c r="V46" s="486">
        <v>133.4</v>
      </c>
      <c r="W46" s="177">
        <v>94.2</v>
      </c>
      <c r="X46" s="177">
        <v>101.2</v>
      </c>
      <c r="Y46" s="177">
        <v>56.3</v>
      </c>
      <c r="Z46" s="177">
        <v>99.9</v>
      </c>
      <c r="AA46" s="471">
        <v>97.3</v>
      </c>
      <c r="AB46" s="177">
        <v>161.19999999999999</v>
      </c>
      <c r="AC46" s="177">
        <v>245.7</v>
      </c>
      <c r="AD46" s="467">
        <v>228.1</v>
      </c>
      <c r="AE46" s="661">
        <v>336.4</v>
      </c>
      <c r="AF46" s="661">
        <v>357.9</v>
      </c>
      <c r="AG46" s="735">
        <f>AF46*0.6184</f>
        <v>221.32535999999996</v>
      </c>
      <c r="AH46" s="735">
        <f>AG46*1.4005</f>
        <v>309.96616667999996</v>
      </c>
      <c r="AI46" s="735">
        <f>AH46*1.2863</f>
        <v>398.70948020048394</v>
      </c>
      <c r="AJ46" s="735">
        <f>AI46*0.8732</f>
        <v>348.15311811106255</v>
      </c>
      <c r="AK46" s="467">
        <f>AJ46*1.0663</f>
        <v>371.235669841826</v>
      </c>
      <c r="AL46" s="467">
        <f>AK46*1.726</f>
        <v>640.75276614699169</v>
      </c>
      <c r="AM46" s="467">
        <f>AL46*0.7544</f>
        <v>483.38388678129053</v>
      </c>
      <c r="AN46" s="467">
        <f t="shared" ref="AN46:AP46" si="126">AM46*1.05</f>
        <v>507.5530811203551</v>
      </c>
      <c r="AO46" s="467">
        <f t="shared" si="126"/>
        <v>532.93073517637288</v>
      </c>
      <c r="AP46" s="467">
        <f t="shared" si="126"/>
        <v>559.57727193519156</v>
      </c>
    </row>
    <row r="47" spans="2:68" ht="15.75">
      <c r="B47" s="59" t="s">
        <v>449</v>
      </c>
      <c r="C47" s="53" t="s">
        <v>450</v>
      </c>
      <c r="G47" s="109">
        <v>249.3749</v>
      </c>
      <c r="H47" s="109">
        <v>98.319000000000003</v>
      </c>
      <c r="I47" s="109">
        <v>82.219100000000012</v>
      </c>
      <c r="J47" s="109">
        <v>61.539000000000001</v>
      </c>
      <c r="K47" s="109">
        <v>65.033299999999997</v>
      </c>
      <c r="L47" s="109">
        <v>58.137</v>
      </c>
      <c r="M47" s="109">
        <v>66.834399999999988</v>
      </c>
      <c r="N47" s="109">
        <v>65.715000000000003</v>
      </c>
      <c r="O47" s="109">
        <v>87.517699999999991</v>
      </c>
      <c r="P47" s="109">
        <v>76.119199999999992</v>
      </c>
      <c r="Q47" s="470">
        <v>12.930978883731159</v>
      </c>
      <c r="R47" s="413">
        <v>3.5</v>
      </c>
      <c r="S47" s="1129">
        <v>0.14399999999999999</v>
      </c>
      <c r="T47" s="300">
        <v>0.21099999999999999</v>
      </c>
      <c r="U47" s="300">
        <v>0.21099999999999999</v>
      </c>
      <c r="V47" s="177">
        <v>0.629</v>
      </c>
      <c r="W47" s="300">
        <v>1.034</v>
      </c>
      <c r="X47" s="300">
        <v>1.034</v>
      </c>
      <c r="Y47" s="300">
        <v>1.034</v>
      </c>
      <c r="Z47" s="301">
        <v>3.8660000000000001</v>
      </c>
      <c r="AA47" s="301">
        <v>5.0999999999999996</v>
      </c>
      <c r="AB47" s="301">
        <v>16.8</v>
      </c>
      <c r="AC47" s="301">
        <v>15.8</v>
      </c>
      <c r="AD47" s="301">
        <v>18.664999999999999</v>
      </c>
      <c r="AE47" s="730">
        <v>29.443999999999999</v>
      </c>
      <c r="AF47" s="730">
        <v>45.930999999999997</v>
      </c>
      <c r="AG47" s="284">
        <f t="shared" ref="AG47:AG48" si="127">AF47</f>
        <v>45.930999999999997</v>
      </c>
      <c r="AH47" s="284">
        <f t="shared" ref="AH47:AH48" si="128">AG47</f>
        <v>45.930999999999997</v>
      </c>
      <c r="AI47" s="284">
        <f t="shared" ref="AI47:AI48" si="129">AH47</f>
        <v>45.930999999999997</v>
      </c>
      <c r="AJ47" s="284">
        <f t="shared" ref="AJ47:AJ48" si="130">AI47</f>
        <v>45.930999999999997</v>
      </c>
      <c r="AK47" s="284">
        <f t="shared" ref="AK47:AK48" si="131">AJ47</f>
        <v>45.930999999999997</v>
      </c>
      <c r="AL47" s="284">
        <f t="shared" ref="AL47:AL48" si="132">AK47</f>
        <v>45.930999999999997</v>
      </c>
      <c r="AM47" s="284">
        <f t="shared" ref="AM47:AM48" si="133">AL47</f>
        <v>45.930999999999997</v>
      </c>
      <c r="AN47" s="284">
        <f t="shared" ref="AN47:AN48" si="134">AM47</f>
        <v>45.930999999999997</v>
      </c>
      <c r="AO47" s="284">
        <f t="shared" ref="AO47:AO48" si="135">AN47</f>
        <v>45.930999999999997</v>
      </c>
      <c r="AP47" s="284">
        <f t="shared" ref="AP47:AP48" si="136">AO47</f>
        <v>45.930999999999997</v>
      </c>
    </row>
    <row r="48" spans="2:68" ht="18.75">
      <c r="B48" s="59" t="s">
        <v>451</v>
      </c>
      <c r="C48" s="53" t="s">
        <v>452</v>
      </c>
      <c r="G48" s="109">
        <v>65.267600000000002</v>
      </c>
      <c r="H48" s="109">
        <v>26.668299999999999</v>
      </c>
      <c r="I48" s="109">
        <v>22.3581</v>
      </c>
      <c r="J48" s="109">
        <v>24.306099999999997</v>
      </c>
      <c r="K48" s="109">
        <v>27.909400000000002</v>
      </c>
      <c r="L48" s="109">
        <v>26.6</v>
      </c>
      <c r="M48" s="109">
        <v>34.927300000000002</v>
      </c>
      <c r="N48" s="109">
        <v>64.468900000000005</v>
      </c>
      <c r="O48" s="109">
        <v>74.348199999999991</v>
      </c>
      <c r="P48" s="109">
        <v>52.003300000000003</v>
      </c>
      <c r="Q48" s="470">
        <v>41.499157352068799</v>
      </c>
      <c r="R48" s="413">
        <v>48.2</v>
      </c>
      <c r="S48" s="413">
        <v>38.698999999999998</v>
      </c>
      <c r="T48" s="495">
        <v>8.1999999999999993</v>
      </c>
      <c r="U48" s="488">
        <v>0</v>
      </c>
      <c r="V48" s="488">
        <v>1</v>
      </c>
      <c r="W48" s="488">
        <v>1</v>
      </c>
      <c r="X48" s="488">
        <v>1</v>
      </c>
      <c r="Y48" s="489">
        <v>6.9</v>
      </c>
      <c r="Z48" s="489">
        <v>17.7</v>
      </c>
      <c r="AA48" s="490">
        <v>28.5</v>
      </c>
      <c r="AB48" s="489">
        <v>29.9</v>
      </c>
      <c r="AC48" s="489">
        <v>24.5</v>
      </c>
      <c r="AD48" s="489">
        <v>27.8</v>
      </c>
      <c r="AE48" s="731">
        <v>33.901000000000003</v>
      </c>
      <c r="AF48" s="731">
        <v>30.9</v>
      </c>
      <c r="AG48" s="487">
        <f t="shared" si="127"/>
        <v>30.9</v>
      </c>
      <c r="AH48" s="487">
        <f t="shared" si="128"/>
        <v>30.9</v>
      </c>
      <c r="AI48" s="487">
        <f t="shared" si="129"/>
        <v>30.9</v>
      </c>
      <c r="AJ48" s="487">
        <f t="shared" si="130"/>
        <v>30.9</v>
      </c>
      <c r="AK48" s="487">
        <f t="shared" si="131"/>
        <v>30.9</v>
      </c>
      <c r="AL48" s="487">
        <f t="shared" si="132"/>
        <v>30.9</v>
      </c>
      <c r="AM48" s="487">
        <f t="shared" si="133"/>
        <v>30.9</v>
      </c>
      <c r="AN48" s="487">
        <f t="shared" si="134"/>
        <v>30.9</v>
      </c>
      <c r="AO48" s="487">
        <f t="shared" si="135"/>
        <v>30.9</v>
      </c>
      <c r="AP48" s="487">
        <f t="shared" si="136"/>
        <v>30.9</v>
      </c>
      <c r="AS48" t="s">
        <v>965</v>
      </c>
    </row>
    <row r="49" spans="2:68" ht="18.75">
      <c r="B49" s="59" t="s">
        <v>169</v>
      </c>
      <c r="C49" s="53" t="s">
        <v>453</v>
      </c>
      <c r="G49" s="109">
        <v>198.54229999999998</v>
      </c>
      <c r="H49" s="109">
        <v>185.0301</v>
      </c>
      <c r="I49" s="109">
        <v>178.00910000000002</v>
      </c>
      <c r="J49" s="109">
        <v>235.8134</v>
      </c>
      <c r="K49" s="109">
        <v>284.78959999999995</v>
      </c>
      <c r="L49" s="109">
        <v>361.82299999999998</v>
      </c>
      <c r="M49" s="109">
        <v>386.67</v>
      </c>
      <c r="N49" s="109">
        <v>376.5831</v>
      </c>
      <c r="O49" s="109">
        <v>377.70850000000002</v>
      </c>
      <c r="P49" s="109">
        <v>290.05579999999998</v>
      </c>
      <c r="Q49" s="470">
        <v>318.69799999999998</v>
      </c>
      <c r="R49" s="471">
        <v>264.39999999999998</v>
      </c>
      <c r="S49" s="471">
        <v>249.50399999999999</v>
      </c>
      <c r="T49" s="471">
        <v>202.524</v>
      </c>
      <c r="U49" s="178">
        <v>130.6</v>
      </c>
      <c r="V49">
        <v>133.80000000000001</v>
      </c>
      <c r="W49">
        <v>135.30000000000001</v>
      </c>
      <c r="X49">
        <v>106.7</v>
      </c>
      <c r="Y49">
        <v>85.2</v>
      </c>
      <c r="Z49">
        <v>105.6</v>
      </c>
      <c r="AA49">
        <v>89</v>
      </c>
      <c r="AB49">
        <v>54.5</v>
      </c>
      <c r="AC49">
        <v>70.2</v>
      </c>
      <c r="AD49">
        <v>76.900000000000006</v>
      </c>
      <c r="AE49" s="175">
        <v>90.2</v>
      </c>
      <c r="AF49" s="175">
        <v>101.9</v>
      </c>
      <c r="AG49" s="112">
        <f t="shared" ref="AG49:AP49" si="137">AG62*AG75/1000000</f>
        <v>106.99500000000003</v>
      </c>
      <c r="AH49" s="112">
        <f t="shared" si="137"/>
        <v>112.34475000000005</v>
      </c>
      <c r="AI49" s="112">
        <f t="shared" si="137"/>
        <v>117.96198750000003</v>
      </c>
      <c r="AJ49" s="112">
        <f t="shared" si="137"/>
        <v>123.86008687500004</v>
      </c>
      <c r="AK49" s="112">
        <f t="shared" si="137"/>
        <v>130.05309121875004</v>
      </c>
      <c r="AL49" s="112">
        <f t="shared" si="137"/>
        <v>136.55574577968756</v>
      </c>
      <c r="AM49" s="112">
        <f t="shared" si="137"/>
        <v>143.38353306867194</v>
      </c>
      <c r="AN49" s="112">
        <f t="shared" si="137"/>
        <v>150.55270972210553</v>
      </c>
      <c r="AO49" s="112">
        <f t="shared" si="137"/>
        <v>158.08034520821082</v>
      </c>
      <c r="AP49" s="112">
        <f t="shared" si="137"/>
        <v>165.98436246862138</v>
      </c>
      <c r="AS49" t="s">
        <v>966</v>
      </c>
    </row>
    <row r="50" spans="2:68" ht="18.75">
      <c r="B50" s="59" t="s">
        <v>454</v>
      </c>
      <c r="C50" s="53" t="s">
        <v>455</v>
      </c>
      <c r="G50" s="109">
        <v>8.3414999999999999</v>
      </c>
      <c r="H50" s="109">
        <v>7.4486999999999997</v>
      </c>
      <c r="I50" s="109">
        <v>12.360799999999999</v>
      </c>
      <c r="J50" s="109">
        <v>18.772099999999998</v>
      </c>
      <c r="K50" s="109">
        <v>33.3431</v>
      </c>
      <c r="L50" s="109">
        <v>45.433999999999997</v>
      </c>
      <c r="M50" s="109">
        <v>48.9527</v>
      </c>
      <c r="N50" s="109">
        <v>95.015299999999996</v>
      </c>
      <c r="O50" s="109">
        <v>148.63210000000001</v>
      </c>
      <c r="P50" s="109">
        <v>100.996</v>
      </c>
      <c r="Q50" s="470">
        <v>98.222476272560002</v>
      </c>
      <c r="R50" s="413">
        <v>131</v>
      </c>
      <c r="S50" s="413">
        <v>127.2</v>
      </c>
      <c r="T50" s="413">
        <v>98.7</v>
      </c>
      <c r="U50" s="178">
        <v>77.599999999999994</v>
      </c>
      <c r="V50" s="491">
        <v>57.1</v>
      </c>
      <c r="W50" s="283">
        <v>28.8</v>
      </c>
      <c r="X50" s="283">
        <v>13.5</v>
      </c>
      <c r="Y50" s="283">
        <v>10.3</v>
      </c>
      <c r="Z50" s="283">
        <v>21.1</v>
      </c>
      <c r="AA50" s="413">
        <v>23.5</v>
      </c>
      <c r="AB50" s="283">
        <v>24.6</v>
      </c>
      <c r="AC50" s="283">
        <f t="shared" ref="AC50" si="138">AB50</f>
        <v>24.6</v>
      </c>
      <c r="AD50" s="283">
        <v>28.7</v>
      </c>
      <c r="AE50" s="660">
        <v>21.2</v>
      </c>
      <c r="AF50" s="660">
        <v>16.2</v>
      </c>
      <c r="AG50" s="284">
        <f t="shared" ref="AG50" si="139">AF50</f>
        <v>16.2</v>
      </c>
      <c r="AH50" s="284">
        <f t="shared" ref="AH50" si="140">AG50</f>
        <v>16.2</v>
      </c>
      <c r="AI50" s="284">
        <f t="shared" ref="AI50" si="141">AH50</f>
        <v>16.2</v>
      </c>
      <c r="AJ50" s="284">
        <f t="shared" ref="AJ50" si="142">AI50</f>
        <v>16.2</v>
      </c>
      <c r="AK50" s="284">
        <f t="shared" ref="AK50" si="143">AJ50</f>
        <v>16.2</v>
      </c>
      <c r="AL50" s="284">
        <f t="shared" ref="AL50" si="144">AK50</f>
        <v>16.2</v>
      </c>
      <c r="AM50" s="284">
        <f t="shared" ref="AM50" si="145">AL50</f>
        <v>16.2</v>
      </c>
      <c r="AN50" s="284">
        <f t="shared" ref="AN50" si="146">AM50</f>
        <v>16.2</v>
      </c>
      <c r="AO50" s="284">
        <f t="shared" ref="AO50" si="147">AN50</f>
        <v>16.2</v>
      </c>
      <c r="AP50" s="284">
        <f t="shared" ref="AP50" si="148">AO50</f>
        <v>16.2</v>
      </c>
      <c r="AS50" t="s">
        <v>967</v>
      </c>
    </row>
    <row r="51" spans="2:68" ht="18.75">
      <c r="B51" s="59" t="s">
        <v>456</v>
      </c>
      <c r="C51" s="109" t="s">
        <v>457</v>
      </c>
      <c r="D51" s="109"/>
      <c r="E51" s="109"/>
      <c r="F51" s="109"/>
      <c r="G51" s="109">
        <v>294.61710000000005</v>
      </c>
      <c r="H51" s="109">
        <v>344.62520000000001</v>
      </c>
      <c r="I51" s="109">
        <v>435.04689999999988</v>
      </c>
      <c r="J51" s="109">
        <v>599.87560000000008</v>
      </c>
      <c r="K51" s="109">
        <v>699.48310000000015</v>
      </c>
      <c r="L51" s="109">
        <v>782.11289999999997</v>
      </c>
      <c r="M51" s="109">
        <v>1373.1988999999999</v>
      </c>
      <c r="N51" s="109">
        <v>2197.8101000000001</v>
      </c>
      <c r="O51" s="109">
        <v>2469.4191000000001</v>
      </c>
      <c r="P51" s="109">
        <v>1627.2266</v>
      </c>
      <c r="Q51" s="1128">
        <v>1943.7763322534486</v>
      </c>
      <c r="R51" s="467">
        <v>2190.8000000000002</v>
      </c>
      <c r="S51" s="467">
        <v>2762.1530000000002</v>
      </c>
      <c r="T51" s="467">
        <v>3133.3649999999998</v>
      </c>
      <c r="U51" s="467">
        <v>3350.1889999999994</v>
      </c>
      <c r="V51" s="467">
        <f t="shared" ref="V51:AD51" si="149">V43-SUM(V44:V45,V47:V50)</f>
        <v>2646.971</v>
      </c>
      <c r="W51" s="467">
        <f t="shared" si="149"/>
        <v>2377.0659999999998</v>
      </c>
      <c r="X51" s="467">
        <f t="shared" si="149"/>
        <v>2189.1660000000002</v>
      </c>
      <c r="Y51" s="467">
        <f t="shared" si="149"/>
        <v>2564.1660000000002</v>
      </c>
      <c r="Z51" s="467">
        <f t="shared" si="149"/>
        <v>2649.7340000000004</v>
      </c>
      <c r="AA51" s="467">
        <f t="shared" si="149"/>
        <v>2488.1</v>
      </c>
      <c r="AB51" s="467">
        <f t="shared" si="149"/>
        <v>3405.2</v>
      </c>
      <c r="AC51" s="467">
        <f t="shared" si="149"/>
        <v>4021.7</v>
      </c>
      <c r="AD51" s="467">
        <f t="shared" si="149"/>
        <v>4772.2350000000006</v>
      </c>
      <c r="AE51" s="467">
        <f>AE43-SUM(AE44:AE45,AE47:AE50)</f>
        <v>5728.9549999999999</v>
      </c>
      <c r="AF51" s="467">
        <f>AF43-SUM(AF44:AF45,AF47:AF50)</f>
        <v>6850.8690000000006</v>
      </c>
      <c r="AG51" s="112">
        <f>AF51*EXP(0.01+0.002100360827*(AG5/AF5)+0.10587256149*(GDP!AG97/GDP!AF97/(Assumptions!AG12/Assumptions!AF12)))-1000</f>
        <v>6690.758789896212</v>
      </c>
      <c r="AH51" s="112">
        <f>AG51*EXP(0.085487206518+0.002700360827*LN(AH5/AG5)+0.10587256149*LN(GDP!AH97/GDP!AG97/(Assumptions!AH12/Assumptions!AG12)))-500</f>
        <v>6567.4217017573437</v>
      </c>
      <c r="AI51" s="112">
        <f>AH51*EXP(0.085487206518+0.002700360827*LN(AI5/AH5)+0.10587256149*LN(GDP!AI97/GDP!AH97/(Assumptions!AI12/Assumptions!AH12)))-500</f>
        <v>6269.3009598325225</v>
      </c>
      <c r="AJ51" s="112">
        <f>AI51*EXP(0.085487206518+0.002700360827*(AJ5/AI5)+0.10587256149*(GDP!AJ97/GDP!AI97/(Assumptions!AJ12/Assumptions!AI12)))-1000</f>
        <v>6443.3930516610799</v>
      </c>
      <c r="AK51" s="112">
        <f>AJ51*EXP(0.085487206518+0.002700360827*LN(AK5/AJ5)+0.10587256149*LN(GDP!AK97/GDP!AJ97/(Assumptions!AK12/Assumptions!AJ12)))-500</f>
        <v>6611.4491167727128</v>
      </c>
      <c r="AL51" s="112">
        <f>AK51*EXP(0.085487206518+0.002700360827*LN(AL5/AK5)+0.10587256149*LN(GDP!AL97/GDP!AK97/(Assumptions!AL12/Assumptions!AK12)))-500</f>
        <v>6617.96614698752</v>
      </c>
      <c r="AM51" s="112">
        <f>AL51*EXP(0.085487206518+0.002700360827*LN(AM5/AL5)+0.10587256149*LN(GDP!AM97/GDP!AL97/(Assumptions!AM12/Assumptions!AL12)))-500</f>
        <v>6975.8543004014291</v>
      </c>
      <c r="AN51" s="112">
        <f>AM51*EXP(0.085487206518+0.002700360827*LN(AN5/AM5)+0.10587256149*LN(GDP!AN97/GDP!AM97/(Assumptions!AN12/Assumptions!AM12)))-500</f>
        <v>6240.5514557675251</v>
      </c>
      <c r="AO51" s="112">
        <f>AN51*EXP(0.085487206518+0.002700360827*LN(AO5/AN5)+0.10587256149*LN(GDP!AO97/GDP!AN97/(Assumptions!AO12/Assumptions!AN12)))-500</f>
        <v>5473.6436794807296</v>
      </c>
      <c r="AP51" s="112">
        <f>AO51*EXP(0.085487206518+0.002700360827*LN(AP5/AO5)+0.10587256149*LN(GDP!AP97/GDP!AO97/(Assumptions!AP12/Assumptions!AO12)))-100</f>
        <v>7292.4924455257324</v>
      </c>
      <c r="AS51" t="s">
        <v>968</v>
      </c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</row>
    <row r="52" spans="2:68">
      <c r="C52" s="110" t="s">
        <v>458</v>
      </c>
      <c r="D52" s="110"/>
      <c r="E52" s="110"/>
      <c r="F52" s="110"/>
      <c r="G52"/>
      <c r="H52"/>
      <c r="I52"/>
      <c r="J52"/>
      <c r="K52"/>
      <c r="L52"/>
      <c r="M52"/>
      <c r="N52"/>
      <c r="O52"/>
      <c r="P52"/>
      <c r="R52" s="491">
        <v>45.4</v>
      </c>
      <c r="S52" s="491">
        <v>106.7</v>
      </c>
      <c r="T52" s="491">
        <v>156.9</v>
      </c>
      <c r="U52" s="491"/>
      <c r="V52" s="493">
        <f t="shared" ref="V52:AH52" si="150">V43-V55</f>
        <v>3435.6</v>
      </c>
      <c r="W52" s="493">
        <f t="shared" si="150"/>
        <v>2942.9708697170799</v>
      </c>
      <c r="X52" s="493">
        <f t="shared" si="150"/>
        <v>2683.3553972024283</v>
      </c>
      <c r="Y52" s="493">
        <f t="shared" si="150"/>
        <v>3037.4463584273308</v>
      </c>
      <c r="Z52" s="493">
        <f t="shared" si="150"/>
        <v>3243.0067597588068</v>
      </c>
      <c r="AA52" s="493">
        <f t="shared" si="150"/>
        <v>3055.9504971188007</v>
      </c>
      <c r="AB52" s="493">
        <f t="shared" si="150"/>
        <v>4075.8650793650795</v>
      </c>
      <c r="AC52" s="493">
        <f t="shared" si="150"/>
        <v>5044.7419527259772</v>
      </c>
      <c r="AD52" s="493">
        <f t="shared" si="150"/>
        <v>5766.309966134495</v>
      </c>
      <c r="AE52" s="493">
        <f t="shared" si="150"/>
        <v>6888.425156034762</v>
      </c>
      <c r="AF52" s="493">
        <f>AF43-AF55</f>
        <v>8186.6829613562422</v>
      </c>
      <c r="AG52" s="493">
        <f t="shared" si="150"/>
        <v>8248.5081490737975</v>
      </c>
      <c r="AH52" s="493">
        <f t="shared" si="150"/>
        <v>8259.9524552375569</v>
      </c>
      <c r="AI52" s="493">
        <f>AI43-AI55</f>
        <v>8263.0171511069129</v>
      </c>
      <c r="AJ52" s="493">
        <f t="shared" ref="AJ52:AP52" si="151">AJ43-AJ55</f>
        <v>8421.9560671161344</v>
      </c>
      <c r="AK52" s="493">
        <f t="shared" si="151"/>
        <v>8579.065819909576</v>
      </c>
      <c r="AL52" s="493">
        <f t="shared" si="151"/>
        <v>8821.6424030028193</v>
      </c>
      <c r="AM52" s="493">
        <f t="shared" si="151"/>
        <v>8992.1521692959323</v>
      </c>
      <c r="AN52" s="493">
        <f t="shared" si="151"/>
        <v>8261.6943519780252</v>
      </c>
      <c r="AO52" s="493">
        <f t="shared" si="151"/>
        <v>7493.3820471601439</v>
      </c>
      <c r="AP52" s="493">
        <f t="shared" si="151"/>
        <v>9279.322408556247</v>
      </c>
    </row>
    <row r="53" spans="2:68">
      <c r="C53" s="110" t="s">
        <v>459</v>
      </c>
      <c r="D53" s="110"/>
      <c r="E53" s="110"/>
      <c r="F53" s="110"/>
      <c r="G53"/>
      <c r="H53"/>
      <c r="I53"/>
      <c r="J53"/>
      <c r="K53"/>
      <c r="L53"/>
      <c r="M53"/>
      <c r="N53"/>
      <c r="O53"/>
      <c r="P53"/>
      <c r="R53" s="491">
        <v>146.6</v>
      </c>
      <c r="S53" s="491">
        <v>131.69999999999999</v>
      </c>
      <c r="T53" s="491">
        <v>148.19999999999999</v>
      </c>
      <c r="U53"/>
      <c r="W53" s="470">
        <f t="shared" ref="W53" si="152">W43/V43*100</f>
        <v>88.229130282920011</v>
      </c>
      <c r="X53" s="470">
        <f t="shared" ref="X53" si="153">X43/W43*100</f>
        <v>91.544602797571926</v>
      </c>
      <c r="Y53" s="470">
        <f t="shared" ref="Y53" si="154">Y43/X43*100</f>
        <v>113.55364157266928</v>
      </c>
      <c r="Z53" s="470">
        <f t="shared" ref="Z53" si="155">Z43/Y43*100</f>
        <v>106.29324024119329</v>
      </c>
      <c r="AA53" s="470">
        <f t="shared" ref="AA53" si="156">AA43/Z43*100</f>
        <v>94.049502881199061</v>
      </c>
      <c r="AB53" s="470">
        <f t="shared" ref="AB53" si="157">AB43/AA43*100</f>
        <v>133.63492063492063</v>
      </c>
      <c r="AC53" s="470">
        <f t="shared" ref="AC53" si="158">AC43/AB43*100</f>
        <v>122.75804727402304</v>
      </c>
      <c r="AD53" s="470">
        <f t="shared" ref="AD53" si="159">AD43/AC43*100</f>
        <v>113.79003386550556</v>
      </c>
      <c r="AE53" s="470">
        <f t="shared" ref="AE53" si="160">AE43/AD43*100</f>
        <v>119.17484396523868</v>
      </c>
      <c r="AF53" s="470">
        <f t="shared" ref="AF53" si="161">AF43/AE43*100</f>
        <v>118.5170386437582</v>
      </c>
      <c r="AG53" s="470">
        <f t="shared" ref="AG53" si="162">AG43/AF43*100</f>
        <v>100.52781344846922</v>
      </c>
      <c r="AH53" s="470">
        <f t="shared" ref="AH53" si="163">AH43/AG43*100</f>
        <v>100.13233658775265</v>
      </c>
      <c r="AI53" s="470">
        <f t="shared" ref="AI53" si="164">AI43/AH43*100</f>
        <v>100.03550035327126</v>
      </c>
      <c r="AJ53" s="470">
        <f t="shared" ref="AJ53" si="165">AJ43/AI43*100</f>
        <v>101.92305945948281</v>
      </c>
      <c r="AK53" s="470">
        <f t="shared" ref="AK53" si="166">AK43/AJ43*100</f>
        <v>101.84222364782487</v>
      </c>
      <c r="AL53" s="470">
        <f t="shared" ref="AL53" si="167">AL43/AK43*100</f>
        <v>102.80546485550749</v>
      </c>
      <c r="AM53" s="470">
        <f t="shared" ref="AM53" si="168">AM43/AL43*100</f>
        <v>101.90045092847613</v>
      </c>
      <c r="AN53" s="470">
        <f t="shared" ref="AN53" si="169">AN43/AM43*100</f>
        <v>91.857305052901594</v>
      </c>
      <c r="AO53" s="470">
        <f t="shared" ref="AO53" si="170">AO43/AN43*100</f>
        <v>90.789787942706823</v>
      </c>
      <c r="AP53" s="470">
        <f t="shared" ref="AP53" si="171">AP43/AO43*100</f>
        <v>123.9859614798479</v>
      </c>
    </row>
    <row r="54" spans="2:68">
      <c r="C54" s="110" t="s">
        <v>460</v>
      </c>
      <c r="D54" s="110"/>
      <c r="E54" s="110"/>
      <c r="F54" s="110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 s="493">
        <f t="shared" ref="V54:AH54" si="172">V39-V43</f>
        <v>-3435.6</v>
      </c>
      <c r="W54" s="493">
        <f t="shared" si="172"/>
        <v>-3031.2</v>
      </c>
      <c r="X54" s="493">
        <f t="shared" si="172"/>
        <v>-2774.9</v>
      </c>
      <c r="Y54" s="493">
        <f t="shared" si="172"/>
        <v>-3151</v>
      </c>
      <c r="Z54" s="493">
        <f t="shared" si="172"/>
        <v>-3349.3</v>
      </c>
      <c r="AA54" s="493">
        <f t="shared" si="172"/>
        <v>-3150</v>
      </c>
      <c r="AB54" s="493">
        <f t="shared" si="172"/>
        <v>-4209.5</v>
      </c>
      <c r="AC54" s="493">
        <f t="shared" si="172"/>
        <v>-5167.5</v>
      </c>
      <c r="AD54" s="493">
        <f t="shared" si="172"/>
        <v>-5880.1</v>
      </c>
      <c r="AE54" s="493">
        <f t="shared" si="172"/>
        <v>-7007.6</v>
      </c>
      <c r="AF54" s="493">
        <f t="shared" si="172"/>
        <v>-8305.2000000000007</v>
      </c>
      <c r="AG54" s="493">
        <f t="shared" si="172"/>
        <v>-8349.0359625222663</v>
      </c>
      <c r="AH54" s="493">
        <f t="shared" si="172"/>
        <v>-8360.0847918253094</v>
      </c>
      <c r="AI54" s="493">
        <f t="shared" ref="AI54:AP54" si="173">AI39-AI43</f>
        <v>-8363.0526514601843</v>
      </c>
      <c r="AJ54" s="493">
        <f t="shared" si="173"/>
        <v>-8523.8791265756172</v>
      </c>
      <c r="AK54" s="493">
        <f t="shared" si="173"/>
        <v>-8680.9080435574015</v>
      </c>
      <c r="AL54" s="493">
        <f t="shared" si="173"/>
        <v>-8924.4478678583273</v>
      </c>
      <c r="AM54" s="493">
        <f t="shared" si="173"/>
        <v>-9094.0526202244091</v>
      </c>
      <c r="AN54" s="493">
        <f t="shared" si="173"/>
        <v>-8353.5516570309264</v>
      </c>
      <c r="AO54" s="493">
        <f t="shared" si="173"/>
        <v>-7584.1718351028503</v>
      </c>
      <c r="AP54" s="493">
        <f t="shared" si="173"/>
        <v>-9403.3083700360949</v>
      </c>
      <c r="AS54" s="472"/>
      <c r="AT54" s="472"/>
    </row>
    <row r="55" spans="2:68">
      <c r="C55" s="110"/>
      <c r="D55" s="110"/>
      <c r="E55" s="110"/>
      <c r="F55" s="110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W55" s="478">
        <f t="shared" ref="W55" si="174">W43/V43*100</f>
        <v>88.229130282920011</v>
      </c>
      <c r="X55" s="478">
        <f t="shared" ref="X55" si="175">X43/W43*100</f>
        <v>91.544602797571926</v>
      </c>
      <c r="Y55" s="478">
        <f t="shared" ref="Y55" si="176">Y43/X43*100</f>
        <v>113.55364157266928</v>
      </c>
      <c r="Z55" s="478">
        <f t="shared" ref="Z55" si="177">Z43/Y43*100</f>
        <v>106.29324024119329</v>
      </c>
      <c r="AA55" s="478">
        <f t="shared" ref="AA55" si="178">AA43/Z43*100</f>
        <v>94.049502881199061</v>
      </c>
      <c r="AB55" s="478">
        <f t="shared" ref="AB55" si="179">AB43/AA43*100</f>
        <v>133.63492063492063</v>
      </c>
      <c r="AC55" s="478">
        <f t="shared" ref="AC55" si="180">AC43/AB43*100</f>
        <v>122.75804727402304</v>
      </c>
      <c r="AD55" s="478">
        <f t="shared" ref="AD55" si="181">AD43/AC43*100</f>
        <v>113.79003386550556</v>
      </c>
      <c r="AE55" s="478">
        <f t="shared" ref="AE55" si="182">AE43/AD43*100</f>
        <v>119.17484396523868</v>
      </c>
      <c r="AF55" s="478">
        <f t="shared" ref="AF55" si="183">AF43/AE43*100</f>
        <v>118.5170386437582</v>
      </c>
      <c r="AG55" s="478">
        <f t="shared" ref="AG55" si="184">AG43/AF43*100</f>
        <v>100.52781344846922</v>
      </c>
      <c r="AH55" s="478">
        <f t="shared" ref="AH55" si="185">AH43/AG43*100</f>
        <v>100.13233658775265</v>
      </c>
      <c r="AI55" s="478">
        <f t="shared" ref="AI55" si="186">AI43/AH43*100</f>
        <v>100.03550035327126</v>
      </c>
      <c r="AJ55" s="478">
        <f t="shared" ref="AJ55" si="187">AJ43/AI43*100</f>
        <v>101.92305945948281</v>
      </c>
      <c r="AK55" s="478">
        <f t="shared" ref="AK55" si="188">AK43/AJ43*100</f>
        <v>101.84222364782487</v>
      </c>
      <c r="AL55" s="478">
        <f t="shared" ref="AL55" si="189">AL43/AK43*100</f>
        <v>102.80546485550749</v>
      </c>
      <c r="AM55" s="478">
        <f t="shared" ref="AM55" si="190">AM43/AL43*100</f>
        <v>101.90045092847613</v>
      </c>
      <c r="AN55" s="478">
        <f t="shared" ref="AN55" si="191">AN43/AM43*100</f>
        <v>91.857305052901594</v>
      </c>
      <c r="AO55" s="478">
        <f t="shared" ref="AO55" si="192">AO43/AN43*100</f>
        <v>90.789787942706823</v>
      </c>
      <c r="AP55" s="478">
        <f t="shared" ref="AP55" si="193">AP43/AO43*100</f>
        <v>123.9859614798479</v>
      </c>
    </row>
    <row r="56" spans="2:68">
      <c r="B56" s="107"/>
      <c r="C56" s="107" t="s">
        <v>461</v>
      </c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AF56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7"/>
    </row>
    <row r="57" spans="2:68" ht="18">
      <c r="B57" s="59" t="s">
        <v>462</v>
      </c>
      <c r="C57" s="53" t="s">
        <v>463</v>
      </c>
      <c r="G57" s="1106">
        <v>321278.40000000002</v>
      </c>
      <c r="H57" s="1106">
        <v>264232.2</v>
      </c>
      <c r="I57" s="1106">
        <v>291623</v>
      </c>
      <c r="J57" s="1106">
        <v>144077.79999999999</v>
      </c>
      <c r="K57" s="1106">
        <v>125472.2</v>
      </c>
      <c r="L57" s="1106">
        <v>288577</v>
      </c>
      <c r="M57" s="1106">
        <v>276336.8</v>
      </c>
      <c r="N57" s="1106">
        <v>282733.2</v>
      </c>
      <c r="O57" s="1106">
        <v>254662.39999999999</v>
      </c>
      <c r="P57" s="1106">
        <v>403757.3</v>
      </c>
      <c r="Q57" s="1105">
        <v>442810.9</v>
      </c>
      <c r="R57" s="471">
        <v>438800</v>
      </c>
      <c r="S57" s="471">
        <v>747100</v>
      </c>
      <c r="T57" s="471">
        <v>640200</v>
      </c>
      <c r="U57" s="178">
        <v>774900</v>
      </c>
      <c r="V57" s="471">
        <v>859000</v>
      </c>
      <c r="W57" s="177">
        <v>1034100</v>
      </c>
      <c r="X57" s="177">
        <v>1014500</v>
      </c>
      <c r="Y57" s="177">
        <v>1018900</v>
      </c>
      <c r="Z57" s="177">
        <v>1090200</v>
      </c>
      <c r="AA57" s="177">
        <v>999200</v>
      </c>
      <c r="AB57" s="177">
        <v>1028100</v>
      </c>
      <c r="AC57" s="177">
        <v>995500</v>
      </c>
      <c r="AD57" s="177">
        <v>1023600</v>
      </c>
      <c r="AE57" s="661">
        <v>1057800</v>
      </c>
      <c r="AF57" s="661">
        <v>1278400</v>
      </c>
      <c r="AG57" s="467">
        <f t="shared" ref="AG57:AI57" si="194">AF57*0.95</f>
        <v>1214480</v>
      </c>
      <c r="AH57" s="467">
        <f t="shared" si="194"/>
        <v>1153756</v>
      </c>
      <c r="AI57" s="467">
        <f t="shared" si="194"/>
        <v>1096068.2</v>
      </c>
      <c r="AJ57" s="467">
        <f t="shared" ref="AJ57" si="195">AI57*0.95</f>
        <v>1041264.7899999999</v>
      </c>
      <c r="AK57" s="467">
        <f t="shared" ref="AK57" si="196">AJ57*0.95</f>
        <v>989201.5504999999</v>
      </c>
      <c r="AL57" s="467">
        <f t="shared" ref="AL57" si="197">AK57*0.95</f>
        <v>939741.47297499981</v>
      </c>
      <c r="AM57" s="467">
        <f t="shared" ref="AM57" si="198">AL57*0.95</f>
        <v>892754.39932624972</v>
      </c>
      <c r="AN57" s="467">
        <f t="shared" ref="AN57" si="199">AM57*0.95</f>
        <v>848116.6793599372</v>
      </c>
      <c r="AO57" s="467">
        <f t="shared" ref="AO57" si="200">AN57*0.95</f>
        <v>805710.84539194033</v>
      </c>
      <c r="AP57" s="467">
        <f t="shared" ref="AP57" si="201">AO57*0.95</f>
        <v>765425.30312234326</v>
      </c>
      <c r="AS57" t="s">
        <v>969</v>
      </c>
    </row>
    <row r="58" spans="2:68" ht="18.75">
      <c r="B58" s="59" t="s">
        <v>464</v>
      </c>
      <c r="C58" s="53" t="s">
        <v>465</v>
      </c>
      <c r="G58" s="1106">
        <v>202233.9</v>
      </c>
      <c r="H58" s="1106">
        <v>276054.40000000002</v>
      </c>
      <c r="I58" s="1106">
        <v>278380.09999999998</v>
      </c>
      <c r="J58" s="1106">
        <v>305066.09999999998</v>
      </c>
      <c r="K58" s="1106">
        <v>356636.1</v>
      </c>
      <c r="L58" s="1106">
        <v>308069.40000000002</v>
      </c>
      <c r="M58" s="1106">
        <v>379234.9</v>
      </c>
      <c r="N58" s="1106">
        <v>518807.3</v>
      </c>
      <c r="O58" s="1106">
        <v>539409.6</v>
      </c>
      <c r="P58" s="1106">
        <v>635452.69999999995</v>
      </c>
      <c r="Q58" s="1105">
        <v>629117.80000000005</v>
      </c>
      <c r="R58" s="471">
        <v>440900</v>
      </c>
      <c r="S58" s="471">
        <v>372200</v>
      </c>
      <c r="T58" s="471">
        <v>383000</v>
      </c>
      <c r="U58" s="178">
        <v>579800</v>
      </c>
      <c r="V58" s="494">
        <v>531300</v>
      </c>
      <c r="W58" s="177">
        <v>472200</v>
      </c>
      <c r="X58" s="177">
        <v>426100</v>
      </c>
      <c r="Y58" s="177">
        <v>446800</v>
      </c>
      <c r="Z58" s="177">
        <v>504000</v>
      </c>
      <c r="AA58" s="177">
        <v>583600</v>
      </c>
      <c r="AB58" s="177">
        <v>618800</v>
      </c>
      <c r="AC58" s="177">
        <v>783700</v>
      </c>
      <c r="AD58" s="177">
        <v>899000</v>
      </c>
      <c r="AE58" s="661">
        <v>1050200</v>
      </c>
      <c r="AF58" s="661">
        <v>1212100</v>
      </c>
      <c r="AG58" s="467">
        <f t="shared" ref="AG58:AI58" si="202">AF58*0.98</f>
        <v>1187858</v>
      </c>
      <c r="AH58" s="467">
        <f t="shared" si="202"/>
        <v>1164100.8400000001</v>
      </c>
      <c r="AI58" s="467">
        <f t="shared" si="202"/>
        <v>1140818.8232</v>
      </c>
      <c r="AJ58" s="467">
        <f t="shared" ref="AJ58" si="203">AI58*0.98</f>
        <v>1118002.446736</v>
      </c>
      <c r="AK58" s="467">
        <f t="shared" ref="AK58" si="204">AJ58*0.98</f>
        <v>1095642.39780128</v>
      </c>
      <c r="AL58" s="467">
        <f t="shared" ref="AL58" si="205">AK58*0.98</f>
        <v>1073729.5498452545</v>
      </c>
      <c r="AM58" s="467">
        <f t="shared" ref="AM58" si="206">AL58*0.98</f>
        <v>1052254.9588483495</v>
      </c>
      <c r="AN58" s="467">
        <f t="shared" ref="AN58" si="207">AM58*0.98</f>
        <v>1031209.8596713825</v>
      </c>
      <c r="AO58" s="467">
        <f t="shared" ref="AO58" si="208">AN58*0.98</f>
        <v>1010585.6624779548</v>
      </c>
      <c r="AP58" s="467">
        <f t="shared" ref="AP58" si="209">AO58*0.98</f>
        <v>990373.94922839559</v>
      </c>
      <c r="AS58" t="s">
        <v>970</v>
      </c>
    </row>
    <row r="59" spans="2:68">
      <c r="C59" s="53" t="s">
        <v>466</v>
      </c>
      <c r="G59" s="1106"/>
      <c r="H59" s="1106"/>
      <c r="I59" s="1106"/>
      <c r="J59" s="1106"/>
      <c r="K59" s="1106"/>
      <c r="L59" s="1106"/>
      <c r="M59" s="1106"/>
      <c r="N59" s="1106"/>
      <c r="O59" s="1106"/>
      <c r="P59" s="1106"/>
      <c r="Q59" s="1105"/>
      <c r="R59" s="471">
        <v>207100</v>
      </c>
      <c r="S59" s="471">
        <v>149500</v>
      </c>
      <c r="T59" s="471">
        <v>137800</v>
      </c>
      <c r="U59" s="178">
        <v>246500</v>
      </c>
      <c r="V59" s="495">
        <v>215100</v>
      </c>
      <c r="W59" s="177">
        <v>193600</v>
      </c>
      <c r="X59" s="177">
        <v>176500</v>
      </c>
      <c r="Y59" s="177">
        <v>173000</v>
      </c>
      <c r="Z59" s="177">
        <v>171700</v>
      </c>
      <c r="AA59" s="177">
        <v>233900</v>
      </c>
      <c r="AB59" s="177">
        <v>242400</v>
      </c>
      <c r="AC59" s="177">
        <v>319800</v>
      </c>
      <c r="AD59" s="177">
        <v>436500</v>
      </c>
      <c r="AE59" s="661">
        <v>450800</v>
      </c>
      <c r="AF59" s="661">
        <v>458100</v>
      </c>
      <c r="AG59" s="492">
        <f t="shared" ref="AG59" si="210">AF59</f>
        <v>458100</v>
      </c>
      <c r="AH59" s="492">
        <f t="shared" ref="AH59" si="211">AG59</f>
        <v>458100</v>
      </c>
      <c r="AI59" s="492">
        <f t="shared" ref="AI59" si="212">AH59</f>
        <v>458100</v>
      </c>
      <c r="AJ59" s="492">
        <f t="shared" ref="AJ59" si="213">AI59</f>
        <v>458100</v>
      </c>
      <c r="AK59" s="492">
        <f t="shared" ref="AK59" si="214">AJ59</f>
        <v>458100</v>
      </c>
      <c r="AL59" s="492">
        <f t="shared" ref="AL59" si="215">AK59</f>
        <v>458100</v>
      </c>
      <c r="AM59" s="492">
        <f t="shared" ref="AM59" si="216">AL59</f>
        <v>458100</v>
      </c>
      <c r="AN59" s="492">
        <f t="shared" ref="AN59" si="217">AM59</f>
        <v>458100</v>
      </c>
      <c r="AO59" s="492">
        <f t="shared" ref="AO59" si="218">AN59</f>
        <v>458100</v>
      </c>
      <c r="AP59" s="492">
        <f t="shared" ref="AP59" si="219">AO59</f>
        <v>458100</v>
      </c>
    </row>
    <row r="60" spans="2:68">
      <c r="B60" s="59" t="s">
        <v>91</v>
      </c>
      <c r="C60" s="53" t="s">
        <v>467</v>
      </c>
      <c r="G60" s="1106">
        <v>5242.3999999999996</v>
      </c>
      <c r="H60" s="1106">
        <v>5396.4</v>
      </c>
      <c r="I60" s="1106">
        <v>4659.3999999999996</v>
      </c>
      <c r="J60" s="1106">
        <v>4617.6000000000004</v>
      </c>
      <c r="K60" s="1106">
        <v>4807.3</v>
      </c>
      <c r="L60" s="1106">
        <v>4505.5</v>
      </c>
      <c r="M60" s="1106">
        <v>4839.6000000000004</v>
      </c>
      <c r="N60" s="1120">
        <v>4552</v>
      </c>
      <c r="O60" s="1120">
        <v>6404</v>
      </c>
      <c r="P60" s="1120">
        <v>6003</v>
      </c>
      <c r="Q60" s="181">
        <v>432</v>
      </c>
      <c r="R60" s="299">
        <v>172</v>
      </c>
      <c r="S60" s="299">
        <v>114</v>
      </c>
      <c r="T60" s="299">
        <v>117</v>
      </c>
      <c r="U60" s="1130">
        <v>52</v>
      </c>
      <c r="V60" s="177">
        <v>63</v>
      </c>
      <c r="W60" s="178">
        <v>103</v>
      </c>
      <c r="X60" s="179">
        <v>110</v>
      </c>
      <c r="Y60" s="179">
        <v>559.70000000000005</v>
      </c>
      <c r="Z60" s="179">
        <v>294.39999999999998</v>
      </c>
      <c r="AA60" s="179">
        <v>378.7</v>
      </c>
      <c r="AB60" s="179">
        <v>883.4</v>
      </c>
      <c r="AC60" s="179">
        <v>797.3</v>
      </c>
      <c r="AD60" s="179">
        <v>797.3</v>
      </c>
      <c r="AE60" s="732">
        <v>1617.7919999999999</v>
      </c>
      <c r="AF60" s="732">
        <v>2701.913</v>
      </c>
      <c r="AG60" s="180">
        <f t="shared" ref="AG60:AI60" si="220">AF60*1.02</f>
        <v>2755.9512600000003</v>
      </c>
      <c r="AH60" s="180">
        <f t="shared" si="220"/>
        <v>2811.0702852000004</v>
      </c>
      <c r="AI60" s="180">
        <f t="shared" si="220"/>
        <v>2867.2916909040005</v>
      </c>
      <c r="AJ60" s="180">
        <f t="shared" ref="AJ60" si="221">AI60*1.02</f>
        <v>2924.6375247220803</v>
      </c>
      <c r="AK60" s="180">
        <f t="shared" ref="AK60" si="222">AJ60*1.02</f>
        <v>2983.130275216522</v>
      </c>
      <c r="AL60" s="180">
        <f t="shared" ref="AL60" si="223">AK60*1.02</f>
        <v>3042.7928807208527</v>
      </c>
      <c r="AM60" s="180">
        <f t="shared" ref="AM60" si="224">AL60*1.02</f>
        <v>3103.6487383352696</v>
      </c>
      <c r="AN60" s="180">
        <f t="shared" ref="AN60" si="225">AM60*1.02</f>
        <v>3165.7217131019752</v>
      </c>
      <c r="AO60" s="180">
        <f t="shared" ref="AO60" si="226">AN60*1.02</f>
        <v>3229.0361473640146</v>
      </c>
      <c r="AP60" s="180">
        <f t="shared" ref="AP60" si="227">AO60*1.02</f>
        <v>3293.6168703112949</v>
      </c>
    </row>
    <row r="61" spans="2:68" ht="18">
      <c r="B61" s="59" t="s">
        <v>468</v>
      </c>
      <c r="C61" s="53" t="s">
        <v>469</v>
      </c>
      <c r="G61" s="1106">
        <v>728.9</v>
      </c>
      <c r="H61" s="1106">
        <v>571.79999999999995</v>
      </c>
      <c r="I61" s="1106">
        <v>485.8</v>
      </c>
      <c r="J61" s="1106">
        <v>531.6</v>
      </c>
      <c r="K61" s="1106">
        <v>616.1</v>
      </c>
      <c r="L61" s="1106">
        <v>629</v>
      </c>
      <c r="M61" s="1106">
        <v>635</v>
      </c>
      <c r="N61" s="1106">
        <v>644.70000000000005</v>
      </c>
      <c r="O61" s="1106">
        <v>512.70000000000005</v>
      </c>
      <c r="P61" s="1106">
        <v>216.7</v>
      </c>
      <c r="Q61" s="1105">
        <v>173.1</v>
      </c>
      <c r="R61" s="471">
        <v>179.9</v>
      </c>
      <c r="S61" s="471">
        <v>132.4</v>
      </c>
      <c r="T61" s="495">
        <v>27.3</v>
      </c>
      <c r="U61" s="488">
        <v>0</v>
      </c>
      <c r="V61" s="471">
        <v>0</v>
      </c>
      <c r="W61" s="177">
        <v>0</v>
      </c>
      <c r="X61" s="177">
        <v>0</v>
      </c>
      <c r="Y61" s="177">
        <v>54700</v>
      </c>
      <c r="Z61" s="177">
        <v>140000</v>
      </c>
      <c r="AA61" s="177">
        <v>225000</v>
      </c>
      <c r="AB61" s="177">
        <v>236100</v>
      </c>
      <c r="AC61" s="177">
        <v>193500</v>
      </c>
      <c r="AD61" s="177">
        <v>219800</v>
      </c>
      <c r="AE61" s="662">
        <v>267700</v>
      </c>
      <c r="AF61" s="662">
        <v>243700</v>
      </c>
      <c r="AG61">
        <f>AF61*GDP!AG3/100</f>
        <v>264400.68603583559</v>
      </c>
      <c r="AH61">
        <f>AG61*GDP!AH3/100</f>
        <v>286695.06724002992</v>
      </c>
      <c r="AI61">
        <f>AH61*GDP!AI3/100</f>
        <v>311317.79029628204</v>
      </c>
      <c r="AJ61">
        <f>AI61*GDP!AJ3/100</f>
        <v>338657.73967215332</v>
      </c>
      <c r="AK61">
        <f>AJ61*GDP!AK3/100</f>
        <v>365914.39092287188</v>
      </c>
      <c r="AL61">
        <f>AK61*GDP!AL3/100</f>
        <v>397193.69096529461</v>
      </c>
      <c r="AM61">
        <f>AL61*GDP!AM3/100</f>
        <v>429240.76594717772</v>
      </c>
      <c r="AN61">
        <f>AM61*GDP!AN3/100</f>
        <v>464013.75957551383</v>
      </c>
      <c r="AO61">
        <f>AN61*GDP!AO3/100</f>
        <v>502289.83318028634</v>
      </c>
      <c r="AP61">
        <f>AO61*GDP!AP3/100</f>
        <v>545529.37373917829</v>
      </c>
      <c r="AS61" t="s">
        <v>971</v>
      </c>
    </row>
    <row r="62" spans="2:68" ht="18">
      <c r="B62" s="59" t="s">
        <v>167</v>
      </c>
      <c r="C62" s="53" t="s">
        <v>470</v>
      </c>
      <c r="G62" s="1106">
        <v>545979.80000000005</v>
      </c>
      <c r="H62" s="1106">
        <v>537095.1</v>
      </c>
      <c r="I62" s="1106">
        <v>601373.1</v>
      </c>
      <c r="J62" s="1106">
        <v>682250.9</v>
      </c>
      <c r="K62" s="1106">
        <v>614488.9</v>
      </c>
      <c r="L62" s="1106">
        <v>798691</v>
      </c>
      <c r="M62" s="1106">
        <v>839796.1</v>
      </c>
      <c r="N62" s="1106">
        <v>836856.3</v>
      </c>
      <c r="O62" s="1106">
        <v>817127.4</v>
      </c>
      <c r="P62" s="1106">
        <v>643429.4</v>
      </c>
      <c r="Q62" s="1105">
        <v>708217</v>
      </c>
      <c r="R62" s="471">
        <v>530100</v>
      </c>
      <c r="S62" s="471">
        <v>475000</v>
      </c>
      <c r="T62" s="471">
        <v>389200</v>
      </c>
      <c r="U62" s="178">
        <v>251200</v>
      </c>
      <c r="V62">
        <v>257100</v>
      </c>
      <c r="W62">
        <v>261400</v>
      </c>
      <c r="X62">
        <v>205200</v>
      </c>
      <c r="Y62">
        <v>159700</v>
      </c>
      <c r="Z62">
        <v>197300</v>
      </c>
      <c r="AA62">
        <v>171200</v>
      </c>
      <c r="AB62">
        <v>104800</v>
      </c>
      <c r="AC62">
        <v>110040</v>
      </c>
      <c r="AD62">
        <v>123100</v>
      </c>
      <c r="AE62" s="175">
        <v>159900</v>
      </c>
      <c r="AF62" s="175">
        <v>178900</v>
      </c>
      <c r="AG62" s="112">
        <f>Industry!AG149*1000</f>
        <v>187845.00000000003</v>
      </c>
      <c r="AH62" s="112">
        <f>Industry!AH149*1000</f>
        <v>197237.25000000006</v>
      </c>
      <c r="AI62" s="112">
        <f>Industry!AI149*1000</f>
        <v>207099.11250000005</v>
      </c>
      <c r="AJ62" s="112">
        <f>Industry!AJ149*1000</f>
        <v>217454.06812500005</v>
      </c>
      <c r="AK62" s="112">
        <f>Industry!AK149*1000</f>
        <v>228326.77153125007</v>
      </c>
      <c r="AL62" s="112">
        <f>Industry!AL149*1000</f>
        <v>239743.11010781259</v>
      </c>
      <c r="AM62" s="112">
        <f>Industry!AM149*1000</f>
        <v>251730.26561320323</v>
      </c>
      <c r="AN62" s="112">
        <f>Industry!AN149*1000</f>
        <v>264316.77889386337</v>
      </c>
      <c r="AO62" s="112">
        <f>Industry!AO149*1000</f>
        <v>277532.61783855659</v>
      </c>
      <c r="AP62" s="112">
        <f>Industry!AP149*1000</f>
        <v>291409.2487304844</v>
      </c>
      <c r="AS62" t="s">
        <v>972</v>
      </c>
    </row>
    <row r="63" spans="2:68" ht="18">
      <c r="B63" s="59" t="s">
        <v>471</v>
      </c>
      <c r="C63" s="53" t="s">
        <v>472</v>
      </c>
      <c r="G63" s="1106">
        <v>55406.400000000001</v>
      </c>
      <c r="H63" s="1106">
        <v>54696.9</v>
      </c>
      <c r="I63" s="1106">
        <v>123958.39999999999</v>
      </c>
      <c r="J63" s="1106">
        <v>189125.8</v>
      </c>
      <c r="K63" s="1106">
        <v>215949.7</v>
      </c>
      <c r="L63" s="1106">
        <v>346334</v>
      </c>
      <c r="M63" s="1106">
        <v>376082.4</v>
      </c>
      <c r="N63" s="1106">
        <v>511286.9</v>
      </c>
      <c r="O63" s="1106">
        <v>520404</v>
      </c>
      <c r="P63" s="1106">
        <v>368146</v>
      </c>
      <c r="Q63" s="1105">
        <v>370857.5</v>
      </c>
      <c r="R63" s="471">
        <v>335300</v>
      </c>
      <c r="S63" s="471">
        <v>345300</v>
      </c>
      <c r="T63" s="471">
        <v>232400</v>
      </c>
      <c r="U63" s="178">
        <v>189000</v>
      </c>
      <c r="V63" s="491">
        <v>140400</v>
      </c>
      <c r="W63" s="177">
        <v>88800</v>
      </c>
      <c r="X63" s="177">
        <v>54600</v>
      </c>
      <c r="Y63" s="177">
        <v>47200</v>
      </c>
      <c r="Z63" s="177">
        <v>85800</v>
      </c>
      <c r="AA63" s="177">
        <v>89900</v>
      </c>
      <c r="AB63" s="177">
        <v>56700</v>
      </c>
      <c r="AC63" s="177">
        <v>68000</v>
      </c>
      <c r="AD63" s="177">
        <v>83600</v>
      </c>
      <c r="AE63" s="467">
        <v>67900</v>
      </c>
      <c r="AF63" s="467">
        <v>51900</v>
      </c>
      <c r="AG63" s="467">
        <f t="shared" ref="AG63:AI63" si="228">AF63*0.93</f>
        <v>48267</v>
      </c>
      <c r="AH63" s="467">
        <f t="shared" si="228"/>
        <v>44888.310000000005</v>
      </c>
      <c r="AI63" s="467">
        <f t="shared" si="228"/>
        <v>41746.128300000004</v>
      </c>
      <c r="AJ63" s="467">
        <f t="shared" ref="AJ63" si="229">AI63*0.93</f>
        <v>38823.899319000004</v>
      </c>
      <c r="AK63" s="467">
        <f t="shared" ref="AK63" si="230">AJ63*0.93</f>
        <v>36106.226366670002</v>
      </c>
      <c r="AL63" s="467">
        <f t="shared" ref="AL63" si="231">AK63*0.93</f>
        <v>33578.790521003102</v>
      </c>
      <c r="AM63" s="467">
        <f t="shared" ref="AM63" si="232">AL63*0.93</f>
        <v>31228.275184532886</v>
      </c>
      <c r="AN63" s="467">
        <f t="shared" ref="AN63" si="233">AM63*0.93</f>
        <v>29042.295921615587</v>
      </c>
      <c r="AO63" s="467">
        <f t="shared" ref="AO63" si="234">AN63*0.93</f>
        <v>27009.335207102496</v>
      </c>
      <c r="AP63" s="467">
        <f t="shared" ref="AP63" si="235">AO63*0.93</f>
        <v>25118.681742605324</v>
      </c>
      <c r="AS63" t="s">
        <v>973</v>
      </c>
    </row>
    <row r="64" spans="2:68" ht="18.75">
      <c r="B64" s="59" t="s">
        <v>473</v>
      </c>
      <c r="C64" s="53" t="s">
        <v>474</v>
      </c>
      <c r="G64"/>
      <c r="H64" s="472">
        <v>79.400000000000006</v>
      </c>
      <c r="I64" s="420">
        <v>63.317019033578795</v>
      </c>
      <c r="J64" s="420">
        <v>43.961386492849407</v>
      </c>
      <c r="K64" s="420">
        <v>37.36417918930541</v>
      </c>
      <c r="L64" s="420">
        <v>26.623949064344799</v>
      </c>
      <c r="M64" s="420">
        <v>21.412909738463792</v>
      </c>
      <c r="N64" s="420">
        <v>20.491901780655589</v>
      </c>
      <c r="O64" s="420">
        <v>20.267983921795214</v>
      </c>
      <c r="P64" s="420">
        <v>18.246500364628591</v>
      </c>
      <c r="Q64" s="420">
        <v>15.173098392081087</v>
      </c>
      <c r="R64" s="420">
        <v>13.789683516003684</v>
      </c>
      <c r="S64" s="420">
        <v>13.404770721487552</v>
      </c>
      <c r="T64" s="420">
        <v>13.498424949502366</v>
      </c>
      <c r="U64" s="420">
        <v>18.742948085279657</v>
      </c>
      <c r="V64" s="95">
        <v>23.602839332849513</v>
      </c>
      <c r="W64" s="420">
        <f>V64/((X84*W41-SUM(W44:W50)*X85)/(W42+W51)/100)</f>
        <v>26.675856313689447</v>
      </c>
      <c r="X64" s="420">
        <f t="shared" ref="X64:AG64" si="236">W64/((Y84*X41-SUM(X44:X50)*Y85)/(X42+X51)/100)</f>
        <v>24.399633118979818</v>
      </c>
      <c r="Y64" s="420">
        <f t="shared" si="236"/>
        <v>23.200239452122037</v>
      </c>
      <c r="Z64" s="420">
        <f t="shared" si="236"/>
        <v>26.146825180870454</v>
      </c>
      <c r="AA64" s="420">
        <f t="shared" si="236"/>
        <v>19.216448854271146</v>
      </c>
      <c r="AB64" s="420">
        <f t="shared" si="236"/>
        <v>15.906861993397049</v>
      </c>
      <c r="AC64" s="420">
        <f t="shared" si="236"/>
        <v>15.403338939785741</v>
      </c>
      <c r="AD64" s="420">
        <f t="shared" si="236"/>
        <v>13.436059448606047</v>
      </c>
      <c r="AE64" s="420">
        <f>AD64/((AF84*AE41-SUM(AE44:AE50)*AF85)/(AE42+AE51)/100)</f>
        <v>11.986674652499621</v>
      </c>
      <c r="AF64" s="420">
        <f t="shared" si="236"/>
        <v>12.505865800665291</v>
      </c>
      <c r="AG64" s="420">
        <f t="shared" si="236"/>
        <v>12.347970098700834</v>
      </c>
      <c r="AH64" s="420">
        <f>AG64/((AI84*AH41-SUM(AH44:AH50)*AI85)/(AH42+AH51)/100)</f>
        <v>11.931673195272365</v>
      </c>
      <c r="AI64" s="420">
        <f>AH64/((AJ84*AI41-SUM(AI44:AI50)*AJ85)/(AI42+AI51)/100)</f>
        <v>11.574171996098363</v>
      </c>
      <c r="AJ64" s="420">
        <f t="shared" ref="AJ64:AN64" si="237">AI64/((AK84*AJ41-SUM(AJ44:AJ50)*AK85)/(AJ42+AJ51)/100)</f>
        <v>11.364426852925314</v>
      </c>
      <c r="AK64" s="420">
        <f>AJ64/((AL84*AK41-SUM(AK44:AK50)*AL85)/(AK42+AK51)/100)</f>
        <v>11.053955891103961</v>
      </c>
      <c r="AL64" s="420">
        <f t="shared" si="237"/>
        <v>10.847438393844326</v>
      </c>
      <c r="AM64" s="420">
        <f t="shared" si="237"/>
        <v>11.808683977023511</v>
      </c>
      <c r="AN64" s="420">
        <f t="shared" si="237"/>
        <v>13.006267001437744</v>
      </c>
      <c r="AO64" s="420">
        <f>AN64/((AP84*AO41-SUM(AO44:AO50)*AP85)/(AO42+AO51)/100)</f>
        <v>10.489837503920697</v>
      </c>
      <c r="AP64" s="774">
        <f>AO64/((AP84*AP41-SUM(AP44:AP50)*AP85)/(AP42+AP51)/100)</f>
        <v>8.4603362796586001</v>
      </c>
      <c r="AS64" t="s">
        <v>974</v>
      </c>
    </row>
    <row r="65" spans="2:68">
      <c r="C65" s="110" t="s">
        <v>458</v>
      </c>
      <c r="D65" s="110"/>
      <c r="E65" s="110"/>
      <c r="F65" s="110"/>
      <c r="G65"/>
      <c r="H65"/>
      <c r="I65"/>
      <c r="J65"/>
      <c r="K65"/>
      <c r="L65"/>
      <c r="M65"/>
      <c r="N65"/>
      <c r="O65"/>
      <c r="P65"/>
      <c r="Q65" s="1127"/>
      <c r="R65" s="491">
        <v>67700</v>
      </c>
      <c r="S65" s="491">
        <v>162300</v>
      </c>
      <c r="T65" s="491">
        <v>253600</v>
      </c>
      <c r="U65" s="491">
        <v>295000</v>
      </c>
      <c r="AF65"/>
    </row>
    <row r="66" spans="2:68">
      <c r="C66" s="110" t="s">
        <v>459</v>
      </c>
      <c r="D66" s="110"/>
      <c r="E66" s="110"/>
      <c r="F66" s="110"/>
      <c r="G66"/>
      <c r="H66"/>
      <c r="I66"/>
      <c r="J66"/>
      <c r="K66"/>
      <c r="L66"/>
      <c r="M66"/>
      <c r="N66"/>
      <c r="O66"/>
      <c r="P66"/>
      <c r="Q66" s="1127"/>
      <c r="R66" s="491">
        <v>143700</v>
      </c>
      <c r="S66" s="491">
        <v>122300</v>
      </c>
      <c r="T66" s="491">
        <v>147800</v>
      </c>
      <c r="U66"/>
      <c r="AF66"/>
    </row>
    <row r="67" spans="2:68">
      <c r="C67" s="110" t="s">
        <v>460</v>
      </c>
      <c r="D67" s="110"/>
      <c r="E67" s="110"/>
      <c r="F67" s="110"/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AF67"/>
    </row>
    <row r="68" spans="2:68">
      <c r="C68" s="110"/>
      <c r="D68" s="110"/>
      <c r="E68" s="110"/>
      <c r="F68" s="110"/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AF68"/>
    </row>
    <row r="69" spans="2:68">
      <c r="B69" s="107"/>
      <c r="C69" s="107" t="s">
        <v>475</v>
      </c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19"/>
      <c r="P69" s="119"/>
      <c r="Q69" s="119"/>
      <c r="R69" s="119"/>
      <c r="S69" s="119"/>
      <c r="T69" s="119"/>
      <c r="U69" s="119"/>
      <c r="AF69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</row>
    <row r="70" spans="2:68" ht="18.75">
      <c r="B70" s="59" t="s">
        <v>476</v>
      </c>
      <c r="C70" s="53" t="s">
        <v>477</v>
      </c>
      <c r="G70" s="1106">
        <v>113.0573981942141</v>
      </c>
      <c r="H70" s="1106">
        <v>114.94132811973711</v>
      </c>
      <c r="I70" s="1106">
        <v>80.00774973167411</v>
      </c>
      <c r="J70" s="1106">
        <v>86.177051565196038</v>
      </c>
      <c r="K70" s="1106">
        <v>119.87515959710598</v>
      </c>
      <c r="L70" s="1106">
        <v>106.34943186740455</v>
      </c>
      <c r="M70" s="1106">
        <v>101.41790742311555</v>
      </c>
      <c r="N70" s="1106">
        <v>141.90409898802119</v>
      </c>
      <c r="O70" s="1106">
        <v>231.14641187705763</v>
      </c>
      <c r="P70" s="1106">
        <v>182.20351681567121</v>
      </c>
      <c r="Q70" s="1105">
        <v>184.74055602547338</v>
      </c>
      <c r="R70" s="420">
        <v>264.81312670920698</v>
      </c>
      <c r="S70" s="420">
        <v>248.02569937090084</v>
      </c>
      <c r="T70" s="420">
        <v>325.52327397688225</v>
      </c>
      <c r="U70" s="420">
        <v>298.232029939347</v>
      </c>
      <c r="V70" s="420">
        <f t="shared" ref="V70:AK72" si="238">V44/V57*1000000</f>
        <v>284.63329452852156</v>
      </c>
      <c r="W70" s="420">
        <f t="shared" si="238"/>
        <v>223.7694613673726</v>
      </c>
      <c r="X70" s="420">
        <f t="shared" si="238"/>
        <v>194.67718087727945</v>
      </c>
      <c r="Y70" s="420">
        <f t="shared" si="238"/>
        <v>169.39837079203062</v>
      </c>
      <c r="Z70" s="420">
        <f t="shared" si="238"/>
        <v>204.3661713447074</v>
      </c>
      <c r="AA70" s="420">
        <f t="shared" si="238"/>
        <v>243.3947157726181</v>
      </c>
      <c r="AB70" s="420">
        <f t="shared" si="238"/>
        <v>258.63242875206691</v>
      </c>
      <c r="AC70" s="420">
        <f t="shared" si="238"/>
        <v>330.5876443997991</v>
      </c>
      <c r="AD70" s="420">
        <f t="shared" si="238"/>
        <v>282.14146150840173</v>
      </c>
      <c r="AE70" s="420">
        <f t="shared" si="238"/>
        <v>259.5008508224617</v>
      </c>
      <c r="AF70" s="420">
        <f t="shared" si="238"/>
        <v>234.74655819774719</v>
      </c>
      <c r="AG70">
        <f>AF70*Assumptions!AG10/Assumptions!AF10</f>
        <v>239.94537464846391</v>
      </c>
      <c r="AH70">
        <f>AG70*Assumptions!AH10/Assumptions!AG10</f>
        <v>246.61052394425457</v>
      </c>
      <c r="AI70">
        <f>AH70*Assumptions!AI10/Assumptions!AH10</f>
        <v>253.27567324004525</v>
      </c>
      <c r="AJ70">
        <f>AI70*Assumptions!AJ10/Assumptions!AI10</f>
        <v>319.92716619795186</v>
      </c>
      <c r="AK70">
        <f>AJ70*Assumptions!AK10/Assumptions!AJ10</f>
        <v>319.92716619795186</v>
      </c>
      <c r="AL70">
        <f>AK70*Assumptions!AL10/Assumptions!AK10</f>
        <v>319.92716619795186</v>
      </c>
      <c r="AM70">
        <f>AL70*Assumptions!AM10/Assumptions!AL10</f>
        <v>319.92716619795186</v>
      </c>
      <c r="AN70">
        <f>AM70*Assumptions!AN10/Assumptions!AM10</f>
        <v>319.92716619795186</v>
      </c>
      <c r="AO70">
        <f>AN70*Assumptions!AO10/Assumptions!AN10</f>
        <v>319.92716619795186</v>
      </c>
      <c r="AP70">
        <f>AO70*Assumptions!AP10/Assumptions!AO10</f>
        <v>319.92716619795186</v>
      </c>
      <c r="AS70" t="s">
        <v>975</v>
      </c>
    </row>
    <row r="71" spans="2:68" ht="18.75">
      <c r="B71" s="59" t="s">
        <v>478</v>
      </c>
      <c r="C71" s="53" t="s">
        <v>479</v>
      </c>
      <c r="G71" s="1106">
        <v>336.28733857182203</v>
      </c>
      <c r="H71" s="1106">
        <v>265.23105590782103</v>
      </c>
      <c r="I71" s="1106">
        <v>249.92842519993351</v>
      </c>
      <c r="J71" s="1106">
        <v>239.32288772826612</v>
      </c>
      <c r="K71" s="1106">
        <v>299.55969123709014</v>
      </c>
      <c r="L71" s="1106">
        <v>409.41748839709493</v>
      </c>
      <c r="M71" s="1106">
        <v>504.61231284357001</v>
      </c>
      <c r="N71" s="1106">
        <v>530.62495458332978</v>
      </c>
      <c r="O71" s="1106">
        <v>764.74371238480001</v>
      </c>
      <c r="P71" s="1106">
        <v>507.72166047921428</v>
      </c>
      <c r="Q71" s="1105">
        <v>691.80672261705354</v>
      </c>
      <c r="R71" s="420">
        <v>1024.948968019959</v>
      </c>
      <c r="S71" s="420">
        <v>1116.0666308436323</v>
      </c>
      <c r="T71" s="420">
        <v>1028.7206266318537</v>
      </c>
      <c r="U71" s="420">
        <v>875.64677474991379</v>
      </c>
      <c r="V71" s="420">
        <f t="shared" si="238"/>
        <v>661.77300959909667</v>
      </c>
      <c r="W71" s="420">
        <f t="shared" si="238"/>
        <v>543.41380770859814</v>
      </c>
      <c r="X71" s="420">
        <f t="shared" si="238"/>
        <v>624.26660408354849</v>
      </c>
      <c r="Y71" s="420">
        <f t="shared" si="238"/>
        <v>695.61324977618631</v>
      </c>
      <c r="Z71" s="420">
        <f t="shared" si="238"/>
        <v>651.78571428571433</v>
      </c>
      <c r="AA71" s="420">
        <f t="shared" si="238"/>
        <v>467.10075394105553</v>
      </c>
      <c r="AB71" s="420">
        <f t="shared" si="238"/>
        <v>666.77440206851975</v>
      </c>
      <c r="AC71" s="420">
        <f t="shared" si="238"/>
        <v>869.72055633533239</v>
      </c>
      <c r="AD71" s="420">
        <f t="shared" si="238"/>
        <v>741.93548387096769</v>
      </c>
      <c r="AE71" s="420">
        <f t="shared" si="238"/>
        <v>789.75433250809374</v>
      </c>
      <c r="AF71" s="420">
        <f t="shared" si="238"/>
        <v>791.43635013612732</v>
      </c>
      <c r="AG71">
        <f>AF71*Assumptions!AG6/Assumptions!AF6</f>
        <v>795.98483490702461</v>
      </c>
      <c r="AH71">
        <f>AG71*Assumptions!AH6/Assumptions!AG6</f>
        <v>852.84089454324067</v>
      </c>
      <c r="AI71">
        <f>AH71*Assumptions!AI6/Assumptions!AH6</f>
        <v>1057.5227092336183</v>
      </c>
      <c r="AJ71">
        <f>AI71*Assumptions!AJ6/Assumptions!AI6</f>
        <v>1057.5227092336183</v>
      </c>
      <c r="AK71">
        <f>AJ71*Assumptions!AK6/Assumptions!AJ6</f>
        <v>1057.5227092336183</v>
      </c>
      <c r="AL71">
        <f>AK71*Assumptions!AL6/Assumptions!AK6</f>
        <v>1057.5227092336183</v>
      </c>
      <c r="AM71">
        <f>AL71*Assumptions!AM6/Assumptions!AL6</f>
        <v>1057.5227092336183</v>
      </c>
      <c r="AN71">
        <f>AM71*Assumptions!AN6/Assumptions!AM6</f>
        <v>1057.5227092336183</v>
      </c>
      <c r="AO71">
        <f>AN71*Assumptions!AO6/Assumptions!AN6</f>
        <v>1057.5227092336183</v>
      </c>
      <c r="AP71">
        <f>AO71*Assumptions!AP6/Assumptions!AO6</f>
        <v>1057.5227092336183</v>
      </c>
      <c r="AS71" t="s">
        <v>976</v>
      </c>
    </row>
    <row r="72" spans="2:68" ht="15.75">
      <c r="B72" s="59" t="s">
        <v>478</v>
      </c>
      <c r="C72" s="53" t="s">
        <v>480</v>
      </c>
      <c r="G72"/>
      <c r="H72"/>
      <c r="I72"/>
      <c r="J72"/>
      <c r="K72"/>
      <c r="L72"/>
      <c r="M72"/>
      <c r="N72"/>
      <c r="O72"/>
      <c r="P72"/>
      <c r="Q72" s="1127"/>
      <c r="R72" s="420">
        <v>1001.9314340898115</v>
      </c>
      <c r="S72" s="420">
        <v>1115.7190635451504</v>
      </c>
      <c r="T72" s="420">
        <v>955.73294629898396</v>
      </c>
      <c r="U72" s="420">
        <v>796.34888438133873</v>
      </c>
      <c r="V72" s="420">
        <f t="shared" si="238"/>
        <v>620.17666201766622</v>
      </c>
      <c r="W72" s="420">
        <f t="shared" si="238"/>
        <v>486.57024793388433</v>
      </c>
      <c r="X72" s="420">
        <f t="shared" si="238"/>
        <v>573.37110481586399</v>
      </c>
      <c r="Y72" s="420">
        <f t="shared" si="238"/>
        <v>325.43352601156067</v>
      </c>
      <c r="Z72" s="420">
        <f t="shared" si="238"/>
        <v>581.82877111240543</v>
      </c>
      <c r="AA72" s="420">
        <f t="shared" si="238"/>
        <v>415.98973920478841</v>
      </c>
      <c r="AB72" s="420">
        <f t="shared" si="238"/>
        <v>665.01650165016497</v>
      </c>
      <c r="AC72" s="420">
        <f t="shared" si="238"/>
        <v>768.29268292682923</v>
      </c>
      <c r="AD72" s="420">
        <f t="shared" si="238"/>
        <v>522.56586483390606</v>
      </c>
      <c r="AE72" s="420">
        <f t="shared" si="238"/>
        <v>746.22892635314997</v>
      </c>
      <c r="AF72" s="420">
        <f t="shared" si="238"/>
        <v>781.27046496398168</v>
      </c>
      <c r="AG72" s="420">
        <f t="shared" si="238"/>
        <v>483.13765553372616</v>
      </c>
      <c r="AH72" s="420">
        <f t="shared" si="238"/>
        <v>676.63428657498355</v>
      </c>
      <c r="AI72" s="420">
        <f t="shared" si="238"/>
        <v>870.35468282140141</v>
      </c>
      <c r="AJ72" s="420">
        <f t="shared" si="238"/>
        <v>759.99370903964757</v>
      </c>
      <c r="AK72" s="420">
        <f t="shared" si="238"/>
        <v>810.38129194897613</v>
      </c>
      <c r="AL72" s="420">
        <f t="shared" ref="AL72:AP72" si="239">AL46/AL59*1000000</f>
        <v>1398.7181099039328</v>
      </c>
      <c r="AM72" s="420">
        <f t="shared" si="239"/>
        <v>1055.1929421115269</v>
      </c>
      <c r="AN72" s="420">
        <f t="shared" si="239"/>
        <v>1107.9525892171034</v>
      </c>
      <c r="AO72" s="420">
        <f t="shared" si="239"/>
        <v>1163.3502186779585</v>
      </c>
      <c r="AP72" s="420">
        <f t="shared" si="239"/>
        <v>1221.5177296118568</v>
      </c>
    </row>
    <row r="73" spans="2:68" ht="18.75">
      <c r="B73" s="59" t="s">
        <v>481</v>
      </c>
      <c r="C73" s="53" t="s">
        <v>482</v>
      </c>
      <c r="G73" s="1116">
        <v>4.7568842514878681E-2</v>
      </c>
      <c r="H73" s="1116">
        <v>1.821936846786747E-2</v>
      </c>
      <c r="I73" s="1116">
        <v>1.7645855689573768E-2</v>
      </c>
      <c r="J73" s="1116">
        <v>1.3327053014553013E-2</v>
      </c>
      <c r="K73" s="1116">
        <v>1.3528030287271441E-2</v>
      </c>
      <c r="L73" s="1116">
        <v>1.2903562312728887E-2</v>
      </c>
      <c r="M73" s="1116">
        <v>1.3809901644764026E-2</v>
      </c>
      <c r="N73" s="1116">
        <v>1.5070173829289546E-2</v>
      </c>
      <c r="O73" s="1116">
        <v>1.7008590030123408E-2</v>
      </c>
      <c r="P73" s="1116">
        <v>1.7801080423750611E-2</v>
      </c>
      <c r="Q73" s="1132">
        <v>2.9932821490118423E-2</v>
      </c>
      <c r="R73" s="496">
        <v>2.0348837209302327E-2</v>
      </c>
      <c r="S73" s="496">
        <v>1.2631578947368419E-3</v>
      </c>
      <c r="T73" s="496">
        <v>1.8034188034188033E-3</v>
      </c>
      <c r="U73" s="1134">
        <v>4.0576923076923073E-3</v>
      </c>
      <c r="V73" s="496">
        <f t="shared" ref="V73:AP73" si="240">V47/V60</f>
        <v>9.9841269841269842E-3</v>
      </c>
      <c r="W73" s="496">
        <f t="shared" si="240"/>
        <v>1.0038834951456311E-2</v>
      </c>
      <c r="X73" s="496">
        <f t="shared" si="240"/>
        <v>9.4000000000000004E-3</v>
      </c>
      <c r="Y73" s="496">
        <f t="shared" si="240"/>
        <v>1.8474182597820259E-3</v>
      </c>
      <c r="Z73" s="496">
        <f t="shared" si="240"/>
        <v>1.3131793478260871E-2</v>
      </c>
      <c r="AA73" s="496">
        <f t="shared" si="240"/>
        <v>1.3467124372854501E-2</v>
      </c>
      <c r="AB73" s="496">
        <f t="shared" si="240"/>
        <v>1.9017432646592711E-2</v>
      </c>
      <c r="AC73" s="496">
        <f t="shared" si="240"/>
        <v>1.9816881976671266E-2</v>
      </c>
      <c r="AD73" s="496">
        <f t="shared" si="240"/>
        <v>2.3410259626238557E-2</v>
      </c>
      <c r="AE73" s="496">
        <f t="shared" si="240"/>
        <v>1.8200114724266161E-2</v>
      </c>
      <c r="AF73" s="496">
        <f t="shared" si="240"/>
        <v>1.6999437065516172E-2</v>
      </c>
      <c r="AG73" s="496">
        <f t="shared" si="240"/>
        <v>1.6666114770113892E-2</v>
      </c>
      <c r="AH73" s="496">
        <f t="shared" si="240"/>
        <v>1.633932820599401E-2</v>
      </c>
      <c r="AI73" s="496">
        <f t="shared" si="240"/>
        <v>1.6018949221562755E-2</v>
      </c>
      <c r="AJ73" s="496">
        <f t="shared" si="240"/>
        <v>1.5704852178002705E-2</v>
      </c>
      <c r="AK73" s="496">
        <f t="shared" si="240"/>
        <v>1.5396913900002649E-2</v>
      </c>
      <c r="AL73" s="496">
        <f t="shared" si="240"/>
        <v>1.5095013627453576E-2</v>
      </c>
      <c r="AM73" s="496">
        <f t="shared" si="240"/>
        <v>1.4799032968091742E-2</v>
      </c>
      <c r="AN73" s="496">
        <f t="shared" si="240"/>
        <v>1.4508855851070335E-2</v>
      </c>
      <c r="AO73" s="496">
        <f t="shared" si="240"/>
        <v>1.4224368481441506E-2</v>
      </c>
      <c r="AP73" s="496">
        <f t="shared" si="240"/>
        <v>1.3945459295530888E-2</v>
      </c>
      <c r="AS73" t="s">
        <v>977</v>
      </c>
    </row>
    <row r="74" spans="2:68" ht="18.75">
      <c r="B74" s="59" t="s">
        <v>483</v>
      </c>
      <c r="C74" s="53" t="s">
        <v>484</v>
      </c>
      <c r="G74" s="109">
        <v>89.542598435999452</v>
      </c>
      <c r="H74" s="109">
        <v>46.63920951381602</v>
      </c>
      <c r="I74" s="109">
        <v>46.023260601070398</v>
      </c>
      <c r="J74" s="109">
        <v>45.722535741158758</v>
      </c>
      <c r="K74" s="109">
        <v>45.300113617919166</v>
      </c>
      <c r="L74" s="109">
        <v>42.289348171701114</v>
      </c>
      <c r="M74" s="109">
        <v>55.0036220472441</v>
      </c>
      <c r="N74" s="109">
        <v>99.998293780052734</v>
      </c>
      <c r="O74" s="109">
        <v>145.01306807099667</v>
      </c>
      <c r="P74" s="109">
        <v>239.97831102907247</v>
      </c>
      <c r="Q74" s="1105">
        <v>239.74094368612825</v>
      </c>
      <c r="R74" s="420">
        <v>267.92662590327961</v>
      </c>
      <c r="S74" s="420">
        <v>292.28851963746223</v>
      </c>
      <c r="T74" s="420">
        <v>300.36630036630038</v>
      </c>
      <c r="U74" s="420">
        <v>1E-3</v>
      </c>
      <c r="V74" s="420">
        <v>1E-3</v>
      </c>
      <c r="W74" s="420">
        <v>1.0009999999999999</v>
      </c>
      <c r="X74" s="420">
        <v>2.0009999999999999</v>
      </c>
      <c r="Y74" s="420">
        <v>3.0009999999999999</v>
      </c>
      <c r="Z74" s="420">
        <v>4.0010000000000003</v>
      </c>
      <c r="AA74" s="420">
        <v>5.0010000000000003</v>
      </c>
      <c r="AB74" s="420">
        <v>6.0010000000000003</v>
      </c>
      <c r="AC74" s="420">
        <v>1.0009999999999999</v>
      </c>
      <c r="AD74" s="420">
        <v>2.0009999999999999</v>
      </c>
      <c r="AE74" s="420">
        <v>3.0009999999999999</v>
      </c>
      <c r="AF74" s="420">
        <v>4.0010000000000003</v>
      </c>
      <c r="AG74" s="420">
        <v>4.0010000000000003</v>
      </c>
      <c r="AH74" s="420">
        <v>4.0010000000000003</v>
      </c>
      <c r="AI74" s="420">
        <v>4.0010000000000003</v>
      </c>
      <c r="AJ74" s="420">
        <v>4.0010000000000003</v>
      </c>
      <c r="AK74" s="420">
        <v>4.0010000000000003</v>
      </c>
      <c r="AL74" s="420">
        <v>4.0010000000000003</v>
      </c>
      <c r="AM74" s="420">
        <v>4.0010000000000003</v>
      </c>
      <c r="AN74" s="420">
        <v>4.0010000000000003</v>
      </c>
      <c r="AO74" s="420">
        <v>4.0010000000000003</v>
      </c>
      <c r="AP74" s="420">
        <v>4.0010000000000003</v>
      </c>
      <c r="AS74" t="s">
        <v>978</v>
      </c>
    </row>
    <row r="75" spans="2:68" ht="18.75">
      <c r="B75" s="59" t="s">
        <v>185</v>
      </c>
      <c r="C75" s="53" t="s">
        <v>485</v>
      </c>
      <c r="G75" s="109">
        <v>363.64403957802097</v>
      </c>
      <c r="H75" s="109">
        <v>344.50156033819712</v>
      </c>
      <c r="I75" s="109">
        <v>296.00442720168229</v>
      </c>
      <c r="J75" s="109">
        <v>345.64029157015403</v>
      </c>
      <c r="K75" s="109">
        <v>463.45768003295092</v>
      </c>
      <c r="L75" s="109">
        <v>453.02000398151478</v>
      </c>
      <c r="M75" s="109">
        <v>460.43319324774194</v>
      </c>
      <c r="N75" s="109">
        <v>449.99732929058422</v>
      </c>
      <c r="O75" s="109">
        <v>462.23942557794533</v>
      </c>
      <c r="P75" s="109">
        <v>450.7966219759308</v>
      </c>
      <c r="Q75" s="1105">
        <v>450.00049419881191</v>
      </c>
      <c r="R75" s="497">
        <v>498.7738162610828</v>
      </c>
      <c r="S75" s="497">
        <v>525.27157894736831</v>
      </c>
      <c r="T75" s="497">
        <v>520.35971223021591</v>
      </c>
      <c r="U75" s="497">
        <v>519.90445859872614</v>
      </c>
      <c r="V75">
        <f>V49/V62*1000000</f>
        <v>520.4200700116686</v>
      </c>
      <c r="W75">
        <f t="shared" ref="W75:AD75" si="241">W49/W62*1000000</f>
        <v>517.59755164498858</v>
      </c>
      <c r="X75">
        <f t="shared" si="241"/>
        <v>519.98050682261203</v>
      </c>
      <c r="Y75">
        <f t="shared" si="241"/>
        <v>533.50031308703819</v>
      </c>
      <c r="Z75">
        <f t="shared" si="241"/>
        <v>535.22554485554986</v>
      </c>
      <c r="AA75">
        <f t="shared" si="241"/>
        <v>519.85981308411215</v>
      </c>
      <c r="AB75">
        <f t="shared" si="241"/>
        <v>520.03816793893134</v>
      </c>
      <c r="AC75">
        <f t="shared" si="241"/>
        <v>637.94983642311888</v>
      </c>
      <c r="AD75">
        <f t="shared" si="241"/>
        <v>624.69536961819665</v>
      </c>
      <c r="AE75">
        <f>AE49/AE62*1000000</f>
        <v>564.1025641025642</v>
      </c>
      <c r="AF75">
        <f>AF49/AF62*1000000</f>
        <v>569.59195081050871</v>
      </c>
      <c r="AG75" s="85">
        <f t="shared" ref="AG75:AI75" si="242">AF75</f>
        <v>569.59195081050871</v>
      </c>
      <c r="AH75">
        <f t="shared" si="242"/>
        <v>569.59195081050871</v>
      </c>
      <c r="AI75">
        <f t="shared" si="242"/>
        <v>569.59195081050871</v>
      </c>
      <c r="AJ75">
        <f t="shared" ref="AJ75" si="243">AI75</f>
        <v>569.59195081050871</v>
      </c>
      <c r="AK75">
        <f t="shared" ref="AK75" si="244">AJ75</f>
        <v>569.59195081050871</v>
      </c>
      <c r="AL75">
        <f t="shared" ref="AL75" si="245">AK75</f>
        <v>569.59195081050871</v>
      </c>
      <c r="AM75">
        <f t="shared" ref="AM75" si="246">AL75</f>
        <v>569.59195081050871</v>
      </c>
      <c r="AN75">
        <f t="shared" ref="AN75" si="247">AM75</f>
        <v>569.59195081050871</v>
      </c>
      <c r="AO75">
        <f t="shared" ref="AO75" si="248">AN75</f>
        <v>569.59195081050871</v>
      </c>
      <c r="AP75">
        <f t="shared" ref="AP75" si="249">AO75</f>
        <v>569.59195081050871</v>
      </c>
      <c r="AS75" t="s">
        <v>979</v>
      </c>
    </row>
    <row r="76" spans="2:68" ht="18.75">
      <c r="B76" s="59" t="s">
        <v>486</v>
      </c>
      <c r="C76" s="53" t="s">
        <v>487</v>
      </c>
      <c r="G76" s="109">
        <v>150.55119986138786</v>
      </c>
      <c r="H76" s="109">
        <v>136.18139236410107</v>
      </c>
      <c r="I76" s="109">
        <v>99.717324521775055</v>
      </c>
      <c r="J76" s="109">
        <v>99.25721398138171</v>
      </c>
      <c r="K76" s="109">
        <v>154.40215939174723</v>
      </c>
      <c r="L76" s="109">
        <v>131.18550301154377</v>
      </c>
      <c r="M76" s="109">
        <v>130.16482558077698</v>
      </c>
      <c r="N76" s="109">
        <v>185.83558467858259</v>
      </c>
      <c r="O76" s="109">
        <v>285.60906526467897</v>
      </c>
      <c r="P76" s="109">
        <v>274.33681202566373</v>
      </c>
      <c r="Q76" s="1105">
        <v>264.8523388971775</v>
      </c>
      <c r="R76" s="497">
        <v>390.69490008947213</v>
      </c>
      <c r="S76" s="497">
        <v>368.37532580364905</v>
      </c>
      <c r="T76" s="497">
        <v>424.69879518072293</v>
      </c>
      <c r="U76" s="497">
        <v>410.58201058201058</v>
      </c>
      <c r="V76" s="497">
        <f t="shared" ref="V76:AP76" si="250">V50/V63*1000000</f>
        <v>406.6951566951567</v>
      </c>
      <c r="W76" s="497">
        <f t="shared" si="250"/>
        <v>324.32432432432432</v>
      </c>
      <c r="X76" s="497">
        <f t="shared" si="250"/>
        <v>247.25274725274724</v>
      </c>
      <c r="Y76" s="497">
        <f t="shared" si="250"/>
        <v>218.22033898305088</v>
      </c>
      <c r="Z76" s="497">
        <f t="shared" si="250"/>
        <v>245.92074592074596</v>
      </c>
      <c r="AA76" s="497">
        <f t="shared" si="250"/>
        <v>261.4015572858732</v>
      </c>
      <c r="AB76" s="497">
        <f t="shared" si="250"/>
        <v>433.86243386243393</v>
      </c>
      <c r="AC76" s="497">
        <f t="shared" si="250"/>
        <v>361.76470588235293</v>
      </c>
      <c r="AD76" s="497">
        <f t="shared" si="250"/>
        <v>343.30143540669854</v>
      </c>
      <c r="AE76" s="497">
        <f t="shared" si="250"/>
        <v>312.22385861561122</v>
      </c>
      <c r="AF76" s="497">
        <f t="shared" si="250"/>
        <v>312.13872832369941</v>
      </c>
      <c r="AG76" s="497">
        <f t="shared" si="250"/>
        <v>335.63304120827894</v>
      </c>
      <c r="AH76" s="497">
        <f t="shared" si="250"/>
        <v>360.8957432347085</v>
      </c>
      <c r="AI76" s="497">
        <f t="shared" si="250"/>
        <v>388.05993896205217</v>
      </c>
      <c r="AJ76" s="497">
        <f t="shared" si="250"/>
        <v>417.26875157209906</v>
      </c>
      <c r="AK76" s="497">
        <f t="shared" si="250"/>
        <v>448.67607695924636</v>
      </c>
      <c r="AL76" s="497">
        <f t="shared" si="250"/>
        <v>482.44739457983479</v>
      </c>
      <c r="AM76" s="497">
        <f t="shared" si="250"/>
        <v>518.76063933315572</v>
      </c>
      <c r="AN76" s="497">
        <f t="shared" si="250"/>
        <v>557.80713906790925</v>
      </c>
      <c r="AO76" s="497">
        <f t="shared" si="250"/>
        <v>599.79262265366583</v>
      </c>
      <c r="AP76" s="497">
        <f t="shared" si="250"/>
        <v>644.93830392867289</v>
      </c>
      <c r="AS76" t="s">
        <v>980</v>
      </c>
    </row>
    <row r="77" spans="2:68" ht="18.75">
      <c r="B77" s="59" t="s">
        <v>488</v>
      </c>
      <c r="C77" s="53" t="s">
        <v>489</v>
      </c>
      <c r="G77"/>
      <c r="H77" s="1131"/>
      <c r="I77" s="1131">
        <v>100</v>
      </c>
      <c r="J77" s="1131">
        <v>100</v>
      </c>
      <c r="K77" s="1131">
        <v>148.74205980796569</v>
      </c>
      <c r="L77" s="1131">
        <v>236.58297907812403</v>
      </c>
      <c r="M77" s="1131">
        <v>459.3223878617581</v>
      </c>
      <c r="N77" s="1131">
        <v>829.64936416081116</v>
      </c>
      <c r="O77" s="1131">
        <v>879.42121194910339</v>
      </c>
      <c r="P77" s="1131">
        <v>640.7351315803661</v>
      </c>
      <c r="Q77" s="1127">
        <v>689.6032747717245</v>
      </c>
      <c r="R77" s="498">
        <v>804.04512818212822</v>
      </c>
      <c r="S77" s="498">
        <v>823.17834125869877</v>
      </c>
      <c r="T77" s="498">
        <v>844.25224440611248</v>
      </c>
      <c r="U77" s="498">
        <v>806.09931345891209</v>
      </c>
      <c r="V77" s="94">
        <v>756.23429780271181</v>
      </c>
      <c r="W77" s="498">
        <f t="shared" ref="W77" si="251">V77*GEOMEAN(W87,102)/100</f>
        <v>699.42262243912478</v>
      </c>
      <c r="X77" s="498">
        <f t="shared" ref="X77" si="252">W77*GEOMEAN(X87,102)/100</f>
        <v>707.37781470605159</v>
      </c>
      <c r="Y77" s="498">
        <f t="shared" ref="Y77" si="253">X77*GEOMEAN(Y87,102)/100</f>
        <v>717.46854614500535</v>
      </c>
      <c r="Z77" s="498">
        <f t="shared" ref="Z77" si="254">Y77*GEOMEAN(Z87,102)/100</f>
        <v>738.73241354940922</v>
      </c>
      <c r="AA77" s="498">
        <f t="shared" ref="AA77" si="255">Z77*GEOMEAN(AA87,102)/100</f>
        <v>712.33757461102812</v>
      </c>
      <c r="AB77" s="498">
        <f t="shared" ref="AB77" si="256">AA77*GEOMEAN(AB87,102)/100</f>
        <v>803.12433572182431</v>
      </c>
      <c r="AC77" s="498">
        <f t="shared" ref="AC77" si="257">AB77*GEOMEAN(AC87,102)/100</f>
        <v>856.00131323191874</v>
      </c>
      <c r="AD77" s="498">
        <f t="shared" ref="AD77" si="258">AC77*GEOMEAN(AD87,102)/100</f>
        <v>811.05093301844454</v>
      </c>
      <c r="AE77" s="498">
        <f t="shared" ref="AE77" si="259">AD77*GEOMEAN(AE87,102)/100</f>
        <v>824.73218029721681</v>
      </c>
      <c r="AF77" s="498">
        <f t="shared" ref="AF77" si="260">AE77*GEOMEAN(AF87,102)/100</f>
        <v>826.10776498511336</v>
      </c>
      <c r="AG77" s="498">
        <f t="shared" ref="AG77" si="261">AF77*GEOMEAN(AG87,102)/100</f>
        <v>837.81372479796448</v>
      </c>
      <c r="AH77" s="498">
        <f t="shared" ref="AH77" si="262">AG77*GEOMEAN(AH87,102)/100</f>
        <v>868.11862738599575</v>
      </c>
      <c r="AI77" s="498">
        <f t="shared" ref="AI77" si="263">AH77*GEOMEAN(AI87,102)/100</f>
        <v>946.63978200449787</v>
      </c>
      <c r="AJ77" s="498">
        <f t="shared" ref="AJ77" si="264">AI77*GEOMEAN(AJ87,102)/100</f>
        <v>975.86899355021217</v>
      </c>
      <c r="AK77" s="498">
        <f t="shared" ref="AK77" si="265">AJ77*GEOMEAN(AK87,102)/100</f>
        <v>985.64187677571169</v>
      </c>
      <c r="AL77" s="498">
        <f t="shared" ref="AL77" si="266">AK77*GEOMEAN(AL87,102)/100</f>
        <v>995.51386261946845</v>
      </c>
      <c r="AM77" s="498">
        <f t="shared" ref="AM77" si="267">AL77*GEOMEAN(AM87,102)/100</f>
        <v>1005.4859536505528</v>
      </c>
      <c r="AN77" s="498">
        <f t="shared" ref="AN77" si="268">AM77*GEOMEAN(AN87,102)/100</f>
        <v>1015.5591592818305</v>
      </c>
      <c r="AO77" s="498">
        <f t="shared" ref="AO77" si="269">AN77*GEOMEAN(AO87,102)/100</f>
        <v>1025.7344955438605</v>
      </c>
      <c r="AP77" s="498">
        <f t="shared" ref="AP77" si="270">AO77*GEOMEAN(AP87,102)/100</f>
        <v>1036.0129848495133</v>
      </c>
      <c r="AS77" t="s">
        <v>981</v>
      </c>
    </row>
    <row r="78" spans="2:68">
      <c r="B78" s="59"/>
      <c r="C78" s="110" t="s">
        <v>458</v>
      </c>
      <c r="D78" s="110"/>
      <c r="E78" s="110"/>
      <c r="F78" s="110"/>
      <c r="G78"/>
      <c r="H78" s="1131"/>
      <c r="I78" s="1131"/>
      <c r="J78" s="1131"/>
      <c r="K78" s="1131"/>
      <c r="L78" s="1131"/>
      <c r="M78" s="1131"/>
      <c r="N78" s="1131"/>
      <c r="O78" s="1131"/>
      <c r="P78" s="1131"/>
      <c r="Q78" s="1127"/>
      <c r="R78" s="420">
        <v>670.60561299852282</v>
      </c>
      <c r="S78" s="420">
        <v>657.42452248921757</v>
      </c>
      <c r="T78" s="420">
        <v>618.69085173501583</v>
      </c>
      <c r="U78" s="420">
        <v>0</v>
      </c>
      <c r="AS78"/>
    </row>
    <row r="79" spans="2:68">
      <c r="B79" s="59"/>
      <c r="C79" s="110" t="s">
        <v>459</v>
      </c>
      <c r="D79" s="110"/>
      <c r="E79" s="110"/>
      <c r="F79" s="110"/>
      <c r="G79"/>
      <c r="H79" s="1131"/>
      <c r="I79" s="1131"/>
      <c r="J79" s="1131"/>
      <c r="K79" s="1131"/>
      <c r="L79" s="1131"/>
      <c r="M79" s="1131"/>
      <c r="N79" s="1131"/>
      <c r="O79" s="1131"/>
      <c r="P79" s="1131"/>
      <c r="Q79" s="1127"/>
      <c r="R79" s="420">
        <v>1020.1809324982602</v>
      </c>
      <c r="S79" s="420">
        <v>1076.8601798855273</v>
      </c>
      <c r="T79" s="420">
        <v>1002.7063599458727</v>
      </c>
      <c r="U79"/>
      <c r="AS79"/>
    </row>
    <row r="80" spans="2:68">
      <c r="B80" s="59"/>
      <c r="C80" s="110" t="s">
        <v>460</v>
      </c>
      <c r="D80" s="110"/>
      <c r="E80" s="110"/>
      <c r="F80" s="110"/>
      <c r="G80"/>
      <c r="H80" s="1131"/>
      <c r="I80" s="1131"/>
      <c r="J80" s="1131"/>
      <c r="K80" s="1131"/>
      <c r="L80" s="1131"/>
      <c r="M80" s="1131"/>
      <c r="N80" s="1131"/>
      <c r="O80" s="1131"/>
      <c r="P80" s="1131"/>
      <c r="Q80" s="1127"/>
      <c r="R80"/>
      <c r="S80"/>
      <c r="T80"/>
      <c r="U80"/>
      <c r="AS80"/>
    </row>
    <row r="81" spans="2:45">
      <c r="G81"/>
      <c r="H81"/>
      <c r="I81" s="1131"/>
      <c r="J81"/>
      <c r="K81"/>
      <c r="L81"/>
      <c r="M81"/>
      <c r="N81"/>
      <c r="O81"/>
      <c r="P81"/>
      <c r="Q81" s="1133"/>
      <c r="R81"/>
      <c r="S81"/>
      <c r="T81"/>
      <c r="U81"/>
    </row>
    <row r="82" spans="2:45">
      <c r="G82"/>
      <c r="H82"/>
      <c r="I82"/>
      <c r="J82"/>
      <c r="K82"/>
      <c r="L82"/>
      <c r="M82"/>
      <c r="N82"/>
      <c r="O82"/>
      <c r="P82"/>
      <c r="Q82" s="1127"/>
      <c r="R82"/>
      <c r="S82"/>
      <c r="T82"/>
      <c r="U82"/>
    </row>
    <row r="83" spans="2:45">
      <c r="C83" s="107" t="s">
        <v>429</v>
      </c>
      <c r="D83" s="107"/>
      <c r="E83" s="107"/>
      <c r="F83" s="107"/>
      <c r="G83"/>
      <c r="H83"/>
      <c r="I83" s="472"/>
      <c r="J83" s="472"/>
      <c r="K83" s="472"/>
      <c r="L83" s="472"/>
      <c r="M83" s="472"/>
      <c r="N83" s="472"/>
      <c r="O83" s="472"/>
      <c r="P83" s="472"/>
      <c r="Q83" s="1127"/>
      <c r="R83" s="1127"/>
      <c r="S83"/>
      <c r="T83"/>
      <c r="U83"/>
    </row>
    <row r="84" spans="2:45" ht="18.75">
      <c r="B84" s="59" t="s">
        <v>490</v>
      </c>
      <c r="C84" s="53" t="s">
        <v>491</v>
      </c>
      <c r="G84"/>
      <c r="H84"/>
      <c r="I84" s="53">
        <v>111.1</v>
      </c>
      <c r="J84" s="53">
        <v>123.7</v>
      </c>
      <c r="K84" s="53">
        <v>125.9</v>
      </c>
      <c r="L84" s="53">
        <v>116.5</v>
      </c>
      <c r="M84" s="491">
        <v>139.6</v>
      </c>
      <c r="N84" s="491">
        <v>127.3</v>
      </c>
      <c r="O84" s="491">
        <v>101.4</v>
      </c>
      <c r="P84" s="491">
        <v>96</v>
      </c>
      <c r="Q84" s="413">
        <v>108</v>
      </c>
      <c r="R84" s="413">
        <v>109.33919022154316</v>
      </c>
      <c r="S84" s="413">
        <v>117.85402370555209</v>
      </c>
      <c r="T84" s="413">
        <v>107.06648316747828</v>
      </c>
      <c r="U84" s="413">
        <v>106.2292974736738</v>
      </c>
      <c r="V84" s="95">
        <v>79.94601386885094</v>
      </c>
      <c r="W84" s="413">
        <f t="shared" ref="W84" si="271">W43/V43*100</f>
        <v>88.229130282920011</v>
      </c>
      <c r="X84" s="413">
        <f t="shared" ref="X84" si="272">X43/W43*100</f>
        <v>91.544602797571926</v>
      </c>
      <c r="Y84" s="413">
        <f t="shared" ref="Y84" si="273">Y43/X43*100</f>
        <v>113.55364157266928</v>
      </c>
      <c r="Z84" s="413">
        <f t="shared" ref="Z84" si="274">Z43/Y43*100</f>
        <v>106.29324024119329</v>
      </c>
      <c r="AA84" s="413">
        <f t="shared" ref="AA84" si="275">AA43/Z43*100</f>
        <v>94.049502881199061</v>
      </c>
      <c r="AB84" s="413">
        <f t="shared" ref="AB84" si="276">AB43/AA43*100</f>
        <v>133.63492063492063</v>
      </c>
      <c r="AC84" s="413">
        <f t="shared" ref="AC84" si="277">AC43/AB43*100</f>
        <v>122.75804727402304</v>
      </c>
      <c r="AD84" s="413">
        <f t="shared" ref="AD84" si="278">AD43/AC43*100</f>
        <v>113.79003386550556</v>
      </c>
      <c r="AE84" s="413">
        <f t="shared" ref="AE84" si="279">AE43/AD43*100</f>
        <v>119.17484396523868</v>
      </c>
      <c r="AF84" s="413">
        <f>AF43/AE43*100</f>
        <v>118.5170386437582</v>
      </c>
      <c r="AG84" s="413">
        <f t="shared" ref="AG84" si="280">AG43/AF43*100</f>
        <v>100.52781344846922</v>
      </c>
      <c r="AH84" s="413">
        <f t="shared" ref="AH84" si="281">AH43/AG43*100</f>
        <v>100.13233658775265</v>
      </c>
      <c r="AI84" s="413">
        <f t="shared" ref="AI84" si="282">AI43/AH43*100</f>
        <v>100.03550035327126</v>
      </c>
      <c r="AJ84" s="413">
        <f t="shared" ref="AJ84" si="283">AJ43/AI43*100</f>
        <v>101.92305945948281</v>
      </c>
      <c r="AK84" s="413">
        <f>AK43/AJ43*100</f>
        <v>101.84222364782487</v>
      </c>
      <c r="AL84" s="413">
        <f t="shared" ref="AL84" si="284">AL43/AK43*100</f>
        <v>102.80546485550749</v>
      </c>
      <c r="AM84" s="413">
        <f t="shared" ref="AM84" si="285">AM43/AL43*100</f>
        <v>101.90045092847613</v>
      </c>
      <c r="AN84" s="413">
        <f t="shared" ref="AN84" si="286">AN43/AM43*100</f>
        <v>91.857305052901594</v>
      </c>
      <c r="AO84" s="413">
        <f t="shared" ref="AO84" si="287">AO43/AN43*100</f>
        <v>90.789787942706823</v>
      </c>
      <c r="AP84" s="413">
        <f t="shared" ref="AP84" si="288">AP43/AO43*100</f>
        <v>123.9859614798479</v>
      </c>
      <c r="AS84" t="s">
        <v>982</v>
      </c>
    </row>
    <row r="85" spans="2:45" ht="18.75">
      <c r="B85" s="59" t="s">
        <v>492</v>
      </c>
      <c r="C85" s="53" t="s">
        <v>433</v>
      </c>
      <c r="G85"/>
      <c r="H85" s="472">
        <v>125.28271280413773</v>
      </c>
      <c r="I85" s="472">
        <v>121.63383162191256</v>
      </c>
      <c r="J85" s="472">
        <v>121.33245374867164</v>
      </c>
      <c r="K85" s="472">
        <v>95.18960458573676</v>
      </c>
      <c r="L85" s="472">
        <v>114.52093895981128</v>
      </c>
      <c r="M85" s="413">
        <v>138.42032464084485</v>
      </c>
      <c r="N85" s="413">
        <v>133.6214712530238</v>
      </c>
      <c r="O85" s="413">
        <v>91.987282714097731</v>
      </c>
      <c r="P85" s="413">
        <v>83.123616185695823</v>
      </c>
      <c r="Q85" s="413">
        <v>101.54726659198634</v>
      </c>
      <c r="R85" s="413">
        <v>82.037762256607948</v>
      </c>
      <c r="S85" s="413">
        <v>114.68789077722496</v>
      </c>
      <c r="T85" s="413">
        <v>103.82385059675553</v>
      </c>
      <c r="U85" s="413">
        <v>118.85345920765626</v>
      </c>
      <c r="V85" s="95">
        <v>92.653397373643799</v>
      </c>
      <c r="W85" s="413">
        <f t="shared" ref="W85" si="289">W43/V43/W87*10000</f>
        <v>105.20722363532886</v>
      </c>
      <c r="X85" s="413">
        <f t="shared" ref="X85" si="290">X43/W43/X87*10000</f>
        <v>91.287097080608689</v>
      </c>
      <c r="Y85" s="413">
        <f t="shared" ref="Y85" si="291">Y43/X43/Y87*10000</f>
        <v>112.58962571974166</v>
      </c>
      <c r="Z85" s="413">
        <f t="shared" ref="Z85" si="292">Z43/Y43/Z87*10000</f>
        <v>102.26740606308415</v>
      </c>
      <c r="AA85" s="413">
        <f t="shared" ref="AA85" si="293">AA43/Z43/AA87*10000</f>
        <v>103.17138953792367</v>
      </c>
      <c r="AB85" s="413">
        <f t="shared" ref="AB85" si="294">AB43/AA43/AB87*10000</f>
        <v>107.23245939869571</v>
      </c>
      <c r="AC85" s="413">
        <f t="shared" ref="AC85" si="295">AC43/AB43/AC87*10000</f>
        <v>110.22163600322315</v>
      </c>
      <c r="AD85" s="413">
        <f t="shared" ref="AD85" si="296">AD43/AC43/AD87*10000</f>
        <v>129.28763877695607</v>
      </c>
      <c r="AE85" s="413">
        <f t="shared" ref="AE85" si="297">AE43/AD43/AE87*10000</f>
        <v>117.55879853420736</v>
      </c>
      <c r="AF85" s="413">
        <f t="shared" ref="AF85" si="298">AF43/AE43/AF87*10000</f>
        <v>120.48512589375659</v>
      </c>
      <c r="AG85" s="413">
        <f t="shared" ref="AG85" si="299">AG43/AF43/AG87*10000</f>
        <v>99.6930483409663</v>
      </c>
      <c r="AH85" s="413">
        <f t="shared" ref="AH85" si="300">AH43/AG43/AH87*10000</f>
        <v>95.12864555721815</v>
      </c>
      <c r="AI85" s="413">
        <f t="shared" ref="AI85" si="301">AI43/AH43/AI87*10000</f>
        <v>85.811000897845773</v>
      </c>
      <c r="AJ85" s="413">
        <f t="shared" ref="AJ85" si="302">AJ43/AI43/AJ87*10000</f>
        <v>97.827079335080654</v>
      </c>
      <c r="AK85" s="413">
        <f t="shared" ref="AK85" si="303">AK43/AJ43/AK87*10000</f>
        <v>101.82930733776986</v>
      </c>
      <c r="AL85" s="413">
        <f t="shared" ref="AL85" si="304">AL43/AK43/AL87*10000</f>
        <v>102.7921720319915</v>
      </c>
      <c r="AM85" s="413">
        <f t="shared" ref="AM85" si="305">AM43/AL43/AM87*10000</f>
        <v>101.88702596801735</v>
      </c>
      <c r="AN85" s="413">
        <f t="shared" ref="AN85" si="306">AN43/AM43/AN87*10000</f>
        <v>91.844981865102937</v>
      </c>
      <c r="AO85" s="413">
        <f t="shared" ref="AO85" si="307">AO43/AN43/AO87*10000</f>
        <v>90.777392952531457</v>
      </c>
      <c r="AP85" s="413">
        <f t="shared" ref="AP85" si="308">AP43/AO43/AP87*10000</f>
        <v>123.96874678735735</v>
      </c>
      <c r="AS85" t="s">
        <v>983</v>
      </c>
    </row>
    <row r="86" spans="2:45" ht="18.75">
      <c r="B86" s="59" t="s">
        <v>493</v>
      </c>
      <c r="C86" s="53" t="s">
        <v>494</v>
      </c>
      <c r="G86"/>
      <c r="H86"/>
      <c r="I86" s="472">
        <v>99.976545427046005</v>
      </c>
      <c r="J86" s="472">
        <v>99.965305978761762</v>
      </c>
      <c r="K86" s="472">
        <v>100.03828858378348</v>
      </c>
      <c r="L86" s="472">
        <v>99.944594456491046</v>
      </c>
      <c r="M86" s="413">
        <v>100.9401960513393</v>
      </c>
      <c r="N86" s="413">
        <v>122.83257394142449</v>
      </c>
      <c r="O86" s="413">
        <v>108.66035732712233</v>
      </c>
      <c r="P86" s="413">
        <v>72.272318838947527</v>
      </c>
      <c r="Q86" s="413">
        <v>113.05855753579932</v>
      </c>
      <c r="R86" s="413">
        <v>96.387221051591581</v>
      </c>
      <c r="S86" s="413">
        <v>101.4203975684249</v>
      </c>
      <c r="T86" s="413">
        <v>103.62485389353405</v>
      </c>
      <c r="U86" s="413">
        <v>92.652927262785198</v>
      </c>
      <c r="V86" s="95">
        <v>102.43840062534296</v>
      </c>
      <c r="W86" s="413">
        <f t="shared" ref="W86" si="309">(W41)/(V41)/W84*10000</f>
        <v>99.011570132229565</v>
      </c>
      <c r="X86" s="413">
        <f t="shared" ref="X86" si="310">(X41)/(W41)/X84*10000</f>
        <v>101.01725677820723</v>
      </c>
      <c r="Y86" s="413">
        <f t="shared" ref="Y86" si="311">(Y41)/(X41)/Y84*10000</f>
        <v>100.92018875878121</v>
      </c>
      <c r="Z86" s="413">
        <f t="shared" ref="Z86" si="312">(Z41)/(Y41)/Z84*10000</f>
        <v>100.03101079105305</v>
      </c>
      <c r="AA86" s="413">
        <f t="shared" ref="AA86" si="313">(AA41)/(Z41)/AA84*10000</f>
        <v>98.648475018129176</v>
      </c>
      <c r="AB86" s="413">
        <f t="shared" ref="AB86" si="314">(AB41)/(AA41)/AB84*10000</f>
        <v>99.6573093764639</v>
      </c>
      <c r="AC86" s="413">
        <f t="shared" ref="AC86" si="315">(AC41)/(AB41)/AC84*10000</f>
        <v>100.56257320657754</v>
      </c>
      <c r="AD86" s="413">
        <f t="shared" ref="AD86" si="316">(AD41)/(AC41)/AD84*10000</f>
        <v>99.526280160028918</v>
      </c>
      <c r="AE86" s="413">
        <f t="shared" ref="AE86" si="317">(AE41)/(AD41)/AE84*10000</f>
        <v>100.99866645807953</v>
      </c>
      <c r="AF86" s="413">
        <f t="shared" ref="AF86" si="318">(AF41)/(AE41)/AF84*10000</f>
        <v>93.276484761687996</v>
      </c>
      <c r="AG86" s="413">
        <f t="shared" ref="AG86" si="319">(AG41)/(AF41)/AG84*10000</f>
        <v>100.33705734303277</v>
      </c>
      <c r="AH86" s="413">
        <f t="shared" ref="AH86" si="320">(AH41)/(AG41)/AH84*10000</f>
        <v>103.01229517657794</v>
      </c>
      <c r="AI86" s="413">
        <f t="shared" ref="AI86" si="321">(AI41)/(AH41)/AI84*10000</f>
        <v>102.9508225531301</v>
      </c>
      <c r="AJ86" s="413">
        <f t="shared" ref="AJ86" si="322">(AJ41)/(AI41)/AJ84*10000</f>
        <v>103.5266026676931</v>
      </c>
      <c r="AK86" s="413">
        <f t="shared" ref="AK86" si="323">(AK41)/(AJ41)/AK84*10000</f>
        <v>104.45777620434865</v>
      </c>
      <c r="AL86" s="413">
        <f t="shared" ref="AL86" si="324">(AL41)/(AK41)/AL84*10000</f>
        <v>105.00962299009268</v>
      </c>
      <c r="AM86" s="413">
        <f t="shared" ref="AM86" si="325">(AM41)/(AL41)/AM84*10000</f>
        <v>106.33289592640621</v>
      </c>
      <c r="AN86" s="413">
        <f t="shared" ref="AN86" si="326">(AN41)/(AM41)/AN84*10000</f>
        <v>111.41951138358523</v>
      </c>
      <c r="AO86" s="413">
        <f t="shared" ref="AO86" si="327">(AO41)/(AN41)/AO84*10000</f>
        <v>115.20056980378085</v>
      </c>
      <c r="AP86" s="413">
        <f t="shared" ref="AP86" si="328">(AP41)/(AO41)/AP84*10000</f>
        <v>102.46271763158019</v>
      </c>
      <c r="AS86" t="s">
        <v>984</v>
      </c>
    </row>
    <row r="87" spans="2:45" ht="18.75">
      <c r="B87" s="59" t="s">
        <v>495</v>
      </c>
      <c r="C87" s="53" t="s">
        <v>496</v>
      </c>
      <c r="G87"/>
      <c r="H87" s="472">
        <v>66.396403243483519</v>
      </c>
      <c r="I87" s="472">
        <v>88.357945192135716</v>
      </c>
      <c r="J87" s="472">
        <v>102.7327943782964</v>
      </c>
      <c r="K87" s="472">
        <v>126.22347258207375</v>
      </c>
      <c r="L87" s="472">
        <v>101.38385951731703</v>
      </c>
      <c r="M87" s="413">
        <v>107.53691654416127</v>
      </c>
      <c r="N87" s="413">
        <v>109.44803805793372</v>
      </c>
      <c r="O87" s="413">
        <v>126.64859036114947</v>
      </c>
      <c r="P87" s="413">
        <v>84.288174114828195</v>
      </c>
      <c r="Q87" s="413">
        <v>113.56418394961884</v>
      </c>
      <c r="R87" s="420">
        <v>133.27909881249369</v>
      </c>
      <c r="S87" s="420">
        <v>102.76065145750842</v>
      </c>
      <c r="T87" s="420">
        <v>103.1232058453668</v>
      </c>
      <c r="U87" s="420">
        <v>89.378380891778676</v>
      </c>
      <c r="V87" s="95">
        <v>86.285032319378701</v>
      </c>
      <c r="W87" s="420">
        <f t="shared" ref="W87" si="329">(W44+W45+W47+W48+W49+W50)/(W44/(W70/V70*100)+W45/(W71/V71*100)+W47/(W73/V73*100)+W48/(W74/V74*100)+W49/(W75/V75*100)+W50/(W76/V76*100))</f>
        <v>83.862236103427065</v>
      </c>
      <c r="X87" s="420">
        <f t="shared" ref="X87" si="330">(X44+X45+X47+X48+X49+X50)/(X44/(X70/W70*100)+X45/(X71/W71*100)+X47/(X73/W73*100)+X48/(X74/W74*100)+X49/(X75/W75*100)+X50/(X76/W76*100))</f>
        <v>100.28208336687041</v>
      </c>
      <c r="Y87" s="420">
        <f t="shared" ref="Y87" si="331">(Y44+Y45+Y47+Y48+Y49+Y50)/(Y44/(Y70/X70*100)+Y45/(Y71/X71*100)+Y47/(Y73/X73*100)+Y48/(Y74/X74*100)+Y49/(Y75/X75*100)+Y50/(Y76/X76*100))</f>
        <v>100.85622085228992</v>
      </c>
      <c r="Z87" s="420">
        <f t="shared" ref="Z87" si="332">(Z44+Z45+Z47+Z48+Z49+Z50)/(Z44/(Z70/Y70*100)+Z45/(Z71/Y71*100)+Z47/(Z73/Y73*100)+Z48/(Z74/Y74*100)+Z49/(Z75/Y75*100)+Z50/(Z76/Y76*100))</f>
        <v>103.93657601487006</v>
      </c>
      <c r="AA87" s="420">
        <f t="shared" ref="AA87" si="333">(AA44+AA45+AA47+AA48+AA49+AA50)/(AA44/(AA70/Z70*100)+AA45/(AA71/Z71*100)+AA47/(AA73/Z73*100)+AA48/(AA74/Z74*100)+AA49/(AA75/Z75*100)+AA50/(AA76/Z76*100))</f>
        <v>91.158511388109574</v>
      </c>
      <c r="AB87" s="420">
        <f t="shared" ref="AB87" si="334">(AB44+AB45+AB47+AB48+AB49+AB50)/(AB44/(AB70/AA70*100)+AB45/(AB71/AA71*100)+AB47/(AB73/AA73*100)+AB48/(AB74/AA74*100)+AB49/(AB75/AA75*100)+AB50/(AB76/AA76*100))</f>
        <v>124.62170632313789</v>
      </c>
      <c r="AC87" s="420">
        <f t="shared" ref="AC87" si="335">(AC44+AC45+AC47+AC48+AC49+AC50)/(AC44/(AC70/AB70*100)+AC45/(AC71/AB71*100)+AC47/(AC73/AB73*100)+AC48/(AC74/AB74*100)+AC49/(AC75/AB75*100)+AC50/(AC76/AB76*100))</f>
        <v>111.37382071740731</v>
      </c>
      <c r="AD87" s="420">
        <f t="shared" ref="AD87" si="336">(AD44+AD45+AD47+AD48+AD49+AD50)/(AD44/(AD70/AC70*100)+AD45/(AD71/AC71*100)+AD47/(AD73/AC73*100)+AD48/(AD74/AC74*100)+AD49/(AD75/AC75*100)+AD50/(AD76/AC76*100))</f>
        <v>88.013080710533671</v>
      </c>
      <c r="AE87" s="420">
        <f t="shared" ref="AE87" si="337">(AE44+AE45+AE47+AE48+AE49+AE50)/(AE44/(AE70/AD70*100)+AE45/(AE71/AD71*100)+AE47/(AE73/AD73*100)+AE48/(AE74/AD74*100)+AE49/(AE75/AD75*100)+AE50/(AE76/AD76*100))</f>
        <v>101.37466991087109</v>
      </c>
      <c r="AF87" s="420">
        <f t="shared" ref="AF87" si="338">(AF44+AF45+AF47+AF48+AF49+AF50)/(AF44/(AF70/AE70*100)+AF45/(AF71/AE71*100)+AF47/(AF73/AE73*100)+AF48/(AF74/AE74*100)+AF49/(AF75/AE75*100)+AF50/(AF76/AE76*100))</f>
        <v>98.366530942803806</v>
      </c>
      <c r="AG87" s="420">
        <f t="shared" ref="AG87" si="339">(AG44+AG45+AG47+AG48+AG49+AG50)/(AG44/(AG70/AF70*100)+AG45/(AG71/AF71*100)+AG47/(AG73/AF73*100)+AG48/(AG74/AF74*100)+AG49/(AG75/AF75*100)+AG50/(AG76/AF76*100))</f>
        <v>100.83733532216597</v>
      </c>
      <c r="AH87" s="420">
        <f t="shared" ref="AH87" si="340">(AH44+AH45+AH47+AH48+AH49+AH50)/(AH44/(AH70/AG70*100)+AH45/(AH71/AG71*100)+AH47/(AH73/AG73*100)+AH48/(AH74/AG74*100)+AH49/(AH75/AG75*100)+AH50/(AH76/AG76*100))</f>
        <v>105.25992039645395</v>
      </c>
      <c r="AI87" s="420">
        <f t="shared" ref="AI87" si="341">(AI44+AI45+AI47+AI48+AI49+AI50)/(AI44/(AI70/AH70*100)+AI45/(AI71/AH71*100)+AI47/(AI73/AH73*100)+AI48/(AI74/AH74*100)+AI49/(AI75/AH75*100)+AI50/(AI76/AH76*100))</f>
        <v>116.57654532238722</v>
      </c>
      <c r="AJ87" s="420">
        <f t="shared" ref="AJ87" si="342">(AJ44+AJ45+AJ47+AJ48+AJ49+AJ50)/(AJ44/(AJ70/AI70*100)+AJ45/(AJ71/AI71*100)+AJ47/(AJ73/AI73*100)+AJ48/(AJ74/AI74*100)+AJ49/(AJ75/AI75*100)+AJ50/(AJ76/AI76*100))</f>
        <v>104.18695943111258</v>
      </c>
      <c r="AK87" s="420">
        <f t="shared" ref="AK87" si="343">(AK44+AK45+AK47+AK48+AK49+AK50)/(AK44/(AK70/AJ70*100)+AK45/(AK71/AJ71*100)+AK47/(AK73/AJ73*100)+AK48/(AK74/AJ74*100)+AK49/(AK75/AJ75*100)+AK50/(AK76/AJ76*100))</f>
        <v>100.01268427566944</v>
      </c>
      <c r="AL87" s="420">
        <f t="shared" ref="AL87" si="344">(AL44+AL45+AL47+AL48+AL49+AL50)/(AL44/(AL70/AK70*100)+AL45/(AL71/AK71*100)+AL47/(AL73/AK73*100)+AL48/(AL74/AK74*100)+AL49/(AL75/AK75*100)+AL50/(AL76/AK76*100))</f>
        <v>100.01293174689592</v>
      </c>
      <c r="AM87" s="420">
        <f t="shared" ref="AM87" si="345">(AM44+AM45+AM47+AM48+AM49+AM50)/(AM44/(AM70/AL70*100)+AM45/(AM71/AL71*100)+AM47/(AM73/AL73*100)+AM48/(AM74/AL74*100)+AM49/(AM75/AL75*100)+AM50/(AM76/AL76*100))</f>
        <v>100.01317631988098</v>
      </c>
      <c r="AN87" s="420">
        <f t="shared" ref="AN87" si="346">(AN44+AN45+AN47+AN48+AN49+AN50)/(AN44/(AN70/AM70*100)+AN45/(AN71/AM71*100)+AN47/(AN73/AM73*100)+AN48/(AN74/AM74*100)+AN49/(AN75/AM75*100)+AN50/(AN76/AM76*100))</f>
        <v>100.0134173773552</v>
      </c>
      <c r="AO87" s="420">
        <f t="shared" ref="AO87" si="347">(AO44+AO45+AO47+AO48+AO49+AO50)/(AO44/(AO70/AN70*100)+AO45/(AO71/AN71*100)+AO47/(AO73/AN73*100)+AO48/(AO74/AN74*100)+AO49/(AO75/AN75*100)+AO50/(AO76/AN76*100))</f>
        <v>100.01365426982667</v>
      </c>
      <c r="AP87" s="420">
        <f t="shared" ref="AP87" si="348">(AP44+AP45+AP47+AP48+AP49+AP50)/(AP44/(AP70/AO70*100)+AP45/(AP71/AO71*100)+AP47/(AP73/AO73*100)+AP48/(AP74/AO74*100)+AP49/(AP75/AO75*100)+AP50/(AP76/AO76*100))</f>
        <v>100.01388631646013</v>
      </c>
      <c r="AS87" t="s">
        <v>985</v>
      </c>
    </row>
    <row r="88" spans="2:45">
      <c r="G88"/>
      <c r="H88"/>
      <c r="I88"/>
      <c r="J88"/>
      <c r="K88"/>
      <c r="L88"/>
      <c r="M88"/>
      <c r="N88"/>
      <c r="O88"/>
      <c r="P88"/>
      <c r="Q88" s="1135"/>
      <c r="R88"/>
      <c r="S88"/>
      <c r="T88"/>
      <c r="U88"/>
    </row>
    <row r="89" spans="2:45">
      <c r="G89"/>
      <c r="H89"/>
      <c r="I89"/>
      <c r="J89"/>
      <c r="K89"/>
      <c r="L89"/>
      <c r="M89"/>
      <c r="N89"/>
      <c r="O89"/>
      <c r="P89"/>
      <c r="Q89" s="1127"/>
      <c r="R89"/>
      <c r="S89"/>
      <c r="T89"/>
      <c r="U89"/>
    </row>
    <row r="90" spans="2:45">
      <c r="C90" s="562" t="s">
        <v>1075</v>
      </c>
      <c r="D90" s="924"/>
      <c r="E90" s="924"/>
      <c r="F90" s="924"/>
      <c r="G90" s="924"/>
      <c r="H90" s="924"/>
      <c r="I90" s="924"/>
      <c r="J90" s="924"/>
      <c r="K90" s="924"/>
      <c r="L90" s="924"/>
      <c r="M90" s="924"/>
      <c r="N90" s="924"/>
      <c r="O90" s="924"/>
      <c r="P90" s="924"/>
      <c r="Q90" s="924"/>
      <c r="R90" s="924"/>
      <c r="S90" s="924"/>
      <c r="T90" s="924"/>
      <c r="U90" s="924"/>
      <c r="V90" s="306">
        <f>V5+V43</f>
        <v>4326.2</v>
      </c>
      <c r="W90" s="306">
        <f t="shared" ref="W90:AP90" si="349">W5+W43</f>
        <v>3929.8999999999996</v>
      </c>
      <c r="X90" s="306">
        <f t="shared" si="349"/>
        <v>3972.9</v>
      </c>
      <c r="Y90" s="306">
        <f t="shared" si="349"/>
        <v>4224.3</v>
      </c>
      <c r="Z90" s="306">
        <f t="shared" si="349"/>
        <v>4523.7000000000007</v>
      </c>
      <c r="AA90" s="306">
        <f t="shared" si="349"/>
        <v>4556.8999999999996</v>
      </c>
      <c r="AB90" s="306">
        <f t="shared" si="349"/>
        <v>6359.1</v>
      </c>
      <c r="AC90" s="306">
        <f t="shared" si="349"/>
        <v>7309.5</v>
      </c>
      <c r="AD90" s="306">
        <f t="shared" si="349"/>
        <v>7741.5780000000004</v>
      </c>
      <c r="AE90" s="306">
        <f>AE5+AE43</f>
        <v>8955.1</v>
      </c>
      <c r="AF90" s="306">
        <f>AF5+AF43</f>
        <v>10793.1</v>
      </c>
      <c r="AG90" s="306">
        <f t="shared" si="349"/>
        <v>11021.821093391853</v>
      </c>
      <c r="AH90" s="306">
        <f t="shared" si="349"/>
        <v>11200.54343210759</v>
      </c>
      <c r="AI90" s="306">
        <f t="shared" si="349"/>
        <v>11336.519473618624</v>
      </c>
      <c r="AJ90" s="306">
        <f t="shared" si="349"/>
        <v>11664.518684381677</v>
      </c>
      <c r="AK90" s="306">
        <f t="shared" si="349"/>
        <v>11979.383323665872</v>
      </c>
      <c r="AL90" s="306">
        <f t="shared" si="349"/>
        <v>11976.166589603115</v>
      </c>
      <c r="AM90" s="306">
        <f t="shared" si="349"/>
        <v>12300.475923843846</v>
      </c>
      <c r="AN90" s="306">
        <f t="shared" si="349"/>
        <v>11840.392579337022</v>
      </c>
      <c r="AO90" s="306">
        <f t="shared" si="349"/>
        <v>11378.756557283907</v>
      </c>
      <c r="AP90" s="306">
        <f t="shared" si="349"/>
        <v>13564.672488222486</v>
      </c>
      <c r="AQ90" s="306"/>
    </row>
    <row r="91" spans="2:45">
      <c r="W91" s="470">
        <f>W90/V90*100</f>
        <v>90.839535851324484</v>
      </c>
      <c r="X91" s="470">
        <f t="shared" ref="X91:AI91" si="350">X90/W90*100</f>
        <v>101.09417542431108</v>
      </c>
      <c r="Y91" s="470">
        <f t="shared" si="350"/>
        <v>106.32787132824888</v>
      </c>
      <c r="Z91" s="470">
        <f t="shared" si="350"/>
        <v>107.08756480363613</v>
      </c>
      <c r="AA91" s="470">
        <f t="shared" si="350"/>
        <v>100.7339125052501</v>
      </c>
      <c r="AB91" s="470">
        <f t="shared" si="350"/>
        <v>139.54881608110779</v>
      </c>
      <c r="AC91" s="470">
        <f t="shared" si="350"/>
        <v>114.94551115723924</v>
      </c>
      <c r="AD91" s="470">
        <f t="shared" si="350"/>
        <v>105.91118407551816</v>
      </c>
      <c r="AE91" s="470">
        <f t="shared" si="350"/>
        <v>115.67538297747566</v>
      </c>
      <c r="AF91" s="470">
        <f t="shared" si="350"/>
        <v>120.52461725720538</v>
      </c>
      <c r="AG91" s="470">
        <f t="shared" si="350"/>
        <v>102.1191417979251</v>
      </c>
      <c r="AH91" s="470">
        <f t="shared" si="350"/>
        <v>101.62153184307165</v>
      </c>
      <c r="AI91" s="470">
        <f t="shared" si="350"/>
        <v>101.2140128944212</v>
      </c>
      <c r="AJ91" s="470">
        <f t="shared" ref="AJ91" si="351">AJ90/AI90*100</f>
        <v>102.89329729046331</v>
      </c>
      <c r="AK91" s="470">
        <f t="shared" ref="AK91" si="352">AK90/AJ90*100</f>
        <v>102.69933674765154</v>
      </c>
      <c r="AL91" s="470">
        <f t="shared" ref="AL91" si="353">AL90/AK90*100</f>
        <v>99.973147749129936</v>
      </c>
      <c r="AM91" s="470">
        <f t="shared" ref="AM91" si="354">AM90/AL90*100</f>
        <v>102.70795610443724</v>
      </c>
      <c r="AN91" s="470">
        <f t="shared" ref="AN91" si="355">AN90/AM90*100</f>
        <v>96.259629730139338</v>
      </c>
      <c r="AO91" s="470">
        <f t="shared" ref="AO91" si="356">AO90/AN90*100</f>
        <v>96.101176384482983</v>
      </c>
      <c r="AP91" s="470">
        <f t="shared" ref="AP91" si="357">AP90/AO90*100</f>
        <v>119.21049914315378</v>
      </c>
    </row>
    <row r="92" spans="2:45">
      <c r="W92" s="725">
        <f>W90-V90</f>
        <v>-396.30000000000018</v>
      </c>
      <c r="X92" s="725">
        <f t="shared" ref="X92:AI92" si="358">X90-W90</f>
        <v>43.000000000000455</v>
      </c>
      <c r="Y92" s="725">
        <f t="shared" si="358"/>
        <v>251.40000000000009</v>
      </c>
      <c r="Z92" s="725">
        <f t="shared" si="358"/>
        <v>299.40000000000055</v>
      </c>
      <c r="AA92" s="725">
        <f t="shared" si="358"/>
        <v>33.199999999998909</v>
      </c>
      <c r="AB92" s="725">
        <f t="shared" si="358"/>
        <v>1802.2000000000007</v>
      </c>
      <c r="AC92" s="725">
        <f t="shared" si="358"/>
        <v>950.39999999999964</v>
      </c>
      <c r="AD92" s="725">
        <f t="shared" si="358"/>
        <v>432.07800000000043</v>
      </c>
      <c r="AE92" s="725">
        <f t="shared" si="358"/>
        <v>1213.5219999999999</v>
      </c>
      <c r="AF92" s="725">
        <f t="shared" si="358"/>
        <v>1838</v>
      </c>
      <c r="AG92" s="725">
        <f>AG90-AF90</f>
        <v>228.72109339185226</v>
      </c>
      <c r="AH92" s="725">
        <f t="shared" si="358"/>
        <v>178.72233871573735</v>
      </c>
      <c r="AI92" s="725">
        <f t="shared" si="358"/>
        <v>135.97604151103405</v>
      </c>
      <c r="AJ92" s="725">
        <f t="shared" ref="AJ92" si="359">AJ90-AI90</f>
        <v>327.99921076305327</v>
      </c>
      <c r="AK92" s="725">
        <f t="shared" ref="AK92" si="360">AK90-AJ90</f>
        <v>314.86463928419471</v>
      </c>
      <c r="AL92" s="725">
        <f t="shared" ref="AL92" si="361">AL90-AK90</f>
        <v>-3.2167340627565864</v>
      </c>
      <c r="AM92" s="725">
        <f t="shared" ref="AM92" si="362">AM90-AL90</f>
        <v>324.3093342407301</v>
      </c>
      <c r="AN92" s="725">
        <f t="shared" ref="AN92" si="363">AN90-AM90</f>
        <v>-460.08334450682378</v>
      </c>
      <c r="AO92" s="725">
        <f t="shared" ref="AO92" si="364">AO90-AN90</f>
        <v>-461.63602205311508</v>
      </c>
      <c r="AP92" s="725">
        <f t="shared" ref="AP92" si="365">AP90-AO90</f>
        <v>2185.9159309385795</v>
      </c>
    </row>
    <row r="93" spans="2:45" ht="15.75">
      <c r="B93" s="59" t="s">
        <v>442</v>
      </c>
      <c r="C93" s="107" t="s">
        <v>443</v>
      </c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Z93" s="470">
        <f>Z43/Y43*100</f>
        <v>106.29324024119329</v>
      </c>
      <c r="AA93" s="470">
        <f t="shared" ref="AA93:AI93" si="366">AA43/Z43*100</f>
        <v>94.049502881199061</v>
      </c>
      <c r="AB93" s="470">
        <f t="shared" si="366"/>
        <v>133.63492063492063</v>
      </c>
      <c r="AC93" s="470">
        <f t="shared" si="366"/>
        <v>122.75804727402304</v>
      </c>
      <c r="AD93" s="470">
        <f t="shared" si="366"/>
        <v>113.79003386550556</v>
      </c>
      <c r="AE93" s="470">
        <f t="shared" si="366"/>
        <v>119.17484396523868</v>
      </c>
      <c r="AF93" s="470">
        <f t="shared" si="366"/>
        <v>118.5170386437582</v>
      </c>
      <c r="AG93" s="470">
        <f t="shared" si="366"/>
        <v>100.52781344846922</v>
      </c>
      <c r="AH93" s="470">
        <f t="shared" si="366"/>
        <v>100.13233658775265</v>
      </c>
      <c r="AI93" s="470">
        <f t="shared" si="366"/>
        <v>100.03550035327126</v>
      </c>
      <c r="AJ93" s="470">
        <f t="shared" ref="AJ93" si="367">AJ43/AI43*100</f>
        <v>101.92305945948281</v>
      </c>
      <c r="AK93" s="470">
        <f t="shared" ref="AK93" si="368">AK43/AJ43*100</f>
        <v>101.84222364782487</v>
      </c>
      <c r="AL93" s="470">
        <f t="shared" ref="AL93" si="369">AL43/AK43*100</f>
        <v>102.80546485550749</v>
      </c>
      <c r="AM93" s="470">
        <f t="shared" ref="AM93" si="370">AM43/AL43*100</f>
        <v>101.90045092847613</v>
      </c>
      <c r="AN93" s="470">
        <f t="shared" ref="AN93" si="371">AN43/AM43*100</f>
        <v>91.857305052901594</v>
      </c>
      <c r="AO93" s="470">
        <f t="shared" ref="AO93" si="372">AO43/AN43*100</f>
        <v>90.789787942706823</v>
      </c>
      <c r="AP93" s="470">
        <f t="shared" ref="AP93" si="373">AP43/AO43*100</f>
        <v>123.9859614798479</v>
      </c>
    </row>
    <row r="115" spans="2:68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20" spans="2:68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7"/>
      <c r="BC120" s="107"/>
      <c r="BD120" s="107"/>
      <c r="BE120" s="107"/>
      <c r="BF120" s="107"/>
      <c r="BG120" s="107"/>
      <c r="BH120" s="107"/>
      <c r="BI120" s="107"/>
      <c r="BJ120" s="107"/>
      <c r="BK120" s="107"/>
      <c r="BL120" s="107"/>
      <c r="BM120" s="107"/>
      <c r="BN120" s="107"/>
      <c r="BO120" s="107"/>
      <c r="BP120" s="107"/>
    </row>
    <row r="131" spans="2:68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3" spans="2:68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47" spans="2:68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57" spans="2:68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64" spans="2:68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8" spans="2:68"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AS168" s="107"/>
      <c r="AT168" s="107"/>
      <c r="AU168" s="107"/>
      <c r="AV168" s="107"/>
      <c r="AW168" s="107"/>
      <c r="AX168" s="107"/>
      <c r="AY168" s="107"/>
      <c r="AZ168" s="107"/>
      <c r="BA168" s="107"/>
      <c r="BB168" s="107"/>
      <c r="BC168" s="107"/>
      <c r="BD168" s="107"/>
      <c r="BE168" s="107"/>
      <c r="BF168" s="107"/>
      <c r="BG168" s="107"/>
      <c r="BH168" s="107"/>
      <c r="BI168" s="107"/>
      <c r="BJ168" s="107"/>
      <c r="BK168" s="107"/>
      <c r="BL168" s="107"/>
      <c r="BM168" s="107"/>
      <c r="BN168" s="107"/>
      <c r="BO168" s="107"/>
      <c r="BP168" s="107"/>
    </row>
    <row r="179" spans="2:68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1" spans="2:68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  <c r="BC181" s="107"/>
      <c r="BD181" s="107"/>
      <c r="BE181" s="107"/>
      <c r="BF181" s="107"/>
      <c r="BG181" s="107"/>
      <c r="BH181" s="107"/>
      <c r="BI181" s="107"/>
      <c r="BJ181" s="107"/>
      <c r="BK181" s="107"/>
      <c r="BL181" s="107"/>
      <c r="BM181" s="107"/>
      <c r="BN181" s="107"/>
      <c r="BO181" s="107"/>
      <c r="BP181" s="107"/>
    </row>
    <row r="190" spans="2:68"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</row>
    <row r="196" spans="2:68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</row>
    <row r="202" spans="2:68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</row>
    <row r="206" spans="2:68"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</row>
    <row r="207" spans="2:68"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</row>
    <row r="208" spans="2:68"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</row>
    <row r="209" spans="2:68"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</row>
    <row r="224" spans="2:68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AS224" s="107"/>
      <c r="AT224" s="107"/>
      <c r="AU224" s="107"/>
      <c r="AV224" s="107"/>
      <c r="AW224" s="107"/>
      <c r="AX224" s="107"/>
      <c r="AY224" s="107"/>
      <c r="AZ224" s="107"/>
      <c r="BA224" s="107"/>
      <c r="BB224" s="107"/>
      <c r="BC224" s="107"/>
      <c r="BD224" s="107"/>
      <c r="BE224" s="107"/>
      <c r="BF224" s="107"/>
      <c r="BG224" s="107"/>
      <c r="BH224" s="107"/>
      <c r="BI224" s="107"/>
      <c r="BJ224" s="107"/>
      <c r="BK224" s="107"/>
      <c r="BL224" s="107"/>
      <c r="BM224" s="107"/>
      <c r="BN224" s="107"/>
      <c r="BO224" s="107"/>
      <c r="BP224" s="107"/>
    </row>
    <row r="226" spans="2:68"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AS226" s="107"/>
      <c r="AT226" s="107"/>
      <c r="AU226" s="107"/>
      <c r="AV226" s="107"/>
      <c r="AW226" s="107"/>
      <c r="AX226" s="107"/>
      <c r="AY226" s="107"/>
      <c r="AZ226" s="107"/>
      <c r="BA226" s="107"/>
      <c r="BB226" s="107"/>
      <c r="BC226" s="107"/>
      <c r="BD226" s="107"/>
      <c r="BE226" s="107"/>
      <c r="BF226" s="107"/>
      <c r="BG226" s="107"/>
      <c r="BH226" s="107"/>
      <c r="BI226" s="107"/>
      <c r="BJ226" s="107"/>
      <c r="BK226" s="107"/>
      <c r="BL226" s="107"/>
      <c r="BM226" s="107"/>
      <c r="BN226" s="107"/>
      <c r="BO226" s="107"/>
      <c r="BP226" s="10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9A03-E8DD-4752-A964-FB285D6BE84D}">
  <dimension ref="B1:BW50"/>
  <sheetViews>
    <sheetView workbookViewId="0">
      <pane xSplit="3" ySplit="1" topLeftCell="AL2" activePane="bottomRight" state="frozen"/>
      <selection pane="topRight" activeCell="D1" sqref="D1"/>
      <selection pane="bottomLeft" activeCell="A2" sqref="A2"/>
      <selection pane="bottomRight" activeCell="AN7" sqref="AN7"/>
    </sheetView>
  </sheetViews>
  <sheetFormatPr defaultRowHeight="15"/>
  <cols>
    <col min="1" max="1" width="3.5703125" customWidth="1"/>
    <col min="2" max="2" width="14.28515625" customWidth="1"/>
    <col min="3" max="3" width="32.42578125" customWidth="1"/>
    <col min="4" max="20" width="9.5703125" customWidth="1"/>
    <col min="21" max="21" width="10.85546875" customWidth="1"/>
  </cols>
  <sheetData>
    <row r="1" spans="2:75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  <c r="AQ1" s="5"/>
      <c r="AR1" s="5"/>
    </row>
    <row r="2" spans="2:75" ht="18.75">
      <c r="B2" s="142" t="s">
        <v>497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V2" s="500"/>
      <c r="AW2" s="500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</row>
    <row r="3" spans="2:75" ht="18.75">
      <c r="B3" s="144" t="s">
        <v>498</v>
      </c>
      <c r="C3" s="145" t="s">
        <v>499</v>
      </c>
      <c r="D3" s="1139"/>
      <c r="E3" s="1139"/>
      <c r="F3" s="1139"/>
      <c r="G3" s="1136">
        <v>124</v>
      </c>
      <c r="H3" s="1136">
        <v>136.5</v>
      </c>
      <c r="I3" s="1136">
        <v>110.2</v>
      </c>
      <c r="J3" s="1136">
        <v>117.1</v>
      </c>
      <c r="K3" s="1136">
        <v>106.8</v>
      </c>
      <c r="L3" s="1137">
        <v>107.8</v>
      </c>
      <c r="M3" s="1137">
        <v>111.9</v>
      </c>
      <c r="N3" s="1137">
        <v>121.5</v>
      </c>
      <c r="O3" s="1137">
        <v>120.4</v>
      </c>
      <c r="P3" s="1137">
        <v>106.4</v>
      </c>
      <c r="Q3" s="1137">
        <v>106.5</v>
      </c>
      <c r="R3" s="94">
        <v>112.00654526092403</v>
      </c>
      <c r="S3" s="94">
        <v>116.17375005306006</v>
      </c>
      <c r="T3" s="94">
        <v>114.61268190441857</v>
      </c>
      <c r="U3" s="94">
        <v>112.76055303839603</v>
      </c>
      <c r="V3" s="151">
        <v>105.8</v>
      </c>
      <c r="W3" s="151">
        <v>105.9</v>
      </c>
      <c r="X3" s="151">
        <v>107.3</v>
      </c>
      <c r="Y3" s="151">
        <v>103.69922162162163</v>
      </c>
      <c r="Z3" s="151">
        <v>107.9</v>
      </c>
      <c r="AA3" s="151">
        <v>108.6</v>
      </c>
      <c r="AB3" s="151">
        <v>109</v>
      </c>
      <c r="AC3" s="151">
        <v>106.6</v>
      </c>
      <c r="AD3" s="151">
        <v>103.7</v>
      </c>
      <c r="AE3" s="691">
        <v>103.5</v>
      </c>
      <c r="AF3" s="691">
        <v>103.4</v>
      </c>
      <c r="AG3" s="306">
        <f t="shared" ref="AG3" si="0">(AG4*SUM(AF31:AF34)+AG7*AF35)/100</f>
        <v>103.9340651277351</v>
      </c>
      <c r="AH3" s="306">
        <f>(AH4*SUM(AG31:AG34)+AH7*AG35)/100+0.2</f>
        <v>104.0327205752226</v>
      </c>
      <c r="AI3" s="306">
        <f>(AI4*SUM(AH31:AH34)+AI7*AH35)/100+0.1</f>
        <v>103.79573354705161</v>
      </c>
      <c r="AJ3" s="306">
        <f>(AJ4*SUM(AI31:AI34)+AJ7*AI35)/100+0.2</f>
        <v>103.90476385361526</v>
      </c>
      <c r="AK3" s="306">
        <f>(AK4*SUM(AJ31:AJ34)+AK7*AJ35)/100-0.2</f>
        <v>104.0610370987884</v>
      </c>
      <c r="AL3" s="306">
        <f>(AL4*SUM(AK31:AK34)+AL7*AK35)/100-0.1</f>
        <v>104.42699610043036</v>
      </c>
      <c r="AM3" s="306">
        <f t="shared" ref="AM3" si="1">(AM4*SUM(AL31:AL34)+AM7*AL35)/100</f>
        <v>104.43908669485012</v>
      </c>
      <c r="AN3" s="306">
        <f t="shared" ref="AN3" si="2">(AN4*SUM(AM31:AM34)+AN7*AM35)/100</f>
        <v>104.16683736568076</v>
      </c>
      <c r="AO3" s="306">
        <f t="shared" ref="AO3" si="3">(AO4*SUM(AN31:AN34)+AO7*AN35)/100</f>
        <v>103.79412840036173</v>
      </c>
      <c r="AP3" s="306">
        <f t="shared" ref="AP3" si="4">(AP4*SUM(AO31:AO34)+AP7*AO35)/100</f>
        <v>104.06564674917327</v>
      </c>
      <c r="AQ3" s="306"/>
      <c r="AR3" s="306" t="s">
        <v>1089</v>
      </c>
      <c r="AV3" t="s">
        <v>986</v>
      </c>
    </row>
    <row r="4" spans="2:75" ht="18.75">
      <c r="B4" s="144" t="s">
        <v>500</v>
      </c>
      <c r="C4" s="146" t="s">
        <v>501</v>
      </c>
      <c r="D4" s="1139"/>
      <c r="E4" s="1139"/>
      <c r="F4" s="1139"/>
      <c r="G4" s="1136"/>
      <c r="H4" s="1136"/>
      <c r="I4" s="1136"/>
      <c r="J4" s="1136"/>
      <c r="K4" s="94">
        <v>105.41967213114754</v>
      </c>
      <c r="L4" s="94">
        <v>107.87719298245615</v>
      </c>
      <c r="M4" s="94">
        <v>111.63134657836645</v>
      </c>
      <c r="N4" s="94">
        <v>120.50127906976745</v>
      </c>
      <c r="O4" s="94">
        <v>120.05828505214367</v>
      </c>
      <c r="P4" s="94">
        <v>105.2</v>
      </c>
      <c r="Q4" s="94">
        <v>106.10918604651162</v>
      </c>
      <c r="R4" s="94">
        <v>112.17299352979033</v>
      </c>
      <c r="S4" s="94">
        <v>117.01562506029553</v>
      </c>
      <c r="T4" s="94">
        <v>115.3141496594684</v>
      </c>
      <c r="U4" s="94">
        <v>113.93055413316719</v>
      </c>
      <c r="V4" s="151">
        <v>106.18713181092333</v>
      </c>
      <c r="W4" s="151">
        <v>106.1</v>
      </c>
      <c r="X4" s="151">
        <v>107.50920598388952</v>
      </c>
      <c r="Y4" s="151">
        <v>103.36920392678014</v>
      </c>
      <c r="Z4" s="151">
        <v>108.8</v>
      </c>
      <c r="AA4" s="151">
        <v>109.3</v>
      </c>
      <c r="AB4" s="151">
        <v>109.4</v>
      </c>
      <c r="AC4" s="151">
        <v>106.6</v>
      </c>
      <c r="AD4" s="151">
        <v>103.7</v>
      </c>
      <c r="AE4" s="691">
        <v>103.5</v>
      </c>
      <c r="AF4" s="691">
        <v>103.4</v>
      </c>
      <c r="AG4" s="94">
        <f>(AG5*(AF31+AF32)+AG6*(AF33+AF34))/SUM(AF31:AF34)</f>
        <v>108.16834179574398</v>
      </c>
      <c r="AH4" s="94">
        <f t="shared" ref="AH4:AI4" si="5">(AH5*(AG31+AG32)+AH6*(AG33+AG34))/SUM(AG31:AG34)</f>
        <v>104.09439944837955</v>
      </c>
      <c r="AI4" s="94">
        <f t="shared" si="5"/>
        <v>104.11573600148478</v>
      </c>
      <c r="AJ4" s="94">
        <f>(AJ5*(AI31+AI32)+AJ6*(AI33+AI34))/SUM(AI31:AI34)</f>
        <v>105.20895540190936</v>
      </c>
      <c r="AK4" s="94">
        <f t="shared" ref="AK4" si="6">(AK5*(AJ31+AJ32)+AK6*(AJ33+AJ34))/SUM(AJ31:AJ34)</f>
        <v>105.18009195612115</v>
      </c>
      <c r="AL4" s="94">
        <f t="shared" ref="AL4" si="7">(AL5*(AK31+AK32)+AL6*(AK33+AK34))/SUM(AK31:AK34)</f>
        <v>103.98786598707969</v>
      </c>
      <c r="AM4" s="94">
        <f t="shared" ref="AM4" si="8">(AM5*(AL31+AL32)+AM6*(AL33+AL34))/SUM(AL31:AL34)</f>
        <v>106.69989382299526</v>
      </c>
      <c r="AN4" s="94">
        <f t="shared" ref="AN4" si="9">(AN5*(AM31+AM32)+AN6*(AM33+AM34))/SUM(AM31:AM34)</f>
        <v>103.95868691760049</v>
      </c>
      <c r="AO4" s="94">
        <f t="shared" ref="AO4" si="10">(AO5*(AN31+AN32)+AO6*(AN33+AN34))/SUM(AN31:AN34)</f>
        <v>103.73064541947359</v>
      </c>
      <c r="AP4" s="94">
        <f t="shared" ref="AP4" si="11">(AP5*(AO31+AO32)+AP6*(AO33+AO34))/SUM(AO31:AO34)</f>
        <v>103.79388163422473</v>
      </c>
      <c r="AQ4" s="94"/>
      <c r="AR4" s="94" t="s">
        <v>1090</v>
      </c>
      <c r="AV4" t="s">
        <v>987</v>
      </c>
    </row>
    <row r="5" spans="2:75" ht="18.75">
      <c r="B5" s="144" t="s">
        <v>502</v>
      </c>
      <c r="C5" s="146" t="s">
        <v>503</v>
      </c>
      <c r="D5" s="1139"/>
      <c r="E5" s="1139"/>
      <c r="F5" s="1139"/>
      <c r="G5" s="1136">
        <v>123.9</v>
      </c>
      <c r="H5" s="1136">
        <v>139.1</v>
      </c>
      <c r="I5" s="1136">
        <v>110.4</v>
      </c>
      <c r="J5" s="1136">
        <v>115.8</v>
      </c>
      <c r="K5" s="1138">
        <v>105</v>
      </c>
      <c r="L5" s="1137">
        <v>108.9</v>
      </c>
      <c r="M5" s="1137">
        <v>113.6</v>
      </c>
      <c r="N5" s="1137">
        <v>125.4</v>
      </c>
      <c r="O5" s="1137">
        <v>125.9</v>
      </c>
      <c r="P5" s="1137">
        <v>105.2</v>
      </c>
      <c r="Q5" s="1137">
        <v>105.9</v>
      </c>
      <c r="R5" s="94">
        <v>113.61028037476193</v>
      </c>
      <c r="S5" s="94">
        <v>118.93074264693884</v>
      </c>
      <c r="T5" s="94">
        <v>118.48612894386531</v>
      </c>
      <c r="U5" s="94">
        <v>118.8904240464858</v>
      </c>
      <c r="V5" s="151">
        <v>106.8</v>
      </c>
      <c r="W5" s="151">
        <v>105</v>
      </c>
      <c r="X5" s="152">
        <v>109.1</v>
      </c>
      <c r="Y5" s="152">
        <v>102.5</v>
      </c>
      <c r="Z5" s="151">
        <v>111</v>
      </c>
      <c r="AA5" s="152">
        <v>111.7</v>
      </c>
      <c r="AB5" s="151">
        <v>110.3</v>
      </c>
      <c r="AC5" s="151">
        <v>107.2</v>
      </c>
      <c r="AD5" s="151">
        <v>103.6</v>
      </c>
      <c r="AE5" s="691">
        <v>102.2</v>
      </c>
      <c r="AF5" s="691">
        <v>103.9</v>
      </c>
      <c r="AG5" s="126">
        <f>(AG10*AF31+AF32*AG11)/SUM(AF31:AF32)</f>
        <v>111.6970112238516</v>
      </c>
      <c r="AH5" s="126">
        <f t="shared" ref="AH5:AI5" si="12">(AH10*AG31+AG32*AH11)/SUM(AG31:AG32)</f>
        <v>105.31013039666649</v>
      </c>
      <c r="AI5" s="126">
        <f t="shared" si="12"/>
        <v>105.19949825346458</v>
      </c>
      <c r="AJ5" s="126">
        <f>(AJ10*AI31+AI32*AJ11)/SUM(AI31:AI32)</f>
        <v>105.54147910632499</v>
      </c>
      <c r="AK5" s="126">
        <f t="shared" ref="AK5" si="13">(AK10*AJ31+AJ32*AK11)/SUM(AJ31:AJ32)</f>
        <v>106.04922953691066</v>
      </c>
      <c r="AL5" s="126">
        <f t="shared" ref="AL5" si="14">(AL10*AK31+AK32*AL11)/SUM(AK31:AK32)</f>
        <v>104.53219759452951</v>
      </c>
      <c r="AM5" s="126">
        <f t="shared" ref="AM5" si="15">(AM10*AL31+AL32*AM11)/SUM(AL31:AL32)</f>
        <v>107.48806944432181</v>
      </c>
      <c r="AN5" s="126">
        <f t="shared" ref="AN5" si="16">(AN10*AM31+AM32*AN11)/SUM(AM31:AM32)</f>
        <v>99.221031203951981</v>
      </c>
      <c r="AO5" s="126">
        <f t="shared" ref="AO5" si="17">(AO10*AN31+AN32*AO11)/SUM(AN31:AN32)</f>
        <v>104.35583478476964</v>
      </c>
      <c r="AP5" s="126">
        <f t="shared" ref="AP5" si="18">(AP10*AO31+AO32*AP11)/SUM(AO31:AO32)</f>
        <v>104.38497240387878</v>
      </c>
      <c r="AQ5" s="94"/>
      <c r="AR5" s="94" t="s">
        <v>1091</v>
      </c>
      <c r="AV5" t="s">
        <v>988</v>
      </c>
    </row>
    <row r="6" spans="2:75" ht="18.75">
      <c r="B6" s="144" t="s">
        <v>504</v>
      </c>
      <c r="C6" s="146" t="s">
        <v>505</v>
      </c>
      <c r="D6" s="1139"/>
      <c r="E6" s="1139"/>
      <c r="F6" s="1139"/>
      <c r="G6" s="1136">
        <v>125.9</v>
      </c>
      <c r="H6" s="1136">
        <v>130.5</v>
      </c>
      <c r="I6" s="1136">
        <v>107.2</v>
      </c>
      <c r="J6" s="1136">
        <v>110.5</v>
      </c>
      <c r="K6" s="1136">
        <v>107.4</v>
      </c>
      <c r="L6" s="1137">
        <v>103.6</v>
      </c>
      <c r="M6" s="1137">
        <v>103.8</v>
      </c>
      <c r="N6" s="1137">
        <v>110.3</v>
      </c>
      <c r="O6" s="1137">
        <v>107.7</v>
      </c>
      <c r="P6" s="1137">
        <v>105.2</v>
      </c>
      <c r="Q6" s="1137">
        <v>106.6</v>
      </c>
      <c r="R6" s="571">
        <v>109.30327553864775</v>
      </c>
      <c r="S6" s="571">
        <v>112.68887792010136</v>
      </c>
      <c r="T6" s="571">
        <v>108.92613582283568</v>
      </c>
      <c r="U6" s="571">
        <v>102.70466011969039</v>
      </c>
      <c r="V6" s="506">
        <v>104.8</v>
      </c>
      <c r="W6" s="506">
        <v>108.2</v>
      </c>
      <c r="X6" s="511">
        <v>104.3</v>
      </c>
      <c r="Y6" s="511">
        <v>105.2</v>
      </c>
      <c r="Z6" s="506">
        <v>105.1</v>
      </c>
      <c r="AA6" s="511">
        <v>105</v>
      </c>
      <c r="AB6" s="506">
        <v>107.8</v>
      </c>
      <c r="AC6" s="506">
        <v>105.7</v>
      </c>
      <c r="AD6" s="506">
        <v>105.2</v>
      </c>
      <c r="AE6" s="714">
        <v>105</v>
      </c>
      <c r="AF6" s="714">
        <v>102.4</v>
      </c>
      <c r="AG6" s="582">
        <f>EXP(((0.32*LN(Household!AG33/Household!AF33)+0.15*LN(Household!AG2/Household!AF2))*AF33+LN(AF12/100)*AG34)/(AF33+AF34))*100</f>
        <v>100.086198505759</v>
      </c>
      <c r="AH6" s="582">
        <f>EXP(((0.32*LN(Household!AH33/Household!AG33)+0.5*LN(Household!AH2/Household!AG2))*AG33+LN(AG12/100)*AH34)/(AG33+AG34))*100</f>
        <v>100.98683315692556</v>
      </c>
      <c r="AI6" s="582">
        <f>EXP(((0.32*LN(Household!AI33/Household!AH33)+0.15*LN(Household!AI2/Household!AH2))*AH33+LN(AH12/100)*AI34)/(AH33+AH34))*100</f>
        <v>101.21856583575446</v>
      </c>
      <c r="AJ6" s="582">
        <f>EXP(((0.32*LN(Household!AJ33/Household!AI33)+0.15*LN(Household!AJ2/Household!AI2))*AI33+LN(AI12/100)*AJ34)/(AI33+AI34))*100</f>
        <v>104.28375962780501</v>
      </c>
      <c r="AK6" s="582">
        <f>EXP(((0.32*LN(Household!AK33/Household!AJ33)+0.15*LN(Household!AK2/Household!AJ2))*AJ33+LN(AJ12/100)*AK34)/(AJ33+AJ34))*100</f>
        <v>102.725845434287</v>
      </c>
      <c r="AL6" s="582">
        <f>EXP(((0.32*LN(Household!AL33/Household!AK33)+0.15*LN(Household!AL2/Household!AK2))*AK33+LN(AK12/100)*AL34)/(AK33+AK34))*100</f>
        <v>102.40540352162301</v>
      </c>
      <c r="AM6" s="582">
        <f>EXP(((0.32*LN(Household!AM33/Household!AL33)+0.15*LN(Household!AM2/Household!AL2))*AL33+LN(AL12/100)*AM34)/(AL33+AL34))*100</f>
        <v>104.36413637845079</v>
      </c>
      <c r="AN6" s="582">
        <f>EXP(((0.32*LN(Household!AN33/Household!AM33)+0.15*LN(Household!AN2/Household!AM2))*AM33+LN(AM12/100)*AN34)/(AM33+AM34))*100+20</f>
        <v>118.4189841597406</v>
      </c>
      <c r="AO6" s="582">
        <f>EXP(((0.32*LN(Household!AO33/Household!AN33)+0.15*LN(Household!AO2/Household!AN2))*AN33+LN(AN12/100)*AO34)/(AN33+AN34))*100</f>
        <v>102.13179546079385</v>
      </c>
      <c r="AP6" s="582">
        <f>EXP(((0.32*LN(Household!AP33/Household!AO33)+0.15*LN(Household!AP2/Household!AO2))*AO33+LN(AO12/100)*AP34)/(AO33+AO34))*100</f>
        <v>102.24931703980586</v>
      </c>
      <c r="AQ6" s="149" t="s">
        <v>1098</v>
      </c>
      <c r="AR6" s="149"/>
      <c r="AV6" t="s">
        <v>989</v>
      </c>
    </row>
    <row r="7" spans="2:75" ht="18.75">
      <c r="B7" s="144" t="s">
        <v>506</v>
      </c>
      <c r="C7" s="146" t="s">
        <v>507</v>
      </c>
      <c r="D7" s="1139"/>
      <c r="E7" s="1139"/>
      <c r="F7" s="1139"/>
      <c r="G7" s="1136">
        <v>128.1</v>
      </c>
      <c r="H7" s="1136">
        <v>127</v>
      </c>
      <c r="I7" s="1136">
        <v>114.8</v>
      </c>
      <c r="J7" s="1136">
        <v>140.80000000000001</v>
      </c>
      <c r="K7" s="1136">
        <v>117.3</v>
      </c>
      <c r="L7" s="1137">
        <v>109.8</v>
      </c>
      <c r="M7" s="1137">
        <v>118.6</v>
      </c>
      <c r="N7" s="1137">
        <v>127.1</v>
      </c>
      <c r="O7" s="1137">
        <v>120.5</v>
      </c>
      <c r="P7" s="1137">
        <v>114.5</v>
      </c>
      <c r="Q7" s="1137">
        <v>108.8</v>
      </c>
      <c r="R7" s="499">
        <v>110.7</v>
      </c>
      <c r="S7" s="499">
        <v>110</v>
      </c>
      <c r="T7" s="499">
        <v>110</v>
      </c>
      <c r="U7" s="499">
        <v>104</v>
      </c>
      <c r="V7" s="153">
        <v>103</v>
      </c>
      <c r="W7" s="153">
        <v>104.9</v>
      </c>
      <c r="X7" s="154">
        <v>106</v>
      </c>
      <c r="Y7" s="154">
        <v>105.9</v>
      </c>
      <c r="Z7" s="153">
        <v>102.6</v>
      </c>
      <c r="AA7" s="154">
        <v>104.7</v>
      </c>
      <c r="AB7" s="153">
        <v>106.7</v>
      </c>
      <c r="AC7" s="153">
        <v>106.7</v>
      </c>
      <c r="AD7" s="153">
        <v>102</v>
      </c>
      <c r="AE7" s="715">
        <v>104.6</v>
      </c>
      <c r="AF7" s="715">
        <v>104.7</v>
      </c>
      <c r="AG7" s="499">
        <v>73</v>
      </c>
      <c r="AH7" s="499">
        <v>101</v>
      </c>
      <c r="AI7" s="499">
        <v>99</v>
      </c>
      <c r="AJ7" s="499">
        <v>86</v>
      </c>
      <c r="AK7" s="499">
        <v>91</v>
      </c>
      <c r="AL7" s="499">
        <v>113.5</v>
      </c>
      <c r="AM7" s="499">
        <v>70</v>
      </c>
      <c r="AN7" s="499">
        <v>109</v>
      </c>
      <c r="AO7" s="499">
        <v>105.2</v>
      </c>
      <c r="AP7" s="499">
        <v>110</v>
      </c>
      <c r="AQ7" s="579"/>
      <c r="AR7" s="579"/>
      <c r="AV7" t="s">
        <v>990</v>
      </c>
    </row>
    <row r="8" spans="2:75" ht="18.75">
      <c r="B8" s="144" t="s">
        <v>508</v>
      </c>
      <c r="C8" s="146" t="s">
        <v>509</v>
      </c>
      <c r="D8" s="1139"/>
      <c r="E8" s="1139"/>
      <c r="F8" s="1139"/>
      <c r="G8" s="1136">
        <v>145.30000000000001</v>
      </c>
      <c r="H8" s="1136">
        <v>126.4</v>
      </c>
      <c r="I8" s="1136">
        <v>104.4</v>
      </c>
      <c r="J8" s="1136">
        <v>228.9</v>
      </c>
      <c r="K8" s="1136">
        <v>108.5</v>
      </c>
      <c r="L8" s="1137">
        <v>113.5</v>
      </c>
      <c r="M8" s="1137">
        <v>118.1</v>
      </c>
      <c r="N8" s="1137">
        <v>150.19999999999999</v>
      </c>
      <c r="O8" s="1137">
        <v>169.4</v>
      </c>
      <c r="P8" s="1137">
        <v>148.1</v>
      </c>
      <c r="Q8" s="1137">
        <v>123.6</v>
      </c>
      <c r="R8" s="575"/>
      <c r="S8" s="575"/>
      <c r="T8" s="575"/>
      <c r="U8" s="575"/>
    </row>
    <row r="9" spans="2:75" ht="15.75">
      <c r="C9" s="147" t="s">
        <v>429</v>
      </c>
      <c r="D9" s="146"/>
      <c r="E9" s="146"/>
      <c r="F9" s="146"/>
      <c r="G9" s="1136"/>
      <c r="H9" s="1136"/>
      <c r="I9" s="1136"/>
      <c r="J9" s="1138">
        <v>110.82150721210527</v>
      </c>
      <c r="K9" s="1138">
        <v>107.85176482955291</v>
      </c>
      <c r="L9" s="1140">
        <v>103.48445730215488</v>
      </c>
      <c r="M9" s="1140">
        <v>102.81743829580915</v>
      </c>
      <c r="N9" s="1140">
        <v>104.73389056670173</v>
      </c>
      <c r="O9" s="1140">
        <v>105.50541147395953</v>
      </c>
      <c r="P9" s="1140">
        <v>113.87471745981476</v>
      </c>
      <c r="Q9" s="1140">
        <v>102.9312905751533</v>
      </c>
      <c r="R9" s="575"/>
      <c r="S9" s="575"/>
      <c r="T9" s="575"/>
      <c r="U9" s="575"/>
    </row>
    <row r="10" spans="2:75" ht="18.75">
      <c r="B10" s="144" t="s">
        <v>510</v>
      </c>
      <c r="C10" t="s">
        <v>511</v>
      </c>
      <c r="D10" s="1139"/>
      <c r="E10" s="1139"/>
      <c r="F10" s="1139"/>
      <c r="G10" s="1136"/>
      <c r="H10" s="1136"/>
      <c r="I10" s="1136"/>
      <c r="J10" s="1136"/>
      <c r="K10" s="1136"/>
      <c r="L10" s="1137"/>
      <c r="M10" s="1137"/>
      <c r="N10" s="1137"/>
      <c r="O10" s="1137"/>
      <c r="P10" s="1137"/>
      <c r="Q10" s="1137"/>
      <c r="R10" s="571">
        <v>110.06929156684011</v>
      </c>
      <c r="S10" s="571">
        <v>109.2189532434781</v>
      </c>
      <c r="T10" s="571">
        <v>108.32341221794826</v>
      </c>
      <c r="U10" s="571">
        <v>103.5723972357324</v>
      </c>
      <c r="V10" s="94">
        <v>104.7735523729345</v>
      </c>
      <c r="W10" s="94">
        <f>EXP(0.483*LN((Household!W35)/(Household!V35)))*100</f>
        <v>102.43735650034796</v>
      </c>
      <c r="X10" s="94">
        <f>EXP(0.483*LN((Household!X35)/(Household!W35)))*100</f>
        <v>104.21117731022358</v>
      </c>
      <c r="Y10" s="94">
        <f>EXP(0.483*LN((Household!Y35)/(Household!X35)))*100</f>
        <v>106.97310457782825</v>
      </c>
      <c r="Z10" s="94">
        <f>EXP(0.483*LN((Household!Z35)/(Household!Y35)))*100</f>
        <v>106.24458097344593</v>
      </c>
      <c r="AA10" s="94">
        <f>EXP(0.483*LN((Household!AA35)/(Household!Z35)))*100</f>
        <v>99.032175551134031</v>
      </c>
      <c r="AB10" s="94">
        <f>EXP(0.42*LN((Household!AB35)/(Household!AA35)))*100</f>
        <v>105.62371294391227</v>
      </c>
      <c r="AC10" s="94">
        <f>EXP(0.2*LN((Household!AC35)/(Household!AB35)))*100</f>
        <v>102.44882309124195</v>
      </c>
      <c r="AD10">
        <f>EXP(0.25*LN((Household!AD35)/(Household!AC35)))*100</f>
        <v>96.891347915475052</v>
      </c>
      <c r="AE10">
        <f>EXP(0.28*LN((Household!AE35)/(Household!AD35)))*100</f>
        <v>108.30110862746119</v>
      </c>
      <c r="AF10">
        <f>EXP(0.28*LN((Household!AF35)/(Household!AE35)))*100</f>
        <v>96.376022328254834</v>
      </c>
      <c r="AG10" s="582">
        <f>EXP(0.28*LN((Household!AG35)/(Household!AF35)))*100</f>
        <v>113.70944602962558</v>
      </c>
      <c r="AH10" s="582">
        <f>EXP(0.28*LN((Household!AH35)/(Household!AG35)))*100</f>
        <v>103.618709696523</v>
      </c>
      <c r="AI10" s="582">
        <f>EXP(0.28*LN((Household!AI35)/(Household!AH35)))*100</f>
        <v>104.18942485169573</v>
      </c>
      <c r="AJ10" s="582">
        <f>EXP(0.28*LN((Household!AJ35)/(Household!AI35)))*100</f>
        <v>104.88344924027176</v>
      </c>
      <c r="AK10" s="582">
        <f>EXP(0.28*LN((Household!AK35)/(Household!AJ35)))*100</f>
        <v>105.72839254835145</v>
      </c>
      <c r="AL10" s="582">
        <f>EXP(0.28*LN((Household!AL35)/(Household!AK35)))*100</f>
        <v>103.19843686858783</v>
      </c>
      <c r="AM10" s="582">
        <f>EXP(0.28*LN((Household!AM35)/(Household!AL35)))*100</f>
        <v>107.97841197895073</v>
      </c>
      <c r="AN10" s="582">
        <f>EXP(0.28*LN((Household!AN35)/(Household!AM35)))*100</f>
        <v>95.130723482856013</v>
      </c>
      <c r="AO10" s="582">
        <f>EXP(0.28*LN((Household!AO35)/(Household!AN35)))*100</f>
        <v>103.02064055065676</v>
      </c>
      <c r="AP10" s="582">
        <f>EXP(0.28*LN((Household!AP35)/(Household!AO35)))*100</f>
        <v>103.02571824584025</v>
      </c>
      <c r="AR10" t="s">
        <v>1092</v>
      </c>
      <c r="AV10" t="s">
        <v>991</v>
      </c>
    </row>
    <row r="11" spans="2:75" ht="18.75">
      <c r="B11" s="144" t="s">
        <v>512</v>
      </c>
      <c r="C11" t="s">
        <v>513</v>
      </c>
      <c r="D11" s="1139"/>
      <c r="E11" s="1139"/>
      <c r="F11" s="1139"/>
      <c r="G11" s="1136"/>
      <c r="H11" s="1136"/>
      <c r="I11" s="1136"/>
      <c r="J11" s="1136"/>
      <c r="K11" s="1136"/>
      <c r="L11" s="1137"/>
      <c r="M11" s="1137"/>
      <c r="N11" s="1137"/>
      <c r="O11" s="1137"/>
      <c r="P11" s="1137"/>
      <c r="Q11" s="1137"/>
      <c r="R11" s="1141">
        <v>130</v>
      </c>
      <c r="S11" s="571">
        <v>161.18554566550483</v>
      </c>
      <c r="T11" s="571">
        <v>161.90864586369278</v>
      </c>
      <c r="U11" s="571">
        <v>185.61136324128739</v>
      </c>
      <c r="V11" s="94">
        <v>219.53056687010576</v>
      </c>
      <c r="W11" s="94">
        <f>(EXP(0.84*LN(Household!W2/Household!V2)+0.36*LN(Assumptions!W20/100*Assumptions!W19/Assumptions!V19))*100)</f>
        <v>207.67003681095323</v>
      </c>
      <c r="X11" s="94">
        <f>(EXP(0.84*LN(Household!X2/Household!W2)+0.36*LN(Assumptions!X20/100*Assumptions!X19/Assumptions!W19))*100)</f>
        <v>172.63693508405149</v>
      </c>
      <c r="Y11" s="94">
        <f>(EXP(0.84*LN(Household!Y2/Household!X2)+0.36*LN(Assumptions!Y20/100*Assumptions!Y19/Assumptions!X19))*100)</f>
        <v>180.06530820718083</v>
      </c>
      <c r="Z11" s="189">
        <v>100</v>
      </c>
      <c r="AA11" s="189">
        <v>100</v>
      </c>
      <c r="AB11" s="189">
        <v>100</v>
      </c>
      <c r="AC11" s="189">
        <v>94.070962172319682</v>
      </c>
      <c r="AD11" s="691">
        <v>104.4</v>
      </c>
      <c r="AE11" s="691">
        <v>101.2</v>
      </c>
      <c r="AF11" s="691">
        <v>107.3</v>
      </c>
      <c r="AG11" s="501">
        <f>(EXP(0.15*LN(Household!AG2/Household!AF2)+0.38*LN(Assumptions!AG20/100*Assumptions!AG19/Assumptions!AF19))*100)*0.54-2</f>
        <v>108.02840513382912</v>
      </c>
      <c r="AH11" s="501">
        <f>(EXP(0.15*LN(Household!AH2/Household!AG2)+0.38*LN(Assumptions!AH20/100*Assumptions!AH19/Assumptions!AG19))*100)*0.54-5</f>
        <v>108.55568920846726</v>
      </c>
      <c r="AI11" s="501">
        <f>(EXP(0.15*LN(Household!AI2/Household!AH2)+0.38*LN(Assumptions!AI20/100*Assumptions!AI19/Assumptions!AH19))*100)*0.54-5</f>
        <v>107.05777283214292</v>
      </c>
      <c r="AJ11" s="501">
        <f>(EXP(0.15*LN(Household!AJ2/Household!AI2)+0.38*LN(Assumptions!AJ20/100*Assumptions!AJ19/Assumptions!AI19))*100)*0.54-5</f>
        <v>106.72226208839457</v>
      </c>
      <c r="AK11" s="501">
        <f>(EXP(0.15*LN(Household!AK2/Household!AJ2)+0.38*LN(Assumptions!AK20/100*Assumptions!AK19/Assumptions!AJ19))*100)*0.54-5</f>
        <v>106.61750488929165</v>
      </c>
      <c r="AL11" s="501">
        <f>(EXP(0.15*LN(Household!AL2/Household!AK2)+0.38*LN(Assumptions!AL20/100*Assumptions!AL19/Assumptions!AK19))*100)*0.54-5</f>
        <v>106.86485127616959</v>
      </c>
      <c r="AM11" s="501">
        <f>(EXP(0.15*LN(Household!AM2/Household!AL2)+0.38*LN(Assumptions!AM20/100*Assumptions!AM19/Assumptions!AL19))*100)*0.54-5</f>
        <v>106.66171432963893</v>
      </c>
      <c r="AN11" s="501">
        <f>(EXP(0.15*LN(Household!AN2/Household!AM2)+0.38*LN(Assumptions!AN20/100*Assumptions!AN19/Assumptions!AM19))*100)*0.54-5</f>
        <v>106.19936131981498</v>
      </c>
      <c r="AO11" s="501">
        <f>(EXP(0.15*LN(Household!AO2/Household!AN2)+0.38*LN(Assumptions!AO20/100*Assumptions!AO19/Assumptions!AN19))*100)*0.54-5</f>
        <v>106.39634546016909</v>
      </c>
      <c r="AP11" s="501">
        <f>(EXP(0.15*LN(Household!AP2/Household!AO2)+0.38*LN(Assumptions!AP20/100*Assumptions!AP19/Assumptions!AO19))*100)*0.54-5</f>
        <v>106.39634546016909</v>
      </c>
      <c r="AQ11" s="94"/>
      <c r="AR11" s="94"/>
      <c r="AV11" t="s">
        <v>992</v>
      </c>
    </row>
    <row r="12" spans="2:75" ht="18.75">
      <c r="B12" s="144" t="s">
        <v>514</v>
      </c>
      <c r="C12" t="s">
        <v>515</v>
      </c>
      <c r="D12" s="1139"/>
      <c r="E12" s="1139"/>
      <c r="F12" s="1139"/>
      <c r="G12" s="1136"/>
      <c r="H12" s="1136"/>
      <c r="I12" s="1136"/>
      <c r="J12" s="1136"/>
      <c r="K12" s="1136"/>
      <c r="L12" s="1137"/>
      <c r="M12" s="1137"/>
      <c r="N12" s="1137"/>
      <c r="O12" s="1140"/>
      <c r="P12" s="1140"/>
      <c r="Q12" s="1140">
        <v>135.31307752623408</v>
      </c>
      <c r="R12" s="1142">
        <v>138.53613242802368</v>
      </c>
      <c r="S12" s="1142">
        <v>104.31373390753376</v>
      </c>
      <c r="T12" s="1142">
        <v>99.137939624372038</v>
      </c>
      <c r="U12" s="1142">
        <v>96.932298075450788</v>
      </c>
      <c r="V12" s="94">
        <v>65.151167852709079</v>
      </c>
      <c r="W12" s="94">
        <v>106.85578823130024</v>
      </c>
      <c r="X12" s="94">
        <v>139.01115224658292</v>
      </c>
      <c r="Y12" s="94">
        <v>139.83458139914094</v>
      </c>
      <c r="Z12" s="94">
        <v>93.824573117869974</v>
      </c>
      <c r="AA12" s="94">
        <v>72.397314480235906</v>
      </c>
      <c r="AB12" s="94">
        <v>181.75036690430375</v>
      </c>
      <c r="AC12" s="94">
        <v>85</v>
      </c>
      <c r="AD12" s="94">
        <v>81.980014422504325</v>
      </c>
      <c r="AE12" s="691">
        <v>90.429199968377716</v>
      </c>
      <c r="AF12" s="691">
        <v>103.3</v>
      </c>
      <c r="AG12" s="94">
        <f>(Assumptions!AG6/Assumptions!AF6)*Assumptions!AG12/Assumptions!AF12*100</f>
        <v>91.918229727769742</v>
      </c>
      <c r="AH12" s="94">
        <f>(Assumptions!AH6/Assumptions!AG6)*Assumptions!AH12/Assumptions!AG12*100-10</f>
        <v>99.914004672652595</v>
      </c>
      <c r="AI12" s="94">
        <f>(Assumptions!AI6/Assumptions!AH6)*Assumptions!AI12/Assumptions!AH12*100-10</f>
        <v>117.66213980334022</v>
      </c>
      <c r="AJ12" s="94">
        <f>(Assumptions!AJ6/Assumptions!AI6)*Assumptions!AJ12/Assumptions!AI12*100-10</f>
        <v>91.966735217681446</v>
      </c>
      <c r="AK12" s="94">
        <f>(Assumptions!AK6/Assumptions!AJ6)*Assumptions!AK12/Assumptions!AJ12*100-10</f>
        <v>91.331027073759117</v>
      </c>
      <c r="AL12" s="94">
        <f>(Assumptions!AL6/Assumptions!AK6)*Assumptions!AL12/Assumptions!AK12*100-10</f>
        <v>92.837467958031638</v>
      </c>
      <c r="AM12" s="94">
        <f>(Assumptions!AM6/Assumptions!AL6)*Assumptions!AM12/Assumptions!AL12*100</f>
        <v>101.59889535809586</v>
      </c>
      <c r="AN12" s="94">
        <f>(Assumptions!AN6/Assumptions!AM6)*Assumptions!AN12/Assumptions!AM12*100</f>
        <v>98.827011704077776</v>
      </c>
      <c r="AO12" s="94">
        <f>(Assumptions!AO6/Assumptions!AN6)*Assumptions!AO12/Assumptions!AN12*100</f>
        <v>100</v>
      </c>
      <c r="AP12" s="94">
        <f>(Assumptions!AP6/Assumptions!AO6)*Assumptions!AP12/Assumptions!AO12*100-10</f>
        <v>90</v>
      </c>
      <c r="AQ12" s="94"/>
      <c r="AR12" s="94"/>
      <c r="AV12" t="s">
        <v>993</v>
      </c>
    </row>
    <row r="13" spans="2:75" ht="15.75">
      <c r="B13" s="144"/>
      <c r="D13" s="1139"/>
      <c r="E13" s="1139"/>
      <c r="F13" s="1139"/>
      <c r="G13" s="1136"/>
      <c r="H13" s="1136"/>
      <c r="I13" s="1136"/>
      <c r="J13" s="1136"/>
      <c r="K13" s="1136"/>
      <c r="L13" s="1137"/>
      <c r="M13" s="1137"/>
      <c r="N13" s="1137"/>
      <c r="O13" s="1137"/>
      <c r="P13" s="1137"/>
      <c r="Q13" s="1137"/>
      <c r="R13" s="1141"/>
      <c r="S13" s="571"/>
      <c r="T13" s="571"/>
      <c r="U13" s="571"/>
    </row>
    <row r="14" spans="2:75" ht="15.75">
      <c r="C14" s="146"/>
      <c r="D14" s="146"/>
      <c r="E14" s="146"/>
      <c r="F14" s="146"/>
      <c r="G14" s="146"/>
      <c r="H14" s="146"/>
      <c r="J14" s="146"/>
      <c r="K14" s="146"/>
      <c r="L14" s="146"/>
      <c r="M14" s="146"/>
      <c r="N14" s="146"/>
      <c r="O14" s="146"/>
      <c r="P14" s="146"/>
      <c r="Q14" s="146"/>
      <c r="R14" s="575"/>
      <c r="S14" s="575"/>
      <c r="T14" s="575"/>
      <c r="U14" s="575"/>
    </row>
    <row r="15" spans="2:75" ht="18.75">
      <c r="B15" s="144" t="s">
        <v>516</v>
      </c>
      <c r="C15" s="148" t="s">
        <v>517</v>
      </c>
      <c r="D15" s="146"/>
      <c r="E15" s="146"/>
      <c r="F15" s="146"/>
      <c r="G15" s="1143">
        <v>160.62781434678166</v>
      </c>
      <c r="H15" s="1143">
        <v>112.47905011763029</v>
      </c>
      <c r="I15" s="1143">
        <v>114.50566951061211</v>
      </c>
      <c r="J15" s="1143">
        <v>113.6526454751114</v>
      </c>
      <c r="K15" s="1143">
        <v>105.62006340585056</v>
      </c>
      <c r="L15" s="1143">
        <v>106.89378796987587</v>
      </c>
      <c r="M15" s="503">
        <v>111.9</v>
      </c>
      <c r="N15" s="503">
        <v>121.5</v>
      </c>
      <c r="O15" s="503">
        <v>120.4</v>
      </c>
      <c r="P15" s="151">
        <v>106.4</v>
      </c>
      <c r="Q15" s="151">
        <v>106.5</v>
      </c>
      <c r="R15" s="502">
        <v>112.5</v>
      </c>
      <c r="S15" s="502">
        <v>105.8</v>
      </c>
      <c r="T15" s="502">
        <v>103.7</v>
      </c>
      <c r="U15" s="1145">
        <v>107.4</v>
      </c>
      <c r="V15" s="502">
        <v>105.1</v>
      </c>
      <c r="W15" s="503">
        <v>106.1</v>
      </c>
      <c r="X15" s="503">
        <f t="shared" ref="X15" si="19">(X17*(W31+W32)+X18*(W33+W34)+X19*W35)/100</f>
        <v>106.7411</v>
      </c>
      <c r="Y15" s="504">
        <f>(Y17*(X31+X32)+Y18*(X33+X34)+Y19*X35)/100</f>
        <v>105.37888685927308</v>
      </c>
      <c r="Z15" s="504">
        <v>108</v>
      </c>
      <c r="AA15" s="504">
        <v>109.4</v>
      </c>
      <c r="AB15" s="504">
        <v>108</v>
      </c>
      <c r="AC15" s="504">
        <v>104.2</v>
      </c>
      <c r="AD15" s="504">
        <v>103.8</v>
      </c>
      <c r="AE15" s="505">
        <v>103.6</v>
      </c>
      <c r="AF15" s="505">
        <v>103.5</v>
      </c>
      <c r="AG15" s="505">
        <f>(AG17*(AF31+AF32)+AG18*(AF33+AF34)+AG19*AF35)/100</f>
        <v>102.41615783032842</v>
      </c>
      <c r="AH15" s="505">
        <f t="shared" ref="AH15:AP15" si="20">(AH17*(AG31+AG32)+AH18*(AG33+AG34)+AH19*AG35)/100</f>
        <v>104.26809893578867</v>
      </c>
      <c r="AI15" s="505">
        <f t="shared" si="20"/>
        <v>104.80070002414024</v>
      </c>
      <c r="AJ15" s="505">
        <f t="shared" si="20"/>
        <v>104.1809609368155</v>
      </c>
      <c r="AK15" s="505">
        <f>(AK17*(AJ31+AJ32)+AK18*(AJ33+AJ34)+AK19*AJ35)/100</f>
        <v>103.90637291476378</v>
      </c>
      <c r="AL15" s="505">
        <f>(AL17*(AK31+AK32)+AL18*(AK33+AK34)+AL19*AK35)/100</f>
        <v>105.03247240189455</v>
      </c>
      <c r="AM15" s="505">
        <f t="shared" si="20"/>
        <v>104.72672897287403</v>
      </c>
      <c r="AN15" s="505">
        <f t="shared" si="20"/>
        <v>104.57101867456707</v>
      </c>
      <c r="AO15" s="505">
        <f t="shared" si="20"/>
        <v>104.69616681622347</v>
      </c>
      <c r="AP15" s="505">
        <f t="shared" si="20"/>
        <v>104.91717480500677</v>
      </c>
      <c r="AQ15" s="505"/>
      <c r="AR15" s="505" t="s">
        <v>1093</v>
      </c>
      <c r="AV15" t="s">
        <v>994</v>
      </c>
    </row>
    <row r="16" spans="2:75" ht="18.75">
      <c r="B16" s="144" t="s">
        <v>518</v>
      </c>
      <c r="C16" s="146" t="s">
        <v>519</v>
      </c>
      <c r="D16" s="1139"/>
      <c r="E16" s="1139"/>
      <c r="F16" s="1139"/>
      <c r="G16" s="1143">
        <v>162.40033140189027</v>
      </c>
      <c r="H16" s="1143">
        <v>113.13837750939453</v>
      </c>
      <c r="I16" s="1143">
        <v>114.84723987213401</v>
      </c>
      <c r="J16" s="1143">
        <v>109.71804553736584</v>
      </c>
      <c r="K16" s="1143">
        <v>104.98325786733443</v>
      </c>
      <c r="L16" s="1143">
        <v>106.87738182246498</v>
      </c>
      <c r="M16" s="1143">
        <v>112.01989248399204</v>
      </c>
      <c r="N16" s="1143">
        <v>120.36332595853037</v>
      </c>
      <c r="O16" s="1143">
        <v>110.42458254313217</v>
      </c>
      <c r="P16" s="94">
        <v>104.27543359094702</v>
      </c>
      <c r="Q16" s="94">
        <v>111.3326514980389</v>
      </c>
      <c r="R16" s="571">
        <v>108.76527621195038</v>
      </c>
      <c r="S16" s="1148">
        <v>105.9375</v>
      </c>
      <c r="T16" s="1148">
        <v>104.16221198156683</v>
      </c>
      <c r="U16" s="1149">
        <v>107.6162481571394</v>
      </c>
      <c r="V16" s="506">
        <v>106.2</v>
      </c>
      <c r="W16" s="151">
        <v>106.4</v>
      </c>
      <c r="X16" s="152">
        <f>((W31+W32)*X17+(W33+W34)*X18)/SUM(W31:W34)</f>
        <v>106.47261219792865</v>
      </c>
      <c r="Y16" s="152">
        <f>((X31+X32)*Y17+(X33+X34)*Y18)/SUM(X31:X34)</f>
        <v>105.45069833240451</v>
      </c>
      <c r="Z16" s="152">
        <v>108.5</v>
      </c>
      <c r="AA16" s="152">
        <v>110.4</v>
      </c>
      <c r="AB16" s="152">
        <v>107.4</v>
      </c>
      <c r="AC16" s="152">
        <v>104.7</v>
      </c>
      <c r="AD16" s="152">
        <v>104.6</v>
      </c>
      <c r="AE16" s="716">
        <f>((AD31+AD32)*AE17+(AD33+AD34)*AE18)/SUM(AD31:AD34)</f>
        <v>103.30155504075118</v>
      </c>
      <c r="AF16" s="507">
        <f>((AE31+AE32)*AF17+(AE33+AE34)*AF18)/SUM(AE31:AE34)</f>
        <v>103.58092129300395</v>
      </c>
      <c r="AG16" s="507">
        <f t="shared" ref="AG16:AJ16" si="21">((AF31+AF32)*AG17+(AF33+AF34)*AG18)/SUM(AF31:AF34)</f>
        <v>102.74688321947276</v>
      </c>
      <c r="AH16" s="507">
        <f t="shared" si="21"/>
        <v>104.66237408237699</v>
      </c>
      <c r="AI16" s="507">
        <f t="shared" si="21"/>
        <v>105.23009103896948</v>
      </c>
      <c r="AJ16" s="507">
        <f t="shared" si="21"/>
        <v>104.53617415269929</v>
      </c>
      <c r="AK16" s="507">
        <f t="shared" ref="AK16" si="22">((AJ31+AJ32)*AK17+(AJ33+AJ34)*AK18)/SUM(AJ31:AJ34)</f>
        <v>104.17710370113605</v>
      </c>
      <c r="AL16" s="507">
        <f t="shared" ref="AL16" si="23">((AK31+AK32)*AL17+(AK33+AK34)*AL18)/SUM(AK31:AK34)</f>
        <v>105.33484131277821</v>
      </c>
      <c r="AM16" s="507">
        <f t="shared" ref="AM16" si="24">((AL31+AL32)*AM17+(AL33+AL34)*AM18)/SUM(AL31:AL34)</f>
        <v>105.03702240920612</v>
      </c>
      <c r="AN16" s="507">
        <f t="shared" ref="AN16" si="25">((AM31+AM32)*AN17+(AM33+AM34)*AN18)/SUM(AM31:AM34)</f>
        <v>104.76787933440467</v>
      </c>
      <c r="AO16" s="507">
        <f t="shared" ref="AO16" si="26">((AN31+AN32)*AO17+(AN33+AN34)*AO18)/SUM(AN31:AN34)</f>
        <v>104.90822506415918</v>
      </c>
      <c r="AP16" s="507">
        <f t="shared" ref="AP16" si="27">((AO31+AO32)*AP17+(AO33+AO34)*AP18)/SUM(AO31:AO34)</f>
        <v>105.14235799172022</v>
      </c>
      <c r="AQ16" s="507"/>
      <c r="AR16" s="507"/>
      <c r="AV16" t="s">
        <v>995</v>
      </c>
    </row>
    <row r="17" spans="2:48" ht="18">
      <c r="B17" s="144" t="s">
        <v>520</v>
      </c>
      <c r="C17" t="s">
        <v>521</v>
      </c>
      <c r="D17" s="1139"/>
      <c r="E17" s="1139"/>
      <c r="F17" s="1139"/>
      <c r="G17" s="94">
        <v>166.44893995183978</v>
      </c>
      <c r="H17" s="94">
        <v>113.74631430434347</v>
      </c>
      <c r="I17" s="94">
        <v>117.17064584361371</v>
      </c>
      <c r="J17" s="94">
        <v>109.98828455927486</v>
      </c>
      <c r="K17" s="94">
        <v>104.54389787075907</v>
      </c>
      <c r="L17" s="94">
        <v>108.34996648400279</v>
      </c>
      <c r="M17" s="94">
        <v>114.20553499977952</v>
      </c>
      <c r="N17" s="94">
        <v>125.80577978839199</v>
      </c>
      <c r="O17" s="94">
        <v>112.92913910793513</v>
      </c>
      <c r="P17" s="94">
        <v>102.92826787142512</v>
      </c>
      <c r="Q17" s="94">
        <v>113.98338427221167</v>
      </c>
      <c r="R17" s="1150">
        <v>110</v>
      </c>
      <c r="S17" s="1147">
        <v>105.6</v>
      </c>
      <c r="T17" s="1147">
        <v>103.2</v>
      </c>
      <c r="U17" s="1145">
        <v>109.7</v>
      </c>
      <c r="V17">
        <v>104.3</v>
      </c>
      <c r="W17">
        <v>106.8</v>
      </c>
      <c r="X17">
        <v>107.5</v>
      </c>
      <c r="Y17">
        <v>105</v>
      </c>
      <c r="Z17">
        <v>110.9</v>
      </c>
      <c r="AA17">
        <v>113</v>
      </c>
      <c r="AB17">
        <v>107.3</v>
      </c>
      <c r="AC17">
        <v>105.2</v>
      </c>
      <c r="AD17">
        <v>103.4</v>
      </c>
      <c r="AE17" s="691">
        <v>103</v>
      </c>
      <c r="AF17" s="691">
        <v>104.5</v>
      </c>
      <c r="AG17" s="718">
        <v>105.95005252891333</v>
      </c>
      <c r="AH17" s="718">
        <v>105.76812053926189</v>
      </c>
      <c r="AI17" s="718">
        <v>105.93756273216974</v>
      </c>
      <c r="AJ17" s="778">
        <v>105.38385701958872</v>
      </c>
      <c r="AK17" s="778">
        <v>105.19697777393698</v>
      </c>
      <c r="AL17" s="778">
        <v>106.53136707413974</v>
      </c>
      <c r="AM17" s="778">
        <v>105.9875437991155</v>
      </c>
      <c r="AN17" s="778">
        <v>106.21656100352696</v>
      </c>
      <c r="AO17" s="778">
        <v>106.4396267959571</v>
      </c>
      <c r="AP17" s="778">
        <v>106.65723847927484</v>
      </c>
      <c r="AQ17" s="580"/>
      <c r="AR17" s="580"/>
    </row>
    <row r="18" spans="2:48" ht="18.75">
      <c r="B18" s="144" t="s">
        <v>522</v>
      </c>
      <c r="C18" t="s">
        <v>523</v>
      </c>
      <c r="D18" s="1139"/>
      <c r="E18" s="1139"/>
      <c r="F18" s="1139"/>
      <c r="G18" s="94">
        <v>144.32963717616136</v>
      </c>
      <c r="H18" s="94">
        <v>110.40932811220212</v>
      </c>
      <c r="I18" s="94">
        <v>106.37189918288293</v>
      </c>
      <c r="J18" s="94">
        <v>108.29350265197286</v>
      </c>
      <c r="K18" s="94">
        <v>106.23911112437364</v>
      </c>
      <c r="L18" s="94">
        <v>102.73170875392567</v>
      </c>
      <c r="M18" s="151">
        <v>103.8</v>
      </c>
      <c r="N18" s="151">
        <v>110.3</v>
      </c>
      <c r="O18" s="151">
        <v>107.7</v>
      </c>
      <c r="P18" s="151">
        <v>105.2</v>
      </c>
      <c r="Q18" s="151">
        <v>106.6</v>
      </c>
      <c r="R18" s="151">
        <v>106.3</v>
      </c>
      <c r="S18" s="151">
        <v>106.7</v>
      </c>
      <c r="T18" s="151">
        <v>106.1</v>
      </c>
      <c r="U18" s="1146">
        <v>102.9</v>
      </c>
      <c r="V18">
        <v>107.8</v>
      </c>
      <c r="W18">
        <v>105.7</v>
      </c>
      <c r="X18">
        <v>104.4</v>
      </c>
      <c r="Y18">
        <v>106.4</v>
      </c>
      <c r="Z18">
        <v>104.2</v>
      </c>
      <c r="AA18">
        <v>105.8</v>
      </c>
      <c r="AB18">
        <v>107.5</v>
      </c>
      <c r="AC18">
        <v>104</v>
      </c>
      <c r="AD18">
        <v>106.6</v>
      </c>
      <c r="AE18" s="691">
        <v>104</v>
      </c>
      <c r="AF18" s="691">
        <v>101.5</v>
      </c>
      <c r="AG18" s="510">
        <v>95.410272673082076</v>
      </c>
      <c r="AH18" s="510">
        <v>101.83594244373846</v>
      </c>
      <c r="AI18" s="510">
        <v>103.33884055585457</v>
      </c>
      <c r="AJ18" s="510">
        <v>102.17762769176343</v>
      </c>
      <c r="AK18" s="510">
        <v>101.29721166654382</v>
      </c>
      <c r="AL18" s="510">
        <v>101.85634202963466</v>
      </c>
      <c r="AM18" s="510">
        <v>102.22015348734965</v>
      </c>
      <c r="AN18" s="510">
        <v>100.34620566056664</v>
      </c>
      <c r="AO18" s="510">
        <v>100.9918411147174</v>
      </c>
      <c r="AP18" s="510">
        <v>101.18386145281762</v>
      </c>
      <c r="AQ18" s="96"/>
      <c r="AR18" s="96"/>
      <c r="AV18" t="s">
        <v>996</v>
      </c>
    </row>
    <row r="19" spans="2:48" ht="18.75">
      <c r="B19" s="144" t="s">
        <v>524</v>
      </c>
      <c r="C19" t="s">
        <v>525</v>
      </c>
      <c r="D19" s="1139"/>
      <c r="E19" s="1139"/>
      <c r="F19" s="1139"/>
      <c r="G19" s="94">
        <v>133.89612811944255</v>
      </c>
      <c r="H19" s="94">
        <v>103.24598450776519</v>
      </c>
      <c r="I19" s="94">
        <v>110.11446921516811</v>
      </c>
      <c r="J19" s="94">
        <v>153.19419249622626</v>
      </c>
      <c r="K19" s="94">
        <v>111.29386281558536</v>
      </c>
      <c r="L19" s="94">
        <v>109.19285596549089</v>
      </c>
      <c r="M19" s="152">
        <v>118.6</v>
      </c>
      <c r="N19" s="152">
        <v>127.1</v>
      </c>
      <c r="O19" s="152">
        <v>120.5</v>
      </c>
      <c r="P19" s="152">
        <v>114.5</v>
      </c>
      <c r="Q19" s="152">
        <v>108.8</v>
      </c>
      <c r="R19" s="152">
        <v>106.2</v>
      </c>
      <c r="S19" s="152">
        <v>109.6</v>
      </c>
      <c r="T19" s="152">
        <v>100.8</v>
      </c>
      <c r="U19" s="1146">
        <v>106.5</v>
      </c>
      <c r="V19">
        <v>102.3</v>
      </c>
      <c r="W19">
        <v>104.5</v>
      </c>
      <c r="X19">
        <v>107.7</v>
      </c>
      <c r="Y19">
        <v>104.9</v>
      </c>
      <c r="Z19">
        <v>105.5</v>
      </c>
      <c r="AA19">
        <v>104</v>
      </c>
      <c r="AB19">
        <v>111.3</v>
      </c>
      <c r="AC19">
        <v>101.9</v>
      </c>
      <c r="AD19">
        <v>101.2</v>
      </c>
      <c r="AE19" s="717">
        <v>104.8</v>
      </c>
      <c r="AF19" s="508">
        <v>105.7</v>
      </c>
      <c r="AG19" s="508">
        <v>100</v>
      </c>
      <c r="AH19" s="508">
        <v>100</v>
      </c>
      <c r="AI19" s="508">
        <v>100</v>
      </c>
      <c r="AJ19" s="508">
        <v>100</v>
      </c>
      <c r="AK19" s="508">
        <v>100</v>
      </c>
      <c r="AL19" s="508">
        <v>100</v>
      </c>
      <c r="AM19" s="508">
        <v>100</v>
      </c>
      <c r="AN19" s="508">
        <v>100</v>
      </c>
      <c r="AO19" s="508">
        <v>100</v>
      </c>
      <c r="AP19" s="508">
        <v>100</v>
      </c>
      <c r="AQ19" s="507"/>
      <c r="AR19" s="507"/>
      <c r="AV19" t="s">
        <v>997</v>
      </c>
    </row>
    <row r="20" spans="2:48" ht="18">
      <c r="B20" s="509" t="s">
        <v>1003</v>
      </c>
      <c r="C20" s="85" t="s">
        <v>523</v>
      </c>
      <c r="D20" s="1139"/>
      <c r="E20" s="1139"/>
      <c r="F20" s="1139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1144"/>
      <c r="S20" s="1144"/>
      <c r="T20" s="1144"/>
      <c r="U20" s="1144"/>
      <c r="AG20" s="583">
        <f>((Household!AG2/Household!AF2)^0.42*(Household!AG33/Household!AF33)^0.2*AF33*100+AF34*AG12)/(AF33+AF34)</f>
        <v>96.401976965370551</v>
      </c>
      <c r="AH20" s="583">
        <f>((Household!AH2/Household!AG2)^0.42*(Household!AH33/Household!AG33)^0.2*AG33*100+AG34*AH12)/(AG33+AG34)</f>
        <v>101.27437714770166</v>
      </c>
      <c r="AI20" s="583">
        <f>((Household!AI2/Household!AH2)^0.42*(Household!AI33/Household!AH33)^0.2*AH33*100+AH34*AI12)/(AH33+AH34)</f>
        <v>103.09131237008935</v>
      </c>
      <c r="AJ20" s="583">
        <f>((Household!AJ2/Household!AI2)^0.42*(Household!AJ33/Household!AI33)^0.2*AI33*100+AI34*AJ12)/(AI33+AI34)</f>
        <v>101.84783640005628</v>
      </c>
      <c r="AK20" s="583">
        <f>((Household!AK2/Household!AJ2)^0.42*(Household!AK33/Household!AJ33)^0.2*AJ33*100+AJ34*AK12)/(AJ33+AJ34)</f>
        <v>101.74092969612417</v>
      </c>
      <c r="AL20" s="583">
        <f>((Household!AL2/Household!AK2)^0.42*(Household!AL33/Household!AK33)^0.2*AK33*100+AK34*AL12)/(AK33+AK34)</f>
        <v>102.20597185520529</v>
      </c>
      <c r="AM20" s="583">
        <f>((Household!AM2/Household!AL2)^0.42*(Household!AM33/Household!AL33)^0.2*AL33*100+AL34*AM12)/(AL33+AL34)</f>
        <v>103.50222959631144</v>
      </c>
      <c r="AN20" s="583">
        <f>((Household!AN2/Household!AM2)^0.42*(Household!AN33/Household!AM33)^0.2*AM33*100+AM34*AN12)/(AM33+AM34)</f>
        <v>98.553102508844148</v>
      </c>
      <c r="AO20" s="583">
        <f>((Household!AO2/Household!AN2)^0.42*(Household!AO33/Household!AN33)^0.2*AN33*100+AN34*AO12)/(AN33+AN34)</f>
        <v>101.35422202895332</v>
      </c>
      <c r="AP20" s="583">
        <f>((Household!AP2/Household!AO2)^0.42*(Household!AP33/Household!AO33)^0.2*AO33*100+AO34*AP12)/(AO33+AO34)</f>
        <v>101.03610565554763</v>
      </c>
      <c r="AQ20" s="85"/>
      <c r="AR20" s="85"/>
    </row>
    <row r="21" spans="2:48" ht="15.75">
      <c r="B21" s="775" t="s">
        <v>526</v>
      </c>
      <c r="D21" s="1139"/>
      <c r="E21" s="1139"/>
      <c r="F21" s="1139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1144"/>
      <c r="S21" s="1144"/>
      <c r="T21" s="1144"/>
      <c r="U21" s="1144"/>
      <c r="AB21" s="281">
        <v>8.6999999999999993</v>
      </c>
      <c r="AC21" s="281">
        <v>7.5</v>
      </c>
      <c r="AD21" s="281">
        <v>7.1</v>
      </c>
      <c r="AE21" s="776">
        <v>6.8</v>
      </c>
      <c r="AF21" s="777">
        <v>5</v>
      </c>
      <c r="AG21" s="777">
        <v>5</v>
      </c>
      <c r="AH21" s="777">
        <v>5</v>
      </c>
      <c r="AI21" s="777">
        <v>5</v>
      </c>
      <c r="AJ21" s="646"/>
      <c r="AK21" s="646"/>
      <c r="AL21" s="646"/>
      <c r="AM21" s="646"/>
      <c r="AN21" s="646"/>
      <c r="AO21" s="646"/>
      <c r="AP21" s="646"/>
    </row>
    <row r="22" spans="2:48" ht="15.75">
      <c r="B22" s="144"/>
      <c r="D22" s="1139"/>
      <c r="E22" s="1139"/>
      <c r="F22" s="1139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144"/>
      <c r="S22" s="1144"/>
      <c r="T22" s="1144"/>
      <c r="U22" s="1144"/>
    </row>
    <row r="24" spans="2:48" ht="15.75">
      <c r="C24" s="149" t="s">
        <v>527</v>
      </c>
      <c r="D24" s="146"/>
      <c r="E24" s="146"/>
      <c r="F24" s="146"/>
      <c r="H24" s="94">
        <v>141.79331272187082</v>
      </c>
      <c r="I24" s="94">
        <v>112.23532618541452</v>
      </c>
      <c r="J24" s="94">
        <v>116.34790379698252</v>
      </c>
      <c r="K24" s="94">
        <v>107.17555880100979</v>
      </c>
      <c r="L24" s="94">
        <v>107.09693609348041</v>
      </c>
      <c r="M24" s="94">
        <v>109.9610700602409</v>
      </c>
      <c r="N24" s="94">
        <v>113.0660577213602</v>
      </c>
      <c r="O24" s="94">
        <v>120.66751797422421</v>
      </c>
      <c r="P24" s="94">
        <v>107.50724971430361</v>
      </c>
      <c r="Q24" s="94">
        <v>106.87592468960663</v>
      </c>
    </row>
    <row r="25" spans="2:48" ht="15.75">
      <c r="C25" t="s">
        <v>528</v>
      </c>
      <c r="D25" s="1139"/>
      <c r="E25" s="1139"/>
      <c r="F25" s="1139"/>
      <c r="H25" s="94">
        <v>142.92070346954318</v>
      </c>
      <c r="I25" s="94">
        <v>112.65397879956684</v>
      </c>
      <c r="J25" s="94">
        <v>113.88207082159094</v>
      </c>
      <c r="K25" s="94">
        <v>105.57749844699555</v>
      </c>
      <c r="L25" s="94">
        <v>106.86091191844973</v>
      </c>
      <c r="M25" s="94">
        <v>109.10879066183617</v>
      </c>
      <c r="N25" s="94">
        <v>112.42506667946871</v>
      </c>
      <c r="O25" s="94">
        <v>120.7660132408818</v>
      </c>
      <c r="P25" s="94">
        <v>105.75935604643439</v>
      </c>
      <c r="Q25" s="94">
        <v>106.58720006813432</v>
      </c>
    </row>
    <row r="26" spans="2:48" ht="15.75">
      <c r="C26" t="s">
        <v>521</v>
      </c>
      <c r="D26" s="1139"/>
      <c r="E26" s="1139"/>
      <c r="F26" s="1139"/>
      <c r="H26" s="94">
        <v>145.5433409638222</v>
      </c>
      <c r="I26" s="94">
        <v>113.66687573798787</v>
      </c>
      <c r="J26" s="94">
        <v>115.24602847680914</v>
      </c>
      <c r="K26" s="94">
        <v>105.07478827974886</v>
      </c>
      <c r="L26" s="94">
        <v>107.93194825017946</v>
      </c>
      <c r="M26" s="94">
        <v>111.1076902270852</v>
      </c>
      <c r="N26" s="94">
        <v>114.89171816092012</v>
      </c>
      <c r="O26" s="94">
        <v>126.41568637736698</v>
      </c>
      <c r="P26" s="94">
        <v>105.92589494535868</v>
      </c>
      <c r="Q26" s="94">
        <v>106.38601479393706</v>
      </c>
    </row>
    <row r="27" spans="2:48" ht="15.75">
      <c r="C27" t="s">
        <v>523</v>
      </c>
      <c r="D27" s="1139"/>
      <c r="E27" s="1139"/>
      <c r="F27" s="1139"/>
      <c r="H27" s="94">
        <v>131.79551811469392</v>
      </c>
      <c r="I27" s="94">
        <v>109.23564354105419</v>
      </c>
      <c r="J27" s="94">
        <v>108.0920271605026</v>
      </c>
      <c r="K27" s="94">
        <v>107.42871415996002</v>
      </c>
      <c r="L27" s="94">
        <v>103.84767064606983</v>
      </c>
      <c r="M27" s="94">
        <v>102.99129693138268</v>
      </c>
      <c r="N27" s="94">
        <v>106.39448578676591</v>
      </c>
      <c r="O27" s="94">
        <v>107.82213624440915</v>
      </c>
      <c r="P27" s="94">
        <v>105.49486574048528</v>
      </c>
      <c r="Q27" s="94">
        <v>106.91057600591726</v>
      </c>
    </row>
    <row r="28" spans="2:48" ht="15.75">
      <c r="C28" t="s">
        <v>529</v>
      </c>
      <c r="D28" s="1139"/>
      <c r="E28" s="1139"/>
      <c r="F28" s="1139"/>
      <c r="H28" s="94">
        <v>125.23283398734257</v>
      </c>
      <c r="I28" s="94">
        <v>106.41584909598693</v>
      </c>
      <c r="J28" s="94">
        <v>140.76103587091572</v>
      </c>
      <c r="K28" s="94">
        <v>119.89111632737485</v>
      </c>
      <c r="L28" s="94">
        <v>110.69988887755302</v>
      </c>
      <c r="M28" s="94">
        <v>118.7380129730472</v>
      </c>
      <c r="N28" s="94">
        <v>117.92030126670579</v>
      </c>
      <c r="O28" s="94">
        <v>120.53743926164624</v>
      </c>
      <c r="P28" s="94">
        <v>119.77754082076332</v>
      </c>
      <c r="Q28" s="94">
        <v>109.77990496762948</v>
      </c>
    </row>
    <row r="30" spans="2:48" ht="15.75">
      <c r="B30" s="144"/>
      <c r="C30" s="149" t="s">
        <v>530</v>
      </c>
      <c r="D30" s="146"/>
      <c r="E30" s="146"/>
      <c r="F30" s="146"/>
      <c r="K30" s="94"/>
      <c r="L30" s="94"/>
      <c r="M30" s="94"/>
      <c r="P30" s="94"/>
      <c r="Q30" s="94"/>
      <c r="R30" s="94"/>
      <c r="S30" s="94"/>
      <c r="T30" s="94"/>
      <c r="U30" s="94"/>
    </row>
    <row r="31" spans="2:48" ht="18.75">
      <c r="B31" s="144" t="s">
        <v>531</v>
      </c>
      <c r="C31" t="s">
        <v>511</v>
      </c>
      <c r="D31" s="1139"/>
      <c r="E31">
        <v>67.699999999999989</v>
      </c>
      <c r="F31">
        <v>73.800000000000011</v>
      </c>
      <c r="G31">
        <v>60.199999999999996</v>
      </c>
      <c r="H31">
        <v>66</v>
      </c>
      <c r="I31">
        <v>62.800000000000004</v>
      </c>
      <c r="J31">
        <v>59.7</v>
      </c>
      <c r="K31" s="151">
        <v>57</v>
      </c>
      <c r="L31" s="1151">
        <v>55.199999999999996</v>
      </c>
      <c r="M31" s="1151">
        <v>46.4</v>
      </c>
      <c r="N31" s="1151">
        <v>48.599999999999994</v>
      </c>
      <c r="O31" s="1151">
        <v>49</v>
      </c>
      <c r="P31" s="1151">
        <v>49.8</v>
      </c>
      <c r="Q31" s="1151">
        <v>48.599999999999994</v>
      </c>
      <c r="R31" s="151">
        <v>49.6</v>
      </c>
      <c r="S31" s="151">
        <v>47</v>
      </c>
      <c r="T31" s="151">
        <v>49.7</v>
      </c>
      <c r="U31" s="151">
        <v>50.7</v>
      </c>
      <c r="V31" s="151">
        <v>51.7</v>
      </c>
      <c r="W31" s="151">
        <v>47.1</v>
      </c>
      <c r="X31" s="152">
        <f>100-X32-X33-X34-X35</f>
        <v>41.267043001634988</v>
      </c>
      <c r="Y31" s="152">
        <f t="shared" ref="Y31:AP31" si="28">100-Y32-Y33-Y34-Y35</f>
        <v>27.551925357703922</v>
      </c>
      <c r="Z31" s="514">
        <f>100-Z32-Z33-Z34-Z35</f>
        <v>31.193041187350232</v>
      </c>
      <c r="AA31" s="152">
        <f t="shared" si="28"/>
        <v>34.820208371425295</v>
      </c>
      <c r="AB31" s="152">
        <f t="shared" si="28"/>
        <v>37.53769760151971</v>
      </c>
      <c r="AC31" s="152">
        <f t="shared" si="28"/>
        <v>40.577710806158095</v>
      </c>
      <c r="AD31" s="152">
        <f t="shared" si="28"/>
        <v>40.251092108772482</v>
      </c>
      <c r="AE31" s="152">
        <f>100-AE32-AE33-AE34-AE35</f>
        <v>40.215450552692126</v>
      </c>
      <c r="AF31" s="152">
        <f>100-AF32-AF33-AF34-AF35</f>
        <v>39.538682786894093</v>
      </c>
      <c r="AG31" s="152">
        <f t="shared" si="28"/>
        <v>43.257441252907086</v>
      </c>
      <c r="AH31" s="152">
        <f t="shared" si="28"/>
        <v>43.277540205669524</v>
      </c>
      <c r="AI31" s="152">
        <f t="shared" si="28"/>
        <v>43.538032524008429</v>
      </c>
      <c r="AJ31" s="152">
        <f>100-AJ32-AJ33-AJ34-AJ35</f>
        <v>44.140603896801593</v>
      </c>
      <c r="AK31" s="152">
        <f t="shared" si="28"/>
        <v>44.655667728074512</v>
      </c>
      <c r="AL31" s="152">
        <f t="shared" si="28"/>
        <v>44.034543543107638</v>
      </c>
      <c r="AM31" s="152">
        <f t="shared" si="28"/>
        <v>45.526825582985282</v>
      </c>
      <c r="AN31" s="152">
        <f t="shared" si="28"/>
        <v>41.577530480099789</v>
      </c>
      <c r="AO31" s="152">
        <f t="shared" si="28"/>
        <v>41.267689112936459</v>
      </c>
      <c r="AP31" s="152">
        <f t="shared" si="28"/>
        <v>40.855300899190318</v>
      </c>
      <c r="AQ31" s="152"/>
      <c r="AR31" s="581" t="s">
        <v>1094</v>
      </c>
      <c r="AS31" s="131"/>
      <c r="AT31" s="131"/>
      <c r="AV31" t="s">
        <v>998</v>
      </c>
    </row>
    <row r="32" spans="2:48" ht="18.75">
      <c r="B32" s="144" t="s">
        <v>532</v>
      </c>
      <c r="C32" t="s">
        <v>513</v>
      </c>
      <c r="D32" s="1139"/>
      <c r="E32">
        <v>12.2</v>
      </c>
      <c r="F32">
        <v>13.8</v>
      </c>
      <c r="G32">
        <v>26.5</v>
      </c>
      <c r="H32">
        <v>18.3</v>
      </c>
      <c r="I32">
        <v>18.100000000000001</v>
      </c>
      <c r="J32">
        <v>15.8</v>
      </c>
      <c r="K32" s="1151">
        <v>11</v>
      </c>
      <c r="L32" s="1151">
        <v>17.2</v>
      </c>
      <c r="M32" s="1151">
        <v>11.7</v>
      </c>
      <c r="N32" s="1151">
        <v>10</v>
      </c>
      <c r="O32" s="1151">
        <v>9.9</v>
      </c>
      <c r="P32" s="1151">
        <v>10.5</v>
      </c>
      <c r="Q32" s="1151">
        <v>10.5</v>
      </c>
      <c r="R32" s="151">
        <v>11.4</v>
      </c>
      <c r="S32" s="151">
        <v>11</v>
      </c>
      <c r="T32" s="151">
        <v>11.410299999999999</v>
      </c>
      <c r="U32" s="151">
        <v>10.410299999999999</v>
      </c>
      <c r="V32" s="151">
        <f>61.1103-V31</f>
        <v>9.4102999999999994</v>
      </c>
      <c r="W32" s="151">
        <v>11</v>
      </c>
      <c r="X32" s="152">
        <f>(W32*X11/100)/(X3/100)</f>
        <v>17.698101453164647</v>
      </c>
      <c r="Y32" s="152">
        <f t="shared" ref="Y32:AD32" si="29">(X32*Y11/100)/(Y3/100)</f>
        <v>30.73132124823573</v>
      </c>
      <c r="Z32" s="514">
        <f>(Y32*Z11/100)/(Z3/100)</f>
        <v>28.481298654528018</v>
      </c>
      <c r="AA32" s="152">
        <f t="shared" si="29"/>
        <v>26.225873530872949</v>
      </c>
      <c r="AB32" s="152">
        <f t="shared" si="29"/>
        <v>24.060434431993528</v>
      </c>
      <c r="AC32" s="152">
        <f>(AB32*AC11/100)/(AC3/100)</f>
        <v>21.232534871497577</v>
      </c>
      <c r="AD32" s="152">
        <f t="shared" si="29"/>
        <v>21.375859600620515</v>
      </c>
      <c r="AE32" s="152">
        <f>(AD32*AE11/100)/(AE3/100)</f>
        <v>20.900840498384504</v>
      </c>
      <c r="AF32" s="152">
        <f>(AE32*AF11/100)/(AF3/100)</f>
        <v>21.689170072308098</v>
      </c>
      <c r="AG32" s="152">
        <f t="shared" ref="AG32:AI32" si="30">(AF32*AG11/100)/(AG3/100)</f>
        <v>22.543585192287189</v>
      </c>
      <c r="AH32" s="152">
        <f t="shared" si="30"/>
        <v>23.523699219314555</v>
      </c>
      <c r="AI32" s="152">
        <f t="shared" si="30"/>
        <v>24.262990020215259</v>
      </c>
      <c r="AJ32" s="152">
        <f>(AI32*AJ11/100)/(AJ3/100)</f>
        <v>24.920909147472347</v>
      </c>
      <c r="AK32" s="152">
        <f t="shared" ref="AK32" si="31">(AJ32*AK11/100)/(AK3/100)</f>
        <v>25.53314119245081</v>
      </c>
      <c r="AL32" s="152">
        <f t="shared" ref="AL32" si="32">(AK32*AL11/100)/(AL3/100)</f>
        <v>26.129214073346787</v>
      </c>
      <c r="AM32" s="152">
        <f t="shared" ref="AM32" si="33">(AL32*AM11/100)/(AM3/100)</f>
        <v>26.685284746814261</v>
      </c>
      <c r="AN32" s="152">
        <f t="shared" ref="AN32" si="34">(AM32*AN11/100)/(AN3/100)</f>
        <v>27.205973306076046</v>
      </c>
      <c r="AO32" s="152">
        <f t="shared" ref="AO32" si="35">(AN32*AO11/100)/(AO3/100)</f>
        <v>27.88805281246832</v>
      </c>
      <c r="AP32" s="152">
        <f t="shared" ref="AP32" si="36">(AO32*AP11/100)/(AP3/100)</f>
        <v>28.512645564953374</v>
      </c>
      <c r="AQ32" s="152"/>
      <c r="AR32" s="581" t="s">
        <v>1095</v>
      </c>
      <c r="AS32" s="131"/>
      <c r="AT32" s="131"/>
      <c r="AV32" t="s">
        <v>999</v>
      </c>
    </row>
    <row r="33" spans="2:48" ht="18.75">
      <c r="B33" s="144" t="s">
        <v>533</v>
      </c>
      <c r="C33" t="s">
        <v>534</v>
      </c>
      <c r="D33" s="1139"/>
      <c r="E33">
        <v>15.5</v>
      </c>
      <c r="F33">
        <v>9</v>
      </c>
      <c r="G33">
        <v>10.100000000000001</v>
      </c>
      <c r="H33">
        <v>10.199999999999999</v>
      </c>
      <c r="I33">
        <v>13</v>
      </c>
      <c r="J33">
        <v>16</v>
      </c>
      <c r="K33" s="1151">
        <v>21</v>
      </c>
      <c r="L33" s="1151">
        <v>18.2</v>
      </c>
      <c r="M33" s="1151">
        <v>27.9</v>
      </c>
      <c r="N33" s="1151">
        <v>27.7</v>
      </c>
      <c r="O33" s="1151">
        <v>27.4</v>
      </c>
      <c r="P33" s="1151">
        <v>25.7</v>
      </c>
      <c r="Q33" s="1151">
        <v>25.700000000000003</v>
      </c>
      <c r="R33" s="151">
        <v>23.3</v>
      </c>
      <c r="S33" s="151">
        <v>25.8</v>
      </c>
      <c r="T33" s="151">
        <v>23.3</v>
      </c>
      <c r="U33" s="151">
        <v>24.3</v>
      </c>
      <c r="V33" s="151">
        <v>25.3</v>
      </c>
      <c r="W33" s="151">
        <v>25.8</v>
      </c>
      <c r="X33" s="152">
        <f t="shared" ref="X33" si="37">(W33+W34)*X6/X3-X34</f>
        <v>24.108169089098336</v>
      </c>
      <c r="Y33" s="152">
        <f t="shared" ref="Y33:Z33" si="38">(X33+X34)*Y6/Y3-Y34</f>
        <v>23.15898012003046</v>
      </c>
      <c r="Z33" s="514">
        <f t="shared" si="38"/>
        <v>23.105679268746123</v>
      </c>
      <c r="AA33" s="152">
        <f t="shared" ref="AA33" si="39">(Z33+Z34)*AA6/AA3-AA34</f>
        <v>23.707880196114431</v>
      </c>
      <c r="AB33" s="152">
        <f t="shared" ref="AB33" si="40">(AA33+AA34)*AB6/AB3-AB34</f>
        <v>21.385715159097714</v>
      </c>
      <c r="AC33" s="152">
        <f t="shared" ref="AC33" si="41">(AB33+AB34)*AC6/AC3-AC34</f>
        <v>22.188854265023636</v>
      </c>
      <c r="AD33" s="152">
        <f t="shared" ref="AD33" si="42">(AC33+AC34)*AD6/AD3-AD34</f>
        <v>23.414276640735981</v>
      </c>
      <c r="AE33" s="152">
        <f t="shared" ref="AE33" si="43">(AD33+AD34)*AE6/AE3-AE34</f>
        <v>24.203166932966955</v>
      </c>
      <c r="AF33" s="152">
        <f>(AE33+AE34)*AF6/AF3-AF34</f>
        <v>23.944809310693852</v>
      </c>
      <c r="AG33" s="152">
        <f t="shared" ref="AG33" si="44">(AF33+AF34)*AG6/AG3-AG34</f>
        <v>22.813477322111666</v>
      </c>
      <c r="AH33" s="152">
        <f t="shared" ref="AH33" si="45">(AG33+AG34)*AH6/AH3-AH34</f>
        <v>22.946097548360619</v>
      </c>
      <c r="AI33" s="152">
        <f t="shared" ref="AI33" si="46">(AH33+AH34)*AI6/AI3-AI34</f>
        <v>22.509612966525978</v>
      </c>
      <c r="AJ33" s="152">
        <f>(AI33+AI34)*AJ6/AJ3-AJ34</f>
        <v>22.58697533257024</v>
      </c>
      <c r="AK33" s="152">
        <f t="shared" ref="AK33" si="47">(AJ33+AJ34)*AK6/AK3-AK34</f>
        <v>22.770326169100176</v>
      </c>
      <c r="AL33" s="152">
        <f t="shared" ref="AL33" si="48">(AK33+AK34)*AL6/AL3-AL34</f>
        <v>22.690830381709862</v>
      </c>
      <c r="AM33" s="152">
        <f t="shared" ref="AM33" si="49">(AL33+AL34)*AM6/AM3-AM34</f>
        <v>22.589490162560004</v>
      </c>
      <c r="AN33" s="152">
        <f t="shared" ref="AN33" si="50">(AM33+AM34)*AN6/AN3-AN34</f>
        <v>25.927873201319731</v>
      </c>
      <c r="AO33" s="152">
        <f t="shared" ref="AO33" si="51">(AN33+AN34)*AO6/AO3-AO34</f>
        <v>25.501359486057542</v>
      </c>
      <c r="AP33" s="152">
        <f t="shared" ref="AP33" si="52">(AO33+AO34)*AP6/AP3-AP34</f>
        <v>25.044158770401506</v>
      </c>
      <c r="AQ33" s="152"/>
      <c r="AR33" s="581" t="s">
        <v>1096</v>
      </c>
      <c r="AS33" s="131"/>
      <c r="AT33" s="131"/>
      <c r="AV33" t="s">
        <v>1000</v>
      </c>
    </row>
    <row r="34" spans="2:48" ht="18.75">
      <c r="B34" s="144" t="s">
        <v>535</v>
      </c>
      <c r="C34" t="s">
        <v>515</v>
      </c>
      <c r="E34">
        <v>0.2</v>
      </c>
      <c r="F34">
        <v>0.1</v>
      </c>
      <c r="G34">
        <v>0.2</v>
      </c>
      <c r="H34">
        <v>0.4</v>
      </c>
      <c r="I34">
        <v>0.2</v>
      </c>
      <c r="J34">
        <v>0.3</v>
      </c>
      <c r="K34" s="1151">
        <v>0.42499999999999999</v>
      </c>
      <c r="L34" s="1151">
        <v>0.3</v>
      </c>
      <c r="M34" s="1151">
        <v>0.5</v>
      </c>
      <c r="N34" s="1151">
        <v>0.6</v>
      </c>
      <c r="O34" s="1151">
        <v>1</v>
      </c>
      <c r="P34" s="1151">
        <v>1</v>
      </c>
      <c r="Q34" s="1151">
        <v>3.9</v>
      </c>
      <c r="R34" s="151">
        <v>3.7</v>
      </c>
      <c r="S34" s="151">
        <v>3</v>
      </c>
      <c r="T34" s="151">
        <v>3.6999999999999993</v>
      </c>
      <c r="U34" s="151">
        <v>2.6999999999999993</v>
      </c>
      <c r="V34" s="151">
        <f>27-V33</f>
        <v>1.6999999999999993</v>
      </c>
      <c r="W34" s="151">
        <f>28.8-W33</f>
        <v>3</v>
      </c>
      <c r="X34" s="152">
        <f>(W34*X12/100)/(X3/100)</f>
        <v>3.8866118987861022</v>
      </c>
      <c r="Y34" s="152">
        <f t="shared" ref="Y34:AC34" si="53">(X34*Y12/100)/(Y3/100)</f>
        <v>5.2409530122679042</v>
      </c>
      <c r="Z34" s="514">
        <f>(Y34*Z12/100)/(Z3/100)</f>
        <v>4.5572769147993597</v>
      </c>
      <c r="AA34" s="152">
        <f t="shared" si="53"/>
        <v>3.0380719150483291</v>
      </c>
      <c r="AB34" s="152">
        <f t="shared" si="53"/>
        <v>5.0657861031348119</v>
      </c>
      <c r="AC34" s="152">
        <f t="shared" si="53"/>
        <v>4.0393228777341381</v>
      </c>
      <c r="AD34" s="514">
        <f>(AC34*AD12/100)/(AD3/100)</f>
        <v>3.1932858994580164</v>
      </c>
      <c r="AE34" s="514">
        <f t="shared" ref="AE34:AF34" si="54">(AD34*AE12/100)/(AE3/100)</f>
        <v>2.7900124556356509</v>
      </c>
      <c r="AF34" s="514">
        <f t="shared" si="54"/>
        <v>2.7873141844019607</v>
      </c>
      <c r="AG34" s="513">
        <v>2.9289644396188113</v>
      </c>
      <c r="AH34" s="513">
        <v>2.0426526916566976</v>
      </c>
      <c r="AI34" s="513">
        <v>1.8586859498822772</v>
      </c>
      <c r="AJ34" s="513">
        <v>1.8702076924292523</v>
      </c>
      <c r="AK34" s="513">
        <v>1.3730503840191275</v>
      </c>
      <c r="AL34" s="513">
        <v>0.98515677317187123</v>
      </c>
      <c r="AM34" s="513">
        <v>1.0695060094964055</v>
      </c>
      <c r="AN34" s="513">
        <v>0.96815593604142935</v>
      </c>
      <c r="AO34" s="513">
        <v>0.96391161260076208</v>
      </c>
      <c r="AP34" s="513">
        <v>0.95919564715629146</v>
      </c>
      <c r="AQ34" s="514"/>
      <c r="AR34" s="581"/>
      <c r="AS34" s="131"/>
      <c r="AT34" s="131"/>
      <c r="AV34" t="s">
        <v>1001</v>
      </c>
    </row>
    <row r="35" spans="2:48" ht="18.75">
      <c r="B35" s="144" t="s">
        <v>536</v>
      </c>
      <c r="C35" t="s">
        <v>537</v>
      </c>
      <c r="D35" s="1139"/>
      <c r="E35">
        <v>4.4000000000000004</v>
      </c>
      <c r="F35">
        <v>3.3</v>
      </c>
      <c r="G35">
        <v>3</v>
      </c>
      <c r="H35">
        <v>5.0999999999999996</v>
      </c>
      <c r="I35">
        <v>5.9</v>
      </c>
      <c r="J35">
        <v>8.1999999999999993</v>
      </c>
      <c r="K35" s="1151">
        <v>11</v>
      </c>
      <c r="L35" s="1151">
        <v>9.1</v>
      </c>
      <c r="M35" s="1151">
        <v>13.5</v>
      </c>
      <c r="N35" s="1151">
        <v>13.1</v>
      </c>
      <c r="O35" s="1151">
        <v>12.7</v>
      </c>
      <c r="P35" s="1151">
        <v>13</v>
      </c>
      <c r="Q35" s="1151">
        <v>11.3</v>
      </c>
      <c r="R35" s="151">
        <v>12</v>
      </c>
      <c r="S35" s="151">
        <v>13.2</v>
      </c>
      <c r="T35" s="151">
        <v>11.9</v>
      </c>
      <c r="U35" s="151">
        <v>12.9</v>
      </c>
      <c r="V35" s="151">
        <v>13.9</v>
      </c>
      <c r="W35" s="151">
        <v>13.2</v>
      </c>
      <c r="X35" s="152">
        <f>(W35*X7/100)/(X3/100)</f>
        <v>13.040074557315934</v>
      </c>
      <c r="Y35" s="152">
        <f t="shared" ref="Y35:AI35" si="55">(X35*Y7/100)/(Y3/100)</f>
        <v>13.316820261761984</v>
      </c>
      <c r="Z35" s="514">
        <f>(Y35*Z7/100)/(Z3/100)</f>
        <v>12.662703974576269</v>
      </c>
      <c r="AA35" s="152">
        <f t="shared" si="55"/>
        <v>12.207965986539001</v>
      </c>
      <c r="AB35" s="152">
        <f t="shared" si="55"/>
        <v>11.950366704254234</v>
      </c>
      <c r="AC35" s="152">
        <f t="shared" si="55"/>
        <v>11.961577179586557</v>
      </c>
      <c r="AD35" s="152">
        <f t="shared" si="55"/>
        <v>11.765485750413008</v>
      </c>
      <c r="AE35" s="152">
        <f t="shared" si="55"/>
        <v>11.890529560320779</v>
      </c>
      <c r="AF35" s="152">
        <f>(AE35*AF7/100)/(AF3/100)</f>
        <v>12.040023645701988</v>
      </c>
      <c r="AG35" s="152">
        <f t="shared" si="55"/>
        <v>8.4565317930752464</v>
      </c>
      <c r="AH35" s="152">
        <f t="shared" si="55"/>
        <v>8.2100103349986071</v>
      </c>
      <c r="AI35" s="152">
        <f t="shared" si="55"/>
        <v>7.8306785393680567</v>
      </c>
      <c r="AJ35" s="152">
        <f>(AI35*AJ7/100)/(AJ3/100)</f>
        <v>6.4813039307265718</v>
      </c>
      <c r="AK35" s="152">
        <f t="shared" ref="AK35" si="56">(AJ35*AK7/100)/(AK3/100)</f>
        <v>5.6678145263553708</v>
      </c>
      <c r="AL35" s="152">
        <f t="shared" ref="AL35" si="57">(AK35*AL7/100)/(AL3/100)</f>
        <v>6.160255228663841</v>
      </c>
      <c r="AM35" s="152">
        <f t="shared" ref="AM35" si="58">(AL35*AM7/100)/(AM3/100)</f>
        <v>4.1288934981440448</v>
      </c>
      <c r="AN35" s="152">
        <f t="shared" ref="AN35" si="59">(AM35*AN7/100)/(AN3/100)</f>
        <v>4.3204670764630135</v>
      </c>
      <c r="AO35" s="152">
        <f t="shared" ref="AO35" si="60">(AN35*AO7/100)/(AO3/100)</f>
        <v>4.3789869759369262</v>
      </c>
      <c r="AP35" s="152">
        <f t="shared" ref="AP35" si="61">(AO35*AP7/100)/(AP3/100)</f>
        <v>4.6286991182985044</v>
      </c>
      <c r="AQ35" s="152"/>
      <c r="AR35" s="581" t="s">
        <v>1097</v>
      </c>
      <c r="AS35" s="131"/>
      <c r="AT35" s="131"/>
      <c r="AV35" t="s">
        <v>1002</v>
      </c>
    </row>
    <row r="36" spans="2:48" ht="18.75">
      <c r="B36" s="144" t="s">
        <v>538</v>
      </c>
      <c r="C36" t="s">
        <v>539</v>
      </c>
      <c r="E36">
        <v>1.1000000000000001</v>
      </c>
      <c r="F36">
        <v>1</v>
      </c>
      <c r="G36">
        <v>0.9</v>
      </c>
      <c r="H36">
        <v>1.4</v>
      </c>
      <c r="I36">
        <v>1.6</v>
      </c>
      <c r="J36">
        <v>2.4</v>
      </c>
      <c r="K36">
        <v>2.6</v>
      </c>
      <c r="L36" s="1151">
        <v>2.6</v>
      </c>
      <c r="M36" s="1151">
        <v>3.4</v>
      </c>
      <c r="N36" s="1151">
        <v>2.9</v>
      </c>
      <c r="O36" s="1151">
        <v>2.7</v>
      </c>
      <c r="P36" s="1151">
        <v>4.5999999999999996</v>
      </c>
      <c r="Q36" s="1152">
        <v>3.4594594594594597</v>
      </c>
      <c r="R36" s="1151"/>
      <c r="S36" s="1151"/>
      <c r="T36" s="1151"/>
      <c r="U36" s="94"/>
    </row>
    <row r="37" spans="2:48" ht="18.75">
      <c r="B37" s="144" t="s">
        <v>540</v>
      </c>
      <c r="C37" s="146" t="s">
        <v>541</v>
      </c>
      <c r="E37">
        <v>2</v>
      </c>
      <c r="F37">
        <v>1.5</v>
      </c>
      <c r="G37">
        <v>1.3</v>
      </c>
      <c r="H37">
        <v>2.4</v>
      </c>
      <c r="I37">
        <v>2.8</v>
      </c>
      <c r="J37">
        <v>4.0999999999999996</v>
      </c>
      <c r="K37">
        <v>4.0999999999999996</v>
      </c>
      <c r="L37" s="1151">
        <v>4.3</v>
      </c>
      <c r="M37" s="1151">
        <v>6.2</v>
      </c>
      <c r="N37" s="1151">
        <v>6.2</v>
      </c>
      <c r="O37" s="1151">
        <v>5.8</v>
      </c>
      <c r="P37" s="1151">
        <v>4.4000000000000004</v>
      </c>
      <c r="Q37" s="1152">
        <v>3.4594594594594597</v>
      </c>
      <c r="R37" s="1151"/>
      <c r="S37" s="1151"/>
      <c r="T37" s="1151"/>
      <c r="U37" s="94"/>
    </row>
    <row r="38" spans="2:48" ht="15.75">
      <c r="C38" s="146"/>
      <c r="G38" s="146"/>
      <c r="H38" s="146"/>
      <c r="I38" s="146"/>
      <c r="J38" s="146"/>
      <c r="K38" s="146"/>
      <c r="L38" s="1151"/>
      <c r="M38" s="1151"/>
      <c r="N38" s="1151"/>
      <c r="O38" s="1151"/>
      <c r="P38" s="1151"/>
      <c r="Q38" s="1151"/>
      <c r="R38" s="1151"/>
      <c r="S38" s="1151"/>
      <c r="T38" s="1151"/>
      <c r="U38" s="93"/>
    </row>
    <row r="39" spans="2:48" ht="18.75">
      <c r="B39" s="512" t="s">
        <v>1004</v>
      </c>
      <c r="C39" s="138" t="s">
        <v>515</v>
      </c>
      <c r="G39" s="146"/>
      <c r="H39" s="146"/>
      <c r="I39" s="146"/>
      <c r="J39" s="146"/>
      <c r="K39" s="146"/>
      <c r="L39" s="146"/>
      <c r="M39" s="146"/>
      <c r="N39" s="146"/>
      <c r="O39" s="146"/>
      <c r="P39" s="93"/>
      <c r="Q39" s="93"/>
      <c r="R39" s="93">
        <v>100</v>
      </c>
      <c r="S39" s="93">
        <v>100</v>
      </c>
      <c r="T39" s="93">
        <v>100.01030000000002</v>
      </c>
      <c r="U39" s="93">
        <v>101.01030000000002</v>
      </c>
      <c r="V39" s="93">
        <f t="shared" ref="V39:W39" si="62">V31+V32+V33+V34+V35</f>
        <v>102.01030000000002</v>
      </c>
      <c r="W39" s="93">
        <f t="shared" si="62"/>
        <v>100.10000000000001</v>
      </c>
      <c r="AD39" s="152">
        <f>(AC34*AD12/100)/(AD3/100)</f>
        <v>3.1932858994580164</v>
      </c>
      <c r="AE39" s="152">
        <f>(AD34*AE12/100)/(AE3/100)</f>
        <v>2.7900124556356509</v>
      </c>
      <c r="AF39" s="152">
        <f>(AE34*AF12/100)/(AF3/100)</f>
        <v>2.7873141844019607</v>
      </c>
      <c r="AG39" s="513">
        <f>(AF34*AG12/100)/(AG3/100)</f>
        <v>2.4650723053163981</v>
      </c>
      <c r="AH39" s="513">
        <f t="shared" ref="AH39:AI39" si="63">(AG34*AH12/100)/(AH3/100)</f>
        <v>2.8130050342623276</v>
      </c>
      <c r="AI39" s="513">
        <f t="shared" si="63"/>
        <v>2.3155372418696749</v>
      </c>
      <c r="AJ39" s="513">
        <f>(AI34*AJ12/100)/(AJ3/100)</f>
        <v>1.6451341812053069</v>
      </c>
      <c r="AK39" s="513">
        <f>(AJ34*AK12/100)/(AK3/100)</f>
        <v>1.641421171198354</v>
      </c>
      <c r="AL39" s="513">
        <f t="shared" ref="AL39" si="64">(AK34*AL12/100)/(AL3/100)</f>
        <v>1.2206663582331414</v>
      </c>
      <c r="AM39" s="513">
        <f t="shared" ref="AM39" si="65">(AL34*AM12/100)/(AM3/100)</f>
        <v>0.95836571418183214</v>
      </c>
      <c r="AN39" s="513">
        <f t="shared" ref="AN39" si="66">(AM34*AN12/100)/(AN3/100)</f>
        <v>1.0146807332455874</v>
      </c>
      <c r="AO39" s="513">
        <f t="shared" ref="AO39" si="67">(AN34*AO12/100)/(AO3/100)</f>
        <v>0.93276561108253908</v>
      </c>
      <c r="AP39" s="513">
        <f t="shared" ref="AP39" si="68">(AO34*AP12/100)/(AP3/100)</f>
        <v>0.83362807846824594</v>
      </c>
      <c r="AQ39" s="514"/>
      <c r="AR39" s="514"/>
    </row>
    <row r="40" spans="2:48" ht="15.75"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AD40" t="s">
        <v>1005</v>
      </c>
    </row>
    <row r="41" spans="2:48" ht="15.75"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</row>
    <row r="42" spans="2:48" ht="15.75"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</row>
    <row r="43" spans="2:48" ht="15.75"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</row>
    <row r="44" spans="2:48" ht="15.75"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</row>
    <row r="45" spans="2:48" ht="15.75"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</row>
    <row r="46" spans="2:48" ht="15.75"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</row>
    <row r="47" spans="2:48" ht="15.75"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</row>
    <row r="48" spans="2:48" ht="15.75"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</row>
    <row r="49" spans="3:21" ht="15.75">
      <c r="C49" s="150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</row>
    <row r="50" spans="3:21" ht="15.75"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3286-E5E8-4AEB-BA7C-F14246C60CF4}">
  <dimension ref="B1:BF118"/>
  <sheetViews>
    <sheetView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F13" sqref="AF13"/>
    </sheetView>
  </sheetViews>
  <sheetFormatPr defaultRowHeight="15"/>
  <cols>
    <col min="1" max="1" width="2.85546875" customWidth="1"/>
    <col min="2" max="2" width="9.85546875" customWidth="1"/>
    <col min="3" max="3" width="36.28515625" customWidth="1"/>
    <col min="4" max="20" width="9.42578125" customWidth="1"/>
    <col min="21" max="21" width="9.140625" customWidth="1"/>
  </cols>
  <sheetData>
    <row r="1" spans="2:58"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</row>
    <row r="2" spans="2:58" ht="18.75">
      <c r="B2" s="7" t="s">
        <v>716</v>
      </c>
      <c r="C2" t="s">
        <v>717</v>
      </c>
      <c r="G2" s="93">
        <v>922.55555103560766</v>
      </c>
      <c r="H2" s="93">
        <v>1086.8938608530323</v>
      </c>
      <c r="I2" s="93">
        <v>1219.5022251945015</v>
      </c>
      <c r="J2" s="93">
        <v>1555.1817617663389</v>
      </c>
      <c r="K2" s="93">
        <v>2075.8692652058298</v>
      </c>
      <c r="L2" s="93">
        <v>2312.3275364178912</v>
      </c>
      <c r="M2" s="93">
        <v>2830.2510308028136</v>
      </c>
      <c r="N2" s="93">
        <v>3719.4771241830063</v>
      </c>
      <c r="O2" s="93">
        <v>5162.3615160349855</v>
      </c>
      <c r="P2" s="93">
        <v>4982.8502415458943</v>
      </c>
      <c r="Q2" s="93">
        <v>5642.1785795843807</v>
      </c>
      <c r="R2" s="93">
        <v>6523.5812217979856</v>
      </c>
      <c r="S2" s="93">
        <v>7592.9829718437022</v>
      </c>
      <c r="T2" s="93">
        <v>8506.1920154485542</v>
      </c>
      <c r="U2" s="515">
        <v>9241.6462339662412</v>
      </c>
      <c r="V2" s="515">
        <v>8269.5109092383791</v>
      </c>
      <c r="W2" s="515">
        <v>6992.4830261881661</v>
      </c>
      <c r="X2" s="515">
        <v>7536.439875083337</v>
      </c>
      <c r="Y2" s="515">
        <v>7765.0144243377918</v>
      </c>
      <c r="Z2" s="515">
        <v>8301.0461590119721</v>
      </c>
      <c r="AA2" s="515">
        <v>8134</v>
      </c>
      <c r="AB2" s="515">
        <v>8937.7999999999993</v>
      </c>
      <c r="AC2" s="515">
        <v>10718.7</v>
      </c>
      <c r="AD2" s="515">
        <v>12244</v>
      </c>
      <c r="AE2" s="657">
        <v>14426.3</v>
      </c>
      <c r="AF2" s="657">
        <f>GDP!AF2/Assumptions!AF12</f>
        <v>17619.834875359778</v>
      </c>
      <c r="AG2" s="515">
        <f>GDP!AG2/Assumptions!AG12</f>
        <v>21783.279021905986</v>
      </c>
      <c r="AH2" s="515">
        <f>GDP!AH2/Assumptions!AH12</f>
        <v>23949.079411319173</v>
      </c>
      <c r="AI2" s="515">
        <f>GDP!AI2/Assumptions!AI12</f>
        <v>26270.021014325779</v>
      </c>
      <c r="AJ2" s="515">
        <f>GDP!AJ2/Assumptions!AJ12</f>
        <v>29440.961244879978</v>
      </c>
      <c r="AK2" s="515">
        <f>GDP!AK2/Assumptions!AK12</f>
        <v>32552.502652132865</v>
      </c>
      <c r="AL2" s="515">
        <f>GDP!AL2/Assumptions!AL12</f>
        <v>35765.967075118868</v>
      </c>
      <c r="AM2" s="515">
        <f>GDP!AM2/Assumptions!AM12</f>
        <v>39565.086589160564</v>
      </c>
      <c r="AN2" s="515">
        <f>GDP!AN2/Assumptions!AN12</f>
        <v>44526.52524821565</v>
      </c>
      <c r="AO2" s="515">
        <f>GDP!AO2/Assumptions!AO12</f>
        <v>49428.181914494991</v>
      </c>
      <c r="AP2" s="515">
        <f>GDP!AP2/Assumptions!AP12</f>
        <v>55001.557783297685</v>
      </c>
      <c r="AS2" t="s">
        <v>1006</v>
      </c>
    </row>
    <row r="3" spans="2:58" ht="18.75">
      <c r="B3" s="448"/>
      <c r="C3" s="450" t="s">
        <v>868</v>
      </c>
      <c r="D3" s="450"/>
      <c r="E3" s="450"/>
      <c r="F3" s="450"/>
      <c r="G3" s="448"/>
      <c r="H3" s="1154"/>
      <c r="I3" s="1154"/>
      <c r="J3" s="1154"/>
      <c r="K3" s="1154"/>
      <c r="L3" s="1154"/>
      <c r="M3" s="1154"/>
      <c r="N3" s="1154"/>
      <c r="O3" s="1154"/>
      <c r="P3" s="1154"/>
      <c r="Q3" s="1154"/>
      <c r="R3" s="1154"/>
      <c r="S3" s="1154"/>
      <c r="T3" s="1154"/>
      <c r="U3" s="1163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  <c r="AK3" s="448"/>
      <c r="AL3" s="448"/>
      <c r="AM3" s="448"/>
      <c r="AN3" s="448"/>
      <c r="AO3" s="448"/>
      <c r="AP3" s="448"/>
      <c r="AQ3" s="448"/>
      <c r="AR3" s="448"/>
      <c r="AS3" s="448"/>
      <c r="AT3" s="448"/>
      <c r="AU3" s="448"/>
      <c r="AV3" s="448"/>
      <c r="AW3" s="448"/>
      <c r="AX3" s="448"/>
      <c r="AY3" s="448"/>
      <c r="AZ3" s="448"/>
      <c r="BA3" s="448"/>
      <c r="BB3" s="448"/>
      <c r="BC3" s="448"/>
      <c r="BD3" s="448"/>
      <c r="BE3" s="448"/>
      <c r="BF3" s="448"/>
    </row>
    <row r="4" spans="2:58" ht="18.75">
      <c r="B4" s="7" t="s">
        <v>821</v>
      </c>
      <c r="C4" s="451" t="s">
        <v>869</v>
      </c>
      <c r="D4" s="451"/>
      <c r="E4" s="451"/>
      <c r="F4" s="451"/>
      <c r="G4" s="783">
        <v>-61.916999999999994</v>
      </c>
      <c r="H4" s="783">
        <v>-60.900800000000004</v>
      </c>
      <c r="I4" s="783">
        <v>-16.729499999999888</v>
      </c>
      <c r="J4" s="783">
        <v>-4.7636000000001388</v>
      </c>
      <c r="K4" s="783">
        <v>-57.041600000000187</v>
      </c>
      <c r="L4" s="783">
        <v>-18.85979999999978</v>
      </c>
      <c r="M4" s="783">
        <v>-43.087599999999725</v>
      </c>
      <c r="N4" s="783">
        <v>-495.06190000000015</v>
      </c>
      <c r="O4" s="783">
        <v>47.585000000000036</v>
      </c>
      <c r="P4" s="1164">
        <v>-717.43199999999979</v>
      </c>
      <c r="Q4" s="1157">
        <v>-581.15999999999963</v>
      </c>
      <c r="R4" s="1157">
        <v>-413.4000000000002</v>
      </c>
      <c r="S4" s="1157">
        <v>-681.39000000000033</v>
      </c>
      <c r="T4" s="1157">
        <v>-884.85999999999956</v>
      </c>
      <c r="U4" s="1157">
        <v>-522.64000000000021</v>
      </c>
      <c r="V4" s="149">
        <f>V5+V12+V13</f>
        <v>-477.10000000000025</v>
      </c>
      <c r="W4" s="149">
        <f t="shared" ref="W4:AP4" si="0">W5+W12+W13</f>
        <v>-290.82299999999998</v>
      </c>
      <c r="X4" s="149">
        <f t="shared" si="0"/>
        <v>158.93000000000018</v>
      </c>
      <c r="Y4" s="149">
        <f t="shared" si="0"/>
        <v>-378.46300000000014</v>
      </c>
      <c r="Z4" s="149">
        <f t="shared" si="0"/>
        <v>-185.34999999999991</v>
      </c>
      <c r="AA4" s="149">
        <f t="shared" si="0"/>
        <v>353.69999999999993</v>
      </c>
      <c r="AB4" s="149">
        <f t="shared" si="0"/>
        <v>734.69999999999993</v>
      </c>
      <c r="AC4" s="149">
        <f t="shared" si="0"/>
        <v>1634.6759999999997</v>
      </c>
      <c r="AD4" s="149">
        <f t="shared" si="0"/>
        <v>583.9190000000001</v>
      </c>
      <c r="AE4" s="149">
        <f t="shared" si="0"/>
        <v>887.01500000000033</v>
      </c>
      <c r="AF4" s="149">
        <f t="shared" si="0"/>
        <v>-2053.7940000000017</v>
      </c>
      <c r="AG4" s="149">
        <f t="shared" si="0"/>
        <v>-1682.4971748632447</v>
      </c>
      <c r="AH4" s="149">
        <f t="shared" si="0"/>
        <v>-1525.242569239756</v>
      </c>
      <c r="AI4" s="149">
        <f t="shared" si="0"/>
        <v>-1381.4543028050555</v>
      </c>
      <c r="AJ4" s="149">
        <f t="shared" si="0"/>
        <v>-1433.3302182954585</v>
      </c>
      <c r="AK4" s="149">
        <f t="shared" si="0"/>
        <v>-1590.7074393175906</v>
      </c>
      <c r="AL4" s="149">
        <f t="shared" si="0"/>
        <v>-2347.8303098231286</v>
      </c>
      <c r="AM4" s="149">
        <f t="shared" si="0"/>
        <v>-2788.8813240688114</v>
      </c>
      <c r="AN4" s="149">
        <f t="shared" si="0"/>
        <v>-2415.7551782090354</v>
      </c>
      <c r="AO4" s="149">
        <f t="shared" si="0"/>
        <v>-2289.6952319429865</v>
      </c>
      <c r="AP4" s="149">
        <f t="shared" si="0"/>
        <v>-5088.4785677108648</v>
      </c>
      <c r="AS4" t="s">
        <v>1007</v>
      </c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</row>
    <row r="5" spans="2:58" ht="18.75">
      <c r="B5" s="7" t="s">
        <v>822</v>
      </c>
      <c r="C5" t="s">
        <v>870</v>
      </c>
      <c r="G5" s="93">
        <v>-75.948499999999996</v>
      </c>
      <c r="H5" s="93">
        <v>-121.51</v>
      </c>
      <c r="I5" s="93">
        <v>-159.64199999999988</v>
      </c>
      <c r="J5" s="93">
        <v>-152.54000000000013</v>
      </c>
      <c r="K5" s="93">
        <v>-225.11760000000015</v>
      </c>
      <c r="L5" s="93">
        <v>-428.0102999999998</v>
      </c>
      <c r="M5" s="93">
        <v>-781.14959999999974</v>
      </c>
      <c r="N5" s="93">
        <v>-2001.5152</v>
      </c>
      <c r="O5" s="93">
        <v>-2398.2150000000001</v>
      </c>
      <c r="P5" s="1165">
        <v>-2234.4299999999998</v>
      </c>
      <c r="Q5" s="1165">
        <v>-2501.8599999999997</v>
      </c>
      <c r="R5" s="1158">
        <v>-2995.36</v>
      </c>
      <c r="S5" s="1158">
        <v>-3674.42</v>
      </c>
      <c r="T5" s="1158">
        <v>-4413.32</v>
      </c>
      <c r="U5" s="1158">
        <v>-2545.7400000000002</v>
      </c>
      <c r="V5">
        <f>V6+V9</f>
        <v>-2500.2000000000003</v>
      </c>
      <c r="W5">
        <f t="shared" ref="W5:AP5" si="1">W6+W9</f>
        <v>-2027.41</v>
      </c>
      <c r="X5">
        <f t="shared" si="1"/>
        <v>-1638.9399999999998</v>
      </c>
      <c r="Y5">
        <f t="shared" si="1"/>
        <v>-2103.9630000000002</v>
      </c>
      <c r="Z5">
        <f t="shared" si="1"/>
        <v>-2165.35</v>
      </c>
      <c r="AA5">
        <f t="shared" si="1"/>
        <v>-1716.4</v>
      </c>
      <c r="AB5">
        <f t="shared" si="1"/>
        <v>-2097</v>
      </c>
      <c r="AC5">
        <f t="shared" si="1"/>
        <v>-3508.0240000000003</v>
      </c>
      <c r="AD5">
        <f t="shared" si="1"/>
        <v>-3826.4809999999998</v>
      </c>
      <c r="AE5">
        <f t="shared" si="1"/>
        <v>-5289.348</v>
      </c>
      <c r="AF5">
        <f t="shared" si="1"/>
        <v>-6246.5420000000013</v>
      </c>
      <c r="AG5">
        <f t="shared" si="1"/>
        <v>-6126.8100548632447</v>
      </c>
      <c r="AH5">
        <f t="shared" si="1"/>
        <v>-6236.2142220397564</v>
      </c>
      <c r="AI5">
        <f t="shared" si="1"/>
        <v>-6375.0842547730563</v>
      </c>
      <c r="AJ5">
        <f t="shared" si="1"/>
        <v>-6726.5779673815396</v>
      </c>
      <c r="AK5">
        <f t="shared" si="1"/>
        <v>-7201.5500533488366</v>
      </c>
      <c r="AL5">
        <f t="shared" si="1"/>
        <v>-8295.32348069625</v>
      </c>
      <c r="AM5">
        <f t="shared" si="1"/>
        <v>-9093.2240851943207</v>
      </c>
      <c r="AN5">
        <f t="shared" si="1"/>
        <v>-9098.3585050020756</v>
      </c>
      <c r="AO5">
        <f t="shared" si="1"/>
        <v>-9373.2547583436099</v>
      </c>
      <c r="AP5">
        <f t="shared" si="1"/>
        <v>-12597.051665695526</v>
      </c>
      <c r="AS5" t="s">
        <v>1008</v>
      </c>
    </row>
    <row r="6" spans="2:58" ht="18.75">
      <c r="B6" s="7" t="s">
        <v>823</v>
      </c>
      <c r="C6" s="452" t="s">
        <v>871</v>
      </c>
      <c r="D6" s="452"/>
      <c r="E6" s="452"/>
      <c r="F6" s="452"/>
      <c r="G6" s="1155">
        <v>-81.54849999999999</v>
      </c>
      <c r="H6" s="1155">
        <v>-114.11000000000001</v>
      </c>
      <c r="I6" s="1155">
        <v>-123.75319999999988</v>
      </c>
      <c r="J6" s="1155">
        <v>-119.53350000000012</v>
      </c>
      <c r="K6" s="1155">
        <v>-135.49860000000012</v>
      </c>
      <c r="L6" s="1155">
        <v>-322.83329999999978</v>
      </c>
      <c r="M6" s="1155">
        <v>-674.5645999999997</v>
      </c>
      <c r="N6" s="1155">
        <v>-1558.1292000000001</v>
      </c>
      <c r="O6" s="1155">
        <v>-2124.1</v>
      </c>
      <c r="P6" s="1168">
        <v>-2122.1999999999998</v>
      </c>
      <c r="Q6" s="1159">
        <v>-2474.66</v>
      </c>
      <c r="R6" s="1159">
        <v>-3013.8</v>
      </c>
      <c r="S6" s="1159">
        <v>-3581.52</v>
      </c>
      <c r="T6" s="1159">
        <v>-3986</v>
      </c>
      <c r="U6" s="1159">
        <v>-2335.6400000000003</v>
      </c>
      <c r="V6">
        <f>V7-V8</f>
        <v>-2290.0600000000004</v>
      </c>
      <c r="W6">
        <f t="shared" ref="W6:AP6" si="2">W7-W8</f>
        <v>-1885.1100000000001</v>
      </c>
      <c r="X6">
        <f t="shared" si="2"/>
        <v>-1516.7599999999998</v>
      </c>
      <c r="Y6">
        <f t="shared" si="2"/>
        <v>-1888.3630000000001</v>
      </c>
      <c r="Z6">
        <f t="shared" si="2"/>
        <v>-1919.9</v>
      </c>
      <c r="AA6">
        <f t="shared" si="2"/>
        <v>-1444.9</v>
      </c>
      <c r="AB6">
        <f t="shared" si="2"/>
        <v>-1712.1999999999998</v>
      </c>
      <c r="AC6">
        <f t="shared" si="2"/>
        <v>-2960.1000000000004</v>
      </c>
      <c r="AD6">
        <f t="shared" si="2"/>
        <v>-3321.7</v>
      </c>
      <c r="AE6">
        <f t="shared" si="2"/>
        <v>-4513.3469999999998</v>
      </c>
      <c r="AF6">
        <f t="shared" si="2"/>
        <v>-5817.3000000000011</v>
      </c>
      <c r="AG6">
        <f t="shared" si="2"/>
        <v>-5676.250831652681</v>
      </c>
      <c r="AH6">
        <f t="shared" si="2"/>
        <v>-5519.6261515430288</v>
      </c>
      <c r="AI6">
        <f t="shared" si="2"/>
        <v>-5389.5858293017445</v>
      </c>
      <c r="AJ6">
        <f t="shared" si="2"/>
        <v>-5383.2395687695571</v>
      </c>
      <c r="AK6">
        <f t="shared" si="2"/>
        <v>-5382.4327634489309</v>
      </c>
      <c r="AL6">
        <f t="shared" si="2"/>
        <v>-5872.7291461135401</v>
      </c>
      <c r="AM6">
        <f t="shared" si="2"/>
        <v>-5887.6293166049727</v>
      </c>
      <c r="AN6">
        <f t="shared" si="2"/>
        <v>-4866.710734724832</v>
      </c>
      <c r="AO6">
        <f t="shared" si="2"/>
        <v>-3789.5871129217935</v>
      </c>
      <c r="AP6">
        <f t="shared" si="2"/>
        <v>-5241.9442518497035</v>
      </c>
      <c r="AS6" t="s">
        <v>1009</v>
      </c>
    </row>
    <row r="7" spans="2:58" ht="18.75">
      <c r="B7" s="7" t="s">
        <v>402</v>
      </c>
      <c r="C7" s="452" t="s">
        <v>872</v>
      </c>
      <c r="D7" s="452"/>
      <c r="E7" s="452"/>
      <c r="F7" s="452"/>
      <c r="G7" s="1155">
        <v>838.92650000000003</v>
      </c>
      <c r="H7" s="1155">
        <v>651.57069999999999</v>
      </c>
      <c r="I7" s="1155">
        <v>699.14800000000002</v>
      </c>
      <c r="J7" s="1155">
        <v>906.19819999999993</v>
      </c>
      <c r="K7" s="1155">
        <v>1096.9347</v>
      </c>
      <c r="L7" s="1155">
        <v>1108.0926000000002</v>
      </c>
      <c r="M7" s="1155">
        <v>1455.4108000000001</v>
      </c>
      <c r="N7" s="1155">
        <v>1556.8763000000001</v>
      </c>
      <c r="O7" s="1167">
        <v>1504.9</v>
      </c>
      <c r="P7" s="1167">
        <v>420.4</v>
      </c>
      <c r="Q7" s="1167">
        <v>457.5</v>
      </c>
      <c r="R7" s="1167">
        <v>591.70000000000005</v>
      </c>
      <c r="S7" s="1167">
        <v>824.14</v>
      </c>
      <c r="T7" s="1162">
        <v>573.79999999999995</v>
      </c>
      <c r="U7" s="1166">
        <v>526.76</v>
      </c>
      <c r="V7">
        <v>572.29999999999995</v>
      </c>
      <c r="W7">
        <v>667.69</v>
      </c>
      <c r="X7">
        <v>872.96</v>
      </c>
      <c r="Y7">
        <v>874.03700000000003</v>
      </c>
      <c r="Z7">
        <v>1001.1</v>
      </c>
      <c r="AA7">
        <v>1270.5999999999999</v>
      </c>
      <c r="AB7">
        <v>2014.5</v>
      </c>
      <c r="AC7">
        <v>1615.5</v>
      </c>
      <c r="AD7">
        <v>1861.5</v>
      </c>
      <c r="AE7" s="94">
        <v>1422.92</v>
      </c>
      <c r="AF7" s="175">
        <v>2487.9</v>
      </c>
      <c r="AG7">
        <f>gateway!AG21</f>
        <v>2672.7851308695854</v>
      </c>
      <c r="AH7">
        <f>gateway!AH21</f>
        <v>2840.4586402822802</v>
      </c>
      <c r="AI7">
        <f>gateway!AI21</f>
        <v>2973.4668221584402</v>
      </c>
      <c r="AJ7">
        <f>gateway!AJ21</f>
        <v>3140.6395578060606</v>
      </c>
      <c r="AK7">
        <f>gateway!AK21</f>
        <v>3298.4752801084705</v>
      </c>
      <c r="AL7">
        <f>gateway!AL21</f>
        <v>3051.7187217447872</v>
      </c>
      <c r="AM7">
        <f>gateway!AM21</f>
        <v>3206.4233036194364</v>
      </c>
      <c r="AN7">
        <f>gateway!AN21</f>
        <v>3486.8409223060944</v>
      </c>
      <c r="AO7">
        <f>gateway!AO21</f>
        <v>3794.5847221810568</v>
      </c>
      <c r="AP7">
        <f>gateway!AP21</f>
        <v>4161.3641181863914</v>
      </c>
      <c r="AS7" t="s">
        <v>1010</v>
      </c>
    </row>
    <row r="8" spans="2:58" ht="18.75">
      <c r="B8" s="7" t="s">
        <v>442</v>
      </c>
      <c r="C8" s="452" t="s">
        <v>873</v>
      </c>
      <c r="D8" s="452"/>
      <c r="E8" s="452"/>
      <c r="F8" s="452"/>
      <c r="G8" s="1155">
        <v>920.47500000000002</v>
      </c>
      <c r="H8" s="1155">
        <v>765.6807</v>
      </c>
      <c r="I8" s="1155">
        <v>822.9011999999999</v>
      </c>
      <c r="J8" s="1155">
        <v>1025.7317</v>
      </c>
      <c r="K8" s="1155">
        <v>1232.4333000000001</v>
      </c>
      <c r="L8" s="1155">
        <v>1430.9259</v>
      </c>
      <c r="M8" s="1155">
        <v>2129.9753999999998</v>
      </c>
      <c r="N8" s="1155">
        <v>3115.0055000000002</v>
      </c>
      <c r="O8" s="1167">
        <v>3629</v>
      </c>
      <c r="P8" s="1167">
        <v>2542.6</v>
      </c>
      <c r="Q8" s="1167">
        <v>2932.16</v>
      </c>
      <c r="R8" s="1167">
        <v>3605.5</v>
      </c>
      <c r="S8" s="1167">
        <v>4405.66</v>
      </c>
      <c r="T8" s="1162">
        <v>4559.8</v>
      </c>
      <c r="U8" s="1166">
        <v>2862.4</v>
      </c>
      <c r="V8">
        <v>2862.36</v>
      </c>
      <c r="W8">
        <v>2552.8000000000002</v>
      </c>
      <c r="X8">
        <v>2389.7199999999998</v>
      </c>
      <c r="Y8">
        <v>2762.4</v>
      </c>
      <c r="Z8">
        <v>2921</v>
      </c>
      <c r="AA8">
        <v>2715.5</v>
      </c>
      <c r="AB8">
        <v>3726.7</v>
      </c>
      <c r="AC8">
        <v>4575.6000000000004</v>
      </c>
      <c r="AD8">
        <v>5183.2</v>
      </c>
      <c r="AE8" s="94">
        <v>5936.2669999999998</v>
      </c>
      <c r="AF8" s="175">
        <v>8305.2000000000007</v>
      </c>
      <c r="AG8">
        <f>gateway!AG23</f>
        <v>8349.0359625222663</v>
      </c>
      <c r="AH8">
        <f>gateway!AH23</f>
        <v>8360.0847918253094</v>
      </c>
      <c r="AI8">
        <f>gateway!AI23</f>
        <v>8363.0526514601843</v>
      </c>
      <c r="AJ8">
        <f>gateway!AJ23</f>
        <v>8523.8791265756172</v>
      </c>
      <c r="AK8">
        <f>gateway!AK23</f>
        <v>8680.9080435574015</v>
      </c>
      <c r="AL8">
        <f>gateway!AL23</f>
        <v>8924.4478678583273</v>
      </c>
      <c r="AM8">
        <f>gateway!AM23</f>
        <v>9094.0526202244091</v>
      </c>
      <c r="AN8">
        <f>gateway!AN23</f>
        <v>8353.5516570309264</v>
      </c>
      <c r="AO8">
        <f>gateway!AO23</f>
        <v>7584.1718351028503</v>
      </c>
      <c r="AP8">
        <f>gateway!AP23</f>
        <v>9403.3083700360949</v>
      </c>
      <c r="AS8" t="s">
        <v>1011</v>
      </c>
    </row>
    <row r="9" spans="2:58" ht="18.75">
      <c r="B9" s="7" t="s">
        <v>824</v>
      </c>
      <c r="C9" s="452" t="s">
        <v>874</v>
      </c>
      <c r="D9" s="452"/>
      <c r="E9" s="452"/>
      <c r="F9" s="452"/>
      <c r="G9" s="1155">
        <v>5.6000000000000014</v>
      </c>
      <c r="H9" s="1155">
        <v>-7.3999999999999915</v>
      </c>
      <c r="I9" s="1155">
        <v>-35.888800000000003</v>
      </c>
      <c r="J9" s="1155">
        <v>-33.006500000000003</v>
      </c>
      <c r="K9" s="1155">
        <v>-89.619000000000014</v>
      </c>
      <c r="L9" s="1155">
        <v>-105.17699999999999</v>
      </c>
      <c r="M9" s="1155">
        <v>-106.58500000000001</v>
      </c>
      <c r="N9" s="1155">
        <v>-443.38599999999997</v>
      </c>
      <c r="O9" s="1155">
        <v>-274.11500000000001</v>
      </c>
      <c r="P9" s="1159">
        <v>-112.23000000000002</v>
      </c>
      <c r="Q9" s="1159">
        <v>-27.199999999999989</v>
      </c>
      <c r="R9" s="1159">
        <v>18.439999999999998</v>
      </c>
      <c r="S9" s="1159">
        <v>-92.899999999999977</v>
      </c>
      <c r="T9" s="1159">
        <v>-427.32000000000005</v>
      </c>
      <c r="U9" s="1159">
        <v>-210.1</v>
      </c>
      <c r="V9">
        <f>V10-V11</f>
        <v>-210.14000000000001</v>
      </c>
      <c r="W9">
        <f t="shared" ref="W9:AP9" si="3">W10-W11</f>
        <v>-142.30000000000001</v>
      </c>
      <c r="X9">
        <f t="shared" si="3"/>
        <v>-122.18</v>
      </c>
      <c r="Y9">
        <f t="shared" si="3"/>
        <v>-215.60000000000002</v>
      </c>
      <c r="Z9">
        <f t="shared" si="3"/>
        <v>-245.45000000000002</v>
      </c>
      <c r="AA9">
        <f t="shared" si="3"/>
        <v>-271.5</v>
      </c>
      <c r="AB9">
        <f t="shared" si="3"/>
        <v>-384.8</v>
      </c>
      <c r="AC9">
        <f t="shared" si="3"/>
        <v>-547.92399999999998</v>
      </c>
      <c r="AD9">
        <f t="shared" si="3"/>
        <v>-504.78099999999995</v>
      </c>
      <c r="AE9">
        <f t="shared" si="3"/>
        <v>-776.00099999999998</v>
      </c>
      <c r="AF9">
        <f t="shared" si="3"/>
        <v>-429.24200000000002</v>
      </c>
      <c r="AG9">
        <f t="shared" si="3"/>
        <v>-450.55922321056346</v>
      </c>
      <c r="AH9">
        <f t="shared" si="3"/>
        <v>-716.58807049672771</v>
      </c>
      <c r="AI9">
        <f t="shared" si="3"/>
        <v>-985.49842547131141</v>
      </c>
      <c r="AJ9">
        <f t="shared" si="3"/>
        <v>-1343.3383986119825</v>
      </c>
      <c r="AK9">
        <f t="shared" si="3"/>
        <v>-1819.1172898999059</v>
      </c>
      <c r="AL9">
        <f t="shared" si="3"/>
        <v>-2422.5943345827095</v>
      </c>
      <c r="AM9">
        <f t="shared" si="3"/>
        <v>-3205.594768589348</v>
      </c>
      <c r="AN9">
        <f t="shared" si="3"/>
        <v>-4231.6477702772436</v>
      </c>
      <c r="AO9">
        <f t="shared" si="3"/>
        <v>-5583.6676454218168</v>
      </c>
      <c r="AP9">
        <f t="shared" si="3"/>
        <v>-7355.1074138458234</v>
      </c>
      <c r="AS9" t="s">
        <v>1012</v>
      </c>
    </row>
    <row r="10" spans="2:58" ht="18.75">
      <c r="B10" s="7" t="s">
        <v>400</v>
      </c>
      <c r="C10" s="452" t="s">
        <v>875</v>
      </c>
      <c r="D10" s="452"/>
      <c r="E10" s="452"/>
      <c r="F10" s="452"/>
      <c r="G10" s="1155">
        <v>62.6</v>
      </c>
      <c r="H10" s="1155">
        <v>62.2</v>
      </c>
      <c r="I10" s="1155">
        <v>68.989199999999997</v>
      </c>
      <c r="J10" s="1155">
        <v>88.526499999999999</v>
      </c>
      <c r="K10" s="1155">
        <v>122.907</v>
      </c>
      <c r="L10" s="1155">
        <v>146.34200000000001</v>
      </c>
      <c r="M10" s="1155">
        <v>134.215</v>
      </c>
      <c r="N10" s="1155">
        <v>148.69200000000001</v>
      </c>
      <c r="O10" s="1155">
        <v>181.40899999999999</v>
      </c>
      <c r="P10" s="1159">
        <v>178.87</v>
      </c>
      <c r="Q10" s="1159">
        <v>384.6</v>
      </c>
      <c r="R10" s="1160">
        <v>459.2</v>
      </c>
      <c r="S10" s="1160">
        <v>487.6</v>
      </c>
      <c r="T10" s="1159">
        <v>363.37</v>
      </c>
      <c r="U10" s="1166">
        <v>252.4</v>
      </c>
      <c r="V10">
        <v>252.4</v>
      </c>
      <c r="W10">
        <v>231.8</v>
      </c>
      <c r="X10">
        <v>252</v>
      </c>
      <c r="Y10">
        <v>242.2</v>
      </c>
      <c r="Z10">
        <v>242.35</v>
      </c>
      <c r="AA10">
        <v>138.5</v>
      </c>
      <c r="AB10">
        <v>146.80000000000001</v>
      </c>
      <c r="AC10">
        <v>137.4</v>
      </c>
      <c r="AD10">
        <v>243.5</v>
      </c>
      <c r="AE10" s="94">
        <v>194.65</v>
      </c>
      <c r="AF10" s="526">
        <v>85.397000000000006</v>
      </c>
      <c r="AG10">
        <f>gateway!AG20</f>
        <v>96.680933568954202</v>
      </c>
      <c r="AH10">
        <f>gateway!AH20</f>
        <v>99.7130200320792</v>
      </c>
      <c r="AI10">
        <f>gateway!AI20</f>
        <v>101.96744646050972</v>
      </c>
      <c r="AJ10">
        <f>gateway!AJ20</f>
        <v>104.73154260693993</v>
      </c>
      <c r="AK10">
        <f>gateway!AK20</f>
        <v>108.34569556274232</v>
      </c>
      <c r="AL10">
        <f>gateway!AL20</f>
        <v>105.29168690955537</v>
      </c>
      <c r="AM10">
        <f>gateway!AM20</f>
        <v>109.38016639073655</v>
      </c>
      <c r="AN10">
        <f>gateway!AN20</f>
        <v>115.06309809644874</v>
      </c>
      <c r="AO10">
        <f>gateway!AO20</f>
        <v>115.40993099543488</v>
      </c>
      <c r="AP10">
        <f>gateway!AP20</f>
        <v>116.5426580747194</v>
      </c>
      <c r="AS10" t="s">
        <v>1013</v>
      </c>
    </row>
    <row r="11" spans="2:58" ht="18.75">
      <c r="B11" s="7" t="s">
        <v>440</v>
      </c>
      <c r="C11" s="452" t="s">
        <v>876</v>
      </c>
      <c r="D11" s="452"/>
      <c r="E11" s="452"/>
      <c r="F11" s="452"/>
      <c r="G11" s="1155">
        <v>57</v>
      </c>
      <c r="H11" s="1155">
        <v>69.599999999999994</v>
      </c>
      <c r="I11" s="1155">
        <v>104.878</v>
      </c>
      <c r="J11" s="1155">
        <v>121.533</v>
      </c>
      <c r="K11" s="1155">
        <v>212.52600000000001</v>
      </c>
      <c r="L11" s="1155">
        <v>251.51900000000001</v>
      </c>
      <c r="M11" s="1155">
        <v>240.8</v>
      </c>
      <c r="N11" s="1155">
        <v>592.07799999999997</v>
      </c>
      <c r="O11" s="1155">
        <v>455.524</v>
      </c>
      <c r="P11" s="1159">
        <v>291.10000000000002</v>
      </c>
      <c r="Q11" s="1159">
        <v>411.8</v>
      </c>
      <c r="R11" s="1160">
        <v>440.76</v>
      </c>
      <c r="S11" s="1160">
        <v>580.5</v>
      </c>
      <c r="T11" s="494">
        <v>790.69</v>
      </c>
      <c r="U11" s="178">
        <v>462.5</v>
      </c>
      <c r="V11">
        <v>462.54</v>
      </c>
      <c r="W11">
        <v>374.1</v>
      </c>
      <c r="X11">
        <v>374.18</v>
      </c>
      <c r="Y11">
        <v>457.8</v>
      </c>
      <c r="Z11">
        <v>487.8</v>
      </c>
      <c r="AA11">
        <v>410</v>
      </c>
      <c r="AB11">
        <v>531.6</v>
      </c>
      <c r="AC11">
        <v>685.32399999999996</v>
      </c>
      <c r="AD11">
        <v>748.28099999999995</v>
      </c>
      <c r="AE11" s="94">
        <v>970.65099999999995</v>
      </c>
      <c r="AF11" s="526">
        <v>514.63900000000001</v>
      </c>
      <c r="AG11">
        <f>gateway!AG22</f>
        <v>547.24015677951763</v>
      </c>
      <c r="AH11">
        <f>gateway!AH22</f>
        <v>816.30109052880687</v>
      </c>
      <c r="AI11">
        <f>gateway!AI22</f>
        <v>1087.4658719318211</v>
      </c>
      <c r="AJ11">
        <f>gateway!AJ22</f>
        <v>1448.0699412189224</v>
      </c>
      <c r="AK11">
        <f>gateway!AK22</f>
        <v>1927.4629854626482</v>
      </c>
      <c r="AL11">
        <f>gateway!AL22</f>
        <v>2527.8860214922647</v>
      </c>
      <c r="AM11">
        <f>gateway!AM22</f>
        <v>3314.9749349800845</v>
      </c>
      <c r="AN11">
        <f>gateway!AN22</f>
        <v>4346.7108683736924</v>
      </c>
      <c r="AO11">
        <f>gateway!AO22</f>
        <v>5699.0775764172513</v>
      </c>
      <c r="AP11">
        <f>gateway!AP22</f>
        <v>7471.6500719205433</v>
      </c>
      <c r="AS11" t="s">
        <v>1014</v>
      </c>
    </row>
    <row r="12" spans="2:58" ht="18.75">
      <c r="B12" s="7" t="s">
        <v>825</v>
      </c>
      <c r="C12" s="453" t="s">
        <v>877</v>
      </c>
      <c r="D12" s="453"/>
      <c r="E12" s="453"/>
      <c r="F12" s="453"/>
      <c r="G12" s="1156">
        <v>-20.582099999999997</v>
      </c>
      <c r="H12" s="1156">
        <v>-18.4925</v>
      </c>
      <c r="I12" s="1156">
        <v>-41.128399999999999</v>
      </c>
      <c r="J12" s="1156">
        <v>-70.3018</v>
      </c>
      <c r="K12" s="1156">
        <v>-57.538400000000003</v>
      </c>
      <c r="L12" s="1156">
        <v>-40.7774</v>
      </c>
      <c r="M12" s="1156">
        <v>-63.9236</v>
      </c>
      <c r="N12" s="1156">
        <v>-50.742899999999999</v>
      </c>
      <c r="O12" s="1161">
        <v>-52.5</v>
      </c>
      <c r="P12" s="1161">
        <v>973.9</v>
      </c>
      <c r="Q12" s="1161">
        <v>1327.5</v>
      </c>
      <c r="R12" s="1161">
        <v>1793.86</v>
      </c>
      <c r="S12" s="1161">
        <v>2111.4899999999998</v>
      </c>
      <c r="T12" s="1161">
        <v>2664.3</v>
      </c>
      <c r="U12" s="1161">
        <v>1526.2</v>
      </c>
      <c r="V12">
        <v>1526.2</v>
      </c>
      <c r="W12">
        <v>1164.4000000000001</v>
      </c>
      <c r="X12">
        <v>1215.3</v>
      </c>
      <c r="Y12">
        <v>1225.7</v>
      </c>
      <c r="Z12">
        <v>1330.5</v>
      </c>
      <c r="AA12">
        <v>1382</v>
      </c>
      <c r="AB12">
        <v>1821.1</v>
      </c>
      <c r="AC12">
        <v>3497.4</v>
      </c>
      <c r="AD12">
        <v>3083.1</v>
      </c>
      <c r="AE12" s="94">
        <v>4455.4030000000002</v>
      </c>
      <c r="AF12" s="696">
        <v>3031.3809999999999</v>
      </c>
      <c r="AG12" s="518">
        <f t="shared" ref="AG12:AG13" si="4">AF12*1.06</f>
        <v>3213.26386</v>
      </c>
      <c r="AH12" s="518">
        <f t="shared" ref="AH12:AH13" si="5">AG12*1.06</f>
        <v>3406.0596916000004</v>
      </c>
      <c r="AI12" s="518">
        <f t="shared" ref="AI12:AI13" si="6">AH12*1.06</f>
        <v>3610.4232730960007</v>
      </c>
      <c r="AJ12" s="518">
        <f t="shared" ref="AJ12:AJ13" si="7">AI12*1.06</f>
        <v>3827.048669481761</v>
      </c>
      <c r="AK12" s="518">
        <f t="shared" ref="AK12:AK13" si="8">AJ12*1.06</f>
        <v>4056.6715896506666</v>
      </c>
      <c r="AL12" s="518">
        <f t="shared" ref="AL12:AL13" si="9">AK12*1.06</f>
        <v>4300.0718850297071</v>
      </c>
      <c r="AM12" s="518">
        <f t="shared" ref="AM12:AM13" si="10">AL12*1.06</f>
        <v>4558.0761981314899</v>
      </c>
      <c r="AN12" s="518">
        <f t="shared" ref="AN12:AN13" si="11">AM12*1.06</f>
        <v>4831.5607700193796</v>
      </c>
      <c r="AO12" s="518">
        <f t="shared" ref="AO12:AO13" si="12">AN12*1.06</f>
        <v>5121.454416220543</v>
      </c>
      <c r="AP12" s="518">
        <f t="shared" ref="AP12:AP13" si="13">AO12*1.06</f>
        <v>5428.7416811937755</v>
      </c>
      <c r="AS12" t="s">
        <v>1015</v>
      </c>
      <c r="AT12" s="517"/>
      <c r="AU12" s="517"/>
      <c r="AV12" s="517"/>
      <c r="AW12" s="517"/>
      <c r="AX12" s="517"/>
      <c r="AY12" s="517"/>
      <c r="AZ12" s="517"/>
      <c r="BA12" s="517"/>
      <c r="BB12" s="517"/>
      <c r="BC12" s="517"/>
      <c r="BD12" s="517"/>
      <c r="BE12" s="517"/>
      <c r="BF12" s="517"/>
    </row>
    <row r="13" spans="2:58" ht="18.75">
      <c r="B13" s="7" t="s">
        <v>826</v>
      </c>
      <c r="C13" s="453" t="s">
        <v>878</v>
      </c>
      <c r="D13" s="453"/>
      <c r="E13" s="453"/>
      <c r="F13" s="453"/>
      <c r="G13" s="1156">
        <v>34.613599999999998</v>
      </c>
      <c r="H13" s="1156">
        <v>79.101699999999994</v>
      </c>
      <c r="I13" s="1156">
        <v>184.04089999999999</v>
      </c>
      <c r="J13" s="1156">
        <v>218.07820000000001</v>
      </c>
      <c r="K13" s="1156">
        <v>225.61439999999999</v>
      </c>
      <c r="L13" s="1156">
        <v>449.92790000000002</v>
      </c>
      <c r="M13" s="1156">
        <v>801.98559999999998</v>
      </c>
      <c r="N13" s="1156">
        <v>1557.1961999999999</v>
      </c>
      <c r="O13" s="1158">
        <v>2498.3000000000002</v>
      </c>
      <c r="P13" s="1158">
        <v>543.09799999999996</v>
      </c>
      <c r="Q13" s="1158">
        <v>593.20000000000005</v>
      </c>
      <c r="R13" s="1158">
        <v>788.1</v>
      </c>
      <c r="S13" s="1158">
        <v>881.54</v>
      </c>
      <c r="T13" s="1158">
        <v>864.16</v>
      </c>
      <c r="U13" s="1158">
        <v>496.9</v>
      </c>
      <c r="V13">
        <v>496.9</v>
      </c>
      <c r="W13">
        <v>572.18700000000001</v>
      </c>
      <c r="X13">
        <v>582.57000000000005</v>
      </c>
      <c r="Y13">
        <v>499.8</v>
      </c>
      <c r="Z13">
        <v>649.5</v>
      </c>
      <c r="AA13">
        <v>688.1</v>
      </c>
      <c r="AB13">
        <v>1010.6</v>
      </c>
      <c r="AC13">
        <v>1645.3</v>
      </c>
      <c r="AD13">
        <v>1327.3</v>
      </c>
      <c r="AE13">
        <v>1720.96</v>
      </c>
      <c r="AF13" s="696">
        <v>1161.367</v>
      </c>
      <c r="AG13" s="518">
        <f t="shared" si="4"/>
        <v>1231.0490199999999</v>
      </c>
      <c r="AH13" s="518">
        <f t="shared" si="5"/>
        <v>1304.9119612</v>
      </c>
      <c r="AI13" s="518">
        <f t="shared" si="6"/>
        <v>1383.2066788720001</v>
      </c>
      <c r="AJ13" s="518">
        <f t="shared" si="7"/>
        <v>1466.1990796043201</v>
      </c>
      <c r="AK13" s="518">
        <f t="shared" si="8"/>
        <v>1554.1710243805794</v>
      </c>
      <c r="AL13" s="518">
        <f t="shared" si="9"/>
        <v>1647.4212858434144</v>
      </c>
      <c r="AM13" s="518">
        <f t="shared" si="10"/>
        <v>1746.2665629940193</v>
      </c>
      <c r="AN13" s="518">
        <f t="shared" si="11"/>
        <v>1851.0425567736606</v>
      </c>
      <c r="AO13" s="518">
        <f t="shared" si="12"/>
        <v>1962.1051101800804</v>
      </c>
      <c r="AP13" s="518">
        <f t="shared" si="13"/>
        <v>2079.8314167908852</v>
      </c>
      <c r="AS13" t="s">
        <v>1016</v>
      </c>
      <c r="AT13" s="517"/>
      <c r="AU13" s="517"/>
      <c r="AV13" s="517"/>
      <c r="AW13" s="517"/>
      <c r="AX13" s="517"/>
      <c r="AY13" s="517"/>
      <c r="AZ13" s="517"/>
      <c r="BA13" s="517"/>
      <c r="BB13" s="517"/>
      <c r="BC13" s="517"/>
      <c r="BD13" s="517"/>
      <c r="BE13" s="517"/>
      <c r="BF13" s="517"/>
    </row>
    <row r="14" spans="2:58">
      <c r="B14" s="449"/>
      <c r="C14" s="638" t="s">
        <v>1140</v>
      </c>
      <c r="D14" s="638"/>
      <c r="E14" s="638"/>
      <c r="F14" s="638"/>
      <c r="G14" s="1156"/>
      <c r="H14" s="1156"/>
      <c r="I14" s="1156"/>
      <c r="J14" s="1156"/>
      <c r="K14" s="1156"/>
      <c r="L14" s="1156"/>
      <c r="M14" s="1156"/>
      <c r="N14" s="1158">
        <v>1505.088</v>
      </c>
      <c r="O14" s="1158">
        <v>2343.44</v>
      </c>
      <c r="P14" s="1158"/>
      <c r="Q14" s="1158"/>
      <c r="R14" s="1158"/>
      <c r="S14" s="1158"/>
      <c r="T14" s="1158"/>
      <c r="U14" s="1153"/>
      <c r="V14" s="116">
        <f>V7+V10</f>
        <v>824.69999999999993</v>
      </c>
      <c r="W14" s="116">
        <f t="shared" ref="W14:AP14" si="14">W7+W10</f>
        <v>899.49</v>
      </c>
      <c r="X14" s="116">
        <f t="shared" si="14"/>
        <v>1124.96</v>
      </c>
      <c r="Y14" s="116">
        <f t="shared" si="14"/>
        <v>1116.2370000000001</v>
      </c>
      <c r="Z14" s="116">
        <f t="shared" si="14"/>
        <v>1243.45</v>
      </c>
      <c r="AA14" s="116">
        <f t="shared" si="14"/>
        <v>1409.1</v>
      </c>
      <c r="AB14" s="116">
        <f t="shared" si="14"/>
        <v>2161.3000000000002</v>
      </c>
      <c r="AC14" s="116">
        <f t="shared" si="14"/>
        <v>1752.9</v>
      </c>
      <c r="AD14" s="116">
        <f t="shared" si="14"/>
        <v>2105</v>
      </c>
      <c r="AE14" s="116">
        <f>AE7+AE10</f>
        <v>1617.5700000000002</v>
      </c>
      <c r="AF14" s="639">
        <f>AF7+AF10</f>
        <v>2573.297</v>
      </c>
      <c r="AG14" s="639">
        <f t="shared" si="14"/>
        <v>2769.4660644385394</v>
      </c>
      <c r="AH14" s="639">
        <f t="shared" si="14"/>
        <v>2940.1716603143595</v>
      </c>
      <c r="AI14" s="639">
        <f t="shared" si="14"/>
        <v>3075.4342686189498</v>
      </c>
      <c r="AJ14" s="639">
        <f t="shared" si="14"/>
        <v>3245.3711004130005</v>
      </c>
      <c r="AK14" s="639">
        <f t="shared" si="14"/>
        <v>3406.8209756712131</v>
      </c>
      <c r="AL14" s="639">
        <f t="shared" si="14"/>
        <v>3157.0104086543424</v>
      </c>
      <c r="AM14" s="639">
        <f t="shared" si="14"/>
        <v>3315.803470010173</v>
      </c>
      <c r="AN14" s="639">
        <f t="shared" si="14"/>
        <v>3601.9040204025432</v>
      </c>
      <c r="AO14" s="639">
        <f t="shared" si="14"/>
        <v>3909.9946531764917</v>
      </c>
      <c r="AP14" s="639">
        <f t="shared" si="14"/>
        <v>4277.9067762611112</v>
      </c>
      <c r="AS14" s="517"/>
      <c r="AT14" s="517"/>
      <c r="AU14" s="517"/>
      <c r="AV14" s="517"/>
      <c r="AW14" s="517"/>
      <c r="AX14" s="517"/>
      <c r="AY14" s="517"/>
      <c r="AZ14" s="517"/>
      <c r="BA14" s="517"/>
      <c r="BB14" s="517"/>
      <c r="BC14" s="517"/>
      <c r="BD14" s="517"/>
      <c r="BE14" s="517"/>
      <c r="BF14" s="517"/>
    </row>
    <row r="15" spans="2:58">
      <c r="B15" s="449"/>
      <c r="C15" s="638" t="s">
        <v>1141</v>
      </c>
      <c r="D15" s="638"/>
      <c r="E15" s="638"/>
      <c r="F15" s="638"/>
      <c r="G15" s="1156"/>
      <c r="H15" s="1156"/>
      <c r="I15" s="1156"/>
      <c r="J15" s="1156"/>
      <c r="K15" s="1156"/>
      <c r="L15" s="1156"/>
      <c r="M15" s="1156"/>
      <c r="N15" s="1156"/>
      <c r="O15" s="1156"/>
      <c r="P15" s="1156"/>
      <c r="Q15" s="1156"/>
      <c r="R15" s="1156"/>
      <c r="S15" s="1156"/>
      <c r="T15" s="1156"/>
      <c r="U15" s="1153"/>
      <c r="V15" s="116">
        <f>V8+V11</f>
        <v>3324.9</v>
      </c>
      <c r="W15" s="116">
        <f t="shared" ref="W15:AP15" si="15">W8+W11</f>
        <v>2926.9</v>
      </c>
      <c r="X15" s="116">
        <f t="shared" si="15"/>
        <v>2763.8999999999996</v>
      </c>
      <c r="Y15" s="116">
        <f t="shared" si="15"/>
        <v>3220.2000000000003</v>
      </c>
      <c r="Z15" s="116">
        <f t="shared" si="15"/>
        <v>3408.8</v>
      </c>
      <c r="AA15" s="116">
        <f t="shared" si="15"/>
        <v>3125.5</v>
      </c>
      <c r="AB15" s="116">
        <f t="shared" si="15"/>
        <v>4258.3</v>
      </c>
      <c r="AC15" s="116">
        <f t="shared" si="15"/>
        <v>5260.924</v>
      </c>
      <c r="AD15" s="116">
        <f t="shared" si="15"/>
        <v>5931.4809999999998</v>
      </c>
      <c r="AE15" s="116">
        <f>AE8+AE11</f>
        <v>6906.9179999999997</v>
      </c>
      <c r="AF15" s="639">
        <f>AF8+AF11</f>
        <v>8819.8389999999999</v>
      </c>
      <c r="AG15" s="639">
        <f t="shared" si="15"/>
        <v>8896.2761193017832</v>
      </c>
      <c r="AH15" s="639">
        <f t="shared" si="15"/>
        <v>9176.3858823541159</v>
      </c>
      <c r="AI15" s="639">
        <f t="shared" si="15"/>
        <v>9450.5185233920056</v>
      </c>
      <c r="AJ15" s="639">
        <f t="shared" si="15"/>
        <v>9971.9490677945396</v>
      </c>
      <c r="AK15" s="639">
        <f t="shared" si="15"/>
        <v>10608.371029020051</v>
      </c>
      <c r="AL15" s="639">
        <f t="shared" si="15"/>
        <v>11452.333889350592</v>
      </c>
      <c r="AM15" s="639">
        <f t="shared" si="15"/>
        <v>12409.027555204493</v>
      </c>
      <c r="AN15" s="639">
        <f t="shared" si="15"/>
        <v>12700.262525404618</v>
      </c>
      <c r="AO15" s="639">
        <f t="shared" si="15"/>
        <v>13283.249411520101</v>
      </c>
      <c r="AP15" s="639">
        <f t="shared" si="15"/>
        <v>16874.958441956638</v>
      </c>
      <c r="AS15" s="517"/>
      <c r="AT15" s="517"/>
      <c r="AU15" s="517"/>
      <c r="AV15" s="517"/>
      <c r="AW15" s="517"/>
      <c r="AX15" s="517"/>
      <c r="AY15" s="517"/>
      <c r="AZ15" s="517"/>
      <c r="BA15" s="517"/>
      <c r="BB15" s="517"/>
      <c r="BC15" s="517"/>
      <c r="BD15" s="517"/>
      <c r="BE15" s="517"/>
      <c r="BF15" s="517"/>
    </row>
    <row r="17" spans="2:58" ht="46.5">
      <c r="B17" s="7" t="s">
        <v>827</v>
      </c>
      <c r="C17" s="519" t="s">
        <v>879</v>
      </c>
      <c r="D17" s="519"/>
      <c r="E17" s="519"/>
      <c r="F17" s="519"/>
      <c r="G17" s="149"/>
      <c r="H17" s="149"/>
      <c r="I17" s="306">
        <v>15.027200000000008</v>
      </c>
      <c r="J17" s="306">
        <v>45.227550000000001</v>
      </c>
      <c r="K17" s="306">
        <v>103.40539999999996</v>
      </c>
      <c r="L17" s="306">
        <v>44.506299999999989</v>
      </c>
      <c r="M17" s="306">
        <v>28.514300000000048</v>
      </c>
      <c r="N17" s="306">
        <v>483.53870000000006</v>
      </c>
      <c r="O17" s="306">
        <v>-217.10059999999987</v>
      </c>
      <c r="P17" s="306">
        <v>325.56299999999999</v>
      </c>
      <c r="Q17" s="306">
        <v>655.75057193059604</v>
      </c>
      <c r="R17" s="1176">
        <v>582.39933097983578</v>
      </c>
      <c r="S17" s="1176">
        <v>371.36299999999994</v>
      </c>
      <c r="T17" s="1176">
        <v>175.18800000000002</v>
      </c>
      <c r="U17" s="520">
        <v>121.78170138757282</v>
      </c>
      <c r="V17" s="520">
        <f t="shared" ref="V17:AP17" si="16">SUM(V18:V20)</f>
        <v>968.36136432312787</v>
      </c>
      <c r="W17" s="520">
        <f t="shared" si="16"/>
        <v>1305.1604664781826</v>
      </c>
      <c r="X17" s="520">
        <f t="shared" si="16"/>
        <v>1325.0734438892746</v>
      </c>
      <c r="Y17" s="520">
        <f t="shared" si="16"/>
        <v>1116.0152976915647</v>
      </c>
      <c r="Z17" s="520">
        <f t="shared" si="16"/>
        <v>729.9504946301264</v>
      </c>
      <c r="AA17" s="520">
        <f t="shared" si="16"/>
        <v>623.9973347770117</v>
      </c>
      <c r="AB17" s="520">
        <f t="shared" si="16"/>
        <v>1856.860324030195</v>
      </c>
      <c r="AC17" s="520">
        <f t="shared" si="16"/>
        <v>99.872524365029676</v>
      </c>
      <c r="AD17" s="520">
        <f t="shared" si="16"/>
        <v>916.46164560823718</v>
      </c>
      <c r="AE17" s="520">
        <f t="shared" si="16"/>
        <v>198.65273202936407</v>
      </c>
      <c r="AF17" s="520">
        <f t="shared" si="16"/>
        <v>1539.7386420243429</v>
      </c>
      <c r="AG17" s="520">
        <f t="shared" si="16"/>
        <v>583.50566976834614</v>
      </c>
      <c r="AH17" s="520">
        <f t="shared" si="16"/>
        <v>1533.8733008305496</v>
      </c>
      <c r="AI17" s="520">
        <f t="shared" si="16"/>
        <v>1446.0844905621848</v>
      </c>
      <c r="AJ17" s="520">
        <f t="shared" si="16"/>
        <v>1328.1199818021319</v>
      </c>
      <c r="AK17" s="520">
        <f t="shared" si="16"/>
        <v>1540.3840663597152</v>
      </c>
      <c r="AL17" s="520">
        <f t="shared" si="16"/>
        <v>-313.18253728841432</v>
      </c>
      <c r="AM17" s="520">
        <f t="shared" si="16"/>
        <v>448.24424798278505</v>
      </c>
      <c r="AN17" s="520">
        <f t="shared" si="16"/>
        <v>1224.1790748883982</v>
      </c>
      <c r="AO17" s="520">
        <f t="shared" si="16"/>
        <v>2062.9870806789431</v>
      </c>
      <c r="AP17" s="520">
        <f t="shared" si="16"/>
        <v>991.30664417091066</v>
      </c>
      <c r="AS17" t="s">
        <v>1017</v>
      </c>
    </row>
    <row r="18" spans="2:58" ht="18.75">
      <c r="B18" s="7" t="s">
        <v>828</v>
      </c>
      <c r="C18" s="454" t="s">
        <v>880</v>
      </c>
      <c r="D18" s="454"/>
      <c r="E18" s="454"/>
      <c r="F18" s="454"/>
      <c r="G18" s="1170">
        <v>23.543299999999999</v>
      </c>
      <c r="H18" s="1170">
        <v>9.4954000000000001</v>
      </c>
      <c r="I18" s="1170">
        <v>36.066400000000002</v>
      </c>
      <c r="J18" s="1170">
        <v>31.649699999999999</v>
      </c>
      <c r="K18" s="1170">
        <v>272.02509999999995</v>
      </c>
      <c r="L18" s="1170">
        <v>54.479300000000002</v>
      </c>
      <c r="M18" s="1170">
        <v>338.62740000000002</v>
      </c>
      <c r="N18" s="1170">
        <v>359.9674</v>
      </c>
      <c r="O18" s="1170">
        <v>375.78740000000005</v>
      </c>
      <c r="P18" s="1170">
        <v>15.8194</v>
      </c>
      <c r="Q18" s="1172">
        <v>89.254817821416594</v>
      </c>
      <c r="R18" s="1170">
        <v>444.17077428099577</v>
      </c>
      <c r="S18" s="1173">
        <v>233.46899999999999</v>
      </c>
      <c r="T18" s="1173">
        <v>105.38800000000001</v>
      </c>
      <c r="U18" s="522">
        <v>65.861701387572836</v>
      </c>
      <c r="V18" s="94">
        <v>91.805435520440767</v>
      </c>
      <c r="W18" s="522">
        <f>V18*EXP(-0.273272835762+7.30100938285*LN(W7/V7))</f>
        <v>215.27733538953845</v>
      </c>
      <c r="X18" s="522">
        <f>W18*EXP(-0.273272835762+2.30100938285*LN(X7/W7))</f>
        <v>303.52867293461657</v>
      </c>
      <c r="Y18" s="522">
        <f t="shared" ref="Y18:AE18" si="17">X18*EXP(-0.273272835762+2.30100938285*LN(Y7/X7))</f>
        <v>231.60661955904334</v>
      </c>
      <c r="Z18" s="522">
        <f t="shared" si="17"/>
        <v>240.82921184326045</v>
      </c>
      <c r="AA18" s="522">
        <f t="shared" si="17"/>
        <v>317.14288945717612</v>
      </c>
      <c r="AB18" s="521">
        <v>84</v>
      </c>
      <c r="AC18" s="522">
        <f t="shared" si="17"/>
        <v>38.461208848093811</v>
      </c>
      <c r="AD18" s="522">
        <f t="shared" si="17"/>
        <v>40.549281102612468</v>
      </c>
      <c r="AE18" s="522">
        <f t="shared" si="17"/>
        <v>16.627027543706305</v>
      </c>
      <c r="AF18" s="522">
        <f t="shared" ref="AF18:AH18" si="18">AE18*EXP(-0.273272835762+7.30100938285*LN(AF7/AE7))</f>
        <v>747.72421701503151</v>
      </c>
      <c r="AG18" s="522">
        <f t="shared" si="18"/>
        <v>960.17237899087513</v>
      </c>
      <c r="AH18" s="522">
        <f t="shared" si="18"/>
        <v>1139.1824526506061</v>
      </c>
      <c r="AI18" s="522">
        <f>AH18*EXP(-0.273272835762+7.30100938285*LN(AI7/AH7))</f>
        <v>1210.6461937587117</v>
      </c>
      <c r="AJ18" s="522">
        <f t="shared" ref="AJ18:AP18" si="19">AI18*EXP(-0.273272835762+7.30100938285*LN(AJ7/AI7))</f>
        <v>1373.3202712514458</v>
      </c>
      <c r="AK18" s="522">
        <f t="shared" si="19"/>
        <v>1494.7444245230954</v>
      </c>
      <c r="AL18" s="522">
        <f t="shared" si="19"/>
        <v>644.67411212135107</v>
      </c>
      <c r="AM18" s="522">
        <f t="shared" si="19"/>
        <v>703.81482385901131</v>
      </c>
      <c r="AN18" s="522">
        <f t="shared" si="19"/>
        <v>987.68079258868499</v>
      </c>
      <c r="AO18" s="522">
        <f t="shared" si="19"/>
        <v>1393.5330482472166</v>
      </c>
      <c r="AP18" s="522">
        <f t="shared" si="19"/>
        <v>2079.6896225143778</v>
      </c>
      <c r="AS18" t="s">
        <v>1018</v>
      </c>
    </row>
    <row r="19" spans="2:58" ht="18.75">
      <c r="B19" s="7" t="s">
        <v>829</v>
      </c>
      <c r="C19" t="s">
        <v>881</v>
      </c>
      <c r="G19" s="94">
        <v>4.49</v>
      </c>
      <c r="H19" s="94">
        <v>15.172000000000001</v>
      </c>
      <c r="I19" s="94">
        <v>45.397400000000005</v>
      </c>
      <c r="J19" s="94">
        <v>13.87</v>
      </c>
      <c r="K19" s="94">
        <v>25.5</v>
      </c>
      <c r="L19" s="94">
        <v>0</v>
      </c>
      <c r="M19" s="94">
        <v>99.866399999999999</v>
      </c>
      <c r="N19" s="94">
        <v>32.838800000000006</v>
      </c>
      <c r="O19" s="94">
        <v>39.439399999999999</v>
      </c>
      <c r="P19" s="94">
        <v>120.40730000000001</v>
      </c>
      <c r="Q19" s="151">
        <v>68.5</v>
      </c>
      <c r="R19" s="151">
        <v>50.237000000000002</v>
      </c>
      <c r="S19" s="151">
        <v>71.748999999999995</v>
      </c>
      <c r="T19" s="151">
        <v>133.30000000000001</v>
      </c>
      <c r="U19" s="521">
        <v>123.9</v>
      </c>
      <c r="V19">
        <f>V49</f>
        <v>144</v>
      </c>
      <c r="W19">
        <f t="shared" ref="W19:AP19" si="20">W49</f>
        <v>178.6</v>
      </c>
      <c r="X19">
        <f t="shared" si="20"/>
        <v>134.9</v>
      </c>
      <c r="Y19">
        <f t="shared" si="20"/>
        <v>175.9</v>
      </c>
      <c r="Z19">
        <f t="shared" si="20"/>
        <v>166</v>
      </c>
      <c r="AA19">
        <f t="shared" si="20"/>
        <v>188.9</v>
      </c>
      <c r="AB19">
        <f t="shared" si="20"/>
        <v>266.60000000000002</v>
      </c>
      <c r="AC19">
        <f t="shared" si="20"/>
        <v>282.60000000000002</v>
      </c>
      <c r="AD19">
        <f t="shared" si="20"/>
        <v>481.7</v>
      </c>
      <c r="AE19">
        <f t="shared" si="20"/>
        <v>426.17200000000003</v>
      </c>
      <c r="AF19">
        <f t="shared" si="20"/>
        <v>520.51324792232435</v>
      </c>
      <c r="AG19">
        <f t="shared" si="20"/>
        <v>643.50689971258873</v>
      </c>
      <c r="AH19">
        <f t="shared" si="20"/>
        <v>707.48751037207853</v>
      </c>
      <c r="AI19">
        <f t="shared" si="20"/>
        <v>776.05119786204693</v>
      </c>
      <c r="AJ19">
        <f t="shared" si="20"/>
        <v>869.72497006529682</v>
      </c>
      <c r="AK19">
        <f t="shared" si="20"/>
        <v>961.64402239415301</v>
      </c>
      <c r="AL19">
        <f t="shared" si="20"/>
        <v>1056.5740155367323</v>
      </c>
      <c r="AM19">
        <f t="shared" si="20"/>
        <v>1168.8050353781452</v>
      </c>
      <c r="AN19">
        <f t="shared" si="20"/>
        <v>1315.3725014787271</v>
      </c>
      <c r="AO19">
        <f t="shared" si="20"/>
        <v>1460.1739283713885</v>
      </c>
      <c r="AP19">
        <f t="shared" si="20"/>
        <v>1624.8188297500776</v>
      </c>
      <c r="AS19" t="s">
        <v>1019</v>
      </c>
    </row>
    <row r="20" spans="2:58" ht="18.75">
      <c r="B20" s="7" t="s">
        <v>830</v>
      </c>
      <c r="C20" s="454" t="s">
        <v>882</v>
      </c>
      <c r="D20" s="454"/>
      <c r="E20" s="454"/>
      <c r="F20" s="454"/>
      <c r="G20" s="1153"/>
      <c r="H20" s="1153"/>
      <c r="I20" s="1153">
        <v>-66.436599999999999</v>
      </c>
      <c r="J20" s="1153">
        <v>-0.29214999999999769</v>
      </c>
      <c r="K20" s="1153">
        <v>-194.11969999999999</v>
      </c>
      <c r="L20" s="1153">
        <v>-9.9730000000000132</v>
      </c>
      <c r="M20" s="1153">
        <v>-409.97949999999997</v>
      </c>
      <c r="N20" s="1153">
        <v>90.732500000000073</v>
      </c>
      <c r="O20" s="1153">
        <v>-632.3273999999999</v>
      </c>
      <c r="P20" s="1153">
        <v>189.33629999999999</v>
      </c>
      <c r="Q20" s="1153">
        <v>497.99575410917942</v>
      </c>
      <c r="R20" s="1153">
        <v>87.991556698839986</v>
      </c>
      <c r="S20" s="152">
        <v>66.144999999999996</v>
      </c>
      <c r="T20" s="152">
        <v>-63.5</v>
      </c>
      <c r="U20" s="521">
        <v>-67.98</v>
      </c>
      <c r="V20" s="523">
        <f>SUM(V21:V23)</f>
        <v>732.55592880268716</v>
      </c>
      <c r="W20" s="523">
        <f t="shared" ref="W20:AP20" si="21">SUM(W21:W23)</f>
        <v>911.28313108864404</v>
      </c>
      <c r="X20" s="523">
        <f t="shared" si="21"/>
        <v>886.64477095465804</v>
      </c>
      <c r="Y20" s="523">
        <f t="shared" si="21"/>
        <v>708.50867813252148</v>
      </c>
      <c r="Z20" s="523">
        <f t="shared" si="21"/>
        <v>323.12128278686595</v>
      </c>
      <c r="AA20" s="523">
        <f t="shared" si="21"/>
        <v>117.95444531983566</v>
      </c>
      <c r="AB20" s="523">
        <f t="shared" si="21"/>
        <v>1506.2603240301951</v>
      </c>
      <c r="AC20" s="523">
        <f t="shared" si="21"/>
        <v>-221.18868448306415</v>
      </c>
      <c r="AD20" s="523">
        <f t="shared" si="21"/>
        <v>394.21236450562469</v>
      </c>
      <c r="AE20" s="523">
        <f t="shared" si="21"/>
        <v>-244.14629551434223</v>
      </c>
      <c r="AF20" s="523">
        <f t="shared" si="21"/>
        <v>271.50117708698679</v>
      </c>
      <c r="AG20" s="523">
        <f t="shared" si="21"/>
        <v>-1020.1736089351176</v>
      </c>
      <c r="AH20" s="523">
        <f t="shared" si="21"/>
        <v>-312.79666219213505</v>
      </c>
      <c r="AI20" s="523">
        <f t="shared" si="21"/>
        <v>-540.61290105857381</v>
      </c>
      <c r="AJ20" s="523">
        <f t="shared" si="21"/>
        <v>-914.92525951461084</v>
      </c>
      <c r="AK20" s="523">
        <f t="shared" si="21"/>
        <v>-916.00438055753318</v>
      </c>
      <c r="AL20" s="523">
        <f t="shared" si="21"/>
        <v>-2014.4306649464977</v>
      </c>
      <c r="AM20" s="523">
        <f t="shared" si="21"/>
        <v>-1424.3756112543715</v>
      </c>
      <c r="AN20" s="523">
        <f t="shared" si="21"/>
        <v>-1078.8742191790138</v>
      </c>
      <c r="AO20" s="523">
        <f t="shared" si="21"/>
        <v>-790.71989593966214</v>
      </c>
      <c r="AP20" s="523">
        <f t="shared" si="21"/>
        <v>-2713.201808093545</v>
      </c>
      <c r="AS20" t="s">
        <v>1020</v>
      </c>
    </row>
    <row r="21" spans="2:58" ht="18.75">
      <c r="B21" s="7" t="s">
        <v>831</v>
      </c>
      <c r="C21" s="455" t="s">
        <v>883</v>
      </c>
      <c r="D21" s="455"/>
      <c r="E21" s="455"/>
      <c r="F21" s="455"/>
      <c r="G21" s="1171"/>
      <c r="H21" s="1171"/>
      <c r="I21" s="1171">
        <v>-6.2730999999999923</v>
      </c>
      <c r="J21" s="1171">
        <v>13.915000000000003</v>
      </c>
      <c r="K21" s="1171">
        <v>-58.201999999999998</v>
      </c>
      <c r="L21" s="1171">
        <v>-97.321300000000008</v>
      </c>
      <c r="M21" s="1171">
        <v>-229.87029999999999</v>
      </c>
      <c r="N21" s="1171">
        <v>-216.55499999999995</v>
      </c>
      <c r="O21" s="1171">
        <v>-777.89649999999995</v>
      </c>
      <c r="P21" s="1171">
        <v>73.797700000000006</v>
      </c>
      <c r="Q21" s="1171">
        <v>7.4066411100310603</v>
      </c>
      <c r="R21" s="1177">
        <v>-123.59240630046077</v>
      </c>
      <c r="S21" s="1171">
        <v>63.726492223633244</v>
      </c>
      <c r="T21" s="1171">
        <v>243.59721481952772</v>
      </c>
      <c r="U21" s="1175">
        <v>-1014.3236006076457</v>
      </c>
      <c r="V21">
        <f>V54</f>
        <v>355.48331969428682</v>
      </c>
      <c r="W21">
        <f t="shared" ref="W21:AP21" si="22">W54</f>
        <v>486.16672289947712</v>
      </c>
      <c r="X21">
        <f t="shared" si="22"/>
        <v>401.61646419937665</v>
      </c>
      <c r="Y21">
        <f t="shared" si="22"/>
        <v>462.99986295377306</v>
      </c>
      <c r="Z21">
        <f t="shared" si="22"/>
        <v>-88.289116130298964</v>
      </c>
      <c r="AA21">
        <f t="shared" si="22"/>
        <v>-301.11427325039818</v>
      </c>
      <c r="AB21">
        <f t="shared" si="22"/>
        <v>807.72055572766135</v>
      </c>
      <c r="AC21">
        <f t="shared" si="22"/>
        <v>397.93397880709097</v>
      </c>
      <c r="AD21">
        <f t="shared" si="22"/>
        <v>172.79395645373378</v>
      </c>
      <c r="AE21">
        <f t="shared" si="22"/>
        <v>154.93082569106156</v>
      </c>
      <c r="AF21">
        <f t="shared" si="22"/>
        <v>2615.4618010702961</v>
      </c>
      <c r="AG21">
        <f t="shared" si="22"/>
        <v>-1898.4344135360429</v>
      </c>
      <c r="AH21">
        <f t="shared" si="22"/>
        <v>-1242.6348396130118</v>
      </c>
      <c r="AI21">
        <f t="shared" si="22"/>
        <v>-1403.740176994952</v>
      </c>
      <c r="AJ21">
        <f t="shared" si="22"/>
        <v>-1589.9279728440101</v>
      </c>
      <c r="AK21">
        <f t="shared" si="22"/>
        <v>-1676.2634865437183</v>
      </c>
      <c r="AL21">
        <f t="shared" si="22"/>
        <v>-1668.4021216975852</v>
      </c>
      <c r="AM21">
        <f t="shared" si="22"/>
        <v>-2230.4500029259148</v>
      </c>
      <c r="AN21">
        <f t="shared" si="22"/>
        <v>-4745.8143948054285</v>
      </c>
      <c r="AO21">
        <f t="shared" si="22"/>
        <v>-4876.7505680367849</v>
      </c>
      <c r="AP21">
        <f t="shared" si="22"/>
        <v>-620.4405075105966</v>
      </c>
      <c r="AS21" t="s">
        <v>1021</v>
      </c>
    </row>
    <row r="22" spans="2:58" ht="18.75">
      <c r="B22" s="7" t="s">
        <v>832</v>
      </c>
      <c r="C22" s="456" t="s">
        <v>884</v>
      </c>
      <c r="D22" s="456"/>
      <c r="E22" s="456"/>
      <c r="F22" s="456"/>
      <c r="G22" s="452"/>
      <c r="H22" s="452"/>
      <c r="I22" s="1171">
        <v>-3.8826000000000001</v>
      </c>
      <c r="J22" s="1171">
        <v>-10.331900000000001</v>
      </c>
      <c r="K22" s="1171">
        <v>-1.0358000000000001</v>
      </c>
      <c r="L22" s="1171">
        <v>11.374399999999994</v>
      </c>
      <c r="M22" s="1171">
        <v>-131.346</v>
      </c>
      <c r="N22" s="1171">
        <v>53.615899999999996</v>
      </c>
      <c r="O22" s="1171">
        <v>-104.81019999999999</v>
      </c>
      <c r="P22" s="1171">
        <v>-200.0035</v>
      </c>
      <c r="Q22" s="1171">
        <v>132.38047931600209</v>
      </c>
      <c r="R22" s="1177">
        <v>-274.29706503049897</v>
      </c>
      <c r="S22" s="1171">
        <v>-512.19377941977007</v>
      </c>
      <c r="T22" s="1171">
        <v>56.136885752081298</v>
      </c>
      <c r="U22" s="1175">
        <v>673.24806322968357</v>
      </c>
      <c r="V22">
        <f>V67</f>
        <v>6.8085498895654695</v>
      </c>
      <c r="W22">
        <f t="shared" ref="W22:AP22" si="23">W67</f>
        <v>107.94224315658914</v>
      </c>
      <c r="X22">
        <f t="shared" si="23"/>
        <v>143.81426233623861</v>
      </c>
      <c r="Y22">
        <f t="shared" si="23"/>
        <v>-106.38675095720009</v>
      </c>
      <c r="Z22">
        <f t="shared" si="23"/>
        <v>35.810630160558105</v>
      </c>
      <c r="AA22">
        <f t="shared" si="23"/>
        <v>49.544370158871743</v>
      </c>
      <c r="AB22">
        <f t="shared" si="23"/>
        <v>293.96960341058991</v>
      </c>
      <c r="AC22">
        <f t="shared" si="23"/>
        <v>-1100.1247696728533</v>
      </c>
      <c r="AD22">
        <f t="shared" si="23"/>
        <v>-325.18942597180194</v>
      </c>
      <c r="AE22">
        <f t="shared" si="23"/>
        <v>-1039.1186269205291</v>
      </c>
      <c r="AF22">
        <f t="shared" si="23"/>
        <v>-3032.1685715082954</v>
      </c>
      <c r="AG22">
        <f t="shared" si="23"/>
        <v>142.43930280067752</v>
      </c>
      <c r="AH22">
        <f t="shared" si="23"/>
        <v>243.68526369311076</v>
      </c>
      <c r="AI22">
        <f t="shared" si="23"/>
        <v>244.83260491316014</v>
      </c>
      <c r="AJ22">
        <f t="shared" si="23"/>
        <v>-14.181748703961603</v>
      </c>
      <c r="AK22">
        <f t="shared" si="23"/>
        <v>1.5127777422421786</v>
      </c>
      <c r="AL22">
        <f t="shared" si="23"/>
        <v>-1176.6153367179577</v>
      </c>
      <c r="AM22">
        <f t="shared" si="23"/>
        <v>-109.44581863642543</v>
      </c>
      <c r="AN22">
        <f t="shared" si="23"/>
        <v>2640.5016495895534</v>
      </c>
      <c r="AO22">
        <f t="shared" si="23"/>
        <v>2950.0103212980566</v>
      </c>
      <c r="AP22">
        <f t="shared" si="23"/>
        <v>-3353.3804838523902</v>
      </c>
      <c r="AS22" t="s">
        <v>1022</v>
      </c>
    </row>
    <row r="23" spans="2:58" ht="18.75">
      <c r="B23" s="7" t="s">
        <v>833</v>
      </c>
      <c r="C23" s="452" t="s">
        <v>885</v>
      </c>
      <c r="D23" s="452"/>
      <c r="E23" s="452"/>
      <c r="F23" s="452"/>
      <c r="G23" s="452"/>
      <c r="H23" s="452"/>
      <c r="I23" s="1171">
        <v>-56.28090000000001</v>
      </c>
      <c r="J23" s="1171">
        <v>-3.8752499999999994</v>
      </c>
      <c r="K23" s="1171">
        <v>-134.8819</v>
      </c>
      <c r="L23" s="1171">
        <v>75.9739</v>
      </c>
      <c r="M23" s="1171">
        <v>-48.763199999999991</v>
      </c>
      <c r="N23" s="1171">
        <v>253.67160000000001</v>
      </c>
      <c r="O23" s="1171">
        <v>250.3793</v>
      </c>
      <c r="P23" s="1171">
        <v>315.5421</v>
      </c>
      <c r="Q23" s="1171">
        <v>358.20863368314627</v>
      </c>
      <c r="R23" s="1177">
        <v>485.88102802979972</v>
      </c>
      <c r="S23" s="1171">
        <v>187.31464183911629</v>
      </c>
      <c r="T23" s="1171">
        <v>380.28894290439439</v>
      </c>
      <c r="U23" s="1175">
        <v>365.23166888002584</v>
      </c>
      <c r="V23">
        <f>V77</f>
        <v>370.26405921883486</v>
      </c>
      <c r="W23">
        <f t="shared" ref="W23:AP23" si="24">W77</f>
        <v>317.17416503257772</v>
      </c>
      <c r="X23">
        <f t="shared" si="24"/>
        <v>341.21404441904275</v>
      </c>
      <c r="Y23">
        <f t="shared" si="24"/>
        <v>351.89556613594857</v>
      </c>
      <c r="Z23">
        <f t="shared" si="24"/>
        <v>375.59976875660681</v>
      </c>
      <c r="AA23">
        <f t="shared" si="24"/>
        <v>369.5243484113621</v>
      </c>
      <c r="AB23">
        <f t="shared" si="24"/>
        <v>404.57016489194393</v>
      </c>
      <c r="AC23">
        <f t="shared" si="24"/>
        <v>481.00210638269817</v>
      </c>
      <c r="AD23">
        <f t="shared" si="24"/>
        <v>546.60783402369282</v>
      </c>
      <c r="AE23">
        <f t="shared" si="24"/>
        <v>640.04150571512537</v>
      </c>
      <c r="AF23">
        <f t="shared" si="24"/>
        <v>688.20794752498603</v>
      </c>
      <c r="AG23">
        <f t="shared" si="24"/>
        <v>735.8215018002478</v>
      </c>
      <c r="AH23">
        <f t="shared" si="24"/>
        <v>686.15291372776596</v>
      </c>
      <c r="AI23">
        <f t="shared" si="24"/>
        <v>618.29467102321803</v>
      </c>
      <c r="AJ23">
        <f t="shared" si="24"/>
        <v>689.18446203336089</v>
      </c>
      <c r="AK23">
        <f t="shared" si="24"/>
        <v>758.74632824394291</v>
      </c>
      <c r="AL23">
        <f t="shared" si="24"/>
        <v>830.58679346904523</v>
      </c>
      <c r="AM23">
        <f t="shared" si="24"/>
        <v>915.52021030796857</v>
      </c>
      <c r="AN23">
        <f t="shared" si="24"/>
        <v>1026.4385260368613</v>
      </c>
      <c r="AO23">
        <f t="shared" si="24"/>
        <v>1136.0203507990661</v>
      </c>
      <c r="AP23">
        <f t="shared" si="24"/>
        <v>1260.6191832694415</v>
      </c>
      <c r="AS23" t="s">
        <v>1023</v>
      </c>
    </row>
    <row r="24" spans="2:58">
      <c r="C24" s="452"/>
      <c r="D24" s="452"/>
      <c r="E24" s="452"/>
      <c r="F24" s="452"/>
      <c r="G24" s="452"/>
      <c r="H24" s="452"/>
      <c r="I24" s="1171"/>
      <c r="J24" s="1171"/>
      <c r="K24" s="1171"/>
      <c r="L24" s="1171"/>
      <c r="M24" s="1171"/>
      <c r="N24" s="1171"/>
      <c r="O24" s="1171"/>
      <c r="P24" s="1171"/>
      <c r="Q24" s="1171"/>
      <c r="R24" s="1171"/>
      <c r="S24" s="1171"/>
      <c r="T24" s="1171"/>
      <c r="U24" s="1175"/>
    </row>
    <row r="25" spans="2:58">
      <c r="C25" s="452"/>
      <c r="D25" s="452"/>
      <c r="E25" s="452"/>
      <c r="F25" s="452"/>
      <c r="G25" s="452"/>
      <c r="H25" s="452"/>
      <c r="I25" s="1171"/>
      <c r="J25" s="1171"/>
      <c r="K25" s="1171"/>
      <c r="L25" s="1171"/>
      <c r="M25" s="1171"/>
      <c r="N25" s="1171"/>
      <c r="O25" s="1171"/>
      <c r="P25" s="1171"/>
      <c r="Q25" s="1171"/>
      <c r="R25" s="1171"/>
      <c r="S25" s="1171"/>
      <c r="T25" s="1171"/>
      <c r="U25" s="1175"/>
    </row>
    <row r="26" spans="2:58">
      <c r="C26" s="452"/>
      <c r="D26" s="452"/>
      <c r="E26" s="452"/>
      <c r="F26" s="452"/>
      <c r="G26" s="452"/>
      <c r="H26" s="452"/>
      <c r="I26" s="1171"/>
      <c r="J26" s="1171"/>
      <c r="K26" s="1171"/>
      <c r="L26" s="1171"/>
      <c r="M26" s="1171"/>
      <c r="N26" s="1171"/>
      <c r="O26" s="1171"/>
      <c r="P26" s="1171"/>
      <c r="Q26" s="1171"/>
      <c r="R26" s="1171"/>
      <c r="S26" s="1171"/>
      <c r="T26" s="1171"/>
      <c r="U26" s="1175"/>
    </row>
    <row r="27" spans="2:58" ht="18.75">
      <c r="B27" s="7" t="s">
        <v>834</v>
      </c>
      <c r="C27" s="457" t="s">
        <v>886</v>
      </c>
      <c r="D27" s="457"/>
      <c r="E27" s="457"/>
      <c r="F27" s="457"/>
      <c r="G27" s="535"/>
      <c r="H27" s="535"/>
      <c r="I27" s="535">
        <v>0.10651099999999999</v>
      </c>
      <c r="J27" s="1169">
        <v>-40.463799999999999</v>
      </c>
      <c r="K27" s="535">
        <v>-46.363300000000002</v>
      </c>
      <c r="L27" s="535">
        <v>-25.646599999999999</v>
      </c>
      <c r="M27" s="535">
        <v>-7.1136400000000002</v>
      </c>
      <c r="N27" s="535">
        <v>11.523899999999999</v>
      </c>
      <c r="O27" s="535">
        <v>169.53</v>
      </c>
      <c r="P27" s="535">
        <v>-145.70699999999999</v>
      </c>
      <c r="Q27" s="1174">
        <v>-164.8</v>
      </c>
      <c r="R27" s="1174">
        <v>-118.7</v>
      </c>
      <c r="S27" s="1174">
        <v>-115.17700000000001</v>
      </c>
      <c r="T27" s="1174">
        <v>-9.4830000000000005</v>
      </c>
      <c r="U27" s="521">
        <v>89.9</v>
      </c>
      <c r="V27" s="306">
        <f>-(V17+V4)</f>
        <v>-491.26136432312762</v>
      </c>
      <c r="W27" s="306">
        <f t="shared" ref="W27:AP27" si="25">-(W17+W4)</f>
        <v>-1014.3374664781826</v>
      </c>
      <c r="X27" s="306">
        <f t="shared" si="25"/>
        <v>-1484.0034438892749</v>
      </c>
      <c r="Y27" s="306">
        <f t="shared" si="25"/>
        <v>-737.55229769156449</v>
      </c>
      <c r="Z27" s="306">
        <f t="shared" si="25"/>
        <v>-544.60049463012649</v>
      </c>
      <c r="AA27" s="306">
        <f t="shared" si="25"/>
        <v>-977.69733477701163</v>
      </c>
      <c r="AB27" s="306">
        <f t="shared" si="25"/>
        <v>-2591.5603240301948</v>
      </c>
      <c r="AC27" s="306">
        <f t="shared" si="25"/>
        <v>-1734.5485243650294</v>
      </c>
      <c r="AD27" s="306">
        <f t="shared" si="25"/>
        <v>-1500.3806456082373</v>
      </c>
      <c r="AE27" s="306">
        <f t="shared" si="25"/>
        <v>-1085.6677320293643</v>
      </c>
      <c r="AF27" s="306">
        <f t="shared" si="25"/>
        <v>514.05535797565881</v>
      </c>
      <c r="AG27" s="306">
        <f t="shared" si="25"/>
        <v>1098.9915050948985</v>
      </c>
      <c r="AH27" s="306">
        <f t="shared" si="25"/>
        <v>-8.6307315907936299</v>
      </c>
      <c r="AI27" s="306">
        <f t="shared" si="25"/>
        <v>-64.630187757129306</v>
      </c>
      <c r="AJ27" s="306">
        <f>-(AJ17+AJ4)</f>
        <v>105.21023649332665</v>
      </c>
      <c r="AK27" s="306">
        <f t="shared" si="25"/>
        <v>50.323372957875335</v>
      </c>
      <c r="AL27" s="306">
        <f t="shared" si="25"/>
        <v>2661.0128471115431</v>
      </c>
      <c r="AM27" s="306">
        <f t="shared" si="25"/>
        <v>2340.6370760860264</v>
      </c>
      <c r="AN27" s="306">
        <f t="shared" si="25"/>
        <v>1191.5761033206372</v>
      </c>
      <c r="AO27" s="306">
        <f t="shared" si="25"/>
        <v>226.70815126404341</v>
      </c>
      <c r="AP27" s="306">
        <f t="shared" si="25"/>
        <v>4097.1719235399542</v>
      </c>
      <c r="AS27" t="s">
        <v>1024</v>
      </c>
    </row>
    <row r="28" spans="2:58" ht="18.75">
      <c r="B28" s="7" t="s">
        <v>835</v>
      </c>
      <c r="C28" s="458" t="s">
        <v>887</v>
      </c>
      <c r="D28" s="458"/>
      <c r="E28" s="458"/>
      <c r="F28" s="458"/>
      <c r="G28" s="94"/>
      <c r="I28" s="94"/>
      <c r="J28" s="94"/>
      <c r="K28" s="94"/>
      <c r="L28" s="94"/>
      <c r="M28" s="94"/>
      <c r="N28" s="94">
        <v>376.20647457627115</v>
      </c>
      <c r="O28" s="94">
        <v>206.67647457627118</v>
      </c>
      <c r="P28" s="96">
        <v>352.38347457627117</v>
      </c>
      <c r="Q28" s="85">
        <v>665.3</v>
      </c>
      <c r="R28" s="151">
        <v>801.6</v>
      </c>
      <c r="S28" s="151">
        <v>972</v>
      </c>
      <c r="T28" s="151">
        <v>1071</v>
      </c>
      <c r="U28" s="522">
        <v>981.1</v>
      </c>
      <c r="V28" s="94">
        <v>1472.3613643231276</v>
      </c>
      <c r="W28" s="94">
        <f>V28-W27</f>
        <v>2486.6988308013101</v>
      </c>
      <c r="X28" s="94">
        <f t="shared" ref="X28:AI28" si="26">W28-X27</f>
        <v>3970.702274690585</v>
      </c>
      <c r="Y28" s="94">
        <f t="shared" si="26"/>
        <v>4708.2545723821495</v>
      </c>
      <c r="Z28" s="94">
        <f t="shared" si="26"/>
        <v>5252.8550670122759</v>
      </c>
      <c r="AA28" s="94">
        <f t="shared" si="26"/>
        <v>6230.5524017892876</v>
      </c>
      <c r="AB28" s="94">
        <f t="shared" si="26"/>
        <v>8822.1127258194829</v>
      </c>
      <c r="AC28" s="94">
        <f t="shared" si="26"/>
        <v>10556.661250184512</v>
      </c>
      <c r="AD28" s="94">
        <f t="shared" si="26"/>
        <v>12057.041895792749</v>
      </c>
      <c r="AE28" s="94">
        <f t="shared" si="26"/>
        <v>13142.709627822112</v>
      </c>
      <c r="AF28" s="94">
        <f t="shared" si="26"/>
        <v>12628.654269846455</v>
      </c>
      <c r="AG28" s="94">
        <f t="shared" si="26"/>
        <v>11529.662764751556</v>
      </c>
      <c r="AH28" s="94">
        <f t="shared" si="26"/>
        <v>11538.29349634235</v>
      </c>
      <c r="AI28" s="94">
        <f t="shared" si="26"/>
        <v>11602.92368409948</v>
      </c>
      <c r="AJ28" s="94">
        <f t="shared" ref="AJ28" si="27">AI28-AJ27</f>
        <v>11497.713447606153</v>
      </c>
      <c r="AK28" s="94">
        <f t="shared" ref="AK28" si="28">AJ28-AK27</f>
        <v>11447.390074648278</v>
      </c>
      <c r="AL28" s="94">
        <f t="shared" ref="AL28" si="29">AK28-AL27</f>
        <v>8786.3772275367337</v>
      </c>
      <c r="AM28" s="94">
        <f t="shared" ref="AM28" si="30">AL28-AM27</f>
        <v>6445.7401514507073</v>
      </c>
      <c r="AN28" s="94">
        <f t="shared" ref="AN28" si="31">AM28-AN27</f>
        <v>5254.1640481300701</v>
      </c>
      <c r="AO28" s="94">
        <f t="shared" ref="AO28" si="32">AN28-AO27</f>
        <v>5027.4558968660267</v>
      </c>
      <c r="AP28" s="94">
        <f t="shared" ref="AP28" si="33">AO28-AP27</f>
        <v>930.28397332607256</v>
      </c>
      <c r="AS28" t="s">
        <v>1025</v>
      </c>
    </row>
    <row r="29" spans="2:58">
      <c r="C29" s="458" t="s">
        <v>888</v>
      </c>
      <c r="D29" s="458"/>
      <c r="E29" s="458"/>
      <c r="F29" s="458"/>
      <c r="G29" s="94"/>
      <c r="H29" s="94"/>
      <c r="I29" s="94"/>
      <c r="J29" s="94"/>
      <c r="K29" s="94"/>
      <c r="L29" s="94"/>
      <c r="M29" s="94"/>
      <c r="N29" s="94">
        <v>1.1888919664149735</v>
      </c>
      <c r="O29" s="94">
        <v>0.56361797180499773</v>
      </c>
      <c r="P29" s="94">
        <v>1.3728201124316217</v>
      </c>
      <c r="Q29" s="94">
        <v>2.2427279050456042</v>
      </c>
      <c r="R29" s="94">
        <v>2.2008494795770721</v>
      </c>
      <c r="S29" s="94">
        <v>2.1822908890477959</v>
      </c>
      <c r="T29" s="94">
        <v>2.3153298363181429</v>
      </c>
      <c r="U29" s="522">
        <v>3.382005268404225</v>
      </c>
      <c r="V29" s="522">
        <f>V28/(V8+V11/12)*10</f>
        <v>5.0755242392395736</v>
      </c>
      <c r="W29" s="522">
        <f t="shared" ref="W29:AP29" si="34">W28/(W8+W11/12)*10</f>
        <v>9.6235405946315637</v>
      </c>
      <c r="X29" s="522">
        <f t="shared" si="34"/>
        <v>16.401749519045254</v>
      </c>
      <c r="Y29" s="522">
        <f t="shared" si="34"/>
        <v>16.811892565325202</v>
      </c>
      <c r="Z29" s="522">
        <f t="shared" si="34"/>
        <v>17.736245224831684</v>
      </c>
      <c r="AA29" s="522">
        <f t="shared" si="34"/>
        <v>22.659300770236225</v>
      </c>
      <c r="AB29" s="522">
        <f t="shared" si="34"/>
        <v>23.394624040889639</v>
      </c>
      <c r="AC29" s="522">
        <f t="shared" si="34"/>
        <v>22.787224951724468</v>
      </c>
      <c r="AD29" s="522">
        <f t="shared" si="34"/>
        <v>22.98524726816224</v>
      </c>
      <c r="AE29" s="522">
        <f t="shared" si="34"/>
        <v>21.842067451990612</v>
      </c>
      <c r="AF29" s="522">
        <f t="shared" si="34"/>
        <v>15.127603366092448</v>
      </c>
      <c r="AG29" s="522">
        <f t="shared" si="34"/>
        <v>13.734554089178753</v>
      </c>
      <c r="AH29" s="522">
        <f t="shared" si="34"/>
        <v>13.690250432096018</v>
      </c>
      <c r="AI29" s="522">
        <f t="shared" si="34"/>
        <v>13.725301656822603</v>
      </c>
      <c r="AJ29" s="522">
        <f t="shared" si="34"/>
        <v>13.30053188504807</v>
      </c>
      <c r="AK29" s="522">
        <f t="shared" si="34"/>
        <v>12.947295465508626</v>
      </c>
      <c r="AL29" s="522">
        <f t="shared" si="34"/>
        <v>9.6182552828972003</v>
      </c>
      <c r="AM29" s="522">
        <f t="shared" si="34"/>
        <v>6.8789043956497498</v>
      </c>
      <c r="AN29" s="522">
        <f t="shared" si="34"/>
        <v>6.0283365543866605</v>
      </c>
      <c r="AO29" s="522">
        <f t="shared" si="34"/>
        <v>6.238238806940787</v>
      </c>
      <c r="AP29" s="522">
        <f t="shared" si="34"/>
        <v>0.92787651641950464</v>
      </c>
    </row>
    <row r="31" spans="2:58" ht="18.75">
      <c r="B31" s="448"/>
      <c r="C31" s="450" t="s">
        <v>889</v>
      </c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0"/>
      <c r="V31" s="448"/>
      <c r="W31" s="448"/>
      <c r="X31" s="448"/>
      <c r="Y31" s="448"/>
      <c r="Z31" s="448"/>
      <c r="AA31" s="448"/>
      <c r="AB31" s="448"/>
      <c r="AC31" s="448"/>
      <c r="AD31" s="448"/>
      <c r="AE31" s="448"/>
      <c r="AF31" s="448"/>
      <c r="AG31" s="448"/>
      <c r="AH31" s="448"/>
      <c r="AI31" s="448"/>
      <c r="AJ31" s="448"/>
      <c r="AK31" s="448"/>
      <c r="AL31" s="448"/>
      <c r="AM31" s="448"/>
      <c r="AN31" s="448"/>
      <c r="AO31" s="448"/>
      <c r="AP31" s="448"/>
      <c r="AQ31" s="448"/>
      <c r="AR31" s="448"/>
      <c r="AS31" s="448"/>
      <c r="AT31" s="448"/>
      <c r="AU31" s="448"/>
      <c r="AV31" s="448"/>
      <c r="AW31" s="448"/>
      <c r="AX31" s="448"/>
      <c r="AY31" s="448"/>
      <c r="AZ31" s="448"/>
      <c r="BA31" s="448"/>
      <c r="BB31" s="448"/>
      <c r="BC31" s="448"/>
      <c r="BD31" s="448"/>
      <c r="BE31" s="448"/>
      <c r="BF31" s="448"/>
    </row>
    <row r="33" spans="2:45" ht="18.75">
      <c r="B33" s="7" t="s">
        <v>825</v>
      </c>
      <c r="C33" s="459" t="s">
        <v>890</v>
      </c>
      <c r="D33" s="459"/>
      <c r="E33" s="459"/>
      <c r="F33" s="459"/>
      <c r="G33" s="531">
        <v>-20.582099999999997</v>
      </c>
      <c r="H33" s="531">
        <v>-18.4925</v>
      </c>
      <c r="I33" s="531">
        <v>-41.128399999999999</v>
      </c>
      <c r="J33" s="531">
        <v>-70.3018</v>
      </c>
      <c r="K33" s="531">
        <v>-57.538400000000003</v>
      </c>
      <c r="L33" s="531">
        <v>-40.7774</v>
      </c>
      <c r="M33" s="531">
        <v>-63.9236</v>
      </c>
      <c r="N33" s="531">
        <v>-50.742899999999999</v>
      </c>
      <c r="O33" s="1179">
        <v>-52.5</v>
      </c>
      <c r="P33" s="1179">
        <v>-71.3</v>
      </c>
      <c r="Q33" s="1179">
        <v>-78.7</v>
      </c>
      <c r="R33" s="1179">
        <v>-39.6</v>
      </c>
      <c r="S33" s="1179">
        <v>-65.099999999999994</v>
      </c>
      <c r="T33" s="1181">
        <v>-45.3</v>
      </c>
      <c r="U33" s="1181">
        <v>-96.5</v>
      </c>
      <c r="V33" s="149">
        <f>V34+V35</f>
        <v>-93.7229177221935</v>
      </c>
      <c r="W33" s="149">
        <f t="shared" ref="W33:AH33" si="35">W34+W35</f>
        <v>-99.2477858249392</v>
      </c>
      <c r="X33" s="149">
        <f t="shared" si="35"/>
        <v>-101.9561620079144</v>
      </c>
      <c r="Y33" s="149">
        <f t="shared" si="35"/>
        <v>-111.27783291880033</v>
      </c>
      <c r="Z33" s="149">
        <f t="shared" si="35"/>
        <v>-114.58058017275339</v>
      </c>
      <c r="AA33" s="149">
        <f t="shared" si="35"/>
        <v>-120.43325614765632</v>
      </c>
      <c r="AB33" s="149">
        <f t="shared" si="35"/>
        <v>-127.13212489449101</v>
      </c>
      <c r="AC33" s="149">
        <f t="shared" si="35"/>
        <v>-130.24709794609197</v>
      </c>
      <c r="AD33" s="149">
        <f t="shared" si="35"/>
        <v>-137.02321957766515</v>
      </c>
      <c r="AE33" s="149">
        <f>AE34+AE35</f>
        <v>-144.25609636058482</v>
      </c>
      <c r="AF33" s="149">
        <f>AF34+AF35</f>
        <v>-139.46213522480531</v>
      </c>
      <c r="AG33" s="149">
        <f t="shared" si="35"/>
        <v>-137.73905687303881</v>
      </c>
      <c r="AH33" s="149">
        <f t="shared" si="35"/>
        <v>-158.13483387668592</v>
      </c>
      <c r="AI33" s="149">
        <f>AI34+AI35</f>
        <v>-178.53080719033389</v>
      </c>
      <c r="AJ33" s="149">
        <f t="shared" ref="AJ33:AP33" si="36">AJ34+AJ35</f>
        <v>-200.21065143021798</v>
      </c>
      <c r="AK33" s="149">
        <f t="shared" si="36"/>
        <v>-225.1253443737528</v>
      </c>
      <c r="AL33" s="149">
        <f t="shared" si="36"/>
        <v>-253.49950427669705</v>
      </c>
      <c r="AM33" s="149">
        <f t="shared" si="36"/>
        <v>-285.77833017584067</v>
      </c>
      <c r="AN33" s="149">
        <f t="shared" si="36"/>
        <v>-322.80910176616425</v>
      </c>
      <c r="AO33" s="149">
        <f t="shared" si="36"/>
        <v>-365.28401567036627</v>
      </c>
      <c r="AP33" s="149">
        <f t="shared" si="36"/>
        <v>-413.76179542800725</v>
      </c>
      <c r="AS33" t="s">
        <v>1026</v>
      </c>
    </row>
    <row r="34" spans="2:45" ht="18.75">
      <c r="B34" s="7" t="s">
        <v>836</v>
      </c>
      <c r="C34" t="s">
        <v>891</v>
      </c>
      <c r="G34" s="93">
        <v>-11.899999999999999</v>
      </c>
      <c r="H34" s="93">
        <v>-13.299999999999999</v>
      </c>
      <c r="I34" s="93">
        <v>-16.799999999999997</v>
      </c>
      <c r="J34" s="93">
        <v>-14.5</v>
      </c>
      <c r="K34" s="93">
        <v>-14.100000000000001</v>
      </c>
      <c r="L34" s="93">
        <v>-12.2</v>
      </c>
      <c r="M34" s="93">
        <v>-9.4999999999999982</v>
      </c>
      <c r="N34" s="93">
        <v>-11.799999999999999</v>
      </c>
      <c r="O34" s="93">
        <v>-17.099999999999998</v>
      </c>
      <c r="P34" s="93">
        <v>-29.6</v>
      </c>
      <c r="Q34" s="783">
        <v>-14.8</v>
      </c>
      <c r="R34" s="93">
        <v>-77.400000000000006</v>
      </c>
      <c r="S34" s="93">
        <v>-93.6</v>
      </c>
      <c r="T34" s="93">
        <v>-80.8</v>
      </c>
      <c r="U34" s="515">
        <v>-112</v>
      </c>
      <c r="V34">
        <f>-V84</f>
        <v>-30.374005169835055</v>
      </c>
      <c r="W34">
        <f t="shared" ref="W34:AP34" si="37">-W84</f>
        <v>-33.872981310636867</v>
      </c>
      <c r="X34">
        <f t="shared" si="37"/>
        <v>-39.493809597096408</v>
      </c>
      <c r="Y34">
        <f t="shared" si="37"/>
        <v>-47.377832918800316</v>
      </c>
      <c r="Z34">
        <f t="shared" si="37"/>
        <v>-50.680580172753388</v>
      </c>
      <c r="AA34">
        <f t="shared" si="37"/>
        <v>-56.533256147656317</v>
      </c>
      <c r="AB34">
        <f t="shared" si="37"/>
        <v>-63.232124894491051</v>
      </c>
      <c r="AC34">
        <f t="shared" si="37"/>
        <v>-66.347097946091978</v>
      </c>
      <c r="AD34">
        <f t="shared" si="37"/>
        <v>-69.013709042822626</v>
      </c>
      <c r="AE34">
        <f t="shared" si="37"/>
        <v>-71.795130679196475</v>
      </c>
      <c r="AF34" s="94">
        <f>-AF84</f>
        <v>-72.264697733201132</v>
      </c>
      <c r="AG34">
        <f t="shared" si="37"/>
        <v>-81.749901487758009</v>
      </c>
      <c r="AH34">
        <f t="shared" si="37"/>
        <v>-102.33303387668592</v>
      </c>
      <c r="AI34">
        <f t="shared" si="37"/>
        <v>-122.72900719033389</v>
      </c>
      <c r="AJ34">
        <f t="shared" si="37"/>
        <v>-144.40885143021796</v>
      </c>
      <c r="AK34">
        <f t="shared" si="37"/>
        <v>-169.32354437375278</v>
      </c>
      <c r="AL34">
        <f t="shared" si="37"/>
        <v>-197.69770427669707</v>
      </c>
      <c r="AM34">
        <f t="shared" si="37"/>
        <v>-229.97653017584068</v>
      </c>
      <c r="AN34">
        <f t="shared" si="37"/>
        <v>-267.00730176616423</v>
      </c>
      <c r="AO34">
        <f t="shared" si="37"/>
        <v>-309.48221567036626</v>
      </c>
      <c r="AP34">
        <f t="shared" si="37"/>
        <v>-357.95999542800723</v>
      </c>
      <c r="AS34" t="s">
        <v>1027</v>
      </c>
    </row>
    <row r="35" spans="2:45" ht="18.75">
      <c r="B35" s="7" t="s">
        <v>837</v>
      </c>
      <c r="C35" t="s">
        <v>892</v>
      </c>
      <c r="G35" s="93">
        <v>-8.6820999999999984</v>
      </c>
      <c r="H35" s="93">
        <v>-5.1925000000000008</v>
      </c>
      <c r="I35" s="93">
        <v>-24.328400000000002</v>
      </c>
      <c r="J35" s="93">
        <v>-55.8018</v>
      </c>
      <c r="K35" s="93">
        <v>-43.438400000000001</v>
      </c>
      <c r="L35" s="93">
        <v>-28.577400000000001</v>
      </c>
      <c r="M35" s="93">
        <v>-54.4236</v>
      </c>
      <c r="N35" s="93">
        <v>-38.942900000000002</v>
      </c>
      <c r="O35" s="93">
        <v>-35.400000000000006</v>
      </c>
      <c r="P35" s="93">
        <v>-41.699999999999996</v>
      </c>
      <c r="Q35" s="93">
        <v>-63.900000000000006</v>
      </c>
      <c r="R35" s="93">
        <v>37.800000000000004</v>
      </c>
      <c r="S35" s="93">
        <v>28.5</v>
      </c>
      <c r="T35" s="93">
        <v>35.5</v>
      </c>
      <c r="U35" s="93">
        <v>15.5</v>
      </c>
      <c r="V35" s="138">
        <v>-63.348912552358442</v>
      </c>
      <c r="W35" s="138">
        <v>-65.374804514302326</v>
      </c>
      <c r="X35" s="138">
        <v>-62.462352410817992</v>
      </c>
      <c r="Y35" s="138">
        <v>-63.900000000000013</v>
      </c>
      <c r="Z35" s="138">
        <v>-63.9</v>
      </c>
      <c r="AA35" s="138">
        <v>-63.900000000000006</v>
      </c>
      <c r="AB35" s="138">
        <v>-63.899999999999963</v>
      </c>
      <c r="AC35" s="138">
        <v>-63.899999999999991</v>
      </c>
      <c r="AD35" s="138">
        <v>-68.009510534842519</v>
      </c>
      <c r="AE35" s="138">
        <v>-72.460965681388359</v>
      </c>
      <c r="AF35" s="138">
        <v>-67.197437491604191</v>
      </c>
      <c r="AG35" s="138">
        <v>-55.989155385280796</v>
      </c>
      <c r="AH35" s="138">
        <v>-55.8018</v>
      </c>
      <c r="AI35" s="138">
        <v>-55.8018</v>
      </c>
      <c r="AJ35" s="138">
        <v>-55.8018</v>
      </c>
      <c r="AK35" s="138">
        <v>-55.8018</v>
      </c>
      <c r="AL35" s="138">
        <v>-55.8018</v>
      </c>
      <c r="AM35" s="138">
        <v>-55.8018</v>
      </c>
      <c r="AN35" s="138">
        <v>-55.8018</v>
      </c>
      <c r="AO35" s="138">
        <v>-55.8018</v>
      </c>
      <c r="AP35" s="138">
        <v>-55.8018</v>
      </c>
      <c r="AS35" t="s">
        <v>1028</v>
      </c>
    </row>
    <row r="36" spans="2:45" ht="18.75">
      <c r="B36" s="7" t="s">
        <v>838</v>
      </c>
      <c r="C36" t="s">
        <v>893</v>
      </c>
      <c r="G36" s="93">
        <v>0.222</v>
      </c>
      <c r="H36" s="93">
        <v>-0.15369999999999998</v>
      </c>
      <c r="I36" s="93">
        <v>-0.29580000000000001</v>
      </c>
      <c r="J36" s="93">
        <v>-1.21E-2</v>
      </c>
      <c r="K36" s="93">
        <v>-3.73E-2</v>
      </c>
      <c r="L36" s="93">
        <v>0.15669999999999998</v>
      </c>
      <c r="M36" s="93">
        <v>1.7230999999999999</v>
      </c>
      <c r="N36" s="93">
        <v>1.6742999999999999</v>
      </c>
      <c r="O36" s="93">
        <v>1.7766999999999999</v>
      </c>
      <c r="P36" s="93">
        <v>2.3164000000000002</v>
      </c>
      <c r="Q36" s="1157">
        <v>3.6</v>
      </c>
      <c r="R36" s="1158">
        <v>14.7</v>
      </c>
      <c r="S36" s="1165">
        <v>7.2</v>
      </c>
      <c r="T36" s="1165">
        <v>24.3</v>
      </c>
      <c r="U36" s="1185">
        <v>22</v>
      </c>
      <c r="V36" s="94">
        <v>20.785158239359767</v>
      </c>
      <c r="W36" s="93">
        <f>V36*((W8+W11)/(V8+V11))/((W7+W10)/(V7+V10))</f>
        <v>16.775763191831537</v>
      </c>
      <c r="X36" s="93">
        <f t="shared" ref="X36:AI36" si="38">W36*((X8+X11)/(W8+W11))/((X7+X10)/(W7+W10))</f>
        <v>12.666481322906952</v>
      </c>
      <c r="Y36" s="93">
        <f t="shared" si="38"/>
        <v>14.872951901258286</v>
      </c>
      <c r="Z36" s="93">
        <f t="shared" si="38"/>
        <v>14.133311673805942</v>
      </c>
      <c r="AA36" s="93">
        <f t="shared" si="38"/>
        <v>11.435322842200598</v>
      </c>
      <c r="AB36" s="93">
        <f t="shared" si="38"/>
        <v>10.157619558865498</v>
      </c>
      <c r="AC36" s="93">
        <f t="shared" si="38"/>
        <v>15.473039304326125</v>
      </c>
      <c r="AD36" s="93">
        <f t="shared" si="38"/>
        <v>14.527195637426338</v>
      </c>
      <c r="AE36" s="93">
        <f t="shared" si="38"/>
        <v>22.013644972523249</v>
      </c>
      <c r="AF36" s="93">
        <f t="shared" si="38"/>
        <v>17.670200832553434</v>
      </c>
      <c r="AG36" s="93">
        <f t="shared" si="38"/>
        <v>16.560862364217755</v>
      </c>
      <c r="AH36" s="93">
        <f t="shared" si="38"/>
        <v>16.090506780007779</v>
      </c>
      <c r="AI36" s="93">
        <f t="shared" si="38"/>
        <v>15.842361907039068</v>
      </c>
      <c r="AJ36" s="93">
        <f t="shared" ref="AJ36" si="39">AI36*((AJ8+AJ11)/(AI8+AI11))/((AJ7+AJ10)/(AI7+AI10))</f>
        <v>15.841139881995527</v>
      </c>
      <c r="AK36" s="93">
        <f t="shared" ref="AK36" si="40">AJ36*((AK8+AK11)/(AJ8+AJ11))/((AK7+AK10)/(AJ7+AJ10))</f>
        <v>16.053514701546568</v>
      </c>
      <c r="AL36" s="93">
        <f t="shared" ref="AL36" si="41">AK36*((AL8+AL11)/(AK8+AK11))/((AL7+AL10)/(AK7+AK10))</f>
        <v>18.702029137466521</v>
      </c>
      <c r="AM36" s="93">
        <f t="shared" ref="AM36" si="42">AL36*((AM8+AM11)/(AL8+AL11))/((AM7+AM10)/(AL7+AL10))</f>
        <v>19.293886040527841</v>
      </c>
      <c r="AN36" s="93">
        <f t="shared" ref="AN36" si="43">AM36*((AN8+AN11)/(AM8+AM11))/((AN7+AN10)/(AM7+AM10))</f>
        <v>18.178217862092751</v>
      </c>
      <c r="AO36" s="93">
        <f t="shared" ref="AO36" si="44">AN36*((AO8+AO11)/(AN8+AN11))/((AO7+AO10)/(AN7+AN10))</f>
        <v>17.514546853675721</v>
      </c>
      <c r="AP36" s="93">
        <f t="shared" ref="AP36" si="45">AO36*((AP8+AP11)/(AO8+AO11))/((AP7+AP10)/(AO7+AO10))</f>
        <v>20.33677751777811</v>
      </c>
      <c r="AS36" t="s">
        <v>1029</v>
      </c>
    </row>
    <row r="37" spans="2:45" ht="15.75">
      <c r="B37" s="527" t="s">
        <v>1063</v>
      </c>
      <c r="C37" s="138" t="s">
        <v>892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526">
        <f>V33-V34</f>
        <v>-63.348912552358442</v>
      </c>
      <c r="W37" s="526">
        <f t="shared" ref="W37:AH37" si="46">W33-W34</f>
        <v>-65.374804514302326</v>
      </c>
      <c r="X37" s="526">
        <f t="shared" si="46"/>
        <v>-62.462352410817992</v>
      </c>
      <c r="Y37" s="526">
        <f t="shared" si="46"/>
        <v>-63.900000000000013</v>
      </c>
      <c r="Z37" s="526">
        <f t="shared" si="46"/>
        <v>-63.9</v>
      </c>
      <c r="AA37" s="526">
        <f t="shared" si="46"/>
        <v>-63.900000000000006</v>
      </c>
      <c r="AB37" s="526">
        <f t="shared" si="46"/>
        <v>-63.899999999999963</v>
      </c>
      <c r="AC37" s="526">
        <f t="shared" si="46"/>
        <v>-63.899999999999991</v>
      </c>
      <c r="AD37" s="526">
        <f t="shared" si="46"/>
        <v>-68.009510534842519</v>
      </c>
      <c r="AE37" s="526">
        <f t="shared" si="46"/>
        <v>-72.460965681388345</v>
      </c>
      <c r="AF37" s="526">
        <f t="shared" si="46"/>
        <v>-67.197437491604177</v>
      </c>
      <c r="AG37" s="526">
        <f>AG33-AG34</f>
        <v>-55.989155385280796</v>
      </c>
      <c r="AH37" s="526">
        <f t="shared" si="46"/>
        <v>-55.8018</v>
      </c>
      <c r="AI37" s="526">
        <f>AI33-AI34</f>
        <v>-55.8018</v>
      </c>
      <c r="AJ37" s="526">
        <f t="shared" ref="AJ37:AP37" si="47">AJ33-AJ34</f>
        <v>-55.801800000000014</v>
      </c>
      <c r="AK37" s="526">
        <f t="shared" si="47"/>
        <v>-55.801800000000014</v>
      </c>
      <c r="AL37" s="526">
        <f t="shared" si="47"/>
        <v>-55.801799999999986</v>
      </c>
      <c r="AM37" s="526">
        <f t="shared" si="47"/>
        <v>-55.801799999999986</v>
      </c>
      <c r="AN37" s="526">
        <f t="shared" si="47"/>
        <v>-55.801800000000014</v>
      </c>
      <c r="AO37" s="526">
        <f t="shared" si="47"/>
        <v>-55.801800000000014</v>
      </c>
      <c r="AP37" s="526">
        <f t="shared" si="47"/>
        <v>-55.801800000000014</v>
      </c>
    </row>
    <row r="38" spans="2:45" ht="18.75">
      <c r="B38" s="7" t="s">
        <v>826</v>
      </c>
      <c r="C38" s="459" t="s">
        <v>894</v>
      </c>
      <c r="D38" s="459"/>
      <c r="E38" s="459"/>
      <c r="F38" s="459"/>
      <c r="G38" s="531">
        <v>34.613599999999998</v>
      </c>
      <c r="H38" s="531">
        <v>79.101699999999994</v>
      </c>
      <c r="I38" s="531">
        <v>184.04089999999999</v>
      </c>
      <c r="J38" s="531">
        <v>218.07820000000001</v>
      </c>
      <c r="K38" s="531">
        <v>225.61439999999999</v>
      </c>
      <c r="L38" s="531">
        <v>449.92790000000002</v>
      </c>
      <c r="M38" s="531">
        <v>801.98559999999998</v>
      </c>
      <c r="N38" s="531">
        <v>1557.1961999999999</v>
      </c>
      <c r="O38" s="1179">
        <v>2498.3000000000002</v>
      </c>
      <c r="P38" s="1179">
        <v>1734.9</v>
      </c>
      <c r="Q38" s="1179">
        <v>2240.1</v>
      </c>
      <c r="R38" s="1179">
        <v>2171.7000000000003</v>
      </c>
      <c r="S38" s="1179">
        <v>3450.5</v>
      </c>
      <c r="T38" s="1181">
        <v>4071.498</v>
      </c>
      <c r="U38" s="1185">
        <v>3720.1</v>
      </c>
      <c r="V38" s="149">
        <f>V39+V40</f>
        <v>2482.3272469997601</v>
      </c>
      <c r="W38" s="149">
        <f t="shared" ref="W38:AP38" si="48">W39+W40</f>
        <v>2072.1279021043879</v>
      </c>
      <c r="X38" s="149">
        <f t="shared" si="48"/>
        <v>2507.0561105045426</v>
      </c>
      <c r="Y38" s="149">
        <f t="shared" si="48"/>
        <v>2442.5971020697498</v>
      </c>
      <c r="Z38" s="149">
        <f t="shared" si="48"/>
        <v>2596.6797475249741</v>
      </c>
      <c r="AA38" s="149">
        <f t="shared" si="48"/>
        <v>2433.4582880488315</v>
      </c>
      <c r="AB38" s="149">
        <f t="shared" si="48"/>
        <v>1896.1227467118342</v>
      </c>
      <c r="AC38" s="149">
        <f t="shared" si="48"/>
        <v>3551.1673053026848</v>
      </c>
      <c r="AD38" s="149">
        <f t="shared" si="48"/>
        <v>3050.4174850446443</v>
      </c>
      <c r="AE38" s="149">
        <f t="shared" si="48"/>
        <v>1804.975908093284</v>
      </c>
      <c r="AF38" s="149">
        <f t="shared" si="48"/>
        <v>1235.023187283733</v>
      </c>
      <c r="AG38" s="149">
        <f t="shared" si="48"/>
        <v>1092.0850809842209</v>
      </c>
      <c r="AH38" s="149">
        <f t="shared" si="48"/>
        <v>929.76307959851329</v>
      </c>
      <c r="AI38" s="149">
        <f t="shared" si="48"/>
        <v>761.0287526416945</v>
      </c>
      <c r="AJ38" s="149">
        <f t="shared" si="48"/>
        <v>740.34350130723476</v>
      </c>
      <c r="AK38" s="783">
        <f>AK39+AK40</f>
        <v>720.04573112966307</v>
      </c>
      <c r="AL38" s="149">
        <f t="shared" si="48"/>
        <v>699.08307828514944</v>
      </c>
      <c r="AM38" s="149">
        <f t="shared" si="48"/>
        <v>674.29997413188403</v>
      </c>
      <c r="AN38" s="149">
        <f t="shared" si="48"/>
        <v>641.93461932192486</v>
      </c>
      <c r="AO38" s="149">
        <f t="shared" si="48"/>
        <v>609.95924522933342</v>
      </c>
      <c r="AP38" s="149">
        <f t="shared" si="48"/>
        <v>573.60199083622592</v>
      </c>
      <c r="AS38" t="s">
        <v>1030</v>
      </c>
    </row>
    <row r="39" spans="2:45" ht="18.75">
      <c r="B39" s="7" t="s">
        <v>719</v>
      </c>
      <c r="C39" s="460" t="s">
        <v>895</v>
      </c>
      <c r="D39" s="460"/>
      <c r="E39" s="460"/>
      <c r="F39" s="460"/>
      <c r="G39" s="93">
        <v>36.483599999999996</v>
      </c>
      <c r="H39" s="93">
        <v>93.028399999999991</v>
      </c>
      <c r="I39" s="93">
        <v>201.71960000000001</v>
      </c>
      <c r="J39" s="93">
        <v>285.10849999999999</v>
      </c>
      <c r="K39" s="93">
        <v>348.41059999999999</v>
      </c>
      <c r="L39" s="93">
        <v>599.91049999999996</v>
      </c>
      <c r="M39" s="93">
        <v>1202.3678</v>
      </c>
      <c r="N39" s="93">
        <v>1794.3315</v>
      </c>
      <c r="O39" s="93">
        <v>2705.1605</v>
      </c>
      <c r="P39" s="1165">
        <v>1861.7883999999999</v>
      </c>
      <c r="Q39" s="1157">
        <v>2420.6999999999998</v>
      </c>
      <c r="R39" s="1180">
        <v>3147.8</v>
      </c>
      <c r="S39" s="1180">
        <v>3715.2</v>
      </c>
      <c r="T39" s="1165">
        <v>4304.7</v>
      </c>
      <c r="U39" s="1185">
        <v>3919.1</v>
      </c>
      <c r="V39" s="94">
        <v>2659.49948650957</v>
      </c>
      <c r="W39" s="93">
        <f>V39*(W43+W44)/(V43+V44)</f>
        <v>2221.9401329704319</v>
      </c>
      <c r="X39" s="93">
        <f t="shared" ref="X39:AI39" si="49">W39*(X43+X44)/(W43+W44)</f>
        <v>2668.5224832144281</v>
      </c>
      <c r="Y39" s="93">
        <f t="shared" si="49"/>
        <v>2608.9606283393596</v>
      </c>
      <c r="Z39" s="93">
        <f t="shared" si="49"/>
        <v>2774.5276220133469</v>
      </c>
      <c r="AA39" s="93">
        <f t="shared" si="49"/>
        <v>2607.7272396216304</v>
      </c>
      <c r="AB39" s="93">
        <f t="shared" si="49"/>
        <v>2087.6129158005187</v>
      </c>
      <c r="AC39" s="93">
        <f t="shared" si="49"/>
        <v>3780.812819345389</v>
      </c>
      <c r="AD39" s="93">
        <f t="shared" si="49"/>
        <v>3312.7421768392533</v>
      </c>
      <c r="AE39" s="93">
        <f>AD39*(AE43+AE44)/(AD43+AD44)</f>
        <v>2114.0558412226997</v>
      </c>
      <c r="AF39" s="93">
        <f t="shared" si="49"/>
        <v>1612.5238205041392</v>
      </c>
      <c r="AG39" s="93">
        <f t="shared" si="49"/>
        <v>1558.7864821355975</v>
      </c>
      <c r="AH39" s="93">
        <f t="shared" si="49"/>
        <v>1442.8662219816324</v>
      </c>
      <c r="AI39" s="93">
        <f t="shared" si="49"/>
        <v>1323.8574986414417</v>
      </c>
      <c r="AJ39" s="93">
        <f>AI39*(AJ43+AJ44)/(AI43+AI44)</f>
        <v>1371.1088626842488</v>
      </c>
      <c r="AK39" s="93">
        <f>AJ39*(AK43+AK44)/(AJ43+AJ44)</f>
        <v>1417.4751026882989</v>
      </c>
      <c r="AL39" s="93">
        <f t="shared" ref="AL39" si="50">AK39*(AL43+AL44)/(AK43+AK44)</f>
        <v>1465.3601355962144</v>
      </c>
      <c r="AM39" s="93">
        <f t="shared" ref="AM39" si="51">AL39*(AM43+AM44)/(AL43+AL44)</f>
        <v>1521.9722336327457</v>
      </c>
      <c r="AN39" s="93">
        <f t="shared" ref="AN39" si="52">AM39*(AN43+AN44)/(AM43+AM44)</f>
        <v>1595.9044831264848</v>
      </c>
      <c r="AO39" s="93">
        <f t="shared" ref="AO39" si="53">AN39*(AO43+AO44)/(AN43+AN44)</f>
        <v>1668.9458988300971</v>
      </c>
      <c r="AP39" s="93">
        <f t="shared" ref="AP39" si="54">AO39*(AP43+AP44)/(AO43+AO44)</f>
        <v>1751.9968531138254</v>
      </c>
      <c r="AS39" t="s">
        <v>1031</v>
      </c>
    </row>
    <row r="40" spans="2:45" ht="18.75">
      <c r="B40" s="7" t="s">
        <v>839</v>
      </c>
      <c r="C40" s="460" t="s">
        <v>896</v>
      </c>
      <c r="D40" s="460"/>
      <c r="E40" s="460"/>
      <c r="F40" s="460"/>
      <c r="G40" s="93">
        <v>-1.87</v>
      </c>
      <c r="H40" s="93">
        <v>-13.9267</v>
      </c>
      <c r="I40" s="93">
        <v>-17.678699999999999</v>
      </c>
      <c r="J40" s="93">
        <v>-67.030299999999997</v>
      </c>
      <c r="K40" s="93">
        <v>-122.7962</v>
      </c>
      <c r="L40" s="93">
        <v>-149.98260000000002</v>
      </c>
      <c r="M40" s="93">
        <v>-400.38220000000001</v>
      </c>
      <c r="N40" s="93">
        <v>-237.1353</v>
      </c>
      <c r="O40" s="93">
        <v>-206.8306</v>
      </c>
      <c r="P40" s="1165">
        <v>-126.9285</v>
      </c>
      <c r="Q40" s="1164">
        <v>-180.6</v>
      </c>
      <c r="R40" s="1180">
        <v>-976.1</v>
      </c>
      <c r="S40" s="1180">
        <v>-264.7</v>
      </c>
      <c r="T40" s="1158">
        <v>-233.2</v>
      </c>
      <c r="U40" s="1181">
        <v>-198</v>
      </c>
      <c r="V40" s="94">
        <v>-177.17223950980983</v>
      </c>
      <c r="W40" s="518">
        <f>V40*W2/V2</f>
        <v>-149.81223086604402</v>
      </c>
      <c r="X40" s="518">
        <f t="shared" ref="X40:AI40" si="55">W40*X2/W2</f>
        <v>-161.46637270988529</v>
      </c>
      <c r="Y40" s="518">
        <f t="shared" si="55"/>
        <v>-166.36352626960976</v>
      </c>
      <c r="Z40" s="518">
        <f t="shared" si="55"/>
        <v>-177.84787448837275</v>
      </c>
      <c r="AA40" s="518">
        <f t="shared" si="55"/>
        <v>-174.2689515727987</v>
      </c>
      <c r="AB40" s="518">
        <f t="shared" si="55"/>
        <v>-191.49016908868455</v>
      </c>
      <c r="AC40" s="518">
        <f t="shared" si="55"/>
        <v>-229.64551404270441</v>
      </c>
      <c r="AD40" s="518">
        <f t="shared" si="55"/>
        <v>-262.32469179460873</v>
      </c>
      <c r="AE40" s="518">
        <f t="shared" si="55"/>
        <v>-309.07993312941551</v>
      </c>
      <c r="AF40" s="518">
        <f t="shared" si="55"/>
        <v>-377.50063322040603</v>
      </c>
      <c r="AG40" s="518">
        <f t="shared" si="55"/>
        <v>-466.70140115137644</v>
      </c>
      <c r="AH40" s="518">
        <f t="shared" si="55"/>
        <v>-513.10314238311912</v>
      </c>
      <c r="AI40" s="518">
        <f t="shared" si="55"/>
        <v>-562.82874599974718</v>
      </c>
      <c r="AJ40" s="518">
        <f t="shared" ref="AJ40" si="56">AI40*AJ2/AI2</f>
        <v>-630.76536137701407</v>
      </c>
      <c r="AK40" s="518">
        <f t="shared" ref="AK40" si="57">AJ40*AK2/AJ2</f>
        <v>-697.42937155863581</v>
      </c>
      <c r="AL40" s="518">
        <f t="shared" ref="AL40" si="58">AK40*AL2/AK2</f>
        <v>-766.27705731106494</v>
      </c>
      <c r="AM40" s="518">
        <f t="shared" ref="AM40" si="59">AL40*AM2/AL2</f>
        <v>-847.67225950086163</v>
      </c>
      <c r="AN40" s="518">
        <f t="shared" ref="AN40" si="60">AM40*AN2/AM2</f>
        <v>-953.96986380455996</v>
      </c>
      <c r="AO40" s="518">
        <f t="shared" ref="AO40" si="61">AN40*AO2/AN2</f>
        <v>-1058.9866536007637</v>
      </c>
      <c r="AP40" s="518">
        <f t="shared" ref="AP40" si="62">AO40*AP2/AO2</f>
        <v>-1178.3948622775995</v>
      </c>
      <c r="AS40" t="s">
        <v>1032</v>
      </c>
    </row>
    <row r="41" spans="2:45">
      <c r="C41" s="460"/>
      <c r="D41" s="460"/>
      <c r="E41" s="460"/>
      <c r="F41" s="460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306"/>
      <c r="R41" s="93"/>
      <c r="S41" s="93"/>
      <c r="T41" s="93"/>
      <c r="U41" s="515"/>
    </row>
    <row r="42" spans="2:45">
      <c r="C42" s="461" t="s">
        <v>897</v>
      </c>
      <c r="D42" s="461"/>
      <c r="E42" s="461"/>
      <c r="F42" s="461"/>
      <c r="G42" s="1178"/>
      <c r="H42" s="1178"/>
      <c r="I42" s="1178"/>
      <c r="J42" s="1178"/>
      <c r="K42" s="1178"/>
      <c r="L42" s="1178"/>
      <c r="M42" s="1178"/>
      <c r="N42" s="1178"/>
      <c r="O42" s="1182"/>
      <c r="P42" s="1182"/>
      <c r="Q42" s="1182"/>
      <c r="R42" s="1182"/>
      <c r="S42" s="1182"/>
      <c r="T42" s="1182"/>
      <c r="U42" s="1186"/>
    </row>
    <row r="43" spans="2:45" ht="18.75">
      <c r="B43" s="7" t="s">
        <v>840</v>
      </c>
      <c r="C43" s="453" t="s">
        <v>898</v>
      </c>
      <c r="D43" s="453"/>
      <c r="E43" s="453"/>
      <c r="F43" s="453"/>
      <c r="G43" s="453"/>
      <c r="H43" s="1170">
        <v>36.162394917102745</v>
      </c>
      <c r="I43" s="1170">
        <v>78.413300000000007</v>
      </c>
      <c r="J43" s="1170">
        <v>145.97499999999999</v>
      </c>
      <c r="K43" s="1170">
        <v>251.977</v>
      </c>
      <c r="L43" s="1170">
        <v>465.21</v>
      </c>
      <c r="M43" s="1170">
        <v>1014.99</v>
      </c>
      <c r="N43" s="1173">
        <v>1505.088</v>
      </c>
      <c r="O43" s="1173">
        <v>2343.44</v>
      </c>
      <c r="P43" s="1173">
        <v>0</v>
      </c>
      <c r="Q43" s="1173">
        <v>0</v>
      </c>
      <c r="R43" s="1173">
        <v>0</v>
      </c>
      <c r="S43" s="1187">
        <v>0</v>
      </c>
      <c r="T43" s="1187">
        <v>0</v>
      </c>
      <c r="U43" s="529">
        <v>3900</v>
      </c>
      <c r="V43" s="529">
        <v>2629.2</v>
      </c>
      <c r="W43" s="529">
        <v>2185.6999999999998</v>
      </c>
      <c r="X43" s="529">
        <v>2632</v>
      </c>
      <c r="Y43" s="529">
        <v>2568.6</v>
      </c>
      <c r="Z43" s="529">
        <v>2731.6</v>
      </c>
      <c r="AA43" s="529">
        <v>2559.8000000000002</v>
      </c>
      <c r="AB43" s="529">
        <v>2032.1</v>
      </c>
      <c r="AC43" s="529">
        <v>3732.1</v>
      </c>
      <c r="AD43" s="529">
        <v>3239.8</v>
      </c>
      <c r="AE43" s="529">
        <v>2018.8</v>
      </c>
      <c r="AF43" s="697">
        <v>1358.8989999999999</v>
      </c>
      <c r="AG43" s="530">
        <f>AF43*(Assumptions!AG16/Assumptions!AF16*Assumptions!AG14/Assumptions!AF14)</f>
        <v>1242.3543317370481</v>
      </c>
      <c r="AH43" s="530">
        <f>AG43*(Assumptions!AH16/Assumptions!AG16*Assumptions!AH14/Assumptions!AG14)</f>
        <v>1093.1798321362476</v>
      </c>
      <c r="AI43" s="530">
        <f>AH43*(Assumptions!AI16/Assumptions!AH16*Assumptions!AI14/Assumptions!AH14)</f>
        <v>938.56930974238446</v>
      </c>
      <c r="AJ43" s="530">
        <f>AI43*(Assumptions!AJ16/Assumptions!AI16*Assumptions!AJ14/Assumptions!AI14)</f>
        <v>938.56930974238446</v>
      </c>
      <c r="AK43" s="530">
        <f>AJ43*(Assumptions!AK16/Assumptions!AJ16*Assumptions!AK14/Assumptions!AJ14)</f>
        <v>938.56930974238446</v>
      </c>
      <c r="AL43" s="530">
        <f>AK43*(Assumptions!AL16/Assumptions!AK16*Assumptions!AL14/Assumptions!AK14)</f>
        <v>938.56930974238446</v>
      </c>
      <c r="AM43" s="530">
        <f>AL43*(Assumptions!AM16/Assumptions!AL16*Assumptions!AM14/Assumptions!AL14)</f>
        <v>938.56930974238446</v>
      </c>
      <c r="AN43" s="530">
        <f>AM43*(Assumptions!AN16/Assumptions!AM16*Assumptions!AN14/Assumptions!AM14)</f>
        <v>938.56930974238446</v>
      </c>
      <c r="AO43" s="530">
        <f>AN43*(Assumptions!AO16/Assumptions!AN16*Assumptions!AO14/Assumptions!AN14)</f>
        <v>938.56930974238446</v>
      </c>
      <c r="AP43" s="530">
        <f>AO43*(Assumptions!AP16/Assumptions!AO16*Assumptions!AP14/Assumptions!AO14)</f>
        <v>938.56930974238446</v>
      </c>
      <c r="AS43" t="s">
        <v>1033</v>
      </c>
    </row>
    <row r="44" spans="2:45" ht="18.75">
      <c r="B44" s="7" t="s">
        <v>841</v>
      </c>
      <c r="C44" s="453" t="s">
        <v>899</v>
      </c>
      <c r="D44" s="453"/>
      <c r="E44" s="453"/>
      <c r="F44" s="453"/>
      <c r="G44" s="1178">
        <v>1.2081822192877333E-2</v>
      </c>
      <c r="H44" s="1178">
        <v>0.20569502351427227</v>
      </c>
      <c r="I44" s="1178">
        <v>3.3063818663296418</v>
      </c>
      <c r="J44" s="1178">
        <v>4.7921089590750237</v>
      </c>
      <c r="K44" s="1178">
        <v>13.675620182436299</v>
      </c>
      <c r="L44" s="1178">
        <v>9.9968876339600854</v>
      </c>
      <c r="M44" s="1178">
        <v>6.9449430026679604</v>
      </c>
      <c r="N44" s="1178">
        <v>10.601074800290485</v>
      </c>
      <c r="O44" s="531">
        <v>11.274871927427592</v>
      </c>
      <c r="P44" s="531">
        <v>11.991495143153921</v>
      </c>
      <c r="Q44" s="1181">
        <v>35.200000000000003</v>
      </c>
      <c r="R44" s="531">
        <v>37.437288135593221</v>
      </c>
      <c r="S44" s="531">
        <v>39.816776788279235</v>
      </c>
      <c r="T44" s="531">
        <v>42.347504126517322</v>
      </c>
      <c r="U44" s="531">
        <v>45.039082778626472</v>
      </c>
      <c r="V44" s="531">
        <v>47.901736345064599</v>
      </c>
      <c r="W44" s="531">
        <f t="shared" ref="W44:AC44" si="63">V44*25.1/23.6</f>
        <v>50.946338231403452</v>
      </c>
      <c r="X44" s="531">
        <f t="shared" si="63"/>
        <v>54.184452949501129</v>
      </c>
      <c r="Y44" s="531">
        <f t="shared" si="63"/>
        <v>57.628380043749083</v>
      </c>
      <c r="Z44" s="531">
        <f t="shared" si="63"/>
        <v>61.291200809241609</v>
      </c>
      <c r="AA44" s="531">
        <f t="shared" si="63"/>
        <v>65.186827979320526</v>
      </c>
      <c r="AB44" s="531">
        <f t="shared" si="63"/>
        <v>69.330058571226488</v>
      </c>
      <c r="AC44" s="531">
        <f t="shared" si="63"/>
        <v>73.7366300905841</v>
      </c>
      <c r="AD44" s="529">
        <v>94.867999999999995</v>
      </c>
      <c r="AE44" s="529">
        <v>109.248</v>
      </c>
      <c r="AF44" s="531">
        <f>gateway!AF24*0.015</f>
        <v>264.29752313039666</v>
      </c>
      <c r="AG44" s="531">
        <f>gateway!AG24*0.015</f>
        <v>326.74918532858976</v>
      </c>
      <c r="AH44" s="531">
        <f>gateway!AH24*0.015</f>
        <v>359.23619116978756</v>
      </c>
      <c r="AI44" s="531">
        <f>gateway!AI24*0.015</f>
        <v>394.05031521488667</v>
      </c>
      <c r="AJ44" s="531">
        <f>gateway!AJ24*0.015</f>
        <v>441.61441867319968</v>
      </c>
      <c r="AK44" s="531">
        <f>gateway!AK24*0.015</f>
        <v>488.28753978199296</v>
      </c>
      <c r="AL44" s="531">
        <f>gateway!AL24*0.015</f>
        <v>536.489506126783</v>
      </c>
      <c r="AM44" s="531">
        <f>gateway!AM24*0.015</f>
        <v>593.47629883740842</v>
      </c>
      <c r="AN44" s="531">
        <f>gateway!AN24*0.015</f>
        <v>667.89787872323473</v>
      </c>
      <c r="AO44" s="531">
        <f>gateway!AO24*0.015</f>
        <v>741.42272871742489</v>
      </c>
      <c r="AP44" s="531">
        <f>gateway!AP24*0.015</f>
        <v>825.02336674946525</v>
      </c>
      <c r="AS44" t="s">
        <v>1034</v>
      </c>
    </row>
    <row r="45" spans="2:45">
      <c r="B45" s="7"/>
      <c r="C45" s="453" t="s">
        <v>900</v>
      </c>
      <c r="D45" s="453"/>
      <c r="E45" s="453"/>
      <c r="F45" s="453"/>
      <c r="G45" s="1178">
        <v>23.4</v>
      </c>
      <c r="H45" s="1178">
        <v>485.2</v>
      </c>
      <c r="I45" s="1178">
        <v>9151.2999999999993</v>
      </c>
      <c r="J45" s="1178">
        <v>14672</v>
      </c>
      <c r="K45" s="1178">
        <v>40628.9</v>
      </c>
      <c r="L45" s="1178">
        <v>31156.3</v>
      </c>
      <c r="M45" s="1178">
        <v>22907.200000000001</v>
      </c>
      <c r="N45" s="1178">
        <v>36494.199999999997</v>
      </c>
      <c r="O45" s="1183">
        <v>24370.799999999999</v>
      </c>
      <c r="P45" s="1183">
        <v>317575.90000000002</v>
      </c>
      <c r="Q45" s="459"/>
      <c r="R45" s="453"/>
      <c r="S45" s="453"/>
      <c r="T45" s="453"/>
    </row>
    <row r="49" spans="2:45" ht="18.75">
      <c r="B49" s="7" t="s">
        <v>829</v>
      </c>
      <c r="C49" s="457" t="s">
        <v>901</v>
      </c>
      <c r="D49" s="457"/>
      <c r="E49" s="457"/>
      <c r="F49" s="457"/>
      <c r="G49" s="535">
        <v>4.49</v>
      </c>
      <c r="H49" s="535">
        <v>15.172000000000001</v>
      </c>
      <c r="I49" s="535">
        <v>45.397400000000005</v>
      </c>
      <c r="J49" s="1169">
        <v>13.87</v>
      </c>
      <c r="K49" s="535">
        <v>25.5</v>
      </c>
      <c r="L49" s="535">
        <v>0</v>
      </c>
      <c r="M49" s="535">
        <v>99.866399999999999</v>
      </c>
      <c r="N49" s="535">
        <v>32.838800000000006</v>
      </c>
      <c r="O49" s="535">
        <v>39.439399999999999</v>
      </c>
      <c r="P49" s="535">
        <v>120.40730000000001</v>
      </c>
      <c r="Q49" s="1181">
        <v>68.5</v>
      </c>
      <c r="R49" s="1184">
        <v>50.237000000000002</v>
      </c>
      <c r="S49" s="1179">
        <v>71.748999999999995</v>
      </c>
      <c r="T49" s="1181">
        <v>133.30000000000001</v>
      </c>
      <c r="U49" s="1181">
        <v>123.9</v>
      </c>
      <c r="V49">
        <v>144</v>
      </c>
      <c r="W49">
        <v>178.6</v>
      </c>
      <c r="X49">
        <v>134.9</v>
      </c>
      <c r="Y49">
        <v>175.9</v>
      </c>
      <c r="Z49">
        <v>166</v>
      </c>
      <c r="AA49">
        <v>188.9</v>
      </c>
      <c r="AB49">
        <v>266.60000000000002</v>
      </c>
      <c r="AC49">
        <v>282.60000000000002</v>
      </c>
      <c r="AD49">
        <v>481.7</v>
      </c>
      <c r="AE49">
        <v>426.17200000000003</v>
      </c>
      <c r="AF49" s="516">
        <f t="shared" ref="AF49:AP49" si="64">AF50/100*AF2</f>
        <v>520.51324792232435</v>
      </c>
      <c r="AG49" s="531">
        <f t="shared" si="64"/>
        <v>643.50689971258873</v>
      </c>
      <c r="AH49" s="531">
        <f t="shared" si="64"/>
        <v>707.48751037207853</v>
      </c>
      <c r="AI49" s="531">
        <f t="shared" si="64"/>
        <v>776.05119786204693</v>
      </c>
      <c r="AJ49" s="531">
        <f t="shared" si="64"/>
        <v>869.72497006529682</v>
      </c>
      <c r="AK49" s="531">
        <f t="shared" si="64"/>
        <v>961.64402239415301</v>
      </c>
      <c r="AL49" s="531">
        <f t="shared" si="64"/>
        <v>1056.5740155367323</v>
      </c>
      <c r="AM49" s="531">
        <f t="shared" si="64"/>
        <v>1168.8050353781452</v>
      </c>
      <c r="AN49" s="531">
        <f t="shared" si="64"/>
        <v>1315.3725014787271</v>
      </c>
      <c r="AO49" s="531">
        <f t="shared" si="64"/>
        <v>1460.1739283713885</v>
      </c>
      <c r="AP49" s="531">
        <f t="shared" si="64"/>
        <v>1624.8188297500776</v>
      </c>
      <c r="AS49" t="s">
        <v>1035</v>
      </c>
    </row>
    <row r="50" spans="2:45" ht="18.75">
      <c r="B50" s="7" t="s">
        <v>842</v>
      </c>
      <c r="C50" s="458" t="s">
        <v>902</v>
      </c>
      <c r="D50" s="458"/>
      <c r="E50" s="458"/>
      <c r="F50" s="458"/>
      <c r="G50" s="94">
        <v>0.48669155965294286</v>
      </c>
      <c r="H50" s="94">
        <v>1.3959044711221835</v>
      </c>
      <c r="I50" s="94">
        <v>3.7226172336634695</v>
      </c>
      <c r="J50" s="94">
        <v>0.89185716685918293</v>
      </c>
      <c r="K50" s="94">
        <v>1.2284010572058632</v>
      </c>
      <c r="L50" s="94">
        <v>0</v>
      </c>
      <c r="M50" s="94">
        <v>3.528535063254528</v>
      </c>
      <c r="N50" s="94">
        <v>0.88288753778027718</v>
      </c>
      <c r="O50" s="94">
        <v>0.76397981577802998</v>
      </c>
      <c r="P50" s="532">
        <v>2.4164342527509817</v>
      </c>
      <c r="Q50" s="532">
        <v>1.2140700446430377</v>
      </c>
      <c r="R50" s="532">
        <v>0.77008315359265223</v>
      </c>
      <c r="S50" s="532">
        <v>0.94493824450890529</v>
      </c>
      <c r="T50" s="532">
        <v>1.5670937095930433</v>
      </c>
      <c r="U50" s="532">
        <v>1.3406702319401138</v>
      </c>
      <c r="V50" s="532">
        <f>V49/V2*100</f>
        <v>1.741336356895409</v>
      </c>
      <c r="W50" s="532">
        <f t="shared" ref="W50:AC50" si="65">W49/W2*100</f>
        <v>2.5541713770503174</v>
      </c>
      <c r="X50" s="532">
        <f t="shared" si="65"/>
        <v>1.7899698297335425</v>
      </c>
      <c r="Y50" s="532">
        <f t="shared" si="65"/>
        <v>2.2652887733045124</v>
      </c>
      <c r="Z50" s="532">
        <f t="shared" si="65"/>
        <v>1.9997479452608906</v>
      </c>
      <c r="AA50" s="532">
        <f t="shared" si="65"/>
        <v>2.3223506269977872</v>
      </c>
      <c r="AB50" s="532">
        <f t="shared" si="65"/>
        <v>2.9828369397390859</v>
      </c>
      <c r="AC50" s="532">
        <f t="shared" si="65"/>
        <v>2.6365137563323913</v>
      </c>
      <c r="AD50" s="532">
        <f>AD49/AD2*100</f>
        <v>3.9341718392682128</v>
      </c>
      <c r="AE50" s="532">
        <f>AE49/AE2*100</f>
        <v>2.9541323832167641</v>
      </c>
      <c r="AF50" s="189">
        <f t="shared" ref="AF50:AI50" si="66">AE50</f>
        <v>2.9541323832167641</v>
      </c>
      <c r="AG50" s="532">
        <f t="shared" si="66"/>
        <v>2.9541323832167641</v>
      </c>
      <c r="AH50" s="532">
        <f t="shared" si="66"/>
        <v>2.9541323832167641</v>
      </c>
      <c r="AI50" s="532">
        <f t="shared" si="66"/>
        <v>2.9541323832167641</v>
      </c>
      <c r="AJ50" s="532">
        <f t="shared" ref="AJ50" si="67">AI50</f>
        <v>2.9541323832167641</v>
      </c>
      <c r="AK50" s="532">
        <f t="shared" ref="AK50" si="68">AJ50</f>
        <v>2.9541323832167641</v>
      </c>
      <c r="AL50" s="532">
        <f t="shared" ref="AL50" si="69">AK50</f>
        <v>2.9541323832167641</v>
      </c>
      <c r="AM50" s="532">
        <f t="shared" ref="AM50" si="70">AL50</f>
        <v>2.9541323832167641</v>
      </c>
      <c r="AN50" s="532">
        <f t="shared" ref="AN50" si="71">AM50</f>
        <v>2.9541323832167641</v>
      </c>
      <c r="AO50" s="532">
        <f t="shared" ref="AO50" si="72">AN50</f>
        <v>2.9541323832167641</v>
      </c>
      <c r="AP50" s="532">
        <f t="shared" ref="AP50" si="73">AO50</f>
        <v>2.9541323832167641</v>
      </c>
      <c r="AS50" t="s">
        <v>1036</v>
      </c>
    </row>
    <row r="51" spans="2:45">
      <c r="C51" s="458"/>
      <c r="D51" s="458"/>
      <c r="E51" s="458"/>
      <c r="F51" s="458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1188"/>
    </row>
    <row r="52" spans="2:45">
      <c r="C52" s="458"/>
      <c r="D52" s="458"/>
      <c r="E52" s="458"/>
      <c r="F52" s="458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1188"/>
    </row>
    <row r="53" spans="2:45">
      <c r="Q53" s="1189"/>
    </row>
    <row r="54" spans="2:45" ht="46.5">
      <c r="B54" s="7" t="s">
        <v>831</v>
      </c>
      <c r="C54" s="524" t="s">
        <v>903</v>
      </c>
      <c r="D54" s="524"/>
      <c r="E54" s="524"/>
      <c r="F54" s="524"/>
      <c r="G54" s="535"/>
      <c r="H54" s="535"/>
      <c r="I54" s="535">
        <v>-6.2730999999999923</v>
      </c>
      <c r="J54" s="535">
        <v>13.915000000000003</v>
      </c>
      <c r="K54" s="535">
        <v>-58.201999999999998</v>
      </c>
      <c r="L54" s="535">
        <v>-97.321300000000008</v>
      </c>
      <c r="M54" s="535">
        <v>-229.87029999999999</v>
      </c>
      <c r="N54" s="535">
        <v>-216.55499999999995</v>
      </c>
      <c r="O54" s="535">
        <v>-777.89649999999995</v>
      </c>
      <c r="P54" s="520">
        <v>73.797700000000006</v>
      </c>
      <c r="Q54" s="520">
        <v>7.4066411100310603</v>
      </c>
      <c r="R54" s="520">
        <v>-123.59240630046077</v>
      </c>
      <c r="S54" s="520">
        <v>63.726492223633244</v>
      </c>
      <c r="T54" s="520">
        <v>243.59721481952772</v>
      </c>
      <c r="U54" s="520">
        <v>-1014.3236006076457</v>
      </c>
      <c r="V54" s="149">
        <f>V55+V59+V62</f>
        <v>355.48331969428682</v>
      </c>
      <c r="W54" s="149">
        <f t="shared" ref="W54:AP54" si="74">W55+W59+W62</f>
        <v>486.16672289947712</v>
      </c>
      <c r="X54" s="149">
        <f t="shared" si="74"/>
        <v>401.61646419937665</v>
      </c>
      <c r="Y54" s="149">
        <f t="shared" si="74"/>
        <v>462.99986295377306</v>
      </c>
      <c r="Z54" s="149">
        <f t="shared" si="74"/>
        <v>-88.289116130298964</v>
      </c>
      <c r="AA54" s="149">
        <f t="shared" si="74"/>
        <v>-301.11427325039818</v>
      </c>
      <c r="AB54" s="149">
        <f t="shared" si="74"/>
        <v>807.72055572766135</v>
      </c>
      <c r="AC54" s="149">
        <f t="shared" si="74"/>
        <v>397.93397880709097</v>
      </c>
      <c r="AD54" s="149">
        <f t="shared" si="74"/>
        <v>172.79395645373378</v>
      </c>
      <c r="AE54" s="149">
        <f t="shared" si="74"/>
        <v>154.93082569106156</v>
      </c>
      <c r="AF54" s="149">
        <f t="shared" si="74"/>
        <v>2615.4618010702961</v>
      </c>
      <c r="AG54" s="149">
        <f t="shared" si="74"/>
        <v>-1898.4344135360429</v>
      </c>
      <c r="AH54" s="149">
        <f t="shared" si="74"/>
        <v>-1242.6348396130118</v>
      </c>
      <c r="AI54" s="149">
        <f t="shared" si="74"/>
        <v>-1403.740176994952</v>
      </c>
      <c r="AJ54" s="149">
        <f t="shared" si="74"/>
        <v>-1589.9279728440101</v>
      </c>
      <c r="AK54" s="149">
        <f t="shared" si="74"/>
        <v>-1676.2634865437183</v>
      </c>
      <c r="AL54" s="149">
        <f t="shared" si="74"/>
        <v>-1668.4021216975852</v>
      </c>
      <c r="AM54" s="149">
        <f t="shared" si="74"/>
        <v>-2230.4500029259148</v>
      </c>
      <c r="AN54" s="149">
        <f t="shared" si="74"/>
        <v>-4745.8143948054285</v>
      </c>
      <c r="AO54" s="149">
        <f t="shared" si="74"/>
        <v>-4876.7505680367849</v>
      </c>
      <c r="AP54" s="149">
        <f t="shared" si="74"/>
        <v>-620.4405075105966</v>
      </c>
      <c r="AS54" t="s">
        <v>1037</v>
      </c>
    </row>
    <row r="55" spans="2:45" ht="18.75">
      <c r="B55" s="7" t="s">
        <v>843</v>
      </c>
      <c r="C55" s="458" t="s">
        <v>904</v>
      </c>
      <c r="D55" s="458"/>
      <c r="E55" s="458"/>
      <c r="F55" s="458"/>
      <c r="G55" s="94"/>
      <c r="H55" s="94"/>
      <c r="I55" s="94">
        <v>-17.0273</v>
      </c>
      <c r="J55" s="94">
        <v>-0.8276</v>
      </c>
      <c r="K55" s="94">
        <v>-20.642499999999998</v>
      </c>
      <c r="L55" s="94">
        <v>-37.107100000000003</v>
      </c>
      <c r="M55" s="94">
        <v>-67.898300000000006</v>
      </c>
      <c r="N55" s="94">
        <v>-199.77699999999999</v>
      </c>
      <c r="O55" s="94">
        <v>-677.18899999999996</v>
      </c>
      <c r="P55" s="1153">
        <v>139.18600000000001</v>
      </c>
      <c r="Q55" s="1153">
        <v>-116.61091457680163</v>
      </c>
      <c r="R55" s="1153">
        <v>-155.88768491995029</v>
      </c>
      <c r="S55" s="1153">
        <v>-189.13780726285722</v>
      </c>
      <c r="T55" s="1153">
        <v>-161.51306660256432</v>
      </c>
      <c r="U55" s="522">
        <v>-130.0747808077806</v>
      </c>
      <c r="V55" s="94">
        <v>6.5447386019900478</v>
      </c>
      <c r="W55" s="523">
        <f>W56-V56</f>
        <v>111.55012506848425</v>
      </c>
      <c r="X55" s="523">
        <f t="shared" ref="X55:AI55" si="75">X56-W56</f>
        <v>-268.69301617492692</v>
      </c>
      <c r="Y55" s="523">
        <f t="shared" si="75"/>
        <v>-209.44118588001879</v>
      </c>
      <c r="Z55" s="523">
        <f t="shared" si="75"/>
        <v>-303.70774567191256</v>
      </c>
      <c r="AA55" s="523">
        <f t="shared" si="75"/>
        <v>-116.43106717033652</v>
      </c>
      <c r="AB55" s="523">
        <f t="shared" si="75"/>
        <v>-417.37463389449795</v>
      </c>
      <c r="AC55" s="523">
        <f t="shared" si="75"/>
        <v>-778.67565899814826</v>
      </c>
      <c r="AD55" s="523">
        <f t="shared" si="75"/>
        <v>-758.69742707051182</v>
      </c>
      <c r="AE55" s="523">
        <f t="shared" si="75"/>
        <v>-1067.3085443492937</v>
      </c>
      <c r="AF55" s="523">
        <f t="shared" si="75"/>
        <v>-1555.9224450537522</v>
      </c>
      <c r="AG55" s="523">
        <f t="shared" si="75"/>
        <v>-2087.9833150042859</v>
      </c>
      <c r="AH55" s="523">
        <f t="shared" si="75"/>
        <v>-1381.8240522363176</v>
      </c>
      <c r="AI55" s="523">
        <f t="shared" si="75"/>
        <v>-1539.3343778977141</v>
      </c>
      <c r="AJ55" s="523">
        <f t="shared" ref="AJ55" si="76">AJ56-AI56</f>
        <v>-2037.5051009203198</v>
      </c>
      <c r="AK55" s="523">
        <f t="shared" ref="AK55" si="77">AK56-AJ56</f>
        <v>-2134.829621183766</v>
      </c>
      <c r="AL55" s="523">
        <f t="shared" ref="AL55" si="78">AL56-AK56</f>
        <v>-2311.9715327448812</v>
      </c>
      <c r="AM55" s="523">
        <f t="shared" ref="AM55" si="79">AM56-AL56</f>
        <v>-2754.9267713796689</v>
      </c>
      <c r="AN55" s="523">
        <f t="shared" ref="AN55" si="80">AN56-AM56</f>
        <v>-3554.1443013946555</v>
      </c>
      <c r="AO55" s="523">
        <f t="shared" ref="AO55" si="81">AO56-AN56</f>
        <v>-3718.1158165678571</v>
      </c>
      <c r="AP55" s="523">
        <f t="shared" ref="AP55" si="82">AP56-AO56</f>
        <v>-4315.1065507026215</v>
      </c>
      <c r="AS55" t="s">
        <v>1038</v>
      </c>
    </row>
    <row r="56" spans="2:45" ht="18.75">
      <c r="B56" s="7" t="s">
        <v>844</v>
      </c>
      <c r="C56" s="458" t="s">
        <v>905</v>
      </c>
      <c r="D56" s="458"/>
      <c r="E56" s="458"/>
      <c r="F56" s="458"/>
      <c r="G56" s="94"/>
      <c r="H56" s="94"/>
      <c r="I56" s="94">
        <v>-17.0273</v>
      </c>
      <c r="J56" s="94">
        <v>-17.854900000000001</v>
      </c>
      <c r="K56" s="94">
        <v>-38.497399999999999</v>
      </c>
      <c r="L56" s="94">
        <v>-75.604500000000002</v>
      </c>
      <c r="M56" s="94">
        <v>-143.50280000000001</v>
      </c>
      <c r="N56" s="94">
        <v>-343.27980000000002</v>
      </c>
      <c r="O56" s="94">
        <v>-1020.4688</v>
      </c>
      <c r="P56" s="1153">
        <v>-881.28279999999995</v>
      </c>
      <c r="Q56" s="1156">
        <v>-997.89371457680159</v>
      </c>
      <c r="R56" s="1156">
        <v>-1153.7813994967519</v>
      </c>
      <c r="S56" s="1156">
        <v>-1342.9192067596091</v>
      </c>
      <c r="T56" s="1156">
        <v>-1504.4322733621734</v>
      </c>
      <c r="U56" s="515">
        <v>-1634.507054169954</v>
      </c>
      <c r="V56">
        <f>V57/100*V2</f>
        <v>-1627.962315567964</v>
      </c>
      <c r="W56">
        <f t="shared" ref="W56:AP56" si="83">W57/100*W2</f>
        <v>-1516.4121904994797</v>
      </c>
      <c r="X56">
        <f t="shared" si="83"/>
        <v>-1785.1052066744066</v>
      </c>
      <c r="Y56">
        <f t="shared" si="83"/>
        <v>-1994.5463925544254</v>
      </c>
      <c r="Z56">
        <f t="shared" si="83"/>
        <v>-2298.254138226338</v>
      </c>
      <c r="AA56">
        <f t="shared" si="83"/>
        <v>-2414.6852053966745</v>
      </c>
      <c r="AB56">
        <f t="shared" si="83"/>
        <v>-2832.0598392911725</v>
      </c>
      <c r="AC56">
        <f t="shared" si="83"/>
        <v>-3610.7354982893207</v>
      </c>
      <c r="AD56">
        <f t="shared" si="83"/>
        <v>-4369.4329253598326</v>
      </c>
      <c r="AE56">
        <f t="shared" si="83"/>
        <v>-5436.7414697091262</v>
      </c>
      <c r="AF56">
        <f t="shared" si="83"/>
        <v>-6992.6639147628784</v>
      </c>
      <c r="AG56">
        <f t="shared" si="83"/>
        <v>-9080.6472297671644</v>
      </c>
      <c r="AH56">
        <f t="shared" si="83"/>
        <v>-10462.471282003482</v>
      </c>
      <c r="AI56">
        <f t="shared" si="83"/>
        <v>-12001.805659901196</v>
      </c>
      <c r="AJ56">
        <f t="shared" si="83"/>
        <v>-14039.310760821516</v>
      </c>
      <c r="AK56">
        <f t="shared" si="83"/>
        <v>-16174.140382005282</v>
      </c>
      <c r="AL56">
        <f t="shared" si="83"/>
        <v>-18486.111914750163</v>
      </c>
      <c r="AM56">
        <f t="shared" si="83"/>
        <v>-21241.038686129832</v>
      </c>
      <c r="AN56">
        <f t="shared" si="83"/>
        <v>-24795.182987524488</v>
      </c>
      <c r="AO56">
        <f t="shared" si="83"/>
        <v>-28513.298804092345</v>
      </c>
      <c r="AP56">
        <f t="shared" si="83"/>
        <v>-32828.405354794966</v>
      </c>
      <c r="AS56" t="s">
        <v>1039</v>
      </c>
    </row>
    <row r="57" spans="2:45" ht="18.75">
      <c r="B57" s="7" t="s">
        <v>845</v>
      </c>
      <c r="C57" s="458" t="s">
        <v>906</v>
      </c>
      <c r="D57" s="458"/>
      <c r="E57" s="458"/>
      <c r="F57" s="458"/>
      <c r="G57" s="94"/>
      <c r="H57" s="94"/>
      <c r="I57" s="94">
        <v>-1.3962500148193064</v>
      </c>
      <c r="J57" s="94">
        <v>-1.1480908816549407</v>
      </c>
      <c r="K57" s="94">
        <v>-1.8545194846932158</v>
      </c>
      <c r="L57" s="94">
        <v>-3.2696276288402299</v>
      </c>
      <c r="M57" s="94">
        <v>-5.0703205630242199</v>
      </c>
      <c r="N57" s="94">
        <v>-9.2292488578055814</v>
      </c>
      <c r="O57" s="94">
        <v>-19.76748038335338</v>
      </c>
      <c r="P57" s="1153">
        <v>-17.686319220514807</v>
      </c>
      <c r="Q57" s="1153">
        <v>-17.686319220514807</v>
      </c>
      <c r="R57" s="1153">
        <v>-17.686319220514807</v>
      </c>
      <c r="S57" s="1153">
        <v>-17.686319220514807</v>
      </c>
      <c r="T57" s="1153">
        <v>-17.686319220514807</v>
      </c>
      <c r="U57" s="1153">
        <v>-17.686319220514807</v>
      </c>
      <c r="V57" s="94">
        <v>-19.686319220514807</v>
      </c>
      <c r="W57" s="523">
        <f>V57-2</f>
        <v>-21.686319220514807</v>
      </c>
      <c r="X57" s="523">
        <f t="shared" ref="X57:AI57" si="84">W57-2</f>
        <v>-23.686319220514807</v>
      </c>
      <c r="Y57" s="523">
        <f t="shared" si="84"/>
        <v>-25.686319220514807</v>
      </c>
      <c r="Z57" s="523">
        <f t="shared" si="84"/>
        <v>-27.686319220514807</v>
      </c>
      <c r="AA57" s="523">
        <f t="shared" si="84"/>
        <v>-29.686319220514807</v>
      </c>
      <c r="AB57" s="523">
        <f t="shared" si="84"/>
        <v>-31.686319220514807</v>
      </c>
      <c r="AC57" s="523">
        <f t="shared" si="84"/>
        <v>-33.686319220514804</v>
      </c>
      <c r="AD57" s="523">
        <f t="shared" si="84"/>
        <v>-35.686319220514804</v>
      </c>
      <c r="AE57" s="523">
        <f t="shared" si="84"/>
        <v>-37.686319220514804</v>
      </c>
      <c r="AF57" s="523">
        <f t="shared" si="84"/>
        <v>-39.686319220514804</v>
      </c>
      <c r="AG57" s="523">
        <f t="shared" si="84"/>
        <v>-41.686319220514804</v>
      </c>
      <c r="AH57" s="523">
        <f t="shared" si="84"/>
        <v>-43.686319220514804</v>
      </c>
      <c r="AI57" s="523">
        <f t="shared" si="84"/>
        <v>-45.686319220514804</v>
      </c>
      <c r="AJ57" s="523">
        <f t="shared" ref="AJ57" si="85">AI57-2</f>
        <v>-47.686319220514804</v>
      </c>
      <c r="AK57" s="523">
        <f t="shared" ref="AK57" si="86">AJ57-2</f>
        <v>-49.686319220514804</v>
      </c>
      <c r="AL57" s="523">
        <f t="shared" ref="AL57" si="87">AK57-2</f>
        <v>-51.686319220514804</v>
      </c>
      <c r="AM57" s="523">
        <f t="shared" ref="AM57" si="88">AL57-2</f>
        <v>-53.686319220514804</v>
      </c>
      <c r="AN57" s="523">
        <f t="shared" ref="AN57" si="89">AM57-2</f>
        <v>-55.686319220514804</v>
      </c>
      <c r="AO57" s="523">
        <f t="shared" ref="AO57" si="90">AN57-2</f>
        <v>-57.686319220514804</v>
      </c>
      <c r="AP57" s="523">
        <f t="shared" ref="AP57" si="91">AO57-2</f>
        <v>-59.686319220514804</v>
      </c>
      <c r="AS57" t="s">
        <v>1040</v>
      </c>
    </row>
    <row r="58" spans="2:45">
      <c r="C58" s="458"/>
      <c r="D58" s="458"/>
      <c r="E58" s="458"/>
      <c r="F58" s="458"/>
      <c r="G58" s="94"/>
      <c r="H58" s="94"/>
      <c r="I58" s="94"/>
      <c r="J58" s="94"/>
      <c r="K58" s="94"/>
      <c r="L58" s="94"/>
      <c r="M58" s="94"/>
      <c r="N58" s="94"/>
      <c r="O58" s="94"/>
      <c r="P58" s="1153"/>
      <c r="Q58" s="1153"/>
      <c r="R58" s="1153"/>
      <c r="S58" s="1153"/>
      <c r="T58" s="1153"/>
      <c r="U58" s="522"/>
    </row>
    <row r="59" spans="2:45" ht="18.75">
      <c r="B59" s="7" t="s">
        <v>846</v>
      </c>
      <c r="C59" s="458" t="s">
        <v>907</v>
      </c>
      <c r="D59" s="458"/>
      <c r="E59" s="458"/>
      <c r="F59" s="458"/>
      <c r="G59" s="94"/>
      <c r="H59" s="94"/>
      <c r="I59" s="94">
        <v>66.342200000000005</v>
      </c>
      <c r="J59" s="94">
        <v>44.7361</v>
      </c>
      <c r="K59" s="94">
        <v>-5.0698999999999996</v>
      </c>
      <c r="L59" s="94">
        <v>16.092700000000001</v>
      </c>
      <c r="M59" s="94">
        <v>102.723</v>
      </c>
      <c r="N59" s="94">
        <v>346.16500000000002</v>
      </c>
      <c r="O59" s="94">
        <v>-126.264</v>
      </c>
      <c r="P59" s="1153">
        <v>-96.085700000000003</v>
      </c>
      <c r="Q59" s="1153">
        <v>96.085699999999974</v>
      </c>
      <c r="R59" s="1153">
        <v>0</v>
      </c>
      <c r="S59" s="1153">
        <v>215.2749</v>
      </c>
      <c r="T59" s="1153">
        <v>363</v>
      </c>
      <c r="U59" s="522">
        <v>-930</v>
      </c>
      <c r="V59">
        <v>308</v>
      </c>
      <c r="W59" s="523">
        <f>W60-V60</f>
        <v>340</v>
      </c>
      <c r="X59" s="523">
        <f t="shared" ref="X59:AI59" si="92">X60-W60</f>
        <v>633</v>
      </c>
      <c r="Y59" s="523">
        <f t="shared" si="92"/>
        <v>634</v>
      </c>
      <c r="Z59" s="523">
        <f t="shared" si="92"/>
        <v>174.32393179449991</v>
      </c>
      <c r="AA59" s="523">
        <f t="shared" si="92"/>
        <v>-224.95093439670654</v>
      </c>
      <c r="AB59" s="523">
        <f t="shared" si="92"/>
        <v>1180.848213700287</v>
      </c>
      <c r="AC59" s="523">
        <f t="shared" si="92"/>
        <v>1123.5462373248333</v>
      </c>
      <c r="AD59" s="523">
        <f t="shared" si="92"/>
        <v>870.8769176391952</v>
      </c>
      <c r="AE59" s="523">
        <f t="shared" si="92"/>
        <v>1150.8213310663677</v>
      </c>
      <c r="AF59" s="523">
        <f t="shared" si="92"/>
        <v>4084.1564708910591</v>
      </c>
      <c r="AG59" s="523">
        <f t="shared" si="92"/>
        <v>81.70981104535349</v>
      </c>
      <c r="AH59" s="523">
        <f t="shared" si="92"/>
        <v>20.628231166610931</v>
      </c>
      <c r="AI59" s="523">
        <f t="shared" si="92"/>
        <v>5.5432949429123255</v>
      </c>
      <c r="AJ59" s="523">
        <f t="shared" ref="AJ59" si="93">AJ60-AI60</f>
        <v>301.82834165023451</v>
      </c>
      <c r="AK59" s="523">
        <f t="shared" ref="AK59" si="94">AK60-AJ60</f>
        <v>297.41352426102821</v>
      </c>
      <c r="AL59" s="523">
        <f t="shared" ref="AL59" si="95">AL60-AK60</f>
        <v>466.50840229847017</v>
      </c>
      <c r="AM59" s="523">
        <f t="shared" ref="AM59" si="96">AM60-AL60</f>
        <v>328.60804979173736</v>
      </c>
      <c r="AN59" s="523">
        <f t="shared" ref="AN59" si="97">AN60-AM60</f>
        <v>-1412.1006345442092</v>
      </c>
      <c r="AO59" s="523">
        <f t="shared" ref="AO59" si="98">AO60-AN60</f>
        <v>-1403.3311616629999</v>
      </c>
      <c r="AP59" s="523">
        <f t="shared" ref="AP59" si="99">AP60-AO60</f>
        <v>3422.3783881870986</v>
      </c>
      <c r="AS59" t="s">
        <v>1041</v>
      </c>
    </row>
    <row r="60" spans="2:45" ht="18.75">
      <c r="B60" s="7" t="s">
        <v>847</v>
      </c>
      <c r="C60" s="458" t="s">
        <v>908</v>
      </c>
      <c r="D60" s="458"/>
      <c r="E60" s="458"/>
      <c r="F60" s="458"/>
      <c r="G60" s="94"/>
      <c r="H60" s="94"/>
      <c r="I60" s="94">
        <v>66.342200000000005</v>
      </c>
      <c r="J60" s="94">
        <v>111.07830000000001</v>
      </c>
      <c r="K60" s="94">
        <v>106.00840000000001</v>
      </c>
      <c r="L60" s="94">
        <v>122.1011</v>
      </c>
      <c r="M60" s="94">
        <v>224.82409999999999</v>
      </c>
      <c r="N60" s="94">
        <v>570.98910000000001</v>
      </c>
      <c r="O60" s="94">
        <v>444.7251</v>
      </c>
      <c r="P60" s="94">
        <v>348.63940000000002</v>
      </c>
      <c r="Q60" s="94">
        <v>444.7251</v>
      </c>
      <c r="R60" s="94">
        <v>444.7251</v>
      </c>
      <c r="S60" s="151">
        <v>660</v>
      </c>
      <c r="T60" s="151">
        <v>1023</v>
      </c>
      <c r="U60" s="521">
        <v>93</v>
      </c>
      <c r="V60">
        <v>401</v>
      </c>
      <c r="W60">
        <v>741</v>
      </c>
      <c r="X60">
        <v>1374</v>
      </c>
      <c r="Y60">
        <v>2008</v>
      </c>
      <c r="Z60" s="523">
        <f>Y60*EXP(1.4912567232*LN(Z8/Y8))</f>
        <v>2182.3239317944999</v>
      </c>
      <c r="AA60" s="523">
        <f t="shared" ref="AA60:AH60" si="100">Z60*EXP(1.4912567232*LN(AA8/Z8))</f>
        <v>1957.3729973977934</v>
      </c>
      <c r="AB60" s="523">
        <f t="shared" si="100"/>
        <v>3138.2212110980804</v>
      </c>
      <c r="AC60" s="523">
        <f t="shared" si="100"/>
        <v>4261.7674484229137</v>
      </c>
      <c r="AD60" s="523">
        <f t="shared" si="100"/>
        <v>5132.6443660621089</v>
      </c>
      <c r="AE60" s="523">
        <f t="shared" si="100"/>
        <v>6283.4656971284767</v>
      </c>
      <c r="AF60" s="523">
        <f t="shared" si="100"/>
        <v>10367.622168019536</v>
      </c>
      <c r="AG60" s="523">
        <f t="shared" si="100"/>
        <v>10449.331979064889</v>
      </c>
      <c r="AH60" s="523">
        <f t="shared" si="100"/>
        <v>10469.9602102315</v>
      </c>
      <c r="AI60" s="523">
        <f>AH60*EXP(1.4912567232*LN(AI8/AH8))</f>
        <v>10475.503505174413</v>
      </c>
      <c r="AJ60" s="523">
        <f>AI60*EXP(1.4912567232*LN(AJ8/AI8))</f>
        <v>10777.331846824647</v>
      </c>
      <c r="AK60" s="523">
        <f t="shared" ref="AK60:AP60" si="101">AJ60*EXP(1.4912567232*LN(AK8/AJ8))</f>
        <v>11074.745371085675</v>
      </c>
      <c r="AL60" s="523">
        <f t="shared" si="101"/>
        <v>11541.253773384145</v>
      </c>
      <c r="AM60" s="523">
        <f t="shared" si="101"/>
        <v>11869.861823175883</v>
      </c>
      <c r="AN60" s="523">
        <f t="shared" si="101"/>
        <v>10457.761188631674</v>
      </c>
      <c r="AO60" s="523">
        <f t="shared" si="101"/>
        <v>9054.4300269686737</v>
      </c>
      <c r="AP60" s="523">
        <f t="shared" si="101"/>
        <v>12476.808415155772</v>
      </c>
      <c r="AS60" t="s">
        <v>1042</v>
      </c>
    </row>
    <row r="61" spans="2:45">
      <c r="C61" s="458"/>
      <c r="D61" s="458"/>
      <c r="E61" s="458"/>
      <c r="F61" s="458"/>
      <c r="G61" s="94"/>
      <c r="H61" s="94"/>
      <c r="I61" s="94"/>
      <c r="J61" s="94"/>
      <c r="K61" s="94"/>
      <c r="L61" s="94"/>
      <c r="M61" s="94"/>
      <c r="N61" s="94"/>
      <c r="O61" s="94"/>
      <c r="P61" s="1153"/>
      <c r="Q61" s="1153"/>
      <c r="R61" s="1153"/>
      <c r="S61" s="1153"/>
      <c r="T61" s="1153"/>
      <c r="U61" s="522"/>
    </row>
    <row r="62" spans="2:45" ht="18.75">
      <c r="B62" s="7" t="s">
        <v>848</v>
      </c>
      <c r="C62" s="458" t="s">
        <v>909</v>
      </c>
      <c r="D62" s="458"/>
      <c r="E62" s="458"/>
      <c r="F62" s="458"/>
      <c r="G62" s="94"/>
      <c r="H62" s="94"/>
      <c r="I62" s="94">
        <v>-55.588000000000001</v>
      </c>
      <c r="J62" s="94">
        <v>-29.993500000000001</v>
      </c>
      <c r="K62" s="94">
        <v>-32.489600000000003</v>
      </c>
      <c r="L62" s="94">
        <v>-76.306899999999999</v>
      </c>
      <c r="M62" s="94">
        <v>-264.69499999999999</v>
      </c>
      <c r="N62" s="94">
        <v>-362.94299999999998</v>
      </c>
      <c r="O62" s="94">
        <v>25.5565</v>
      </c>
      <c r="P62" s="1153">
        <v>30.697399999999998</v>
      </c>
      <c r="Q62" s="1153">
        <v>27.931855686832719</v>
      </c>
      <c r="R62" s="1153">
        <v>32.29527861948953</v>
      </c>
      <c r="S62" s="1153">
        <v>37.589399486490464</v>
      </c>
      <c r="T62" s="1153">
        <v>42.110281422092029</v>
      </c>
      <c r="U62" s="522">
        <v>45.751180200134883</v>
      </c>
      <c r="V62" s="523">
        <f t="shared" ref="V62:AP62" si="102">V63*V2/100</f>
        <v>40.938581092296801</v>
      </c>
      <c r="W62" s="523">
        <f t="shared" si="102"/>
        <v>34.616597830992873</v>
      </c>
      <c r="X62" s="523">
        <f t="shared" si="102"/>
        <v>37.309480374303547</v>
      </c>
      <c r="Y62" s="523">
        <f t="shared" si="102"/>
        <v>38.441048833791861</v>
      </c>
      <c r="Z62" s="523">
        <f t="shared" si="102"/>
        <v>41.094697747113685</v>
      </c>
      <c r="AA62" s="523">
        <f t="shared" si="102"/>
        <v>40.267728316644892</v>
      </c>
      <c r="AB62" s="523">
        <f t="shared" si="102"/>
        <v>44.246975921872227</v>
      </c>
      <c r="AC62" s="523">
        <f t="shared" si="102"/>
        <v>53.06340048040591</v>
      </c>
      <c r="AD62" s="523">
        <f t="shared" si="102"/>
        <v>60.614465885050414</v>
      </c>
      <c r="AE62" s="523">
        <f t="shared" si="102"/>
        <v>71.418038973987507</v>
      </c>
      <c r="AF62" s="523">
        <f t="shared" si="102"/>
        <v>87.227775232989245</v>
      </c>
      <c r="AG62" s="523">
        <f t="shared" si="102"/>
        <v>107.8390904228895</v>
      </c>
      <c r="AH62" s="523">
        <f t="shared" si="102"/>
        <v>118.56098145669499</v>
      </c>
      <c r="AI62" s="523">
        <f>AI63*AI2/100</f>
        <v>130.05090595984996</v>
      </c>
      <c r="AJ62" s="523">
        <f t="shared" si="102"/>
        <v>145.74878642607513</v>
      </c>
      <c r="AK62" s="523">
        <f t="shared" si="102"/>
        <v>161.15261037901954</v>
      </c>
      <c r="AL62" s="523">
        <f t="shared" si="102"/>
        <v>177.0610087488258</v>
      </c>
      <c r="AM62" s="523">
        <f t="shared" si="102"/>
        <v>195.86871866201665</v>
      </c>
      <c r="AN62" s="523">
        <f t="shared" si="102"/>
        <v>220.43054113343646</v>
      </c>
      <c r="AO62" s="523">
        <f t="shared" si="102"/>
        <v>244.69641019407175</v>
      </c>
      <c r="AP62" s="523">
        <f t="shared" si="102"/>
        <v>272.28765500492625</v>
      </c>
      <c r="AS62" t="s">
        <v>1043</v>
      </c>
    </row>
    <row r="63" spans="2:45" ht="18.75">
      <c r="B63" s="7" t="s">
        <v>849</v>
      </c>
      <c r="C63" s="458" t="s">
        <v>910</v>
      </c>
      <c r="D63" s="458"/>
      <c r="E63" s="458"/>
      <c r="F63" s="458"/>
      <c r="G63" s="94"/>
      <c r="H63" s="94"/>
      <c r="I63" s="94">
        <v>-4.5582532652725689</v>
      </c>
      <c r="J63" s="94">
        <v>-1.9286170103958837</v>
      </c>
      <c r="K63" s="94">
        <v>-1.5651081956155146</v>
      </c>
      <c r="L63" s="94">
        <v>-3.3000039483251462</v>
      </c>
      <c r="M63" s="94">
        <v>-9.3523506261180671</v>
      </c>
      <c r="N63" s="94">
        <v>-9.7579038096576927</v>
      </c>
      <c r="O63" s="94">
        <v>0.49505444205366267</v>
      </c>
      <c r="P63" s="94">
        <v>0.6160610596732754</v>
      </c>
      <c r="Q63" s="94">
        <v>0.49505444205366256</v>
      </c>
      <c r="R63" s="94">
        <v>0.49505444205366267</v>
      </c>
      <c r="S63" s="94">
        <v>0.49505444205366284</v>
      </c>
      <c r="T63" s="94">
        <v>0.4950544420536625</v>
      </c>
      <c r="U63" s="522">
        <v>0.4950544420536625</v>
      </c>
      <c r="V63" s="533">
        <v>0.49505444205366239</v>
      </c>
      <c r="W63" s="533">
        <v>0.49505444205366239</v>
      </c>
      <c r="X63" s="533">
        <v>0.49505444205366239</v>
      </c>
      <c r="Y63" s="533">
        <v>0.49505444205366239</v>
      </c>
      <c r="Z63" s="533">
        <v>0.49505444205366234</v>
      </c>
      <c r="AA63" s="533">
        <v>0.49505444205366234</v>
      </c>
      <c r="AB63" s="533">
        <v>0.49505444205366234</v>
      </c>
      <c r="AC63" s="533">
        <v>0.49505444205366234</v>
      </c>
      <c r="AD63" s="533">
        <v>0.49505444205366234</v>
      </c>
      <c r="AE63" s="533">
        <v>0.4950544420536625</v>
      </c>
      <c r="AF63" s="533">
        <v>0.49505444205366389</v>
      </c>
      <c r="AG63" s="533">
        <v>0.49505444205366389</v>
      </c>
      <c r="AH63" s="533">
        <v>0.49505444205366378</v>
      </c>
      <c r="AI63" s="533">
        <v>0.49505444205366095</v>
      </c>
      <c r="AJ63" s="533">
        <v>0.49505444205366095</v>
      </c>
      <c r="AK63" s="533">
        <v>0.49505444205366095</v>
      </c>
      <c r="AL63" s="533">
        <v>0.49505444205366095</v>
      </c>
      <c r="AM63" s="533">
        <v>0.49505444205366095</v>
      </c>
      <c r="AN63" s="533">
        <v>0.49505444205366095</v>
      </c>
      <c r="AO63" s="533">
        <v>0.495054442053661</v>
      </c>
      <c r="AP63" s="533">
        <v>0.49505444205366084</v>
      </c>
      <c r="AS63" t="s">
        <v>1044</v>
      </c>
    </row>
    <row r="64" spans="2:45" ht="15.75">
      <c r="B64" s="528" t="s">
        <v>1064</v>
      </c>
      <c r="C64" s="534" t="s">
        <v>910</v>
      </c>
      <c r="D64" s="534"/>
      <c r="E64" s="534"/>
      <c r="F64" s="53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149"/>
      <c r="V64" s="95">
        <f>V62/V2*100</f>
        <v>0.49505444205366239</v>
      </c>
      <c r="W64" s="95">
        <f t="shared" ref="W64:AP64" si="103">W62/W2*100</f>
        <v>0.49505444205366239</v>
      </c>
      <c r="X64" s="95">
        <f t="shared" si="103"/>
        <v>0.49505444205366239</v>
      </c>
      <c r="Y64" s="95">
        <f t="shared" si="103"/>
        <v>0.49505444205366239</v>
      </c>
      <c r="Z64" s="95">
        <f t="shared" si="103"/>
        <v>0.49505444205366234</v>
      </c>
      <c r="AA64" s="95">
        <f t="shared" si="103"/>
        <v>0.49505444205366234</v>
      </c>
      <c r="AB64" s="95">
        <f t="shared" si="103"/>
        <v>0.49505444205366234</v>
      </c>
      <c r="AC64" s="95">
        <f t="shared" si="103"/>
        <v>0.49505444205366234</v>
      </c>
      <c r="AD64" s="95">
        <f t="shared" si="103"/>
        <v>0.49505444205366234</v>
      </c>
      <c r="AE64" s="95">
        <f t="shared" si="103"/>
        <v>0.4950544420536625</v>
      </c>
      <c r="AF64" s="526">
        <f>AF62/AF2*100</f>
        <v>0.49505444205366395</v>
      </c>
      <c r="AG64" s="526">
        <f>AG62/AG2*100</f>
        <v>0.49505444205366389</v>
      </c>
      <c r="AH64" s="526">
        <f t="shared" si="103"/>
        <v>0.49505444205366372</v>
      </c>
      <c r="AI64" s="526">
        <f t="shared" si="103"/>
        <v>0.49505444205366095</v>
      </c>
      <c r="AJ64" s="526">
        <f>AJ62/AJ2*100</f>
        <v>0.49505444205366095</v>
      </c>
      <c r="AK64" s="526">
        <f t="shared" si="103"/>
        <v>0.49505444205366095</v>
      </c>
      <c r="AL64" s="526">
        <f t="shared" si="103"/>
        <v>0.495054442053661</v>
      </c>
      <c r="AM64" s="526">
        <f t="shared" si="103"/>
        <v>0.49505444205366095</v>
      </c>
      <c r="AN64" s="526">
        <f t="shared" si="103"/>
        <v>0.49505444205366095</v>
      </c>
      <c r="AO64" s="526">
        <f t="shared" si="103"/>
        <v>0.495054442053661</v>
      </c>
      <c r="AP64" s="526">
        <f t="shared" si="103"/>
        <v>0.49505444205366095</v>
      </c>
    </row>
    <row r="67" spans="2:45" ht="46.5">
      <c r="B67" s="7" t="s">
        <v>832</v>
      </c>
      <c r="C67" s="525" t="s">
        <v>911</v>
      </c>
      <c r="D67" s="525"/>
      <c r="E67" s="525"/>
      <c r="F67" s="525"/>
      <c r="G67" s="535"/>
      <c r="H67" s="535"/>
      <c r="I67" s="535">
        <v>-3.8826000000000001</v>
      </c>
      <c r="J67" s="535">
        <v>-10.331900000000001</v>
      </c>
      <c r="K67" s="535">
        <v>-1.0358000000000001</v>
      </c>
      <c r="L67" s="535">
        <v>11.374399999999994</v>
      </c>
      <c r="M67" s="535">
        <v>-131.346</v>
      </c>
      <c r="N67" s="535">
        <v>53.615899999999996</v>
      </c>
      <c r="O67" s="535">
        <v>-104.81019999999999</v>
      </c>
      <c r="P67" s="535">
        <v>-200.0035</v>
      </c>
      <c r="Q67" s="535">
        <v>132.38047931600209</v>
      </c>
      <c r="R67" s="535">
        <v>-274.29706503049897</v>
      </c>
      <c r="S67" s="535">
        <v>-512.19377941977007</v>
      </c>
      <c r="T67" s="535">
        <v>56.136885752081298</v>
      </c>
      <c r="U67" s="522">
        <v>673.24806322968357</v>
      </c>
      <c r="V67" s="535">
        <f t="shared" ref="V67:AP67" si="104">V68+V71+V74</f>
        <v>6.8085498895654695</v>
      </c>
      <c r="W67" s="535">
        <f t="shared" si="104"/>
        <v>107.94224315658914</v>
      </c>
      <c r="X67" s="535">
        <f t="shared" si="104"/>
        <v>143.81426233623861</v>
      </c>
      <c r="Y67" s="535">
        <f t="shared" si="104"/>
        <v>-106.38675095720009</v>
      </c>
      <c r="Z67" s="535">
        <f t="shared" si="104"/>
        <v>35.810630160558105</v>
      </c>
      <c r="AA67" s="535">
        <f t="shared" si="104"/>
        <v>49.544370158871743</v>
      </c>
      <c r="AB67" s="535">
        <f t="shared" si="104"/>
        <v>293.96960341058991</v>
      </c>
      <c r="AC67" s="535">
        <f t="shared" si="104"/>
        <v>-1100.1247696728533</v>
      </c>
      <c r="AD67" s="535">
        <f t="shared" si="104"/>
        <v>-325.18942597180194</v>
      </c>
      <c r="AE67" s="535">
        <f t="shared" si="104"/>
        <v>-1039.1186269205291</v>
      </c>
      <c r="AF67" s="535">
        <f t="shared" si="104"/>
        <v>-3032.1685715082954</v>
      </c>
      <c r="AG67" s="535">
        <f t="shared" si="104"/>
        <v>142.43930280067752</v>
      </c>
      <c r="AH67" s="535">
        <f t="shared" si="104"/>
        <v>243.68526369311076</v>
      </c>
      <c r="AI67" s="535">
        <f t="shared" si="104"/>
        <v>244.83260491316014</v>
      </c>
      <c r="AJ67" s="535">
        <f t="shared" si="104"/>
        <v>-14.181748703961603</v>
      </c>
      <c r="AK67" s="535">
        <f t="shared" si="104"/>
        <v>1.5127777422421786</v>
      </c>
      <c r="AL67" s="535">
        <f t="shared" si="104"/>
        <v>-1176.6153367179577</v>
      </c>
      <c r="AM67" s="535">
        <f t="shared" si="104"/>
        <v>-109.44581863642543</v>
      </c>
      <c r="AN67" s="535">
        <f t="shared" si="104"/>
        <v>2640.5016495895534</v>
      </c>
      <c r="AO67" s="535">
        <f t="shared" si="104"/>
        <v>2950.0103212980566</v>
      </c>
      <c r="AP67" s="535">
        <f t="shared" si="104"/>
        <v>-3353.3804838523902</v>
      </c>
      <c r="AS67" t="s">
        <v>1045</v>
      </c>
    </row>
    <row r="68" spans="2:45" ht="18.75">
      <c r="B68" s="7" t="s">
        <v>850</v>
      </c>
      <c r="C68" s="462" t="s">
        <v>904</v>
      </c>
      <c r="D68" s="462"/>
      <c r="E68" s="462"/>
      <c r="F68" s="462"/>
      <c r="G68" s="94"/>
      <c r="H68" s="94"/>
      <c r="I68" s="94">
        <v>-6.5853000000000002</v>
      </c>
      <c r="J68" s="94">
        <v>-14.3942</v>
      </c>
      <c r="K68" s="94">
        <v>-7.3478000000000003</v>
      </c>
      <c r="L68" s="94">
        <v>-33.666200000000003</v>
      </c>
      <c r="M68" s="94">
        <v>-233.48699999999999</v>
      </c>
      <c r="N68" s="94">
        <v>-186.721</v>
      </c>
      <c r="O68" s="94">
        <v>205.75700000000001</v>
      </c>
      <c r="P68" s="1153">
        <v>38.495399999999997</v>
      </c>
      <c r="Q68" s="1153">
        <v>-106.1955206839979</v>
      </c>
      <c r="R68" s="1153">
        <v>-274.29706503049897</v>
      </c>
      <c r="S68" s="1153">
        <v>-512.19377941977007</v>
      </c>
      <c r="T68" s="1153">
        <v>56.136885752081298</v>
      </c>
      <c r="U68" s="522">
        <v>730.49318487655501</v>
      </c>
      <c r="V68" s="94">
        <v>-12.816659056807907</v>
      </c>
      <c r="W68" s="523">
        <f>W69-V69</f>
        <v>57.765605032166093</v>
      </c>
      <c r="X68" s="523">
        <f t="shared" ref="X68:AI68" si="105">X69-W69</f>
        <v>-10.869478999134515</v>
      </c>
      <c r="Y68" s="523">
        <f t="shared" si="105"/>
        <v>-107.38176969356908</v>
      </c>
      <c r="Z68" s="523">
        <f t="shared" si="105"/>
        <v>-96.195104685713943</v>
      </c>
      <c r="AA68" s="523">
        <f t="shared" si="105"/>
        <v>-23.312190575472187</v>
      </c>
      <c r="AB68" s="523">
        <f t="shared" si="105"/>
        <v>-923.54983194468389</v>
      </c>
      <c r="AC68" s="523">
        <f t="shared" si="105"/>
        <v>-335.7551291104644</v>
      </c>
      <c r="AD68" s="523">
        <f t="shared" si="105"/>
        <v>-763.65429635173427</v>
      </c>
      <c r="AE68" s="523">
        <f t="shared" si="105"/>
        <v>-325.77569984979618</v>
      </c>
      <c r="AF68" s="523">
        <f t="shared" si="105"/>
        <v>-5363.9999497029976</v>
      </c>
      <c r="AG68" s="523">
        <f t="shared" si="105"/>
        <v>-488.428321233514</v>
      </c>
      <c r="AH68" s="523">
        <f t="shared" si="105"/>
        <v>-394.16390195211716</v>
      </c>
      <c r="AI68" s="523">
        <f t="shared" si="105"/>
        <v>-307.32804196330471</v>
      </c>
      <c r="AJ68" s="523">
        <f t="shared" ref="AJ68" si="106">AJ69-AI69</f>
        <v>-768.16370761215148</v>
      </c>
      <c r="AK68" s="523">
        <f t="shared" ref="AK68" si="107">AK69-AJ69</f>
        <v>-773.69329961094627</v>
      </c>
      <c r="AL68" s="523">
        <f t="shared" ref="AL68" si="108">AL69-AK69</f>
        <v>8.086410276206152</v>
      </c>
      <c r="AM68" s="523">
        <f t="shared" ref="AM68" si="109">AM69-AL69</f>
        <v>-834.4407508023105</v>
      </c>
      <c r="AN68" s="523">
        <f t="shared" ref="AN68" si="110">AN69-AM69</f>
        <v>1172.3153826467624</v>
      </c>
      <c r="AO68" s="523">
        <f t="shared" ref="AO68" si="111">AO69-AN69</f>
        <v>1099.114358072422</v>
      </c>
      <c r="AP68" s="523">
        <f t="shared" ref="AP68" si="112">AP69-AO69</f>
        <v>-5905.8534446531085</v>
      </c>
      <c r="AS68" t="s">
        <v>1046</v>
      </c>
    </row>
    <row r="69" spans="2:45" ht="18.75">
      <c r="B69" s="7" t="s">
        <v>851</v>
      </c>
      <c r="C69" s="458" t="s">
        <v>905</v>
      </c>
      <c r="D69" s="458"/>
      <c r="E69" s="458"/>
      <c r="F69" s="458"/>
      <c r="G69" s="94"/>
      <c r="H69" s="94"/>
      <c r="I69" s="94">
        <v>-6.5853000000000002</v>
      </c>
      <c r="J69" s="94">
        <v>-20.979500000000002</v>
      </c>
      <c r="K69" s="94">
        <v>-28.327300000000001</v>
      </c>
      <c r="L69" s="94">
        <v>-61.993500000000004</v>
      </c>
      <c r="M69" s="94">
        <v>-295.48050000000001</v>
      </c>
      <c r="N69" s="94">
        <v>-482.20150000000001</v>
      </c>
      <c r="O69" s="94">
        <v>-276.44450000000001</v>
      </c>
      <c r="P69" s="1153">
        <v>-237.94910000000002</v>
      </c>
      <c r="Q69" s="1153">
        <v>-344.14462068399791</v>
      </c>
      <c r="R69" s="1153">
        <v>-618.44168571449688</v>
      </c>
      <c r="S69" s="1153">
        <v>-1130.635465134267</v>
      </c>
      <c r="T69" s="1153">
        <v>-1074.4985793821857</v>
      </c>
      <c r="U69" s="522">
        <v>-344.00539450563065</v>
      </c>
      <c r="V69" s="94">
        <v>-356.82205356243855</v>
      </c>
      <c r="W69" s="523">
        <f t="shared" ref="W69" si="113">V69*EXP(2.74297520242*LN((W7+W8)/(V7+V8)))</f>
        <v>-299.05644853027246</v>
      </c>
      <c r="X69" s="523">
        <f t="shared" ref="X69" si="114">W69*EXP(2.74297520242*LN((X7+X8)/(W7+W8)))</f>
        <v>-309.92592752940698</v>
      </c>
      <c r="Y69" s="523">
        <f t="shared" ref="Y69" si="115">X69*EXP(2.74297520242*LN((Y7+Y8)/(X7+X8)))</f>
        <v>-417.30769722297606</v>
      </c>
      <c r="Z69" s="523">
        <f t="shared" ref="Z69" si="116">Y69*EXP(2.74297520242*LN((Z7+Z8)/(Y7+Y8)))</f>
        <v>-513.50280190869</v>
      </c>
      <c r="AA69" s="523">
        <f t="shared" ref="AA69" si="117">Z69*EXP(2.74297520242*LN((AA7+AA8)/(Z7+Z8)))</f>
        <v>-536.81499248416219</v>
      </c>
      <c r="AB69" s="523">
        <f t="shared" ref="AB69" si="118">AA69*EXP(2.74297520242*LN((AB7+AB8)/(AA7+AA8)))</f>
        <v>-1460.3648244288461</v>
      </c>
      <c r="AC69" s="523">
        <f t="shared" ref="AC69" si="119">AB69*EXP(2.74297520242*LN((AC7+AC8)/(AB7+AB8)))</f>
        <v>-1796.1199535393105</v>
      </c>
      <c r="AD69" s="523">
        <f t="shared" ref="AD69" si="120">AC69*EXP(2.74297520242*LN((AD7+AD8)/(AC7+AC8)))</f>
        <v>-2559.7742498910447</v>
      </c>
      <c r="AE69" s="523">
        <f>AD69*EXP(2.74297520242*LN((AE7+AE8)/(AD7+AD8)))</f>
        <v>-2885.5499497408409</v>
      </c>
      <c r="AF69" s="523">
        <f t="shared" ref="AF69" si="121">AE69*EXP(2.74297520242*LN((AF7+AF8)/(AE7+AE8)))</f>
        <v>-8249.5498994438385</v>
      </c>
      <c r="AG69" s="523">
        <f t="shared" ref="AG69" si="122">AF69*EXP(2.74297520242*LN((AG7+AG8)/(AF7+AF8)))</f>
        <v>-8737.9782206773525</v>
      </c>
      <c r="AH69" s="523">
        <f t="shared" ref="AH69" si="123">AG69*EXP(2.74297520242*LN((AH7+AH8)/(AG7+AG8)))</f>
        <v>-9132.1421226294697</v>
      </c>
      <c r="AI69" s="523">
        <f t="shared" ref="AI69" si="124">AH69*EXP(2.74297520242*LN((AI7+AI8)/(AH7+AH8)))</f>
        <v>-9439.4701645927744</v>
      </c>
      <c r="AJ69" s="523">
        <f t="shared" ref="AJ69" si="125">AI69*EXP(2.74297520242*LN((AJ7+AJ8)/(AI7+AI8)))</f>
        <v>-10207.633872204926</v>
      </c>
      <c r="AK69" s="523">
        <f t="shared" ref="AK69" si="126">AJ69*EXP(2.74297520242*LN((AK7+AK8)/(AJ7+AJ8)))</f>
        <v>-10981.327171815872</v>
      </c>
      <c r="AL69" s="523">
        <f t="shared" ref="AL69" si="127">AK69*EXP(2.74297520242*LN((AL7+AL8)/(AK7+AK8)))</f>
        <v>-10973.240761539666</v>
      </c>
      <c r="AM69" s="523">
        <f t="shared" ref="AM69" si="128">AL69*EXP(2.74297520242*LN((AM7+AM8)/(AL7+AL8)))</f>
        <v>-11807.681512341976</v>
      </c>
      <c r="AN69" s="523">
        <f t="shared" ref="AN69" si="129">AM69*EXP(2.74297520242*LN((AN7+AN8)/(AM7+AM8)))</f>
        <v>-10635.366129695214</v>
      </c>
      <c r="AO69" s="523">
        <f t="shared" ref="AO69" si="130">AN69*EXP(2.74297520242*LN((AO7+AO8)/(AN7+AN8)))</f>
        <v>-9536.2517716227921</v>
      </c>
      <c r="AP69" s="523">
        <f t="shared" ref="AP69" si="131">AO69*EXP(2.74297520242*LN((AP7+AP8)/(AO7+AO8)))</f>
        <v>-15442.105216275901</v>
      </c>
      <c r="AS69" t="s">
        <v>1047</v>
      </c>
    </row>
    <row r="70" spans="2:45">
      <c r="C70" s="462"/>
      <c r="D70" s="462"/>
      <c r="E70" s="462"/>
      <c r="F70" s="462"/>
      <c r="G70" s="94"/>
      <c r="H70" s="94"/>
      <c r="I70" s="94"/>
      <c r="J70" s="94"/>
      <c r="K70" s="94"/>
      <c r="L70" s="94"/>
      <c r="M70" s="94"/>
      <c r="N70" s="94"/>
      <c r="O70" s="94"/>
      <c r="P70" s="1153"/>
      <c r="Q70" s="1153"/>
      <c r="R70" s="1153"/>
      <c r="S70" s="1153"/>
      <c r="T70" s="1153"/>
      <c r="U70" s="522"/>
    </row>
    <row r="71" spans="2:45" ht="18.75">
      <c r="B71" s="7" t="s">
        <v>852</v>
      </c>
      <c r="C71" s="462" t="s">
        <v>907</v>
      </c>
      <c r="D71" s="462"/>
      <c r="E71" s="462"/>
      <c r="F71" s="462"/>
      <c r="G71" s="94"/>
      <c r="H71" s="94"/>
      <c r="I71" s="94">
        <v>1.1898</v>
      </c>
      <c r="J71" s="94">
        <v>3.7189999999999999</v>
      </c>
      <c r="K71" s="94">
        <v>1.0125</v>
      </c>
      <c r="L71" s="94">
        <v>45.040599999999998</v>
      </c>
      <c r="M71" s="94">
        <v>102.14100000000001</v>
      </c>
      <c r="N71" s="94">
        <v>240.137</v>
      </c>
      <c r="O71" s="94">
        <v>-310.625</v>
      </c>
      <c r="P71" s="1153">
        <v>-238.57599999999999</v>
      </c>
      <c r="Q71" s="1153">
        <v>238.57599999999999</v>
      </c>
      <c r="R71" s="1153">
        <v>0</v>
      </c>
      <c r="S71" s="1153">
        <v>0</v>
      </c>
      <c r="T71" s="1153">
        <v>0</v>
      </c>
      <c r="U71" s="522">
        <v>-57.245121646871411</v>
      </c>
      <c r="V71" s="94">
        <v>19.625208946373377</v>
      </c>
      <c r="W71" s="523">
        <f t="shared" ref="W71" si="132">W72-V72</f>
        <v>50.17663812442305</v>
      </c>
      <c r="X71" s="523">
        <f t="shared" ref="X71" si="133">X72-W72</f>
        <v>154.68374133537313</v>
      </c>
      <c r="Y71" s="523">
        <f t="shared" ref="Y71" si="134">Y72-X72</f>
        <v>0.99501873636899063</v>
      </c>
      <c r="Z71" s="523">
        <f t="shared" ref="Z71" si="135">Z72-Y72</f>
        <v>132.00573484627205</v>
      </c>
      <c r="AA71" s="523">
        <f t="shared" ref="AA71" si="136">AA72-Z72</f>
        <v>72.85656073434393</v>
      </c>
      <c r="AB71" s="523">
        <f t="shared" ref="AB71" si="137">AB72-AA72</f>
        <v>1217.5194353552738</v>
      </c>
      <c r="AC71" s="523">
        <f t="shared" ref="AC71" si="138">AC72-AB72</f>
        <v>-764.36964056238889</v>
      </c>
      <c r="AD71" s="523">
        <f t="shared" ref="AD71" si="139">AD72-AC72</f>
        <v>438.46487037993234</v>
      </c>
      <c r="AE71" s="523">
        <f t="shared" ref="AE71" si="140">AE72-AD72</f>
        <v>-713.3429270707328</v>
      </c>
      <c r="AF71" s="523">
        <f t="shared" ref="AF71" si="141">AF72-AE72</f>
        <v>2331.8313781947022</v>
      </c>
      <c r="AG71" s="523">
        <f t="shared" ref="AG71" si="142">AG72-AF72</f>
        <v>630.86762403419152</v>
      </c>
      <c r="AH71" s="523">
        <f t="shared" ref="AH71" si="143">AH72-AG72</f>
        <v>637.84916564522791</v>
      </c>
      <c r="AI71" s="523">
        <f t="shared" ref="AI71" si="144">AI72-AH72</f>
        <v>552.16064687646485</v>
      </c>
      <c r="AJ71" s="523">
        <f t="shared" ref="AJ71" si="145">AJ72-AI72</f>
        <v>753.98195890818988</v>
      </c>
      <c r="AK71" s="523">
        <f t="shared" ref="AK71" si="146">AK72-AJ72</f>
        <v>775.20607735318845</v>
      </c>
      <c r="AL71" s="523">
        <f t="shared" ref="AL71" si="147">AL72-AK72</f>
        <v>-1184.7017469941638</v>
      </c>
      <c r="AM71" s="523">
        <f t="shared" ref="AM71" si="148">AM72-AL72</f>
        <v>724.99493216588507</v>
      </c>
      <c r="AN71" s="523">
        <f t="shared" ref="AN71" si="149">AN72-AM72</f>
        <v>1468.186266942791</v>
      </c>
      <c r="AO71" s="523">
        <f t="shared" ref="AO71" si="150">AO72-AN72</f>
        <v>1850.8959632256347</v>
      </c>
      <c r="AP71" s="523">
        <f t="shared" ref="AP71" si="151">AP72-AO72</f>
        <v>2552.4729608007183</v>
      </c>
      <c r="AS71" t="s">
        <v>1048</v>
      </c>
    </row>
    <row r="72" spans="2:45" ht="18.75">
      <c r="B72" s="7" t="s">
        <v>853</v>
      </c>
      <c r="C72" s="458" t="s">
        <v>908</v>
      </c>
      <c r="D72" s="458"/>
      <c r="E72" s="458"/>
      <c r="F72" s="458"/>
      <c r="G72" s="94"/>
      <c r="H72" s="94"/>
      <c r="I72" s="96">
        <v>201.18979999999999</v>
      </c>
      <c r="J72" s="94">
        <v>204.90879999999999</v>
      </c>
      <c r="K72" s="94">
        <v>205.92129999999997</v>
      </c>
      <c r="L72" s="94">
        <v>250.96189999999996</v>
      </c>
      <c r="M72" s="94">
        <v>353.10289999999998</v>
      </c>
      <c r="N72" s="94">
        <v>593.23990000000003</v>
      </c>
      <c r="O72" s="94">
        <v>282.61490000000003</v>
      </c>
      <c r="P72" s="94">
        <v>44.038900000000041</v>
      </c>
      <c r="Q72" s="94">
        <v>282.61490000000003</v>
      </c>
      <c r="R72" s="94">
        <v>282.61490000000003</v>
      </c>
      <c r="S72" s="94">
        <v>282.61490000000003</v>
      </c>
      <c r="T72" s="94">
        <v>282.61490000000003</v>
      </c>
      <c r="U72" s="522">
        <v>225.36977835312862</v>
      </c>
      <c r="V72" s="94">
        <v>99.614030981130696</v>
      </c>
      <c r="W72" s="523">
        <f>V72*EXP(2.64617276621*LN(W7/V7))</f>
        <v>149.79066910555375</v>
      </c>
      <c r="X72" s="523">
        <f t="shared" ref="X72:AI72" si="152">W72*EXP(2.64617276621*LN(X7/W7))</f>
        <v>304.47441044092687</v>
      </c>
      <c r="Y72" s="523">
        <f t="shared" si="152"/>
        <v>305.46942917729586</v>
      </c>
      <c r="Z72" s="523">
        <f t="shared" si="152"/>
        <v>437.47516402356791</v>
      </c>
      <c r="AA72" s="523">
        <f>Z72*EXP(0.64617276621*LN(AA7/Z7))</f>
        <v>510.33172475791184</v>
      </c>
      <c r="AB72" s="523">
        <f t="shared" si="152"/>
        <v>1727.8511601131856</v>
      </c>
      <c r="AC72" s="523">
        <f t="shared" si="152"/>
        <v>963.48151955079675</v>
      </c>
      <c r="AD72" s="523">
        <f t="shared" si="152"/>
        <v>1401.9463899307291</v>
      </c>
      <c r="AE72" s="523">
        <f t="shared" si="152"/>
        <v>688.60346285999628</v>
      </c>
      <c r="AF72" s="523">
        <f t="shared" si="152"/>
        <v>3020.4348410546986</v>
      </c>
      <c r="AG72" s="523">
        <f t="shared" si="152"/>
        <v>3651.3024650888901</v>
      </c>
      <c r="AH72" s="523">
        <f t="shared" si="152"/>
        <v>4289.151630734118</v>
      </c>
      <c r="AI72" s="523">
        <f t="shared" si="152"/>
        <v>4841.3122776105829</v>
      </c>
      <c r="AJ72" s="523">
        <f t="shared" ref="AJ72" si="153">AI72*EXP(2.64617276621*LN(AJ7/AI7))</f>
        <v>5595.2942365187728</v>
      </c>
      <c r="AK72" s="523">
        <f t="shared" ref="AK72" si="154">AJ72*EXP(2.64617276621*LN(AK7/AJ7))</f>
        <v>6370.5003138719612</v>
      </c>
      <c r="AL72" s="523">
        <f t="shared" ref="AL72" si="155">AK72*EXP(2.64617276621*LN(AL7/AK7))</f>
        <v>5185.7985668777974</v>
      </c>
      <c r="AM72" s="523">
        <f t="shared" ref="AM72" si="156">AL72*EXP(2.64617276621*LN(AM7/AL7))</f>
        <v>5910.7934990436825</v>
      </c>
      <c r="AN72" s="523">
        <f t="shared" ref="AN72" si="157">AM72*EXP(2.64617276621*LN(AN7/AM7))</f>
        <v>7378.9797659864735</v>
      </c>
      <c r="AO72" s="523">
        <f t="shared" ref="AO72" si="158">AN72*EXP(2.64617276621*LN(AO7/AN7))</f>
        <v>9229.8757292121081</v>
      </c>
      <c r="AP72" s="523">
        <f t="shared" ref="AP72" si="159">AO72*EXP(2.64617276621*LN(AP7/AO7))</f>
        <v>11782.348690012826</v>
      </c>
      <c r="AS72" t="s">
        <v>1049</v>
      </c>
    </row>
    <row r="73" spans="2:45">
      <c r="C73" s="462"/>
      <c r="D73" s="462"/>
      <c r="E73" s="462"/>
      <c r="F73" s="462"/>
      <c r="G73" s="94"/>
      <c r="H73" s="94"/>
      <c r="I73" s="94"/>
      <c r="J73" s="94"/>
      <c r="K73" s="94"/>
      <c r="L73" s="94"/>
      <c r="M73" s="94"/>
      <c r="N73" s="94"/>
      <c r="O73" s="94"/>
      <c r="P73" s="1153"/>
      <c r="Q73" s="1153"/>
      <c r="R73" s="1153"/>
      <c r="S73" s="1153"/>
      <c r="T73" s="1153"/>
      <c r="U73" s="522"/>
    </row>
    <row r="74" spans="2:45" ht="18.75">
      <c r="B74" s="7" t="s">
        <v>854</v>
      </c>
      <c r="C74" s="458" t="s">
        <v>912</v>
      </c>
      <c r="D74" s="458"/>
      <c r="E74" s="458"/>
      <c r="F74" s="458"/>
      <c r="G74" s="94"/>
      <c r="H74" s="94"/>
      <c r="I74" s="94">
        <v>1.5128999999999999</v>
      </c>
      <c r="J74" s="94">
        <v>0.34329999999999999</v>
      </c>
      <c r="K74" s="94">
        <v>5.2995000000000001</v>
      </c>
      <c r="L74" s="94">
        <v>0</v>
      </c>
      <c r="M74" s="94">
        <v>0</v>
      </c>
      <c r="N74" s="94">
        <v>0.19989999999999999</v>
      </c>
      <c r="O74" s="94">
        <v>5.7799999999999997E-2</v>
      </c>
      <c r="P74" s="1153">
        <v>7.7100000000000002E-2</v>
      </c>
      <c r="Q74" s="1188">
        <v>0</v>
      </c>
      <c r="R74" s="1188">
        <v>0</v>
      </c>
      <c r="S74" s="1188">
        <v>0</v>
      </c>
      <c r="T74" s="1188">
        <v>0</v>
      </c>
      <c r="U74" s="1190">
        <v>0</v>
      </c>
      <c r="W74" s="46"/>
      <c r="X74" s="46"/>
      <c r="Y74" s="46"/>
      <c r="Z74" s="46"/>
      <c r="AS74" t="s">
        <v>1050</v>
      </c>
    </row>
    <row r="75" spans="2:45">
      <c r="C75" s="458"/>
      <c r="D75" s="458"/>
      <c r="E75" s="458"/>
      <c r="F75" s="458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149"/>
    </row>
    <row r="76" spans="2:45">
      <c r="C76" s="458"/>
      <c r="D76" s="458"/>
      <c r="E76" s="458"/>
      <c r="F76" s="458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149"/>
    </row>
    <row r="77" spans="2:45" ht="31.5">
      <c r="B77" s="7" t="s">
        <v>833</v>
      </c>
      <c r="C77" s="524" t="s">
        <v>913</v>
      </c>
      <c r="D77" s="524"/>
      <c r="E77" s="524"/>
      <c r="F77" s="524"/>
      <c r="G77" s="535"/>
      <c r="H77" s="535"/>
      <c r="I77" s="535">
        <v>-56.28090000000001</v>
      </c>
      <c r="J77" s="535">
        <v>-3.8752499999999994</v>
      </c>
      <c r="K77" s="535">
        <v>-134.8819</v>
      </c>
      <c r="L77" s="535">
        <v>75.9739</v>
      </c>
      <c r="M77" s="535">
        <v>-48.763199999999991</v>
      </c>
      <c r="N77" s="535">
        <v>253.67160000000001</v>
      </c>
      <c r="O77" s="535">
        <v>250.3793</v>
      </c>
      <c r="P77" s="535">
        <v>315.5421</v>
      </c>
      <c r="Q77" s="535">
        <v>358.20863368314627</v>
      </c>
      <c r="R77" s="535">
        <v>485.88102802979972</v>
      </c>
      <c r="S77" s="535">
        <v>187.31464183911629</v>
      </c>
      <c r="T77" s="535">
        <v>380.28894290439439</v>
      </c>
      <c r="U77" s="522">
        <v>365.23166888002584</v>
      </c>
      <c r="V77" s="535">
        <f>SUM(V78:V80)</f>
        <v>370.26405921883486</v>
      </c>
      <c r="W77" s="535">
        <f t="shared" ref="W77:AP77" si="160">SUM(W78:W80)</f>
        <v>317.17416503257772</v>
      </c>
      <c r="X77" s="535">
        <f t="shared" si="160"/>
        <v>341.21404441904275</v>
      </c>
      <c r="Y77" s="535">
        <f t="shared" si="160"/>
        <v>351.89556613594857</v>
      </c>
      <c r="Z77" s="535">
        <f t="shared" si="160"/>
        <v>375.59976875660681</v>
      </c>
      <c r="AA77" s="535">
        <f t="shared" si="160"/>
        <v>369.5243484113621</v>
      </c>
      <c r="AB77" s="535">
        <f t="shared" si="160"/>
        <v>404.57016489194393</v>
      </c>
      <c r="AC77" s="535">
        <f t="shared" si="160"/>
        <v>481.00210638269817</v>
      </c>
      <c r="AD77" s="535">
        <f t="shared" si="160"/>
        <v>546.60783402369282</v>
      </c>
      <c r="AE77" s="535">
        <f t="shared" si="160"/>
        <v>640.04150571512537</v>
      </c>
      <c r="AF77" s="535">
        <f t="shared" si="160"/>
        <v>688.20794752498603</v>
      </c>
      <c r="AG77" s="535">
        <f t="shared" si="160"/>
        <v>735.8215018002478</v>
      </c>
      <c r="AH77" s="535">
        <f t="shared" si="160"/>
        <v>686.15291372776596</v>
      </c>
      <c r="AI77" s="535">
        <f t="shared" si="160"/>
        <v>618.29467102321803</v>
      </c>
      <c r="AJ77" s="535">
        <f t="shared" si="160"/>
        <v>689.18446203336089</v>
      </c>
      <c r="AK77" s="535">
        <f t="shared" si="160"/>
        <v>758.74632824394291</v>
      </c>
      <c r="AL77" s="535">
        <f t="shared" si="160"/>
        <v>830.58679346904523</v>
      </c>
      <c r="AM77" s="535">
        <f t="shared" si="160"/>
        <v>915.52021030796857</v>
      </c>
      <c r="AN77" s="535">
        <f t="shared" si="160"/>
        <v>1026.4385260368613</v>
      </c>
      <c r="AO77" s="535">
        <f t="shared" si="160"/>
        <v>1136.0203507990661</v>
      </c>
      <c r="AP77" s="535">
        <f t="shared" si="160"/>
        <v>1260.6191832694415</v>
      </c>
      <c r="AS77" t="s">
        <v>1051</v>
      </c>
    </row>
    <row r="78" spans="2:45" ht="18.75">
      <c r="B78" s="7" t="s">
        <v>855</v>
      </c>
      <c r="C78" s="458" t="s">
        <v>914</v>
      </c>
      <c r="D78" s="458"/>
      <c r="E78" s="458"/>
      <c r="F78" s="458"/>
      <c r="G78" s="94"/>
      <c r="H78" s="94"/>
      <c r="I78" s="94">
        <v>-47.171900000000008</v>
      </c>
      <c r="J78" s="95">
        <v>-1.3408499999999997</v>
      </c>
      <c r="K78" s="94">
        <v>16.981099999999998</v>
      </c>
      <c r="L78" s="94">
        <v>19.3263</v>
      </c>
      <c r="M78" s="94">
        <v>-82.60799999999999</v>
      </c>
      <c r="N78" s="94">
        <v>2.2964999999999947</v>
      </c>
      <c r="O78" s="94">
        <v>-58.5657</v>
      </c>
      <c r="P78" s="94">
        <v>30.866100000000003</v>
      </c>
      <c r="Q78" s="1188">
        <v>20</v>
      </c>
      <c r="R78" s="1188">
        <v>20</v>
      </c>
      <c r="S78" s="1188">
        <v>20</v>
      </c>
      <c r="T78" s="1188">
        <v>20</v>
      </c>
      <c r="U78" s="1190">
        <v>20</v>
      </c>
      <c r="V78">
        <v>20</v>
      </c>
      <c r="W78" s="517">
        <f t="shared" ref="W78" si="161">V78</f>
        <v>20</v>
      </c>
      <c r="X78" s="517">
        <f t="shared" ref="X78" si="162">W78</f>
        <v>20</v>
      </c>
      <c r="Y78" s="517">
        <f t="shared" ref="Y78" si="163">X78</f>
        <v>20</v>
      </c>
      <c r="Z78" s="517">
        <f t="shared" ref="Z78" si="164">Y78</f>
        <v>20</v>
      </c>
      <c r="AA78" s="517">
        <f t="shared" ref="AA78" si="165">Z78</f>
        <v>20</v>
      </c>
      <c r="AB78" s="517">
        <f t="shared" ref="AB78" si="166">AA78</f>
        <v>20</v>
      </c>
      <c r="AC78" s="517">
        <f t="shared" ref="AC78" si="167">AB78</f>
        <v>20</v>
      </c>
      <c r="AD78" s="517">
        <f t="shared" ref="AD78" si="168">AC78</f>
        <v>20</v>
      </c>
      <c r="AE78" s="517">
        <f t="shared" ref="AE78" si="169">AD78</f>
        <v>20</v>
      </c>
      <c r="AF78" s="517">
        <f t="shared" ref="AF78" si="170">AE78</f>
        <v>20</v>
      </c>
      <c r="AG78" s="517">
        <f t="shared" ref="AG78" si="171">AF78</f>
        <v>20</v>
      </c>
      <c r="AH78" s="517">
        <f t="shared" ref="AH78" si="172">AG78</f>
        <v>20</v>
      </c>
      <c r="AI78" s="517">
        <f t="shared" ref="AI78" si="173">AH78</f>
        <v>20</v>
      </c>
      <c r="AJ78" s="517">
        <f t="shared" ref="AJ78" si="174">AI78</f>
        <v>20</v>
      </c>
      <c r="AK78" s="517">
        <f t="shared" ref="AK78" si="175">AJ78</f>
        <v>20</v>
      </c>
      <c r="AL78" s="517">
        <f t="shared" ref="AL78" si="176">AK78</f>
        <v>20</v>
      </c>
      <c r="AM78" s="517">
        <f t="shared" ref="AM78" si="177">AL78</f>
        <v>20</v>
      </c>
      <c r="AN78" s="517">
        <f t="shared" ref="AN78" si="178">AM78</f>
        <v>20</v>
      </c>
      <c r="AO78" s="517">
        <f t="shared" ref="AO78" si="179">AN78</f>
        <v>20</v>
      </c>
      <c r="AP78" s="517">
        <f t="shared" ref="AP78" si="180">AO78</f>
        <v>20</v>
      </c>
      <c r="AS78" t="s">
        <v>1052</v>
      </c>
    </row>
    <row r="79" spans="2:45" ht="15.75">
      <c r="B79" s="7" t="s">
        <v>856</v>
      </c>
      <c r="C79" s="458" t="s">
        <v>904</v>
      </c>
      <c r="D79" s="458"/>
      <c r="E79" s="458"/>
      <c r="F79" s="458"/>
      <c r="G79" s="94"/>
      <c r="H79" s="94"/>
      <c r="I79" s="94">
        <v>0.17399999999999999</v>
      </c>
      <c r="J79" s="94">
        <v>-0.41</v>
      </c>
      <c r="K79" s="94">
        <v>-0.44900000000000001</v>
      </c>
      <c r="L79" s="94">
        <v>-0.4914</v>
      </c>
      <c r="M79" s="94">
        <v>-0.5</v>
      </c>
      <c r="N79" s="94">
        <v>-0.16789999999999999</v>
      </c>
      <c r="O79" s="94">
        <v>-0.502</v>
      </c>
      <c r="P79" s="94">
        <v>0</v>
      </c>
      <c r="Q79" s="1188">
        <v>0</v>
      </c>
      <c r="R79" s="1188">
        <v>0</v>
      </c>
      <c r="S79" s="1188">
        <v>0</v>
      </c>
      <c r="T79" s="1188">
        <v>0</v>
      </c>
      <c r="U79" s="1190">
        <v>0</v>
      </c>
      <c r="V79" s="517">
        <v>0</v>
      </c>
      <c r="W79" s="517">
        <v>1</v>
      </c>
      <c r="X79" s="517">
        <v>2</v>
      </c>
      <c r="Y79" s="517">
        <v>3</v>
      </c>
      <c r="Z79" s="517">
        <v>4</v>
      </c>
      <c r="AA79" s="517">
        <v>5</v>
      </c>
      <c r="AB79" s="517">
        <v>6</v>
      </c>
      <c r="AC79" s="517">
        <v>7</v>
      </c>
      <c r="AD79" s="517">
        <v>8</v>
      </c>
      <c r="AE79" s="517">
        <v>9</v>
      </c>
      <c r="AF79" s="517">
        <v>10</v>
      </c>
      <c r="AG79" s="517">
        <v>11</v>
      </c>
      <c r="AH79" s="517">
        <v>11</v>
      </c>
      <c r="AI79" s="517">
        <v>11</v>
      </c>
      <c r="AJ79" s="517">
        <v>11</v>
      </c>
      <c r="AK79" s="517">
        <v>11</v>
      </c>
      <c r="AL79" s="517">
        <v>11</v>
      </c>
      <c r="AM79" s="517">
        <v>11</v>
      </c>
      <c r="AN79" s="517">
        <v>11</v>
      </c>
      <c r="AO79" s="517">
        <v>11</v>
      </c>
      <c r="AP79" s="517">
        <v>11</v>
      </c>
    </row>
    <row r="80" spans="2:45" ht="18.75">
      <c r="B80" s="7" t="s">
        <v>857</v>
      </c>
      <c r="C80" s="458" t="s">
        <v>907</v>
      </c>
      <c r="D80" s="458"/>
      <c r="E80" s="458"/>
      <c r="F80" s="458"/>
      <c r="G80" s="94"/>
      <c r="H80" s="94"/>
      <c r="I80" s="94">
        <v>-9.2829999999999995</v>
      </c>
      <c r="J80" s="95">
        <v>-2.1244000000000001</v>
      </c>
      <c r="K80" s="94">
        <v>-151.41399999999999</v>
      </c>
      <c r="L80" s="94">
        <v>57.139000000000003</v>
      </c>
      <c r="M80" s="94">
        <v>34.344799999999999</v>
      </c>
      <c r="N80" s="94">
        <v>251.54300000000001</v>
      </c>
      <c r="O80" s="94">
        <v>309.447</v>
      </c>
      <c r="P80" s="94">
        <v>284.67599999999999</v>
      </c>
      <c r="Q80" s="522">
        <v>338.20863368314627</v>
      </c>
      <c r="R80" s="522">
        <v>465.88102802979972</v>
      </c>
      <c r="S80" s="522">
        <v>167.31464183911629</v>
      </c>
      <c r="T80" s="522">
        <v>360.28894290439439</v>
      </c>
      <c r="U80" s="522">
        <v>345.23166888002584</v>
      </c>
      <c r="V80" s="149">
        <f>V81/100*V2</f>
        <v>350.26405921883486</v>
      </c>
      <c r="W80" s="149">
        <f t="shared" ref="W80:AP80" si="181">W81/100*W2</f>
        <v>296.17416503257772</v>
      </c>
      <c r="X80" s="149">
        <f t="shared" si="181"/>
        <v>319.21404441904275</v>
      </c>
      <c r="Y80" s="149">
        <f t="shared" si="181"/>
        <v>328.89556613594857</v>
      </c>
      <c r="Z80" s="149">
        <f t="shared" si="181"/>
        <v>351.59976875660681</v>
      </c>
      <c r="AA80" s="149">
        <f t="shared" si="181"/>
        <v>344.5243484113621</v>
      </c>
      <c r="AB80" s="149">
        <f t="shared" si="181"/>
        <v>378.57016489194393</v>
      </c>
      <c r="AC80" s="149">
        <f t="shared" si="181"/>
        <v>454.00210638269817</v>
      </c>
      <c r="AD80" s="149">
        <f t="shared" si="181"/>
        <v>518.60783402369282</v>
      </c>
      <c r="AE80" s="149">
        <f t="shared" si="181"/>
        <v>611.04150571512537</v>
      </c>
      <c r="AF80" s="149">
        <f t="shared" si="181"/>
        <v>658.20794752498603</v>
      </c>
      <c r="AG80" s="149">
        <f t="shared" si="181"/>
        <v>704.8215018002478</v>
      </c>
      <c r="AH80" s="149">
        <f t="shared" si="181"/>
        <v>655.15291372776596</v>
      </c>
      <c r="AI80" s="149">
        <f t="shared" si="181"/>
        <v>587.29467102321803</v>
      </c>
      <c r="AJ80" s="149">
        <f t="shared" si="181"/>
        <v>658.18446203336089</v>
      </c>
      <c r="AK80" s="149">
        <f t="shared" si="181"/>
        <v>727.74632824394291</v>
      </c>
      <c r="AL80" s="149">
        <f t="shared" si="181"/>
        <v>799.58679346904523</v>
      </c>
      <c r="AM80" s="149">
        <f t="shared" si="181"/>
        <v>884.52021030796857</v>
      </c>
      <c r="AN80" s="149">
        <f t="shared" si="181"/>
        <v>995.43852603686128</v>
      </c>
      <c r="AO80" s="149">
        <f t="shared" si="181"/>
        <v>1105.0203507990661</v>
      </c>
      <c r="AP80" s="149">
        <f t="shared" si="181"/>
        <v>1229.6191832694415</v>
      </c>
      <c r="AS80" t="s">
        <v>1053</v>
      </c>
    </row>
    <row r="81" spans="2:58" ht="18.75">
      <c r="B81" s="7" t="s">
        <v>858</v>
      </c>
      <c r="C81" s="458" t="s">
        <v>915</v>
      </c>
      <c r="D81" s="458"/>
      <c r="E81" s="458"/>
      <c r="F81" s="458"/>
      <c r="G81" s="94"/>
      <c r="H81" s="94"/>
      <c r="I81" s="94">
        <v>-0.76121222316912385</v>
      </c>
      <c r="J81" s="94">
        <v>-0.13660139619867689</v>
      </c>
      <c r="K81" s="94">
        <v>-7.2940046147360231</v>
      </c>
      <c r="L81" s="94">
        <v>2.4710599644770075</v>
      </c>
      <c r="M81" s="94">
        <v>1.2134895324199544</v>
      </c>
      <c r="N81" s="94">
        <v>6.7628591762142403</v>
      </c>
      <c r="O81" s="94">
        <v>5.9942915473628924</v>
      </c>
      <c r="P81" s="94">
        <v>5.7131157108924322</v>
      </c>
      <c r="Q81" s="94">
        <v>5.9942915473628924</v>
      </c>
      <c r="R81" s="94">
        <v>7.1414919534242687</v>
      </c>
      <c r="S81" s="94">
        <v>2.2035429614362685</v>
      </c>
      <c r="T81" s="94">
        <v>4.2356079224411367</v>
      </c>
      <c r="U81" s="522">
        <v>3.7356079224411367</v>
      </c>
      <c r="V81" s="189">
        <v>4.2356079224411367</v>
      </c>
      <c r="W81" s="189">
        <v>4.2356079224411367</v>
      </c>
      <c r="X81" s="189">
        <v>4.2356079224411367</v>
      </c>
      <c r="Y81" s="189">
        <v>4.2356079224411367</v>
      </c>
      <c r="Z81" s="189">
        <v>4.2356079224411367</v>
      </c>
      <c r="AA81" s="189">
        <v>4.2356079224411367</v>
      </c>
      <c r="AB81" s="189">
        <v>4.2356079224411367</v>
      </c>
      <c r="AC81" s="189">
        <v>4.2356079224411367</v>
      </c>
      <c r="AD81" s="189">
        <v>4.2356079224411367</v>
      </c>
      <c r="AE81" s="189">
        <v>4.2356079224411349</v>
      </c>
      <c r="AF81" s="189">
        <v>3.7356079224411349</v>
      </c>
      <c r="AG81" s="189">
        <v>3.2356079224411345</v>
      </c>
      <c r="AH81" s="189">
        <v>2.7356079224411349</v>
      </c>
      <c r="AI81" s="189">
        <v>2.2356079224411349</v>
      </c>
      <c r="AJ81" s="189">
        <v>2.2356079224411349</v>
      </c>
      <c r="AK81" s="189">
        <v>2.2356079224411349</v>
      </c>
      <c r="AL81" s="189">
        <v>2.2356079224411349</v>
      </c>
      <c r="AM81" s="189">
        <v>2.2356079224411349</v>
      </c>
      <c r="AN81" s="189">
        <v>2.2356079224411349</v>
      </c>
      <c r="AO81" s="189">
        <v>2.2356079224411349</v>
      </c>
      <c r="AP81" s="189">
        <v>2.2356079224411345</v>
      </c>
      <c r="AS81" t="s">
        <v>1054</v>
      </c>
    </row>
    <row r="82" spans="2:58" ht="15.75">
      <c r="B82" s="528" t="s">
        <v>1065</v>
      </c>
      <c r="C82" s="534" t="s">
        <v>915</v>
      </c>
      <c r="D82" s="534"/>
      <c r="E82" s="534"/>
      <c r="F82" s="53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149"/>
      <c r="V82" s="526">
        <f>V80/V2*100</f>
        <v>4.2356079224411367</v>
      </c>
      <c r="W82" s="526">
        <f t="shared" ref="W82:AP82" si="182">W80/W2*100</f>
        <v>4.2356079224411367</v>
      </c>
      <c r="X82" s="526">
        <f t="shared" si="182"/>
        <v>4.2356079224411367</v>
      </c>
      <c r="Y82" s="526">
        <f t="shared" si="182"/>
        <v>4.2356079224411367</v>
      </c>
      <c r="Z82" s="526">
        <f t="shared" si="182"/>
        <v>4.2356079224411367</v>
      </c>
      <c r="AA82" s="526">
        <f t="shared" si="182"/>
        <v>4.2356079224411367</v>
      </c>
      <c r="AB82" s="526">
        <f t="shared" si="182"/>
        <v>4.2356079224411367</v>
      </c>
      <c r="AC82" s="526">
        <f t="shared" si="182"/>
        <v>4.2356079224411367</v>
      </c>
      <c r="AD82" s="526">
        <f t="shared" si="182"/>
        <v>4.2356079224411367</v>
      </c>
      <c r="AE82" s="526">
        <f t="shared" si="182"/>
        <v>4.2356079224411349</v>
      </c>
      <c r="AF82" s="526">
        <f>AF80/AF2*100</f>
        <v>3.7356079224411349</v>
      </c>
      <c r="AG82" s="526">
        <f t="shared" si="182"/>
        <v>3.2356079224411345</v>
      </c>
      <c r="AH82" s="526">
        <f t="shared" si="182"/>
        <v>2.7356079224411345</v>
      </c>
      <c r="AI82" s="526">
        <f t="shared" si="182"/>
        <v>2.2356079224411345</v>
      </c>
      <c r="AJ82" s="526">
        <f t="shared" si="182"/>
        <v>2.2356079224411349</v>
      </c>
      <c r="AK82" s="526">
        <f t="shared" si="182"/>
        <v>2.2356079224411349</v>
      </c>
      <c r="AL82" s="526">
        <f t="shared" si="182"/>
        <v>2.2356079224411349</v>
      </c>
      <c r="AM82" s="526">
        <f t="shared" si="182"/>
        <v>2.2356079224411349</v>
      </c>
      <c r="AN82" s="526">
        <f t="shared" si="182"/>
        <v>2.2356079224411349</v>
      </c>
      <c r="AO82" s="526">
        <f t="shared" si="182"/>
        <v>2.2356079224411349</v>
      </c>
      <c r="AP82" s="526">
        <f t="shared" si="182"/>
        <v>2.2356079224411345</v>
      </c>
    </row>
    <row r="83" spans="2:58" ht="18.75">
      <c r="B83" s="448"/>
      <c r="C83" s="450" t="s">
        <v>916</v>
      </c>
      <c r="D83" s="450"/>
      <c r="E83" s="450"/>
      <c r="F83" s="450"/>
      <c r="G83" s="450"/>
      <c r="H83" s="450"/>
      <c r="I83" s="450"/>
      <c r="J83" s="450"/>
      <c r="K83" s="450"/>
      <c r="L83" s="450"/>
      <c r="M83" s="450"/>
      <c r="N83" s="450"/>
      <c r="O83" s="450"/>
      <c r="P83" s="450"/>
      <c r="Q83" s="450"/>
      <c r="R83" s="450"/>
      <c r="S83" s="450"/>
      <c r="T83" s="450"/>
      <c r="U83" s="450"/>
      <c r="AS83" s="448"/>
      <c r="AT83" s="448"/>
      <c r="AU83" s="448"/>
      <c r="AV83" s="448"/>
      <c r="AW83" s="448"/>
      <c r="AX83" s="448"/>
      <c r="AY83" s="448"/>
      <c r="AZ83" s="448"/>
      <c r="BA83" s="448"/>
      <c r="BB83" s="448"/>
      <c r="BC83" s="448"/>
      <c r="BD83" s="448"/>
      <c r="BE83" s="448"/>
      <c r="BF83" s="448"/>
    </row>
    <row r="84" spans="2:58" ht="31.5">
      <c r="B84" s="7" t="s">
        <v>859</v>
      </c>
      <c r="C84" s="536" t="s">
        <v>917</v>
      </c>
      <c r="D84" s="536"/>
      <c r="E84" s="536"/>
      <c r="F84" s="536"/>
      <c r="G84" s="459">
        <v>11.899999999999999</v>
      </c>
      <c r="H84" s="459">
        <v>13.299999999999999</v>
      </c>
      <c r="I84" s="459">
        <v>16.799999999999997</v>
      </c>
      <c r="J84" s="459">
        <v>14.5</v>
      </c>
      <c r="K84" s="459">
        <v>14.100000000000001</v>
      </c>
      <c r="L84" s="459">
        <v>12.2</v>
      </c>
      <c r="M84" s="459">
        <v>9.4999999999999982</v>
      </c>
      <c r="N84" s="459">
        <v>11.799999999999999</v>
      </c>
      <c r="O84" s="459">
        <v>17.099999999999998</v>
      </c>
      <c r="P84" s="459">
        <v>29.6</v>
      </c>
      <c r="Q84" s="1192">
        <v>14.8</v>
      </c>
      <c r="R84" s="1194">
        <v>77.400000000000006</v>
      </c>
      <c r="S84" s="1194">
        <v>93.6</v>
      </c>
      <c r="T84" s="1194">
        <v>80.8</v>
      </c>
      <c r="U84" s="1194">
        <v>112</v>
      </c>
      <c r="V84" s="94">
        <v>30.374005169835055</v>
      </c>
      <c r="W84" s="535">
        <f t="shared" ref="W84" si="183">AVERAGE(V99:W99)*W90/100</f>
        <v>33.872981310636867</v>
      </c>
      <c r="X84" s="535">
        <f t="shared" ref="X84" si="184">AVERAGE(W99:X99)*X90/100</f>
        <v>39.493809597096408</v>
      </c>
      <c r="Y84" s="535">
        <f t="shared" ref="Y84" si="185">AVERAGE(X99:Y99)*Y90/100</f>
        <v>47.377832918800316</v>
      </c>
      <c r="Z84" s="535">
        <f t="shared" ref="Z84" si="186">AVERAGE(Y99:Z99)*Z90/100</f>
        <v>50.680580172753388</v>
      </c>
      <c r="AA84" s="535">
        <f t="shared" ref="AA84" si="187">AVERAGE(Z99:AA99)*AA90/100</f>
        <v>56.533256147656317</v>
      </c>
      <c r="AB84" s="535">
        <f t="shared" ref="AB84" si="188">AVERAGE(AA99:AB99)*AB90/100</f>
        <v>63.232124894491051</v>
      </c>
      <c r="AC84" s="535">
        <f t="shared" ref="AC84" si="189">AVERAGE(AB99:AC99)*AC90/100</f>
        <v>66.347097946091978</v>
      </c>
      <c r="AD84" s="535">
        <f t="shared" ref="AD84" si="190">AVERAGE(AC99:AD99)*AD90/100</f>
        <v>69.013709042822626</v>
      </c>
      <c r="AE84" s="535">
        <f t="shared" ref="AE84" si="191">AVERAGE(AD99:AE99)*AE90/100</f>
        <v>71.795130679196475</v>
      </c>
      <c r="AF84" s="535">
        <f t="shared" ref="AF84" si="192">AVERAGE(AE99:AF99)*AF90/100</f>
        <v>72.264697733201132</v>
      </c>
      <c r="AG84" s="535">
        <f t="shared" ref="AG84" si="193">AVERAGE(AF99:AG99)*AG90/100</f>
        <v>81.749901487758009</v>
      </c>
      <c r="AH84" s="535">
        <f t="shared" ref="AH84" si="194">AVERAGE(AG99:AH99)*AH90/100</f>
        <v>102.33303387668592</v>
      </c>
      <c r="AI84" s="535">
        <f t="shared" ref="AI84" si="195">AVERAGE(AH99:AI99)*AI90/100</f>
        <v>122.72900719033389</v>
      </c>
      <c r="AJ84" s="535">
        <f t="shared" ref="AJ84" si="196">AVERAGE(AI99:AJ99)*AJ90/100</f>
        <v>144.40885143021796</v>
      </c>
      <c r="AK84" s="535">
        <f t="shared" ref="AK84" si="197">AVERAGE(AJ99:AK99)*AK90/100</f>
        <v>169.32354437375278</v>
      </c>
      <c r="AL84" s="535">
        <f t="shared" ref="AL84" si="198">AVERAGE(AK99:AL99)*AL90/100</f>
        <v>197.69770427669707</v>
      </c>
      <c r="AM84" s="535">
        <f t="shared" ref="AM84" si="199">AVERAGE(AL99:AM99)*AM90/100</f>
        <v>229.97653017584068</v>
      </c>
      <c r="AN84" s="535">
        <f t="shared" ref="AN84" si="200">AVERAGE(AM99:AN99)*AN90/100</f>
        <v>267.00730176616423</v>
      </c>
      <c r="AO84" s="535">
        <f t="shared" ref="AO84" si="201">AVERAGE(AN99:AO99)*AO90/100</f>
        <v>309.48221567036626</v>
      </c>
      <c r="AP84" s="535">
        <f t="shared" ref="AP84" si="202">AVERAGE(AO99:AP99)*AP90/100</f>
        <v>357.95999542800723</v>
      </c>
      <c r="AS84" t="s">
        <v>1055</v>
      </c>
    </row>
    <row r="85" spans="2:58">
      <c r="B85" s="7"/>
      <c r="C85" s="460" t="s">
        <v>918</v>
      </c>
      <c r="D85" s="460"/>
      <c r="E85" s="460"/>
      <c r="F85" s="460"/>
      <c r="G85">
        <v>4.3</v>
      </c>
      <c r="H85">
        <v>7.3</v>
      </c>
      <c r="I85">
        <v>10.1</v>
      </c>
      <c r="J85">
        <v>12.2</v>
      </c>
      <c r="K85">
        <v>10.1</v>
      </c>
      <c r="L85">
        <v>7.3</v>
      </c>
      <c r="M85">
        <v>8.6999999999999993</v>
      </c>
      <c r="N85">
        <v>10.5</v>
      </c>
      <c r="O85">
        <v>16</v>
      </c>
      <c r="P85">
        <v>22</v>
      </c>
      <c r="Q85" s="1151"/>
      <c r="U85" s="1195">
        <v>33.799999999999997</v>
      </c>
    </row>
    <row r="86" spans="2:58">
      <c r="B86" s="7"/>
      <c r="C86" s="460" t="s">
        <v>919</v>
      </c>
      <c r="D86" s="460"/>
      <c r="E86" s="460"/>
      <c r="F86" s="460"/>
      <c r="G86">
        <v>6.6</v>
      </c>
      <c r="H86">
        <v>4.9000000000000004</v>
      </c>
      <c r="I86">
        <v>5.3</v>
      </c>
      <c r="J86">
        <v>1.9</v>
      </c>
      <c r="K86">
        <v>3.7</v>
      </c>
      <c r="L86">
        <v>3.4</v>
      </c>
      <c r="M86">
        <v>0.2</v>
      </c>
      <c r="N86">
        <v>0.1</v>
      </c>
      <c r="O86">
        <v>0.2</v>
      </c>
      <c r="P86">
        <v>7.1</v>
      </c>
      <c r="U86" s="521">
        <v>3.927</v>
      </c>
    </row>
    <row r="87" spans="2:58">
      <c r="B87" s="7"/>
      <c r="C87" s="460" t="s">
        <v>920</v>
      </c>
      <c r="D87" s="460"/>
      <c r="E87" s="460"/>
      <c r="F87" s="460"/>
      <c r="G87">
        <v>0.8</v>
      </c>
      <c r="H87">
        <v>1</v>
      </c>
      <c r="I87">
        <v>0.9</v>
      </c>
      <c r="J87">
        <v>0.4</v>
      </c>
      <c r="K87">
        <v>0.3</v>
      </c>
      <c r="L87">
        <v>1.3</v>
      </c>
      <c r="M87">
        <v>0.6</v>
      </c>
      <c r="N87">
        <v>1.2</v>
      </c>
      <c r="O87">
        <v>0.9</v>
      </c>
      <c r="P87">
        <v>0.5</v>
      </c>
      <c r="U87" s="521">
        <v>3</v>
      </c>
    </row>
    <row r="88" spans="2:58">
      <c r="B88" s="7"/>
      <c r="C88" s="460" t="s">
        <v>921</v>
      </c>
      <c r="D88" s="460"/>
      <c r="E88" s="460"/>
      <c r="F88" s="460"/>
      <c r="G88">
        <v>0.2</v>
      </c>
      <c r="H88">
        <v>0.1</v>
      </c>
      <c r="I88">
        <v>0.5</v>
      </c>
      <c r="J88">
        <v>0</v>
      </c>
      <c r="K88">
        <v>0</v>
      </c>
      <c r="L88">
        <v>0.2</v>
      </c>
      <c r="M88">
        <v>0</v>
      </c>
      <c r="N88">
        <v>0</v>
      </c>
      <c r="O88">
        <v>0</v>
      </c>
      <c r="P88">
        <v>0</v>
      </c>
      <c r="U88" s="1195">
        <v>42.1</v>
      </c>
    </row>
    <row r="89" spans="2:58"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191"/>
      <c r="R89" s="93"/>
      <c r="S89" s="93"/>
      <c r="T89" s="93"/>
      <c r="U89" s="515"/>
    </row>
    <row r="90" spans="2:58" ht="18">
      <c r="B90" s="7" t="s">
        <v>860</v>
      </c>
      <c r="C90" s="458" t="s">
        <v>922</v>
      </c>
      <c r="D90" s="458"/>
      <c r="E90" s="458"/>
      <c r="F90" s="458"/>
      <c r="H90" s="94">
        <v>1.3003519749706687</v>
      </c>
      <c r="I90" s="94">
        <v>1.6775675270857253</v>
      </c>
      <c r="J90" s="94">
        <v>1.4392059553349876</v>
      </c>
      <c r="K90" s="94">
        <v>1.4825718942221757</v>
      </c>
      <c r="L90" s="94">
        <v>1.3812623832437021</v>
      </c>
      <c r="M90" s="94">
        <v>1.07868740774384</v>
      </c>
      <c r="N90" s="94">
        <v>1.1880789367700362</v>
      </c>
      <c r="O90" s="94">
        <v>1.3726670680313062</v>
      </c>
      <c r="P90" s="94">
        <v>1.9664507556884239</v>
      </c>
      <c r="Q90" s="94">
        <v>0.83281751167632678</v>
      </c>
      <c r="R90" s="94">
        <v>0.93281751167632676</v>
      </c>
      <c r="S90" s="94">
        <v>1.0328175116763267</v>
      </c>
      <c r="T90" s="94">
        <v>1.1328175116763268</v>
      </c>
      <c r="U90" s="522">
        <v>1.2328175116763269</v>
      </c>
      <c r="V90" s="94">
        <v>1.332817511676327</v>
      </c>
      <c r="W90" s="94">
        <f t="shared" ref="W90" si="203">V90+0.1</f>
        <v>1.4328175116763271</v>
      </c>
      <c r="X90" s="94">
        <f t="shared" ref="X90" si="204">W90+0.1</f>
        <v>1.5328175116763272</v>
      </c>
      <c r="Y90" s="94">
        <f t="shared" ref="Y90" si="205">X90+0.1</f>
        <v>1.6328175116763273</v>
      </c>
      <c r="Z90" s="94">
        <f t="shared" ref="Z90" si="206">Y90+0.1</f>
        <v>1.7328175116763274</v>
      </c>
      <c r="AA90" s="94">
        <f t="shared" ref="AA90" si="207">Z90+0.1</f>
        <v>1.8328175116763274</v>
      </c>
      <c r="AB90" s="94">
        <f t="shared" ref="AB90" si="208">AA90+0.1</f>
        <v>1.9328175116763275</v>
      </c>
      <c r="AC90" s="94">
        <f t="shared" ref="AC90" si="209">AB90+0.1</f>
        <v>2.0328175116763276</v>
      </c>
      <c r="AD90" s="94">
        <f t="shared" ref="AD90" si="210">AC90+0.1</f>
        <v>2.1328175116763277</v>
      </c>
      <c r="AE90" s="94">
        <f t="shared" ref="AE90" si="211">AD90+0.1</f>
        <v>2.2328175116763278</v>
      </c>
      <c r="AF90" s="94">
        <f t="shared" ref="AF90" si="212">AE90+0.1</f>
        <v>2.3328175116763279</v>
      </c>
      <c r="AG90" s="94">
        <f t="shared" ref="AG90" si="213">AF90+0.1</f>
        <v>2.432817511676328</v>
      </c>
      <c r="AH90" s="94">
        <f t="shared" ref="AH90" si="214">AG90+0.1</f>
        <v>2.5328175116763281</v>
      </c>
      <c r="AI90" s="94">
        <f t="shared" ref="AI90" si="215">AH90+0.1</f>
        <v>2.6328175116763282</v>
      </c>
      <c r="AJ90" s="94">
        <f t="shared" ref="AJ90" si="216">AI90+0.1</f>
        <v>2.7328175116763282</v>
      </c>
      <c r="AK90" s="94">
        <f t="shared" ref="AK90" si="217">AJ90+0.1</f>
        <v>2.8328175116763283</v>
      </c>
      <c r="AL90" s="94">
        <f t="shared" ref="AL90" si="218">AK90+0.1</f>
        <v>2.9328175116763284</v>
      </c>
      <c r="AM90" s="94">
        <f t="shared" ref="AM90" si="219">AL90+0.1</f>
        <v>3.0328175116763285</v>
      </c>
      <c r="AN90" s="94">
        <f t="shared" ref="AN90" si="220">AM90+0.1</f>
        <v>3.1328175116763286</v>
      </c>
      <c r="AO90" s="94">
        <f t="shared" ref="AO90" si="221">AN90+0.1</f>
        <v>3.2328175116763287</v>
      </c>
      <c r="AP90" s="94">
        <f t="shared" ref="AP90" si="222">AO90+0.1</f>
        <v>3.3328175116763288</v>
      </c>
      <c r="AS90" t="s">
        <v>1056</v>
      </c>
    </row>
    <row r="92" spans="2:58"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191"/>
      <c r="R92" s="93"/>
      <c r="S92" s="93"/>
      <c r="T92" s="93"/>
      <c r="U92" s="515"/>
    </row>
    <row r="93" spans="2:58" ht="30">
      <c r="B93" s="7" t="s">
        <v>861</v>
      </c>
      <c r="C93" s="537" t="s">
        <v>923</v>
      </c>
      <c r="D93" s="537"/>
      <c r="E93" s="537"/>
      <c r="F93" s="537"/>
      <c r="G93" s="463">
        <v>40.9</v>
      </c>
      <c r="H93" s="463">
        <v>49.099999999999994</v>
      </c>
      <c r="I93" s="463">
        <v>71.3</v>
      </c>
      <c r="J93" s="463">
        <v>20.7</v>
      </c>
      <c r="K93" s="463">
        <v>22.3</v>
      </c>
      <c r="L93" s="463">
        <v>55.699999999999996</v>
      </c>
      <c r="M93" s="463">
        <v>39.6</v>
      </c>
      <c r="N93" s="463">
        <v>36.800000000000004</v>
      </c>
      <c r="O93" s="463">
        <v>72.400000000000006</v>
      </c>
      <c r="P93" s="463">
        <v>93.1</v>
      </c>
      <c r="Q93" s="1193">
        <v>60</v>
      </c>
      <c r="R93" s="1193">
        <v>1840</v>
      </c>
      <c r="S93" s="153">
        <v>2287.1</v>
      </c>
      <c r="T93" s="153">
        <v>2061.1999999999998</v>
      </c>
      <c r="U93" s="153">
        <v>2133.6999999999998</v>
      </c>
      <c r="V93" s="94">
        <v>2240.3849999999998</v>
      </c>
      <c r="W93" s="94">
        <f>V93*1.05</f>
        <v>2352.40425</v>
      </c>
      <c r="X93" s="94">
        <f t="shared" ref="X93:AI93" si="223">W93*1.05</f>
        <v>2470.0244625</v>
      </c>
      <c r="Y93" s="94">
        <f t="shared" si="223"/>
        <v>2593.5256856250003</v>
      </c>
      <c r="Z93" s="94">
        <f t="shared" si="223"/>
        <v>2723.2019699062503</v>
      </c>
      <c r="AA93" s="94">
        <f t="shared" si="223"/>
        <v>2859.3620684015627</v>
      </c>
      <c r="AB93" s="94">
        <f t="shared" si="223"/>
        <v>3002.3301718216412</v>
      </c>
      <c r="AC93" s="94">
        <f t="shared" si="223"/>
        <v>3152.4466804127233</v>
      </c>
      <c r="AD93" s="94">
        <f t="shared" si="223"/>
        <v>3310.0690144333594</v>
      </c>
      <c r="AE93" s="94">
        <f t="shared" si="223"/>
        <v>3475.5724651550277</v>
      </c>
      <c r="AF93" s="94">
        <f t="shared" si="223"/>
        <v>3649.3510884127791</v>
      </c>
      <c r="AG93" s="94">
        <f t="shared" si="223"/>
        <v>3831.8186428334184</v>
      </c>
      <c r="AH93" s="94">
        <f t="shared" si="223"/>
        <v>4023.4095749750895</v>
      </c>
      <c r="AI93" s="94">
        <f t="shared" si="223"/>
        <v>4224.5800537238438</v>
      </c>
      <c r="AJ93" s="94">
        <f t="shared" ref="AJ93" si="224">AI93*1.05</f>
        <v>4435.8090564100357</v>
      </c>
      <c r="AK93" s="94">
        <f t="shared" ref="AK93" si="225">AJ93*1.05</f>
        <v>4657.5995092305375</v>
      </c>
      <c r="AL93" s="94">
        <f t="shared" ref="AL93" si="226">AK93*1.05</f>
        <v>4890.4794846920649</v>
      </c>
      <c r="AM93" s="94">
        <f t="shared" ref="AM93" si="227">AL93*1.05</f>
        <v>5135.0034589266688</v>
      </c>
      <c r="AN93" s="94">
        <f t="shared" ref="AN93" si="228">AM93*1.05</f>
        <v>5391.7536318730026</v>
      </c>
      <c r="AO93" s="94">
        <f t="shared" ref="AO93" si="229">AN93*1.05</f>
        <v>5661.3413134666534</v>
      </c>
      <c r="AP93" s="94">
        <f t="shared" ref="AP93" si="230">AO93*1.05</f>
        <v>5944.4083791399862</v>
      </c>
    </row>
    <row r="94" spans="2:58">
      <c r="B94" s="7"/>
      <c r="C94" s="460" t="s">
        <v>924</v>
      </c>
      <c r="D94" s="460"/>
      <c r="E94" s="460"/>
      <c r="F94" s="460"/>
      <c r="G94">
        <v>14.8</v>
      </c>
      <c r="H94">
        <v>34.4</v>
      </c>
      <c r="I94">
        <v>15.8</v>
      </c>
      <c r="J94">
        <v>12.6</v>
      </c>
      <c r="K94">
        <v>4</v>
      </c>
      <c r="L94">
        <v>37.799999999999997</v>
      </c>
      <c r="M94">
        <v>36.9</v>
      </c>
      <c r="N94">
        <v>34.6</v>
      </c>
      <c r="O94">
        <v>40.5</v>
      </c>
      <c r="P94">
        <v>47.3</v>
      </c>
      <c r="U94" s="1195"/>
    </row>
    <row r="95" spans="2:58">
      <c r="B95" s="7"/>
      <c r="C95" s="460" t="s">
        <v>925</v>
      </c>
      <c r="D95" s="460"/>
      <c r="E95" s="460"/>
      <c r="F95" s="460"/>
      <c r="G95">
        <v>14.5</v>
      </c>
      <c r="H95">
        <v>2.4</v>
      </c>
      <c r="I95">
        <v>42.5</v>
      </c>
      <c r="J95">
        <v>2.7</v>
      </c>
      <c r="K95">
        <v>15</v>
      </c>
      <c r="L95">
        <v>14.3</v>
      </c>
      <c r="M95">
        <v>0</v>
      </c>
      <c r="N95">
        <v>0</v>
      </c>
      <c r="O95">
        <v>29.7</v>
      </c>
      <c r="P95">
        <v>43.8</v>
      </c>
      <c r="U95" s="1195"/>
    </row>
    <row r="96" spans="2:58">
      <c r="B96" s="7"/>
      <c r="C96" s="460" t="s">
        <v>926</v>
      </c>
      <c r="D96" s="460"/>
      <c r="E96" s="460"/>
      <c r="F96" s="460"/>
      <c r="G96">
        <v>11.6</v>
      </c>
      <c r="H96">
        <v>11.9</v>
      </c>
      <c r="I96">
        <v>12.6</v>
      </c>
      <c r="J96">
        <v>5</v>
      </c>
      <c r="K96">
        <v>3.1</v>
      </c>
      <c r="L96">
        <v>3.6</v>
      </c>
      <c r="M96">
        <v>2.7</v>
      </c>
      <c r="N96">
        <v>2.2000000000000002</v>
      </c>
      <c r="O96">
        <v>2.2000000000000002</v>
      </c>
      <c r="P96">
        <v>2</v>
      </c>
      <c r="U96" s="1195"/>
    </row>
    <row r="97" spans="2:45">
      <c r="B97" s="7"/>
      <c r="C97" s="460" t="s">
        <v>927</v>
      </c>
      <c r="D97" s="460"/>
      <c r="E97" s="460"/>
      <c r="F97" s="460"/>
      <c r="H97">
        <v>0.4</v>
      </c>
      <c r="I97">
        <v>0.4</v>
      </c>
      <c r="J97">
        <v>0.4</v>
      </c>
      <c r="K97">
        <v>0.2</v>
      </c>
      <c r="L97">
        <v>0</v>
      </c>
      <c r="M97">
        <v>0</v>
      </c>
      <c r="N97">
        <v>0</v>
      </c>
      <c r="O97">
        <v>0</v>
      </c>
      <c r="P97">
        <v>0</v>
      </c>
      <c r="U97" s="1195"/>
    </row>
    <row r="99" spans="2:45" ht="31.5">
      <c r="B99" s="7" t="s">
        <v>862</v>
      </c>
      <c r="C99" s="538" t="s">
        <v>928</v>
      </c>
      <c r="D99" s="538"/>
      <c r="E99" s="538"/>
      <c r="F99" s="538"/>
      <c r="G99" s="463">
        <v>1027.0999999999999</v>
      </c>
      <c r="H99" s="463">
        <v>1018.5</v>
      </c>
      <c r="I99" s="463">
        <v>984.4</v>
      </c>
      <c r="J99" s="463">
        <v>1030.5999999999999</v>
      </c>
      <c r="K99" s="463">
        <v>871.5</v>
      </c>
      <c r="L99" s="463">
        <v>895</v>
      </c>
      <c r="M99" s="463">
        <v>866.4</v>
      </c>
      <c r="N99" s="463">
        <v>1120</v>
      </c>
      <c r="O99" s="463">
        <v>1371.5000000000002</v>
      </c>
      <c r="P99" s="153">
        <v>1639</v>
      </c>
      <c r="Q99" s="153">
        <v>1915.2</v>
      </c>
      <c r="R99" s="1196">
        <v>2179.5</v>
      </c>
      <c r="S99" s="1196">
        <v>2252.9</v>
      </c>
      <c r="T99" s="1197">
        <v>2239.8000000000002</v>
      </c>
      <c r="U99" s="521">
        <v>2103.8000000000002</v>
      </c>
      <c r="V99">
        <v>2454.0640592188352</v>
      </c>
      <c r="W99">
        <v>2274.1</v>
      </c>
      <c r="X99">
        <v>2879</v>
      </c>
      <c r="Y99">
        <v>2924.2</v>
      </c>
      <c r="Z99">
        <v>2925.3</v>
      </c>
      <c r="AA99">
        <v>3243.7</v>
      </c>
      <c r="AB99">
        <v>3299.3</v>
      </c>
      <c r="AC99">
        <v>3228.3</v>
      </c>
      <c r="AD99">
        <v>3243.3</v>
      </c>
      <c r="AE99" s="175">
        <v>3187.6</v>
      </c>
      <c r="AF99" s="175">
        <v>3007.8865626221063</v>
      </c>
      <c r="AG99" s="539">
        <f>AF99+AG80</f>
        <v>3712.7080644223543</v>
      </c>
      <c r="AH99" s="539">
        <f t="shared" ref="AH99:AI99" si="231">AG99+AH80</f>
        <v>4367.86097815012</v>
      </c>
      <c r="AI99" s="539">
        <f t="shared" si="231"/>
        <v>4955.1556491733381</v>
      </c>
      <c r="AJ99" s="539">
        <f t="shared" ref="AJ99" si="232">AI99+AJ80</f>
        <v>5613.3401112066986</v>
      </c>
      <c r="AK99" s="539">
        <f t="shared" ref="AK99" si="233">AJ99+AK80</f>
        <v>6341.0864394506416</v>
      </c>
      <c r="AL99" s="539">
        <f t="shared" ref="AL99" si="234">AK99+AL80</f>
        <v>7140.6732329196866</v>
      </c>
      <c r="AM99" s="539">
        <f t="shared" ref="AM99" si="235">AL99+AM80</f>
        <v>8025.1934432276548</v>
      </c>
      <c r="AN99" s="539">
        <f t="shared" ref="AN99" si="236">AM99+AN80</f>
        <v>9020.6319692645156</v>
      </c>
      <c r="AO99" s="539">
        <f t="shared" ref="AO99" si="237">AN99+AO80</f>
        <v>10125.652320063582</v>
      </c>
      <c r="AP99" s="539">
        <f t="shared" ref="AP99" si="238">AO99+AP80</f>
        <v>11355.271503333024</v>
      </c>
      <c r="AS99" t="s">
        <v>1057</v>
      </c>
    </row>
    <row r="100" spans="2:45">
      <c r="B100" s="7"/>
      <c r="C100" s="460" t="s">
        <v>924</v>
      </c>
      <c r="D100" s="460"/>
      <c r="E100" s="460"/>
      <c r="F100" s="460"/>
      <c r="G100">
        <v>788.3</v>
      </c>
      <c r="H100">
        <v>808.3</v>
      </c>
      <c r="I100">
        <v>784.5</v>
      </c>
      <c r="J100">
        <v>827.4</v>
      </c>
      <c r="K100">
        <v>683.3</v>
      </c>
      <c r="L100">
        <v>708.2</v>
      </c>
      <c r="M100">
        <v>770.6</v>
      </c>
      <c r="N100">
        <v>1026.3</v>
      </c>
      <c r="O100">
        <v>1309.4000000000001</v>
      </c>
      <c r="P100">
        <v>1572.4</v>
      </c>
      <c r="Q100">
        <v>1979</v>
      </c>
    </row>
    <row r="101" spans="2:45">
      <c r="B101" s="7"/>
      <c r="C101" s="460" t="s">
        <v>925</v>
      </c>
      <c r="D101" s="460"/>
      <c r="E101" s="460"/>
      <c r="F101" s="460"/>
      <c r="G101">
        <v>111</v>
      </c>
      <c r="H101">
        <v>100</v>
      </c>
      <c r="I101">
        <v>89</v>
      </c>
      <c r="J101">
        <v>99.8</v>
      </c>
      <c r="K101">
        <v>119.9</v>
      </c>
      <c r="L101">
        <v>135.6</v>
      </c>
      <c r="M101">
        <v>44.4</v>
      </c>
      <c r="N101">
        <v>44.4</v>
      </c>
      <c r="O101">
        <v>15.2</v>
      </c>
      <c r="P101">
        <v>73</v>
      </c>
      <c r="Q101">
        <v>109.5</v>
      </c>
    </row>
    <row r="102" spans="2:45">
      <c r="B102" s="7"/>
      <c r="C102" s="460" t="s">
        <v>926</v>
      </c>
      <c r="D102" s="460"/>
      <c r="E102" s="460"/>
      <c r="F102" s="460"/>
      <c r="G102">
        <v>122.5</v>
      </c>
      <c r="H102">
        <v>105.2</v>
      </c>
      <c r="I102">
        <v>106.5</v>
      </c>
      <c r="J102">
        <v>98.8</v>
      </c>
      <c r="K102">
        <v>65.099999999999994</v>
      </c>
      <c r="L102">
        <v>47.9</v>
      </c>
      <c r="M102">
        <v>48.1</v>
      </c>
      <c r="N102">
        <v>46.3</v>
      </c>
      <c r="O102">
        <v>44.4</v>
      </c>
      <c r="P102">
        <v>43.6</v>
      </c>
      <c r="Q102">
        <v>42.7</v>
      </c>
    </row>
    <row r="103" spans="2:45">
      <c r="B103" s="7"/>
      <c r="C103" s="460" t="s">
        <v>927</v>
      </c>
      <c r="D103" s="460"/>
      <c r="E103" s="460"/>
      <c r="F103" s="460"/>
      <c r="G103">
        <v>5.3</v>
      </c>
      <c r="H103">
        <v>5</v>
      </c>
      <c r="I103">
        <v>4.4000000000000004</v>
      </c>
      <c r="J103">
        <v>4.5999999999999996</v>
      </c>
      <c r="K103">
        <v>3.2</v>
      </c>
      <c r="L103">
        <v>3.3</v>
      </c>
      <c r="M103">
        <v>3.3</v>
      </c>
      <c r="N103">
        <v>3</v>
      </c>
      <c r="O103">
        <v>2.5</v>
      </c>
      <c r="P103">
        <v>2.2999999999999998</v>
      </c>
      <c r="Q103">
        <v>2.2999999999999998</v>
      </c>
    </row>
    <row r="105" spans="2:45" ht="18.75">
      <c r="B105" s="7" t="s">
        <v>863</v>
      </c>
      <c r="C105" s="464" t="s">
        <v>929</v>
      </c>
      <c r="D105" s="464"/>
      <c r="E105" s="464"/>
      <c r="F105" s="464"/>
      <c r="G105" s="149">
        <v>108.2</v>
      </c>
      <c r="H105" s="149">
        <v>97</v>
      </c>
      <c r="I105" s="149">
        <v>82.5</v>
      </c>
      <c r="J105" s="149">
        <v>66.3</v>
      </c>
      <c r="K105" s="149">
        <v>42.2</v>
      </c>
      <c r="L105" s="149">
        <v>38.9</v>
      </c>
      <c r="M105" s="149">
        <v>31</v>
      </c>
      <c r="N105" s="149">
        <v>30.2</v>
      </c>
      <c r="O105" s="149">
        <v>26.7</v>
      </c>
      <c r="P105" s="149">
        <v>35.799999999999997</v>
      </c>
      <c r="Q105" s="149">
        <v>31.6</v>
      </c>
      <c r="R105" s="306">
        <v>33.409230032522593</v>
      </c>
      <c r="S105" s="306">
        <v>29.672292837923418</v>
      </c>
      <c r="T105" s="306">
        <v>26.331406532231799</v>
      </c>
      <c r="U105" s="306">
        <v>22.764342485517446</v>
      </c>
      <c r="V105" s="306">
        <f>V99/V2*100</f>
        <v>29.676048392139482</v>
      </c>
      <c r="W105" s="306">
        <f t="shared" ref="W105:AP105" si="239">W99/W2*100</f>
        <v>32.52206678919444</v>
      </c>
      <c r="X105" s="306">
        <f t="shared" si="239"/>
        <v>38.201061080821859</v>
      </c>
      <c r="Y105" s="306">
        <f t="shared" si="239"/>
        <v>37.658655093218044</v>
      </c>
      <c r="Z105" s="306">
        <f t="shared" si="239"/>
        <v>35.24013653175713</v>
      </c>
      <c r="AA105" s="306">
        <f t="shared" si="239"/>
        <v>39.878288664863533</v>
      </c>
      <c r="AB105" s="306">
        <f t="shared" si="239"/>
        <v>36.914005683725307</v>
      </c>
      <c r="AC105" s="306">
        <f t="shared" si="239"/>
        <v>30.1183912228162</v>
      </c>
      <c r="AD105" s="306">
        <f t="shared" si="239"/>
        <v>26.488892518784713</v>
      </c>
      <c r="AE105" s="306">
        <f t="shared" si="239"/>
        <v>22.095755668466623</v>
      </c>
      <c r="AF105" s="306">
        <f t="shared" si="239"/>
        <v>17.071025829126498</v>
      </c>
      <c r="AG105" s="306">
        <f t="shared" si="239"/>
        <v>17.043843861563413</v>
      </c>
      <c r="AH105" s="306">
        <f t="shared" si="239"/>
        <v>18.238116393257755</v>
      </c>
      <c r="AI105" s="306">
        <f t="shared" si="239"/>
        <v>18.862396975134331</v>
      </c>
      <c r="AJ105" s="306">
        <f t="shared" si="239"/>
        <v>19.066429470548975</v>
      </c>
      <c r="AK105" s="306">
        <f t="shared" si="239"/>
        <v>19.479566616470791</v>
      </c>
      <c r="AL105" s="306">
        <f t="shared" si="239"/>
        <v>19.964994146312915</v>
      </c>
      <c r="AM105" s="306">
        <f t="shared" si="239"/>
        <v>20.283523012499295</v>
      </c>
      <c r="AN105" s="306">
        <f t="shared" si="239"/>
        <v>20.259007229911809</v>
      </c>
      <c r="AO105" s="306">
        <f t="shared" si="239"/>
        <v>20.485585202344247</v>
      </c>
      <c r="AP105" s="306">
        <f t="shared" si="239"/>
        <v>20.64536344238104</v>
      </c>
      <c r="AS105" t="s">
        <v>1058</v>
      </c>
    </row>
    <row r="106" spans="2:45" ht="18.75">
      <c r="B106" s="7" t="s">
        <v>864</v>
      </c>
      <c r="C106" s="149" t="s">
        <v>930</v>
      </c>
      <c r="D106" s="149"/>
      <c r="E106" s="149"/>
      <c r="F106" s="149"/>
      <c r="G106" s="306">
        <v>5.7232325945824902</v>
      </c>
      <c r="H106" s="306">
        <v>5.7411309648051825</v>
      </c>
      <c r="I106" s="306">
        <v>7.2242590607777446</v>
      </c>
      <c r="J106" s="306">
        <v>2.2634010290874729</v>
      </c>
      <c r="K106" s="306">
        <v>1.7534822934232717</v>
      </c>
      <c r="L106" s="306">
        <v>2.9364352121666246</v>
      </c>
      <c r="M106" s="306">
        <v>1.7348284468629824</v>
      </c>
      <c r="N106" s="306">
        <v>1.3066352709636608</v>
      </c>
      <c r="O106" s="306">
        <v>1.7337026808758167</v>
      </c>
      <c r="P106" s="306">
        <v>2.4624460710650049</v>
      </c>
      <c r="Q106" s="306">
        <v>1.3257290414496237</v>
      </c>
      <c r="R106" s="306">
        <v>29.391831492695651</v>
      </c>
      <c r="S106" s="306">
        <v>31.35394888712527</v>
      </c>
      <c r="T106" s="306">
        <v>25.181655858576885</v>
      </c>
      <c r="U106" s="522">
        <v>24.299783211201884</v>
      </c>
      <c r="V106" s="306">
        <f t="shared" ref="V106:AP106" si="240">(V84+V93)/V2*100</f>
        <v>27.459411204513078</v>
      </c>
      <c r="W106" s="306">
        <f t="shared" si="240"/>
        <v>34.126321399330955</v>
      </c>
      <c r="X106" s="306">
        <f t="shared" si="240"/>
        <v>33.298458074268744</v>
      </c>
      <c r="Y106" s="306">
        <f t="shared" si="240"/>
        <v>34.010284775086163</v>
      </c>
      <c r="Z106" s="306">
        <f t="shared" si="240"/>
        <v>33.416059818768233</v>
      </c>
      <c r="AA106" s="306">
        <f t="shared" si="240"/>
        <v>35.848233643339306</v>
      </c>
      <c r="AB106" s="306">
        <f t="shared" si="240"/>
        <v>34.298846435544903</v>
      </c>
      <c r="AC106" s="306">
        <f t="shared" si="240"/>
        <v>30.029703027035136</v>
      </c>
      <c r="AD106" s="306">
        <f t="shared" si="240"/>
        <v>27.597866085235069</v>
      </c>
      <c r="AE106" s="306">
        <f t="shared" si="240"/>
        <v>24.589587044732358</v>
      </c>
      <c r="AF106" s="306">
        <f t="shared" si="240"/>
        <v>21.121740427604255</v>
      </c>
      <c r="AG106" s="306">
        <f t="shared" si="240"/>
        <v>17.965929465373705</v>
      </c>
      <c r="AH106" s="306">
        <f t="shared" si="240"/>
        <v>17.227144885167505</v>
      </c>
      <c r="AI106" s="306">
        <f t="shared" si="240"/>
        <v>16.548555703642062</v>
      </c>
      <c r="AJ106" s="306">
        <f t="shared" si="240"/>
        <v>15.557297432456593</v>
      </c>
      <c r="AK106" s="306">
        <f t="shared" si="240"/>
        <v>14.828116612680859</v>
      </c>
      <c r="AL106" s="306">
        <f t="shared" si="240"/>
        <v>14.226309548074346</v>
      </c>
      <c r="AM106" s="306">
        <f t="shared" si="240"/>
        <v>13.559884361714817</v>
      </c>
      <c r="AN106" s="306">
        <f t="shared" si="240"/>
        <v>12.708741367295296</v>
      </c>
      <c r="AO106" s="306">
        <f t="shared" si="240"/>
        <v>12.079795974421739</v>
      </c>
      <c r="AP106" s="306">
        <f t="shared" si="240"/>
        <v>11.458527046450007</v>
      </c>
      <c r="AS106" t="s">
        <v>1059</v>
      </c>
    </row>
    <row r="107" spans="2:45">
      <c r="B107" s="149"/>
      <c r="C107" s="149"/>
      <c r="D107" s="149"/>
      <c r="E107" s="149"/>
      <c r="F107" s="149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149"/>
      <c r="R107" s="149"/>
      <c r="S107" s="149"/>
      <c r="T107" s="149"/>
    </row>
    <row r="108" spans="2:45" ht="18.75">
      <c r="B108" s="7" t="s">
        <v>865</v>
      </c>
      <c r="C108" s="463" t="s">
        <v>931</v>
      </c>
      <c r="D108" s="463"/>
      <c r="E108" s="463"/>
      <c r="F108" s="463"/>
      <c r="G108" s="463"/>
      <c r="H108" s="463"/>
      <c r="I108" s="463"/>
      <c r="J108" s="463"/>
      <c r="K108" s="463"/>
      <c r="L108" s="149">
        <v>298.8</v>
      </c>
      <c r="M108" s="149">
        <v>521.4</v>
      </c>
      <c r="N108" s="149">
        <v>969.9</v>
      </c>
      <c r="O108" s="149">
        <v>926.8</v>
      </c>
      <c r="P108" s="154">
        <v>873.8</v>
      </c>
      <c r="Q108" s="1198">
        <v>927.3</v>
      </c>
      <c r="R108" s="1198">
        <v>1096.7</v>
      </c>
      <c r="S108" s="1198">
        <v>1358</v>
      </c>
      <c r="T108" s="540">
        <v>2081.2889429043944</v>
      </c>
      <c r="U108" s="1199">
        <v>1496.5206117844202</v>
      </c>
      <c r="V108" s="94">
        <v>2200.9929021730863</v>
      </c>
      <c r="W108" s="540">
        <f t="shared" ref="W108" si="241">V108+W59+W80</f>
        <v>2837.1670672056639</v>
      </c>
      <c r="X108" s="540">
        <f t="shared" ref="X108" si="242">W108+X59+X80</f>
        <v>3789.3811116247066</v>
      </c>
      <c r="Y108" s="540">
        <f t="shared" ref="Y108" si="243">X108+Y59+Y80</f>
        <v>4752.2766777606557</v>
      </c>
      <c r="Z108" s="540">
        <f t="shared" ref="Z108" si="244">Y108+Z59+Z80</f>
        <v>5278.2003783117625</v>
      </c>
      <c r="AA108" s="540">
        <f t="shared" ref="AA108" si="245">Z108+AA59+AA80</f>
        <v>5397.7737923264176</v>
      </c>
      <c r="AB108" s="540">
        <f t="shared" ref="AB108" si="246">AA108+AB59+AB80</f>
        <v>6957.1921709186481</v>
      </c>
      <c r="AC108" s="540">
        <f t="shared" ref="AC108" si="247">AB108+AC59+AC80</f>
        <v>8534.7405146261808</v>
      </c>
      <c r="AD108" s="540">
        <f t="shared" ref="AD108" si="248">AC108+AD59+AD80</f>
        <v>9924.2252662890678</v>
      </c>
      <c r="AE108" s="540">
        <f t="shared" ref="AE108" si="249">AD108+AE59+AE80</f>
        <v>11686.08810307056</v>
      </c>
      <c r="AF108" s="540">
        <f t="shared" ref="AF108" si="250">AE108+AF59+AF80</f>
        <v>16428.452521486604</v>
      </c>
      <c r="AG108" s="540">
        <f t="shared" ref="AG108" si="251">AF108+AG59+AG80</f>
        <v>17214.983834332208</v>
      </c>
      <c r="AH108" s="540">
        <f t="shared" ref="AH108" si="252">AG108+AH59+AH80</f>
        <v>17890.764979226584</v>
      </c>
      <c r="AI108" s="540">
        <f t="shared" ref="AI108" si="253">AH108+AI59+AI80</f>
        <v>18483.602945192713</v>
      </c>
      <c r="AJ108" s="540">
        <f>AI108+AJ59+AJ80</f>
        <v>19443.615748876309</v>
      </c>
      <c r="AK108" s="540">
        <f t="shared" ref="AK108" si="254">AJ108+AK59+AK80</f>
        <v>20468.77560138128</v>
      </c>
      <c r="AL108" s="540">
        <f t="shared" ref="AL108" si="255">AK108+AL59+AL80</f>
        <v>21734.870797148797</v>
      </c>
      <c r="AM108" s="540">
        <f t="shared" ref="AM108" si="256">AL108+AM59+AM80</f>
        <v>22947.9990572485</v>
      </c>
      <c r="AN108" s="540">
        <f t="shared" ref="AN108" si="257">AM108+AN59+AN80</f>
        <v>22531.336948741151</v>
      </c>
      <c r="AO108" s="540">
        <f t="shared" ref="AO108" si="258">AN108+AO59+AO80</f>
        <v>22233.026137877219</v>
      </c>
      <c r="AP108" s="540">
        <f t="shared" ref="AP108" si="259">AO108+AP59+AP80</f>
        <v>26885.02370933376</v>
      </c>
      <c r="AS108" t="s">
        <v>1060</v>
      </c>
    </row>
    <row r="109" spans="2:45">
      <c r="C109" s="460" t="s">
        <v>932</v>
      </c>
      <c r="D109" s="460"/>
      <c r="E109" s="460"/>
      <c r="F109" s="460"/>
      <c r="L109">
        <v>51.9</v>
      </c>
      <c r="M109">
        <v>237.8</v>
      </c>
      <c r="N109">
        <v>405.5</v>
      </c>
      <c r="O109">
        <v>229.3</v>
      </c>
      <c r="P109">
        <v>161.1</v>
      </c>
    </row>
    <row r="110" spans="2:45">
      <c r="C110" s="460" t="s">
        <v>933</v>
      </c>
      <c r="D110" s="460"/>
      <c r="E110" s="460"/>
      <c r="F110" s="460"/>
      <c r="L110">
        <v>28.9</v>
      </c>
      <c r="M110">
        <v>139.4</v>
      </c>
      <c r="N110">
        <v>197.3</v>
      </c>
      <c r="O110">
        <v>258.39999999999998</v>
      </c>
      <c r="P110">
        <v>257.39999999999998</v>
      </c>
    </row>
    <row r="111" spans="2:45">
      <c r="C111" s="460" t="s">
        <v>615</v>
      </c>
      <c r="D111" s="460"/>
      <c r="E111" s="460"/>
      <c r="F111" s="460"/>
      <c r="L111">
        <v>0.04</v>
      </c>
      <c r="M111">
        <v>0.04</v>
      </c>
      <c r="N111">
        <v>115</v>
      </c>
      <c r="O111">
        <v>186.4</v>
      </c>
      <c r="P111">
        <v>213.1</v>
      </c>
    </row>
    <row r="112" spans="2:45">
      <c r="C112" s="460" t="s">
        <v>13</v>
      </c>
      <c r="D112" s="460"/>
      <c r="E112" s="460"/>
      <c r="F112" s="460"/>
      <c r="L112">
        <v>109.8</v>
      </c>
      <c r="M112">
        <v>111.2</v>
      </c>
      <c r="N112">
        <v>105</v>
      </c>
      <c r="O112">
        <v>103.8</v>
      </c>
      <c r="P112">
        <v>93.1</v>
      </c>
    </row>
    <row r="113" spans="2:45">
      <c r="C113" s="460" t="s">
        <v>934</v>
      </c>
      <c r="D113" s="460"/>
      <c r="E113" s="460"/>
      <c r="F113" s="460"/>
      <c r="L113">
        <v>0.2</v>
      </c>
      <c r="M113">
        <v>0</v>
      </c>
      <c r="N113">
        <v>45.6</v>
      </c>
      <c r="O113">
        <v>83.4</v>
      </c>
      <c r="P113">
        <v>85.4</v>
      </c>
    </row>
    <row r="114" spans="2:45">
      <c r="C114" s="460" t="s">
        <v>330</v>
      </c>
      <c r="D114" s="460"/>
      <c r="E114" s="460"/>
      <c r="F114" s="460"/>
      <c r="L114">
        <v>107.9</v>
      </c>
      <c r="M114">
        <v>32.9</v>
      </c>
      <c r="N114">
        <v>35.799999999999997</v>
      </c>
      <c r="O114">
        <v>31.8</v>
      </c>
      <c r="P114">
        <v>14.6</v>
      </c>
    </row>
    <row r="115" spans="2:45">
      <c r="C115" s="460" t="s">
        <v>935</v>
      </c>
      <c r="D115" s="460"/>
      <c r="E115" s="460"/>
      <c r="F115" s="460"/>
      <c r="L115">
        <v>6.0000000000002274E-2</v>
      </c>
      <c r="M115">
        <v>5.999999999994543E-2</v>
      </c>
      <c r="N115">
        <v>65.700000000000045</v>
      </c>
      <c r="O115">
        <v>33.700000000000045</v>
      </c>
      <c r="P115">
        <v>49.099999999999909</v>
      </c>
    </row>
    <row r="116" spans="2:45" ht="18.75">
      <c r="B116" s="7" t="s">
        <v>866</v>
      </c>
      <c r="C116" s="458" t="s">
        <v>936</v>
      </c>
      <c r="D116" s="458"/>
      <c r="E116" s="458"/>
      <c r="F116" s="458"/>
      <c r="O116">
        <v>17.3</v>
      </c>
      <c r="P116" s="94">
        <v>18</v>
      </c>
      <c r="Q116" s="94">
        <v>19.581974313161496</v>
      </c>
      <c r="R116" s="94">
        <v>23.777533391753373</v>
      </c>
      <c r="S116" s="94">
        <v>30.986551673510281</v>
      </c>
      <c r="T116" s="94">
        <v>46.426681406757226</v>
      </c>
      <c r="U116" s="522">
        <v>51.429156461011559</v>
      </c>
      <c r="V116" s="94">
        <v>57.091921256145035</v>
      </c>
      <c r="W116" s="94">
        <f>AVERAGE(V108:W108)*W118/100</f>
        <v>81.243386049990235</v>
      </c>
      <c r="X116" s="94">
        <f t="shared" ref="X116:AI116" si="260">AVERAGE(W108:X108)*X118/100</f>
        <v>112.65906798475874</v>
      </c>
      <c r="Y116" s="94">
        <f t="shared" si="260"/>
        <v>152.69692781066706</v>
      </c>
      <c r="Z116" s="94">
        <f t="shared" si="260"/>
        <v>188.09446253035563</v>
      </c>
      <c r="AA116" s="94">
        <f t="shared" si="260"/>
        <v>209.54649947351299</v>
      </c>
      <c r="AB116" s="94">
        <f t="shared" si="260"/>
        <v>253.31905844690689</v>
      </c>
      <c r="AC116" s="94">
        <f t="shared" si="260"/>
        <v>331.20176365607063</v>
      </c>
      <c r="AD116" s="94">
        <f t="shared" si="260"/>
        <v>410.79589532662976</v>
      </c>
      <c r="AE116" s="94">
        <f t="shared" si="260"/>
        <v>499.84888819649132</v>
      </c>
      <c r="AF116" s="94">
        <f t="shared" si="260"/>
        <v>674.90841198970099</v>
      </c>
      <c r="AG116" s="94">
        <f t="shared" si="260"/>
        <v>837.09020177626792</v>
      </c>
      <c r="AH116" s="94">
        <f t="shared" si="260"/>
        <v>904.21162397348303</v>
      </c>
      <c r="AI116" s="94">
        <f t="shared" si="260"/>
        <v>968.73522789305684</v>
      </c>
      <c r="AJ116" s="94">
        <f t="shared" ref="AJ116" si="261">AVERAGE(AI108:AJ108)*AJ118/100</f>
        <v>1043.2989651986029</v>
      </c>
      <c r="AK116" s="94">
        <f t="shared" ref="AK116" si="262">AVERAGE(AJ108:AK108)*AK118/100</f>
        <v>1132.8527404871593</v>
      </c>
      <c r="AL116" s="94">
        <f t="shared" ref="AL116" si="263">AVERAGE(AK108:AL108)*AL118/100</f>
        <v>1234.8384811893097</v>
      </c>
      <c r="AM116" s="94">
        <f t="shared" ref="AM116" si="264">AVERAGE(AL108:AM108)*AM118/100</f>
        <v>1346.5008514380104</v>
      </c>
      <c r="AN116" s="94">
        <f t="shared" ref="AN116" si="265">AVERAGE(AM108:AN108)*AN118/100</f>
        <v>1410.3220584351429</v>
      </c>
      <c r="AO116" s="94">
        <f t="shared" ref="AO116" si="266">AVERAGE(AN108:AO108)*AO118/100</f>
        <v>1427.3446314298076</v>
      </c>
      <c r="AP116" s="94">
        <f t="shared" ref="AP116" si="267">AVERAGE(AO108:AP108)*AP118/100</f>
        <v>1609.1710673283317</v>
      </c>
      <c r="AS116" t="s">
        <v>1061</v>
      </c>
    </row>
    <row r="117" spans="2:45">
      <c r="H117" s="93"/>
      <c r="I117" s="260"/>
      <c r="J117" s="260"/>
      <c r="K117" s="260"/>
      <c r="L117" s="260"/>
      <c r="M117" s="260"/>
      <c r="N117" s="260"/>
      <c r="O117" s="260"/>
      <c r="P117" s="260"/>
      <c r="Q117" s="260"/>
      <c r="R117" s="93"/>
      <c r="S117" s="93"/>
      <c r="T117" s="93"/>
      <c r="U117" s="515"/>
    </row>
    <row r="118" spans="2:45" ht="18">
      <c r="B118" s="7" t="s">
        <v>867</v>
      </c>
      <c r="C118" s="458" t="s">
        <v>937</v>
      </c>
      <c r="D118" s="458"/>
      <c r="E118" s="458"/>
      <c r="F118" s="458"/>
      <c r="H118" s="94"/>
      <c r="I118" s="94"/>
      <c r="J118" s="94"/>
      <c r="K118" s="94"/>
      <c r="L118" s="94"/>
      <c r="M118" s="94"/>
      <c r="N118" s="94"/>
      <c r="O118" s="94">
        <v>1.8242210154478835</v>
      </c>
      <c r="P118" s="94">
        <v>1.9993335554815064</v>
      </c>
      <c r="Q118" s="94">
        <v>2.1744460955151292</v>
      </c>
      <c r="R118" s="94">
        <v>2.3495586355487523</v>
      </c>
      <c r="S118" s="94">
        <v>2.5246711755823754</v>
      </c>
      <c r="T118" s="94">
        <v>2.6997837156159985</v>
      </c>
      <c r="U118" s="522">
        <v>2.8748962556496216</v>
      </c>
      <c r="V118" s="94">
        <v>3.0500087956832447</v>
      </c>
      <c r="W118" s="94">
        <v>3.2251213357168678</v>
      </c>
      <c r="X118" s="94">
        <f>W118+W118-V118</f>
        <v>3.4002338757504909</v>
      </c>
      <c r="Y118" s="94">
        <f t="shared" ref="Y118:AI118" si="268">X118+X118-W118</f>
        <v>3.5753464157841139</v>
      </c>
      <c r="Z118" s="94">
        <f t="shared" si="268"/>
        <v>3.750458955817737</v>
      </c>
      <c r="AA118" s="94">
        <f t="shared" si="268"/>
        <v>3.9255714958513601</v>
      </c>
      <c r="AB118" s="94">
        <f t="shared" si="268"/>
        <v>4.1006840358849832</v>
      </c>
      <c r="AC118" s="94">
        <f t="shared" si="268"/>
        <v>4.2757965759186067</v>
      </c>
      <c r="AD118" s="94">
        <f t="shared" si="268"/>
        <v>4.4509091159522303</v>
      </c>
      <c r="AE118" s="94">
        <f t="shared" si="268"/>
        <v>4.6260216559858538</v>
      </c>
      <c r="AF118" s="94">
        <f t="shared" si="268"/>
        <v>4.8011341960194773</v>
      </c>
      <c r="AG118" s="94">
        <f t="shared" si="268"/>
        <v>4.9762467360531009</v>
      </c>
      <c r="AH118" s="94">
        <f t="shared" si="268"/>
        <v>5.1513592760867244</v>
      </c>
      <c r="AI118" s="94">
        <f t="shared" si="268"/>
        <v>5.3264718161203479</v>
      </c>
      <c r="AJ118" s="94">
        <f t="shared" ref="AJ118" si="269">AI118+AI118-AH118</f>
        <v>5.5015843561539715</v>
      </c>
      <c r="AK118" s="94">
        <f t="shared" ref="AK118" si="270">AJ118+AJ118-AI118</f>
        <v>5.676696896187595</v>
      </c>
      <c r="AL118" s="94">
        <f t="shared" ref="AL118" si="271">AK118+AK118-AJ118</f>
        <v>5.8518094362212185</v>
      </c>
      <c r="AM118" s="94">
        <f t="shared" ref="AM118" si="272">AL118+AL118-AK118</f>
        <v>6.0269219762548421</v>
      </c>
      <c r="AN118" s="94">
        <f t="shared" ref="AN118" si="273">AM118+AM118-AL118</f>
        <v>6.2020345162884656</v>
      </c>
      <c r="AO118" s="94">
        <f t="shared" ref="AO118" si="274">AN118+AN118-AM118</f>
        <v>6.3771470563220891</v>
      </c>
      <c r="AP118" s="94">
        <f t="shared" ref="AP118" si="275">AO118+AO118-AN118</f>
        <v>6.5522595963557126</v>
      </c>
      <c r="AS118" t="s">
        <v>1062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DBBE-050F-4202-9675-87C679C3B160}">
  <dimension ref="C1:AP66"/>
  <sheetViews>
    <sheetView zoomScale="80" zoomScaleNormal="80" workbookViewId="0">
      <pane xSplit="3" ySplit="1" topLeftCell="AE20" activePane="bottomRight" state="frozen"/>
      <selection pane="topRight" activeCell="D1" sqref="D1"/>
      <selection pane="bottomLeft" activeCell="A2" sqref="A2"/>
      <selection pane="bottomRight" activeCell="AG24" sqref="AG24"/>
    </sheetView>
  </sheetViews>
  <sheetFormatPr defaultRowHeight="15"/>
  <cols>
    <col min="1" max="1" width="3.42578125" customWidth="1"/>
    <col min="2" max="2" width="5" customWidth="1"/>
    <col min="3" max="3" width="39.7109375" style="444" customWidth="1"/>
    <col min="4" max="20" width="13.5703125" style="444" customWidth="1"/>
    <col min="21" max="21" width="14" style="444" customWidth="1"/>
    <col min="22" max="22" width="15.42578125" customWidth="1"/>
    <col min="26" max="26" width="10.7109375" customWidth="1"/>
    <col min="30" max="30" width="15.85546875" customWidth="1"/>
    <col min="31" max="32" width="10.5703125" bestFit="1" customWidth="1"/>
    <col min="34" max="34" width="11.7109375" customWidth="1"/>
    <col min="35" max="37" width="10.5703125" bestFit="1" customWidth="1"/>
  </cols>
  <sheetData>
    <row r="1" spans="3:42" ht="36">
      <c r="C1" s="541" t="s">
        <v>795</v>
      </c>
      <c r="D1" s="312">
        <v>1997</v>
      </c>
      <c r="E1" s="312">
        <v>1998</v>
      </c>
      <c r="F1" s="312">
        <v>1999</v>
      </c>
      <c r="G1" s="312">
        <v>2000</v>
      </c>
      <c r="H1" s="312">
        <v>2001</v>
      </c>
      <c r="I1" s="312">
        <v>2002</v>
      </c>
      <c r="J1" s="312">
        <v>2003</v>
      </c>
      <c r="K1" s="312">
        <v>2004</v>
      </c>
      <c r="L1" s="312">
        <v>2005</v>
      </c>
      <c r="M1" s="312">
        <v>2006</v>
      </c>
      <c r="N1" s="312">
        <v>2007</v>
      </c>
      <c r="O1" s="312">
        <v>2008</v>
      </c>
      <c r="P1" s="312">
        <v>2009</v>
      </c>
      <c r="Q1" s="312">
        <v>2010</v>
      </c>
      <c r="R1" s="312">
        <v>2011</v>
      </c>
      <c r="S1" s="312">
        <v>2012</v>
      </c>
      <c r="T1" s="312">
        <v>2013</v>
      </c>
      <c r="U1" s="312">
        <v>2014</v>
      </c>
      <c r="V1" s="312">
        <v>2015</v>
      </c>
      <c r="W1" s="312">
        <v>2016</v>
      </c>
      <c r="X1" s="312">
        <v>2017</v>
      </c>
      <c r="Y1" s="312">
        <v>2018</v>
      </c>
      <c r="Z1" s="312">
        <v>2019</v>
      </c>
      <c r="AA1" s="312">
        <v>2020</v>
      </c>
      <c r="AB1" s="312">
        <v>2021</v>
      </c>
      <c r="AC1" s="312">
        <v>2022</v>
      </c>
      <c r="AD1" s="312">
        <v>2023</v>
      </c>
      <c r="AE1" s="312">
        <v>2024</v>
      </c>
      <c r="AF1" s="312">
        <v>2025</v>
      </c>
      <c r="AG1" s="542">
        <v>2026</v>
      </c>
      <c r="AH1" s="542">
        <v>2027</v>
      </c>
      <c r="AI1" s="542">
        <v>2028</v>
      </c>
      <c r="AJ1" s="542">
        <v>2029</v>
      </c>
      <c r="AK1" s="542">
        <v>2030</v>
      </c>
      <c r="AL1" s="542">
        <v>2031</v>
      </c>
      <c r="AM1" s="542">
        <v>2032</v>
      </c>
      <c r="AN1" s="542">
        <v>2033</v>
      </c>
      <c r="AO1" s="542">
        <v>2034</v>
      </c>
      <c r="AP1" s="542">
        <v>2035</v>
      </c>
    </row>
    <row r="2" spans="3:42" ht="18">
      <c r="C2" s="433"/>
      <c r="D2" s="934"/>
      <c r="E2" s="934"/>
      <c r="F2" s="934"/>
      <c r="G2" s="934"/>
      <c r="H2" s="934"/>
      <c r="I2" s="934"/>
      <c r="J2" s="934"/>
      <c r="K2" s="934"/>
      <c r="L2" s="934"/>
      <c r="M2" s="934"/>
      <c r="N2" s="934"/>
      <c r="O2" s="934"/>
      <c r="P2" s="934"/>
      <c r="Q2" s="934"/>
      <c r="R2" s="934"/>
      <c r="S2" s="934"/>
      <c r="T2" s="934"/>
      <c r="U2" s="934"/>
      <c r="AF2" s="312"/>
      <c r="AG2" s="112"/>
      <c r="AH2" s="112"/>
      <c r="AI2" s="112"/>
    </row>
    <row r="3" spans="3:42">
      <c r="C3" s="434" t="s">
        <v>722</v>
      </c>
      <c r="D3" s="933"/>
      <c r="E3" s="933"/>
      <c r="F3" s="933"/>
      <c r="G3" s="933"/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AF3" s="312"/>
      <c r="AG3" s="112"/>
      <c r="AH3" s="112"/>
      <c r="AI3" s="112"/>
    </row>
    <row r="4" spans="3:42" ht="15.75">
      <c r="C4" s="435" t="s">
        <v>796</v>
      </c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32"/>
      <c r="U4" s="932"/>
    </row>
    <row r="5" spans="3:42">
      <c r="C5" s="436"/>
      <c r="D5" s="931"/>
      <c r="E5" s="931"/>
      <c r="F5" s="931"/>
      <c r="G5" s="931"/>
      <c r="H5" s="931"/>
      <c r="I5" s="931"/>
      <c r="J5" s="931"/>
      <c r="K5" s="931"/>
      <c r="L5" s="931"/>
      <c r="M5" s="931"/>
      <c r="N5" s="931"/>
      <c r="O5" s="931"/>
      <c r="P5" s="931"/>
      <c r="Q5" s="931"/>
      <c r="R5" s="931"/>
      <c r="S5" s="931"/>
      <c r="T5" s="931"/>
      <c r="U5" s="931"/>
    </row>
    <row r="6" spans="3:42" ht="18.75">
      <c r="C6" s="437" t="s">
        <v>797</v>
      </c>
      <c r="D6" s="930"/>
      <c r="E6" s="930"/>
      <c r="F6" s="930"/>
      <c r="G6" s="1203">
        <v>1806.7670000000001</v>
      </c>
      <c r="H6" s="1204">
        <v>2512.1127000000001</v>
      </c>
      <c r="I6" s="1204">
        <v>3344.5518999999999</v>
      </c>
      <c r="J6" s="1204">
        <v>4757.8</v>
      </c>
      <c r="K6" s="1204">
        <v>6157.5</v>
      </c>
      <c r="L6" s="1204">
        <v>7206.5999999999995</v>
      </c>
      <c r="M6" s="1204">
        <v>9335.3000000000011</v>
      </c>
      <c r="N6" s="1204">
        <v>12804.3</v>
      </c>
      <c r="O6" s="1204">
        <v>17706.900000000001</v>
      </c>
      <c r="P6" s="1205">
        <v>20629</v>
      </c>
      <c r="Q6" s="1208">
        <v>24707.100000000002</v>
      </c>
      <c r="R6" s="1209">
        <v>30071.1</v>
      </c>
      <c r="S6" s="1209">
        <v>36163.1</v>
      </c>
      <c r="T6" s="1209">
        <v>40525.199999999997</v>
      </c>
      <c r="U6" s="1209">
        <v>45606.6</v>
      </c>
      <c r="V6" s="149">
        <f>gateway!V3</f>
        <v>50977.399999999994</v>
      </c>
      <c r="W6" s="149">
        <f>gateway!W3</f>
        <v>54790.299999999996</v>
      </c>
      <c r="X6" s="149">
        <f>gateway!X3</f>
        <v>64434.3</v>
      </c>
      <c r="Y6" s="149">
        <f>gateway!Y3</f>
        <v>71059.199999999997</v>
      </c>
      <c r="Z6" s="149">
        <f>gateway!Z3</f>
        <v>79109.799999999988</v>
      </c>
      <c r="AA6" s="149">
        <f>gateway!AA3</f>
        <v>83958.3</v>
      </c>
      <c r="AB6" s="149">
        <f>gateway!AB3</f>
        <v>101076.30000000002</v>
      </c>
      <c r="AC6" s="149">
        <f>gateway!AC3</f>
        <v>118181.70000000001</v>
      </c>
      <c r="AD6" s="149">
        <f>gateway!AD3</f>
        <v>132781.90000000002</v>
      </c>
      <c r="AE6" s="149">
        <f>gateway!AE3</f>
        <v>155783.9</v>
      </c>
      <c r="AF6" s="149">
        <f>gateway!AF3</f>
        <v>176919</v>
      </c>
      <c r="AG6" s="149">
        <f>gateway!AG3</f>
        <v>199898.1373681862</v>
      </c>
      <c r="AH6" s="149">
        <f>gateway!AH3</f>
        <v>225457.20835606457</v>
      </c>
      <c r="AI6" s="149">
        <f>gateway!AI3</f>
        <v>254610.40971193821</v>
      </c>
      <c r="AJ6" s="149">
        <f>gateway!AJ3</f>
        <v>290955.27502497676</v>
      </c>
      <c r="AK6" s="149">
        <f>gateway!AK3</f>
        <v>325987.59758401546</v>
      </c>
      <c r="AL6" s="149">
        <f>gateway!AL3</f>
        <v>368330.80468772119</v>
      </c>
      <c r="AM6" s="149">
        <f>gateway!AM3</f>
        <v>413970.29228411877</v>
      </c>
      <c r="AN6" s="149">
        <f>gateway!AN3</f>
        <v>460417.1837588718</v>
      </c>
      <c r="AO6" s="149">
        <f>gateway!AO3</f>
        <v>511101.7351686334</v>
      </c>
      <c r="AP6" s="149">
        <f>gateway!AP3</f>
        <v>568732.0579310552</v>
      </c>
    </row>
    <row r="7" spans="3:42" ht="18.75">
      <c r="C7" s="437" t="s">
        <v>798</v>
      </c>
      <c r="D7" s="930"/>
      <c r="E7" s="930"/>
      <c r="F7" s="930"/>
      <c r="G7" s="1203">
        <v>1244.8223651333335</v>
      </c>
      <c r="H7" s="1204">
        <v>1633.8607349999997</v>
      </c>
      <c r="I7" s="1204">
        <v>1997.7292689866667</v>
      </c>
      <c r="J7" s="1204">
        <v>2696.3122551083334</v>
      </c>
      <c r="K7" s="1204">
        <v>4088.59566</v>
      </c>
      <c r="L7" s="1204">
        <v>5243.5077753400001</v>
      </c>
      <c r="M7" s="1204">
        <v>7819.7655793599997</v>
      </c>
      <c r="N7" s="1204">
        <v>12761.634948750001</v>
      </c>
      <c r="O7" s="1204">
        <v>14004.9</v>
      </c>
      <c r="P7" s="1205">
        <v>12686.7</v>
      </c>
      <c r="Q7" s="1208">
        <v>14577.7</v>
      </c>
      <c r="R7" s="1209">
        <v>22286.1</v>
      </c>
      <c r="S7" s="1209">
        <v>25114</v>
      </c>
      <c r="T7" s="1209">
        <v>26051.9</v>
      </c>
      <c r="U7" s="1209">
        <v>26676.2</v>
      </c>
      <c r="V7" s="149">
        <f>gateway!V4</f>
        <v>20460</v>
      </c>
      <c r="W7" s="149">
        <f>gateway!W4</f>
        <v>23299.3</v>
      </c>
      <c r="X7" s="149">
        <f>gateway!X4</f>
        <v>25037.599999999999</v>
      </c>
      <c r="Y7" s="149">
        <f>gateway!Y4</f>
        <v>29468.7</v>
      </c>
      <c r="Z7" s="149">
        <f>gateway!Z4</f>
        <v>32486.5</v>
      </c>
      <c r="AA7" s="149">
        <f>gateway!AA4</f>
        <v>32260.799999999999</v>
      </c>
      <c r="AB7" s="149">
        <f>gateway!AB4</f>
        <v>48156.800000000003</v>
      </c>
      <c r="AC7" s="149">
        <f>gateway!AC4</f>
        <v>58006.400000000001</v>
      </c>
      <c r="AD7" s="149">
        <f>gateway!AD4</f>
        <v>64323.5</v>
      </c>
      <c r="AE7" s="149">
        <f>gateway!AE4</f>
        <v>74585.100000000006</v>
      </c>
      <c r="AF7" s="149">
        <f>gateway!AF4</f>
        <v>87535.953705100008</v>
      </c>
      <c r="AG7" s="149">
        <f>gateway!AG4</f>
        <v>80656.402683312044</v>
      </c>
      <c r="AH7" s="149">
        <f>gateway!AH4</f>
        <v>85329.100756968823</v>
      </c>
      <c r="AI7" s="149">
        <f>gateway!AI4</f>
        <v>90451.623238805187</v>
      </c>
      <c r="AJ7" s="149">
        <f>gateway!AJ4</f>
        <v>97325.403680975127</v>
      </c>
      <c r="AK7" s="149">
        <f>gateway!AK4</f>
        <v>104932.07627590917</v>
      </c>
      <c r="AL7" s="149">
        <f>gateway!AL4</f>
        <v>116533.95700262485</v>
      </c>
      <c r="AM7" s="149">
        <f>gateway!AM4</f>
        <v>128335.67871648754</v>
      </c>
      <c r="AN7" s="149">
        <f>gateway!AN4</f>
        <v>129767.63891000372</v>
      </c>
      <c r="AO7" s="149">
        <f>gateway!AO4</f>
        <v>135718.05444469416</v>
      </c>
      <c r="AP7" s="149">
        <f>gateway!AP4</f>
        <v>172775.63758438913</v>
      </c>
    </row>
    <row r="8" spans="3:42" ht="18.75">
      <c r="C8" s="437" t="s">
        <v>575</v>
      </c>
      <c r="D8" s="930"/>
      <c r="E8" s="930"/>
      <c r="F8" s="930"/>
      <c r="G8" s="1203">
        <v>1448.6062281333334</v>
      </c>
      <c r="H8" s="1204">
        <v>1559.7607978333335</v>
      </c>
      <c r="I8" s="1204">
        <v>2047.9835360133329</v>
      </c>
      <c r="J8" s="1204">
        <v>2441.1369090333333</v>
      </c>
      <c r="K8" s="1204">
        <v>2720.0815658333331</v>
      </c>
      <c r="L8" s="1204">
        <v>3909.5708743600007</v>
      </c>
      <c r="M8" s="1204">
        <v>5243.2217387199998</v>
      </c>
      <c r="N8" s="1204">
        <v>5871.4188727500004</v>
      </c>
      <c r="O8" s="1204">
        <v>5782.4</v>
      </c>
      <c r="P8" s="1205">
        <v>5048</v>
      </c>
      <c r="Q8" s="1208">
        <v>6620.7</v>
      </c>
      <c r="R8" s="1209">
        <v>5335</v>
      </c>
      <c r="S8" s="1209">
        <v>7829.5</v>
      </c>
      <c r="T8" s="1209">
        <v>7582.6</v>
      </c>
      <c r="U8" s="1209">
        <v>5143.3999999999996</v>
      </c>
      <c r="V8" s="149">
        <f>gateway!V5</f>
        <v>4997.2</v>
      </c>
      <c r="W8" s="149">
        <f>gateway!W5</f>
        <v>7232.5</v>
      </c>
      <c r="X8" s="149">
        <f>gateway!X5</f>
        <v>9619.1</v>
      </c>
      <c r="Y8" s="149">
        <f>gateway!Y5</f>
        <v>10215.1</v>
      </c>
      <c r="Z8" s="149">
        <f>gateway!Z5</f>
        <v>11850.6</v>
      </c>
      <c r="AA8" s="149">
        <f>gateway!AA5</f>
        <v>14545.2</v>
      </c>
      <c r="AB8" s="149">
        <f>gateway!AB5</f>
        <v>24442.2</v>
      </c>
      <c r="AC8" s="149">
        <f>gateway!AC5</f>
        <v>19326.400000000001</v>
      </c>
      <c r="AD8" s="149">
        <f>gateway!AD5</f>
        <v>22827.7</v>
      </c>
      <c r="AE8" s="149">
        <f>gateway!AE5</f>
        <v>17467.5</v>
      </c>
      <c r="AF8" s="149">
        <f>gateway!AF5</f>
        <v>33946.689580782579</v>
      </c>
      <c r="AG8" s="149">
        <f>gateway!AG5</f>
        <v>35600.83602720817</v>
      </c>
      <c r="AH8" s="149">
        <f>gateway!AH5</f>
        <v>39596.776228077171</v>
      </c>
      <c r="AI8" s="149">
        <f>gateway!AI5</f>
        <v>44151.942449272814</v>
      </c>
      <c r="AJ8" s="149">
        <f>gateway!AJ5</f>
        <v>49171.80942785657</v>
      </c>
      <c r="AK8" s="149">
        <f>gateway!AK5</f>
        <v>54369.440452802992</v>
      </c>
      <c r="AL8" s="149">
        <f>gateway!AL5</f>
        <v>56441.620122337801</v>
      </c>
      <c r="AM8" s="149">
        <f>gateway!AM5</f>
        <v>62629.97571208467</v>
      </c>
      <c r="AN8" s="149">
        <f>gateway!AN5</f>
        <v>68972.931340895026</v>
      </c>
      <c r="AO8" s="149">
        <f>gateway!AO5</f>
        <v>76895.798371511744</v>
      </c>
      <c r="AP8" s="149">
        <f>gateway!AP5</f>
        <v>86147.805041390602</v>
      </c>
    </row>
    <row r="9" spans="3:42" ht="18.75">
      <c r="C9" s="437" t="s">
        <v>565</v>
      </c>
      <c r="D9" s="930"/>
      <c r="E9" s="930"/>
      <c r="F9" s="930"/>
      <c r="G9" s="1203">
        <v>1947.9911758666667</v>
      </c>
      <c r="H9" s="1204">
        <v>2803.0056259166668</v>
      </c>
      <c r="I9" s="1204">
        <v>3788.7655730299998</v>
      </c>
      <c r="J9" s="1204">
        <v>5224.4900801125004</v>
      </c>
      <c r="K9" s="1204">
        <v>6827.9491174558334</v>
      </c>
      <c r="L9" s="1204">
        <v>7701.1369009799982</v>
      </c>
      <c r="M9" s="1204">
        <v>10421.343840640002</v>
      </c>
      <c r="N9" s="1204">
        <v>16540.416076000001</v>
      </c>
      <c r="O9" s="1204">
        <v>17156.5</v>
      </c>
      <c r="P9" s="1205">
        <v>20380.2</v>
      </c>
      <c r="Q9" s="1208">
        <v>23726.2</v>
      </c>
      <c r="R9" s="1209">
        <v>33314.9</v>
      </c>
      <c r="S9" s="1209">
        <v>41047.699999999997</v>
      </c>
      <c r="T9" s="1209">
        <v>46141.599999999999</v>
      </c>
      <c r="U9" s="1209">
        <v>51376.3</v>
      </c>
      <c r="V9" s="149">
        <f>gateway!V6</f>
        <v>42206.3</v>
      </c>
      <c r="W9" s="149">
        <f>gateway!W6</f>
        <v>50109.599999999999</v>
      </c>
      <c r="X9" s="149">
        <f>gateway!X6</f>
        <v>59167.4</v>
      </c>
      <c r="Y9" s="149">
        <f>gateway!Y6</f>
        <v>62273.399999999994</v>
      </c>
      <c r="Z9" s="149">
        <f>gateway!Z6</f>
        <v>69139</v>
      </c>
      <c r="AA9" s="149">
        <f>gateway!AA6</f>
        <v>74861.600000000006</v>
      </c>
      <c r="AB9" s="149">
        <f>gateway!AB6</f>
        <v>92235.3</v>
      </c>
      <c r="AC9" s="149">
        <f>gateway!AC6</f>
        <v>115547</v>
      </c>
      <c r="AD9" s="149">
        <f>gateway!AD6</f>
        <v>133104.30000000002</v>
      </c>
      <c r="AE9" s="149">
        <f>gateway!AE6</f>
        <v>161955.20000000001</v>
      </c>
      <c r="AF9" s="149">
        <f>gateway!AF6</f>
        <v>163129.42226810416</v>
      </c>
      <c r="AG9" s="149">
        <f>gateway!AG6</f>
        <v>179844.37485575455</v>
      </c>
      <c r="AH9" s="149">
        <f>gateway!AH6</f>
        <v>196983.31364556632</v>
      </c>
      <c r="AI9" s="149">
        <f>gateway!AI6</f>
        <v>212475.27645251172</v>
      </c>
      <c r="AJ9" s="149">
        <f>gateway!AJ6</f>
        <v>236261.4104138476</v>
      </c>
      <c r="AK9" s="149">
        <f>gateway!AK6</f>
        <v>258756.0105729163</v>
      </c>
      <c r="AL9" s="149">
        <f>gateway!AL6</f>
        <v>280866.47143267293</v>
      </c>
      <c r="AM9" s="149">
        <f>gateway!AM6</f>
        <v>308320.30236369028</v>
      </c>
      <c r="AN9" s="149">
        <f>gateway!AN6</f>
        <v>335624.03311565123</v>
      </c>
      <c r="AO9" s="149">
        <f>gateway!AO6</f>
        <v>366029.27578607632</v>
      </c>
      <c r="AP9" s="149">
        <f>gateway!AP6</f>
        <v>400502.89614980627</v>
      </c>
    </row>
    <row r="10" spans="3:42" ht="18.75">
      <c r="C10" s="437" t="s">
        <v>799</v>
      </c>
      <c r="D10" s="930"/>
      <c r="E10" s="930"/>
      <c r="F10" s="930"/>
      <c r="G10" s="1203">
        <v>1695.4281758666666</v>
      </c>
      <c r="H10" s="1204">
        <v>2425.6756259166668</v>
      </c>
      <c r="I10" s="1204">
        <v>3340.9854730299999</v>
      </c>
      <c r="J10" s="1204">
        <v>4552.3796801125</v>
      </c>
      <c r="K10" s="1204">
        <v>5740.349117455833</v>
      </c>
      <c r="L10" s="1204">
        <v>6648.8369009799981</v>
      </c>
      <c r="M10" s="1204">
        <v>9384.7438406400015</v>
      </c>
      <c r="N10" s="1204">
        <v>15400.316076000001</v>
      </c>
      <c r="O10" s="1204">
        <v>15145</v>
      </c>
      <c r="P10" s="1205">
        <v>17605.3</v>
      </c>
      <c r="Q10" s="1208">
        <v>20717.099999999999</v>
      </c>
      <c r="R10" s="1209">
        <v>28935.7</v>
      </c>
      <c r="S10" s="1209">
        <v>27407.100000000002</v>
      </c>
      <c r="T10" s="1209">
        <v>41354.9</v>
      </c>
      <c r="U10" s="1209">
        <v>44082</v>
      </c>
      <c r="V10" s="149">
        <f>gateway!V7</f>
        <v>36003</v>
      </c>
      <c r="W10" s="149">
        <f>gateway!W7</f>
        <v>43219.8</v>
      </c>
      <c r="X10" s="149">
        <f>gateway!X7</f>
        <v>51499.4</v>
      </c>
      <c r="Y10" s="149">
        <f>gateway!Y7</f>
        <v>53938.7</v>
      </c>
      <c r="Z10" s="149">
        <f>gateway!Z7</f>
        <v>59925</v>
      </c>
      <c r="AA10" s="149">
        <f>gateway!AA7</f>
        <v>64584</v>
      </c>
      <c r="AB10" s="149">
        <f>gateway!AB7</f>
        <v>80377.100000000006</v>
      </c>
      <c r="AC10" s="149">
        <f>gateway!AC7</f>
        <v>102715.8</v>
      </c>
      <c r="AD10" s="149">
        <f>gateway!AD7</f>
        <v>118160.2</v>
      </c>
      <c r="AE10" s="149">
        <f>gateway!AE7</f>
        <v>143478</v>
      </c>
      <c r="AF10" s="149">
        <f>gateway!AF7</f>
        <v>142970.5048312477</v>
      </c>
      <c r="AG10" s="149">
        <f>gateway!AG7</f>
        <v>156795.4531059429</v>
      </c>
      <c r="AH10" s="149">
        <f>gateway!AH7</f>
        <v>170643.49002913773</v>
      </c>
      <c r="AI10" s="149">
        <f>gateway!AI7</f>
        <v>182359.93127978497</v>
      </c>
      <c r="AJ10" s="149">
        <f>gateway!AJ7</f>
        <v>201698.21258047849</v>
      </c>
      <c r="AK10" s="149">
        <f>gateway!AK7</f>
        <v>219332.16769183526</v>
      </c>
      <c r="AL10" s="149">
        <f>gateway!AL7</f>
        <v>235775.56493457354</v>
      </c>
      <c r="AM10" s="149">
        <f>gateway!AM7</f>
        <v>256827.1703178795</v>
      </c>
      <c r="AN10" s="149">
        <f>gateway!AN7</f>
        <v>276995.43363556557</v>
      </c>
      <c r="AO10" s="149">
        <f>gateway!AO7</f>
        <v>299297.53292753099</v>
      </c>
      <c r="AP10" s="149">
        <f>gateway!AP7</f>
        <v>324477.24301855441</v>
      </c>
    </row>
    <row r="11" spans="3:42" ht="18.75">
      <c r="C11" s="437" t="s">
        <v>800</v>
      </c>
      <c r="D11" s="930"/>
      <c r="E11" s="930"/>
      <c r="F11" s="930"/>
      <c r="G11" s="1203">
        <v>67</v>
      </c>
      <c r="H11" s="1204">
        <v>82</v>
      </c>
      <c r="I11" s="1204">
        <v>108</v>
      </c>
      <c r="J11" s="1204">
        <v>133</v>
      </c>
      <c r="K11" s="1204">
        <v>168</v>
      </c>
      <c r="L11" s="1204">
        <v>260.60000000000002</v>
      </c>
      <c r="M11" s="1204">
        <v>365.7</v>
      </c>
      <c r="N11" s="1204">
        <v>526.5</v>
      </c>
      <c r="O11" s="1204">
        <v>652</v>
      </c>
      <c r="P11" s="1205">
        <v>919.3</v>
      </c>
      <c r="Q11" s="1208">
        <v>1138.2</v>
      </c>
      <c r="R11" s="1209">
        <v>1328.9</v>
      </c>
      <c r="S11" s="1209">
        <v>1744.4</v>
      </c>
      <c r="T11" s="1209">
        <v>2401.1999999999998</v>
      </c>
      <c r="U11" s="1209">
        <v>3177.3</v>
      </c>
      <c r="V11" s="149">
        <f>gateway!V8</f>
        <v>3403.7</v>
      </c>
      <c r="W11" s="149">
        <f>gateway!W8</f>
        <v>3915.2</v>
      </c>
      <c r="X11" s="149">
        <f>gateway!X8</f>
        <v>4496.8999999999996</v>
      </c>
      <c r="Y11" s="149">
        <f>gateway!Y8</f>
        <v>4923.8999999999996</v>
      </c>
      <c r="Z11" s="149">
        <f>gateway!Z8</f>
        <v>4980.3</v>
      </c>
      <c r="AA11" s="149">
        <f>gateway!AA8</f>
        <v>5417.4</v>
      </c>
      <c r="AB11" s="149">
        <f>gateway!AB8</f>
        <v>6169.5</v>
      </c>
      <c r="AC11" s="149">
        <f>gateway!AC8</f>
        <v>7053.8</v>
      </c>
      <c r="AD11" s="149">
        <f>gateway!AD8</f>
        <v>10667.5</v>
      </c>
      <c r="AE11" s="149">
        <f>gateway!AE8</f>
        <v>12768.8</v>
      </c>
      <c r="AF11" s="149">
        <f>gateway!AF8</f>
        <v>13420.008799999998</v>
      </c>
      <c r="AG11" s="149">
        <f>gateway!AG8</f>
        <v>14104.429248799997</v>
      </c>
      <c r="AH11" s="149">
        <f>gateway!AH8</f>
        <v>14823.755140488796</v>
      </c>
      <c r="AI11" s="149">
        <f>gateway!AI8</f>
        <v>15579.766652653723</v>
      </c>
      <c r="AJ11" s="149">
        <f>gateway!AJ8</f>
        <v>16374.334751939063</v>
      </c>
      <c r="AK11" s="149">
        <f>gateway!AK8</f>
        <v>17209.425824287955</v>
      </c>
      <c r="AL11" s="149">
        <f>gateway!AL8</f>
        <v>18087.106541326641</v>
      </c>
      <c r="AM11" s="149">
        <f>gateway!AM8</f>
        <v>19009.5489749343</v>
      </c>
      <c r="AN11" s="149">
        <f>gateway!AN8</f>
        <v>19979.035972655947</v>
      </c>
      <c r="AO11" s="149">
        <f>gateway!AO8</f>
        <v>20997.9668072614</v>
      </c>
      <c r="AP11" s="149">
        <f>gateway!AP8</f>
        <v>22068.86311443173</v>
      </c>
    </row>
    <row r="12" spans="3:42" ht="18.75">
      <c r="C12" s="438"/>
      <c r="D12" s="929"/>
      <c r="E12" s="929"/>
      <c r="F12" s="929"/>
      <c r="G12" s="1200"/>
      <c r="H12" s="1201"/>
      <c r="I12" s="1201"/>
      <c r="J12" s="1201"/>
      <c r="K12" s="1201"/>
      <c r="L12" s="1201"/>
      <c r="M12" s="1201"/>
      <c r="N12" s="1201"/>
      <c r="O12" s="1201"/>
      <c r="P12" s="1202"/>
      <c r="Q12" s="1206"/>
      <c r="R12" s="1207"/>
      <c r="S12" s="1207"/>
      <c r="T12" s="1207"/>
      <c r="U12" s="1207"/>
    </row>
    <row r="13" spans="3:42" ht="18.75">
      <c r="C13" s="439" t="s">
        <v>801</v>
      </c>
      <c r="D13" s="930"/>
      <c r="E13" s="930"/>
      <c r="F13" s="930"/>
      <c r="G13" s="930"/>
      <c r="H13" s="930"/>
      <c r="I13" s="930"/>
      <c r="J13" s="930"/>
      <c r="K13" s="930"/>
      <c r="L13" s="930"/>
      <c r="M13" s="930"/>
      <c r="N13" s="930"/>
      <c r="O13" s="930"/>
      <c r="P13" s="930"/>
      <c r="Q13" s="930"/>
      <c r="R13" s="930"/>
      <c r="S13" s="930"/>
      <c r="T13" s="930"/>
      <c r="U13" s="930"/>
    </row>
    <row r="14" spans="3:42" ht="18.75">
      <c r="C14" s="437"/>
      <c r="D14" s="930"/>
      <c r="E14" s="930"/>
      <c r="F14" s="930"/>
      <c r="G14" s="930"/>
      <c r="H14" s="930"/>
      <c r="I14" s="930"/>
      <c r="J14" s="930"/>
      <c r="K14" s="930"/>
      <c r="L14" s="930"/>
      <c r="M14" s="930"/>
      <c r="N14" s="930"/>
      <c r="O14" s="930"/>
      <c r="P14" s="930"/>
      <c r="Q14" s="930"/>
      <c r="R14" s="930"/>
      <c r="S14" s="930"/>
      <c r="T14" s="930"/>
      <c r="U14" s="930"/>
    </row>
    <row r="15" spans="3:42" ht="18.75">
      <c r="C15" s="437" t="s">
        <v>802</v>
      </c>
      <c r="D15" s="930"/>
      <c r="E15" s="930"/>
      <c r="F15" s="930"/>
      <c r="G15" s="1203">
        <v>249.31956999999997</v>
      </c>
      <c r="H15" s="1204">
        <v>380.65429999999998</v>
      </c>
      <c r="I15" s="1204">
        <v>553.90949999999998</v>
      </c>
      <c r="J15" s="1204">
        <v>809.59320000000014</v>
      </c>
      <c r="K15" s="1204">
        <v>1061.2023999999999</v>
      </c>
      <c r="L15" s="1204">
        <v>1381.3762000000002</v>
      </c>
      <c r="M15" s="1204">
        <v>1799.7165</v>
      </c>
      <c r="N15" s="1204">
        <v>2413.0744</v>
      </c>
      <c r="O15" s="1204">
        <v>3461.5952000000007</v>
      </c>
      <c r="P15" s="1204">
        <v>3859.9500000000003</v>
      </c>
      <c r="Q15" s="543">
        <v>4604.1546239999998</v>
      </c>
      <c r="R15" s="543">
        <v>6394.1351779999995</v>
      </c>
      <c r="S15" s="543">
        <v>7780.9346099999993</v>
      </c>
      <c r="T15" s="543">
        <v>9395.7999999999993</v>
      </c>
      <c r="U15" s="543">
        <v>11470.3</v>
      </c>
      <c r="V15" s="546">
        <v>12105.799000000001</v>
      </c>
      <c r="W15" s="546">
        <v>12636.370999999999</v>
      </c>
      <c r="X15" s="546">
        <v>14525.284</v>
      </c>
      <c r="Y15" s="546">
        <v>16584.107</v>
      </c>
      <c r="Z15" s="546">
        <v>17800.838</v>
      </c>
      <c r="AA15" s="546">
        <v>17261.928</v>
      </c>
      <c r="AB15" s="546">
        <v>21270.772000000001</v>
      </c>
      <c r="AC15" s="546">
        <v>24234.499</v>
      </c>
      <c r="AD15" s="546">
        <v>28644.656999999999</v>
      </c>
      <c r="AE15" s="546">
        <v>43822.3</v>
      </c>
      <c r="AF15" s="546">
        <f>AF17+AF24+AF39</f>
        <v>35919.70594</v>
      </c>
      <c r="AG15" s="546">
        <f t="shared" ref="AG15:AP15" si="0">AG17+AG24+AG39</f>
        <v>38845.936008800003</v>
      </c>
      <c r="AH15" s="546">
        <f t="shared" si="0"/>
        <v>42313.927361875998</v>
      </c>
      <c r="AI15" s="546">
        <f t="shared" si="0"/>
        <v>46397.492354148511</v>
      </c>
      <c r="AJ15" s="546">
        <f t="shared" si="0"/>
        <v>51015.52563731245</v>
      </c>
      <c r="AK15" s="546">
        <f t="shared" si="0"/>
        <v>56663.437109056293</v>
      </c>
      <c r="AL15" s="546">
        <f t="shared" si="0"/>
        <v>62359.018803360326</v>
      </c>
      <c r="AM15" s="546">
        <f t="shared" si="0"/>
        <v>68775.874117724074</v>
      </c>
      <c r="AN15" s="546">
        <f t="shared" si="0"/>
        <v>76009.532840738975</v>
      </c>
      <c r="AO15" s="546">
        <f t="shared" si="0"/>
        <v>84168.301380413686</v>
      </c>
      <c r="AP15" s="546">
        <f t="shared" si="0"/>
        <v>93374.979266830953</v>
      </c>
    </row>
    <row r="16" spans="3:42" ht="18.75">
      <c r="C16" s="437" t="s">
        <v>803</v>
      </c>
      <c r="D16" s="930"/>
      <c r="E16" s="930"/>
      <c r="F16" s="930"/>
      <c r="G16" s="1200"/>
      <c r="H16" s="1201"/>
      <c r="I16" s="1201"/>
      <c r="J16" s="1201"/>
      <c r="K16" s="1201"/>
      <c r="L16" s="1201"/>
      <c r="M16" s="1201"/>
      <c r="N16" s="1201"/>
      <c r="O16" s="1201"/>
      <c r="P16" s="1201"/>
      <c r="Q16" s="1207"/>
      <c r="R16" s="1207"/>
      <c r="S16" s="1216"/>
      <c r="T16" s="1216"/>
      <c r="U16" s="1207"/>
      <c r="V16" s="544">
        <v>10603.405000000001</v>
      </c>
      <c r="W16" s="544">
        <v>10791.670999999998</v>
      </c>
      <c r="X16" s="544">
        <v>12401.483000000002</v>
      </c>
      <c r="Y16" s="544">
        <v>13813.563306799477</v>
      </c>
      <c r="Z16" s="544">
        <v>14970.204999999998</v>
      </c>
      <c r="AA16" s="544">
        <v>14654.817999999999</v>
      </c>
      <c r="AB16" s="544">
        <v>18676.68</v>
      </c>
      <c r="AC16" s="544">
        <v>20646.96</v>
      </c>
      <c r="AD16" s="544">
        <v>25769.144</v>
      </c>
      <c r="AE16" s="668">
        <v>29124.723000000002</v>
      </c>
      <c r="AF16" s="668">
        <v>37466.6</v>
      </c>
      <c r="AG16" s="544">
        <f>AG17+AG24</f>
        <v>35692.609558800003</v>
      </c>
      <c r="AH16" s="544">
        <f>AH17+AH24</f>
        <v>38687.601944376001</v>
      </c>
      <c r="AI16" s="544">
        <f>AI17+AI24</f>
        <v>42227.218124023515</v>
      </c>
      <c r="AJ16" s="544">
        <f t="shared" ref="AJ16:AP16" si="1">AJ17+AJ24</f>
        <v>46219.710272668701</v>
      </c>
      <c r="AK16" s="544">
        <f t="shared" si="1"/>
        <v>51148.249439715983</v>
      </c>
      <c r="AL16" s="544">
        <f t="shared" si="1"/>
        <v>56016.552983618967</v>
      </c>
      <c r="AM16" s="544">
        <f t="shared" si="1"/>
        <v>61482.038425021514</v>
      </c>
      <c r="AN16" s="544">
        <f t="shared" si="1"/>
        <v>67621.621794131031</v>
      </c>
      <c r="AO16" s="544">
        <f t="shared" si="1"/>
        <v>74522.203676814548</v>
      </c>
      <c r="AP16" s="544">
        <f t="shared" si="1"/>
        <v>82281.966907691953</v>
      </c>
    </row>
    <row r="17" spans="3:42" ht="18.75">
      <c r="C17" s="437" t="s">
        <v>804</v>
      </c>
      <c r="D17" s="930"/>
      <c r="E17" s="930"/>
      <c r="F17" s="930"/>
      <c r="G17" s="1203">
        <v>72.722470000000001</v>
      </c>
      <c r="H17" s="1204">
        <v>101.973</v>
      </c>
      <c r="I17" s="1204">
        <v>138.57599999999999</v>
      </c>
      <c r="J17" s="1204">
        <v>182.31200000000001</v>
      </c>
      <c r="K17" s="1204">
        <v>246.53099999999998</v>
      </c>
      <c r="L17" s="1204">
        <v>362.95</v>
      </c>
      <c r="M17" s="1204">
        <v>484.67200000000003</v>
      </c>
      <c r="N17" s="1204">
        <v>651.93399999999997</v>
      </c>
      <c r="O17" s="1204">
        <v>922.07</v>
      </c>
      <c r="P17" s="1204">
        <v>1233.6400000000001</v>
      </c>
      <c r="Q17" s="543">
        <v>1496.9877489999999</v>
      </c>
      <c r="R17" s="543">
        <v>1941.3826369999999</v>
      </c>
      <c r="S17" s="543">
        <v>2363.3139999999999</v>
      </c>
      <c r="T17" s="543">
        <v>2788.8042850000002</v>
      </c>
      <c r="U17" s="543">
        <v>3415.5920000000001</v>
      </c>
      <c r="V17" s="546">
        <v>3849.7180000000003</v>
      </c>
      <c r="W17" s="546">
        <v>3953.2219999999998</v>
      </c>
      <c r="X17" s="546">
        <v>4861.7000000000007</v>
      </c>
      <c r="Y17" s="546">
        <v>5430.3950000000004</v>
      </c>
      <c r="Z17" s="546">
        <v>5890.1610000000001</v>
      </c>
      <c r="AA17" s="546">
        <v>5626.6379999999999</v>
      </c>
      <c r="AB17" s="546">
        <v>7176.1640000000007</v>
      </c>
      <c r="AC17" s="546">
        <v>8651.3629999999994</v>
      </c>
      <c r="AD17" s="546">
        <v>8997.1769999999997</v>
      </c>
      <c r="AE17" s="546">
        <f>AE18+AE21+AE22</f>
        <v>11417.092000000001</v>
      </c>
      <c r="AF17" s="546">
        <f>AF18+AF21+AF22</f>
        <v>14636.19094</v>
      </c>
      <c r="AG17" s="546">
        <f>AG18+AG21+AG22</f>
        <v>14928.9147588</v>
      </c>
      <c r="AH17" s="546">
        <f>AH18+AH21+AH22</f>
        <v>15227.493053976003</v>
      </c>
      <c r="AI17" s="546">
        <f>AI18+AI21+AI22</f>
        <v>15532.042915055523</v>
      </c>
      <c r="AJ17" s="546">
        <f t="shared" ref="AJ17:AP17" si="2">AJ18+AJ21+AJ22</f>
        <v>15842.683773356632</v>
      </c>
      <c r="AK17" s="546">
        <f t="shared" si="2"/>
        <v>16159.537448823765</v>
      </c>
      <c r="AL17" s="546">
        <f t="shared" si="2"/>
        <v>16482.728197800239</v>
      </c>
      <c r="AM17" s="546">
        <f t="shared" si="2"/>
        <v>16812.382761756246</v>
      </c>
      <c r="AN17" s="546">
        <f t="shared" si="2"/>
        <v>17148.630416991371</v>
      </c>
      <c r="AO17" s="546">
        <f t="shared" si="2"/>
        <v>17491.603025331202</v>
      </c>
      <c r="AP17" s="546">
        <f t="shared" si="2"/>
        <v>17841.435085837824</v>
      </c>
    </row>
    <row r="18" spans="3:42" ht="18.75">
      <c r="C18" s="440" t="s">
        <v>805</v>
      </c>
      <c r="D18" s="928"/>
      <c r="E18" s="928"/>
      <c r="F18" s="928"/>
      <c r="G18" s="1203">
        <v>35.856999999999999</v>
      </c>
      <c r="H18" s="1204">
        <v>51.887</v>
      </c>
      <c r="I18" s="1204">
        <v>65.965000000000003</v>
      </c>
      <c r="J18" s="1204">
        <v>85.2</v>
      </c>
      <c r="K18" s="1204">
        <v>120.6</v>
      </c>
      <c r="L18" s="1204">
        <v>150.9</v>
      </c>
      <c r="M18" s="1204">
        <v>194.1</v>
      </c>
      <c r="N18" s="1204">
        <v>304.89999999999998</v>
      </c>
      <c r="O18" s="1204">
        <v>452.85</v>
      </c>
      <c r="P18" s="1204">
        <v>609.46</v>
      </c>
      <c r="Q18" s="1214">
        <v>778.68974900000001</v>
      </c>
      <c r="R18" s="1214">
        <v>987.36663700000008</v>
      </c>
      <c r="S18" s="1214">
        <v>1306.3</v>
      </c>
      <c r="T18" s="1214">
        <v>1616.533285</v>
      </c>
      <c r="U18" s="1214">
        <v>1900.9</v>
      </c>
      <c r="V18" s="544">
        <v>2306.9119999999998</v>
      </c>
      <c r="W18" s="544">
        <v>2384.5129999999999</v>
      </c>
      <c r="X18" s="544">
        <v>3071.7</v>
      </c>
      <c r="Y18" s="544">
        <v>3434.8</v>
      </c>
      <c r="Z18" s="544">
        <v>3812.9659999999999</v>
      </c>
      <c r="AA18" s="544">
        <v>3575.6549999999997</v>
      </c>
      <c r="AB18" s="544">
        <v>4681.8950000000004</v>
      </c>
      <c r="AC18" s="544">
        <v>5791.6459999999997</v>
      </c>
      <c r="AD18" s="544">
        <v>6861.2209999999995</v>
      </c>
      <c r="AE18" s="668">
        <v>7975.0959999999995</v>
      </c>
      <c r="AF18" s="668">
        <v>10771.066999999999</v>
      </c>
      <c r="AG18" s="544">
        <f>AG19+AG20</f>
        <v>10986.48834</v>
      </c>
      <c r="AH18" s="544">
        <f t="shared" ref="AH18:AP18" si="3">AH19+AH20</f>
        <v>11206.218106800003</v>
      </c>
      <c r="AI18" s="544">
        <f t="shared" si="3"/>
        <v>11430.342468936004</v>
      </c>
      <c r="AJ18" s="544">
        <f t="shared" si="3"/>
        <v>11658.949318314722</v>
      </c>
      <c r="AK18" s="544">
        <f t="shared" si="3"/>
        <v>11892.128304681017</v>
      </c>
      <c r="AL18" s="544">
        <f t="shared" si="3"/>
        <v>12129.970870774636</v>
      </c>
      <c r="AM18" s="544">
        <f t="shared" si="3"/>
        <v>12372.570288190131</v>
      </c>
      <c r="AN18" s="544">
        <f t="shared" si="3"/>
        <v>12620.021693953933</v>
      </c>
      <c r="AO18" s="544">
        <f t="shared" si="3"/>
        <v>12872.422127833011</v>
      </c>
      <c r="AP18" s="544">
        <f t="shared" si="3"/>
        <v>13129.870570389674</v>
      </c>
    </row>
    <row r="19" spans="3:42" ht="18.75">
      <c r="C19" s="441" t="s">
        <v>806</v>
      </c>
      <c r="D19" s="927"/>
      <c r="E19" s="927"/>
      <c r="F19" s="927"/>
      <c r="G19" s="1210">
        <v>22.288</v>
      </c>
      <c r="H19" s="1211">
        <v>33.024000000000001</v>
      </c>
      <c r="I19" s="1211">
        <v>38.965000000000003</v>
      </c>
      <c r="J19" s="1211">
        <v>51</v>
      </c>
      <c r="K19" s="1211">
        <v>68.599999999999994</v>
      </c>
      <c r="L19" s="1211">
        <v>84.4</v>
      </c>
      <c r="M19" s="1211">
        <v>107</v>
      </c>
      <c r="N19" s="1211">
        <v>168.1</v>
      </c>
      <c r="O19" s="1211">
        <v>246.49</v>
      </c>
      <c r="P19" s="1212">
        <v>366.85</v>
      </c>
      <c r="Q19" s="1215">
        <v>447.9</v>
      </c>
      <c r="R19" s="1215">
        <v>580.18527800000004</v>
      </c>
      <c r="S19" s="1215">
        <v>730.3</v>
      </c>
      <c r="T19" s="1215">
        <v>916.24466900000004</v>
      </c>
      <c r="U19" s="1215">
        <v>1092.7</v>
      </c>
      <c r="V19" s="547">
        <v>1297.7349999999999</v>
      </c>
      <c r="W19" s="547">
        <v>1352.22</v>
      </c>
      <c r="X19" s="544">
        <v>1568.7</v>
      </c>
      <c r="Y19" s="544">
        <v>1767.7</v>
      </c>
      <c r="Z19" s="544">
        <v>1912.9659999999999</v>
      </c>
      <c r="AA19" s="544">
        <v>1878.172</v>
      </c>
      <c r="AB19" s="546">
        <v>2345.2559999999999</v>
      </c>
      <c r="AC19" s="546">
        <v>2742.1329999999998</v>
      </c>
      <c r="AD19" s="546">
        <v>3341.0259999999998</v>
      </c>
      <c r="AE19" s="668">
        <v>4064.9050000000002</v>
      </c>
      <c r="AF19" s="668">
        <v>5130.4430000000002</v>
      </c>
      <c r="AG19" s="546">
        <f t="shared" ref="AF19:AG22" si="4">AF19*1.02</f>
        <v>5233.0518600000005</v>
      </c>
      <c r="AH19" s="546">
        <f t="shared" ref="AH19:AI22" si="5">AG19*1.02</f>
        <v>5337.712897200001</v>
      </c>
      <c r="AI19" s="546">
        <f t="shared" si="5"/>
        <v>5444.4671551440015</v>
      </c>
      <c r="AJ19" s="546">
        <f t="shared" ref="AJ19:AJ22" si="6">AI19*1.02</f>
        <v>5553.3564982468815</v>
      </c>
      <c r="AK19" s="546">
        <f t="shared" ref="AK19:AK22" si="7">AJ19*1.02</f>
        <v>5664.4236282118191</v>
      </c>
      <c r="AL19" s="546">
        <f t="shared" ref="AL19:AL22" si="8">AK19*1.02</f>
        <v>5777.7121007760552</v>
      </c>
      <c r="AM19" s="546">
        <f t="shared" ref="AM19:AM22" si="9">AL19*1.02</f>
        <v>5893.2663427915768</v>
      </c>
      <c r="AN19" s="546">
        <f t="shared" ref="AN19:AN22" si="10">AM19*1.02</f>
        <v>6011.1316696474087</v>
      </c>
      <c r="AO19" s="546">
        <f t="shared" ref="AO19:AO22" si="11">AN19*1.02</f>
        <v>6131.3543030403571</v>
      </c>
      <c r="AP19" s="546">
        <f t="shared" ref="AP19:AP22" si="12">AO19*1.02</f>
        <v>6253.9813891011645</v>
      </c>
    </row>
    <row r="20" spans="3:42" ht="37.5">
      <c r="C20" s="441" t="s">
        <v>807</v>
      </c>
      <c r="D20" s="927"/>
      <c r="E20" s="927"/>
      <c r="F20" s="927"/>
      <c r="G20" s="1210">
        <v>13.568999999999999</v>
      </c>
      <c r="H20" s="1211">
        <v>18.863</v>
      </c>
      <c r="I20" s="1211">
        <v>27</v>
      </c>
      <c r="J20" s="1211">
        <v>34.200000000000003</v>
      </c>
      <c r="K20" s="1211">
        <v>52</v>
      </c>
      <c r="L20" s="1211">
        <v>66.5</v>
      </c>
      <c r="M20" s="1211">
        <v>87.1</v>
      </c>
      <c r="N20" s="1211">
        <v>136.80000000000001</v>
      </c>
      <c r="O20" s="1211">
        <v>206.36</v>
      </c>
      <c r="P20" s="1212">
        <v>242.61</v>
      </c>
      <c r="Q20" s="1215">
        <v>330.78974900000003</v>
      </c>
      <c r="R20" s="1215">
        <v>407.18135899999999</v>
      </c>
      <c r="S20" s="1215">
        <v>576</v>
      </c>
      <c r="T20" s="1215">
        <v>700.28861600000005</v>
      </c>
      <c r="U20" s="1215">
        <v>807.4</v>
      </c>
      <c r="V20" s="547">
        <v>1009.177</v>
      </c>
      <c r="W20" s="547">
        <v>1032.2929999999999</v>
      </c>
      <c r="X20" s="544">
        <v>1503</v>
      </c>
      <c r="Y20" s="544">
        <v>1667.1</v>
      </c>
      <c r="Z20" s="544">
        <v>1900</v>
      </c>
      <c r="AA20" s="544">
        <v>1697.4829999999999</v>
      </c>
      <c r="AB20" s="546">
        <v>2336.6390000000001</v>
      </c>
      <c r="AC20" s="546">
        <v>3049.5129999999999</v>
      </c>
      <c r="AD20" s="546">
        <v>3520.1</v>
      </c>
      <c r="AE20" s="668">
        <v>3910.2</v>
      </c>
      <c r="AF20" s="668">
        <v>5640.6239999999998</v>
      </c>
      <c r="AG20" s="546">
        <f t="shared" si="4"/>
        <v>5753.4364800000003</v>
      </c>
      <c r="AH20" s="546">
        <f t="shared" si="5"/>
        <v>5868.5052096000009</v>
      </c>
      <c r="AI20" s="546">
        <f t="shared" si="5"/>
        <v>5985.8753137920012</v>
      </c>
      <c r="AJ20" s="546">
        <f t="shared" si="6"/>
        <v>6105.5928200678409</v>
      </c>
      <c r="AK20" s="546">
        <f t="shared" si="7"/>
        <v>6227.7046764691977</v>
      </c>
      <c r="AL20" s="546">
        <f t="shared" si="8"/>
        <v>6352.2587699985816</v>
      </c>
      <c r="AM20" s="546">
        <f t="shared" si="9"/>
        <v>6479.303945398553</v>
      </c>
      <c r="AN20" s="546">
        <f t="shared" si="10"/>
        <v>6608.8900243065245</v>
      </c>
      <c r="AO20" s="546">
        <f t="shared" si="11"/>
        <v>6741.0678247926553</v>
      </c>
      <c r="AP20" s="546">
        <f t="shared" si="12"/>
        <v>6875.8891812885086</v>
      </c>
    </row>
    <row r="21" spans="3:42" ht="18.75">
      <c r="C21" s="440" t="s">
        <v>808</v>
      </c>
      <c r="D21" s="928"/>
      <c r="E21" s="928"/>
      <c r="F21" s="928"/>
      <c r="G21" s="1203">
        <v>28.33</v>
      </c>
      <c r="H21" s="1204">
        <v>39.6</v>
      </c>
      <c r="I21" s="1204">
        <v>59.6</v>
      </c>
      <c r="J21" s="1204">
        <v>79.599999999999994</v>
      </c>
      <c r="K21" s="1204">
        <v>106.6</v>
      </c>
      <c r="L21" s="1204">
        <v>151.49</v>
      </c>
      <c r="M21" s="1204">
        <v>213.9</v>
      </c>
      <c r="N21" s="1204">
        <v>254.79</v>
      </c>
      <c r="O21" s="1204">
        <v>347.92200000000003</v>
      </c>
      <c r="P21" s="1205">
        <v>481.42</v>
      </c>
      <c r="Q21" s="1214">
        <v>567.298</v>
      </c>
      <c r="R21" s="1214">
        <v>782.73400000000004</v>
      </c>
      <c r="S21" s="1214">
        <v>865.904</v>
      </c>
      <c r="T21" s="1214">
        <v>986.77099999999996</v>
      </c>
      <c r="U21" s="1214">
        <v>1333.2919999999999</v>
      </c>
      <c r="V21" s="544">
        <v>1335.8430000000001</v>
      </c>
      <c r="W21" s="548">
        <v>1326.7339999999999</v>
      </c>
      <c r="X21" s="544">
        <v>1489.4</v>
      </c>
      <c r="Y21" s="544">
        <v>1638</v>
      </c>
      <c r="Z21" s="544">
        <v>1706.2</v>
      </c>
      <c r="AA21" s="544">
        <v>1676.7</v>
      </c>
      <c r="AB21" s="546">
        <v>2037.288</v>
      </c>
      <c r="AC21" s="546">
        <v>1990.201</v>
      </c>
      <c r="AD21" s="546">
        <v>2250.9</v>
      </c>
      <c r="AE21" s="668">
        <v>2554.4490000000001</v>
      </c>
      <c r="AF21" s="668">
        <v>2959.826</v>
      </c>
      <c r="AG21" s="546">
        <f t="shared" si="4"/>
        <v>3019.02252</v>
      </c>
      <c r="AH21" s="546">
        <f t="shared" si="5"/>
        <v>3079.4029704</v>
      </c>
      <c r="AI21" s="546">
        <f t="shared" si="5"/>
        <v>3140.9910298079999</v>
      </c>
      <c r="AJ21" s="546">
        <f t="shared" si="6"/>
        <v>3203.8108504041597</v>
      </c>
      <c r="AK21" s="546">
        <f t="shared" si="7"/>
        <v>3267.8870674122431</v>
      </c>
      <c r="AL21" s="546">
        <f t="shared" si="8"/>
        <v>3333.244808760488</v>
      </c>
      <c r="AM21" s="546">
        <f t="shared" si="9"/>
        <v>3399.9097049356978</v>
      </c>
      <c r="AN21" s="546">
        <f t="shared" si="10"/>
        <v>3467.9078990344119</v>
      </c>
      <c r="AO21" s="546">
        <f t="shared" si="11"/>
        <v>3537.2660570151002</v>
      </c>
      <c r="AP21" s="546">
        <f t="shared" si="12"/>
        <v>3608.0113781554023</v>
      </c>
    </row>
    <row r="22" spans="3:42" ht="37.5">
      <c r="C22" s="440" t="s">
        <v>809</v>
      </c>
      <c r="D22" s="928"/>
      <c r="E22" s="928"/>
      <c r="F22" s="928"/>
      <c r="G22" s="1203">
        <v>8.5354700000000001</v>
      </c>
      <c r="H22" s="1204">
        <v>10.486000000000001</v>
      </c>
      <c r="I22" s="1204">
        <v>13.010999999999999</v>
      </c>
      <c r="J22" s="1204">
        <v>17.512</v>
      </c>
      <c r="K22" s="1204">
        <v>19.331</v>
      </c>
      <c r="L22" s="1204">
        <v>60.56</v>
      </c>
      <c r="M22" s="1204">
        <v>76.671999999999997</v>
      </c>
      <c r="N22" s="1204">
        <v>92.244</v>
      </c>
      <c r="O22" s="1204">
        <v>121.298</v>
      </c>
      <c r="P22" s="1205">
        <v>142.76</v>
      </c>
      <c r="Q22" s="1213">
        <v>151</v>
      </c>
      <c r="R22" s="1214">
        <v>171.28200000000001</v>
      </c>
      <c r="S22" s="1214">
        <v>191.11</v>
      </c>
      <c r="T22" s="1214">
        <v>185.5</v>
      </c>
      <c r="U22" s="1214">
        <v>181.4</v>
      </c>
      <c r="V22" s="544">
        <v>206.96299999999999</v>
      </c>
      <c r="W22" s="548">
        <v>241.97499999999999</v>
      </c>
      <c r="X22" s="544">
        <v>300.60000000000002</v>
      </c>
      <c r="Y22" s="544">
        <v>357.59500000000003</v>
      </c>
      <c r="Z22" s="544">
        <v>370.995</v>
      </c>
      <c r="AA22" s="544">
        <v>374.28300000000002</v>
      </c>
      <c r="AB22" s="546">
        <v>456.98099999999999</v>
      </c>
      <c r="AC22" s="546">
        <v>869.51599999999996</v>
      </c>
      <c r="AD22" s="546">
        <f>555.171+121.411</f>
        <v>676.58200000000011</v>
      </c>
      <c r="AE22" s="668">
        <f>160.974+726.573</f>
        <v>887.54700000000003</v>
      </c>
      <c r="AF22" s="546">
        <f t="shared" si="4"/>
        <v>905.29794000000004</v>
      </c>
      <c r="AG22" s="546">
        <f t="shared" si="4"/>
        <v>923.40389880000009</v>
      </c>
      <c r="AH22" s="546">
        <f t="shared" si="5"/>
        <v>941.87197677600011</v>
      </c>
      <c r="AI22" s="546">
        <f t="shared" si="5"/>
        <v>960.70941631152016</v>
      </c>
      <c r="AJ22" s="546">
        <f t="shared" si="6"/>
        <v>979.9236046377506</v>
      </c>
      <c r="AK22" s="546">
        <f t="shared" si="7"/>
        <v>999.52207673050566</v>
      </c>
      <c r="AL22" s="546">
        <f t="shared" si="8"/>
        <v>1019.5125182651158</v>
      </c>
      <c r="AM22" s="546">
        <f t="shared" si="9"/>
        <v>1039.902768630418</v>
      </c>
      <c r="AN22" s="546">
        <f t="shared" si="10"/>
        <v>1060.7008240030264</v>
      </c>
      <c r="AO22" s="546">
        <f t="shared" si="11"/>
        <v>1081.9148404830869</v>
      </c>
      <c r="AP22" s="546">
        <f t="shared" si="12"/>
        <v>1103.5531372927487</v>
      </c>
    </row>
    <row r="23" spans="3:42" ht="18.75">
      <c r="C23" s="438"/>
      <c r="D23" s="929"/>
      <c r="E23" s="929"/>
      <c r="F23" s="929"/>
      <c r="G23" s="1200"/>
      <c r="H23" s="1201"/>
      <c r="I23" s="1201"/>
      <c r="J23" s="1201"/>
      <c r="K23" s="1201"/>
      <c r="L23" s="1201"/>
      <c r="M23" s="1201"/>
      <c r="N23" s="1201"/>
      <c r="O23" s="1201"/>
      <c r="P23" s="1202"/>
      <c r="Q23" s="1206"/>
      <c r="R23" s="1207"/>
      <c r="S23" s="1207"/>
      <c r="T23" s="1207"/>
      <c r="U23" s="1207"/>
    </row>
    <row r="24" spans="3:42" ht="18.75">
      <c r="C24" s="440" t="s">
        <v>810</v>
      </c>
      <c r="D24" s="928"/>
      <c r="E24" s="928"/>
      <c r="F24" s="928"/>
      <c r="G24" s="1203">
        <v>158.39699999999999</v>
      </c>
      <c r="H24" s="1204">
        <v>248.23899999999998</v>
      </c>
      <c r="I24" s="1204">
        <v>354.05099999999999</v>
      </c>
      <c r="J24" s="1204">
        <v>530.1880000000001</v>
      </c>
      <c r="K24" s="1204">
        <v>685.21600000000001</v>
      </c>
      <c r="L24" s="1204">
        <v>829.42100000000005</v>
      </c>
      <c r="M24" s="1204">
        <v>1082.742</v>
      </c>
      <c r="N24" s="1204">
        <v>1635.78</v>
      </c>
      <c r="O24" s="1204">
        <v>2369.5352000000003</v>
      </c>
      <c r="P24" s="1205">
        <v>2412.5300000000002</v>
      </c>
      <c r="Q24" s="1218">
        <v>2946.5000000000005</v>
      </c>
      <c r="R24" s="543">
        <v>3949.1486450000002</v>
      </c>
      <c r="S24" s="543">
        <v>4739.2492669999992</v>
      </c>
      <c r="T24" s="543">
        <v>5662.6769940000004</v>
      </c>
      <c r="U24" s="543">
        <v>6943.0728280000003</v>
      </c>
      <c r="V24" s="544">
        <v>6753.6869999999999</v>
      </c>
      <c r="W24" s="544">
        <v>6838.4489999999996</v>
      </c>
      <c r="X24" s="544">
        <v>7539.7830000000013</v>
      </c>
      <c r="Y24" s="544">
        <v>8383.1683067994763</v>
      </c>
      <c r="Z24" s="544">
        <v>9080.0439999999981</v>
      </c>
      <c r="AA24" s="544">
        <v>9028.18</v>
      </c>
      <c r="AB24" s="544">
        <v>11500.516</v>
      </c>
      <c r="AC24" s="544">
        <v>11995.597</v>
      </c>
      <c r="AD24" s="668">
        <f>AD25+AD28+AD32+AD33+AD36+AD37</f>
        <v>15923.520000000002</v>
      </c>
      <c r="AE24" s="722">
        <f>AE25+AE28+AE34+AE35+AE36-AE40</f>
        <v>14425.929</v>
      </c>
      <c r="AF24" s="722">
        <f t="shared" ref="AF24:AP24" si="13">AF25+AF28+AF34+AF35+AF36</f>
        <v>18541.492000000002</v>
      </c>
      <c r="AG24" s="722">
        <f t="shared" si="13"/>
        <v>20763.694800000005</v>
      </c>
      <c r="AH24" s="722">
        <f>AH25+AH28+AH34+AH35+AH36</f>
        <v>23460.108890399999</v>
      </c>
      <c r="AI24" s="722">
        <f t="shared" si="13"/>
        <v>26695.175208967994</v>
      </c>
      <c r="AJ24" s="722">
        <f t="shared" si="13"/>
        <v>30377.026499312073</v>
      </c>
      <c r="AK24" s="722">
        <f>AK25+AK28+AK34+AK35+AK36</f>
        <v>34988.711990892218</v>
      </c>
      <c r="AL24" s="722">
        <f t="shared" si="13"/>
        <v>39533.824785818724</v>
      </c>
      <c r="AM24" s="722">
        <f t="shared" si="13"/>
        <v>44669.655663265272</v>
      </c>
      <c r="AN24" s="722">
        <f t="shared" si="13"/>
        <v>50472.991377139653</v>
      </c>
      <c r="AO24" s="722">
        <f t="shared" si="13"/>
        <v>57030.60065148335</v>
      </c>
      <c r="AP24" s="722">
        <f t="shared" si="13"/>
        <v>64440.531821854129</v>
      </c>
    </row>
    <row r="25" spans="3:42" ht="18.75">
      <c r="C25" s="441" t="s">
        <v>1147</v>
      </c>
      <c r="D25" s="927"/>
      <c r="E25" s="927"/>
      <c r="F25" s="927"/>
      <c r="G25" s="1210">
        <v>62</v>
      </c>
      <c r="H25" s="1211">
        <v>67.831999999999994</v>
      </c>
      <c r="I25" s="1211">
        <v>70.92</v>
      </c>
      <c r="J25" s="1211">
        <v>100.32</v>
      </c>
      <c r="K25" s="1211">
        <v>105.35600000000001</v>
      </c>
      <c r="L25" s="1211">
        <v>80.784999999999997</v>
      </c>
      <c r="M25" s="1211">
        <v>87.69</v>
      </c>
      <c r="N25" s="1211">
        <v>107.21</v>
      </c>
      <c r="O25" s="1211">
        <v>114.52199999999999</v>
      </c>
      <c r="P25" s="1212">
        <v>141.54999999999998</v>
      </c>
      <c r="Q25" s="1217">
        <v>228.7</v>
      </c>
      <c r="R25" s="1215">
        <v>271.33833099999998</v>
      </c>
      <c r="S25" s="1215">
        <v>312.89999999999998</v>
      </c>
      <c r="T25" s="1215">
        <v>116.089202</v>
      </c>
      <c r="U25" s="1215">
        <v>76.255935000000008</v>
      </c>
      <c r="V25">
        <v>104.991</v>
      </c>
      <c r="W25">
        <v>65.137</v>
      </c>
      <c r="X25">
        <v>19.440999999999999</v>
      </c>
      <c r="Y25">
        <v>19.614000000000001</v>
      </c>
      <c r="Z25">
        <v>11.512</v>
      </c>
      <c r="AA25">
        <v>2.2839999999999998</v>
      </c>
      <c r="AB25">
        <v>12.141</v>
      </c>
      <c r="AC25" s="669">
        <f>AC26+AC27</f>
        <v>14.085000000000001</v>
      </c>
      <c r="AD25" s="669">
        <f>AD26+AD27</f>
        <v>22.385999999999999</v>
      </c>
      <c r="AE25" s="720">
        <f>AE26+AE27</f>
        <v>26.696999999999999</v>
      </c>
      <c r="AF25" s="720">
        <f t="shared" ref="AF25:AH25" si="14">AF26+AF27</f>
        <v>32.070999999999998</v>
      </c>
      <c r="AG25" s="549">
        <f t="shared" si="14"/>
        <v>33.143280000000004</v>
      </c>
      <c r="AH25" s="549">
        <f t="shared" si="14"/>
        <v>34.585672800000005</v>
      </c>
      <c r="AI25" s="549">
        <f t="shared" ref="AI25:AP25" si="15">AI26+AI27</f>
        <v>36.093742104000007</v>
      </c>
      <c r="AJ25" s="549">
        <f t="shared" si="15"/>
        <v>37.670578443120007</v>
      </c>
      <c r="AK25" s="549">
        <f t="shared" si="15"/>
        <v>39.69612686064481</v>
      </c>
      <c r="AL25" s="549">
        <f t="shared" si="15"/>
        <v>41.436859463052159</v>
      </c>
      <c r="AM25" s="549">
        <f t="shared" si="15"/>
        <v>43.257306483361127</v>
      </c>
      <c r="AN25" s="549">
        <f t="shared" si="15"/>
        <v>45.161233976100235</v>
      </c>
      <c r="AO25" s="549">
        <f t="shared" si="15"/>
        <v>47.152589708533426</v>
      </c>
      <c r="AP25" s="549">
        <f t="shared" si="15"/>
        <v>49.235512048597123</v>
      </c>
    </row>
    <row r="26" spans="3:42" ht="56.25">
      <c r="C26" s="442" t="s">
        <v>1148</v>
      </c>
      <c r="D26" s="926"/>
      <c r="E26" s="926"/>
      <c r="F26" s="926"/>
      <c r="G26" s="1203">
        <v>58.92</v>
      </c>
      <c r="H26" s="1204">
        <v>62.78</v>
      </c>
      <c r="I26" s="1204">
        <v>63.17</v>
      </c>
      <c r="J26" s="1204">
        <v>88.49</v>
      </c>
      <c r="K26" s="1204">
        <v>86.853000000000009</v>
      </c>
      <c r="L26" s="1204">
        <v>55.224999999999994</v>
      </c>
      <c r="M26" s="1204">
        <v>53.86</v>
      </c>
      <c r="N26" s="1204">
        <v>58.879999999999995</v>
      </c>
      <c r="O26" s="1204">
        <v>46.774999999999999</v>
      </c>
      <c r="P26" s="1205">
        <v>56.029999999999994</v>
      </c>
      <c r="Q26" s="1213">
        <v>108</v>
      </c>
      <c r="R26" s="1214">
        <v>107.3</v>
      </c>
      <c r="S26" s="1214">
        <v>131.30000000000001</v>
      </c>
      <c r="T26" s="1214">
        <v>116.089202</v>
      </c>
      <c r="U26" s="1214">
        <v>76.255935000000008</v>
      </c>
      <c r="V26">
        <v>114.8</v>
      </c>
      <c r="W26">
        <v>114.0072</v>
      </c>
      <c r="X26">
        <v>132.69999999999999</v>
      </c>
      <c r="Y26">
        <v>143.46741866886876</v>
      </c>
      <c r="Z26">
        <v>166.16749631374128</v>
      </c>
      <c r="AA26">
        <v>195.23676914168178</v>
      </c>
      <c r="AB26">
        <v>203.04623990734905</v>
      </c>
      <c r="AC26" s="668">
        <v>9.7270000000000003</v>
      </c>
      <c r="AD26" s="668">
        <v>16.448</v>
      </c>
      <c r="AE26" s="668">
        <f>19.688</f>
        <v>19.687999999999999</v>
      </c>
      <c r="AF26" s="668">
        <v>21.542999999999999</v>
      </c>
      <c r="AG26" s="543">
        <f t="shared" ref="AG26" si="16">AF26*1.04</f>
        <v>22.404720000000001</v>
      </c>
      <c r="AH26" s="543">
        <f>AG26*1.05</f>
        <v>23.524956000000003</v>
      </c>
      <c r="AI26" s="543">
        <f t="shared" ref="AI26:AP26" si="17">AH26*1.05</f>
        <v>24.701203800000005</v>
      </c>
      <c r="AJ26" s="543">
        <f t="shared" si="17"/>
        <v>25.936263990000008</v>
      </c>
      <c r="AK26" s="543">
        <f>AJ26*1.06</f>
        <v>27.492439829400009</v>
      </c>
      <c r="AL26" s="543">
        <f t="shared" si="17"/>
        <v>28.86706182087001</v>
      </c>
      <c r="AM26" s="543">
        <f t="shared" si="17"/>
        <v>30.310414911913512</v>
      </c>
      <c r="AN26" s="543">
        <f t="shared" si="17"/>
        <v>31.825935657509188</v>
      </c>
      <c r="AO26" s="543">
        <f t="shared" si="17"/>
        <v>33.417232440384652</v>
      </c>
      <c r="AP26" s="543">
        <f t="shared" si="17"/>
        <v>35.088094062403883</v>
      </c>
    </row>
    <row r="27" spans="3:42" ht="37.5">
      <c r="C27" s="442" t="s">
        <v>1149</v>
      </c>
      <c r="D27" s="926"/>
      <c r="E27" s="926"/>
      <c r="F27" s="926"/>
      <c r="G27" s="1203">
        <v>3.08</v>
      </c>
      <c r="H27" s="1204">
        <v>5.0519999999999996</v>
      </c>
      <c r="I27" s="1204">
        <v>7.75</v>
      </c>
      <c r="J27" s="1204">
        <v>11.83</v>
      </c>
      <c r="K27" s="1204">
        <v>18.503</v>
      </c>
      <c r="L27" s="1204">
        <v>25.56</v>
      </c>
      <c r="M27" s="1204">
        <v>33.83</v>
      </c>
      <c r="N27" s="1204">
        <v>48.33</v>
      </c>
      <c r="O27" s="1204">
        <v>67.747</v>
      </c>
      <c r="P27" s="1205">
        <v>85.52</v>
      </c>
      <c r="Q27" s="1213">
        <v>120.7</v>
      </c>
      <c r="R27" s="1214">
        <v>164.038331</v>
      </c>
      <c r="S27" s="1214">
        <v>181.6</v>
      </c>
      <c r="T27" s="1214">
        <v>0</v>
      </c>
      <c r="U27" s="1214">
        <v>0</v>
      </c>
      <c r="V27" s="544">
        <v>6.17</v>
      </c>
      <c r="W27" s="548">
        <v>20.238</v>
      </c>
      <c r="X27" s="548">
        <v>19.440999999999999</v>
      </c>
      <c r="Y27" s="544">
        <v>19.614000000000001</v>
      </c>
      <c r="Z27" s="551">
        <v>11.512</v>
      </c>
      <c r="AA27" s="544">
        <v>2.2839999999999998</v>
      </c>
      <c r="AB27" s="546">
        <v>12.141</v>
      </c>
      <c r="AC27" s="546">
        <v>4.3579999999999997</v>
      </c>
      <c r="AD27" s="546">
        <v>5.9379999999999997</v>
      </c>
      <c r="AE27" s="668">
        <v>7.0090000000000003</v>
      </c>
      <c r="AF27" s="668">
        <v>10.528</v>
      </c>
      <c r="AG27" s="543">
        <f t="shared" ref="AG27" si="18">AF27*1.02</f>
        <v>10.738560000000001</v>
      </c>
      <c r="AH27" s="543">
        <f>AG27*1.03</f>
        <v>11.060716800000002</v>
      </c>
      <c r="AI27" s="543">
        <f t="shared" ref="AI27:AP27" si="19">AH27*1.03</f>
        <v>11.392538304000002</v>
      </c>
      <c r="AJ27" s="543">
        <f t="shared" si="19"/>
        <v>11.734314453120003</v>
      </c>
      <c r="AK27" s="543">
        <f>AJ27*1.04</f>
        <v>12.203687031244804</v>
      </c>
      <c r="AL27" s="543">
        <f t="shared" si="19"/>
        <v>12.569797642182149</v>
      </c>
      <c r="AM27" s="543">
        <f t="shared" si="19"/>
        <v>12.946891571447614</v>
      </c>
      <c r="AN27" s="543">
        <f t="shared" si="19"/>
        <v>13.335298318591043</v>
      </c>
      <c r="AO27" s="543">
        <f t="shared" si="19"/>
        <v>13.735357268148775</v>
      </c>
      <c r="AP27" s="543">
        <f t="shared" si="19"/>
        <v>14.147417986193238</v>
      </c>
    </row>
    <row r="28" spans="3:42" ht="18.75">
      <c r="C28" s="441" t="s">
        <v>1196</v>
      </c>
      <c r="D28" s="927"/>
      <c r="E28" s="927"/>
      <c r="F28" s="927"/>
      <c r="G28" s="1210">
        <v>53.677</v>
      </c>
      <c r="H28" s="1211">
        <v>103.38099999999999</v>
      </c>
      <c r="I28" s="1211">
        <v>180.381</v>
      </c>
      <c r="J28" s="1211">
        <v>279.30500000000001</v>
      </c>
      <c r="K28" s="1211">
        <v>387.86</v>
      </c>
      <c r="L28" s="1211">
        <v>540.726</v>
      </c>
      <c r="M28" s="1211">
        <v>756.15200000000004</v>
      </c>
      <c r="N28" s="1211">
        <v>1162.635</v>
      </c>
      <c r="O28" s="1211">
        <v>1723.1502</v>
      </c>
      <c r="P28" s="1212">
        <v>1722.82</v>
      </c>
      <c r="Q28" s="1217">
        <v>2053.3000000000002</v>
      </c>
      <c r="R28" s="1215">
        <v>2804.9678210000002</v>
      </c>
      <c r="S28" s="1215">
        <v>3403.1095179999998</v>
      </c>
      <c r="T28" s="1215">
        <v>4127.8</v>
      </c>
      <c r="U28" s="1215">
        <v>5157.8</v>
      </c>
      <c r="V28" s="547">
        <v>4560.8519999999999</v>
      </c>
      <c r="W28" s="551">
        <v>4751.3729999999996</v>
      </c>
      <c r="X28" s="551">
        <v>5359.9650000000001</v>
      </c>
      <c r="Y28" s="544">
        <v>5939.866</v>
      </c>
      <c r="Z28" s="544">
        <v>6417.5339999999997</v>
      </c>
      <c r="AA28" s="544">
        <v>6393.1659999999993</v>
      </c>
      <c r="AB28" s="544">
        <v>8215.9670000000006</v>
      </c>
      <c r="AC28" s="544">
        <v>8949.0030000000006</v>
      </c>
      <c r="AD28" s="544">
        <v>10619.281000000001</v>
      </c>
      <c r="AE28" s="721">
        <v>12150.894</v>
      </c>
      <c r="AF28" s="721">
        <v>14873.596</v>
      </c>
      <c r="AG28" s="543">
        <f t="shared" ref="AG28:AG32" si="20">AF28*1.12</f>
        <v>16658.427520000001</v>
      </c>
      <c r="AH28" s="543">
        <f>AG28*1.13</f>
        <v>18824.023097599998</v>
      </c>
      <c r="AI28" s="543">
        <f>AH28*1.14</f>
        <v>21459.386331263995</v>
      </c>
      <c r="AJ28" s="543">
        <f>AI28*1.14</f>
        <v>24463.700417640954</v>
      </c>
      <c r="AK28" s="543">
        <f>AJ28*1.15</f>
        <v>28133.255480287095</v>
      </c>
      <c r="AL28" s="543">
        <f t="shared" ref="AL28:AP28" si="21">AK28*1.13</f>
        <v>31790.578692724415</v>
      </c>
      <c r="AM28" s="543">
        <f t="shared" si="21"/>
        <v>35923.353922778588</v>
      </c>
      <c r="AN28" s="543">
        <f t="shared" si="21"/>
        <v>40593.389932739803</v>
      </c>
      <c r="AO28" s="543">
        <f t="shared" si="21"/>
        <v>45870.530623995975</v>
      </c>
      <c r="AP28" s="543">
        <f t="shared" si="21"/>
        <v>51833.699605115449</v>
      </c>
    </row>
    <row r="29" spans="3:42" ht="18.75">
      <c r="C29" s="442" t="s">
        <v>811</v>
      </c>
      <c r="D29" s="926"/>
      <c r="E29" s="926"/>
      <c r="F29" s="926"/>
      <c r="G29" s="1203">
        <v>27.073</v>
      </c>
      <c r="H29" s="1204">
        <v>38.799999999999997</v>
      </c>
      <c r="I29" s="1204">
        <v>45.15</v>
      </c>
      <c r="J29" s="1204">
        <v>59.508000000000003</v>
      </c>
      <c r="K29" s="1204">
        <v>82.33</v>
      </c>
      <c r="L29" s="1204">
        <v>145.096</v>
      </c>
      <c r="M29" s="1204">
        <v>175.78200000000001</v>
      </c>
      <c r="N29" s="1204">
        <v>219.755</v>
      </c>
      <c r="O29" s="1204">
        <v>339.44799999999998</v>
      </c>
      <c r="P29" s="1205">
        <v>406.84</v>
      </c>
      <c r="Q29" s="1213">
        <v>537.6</v>
      </c>
      <c r="R29" s="1214">
        <v>748.50250700000004</v>
      </c>
      <c r="S29" s="1214">
        <v>944.90475200000003</v>
      </c>
      <c r="T29" s="1214">
        <v>1200.907584</v>
      </c>
      <c r="U29" s="1214">
        <v>1483.777394</v>
      </c>
      <c r="V29" s="544">
        <v>1652.8520000000001</v>
      </c>
      <c r="W29" s="551">
        <v>1792.0039999999999</v>
      </c>
      <c r="X29" s="544">
        <v>1949.2370000000001</v>
      </c>
      <c r="Y29" s="544">
        <v>2179.1080000000002</v>
      </c>
      <c r="Z29" s="551">
        <v>2222.7629999999999</v>
      </c>
      <c r="AA29" s="544">
        <v>2150.3449999999998</v>
      </c>
      <c r="AB29" s="546">
        <v>2916.17</v>
      </c>
      <c r="AC29" s="546">
        <v>3376.8449999999998</v>
      </c>
      <c r="AD29" s="546">
        <v>4081.741</v>
      </c>
      <c r="AE29" s="668">
        <v>4806.6329999999998</v>
      </c>
      <c r="AF29" s="668">
        <v>6226.6530000000002</v>
      </c>
      <c r="AG29" s="543">
        <f t="shared" si="20"/>
        <v>6973.8513600000006</v>
      </c>
      <c r="AH29" s="543">
        <f>AG29*1.13</f>
        <v>7880.4520368000003</v>
      </c>
      <c r="AI29" s="543">
        <f t="shared" ref="AI29:AP29" si="22">AH29*1.13</f>
        <v>8904.9108015839993</v>
      </c>
      <c r="AJ29" s="543">
        <f t="shared" si="22"/>
        <v>10062.549205789917</v>
      </c>
      <c r="AK29" s="543">
        <f>AJ29*1.13</f>
        <v>11370.680602542605</v>
      </c>
      <c r="AL29" s="543">
        <f t="shared" si="22"/>
        <v>12848.869080873143</v>
      </c>
      <c r="AM29" s="543">
        <f t="shared" si="22"/>
        <v>14519.22206138665</v>
      </c>
      <c r="AN29" s="543">
        <f t="shared" si="22"/>
        <v>16406.720929366915</v>
      </c>
      <c r="AO29" s="543">
        <f t="shared" si="22"/>
        <v>18539.594650184612</v>
      </c>
      <c r="AP29" s="543">
        <f t="shared" si="22"/>
        <v>20949.74195470861</v>
      </c>
    </row>
    <row r="30" spans="3:42" ht="18.75">
      <c r="C30" s="442" t="s">
        <v>812</v>
      </c>
      <c r="D30" s="926"/>
      <c r="E30" s="926"/>
      <c r="F30" s="926"/>
      <c r="G30" s="1203">
        <v>18.744</v>
      </c>
      <c r="H30" s="1204">
        <v>52.121000000000002</v>
      </c>
      <c r="I30" s="1204">
        <v>114.14100000000001</v>
      </c>
      <c r="J30" s="1204">
        <v>188.19</v>
      </c>
      <c r="K30" s="1204">
        <v>267.97000000000003</v>
      </c>
      <c r="L30" s="1204">
        <v>347.69</v>
      </c>
      <c r="M30" s="1204">
        <v>512.98</v>
      </c>
      <c r="N30" s="1204">
        <v>853.07</v>
      </c>
      <c r="O30" s="1204">
        <v>1231.3782000000001</v>
      </c>
      <c r="P30" s="1205">
        <v>1128.49</v>
      </c>
      <c r="Q30" s="1213">
        <v>1297.4000000000001</v>
      </c>
      <c r="R30" s="1214">
        <v>1778.28917</v>
      </c>
      <c r="S30" s="1214">
        <v>2132.1116809999999</v>
      </c>
      <c r="T30" s="1214">
        <v>2926.8924160000001</v>
      </c>
      <c r="U30" s="1214">
        <v>3674.0226060000005</v>
      </c>
      <c r="V30" s="544">
        <v>2908</v>
      </c>
      <c r="W30" s="544">
        <v>2959.3690000000001</v>
      </c>
      <c r="X30" s="544">
        <v>3410.7280000000001</v>
      </c>
      <c r="Y30" s="544">
        <v>3760.7579999999998</v>
      </c>
      <c r="Z30" s="551">
        <v>4194.7709999999997</v>
      </c>
      <c r="AA30" s="544">
        <v>4242.8209999999999</v>
      </c>
      <c r="AB30" s="546">
        <v>5299.7969999999996</v>
      </c>
      <c r="AC30" s="546">
        <v>5572.1580000000004</v>
      </c>
      <c r="AD30" s="546">
        <v>6537.5389999999998</v>
      </c>
      <c r="AE30" s="668">
        <v>7344.26</v>
      </c>
      <c r="AF30" s="668">
        <v>8646.9419999999991</v>
      </c>
      <c r="AG30" s="543">
        <f t="shared" si="20"/>
        <v>9684.5750399999997</v>
      </c>
      <c r="AH30" s="543">
        <f>AG30*1.13</f>
        <v>10943.569795199999</v>
      </c>
      <c r="AI30" s="543">
        <f t="shared" ref="AI30:AP30" si="23">AH30*1.13</f>
        <v>12366.233868575999</v>
      </c>
      <c r="AJ30" s="543">
        <f t="shared" si="23"/>
        <v>13973.844271490878</v>
      </c>
      <c r="AK30" s="543">
        <f t="shared" si="23"/>
        <v>15790.444026784691</v>
      </c>
      <c r="AL30" s="543">
        <f t="shared" si="23"/>
        <v>17843.2017502667</v>
      </c>
      <c r="AM30" s="543">
        <f t="shared" si="23"/>
        <v>20162.817977801369</v>
      </c>
      <c r="AN30" s="543">
        <f t="shared" si="23"/>
        <v>22783.984314915546</v>
      </c>
      <c r="AO30" s="543">
        <f t="shared" si="23"/>
        <v>25745.902275854565</v>
      </c>
      <c r="AP30" s="543">
        <f t="shared" si="23"/>
        <v>29092.869571715655</v>
      </c>
    </row>
    <row r="31" spans="3:42" ht="37.5">
      <c r="C31" s="442" t="s">
        <v>813</v>
      </c>
      <c r="D31" s="926"/>
      <c r="E31" s="926"/>
      <c r="F31" s="926"/>
      <c r="G31" s="1203">
        <v>7.8599999999999994</v>
      </c>
      <c r="H31" s="1204">
        <v>12.459999999999999</v>
      </c>
      <c r="I31" s="1204">
        <v>21.09</v>
      </c>
      <c r="J31" s="1204">
        <v>31.606999999999999</v>
      </c>
      <c r="K31" s="1204">
        <v>37.559999999999995</v>
      </c>
      <c r="L31" s="1204">
        <v>47.94</v>
      </c>
      <c r="M31" s="1204">
        <v>67.39</v>
      </c>
      <c r="N31" s="1204">
        <v>89.81</v>
      </c>
      <c r="O31" s="1204">
        <v>152.32400000000001</v>
      </c>
      <c r="P31" s="1205">
        <v>187.49</v>
      </c>
      <c r="Q31" s="1213">
        <v>218.3</v>
      </c>
      <c r="R31" s="1214">
        <v>278.17614400000002</v>
      </c>
      <c r="S31" s="1214">
        <v>326.09308499999997</v>
      </c>
      <c r="T31" s="1214">
        <v>426.37262700000002</v>
      </c>
      <c r="U31" s="1214">
        <v>514.89952800000003</v>
      </c>
      <c r="V31">
        <v>383.16199999999998</v>
      </c>
      <c r="W31">
        <v>338</v>
      </c>
      <c r="X31">
        <v>371.28300000000002</v>
      </c>
      <c r="Y31">
        <v>393.99299999999999</v>
      </c>
      <c r="Z31">
        <v>444.73899999999998</v>
      </c>
      <c r="AA31">
        <v>403.13499999999999</v>
      </c>
      <c r="AB31">
        <v>520.38300000000004</v>
      </c>
      <c r="AC31" s="546">
        <v>282.63400000000001</v>
      </c>
      <c r="AD31" s="546">
        <v>342.48200000000003</v>
      </c>
      <c r="AE31" s="668">
        <v>396.12299999999999</v>
      </c>
      <c r="AF31" s="668">
        <v>679.19500000000005</v>
      </c>
      <c r="AG31" s="543">
        <f t="shared" si="20"/>
        <v>760.69840000000011</v>
      </c>
      <c r="AH31" s="543">
        <f>AG31*1.13</f>
        <v>859.58919200000003</v>
      </c>
      <c r="AI31" s="543">
        <f t="shared" ref="AI31:AP31" si="24">AH31*1.13</f>
        <v>971.33578695999995</v>
      </c>
      <c r="AJ31" s="543">
        <f t="shared" si="24"/>
        <v>1097.6094392647999</v>
      </c>
      <c r="AK31" s="543">
        <f t="shared" si="24"/>
        <v>1240.2986663692238</v>
      </c>
      <c r="AL31" s="543">
        <f t="shared" si="24"/>
        <v>1401.5374929972229</v>
      </c>
      <c r="AM31" s="543">
        <f t="shared" si="24"/>
        <v>1583.7373670868617</v>
      </c>
      <c r="AN31" s="543">
        <f t="shared" si="24"/>
        <v>1789.6232248081535</v>
      </c>
      <c r="AO31" s="543">
        <f t="shared" si="24"/>
        <v>2022.2742440332133</v>
      </c>
      <c r="AP31" s="543">
        <f t="shared" si="24"/>
        <v>2285.1698957575309</v>
      </c>
    </row>
    <row r="32" spans="3:42" ht="37.5">
      <c r="C32" s="441" t="s">
        <v>1150</v>
      </c>
      <c r="D32" s="927"/>
      <c r="E32" s="927"/>
      <c r="F32" s="927"/>
      <c r="G32" s="1210">
        <v>1.43</v>
      </c>
      <c r="H32" s="1211">
        <v>2.4700000000000002</v>
      </c>
      <c r="I32" s="1211">
        <v>3.22</v>
      </c>
      <c r="J32" s="1211">
        <v>4.2130000000000001</v>
      </c>
      <c r="K32" s="1211">
        <v>5.0199999999999996</v>
      </c>
      <c r="L32" s="1211">
        <v>4.78</v>
      </c>
      <c r="M32" s="1211">
        <v>5.76</v>
      </c>
      <c r="N32" s="1211">
        <v>8.6050000000000004</v>
      </c>
      <c r="O32" s="1211">
        <v>20.803000000000001</v>
      </c>
      <c r="P32" s="1212">
        <v>51.92</v>
      </c>
      <c r="Q32" s="1217">
        <v>81.900000000000006</v>
      </c>
      <c r="R32" s="1215">
        <v>118.18989000000001</v>
      </c>
      <c r="S32" s="1215">
        <v>141.12919600000001</v>
      </c>
      <c r="T32" s="1215">
        <v>331.94542300000001</v>
      </c>
      <c r="U32" s="1215">
        <v>409.507745</v>
      </c>
      <c r="V32" s="547">
        <v>489.35199999999998</v>
      </c>
      <c r="W32" s="551">
        <v>529.822</v>
      </c>
      <c r="X32" s="544">
        <v>581.45600000000002</v>
      </c>
      <c r="Y32" s="544">
        <v>642.40200000000004</v>
      </c>
      <c r="Z32" s="551">
        <v>681.15899999999999</v>
      </c>
      <c r="AA32" s="544">
        <v>645.94000000000005</v>
      </c>
      <c r="AB32" s="546">
        <v>709.73900000000003</v>
      </c>
      <c r="AC32" s="546">
        <v>849.41200000000003</v>
      </c>
      <c r="AD32" s="546">
        <v>934.30399999999997</v>
      </c>
      <c r="AE32" s="669">
        <v>1060.518</v>
      </c>
      <c r="AF32" s="669">
        <v>1215.3130000000001</v>
      </c>
      <c r="AG32" s="543">
        <f t="shared" si="20"/>
        <v>1361.1505600000003</v>
      </c>
      <c r="AH32" s="543">
        <f>AG32*1.13</f>
        <v>1538.1001328000002</v>
      </c>
      <c r="AI32" s="543">
        <f t="shared" ref="AI32:AP32" si="25">AH32*1.13</f>
        <v>1738.053150064</v>
      </c>
      <c r="AJ32" s="543">
        <f t="shared" si="25"/>
        <v>1964.0000595723197</v>
      </c>
      <c r="AK32" s="543">
        <f t="shared" si="25"/>
        <v>2219.3200673167212</v>
      </c>
      <c r="AL32" s="543">
        <f t="shared" si="25"/>
        <v>2507.8316760678945</v>
      </c>
      <c r="AM32" s="543">
        <f t="shared" si="25"/>
        <v>2833.8497939567205</v>
      </c>
      <c r="AN32" s="543">
        <f t="shared" si="25"/>
        <v>3202.250267171094</v>
      </c>
      <c r="AO32" s="543">
        <f t="shared" si="25"/>
        <v>3618.5428019033361</v>
      </c>
      <c r="AP32" s="543">
        <f t="shared" si="25"/>
        <v>4088.9533661507694</v>
      </c>
    </row>
    <row r="33" spans="3:42" ht="18.75">
      <c r="C33" s="440" t="s">
        <v>814</v>
      </c>
      <c r="D33" s="928"/>
      <c r="E33" s="928"/>
      <c r="F33" s="928"/>
      <c r="G33" s="1200">
        <v>9.1</v>
      </c>
      <c r="H33" s="1201">
        <v>15.67</v>
      </c>
      <c r="I33" s="1201">
        <v>29.37</v>
      </c>
      <c r="J33" s="1201">
        <v>48.86</v>
      </c>
      <c r="K33" s="1201">
        <v>57.31</v>
      </c>
      <c r="L33" s="1201">
        <v>57.089999999999996</v>
      </c>
      <c r="M33" s="1201">
        <v>68.06</v>
      </c>
      <c r="N33" s="1201">
        <v>106.25</v>
      </c>
      <c r="O33" s="1201">
        <v>148.60399999999998</v>
      </c>
      <c r="P33" s="1202">
        <v>165.64999999999998</v>
      </c>
      <c r="Q33" s="1213">
        <v>168.3</v>
      </c>
      <c r="R33" s="1214">
        <v>189.22425900000002</v>
      </c>
      <c r="S33" s="1214">
        <v>186.253512</v>
      </c>
      <c r="T33" s="1214">
        <v>283.89999999999998</v>
      </c>
      <c r="U33" s="1214">
        <v>364.465104</v>
      </c>
      <c r="V33" s="544">
        <v>327.23399999999998</v>
      </c>
      <c r="W33" s="544">
        <v>339.06400000000002</v>
      </c>
      <c r="X33" s="544">
        <v>390.18299999999999</v>
      </c>
      <c r="Y33" s="544">
        <v>420.71730679947603</v>
      </c>
      <c r="Z33" s="551">
        <v>593.46</v>
      </c>
      <c r="AA33" s="551">
        <v>621.03499999999997</v>
      </c>
      <c r="AB33" s="551">
        <v>745.24399999999991</v>
      </c>
      <c r="AC33" s="551">
        <v>902.01499999999999</v>
      </c>
      <c r="AD33" s="669">
        <f t="shared" ref="AD33:AF33" si="26">AD34+AD35</f>
        <v>1253.77</v>
      </c>
      <c r="AE33" s="669">
        <f t="shared" si="26"/>
        <v>1181.7760000000001</v>
      </c>
      <c r="AF33" s="669">
        <f t="shared" si="26"/>
        <v>1502.2649999999999</v>
      </c>
      <c r="AG33" s="550">
        <f t="shared" ref="AG33:AH33" si="27">AG34+AG35</f>
        <v>1682.5368000000003</v>
      </c>
      <c r="AH33" s="550">
        <f t="shared" si="27"/>
        <v>1901.266584</v>
      </c>
      <c r="AI33" s="550">
        <f t="shared" ref="AI33:AP33" si="28">AI34+AI35</f>
        <v>2148.4312399199998</v>
      </c>
      <c r="AJ33" s="550">
        <f t="shared" si="28"/>
        <v>2427.7273011095999</v>
      </c>
      <c r="AK33" s="550">
        <f t="shared" si="28"/>
        <v>2816.1636692871357</v>
      </c>
      <c r="AL33" s="550">
        <f t="shared" si="28"/>
        <v>3182.2649462944628</v>
      </c>
      <c r="AM33" s="550">
        <f t="shared" si="28"/>
        <v>3595.9593893127426</v>
      </c>
      <c r="AN33" s="550">
        <f t="shared" si="28"/>
        <v>4063.4341099233989</v>
      </c>
      <c r="AO33" s="550">
        <f t="shared" si="28"/>
        <v>4591.68054421344</v>
      </c>
      <c r="AP33" s="550">
        <f t="shared" si="28"/>
        <v>5188.5990149611871</v>
      </c>
    </row>
    <row r="34" spans="3:42" ht="18.75">
      <c r="C34" s="441" t="s">
        <v>815</v>
      </c>
      <c r="D34" s="927"/>
      <c r="E34" s="927"/>
      <c r="F34" s="927"/>
      <c r="G34" s="1210">
        <v>1.76</v>
      </c>
      <c r="H34" s="1211">
        <v>2.72</v>
      </c>
      <c r="I34" s="1211">
        <v>3.32</v>
      </c>
      <c r="J34" s="1211">
        <v>4.79</v>
      </c>
      <c r="K34" s="1211">
        <v>6.04</v>
      </c>
      <c r="L34" s="1211">
        <v>7.83</v>
      </c>
      <c r="M34" s="1211">
        <v>9.51</v>
      </c>
      <c r="N34" s="1211">
        <v>9.11</v>
      </c>
      <c r="O34" s="1211">
        <v>11.808</v>
      </c>
      <c r="P34" s="1212">
        <v>12.39</v>
      </c>
      <c r="Q34" s="1217">
        <v>12.9</v>
      </c>
      <c r="R34" s="1215">
        <v>41.339312</v>
      </c>
      <c r="S34" s="1215">
        <v>50.571331999999998</v>
      </c>
      <c r="T34" s="1215">
        <v>74.099999999999994</v>
      </c>
      <c r="U34" s="1215">
        <v>97.6</v>
      </c>
      <c r="V34" s="547">
        <v>135.91499999999999</v>
      </c>
      <c r="W34" s="551">
        <v>152.07300000000001</v>
      </c>
      <c r="X34" s="544">
        <v>168.23500000000001</v>
      </c>
      <c r="Y34" s="544">
        <v>158.739</v>
      </c>
      <c r="Z34" s="551">
        <v>182.833</v>
      </c>
      <c r="AA34" s="544">
        <v>187.44300000000001</v>
      </c>
      <c r="AB34" s="546">
        <v>258.39499999999998</v>
      </c>
      <c r="AC34" s="546">
        <v>314.23099999999999</v>
      </c>
      <c r="AD34" s="546">
        <v>403.98599999999999</v>
      </c>
      <c r="AE34" s="720">
        <v>420.94400000000002</v>
      </c>
      <c r="AF34" s="720">
        <v>492.43099999999998</v>
      </c>
      <c r="AG34" s="543">
        <f t="shared" ref="AG34:AG37" si="29">AF34*1.12</f>
        <v>551.52272000000005</v>
      </c>
      <c r="AH34" s="543">
        <f>AG34*1.13</f>
        <v>623.22067359999994</v>
      </c>
      <c r="AI34" s="543">
        <f t="shared" ref="AI34:AP34" si="30">AH34*1.13</f>
        <v>704.23936116799985</v>
      </c>
      <c r="AJ34" s="543">
        <f t="shared" si="30"/>
        <v>795.7904781198398</v>
      </c>
      <c r="AK34" s="543">
        <f>AJ34*1.16</f>
        <v>923.11695461901411</v>
      </c>
      <c r="AL34" s="543">
        <f t="shared" si="30"/>
        <v>1043.1221587194859</v>
      </c>
      <c r="AM34" s="543">
        <f t="shared" si="30"/>
        <v>1178.7280393530191</v>
      </c>
      <c r="AN34" s="543">
        <f t="shared" si="30"/>
        <v>1331.9626844689114</v>
      </c>
      <c r="AO34" s="543">
        <f t="shared" si="30"/>
        <v>1505.1178334498697</v>
      </c>
      <c r="AP34" s="543">
        <f t="shared" si="30"/>
        <v>1700.7831517983527</v>
      </c>
    </row>
    <row r="35" spans="3:42" ht="18.75">
      <c r="C35" s="441" t="s">
        <v>816</v>
      </c>
      <c r="D35" s="927"/>
      <c r="E35" s="927"/>
      <c r="F35" s="927"/>
      <c r="G35" s="1210">
        <v>7.34</v>
      </c>
      <c r="H35" s="1211">
        <v>12.95</v>
      </c>
      <c r="I35" s="1211">
        <v>26.05</v>
      </c>
      <c r="J35" s="1211">
        <v>44.07</v>
      </c>
      <c r="K35" s="1211">
        <v>51.27</v>
      </c>
      <c r="L35" s="1211">
        <v>49.26</v>
      </c>
      <c r="M35" s="1211">
        <v>58.55</v>
      </c>
      <c r="N35" s="1211">
        <v>97.14</v>
      </c>
      <c r="O35" s="1211">
        <v>136.79599999999999</v>
      </c>
      <c r="P35" s="1212">
        <v>153.26</v>
      </c>
      <c r="Q35" s="1217">
        <v>155.4</v>
      </c>
      <c r="R35" s="1215">
        <v>147.88494700000001</v>
      </c>
      <c r="S35" s="1215">
        <v>135.68217999999999</v>
      </c>
      <c r="T35" s="1215">
        <v>209.8</v>
      </c>
      <c r="U35" s="1215">
        <v>266.86510399999997</v>
      </c>
      <c r="V35" s="547">
        <v>191.31899999999999</v>
      </c>
      <c r="W35" s="551">
        <v>186.99100000000001</v>
      </c>
      <c r="X35" s="544">
        <v>221.94800000000001</v>
      </c>
      <c r="Y35" s="544">
        <v>266.60399999999998</v>
      </c>
      <c r="Z35" s="551">
        <v>410.62700000000001</v>
      </c>
      <c r="AA35" s="544">
        <v>433.59199999999998</v>
      </c>
      <c r="AB35" s="546">
        <v>486.84899999999999</v>
      </c>
      <c r="AC35" s="546">
        <v>587.78399999999999</v>
      </c>
      <c r="AD35" s="546">
        <v>849.78399999999999</v>
      </c>
      <c r="AE35" s="720">
        <v>760.83199999999999</v>
      </c>
      <c r="AF35" s="720">
        <v>1009.8339999999999</v>
      </c>
      <c r="AG35" s="543">
        <f t="shared" si="29"/>
        <v>1131.0140800000001</v>
      </c>
      <c r="AH35" s="543">
        <f>AG35*1.13</f>
        <v>1278.0459104000001</v>
      </c>
      <c r="AI35" s="543">
        <f t="shared" ref="AI35:AP35" si="31">AH35*1.13</f>
        <v>1444.1918787520001</v>
      </c>
      <c r="AJ35" s="543">
        <f t="shared" si="31"/>
        <v>1631.93682298976</v>
      </c>
      <c r="AK35" s="543">
        <f>AJ35*1.16</f>
        <v>1893.0467146681215</v>
      </c>
      <c r="AL35" s="543">
        <f t="shared" si="31"/>
        <v>2139.1427875749769</v>
      </c>
      <c r="AM35" s="543">
        <f t="shared" si="31"/>
        <v>2417.2313499597235</v>
      </c>
      <c r="AN35" s="543">
        <f t="shared" si="31"/>
        <v>2731.4714254544874</v>
      </c>
      <c r="AO35" s="543">
        <f t="shared" si="31"/>
        <v>3086.5627107635705</v>
      </c>
      <c r="AP35" s="543">
        <f t="shared" si="31"/>
        <v>3487.8158631628344</v>
      </c>
    </row>
    <row r="36" spans="3:42" ht="112.5">
      <c r="C36" s="440" t="s">
        <v>1167</v>
      </c>
      <c r="D36" s="928"/>
      <c r="E36" s="928"/>
      <c r="F36" s="928"/>
      <c r="G36" s="1203">
        <v>23.62</v>
      </c>
      <c r="H36" s="1204">
        <v>44.92</v>
      </c>
      <c r="I36" s="1204">
        <v>51.81</v>
      </c>
      <c r="J36" s="1204">
        <v>72.48</v>
      </c>
      <c r="K36" s="1204">
        <v>96.56</v>
      </c>
      <c r="L36" s="1204">
        <v>98.84</v>
      </c>
      <c r="M36" s="1204">
        <v>78.989999999999995</v>
      </c>
      <c r="N36" s="1204">
        <v>131.05000000000001</v>
      </c>
      <c r="O36" s="1204">
        <v>211.35499999999999</v>
      </c>
      <c r="P36" s="1205">
        <v>196.96</v>
      </c>
      <c r="Q36" s="1213">
        <v>223.3</v>
      </c>
      <c r="R36" s="1214">
        <v>332.434597</v>
      </c>
      <c r="S36" s="1214">
        <v>415.23431199999999</v>
      </c>
      <c r="T36" s="1214">
        <v>462.68942099999998</v>
      </c>
      <c r="U36" s="1214">
        <v>521.34404400000005</v>
      </c>
      <c r="V36" s="544">
        <v>450.596</v>
      </c>
      <c r="W36" s="548">
        <v>599.5</v>
      </c>
      <c r="X36" s="544">
        <v>508.70299999999997</v>
      </c>
      <c r="Y36" s="544">
        <v>645.63099999999997</v>
      </c>
      <c r="Z36" s="551">
        <v>580.53300000000002</v>
      </c>
      <c r="AA36" s="544">
        <v>631.06299999999999</v>
      </c>
      <c r="AB36" s="546">
        <v>907.49099999999999</v>
      </c>
      <c r="AC36" s="546">
        <f>1092.981+875.3</f>
        <v>1968.2809999999999</v>
      </c>
      <c r="AD36" s="546">
        <f>1547.564+1325.4</f>
        <v>2872.9639999999999</v>
      </c>
      <c r="AE36" s="721">
        <f>189.306+1271.5</f>
        <v>1460.806</v>
      </c>
      <c r="AF36" s="721">
        <f>366.556+1767.004</f>
        <v>2133.56</v>
      </c>
      <c r="AG36" s="543">
        <f t="shared" si="29"/>
        <v>2389.5871999999999</v>
      </c>
      <c r="AH36" s="543">
        <f>AG36*1.13</f>
        <v>2700.2335359999997</v>
      </c>
      <c r="AI36" s="543">
        <f t="shared" ref="AI36:AP36" si="32">AH36*1.13</f>
        <v>3051.2638956799992</v>
      </c>
      <c r="AJ36" s="543">
        <f t="shared" si="32"/>
        <v>3447.928202118399</v>
      </c>
      <c r="AK36" s="543">
        <f>AJ36*1.16</f>
        <v>3999.5967144573424</v>
      </c>
      <c r="AL36" s="543">
        <f t="shared" si="32"/>
        <v>4519.5442873367965</v>
      </c>
      <c r="AM36" s="543">
        <f t="shared" si="32"/>
        <v>5107.0850446905797</v>
      </c>
      <c r="AN36" s="543">
        <f t="shared" si="32"/>
        <v>5771.0061005003545</v>
      </c>
      <c r="AO36" s="543">
        <f t="shared" si="32"/>
        <v>6521.2368935654004</v>
      </c>
      <c r="AP36" s="543">
        <f t="shared" si="32"/>
        <v>7368.9976897289016</v>
      </c>
    </row>
    <row r="37" spans="3:42" ht="37.5">
      <c r="C37" s="440" t="s">
        <v>817</v>
      </c>
      <c r="D37" s="928"/>
      <c r="E37" s="928"/>
      <c r="F37" s="928"/>
      <c r="G37" s="1203">
        <v>8.57</v>
      </c>
      <c r="H37" s="1204">
        <v>13.966000000000001</v>
      </c>
      <c r="I37" s="1204">
        <v>18.350000000000001</v>
      </c>
      <c r="J37" s="1204">
        <v>25.009999999999998</v>
      </c>
      <c r="K37" s="1204">
        <v>33.11</v>
      </c>
      <c r="L37" s="1204">
        <v>47.199999999999996</v>
      </c>
      <c r="M37" s="1204">
        <v>86.09</v>
      </c>
      <c r="N37" s="1204">
        <v>120.03</v>
      </c>
      <c r="O37" s="1204">
        <v>151.101</v>
      </c>
      <c r="P37" s="1205">
        <v>133.63</v>
      </c>
      <c r="Q37" s="1213">
        <v>191</v>
      </c>
      <c r="R37" s="1214">
        <v>232.99374699999998</v>
      </c>
      <c r="S37" s="1214">
        <v>280.62272899999999</v>
      </c>
      <c r="T37" s="1214">
        <v>340.252948</v>
      </c>
      <c r="U37" s="1214">
        <v>413.7</v>
      </c>
      <c r="V37" s="544">
        <v>437.5</v>
      </c>
      <c r="W37" s="548">
        <v>215.553</v>
      </c>
      <c r="X37" s="544">
        <v>308.75200000000001</v>
      </c>
      <c r="Y37" s="544">
        <v>320.94499999999999</v>
      </c>
      <c r="Z37" s="551">
        <v>351.10700000000003</v>
      </c>
      <c r="AA37" s="544">
        <v>331.55700000000002</v>
      </c>
      <c r="AB37" s="546">
        <v>389.55099999999999</v>
      </c>
      <c r="AC37" s="546">
        <v>188.1</v>
      </c>
      <c r="AD37" s="546">
        <v>220.815</v>
      </c>
      <c r="AE37" s="668">
        <v>245.245</v>
      </c>
      <c r="AF37" s="668">
        <v>286.43099999999998</v>
      </c>
      <c r="AG37" s="543">
        <f t="shared" si="29"/>
        <v>320.80272000000002</v>
      </c>
      <c r="AH37" s="543">
        <f t="shared" ref="AH37" si="33">AG37*1.12</f>
        <v>359.29904640000007</v>
      </c>
      <c r="AI37" s="543">
        <f>AH37*1.12</f>
        <v>402.41493196800013</v>
      </c>
      <c r="AJ37" s="543">
        <f t="shared" ref="AJ37" si="34">AI37*1.12</f>
        <v>450.70472380416021</v>
      </c>
      <c r="AK37" s="543">
        <f t="shared" ref="AK37" si="35">AJ37*1.12</f>
        <v>504.7892906606595</v>
      </c>
      <c r="AL37" s="543">
        <f t="shared" ref="AL37" si="36">AK37*1.12</f>
        <v>565.36400553993872</v>
      </c>
      <c r="AM37" s="543">
        <f t="shared" ref="AM37" si="37">AL37*1.12</f>
        <v>633.20768620473143</v>
      </c>
      <c r="AN37" s="543">
        <f t="shared" ref="AN37" si="38">AM37*1.12</f>
        <v>709.19260854929928</v>
      </c>
      <c r="AO37" s="543">
        <f t="shared" ref="AO37" si="39">AN37*1.12</f>
        <v>794.29572157521523</v>
      </c>
      <c r="AP37" s="543">
        <f t="shared" ref="AP37" si="40">AO37*1.12</f>
        <v>889.61120816424113</v>
      </c>
    </row>
    <row r="38" spans="3:42" ht="18.75">
      <c r="C38" s="438"/>
      <c r="D38" s="929"/>
      <c r="E38" s="929"/>
      <c r="F38" s="929"/>
      <c r="G38" s="1200"/>
      <c r="H38" s="1201"/>
      <c r="I38" s="1201"/>
      <c r="J38" s="1201"/>
      <c r="K38" s="1201"/>
      <c r="L38" s="1201"/>
      <c r="M38" s="1201"/>
      <c r="N38" s="1201"/>
      <c r="O38" s="1201"/>
      <c r="P38" s="1202"/>
      <c r="Q38" s="1206"/>
      <c r="R38" s="1207"/>
      <c r="S38" s="1207"/>
      <c r="T38" s="1207"/>
      <c r="U38" s="1207"/>
      <c r="V38" s="552"/>
      <c r="W38" s="548"/>
      <c r="X38" s="544"/>
      <c r="Y38" s="546"/>
      <c r="Z38" s="551"/>
      <c r="AA38" s="544"/>
      <c r="AB38" s="546"/>
      <c r="AC38" s="546"/>
      <c r="AD38" s="546"/>
      <c r="AE38" s="545"/>
    </row>
    <row r="39" spans="3:42" ht="19.5" thickBot="1">
      <c r="C39" s="443" t="s">
        <v>818</v>
      </c>
      <c r="D39" s="925"/>
      <c r="E39" s="925"/>
      <c r="F39" s="925"/>
      <c r="G39" s="1219">
        <v>18.200099999999999</v>
      </c>
      <c r="H39" s="1220">
        <v>30.442299999999999</v>
      </c>
      <c r="I39" s="1220">
        <v>61.282499999999999</v>
      </c>
      <c r="J39" s="1220">
        <v>97.093199999999996</v>
      </c>
      <c r="K39" s="1220">
        <v>129.45540000000003</v>
      </c>
      <c r="L39" s="1220">
        <v>189.0052</v>
      </c>
      <c r="M39" s="1220">
        <v>232.30250000000001</v>
      </c>
      <c r="N39" s="1220">
        <v>125.36039999999998</v>
      </c>
      <c r="O39" s="1220">
        <v>169.99</v>
      </c>
      <c r="P39" s="1221">
        <v>213.78</v>
      </c>
      <c r="Q39" s="1222">
        <v>160.666875</v>
      </c>
      <c r="R39" s="1223">
        <v>503.60389600000002</v>
      </c>
      <c r="S39" s="1223">
        <v>678.37134300000002</v>
      </c>
      <c r="T39" s="1223">
        <v>768</v>
      </c>
      <c r="U39" s="1223">
        <v>1072</v>
      </c>
      <c r="V39" s="553">
        <v>1411.8</v>
      </c>
      <c r="W39" s="548">
        <v>1448</v>
      </c>
      <c r="X39" s="544">
        <v>1425.6089999999999</v>
      </c>
      <c r="Y39" s="544">
        <v>2019.18</v>
      </c>
      <c r="Z39" s="551">
        <v>2025.421</v>
      </c>
      <c r="AA39" s="544">
        <v>1895.4169999999999</v>
      </c>
      <c r="AB39" s="546">
        <v>1601.2049999999999</v>
      </c>
      <c r="AC39" s="546">
        <v>2420.5450000000001</v>
      </c>
      <c r="AD39" s="546">
        <v>2332.3690000000001</v>
      </c>
      <c r="AE39" s="668">
        <v>1611.3019999999999</v>
      </c>
      <c r="AF39" s="668">
        <v>2742.0230000000001</v>
      </c>
      <c r="AG39" s="543">
        <f t="shared" ref="AG39:AH39" si="41">AF39*1.15</f>
        <v>3153.32645</v>
      </c>
      <c r="AH39" s="543">
        <f t="shared" si="41"/>
        <v>3626.3254174999997</v>
      </c>
      <c r="AI39" s="543">
        <f>AH39*1.15</f>
        <v>4170.2742301249991</v>
      </c>
      <c r="AJ39" s="543">
        <f t="shared" ref="AJ39:AP39" si="42">AI39*1.15</f>
        <v>4795.8153646437486</v>
      </c>
      <c r="AK39" s="543">
        <f t="shared" si="42"/>
        <v>5515.1876693403101</v>
      </c>
      <c r="AL39" s="543">
        <f t="shared" si="42"/>
        <v>6342.4658197413564</v>
      </c>
      <c r="AM39" s="543">
        <f t="shared" si="42"/>
        <v>7293.8356927025598</v>
      </c>
      <c r="AN39" s="543">
        <f t="shared" si="42"/>
        <v>8387.9110466079437</v>
      </c>
      <c r="AO39" s="543">
        <f t="shared" si="42"/>
        <v>9646.0977035991345</v>
      </c>
      <c r="AP39" s="543">
        <f t="shared" si="42"/>
        <v>11093.012359139004</v>
      </c>
    </row>
    <row r="40" spans="3:42" ht="19.5" thickBot="1">
      <c r="C40" s="723" t="s">
        <v>1162</v>
      </c>
      <c r="D40" s="930"/>
      <c r="E40" s="930"/>
      <c r="F40" s="930"/>
      <c r="G40" s="930"/>
      <c r="H40" s="930"/>
      <c r="I40" s="930"/>
      <c r="J40" s="930"/>
      <c r="K40" s="930"/>
      <c r="L40" s="930"/>
      <c r="M40" s="930"/>
      <c r="N40" s="930"/>
      <c r="O40" s="930"/>
      <c r="P40" s="930"/>
      <c r="Q40" s="930"/>
      <c r="R40" s="930"/>
      <c r="S40" s="930"/>
      <c r="T40" s="930"/>
      <c r="U40" s="930"/>
      <c r="AE40" s="724">
        <v>394.24400000000003</v>
      </c>
      <c r="AF40" s="724">
        <v>384.54399999999998</v>
      </c>
      <c r="AG40" s="724">
        <f t="shared" ref="AG40" si="43">AF40*1.12</f>
        <v>430.68928</v>
      </c>
      <c r="AH40" s="724">
        <f t="shared" ref="AH40" si="44">AG40*1.12</f>
        <v>482.37199360000005</v>
      </c>
      <c r="AI40" s="724">
        <f t="shared" ref="AI40" si="45">AH40*1.12</f>
        <v>540.25663283200015</v>
      </c>
      <c r="AJ40" s="724">
        <f t="shared" ref="AJ40" si="46">AI40*1.12</f>
        <v>605.08742877184022</v>
      </c>
      <c r="AK40" s="724">
        <f t="shared" ref="AK40" si="47">AJ40*1.12</f>
        <v>677.69792022446109</v>
      </c>
      <c r="AL40" s="724">
        <f t="shared" ref="AL40" si="48">AK40*1.12</f>
        <v>759.02167065139645</v>
      </c>
      <c r="AM40" s="724">
        <f t="shared" ref="AM40" si="49">AL40*1.12</f>
        <v>850.10427112956415</v>
      </c>
      <c r="AN40" s="724">
        <f t="shared" ref="AN40" si="50">AM40*1.12</f>
        <v>952.11678366511194</v>
      </c>
      <c r="AO40" s="724">
        <f t="shared" ref="AO40" si="51">AN40*1.12</f>
        <v>1066.3707977049255</v>
      </c>
      <c r="AP40" s="724">
        <f t="shared" ref="AP40" si="52">AO40*1.12</f>
        <v>1194.3352934295167</v>
      </c>
    </row>
    <row r="41" spans="3:42" ht="19.5" thickBot="1">
      <c r="C41" s="443" t="s">
        <v>819</v>
      </c>
      <c r="D41" s="930"/>
      <c r="E41" s="930"/>
      <c r="F41" s="930"/>
      <c r="G41" s="930"/>
      <c r="H41" s="930"/>
      <c r="I41" s="930"/>
      <c r="J41" s="930"/>
      <c r="K41" s="930"/>
      <c r="L41" s="930"/>
      <c r="M41" s="930"/>
      <c r="N41" s="930"/>
      <c r="O41" s="930"/>
      <c r="P41" s="930"/>
      <c r="Q41" s="930"/>
      <c r="R41" s="930"/>
      <c r="S41" s="930"/>
      <c r="T41" s="930"/>
      <c r="U41" s="930"/>
      <c r="V41" s="554"/>
      <c r="W41" s="554">
        <v>396.7</v>
      </c>
      <c r="X41" s="554">
        <v>508.70299999999997</v>
      </c>
      <c r="Y41" s="554">
        <v>645.63099999999997</v>
      </c>
      <c r="Z41" s="554">
        <v>580.53300000000002</v>
      </c>
      <c r="AA41" s="554">
        <v>631.06299999999999</v>
      </c>
      <c r="AB41" s="554">
        <v>962.05899999999997</v>
      </c>
      <c r="AC41" s="554">
        <v>1051.992</v>
      </c>
      <c r="AD41" s="554">
        <v>1240.011</v>
      </c>
      <c r="AE41" s="554">
        <v>1294.1949999999999</v>
      </c>
      <c r="AF41" s="554">
        <v>1993.1489999999999</v>
      </c>
    </row>
    <row r="42" spans="3:42" ht="19.5" thickBot="1">
      <c r="C42" s="443" t="s">
        <v>820</v>
      </c>
      <c r="D42" s="930"/>
      <c r="E42" s="930"/>
      <c r="F42" s="930"/>
      <c r="G42" s="930"/>
      <c r="H42" s="930"/>
      <c r="I42" s="930"/>
      <c r="J42" s="930"/>
      <c r="K42" s="930"/>
      <c r="L42" s="930"/>
      <c r="M42" s="930"/>
      <c r="N42" s="930"/>
      <c r="O42" s="930"/>
      <c r="P42" s="930"/>
      <c r="Q42" s="930"/>
      <c r="R42" s="930"/>
      <c r="S42" s="930"/>
      <c r="T42" s="930"/>
      <c r="U42" s="930"/>
      <c r="V42" s="554">
        <v>90.59400000000096</v>
      </c>
      <c r="W42" s="554">
        <v>0</v>
      </c>
      <c r="X42" s="554">
        <v>189.4889999999973</v>
      </c>
      <c r="Y42" s="554">
        <v>105.73269320052293</v>
      </c>
      <c r="Z42" s="554">
        <v>224.67900000000316</v>
      </c>
      <c r="AA42" s="554">
        <v>80.629999999999313</v>
      </c>
      <c r="AB42" s="554">
        <v>30.827999999998838</v>
      </c>
      <c r="AC42" s="554">
        <v>115.00200000000245</v>
      </c>
      <c r="AD42" s="554">
        <v>2.2737367544323206E-12</v>
      </c>
      <c r="AE42" s="554">
        <v>683.88800000000003</v>
      </c>
      <c r="AF42" s="554">
        <v>860.60400000000004</v>
      </c>
    </row>
    <row r="45" spans="3:42" ht="18.75">
      <c r="C45" s="1329" t="s">
        <v>1151</v>
      </c>
      <c r="D45" s="1329"/>
      <c r="E45" s="1329"/>
      <c r="F45" s="1329"/>
      <c r="G45" s="1329"/>
      <c r="H45" s="1329"/>
      <c r="I45" s="1329"/>
      <c r="J45" s="1329"/>
      <c r="K45" s="1329"/>
      <c r="L45" s="1329"/>
      <c r="M45" s="1329"/>
      <c r="N45" s="1329"/>
      <c r="O45" s="1329"/>
      <c r="P45" s="1329"/>
      <c r="Q45" s="1329"/>
      <c r="R45" s="1329"/>
      <c r="S45" s="1329"/>
      <c r="T45" s="1329"/>
      <c r="U45" s="1329"/>
      <c r="V45" s="1329"/>
      <c r="W45" s="1329"/>
    </row>
    <row r="46" spans="3:42" ht="18.75">
      <c r="C46" s="1330"/>
      <c r="D46" s="1330"/>
      <c r="E46" s="1330"/>
      <c r="F46" s="1330"/>
      <c r="G46" s="1330"/>
      <c r="H46" s="1330"/>
      <c r="I46" s="1330"/>
      <c r="J46" s="1330"/>
      <c r="K46" s="1330"/>
      <c r="L46" s="1330"/>
      <c r="M46" s="1330"/>
      <c r="N46" s="1330"/>
      <c r="O46" s="1330"/>
      <c r="P46" s="1330"/>
      <c r="Q46" s="1330"/>
      <c r="R46" s="1330"/>
      <c r="S46" s="1330"/>
      <c r="T46" s="1330"/>
      <c r="U46" s="1330"/>
      <c r="V46" s="1331"/>
      <c r="W46" s="1331"/>
      <c r="X46" s="671"/>
    </row>
    <row r="47" spans="3:42" ht="18.75">
      <c r="C47" s="1329" t="s">
        <v>1152</v>
      </c>
      <c r="D47" s="1329"/>
      <c r="E47" s="1329"/>
      <c r="F47" s="1329"/>
      <c r="G47" s="1329"/>
      <c r="H47" s="1329"/>
      <c r="I47" s="1329"/>
      <c r="J47" s="1329"/>
      <c r="K47" s="1329"/>
      <c r="L47" s="1329"/>
      <c r="M47" s="1329"/>
      <c r="N47" s="1329"/>
      <c r="O47" s="1329"/>
      <c r="P47" s="1329"/>
      <c r="Q47" s="1329"/>
      <c r="R47" s="1329"/>
      <c r="S47" s="1329"/>
      <c r="T47" s="1329"/>
      <c r="U47" s="1329"/>
      <c r="V47" s="1329"/>
      <c r="W47" s="1329"/>
    </row>
    <row r="48" spans="3:42" ht="18.75"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0"/>
      <c r="X48" s="671"/>
    </row>
    <row r="49" spans="3:35" ht="18.75">
      <c r="C49" s="1332"/>
      <c r="D49" s="918"/>
      <c r="E49" s="918"/>
      <c r="F49" s="918"/>
      <c r="G49" s="918"/>
      <c r="H49" s="918"/>
      <c r="I49" s="918"/>
      <c r="J49" s="918"/>
      <c r="K49" s="918"/>
      <c r="L49" s="918"/>
      <c r="M49" s="918"/>
      <c r="N49" s="918"/>
      <c r="O49" s="918"/>
      <c r="P49" s="918"/>
      <c r="Q49" s="918"/>
      <c r="R49" s="918"/>
      <c r="S49" s="918"/>
      <c r="T49" s="918"/>
      <c r="U49" s="918"/>
      <c r="V49" s="1322" t="s">
        <v>1153</v>
      </c>
      <c r="W49" s="1322" t="s">
        <v>1154</v>
      </c>
      <c r="AD49" s="1322" t="s">
        <v>1153</v>
      </c>
      <c r="AE49" s="1322" t="s">
        <v>1154</v>
      </c>
    </row>
    <row r="50" spans="3:35" ht="28.5" customHeight="1">
      <c r="C50" s="1333"/>
      <c r="D50" s="919"/>
      <c r="E50" s="919"/>
      <c r="F50" s="919"/>
      <c r="G50" s="919"/>
      <c r="H50" s="919"/>
      <c r="I50" s="919"/>
      <c r="J50" s="919"/>
      <c r="K50" s="919"/>
      <c r="L50" s="919"/>
      <c r="M50" s="919"/>
      <c r="N50" s="919"/>
      <c r="O50" s="919"/>
      <c r="P50" s="919"/>
      <c r="Q50" s="919"/>
      <c r="R50" s="919"/>
      <c r="S50" s="919"/>
      <c r="T50" s="919"/>
      <c r="U50" s="919"/>
      <c r="V50" s="1323"/>
      <c r="W50" s="1323"/>
      <c r="AD50" s="1323"/>
      <c r="AE50" s="1323"/>
    </row>
    <row r="51" spans="3:35" ht="18.75">
      <c r="C51" s="673" t="s">
        <v>1155</v>
      </c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3"/>
      <c r="P51" s="673"/>
      <c r="Q51" s="673"/>
      <c r="R51" s="673"/>
      <c r="S51" s="673"/>
      <c r="T51" s="673"/>
      <c r="U51" s="673"/>
      <c r="V51" s="674">
        <v>12150894.699999999</v>
      </c>
      <c r="W51" s="675"/>
      <c r="X51" s="676">
        <f>V51/V56*100</f>
        <v>81.988974205873802</v>
      </c>
      <c r="AD51" s="674">
        <v>14873596.5</v>
      </c>
      <c r="AE51" s="675"/>
      <c r="AF51" s="676">
        <f>AD51/AD56*100</f>
        <v>80.217893219698766</v>
      </c>
    </row>
    <row r="52" spans="3:35" ht="18.75">
      <c r="C52" s="673" t="s">
        <v>1156</v>
      </c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3"/>
      <c r="P52" s="673"/>
      <c r="Q52" s="673"/>
      <c r="R52" s="673"/>
      <c r="S52" s="673"/>
      <c r="T52" s="673"/>
      <c r="U52" s="673"/>
      <c r="V52" s="677">
        <f>420944.2+760832.7</f>
        <v>1181776.8999999999</v>
      </c>
      <c r="W52" s="678"/>
      <c r="X52" s="676">
        <f>V52/V56*100</f>
        <v>7.9741186277581271</v>
      </c>
      <c r="AD52" s="677">
        <f>492431.4+1009835</f>
        <v>1502266.4</v>
      </c>
      <c r="AE52" s="678"/>
      <c r="AF52" s="676">
        <f>AD52/AD56*100</f>
        <v>8.1021860222402342</v>
      </c>
    </row>
    <row r="53" spans="3:35" ht="18.75">
      <c r="C53" s="673" t="s">
        <v>1157</v>
      </c>
      <c r="D53" s="673"/>
      <c r="E53" s="673"/>
      <c r="F53" s="673"/>
      <c r="G53" s="673"/>
      <c r="H53" s="673"/>
      <c r="I53" s="673"/>
      <c r="J53" s="673"/>
      <c r="K53" s="673"/>
      <c r="L53" s="673"/>
      <c r="M53" s="673"/>
      <c r="N53" s="673"/>
      <c r="O53" s="673"/>
      <c r="P53" s="673"/>
      <c r="Q53" s="673"/>
      <c r="R53" s="673"/>
      <c r="S53" s="673"/>
      <c r="T53" s="673"/>
      <c r="U53" s="673"/>
      <c r="V53" s="674">
        <v>26698.1</v>
      </c>
      <c r="W53" s="675"/>
      <c r="X53" s="676">
        <f>V53/V56*100</f>
        <v>0.18014721436486808</v>
      </c>
      <c r="AD53" s="674">
        <v>32071.599999999999</v>
      </c>
      <c r="AE53" s="675"/>
      <c r="AF53" s="676">
        <f>AD53/AD56*100</f>
        <v>0.17297203028096741</v>
      </c>
    </row>
    <row r="54" spans="3:35" ht="18.75">
      <c r="C54" s="673" t="s">
        <v>1158</v>
      </c>
      <c r="D54" s="673"/>
      <c r="E54" s="673"/>
      <c r="F54" s="673"/>
      <c r="G54" s="673"/>
      <c r="H54" s="673"/>
      <c r="I54" s="673"/>
      <c r="J54" s="673"/>
      <c r="K54" s="673"/>
      <c r="L54" s="673"/>
      <c r="M54" s="673"/>
      <c r="N54" s="673"/>
      <c r="O54" s="673"/>
      <c r="P54" s="673"/>
      <c r="Q54" s="673"/>
      <c r="R54" s="673"/>
      <c r="S54" s="673"/>
      <c r="T54" s="673"/>
      <c r="U54" s="673"/>
      <c r="V54" s="674">
        <v>1271481.1000000001</v>
      </c>
      <c r="W54" s="675"/>
      <c r="X54" s="676">
        <f>V54/V56*100</f>
        <v>8.5794037134694339</v>
      </c>
      <c r="AD54" s="674">
        <v>1767004.1</v>
      </c>
      <c r="AE54" s="675"/>
      <c r="AF54" s="676">
        <f>AD54/AD56*100</f>
        <v>9.5299980883957645</v>
      </c>
    </row>
    <row r="55" spans="3:35" ht="18.75">
      <c r="C55" s="679" t="s">
        <v>1159</v>
      </c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79"/>
      <c r="P55" s="679"/>
      <c r="Q55" s="679"/>
      <c r="R55" s="679"/>
      <c r="S55" s="679"/>
      <c r="T55" s="679"/>
      <c r="U55" s="679"/>
      <c r="V55" s="674">
        <v>189306.2</v>
      </c>
      <c r="W55" s="675"/>
      <c r="X55" s="676">
        <f>V55/V56*100</f>
        <v>1.2773562385337756</v>
      </c>
      <c r="Y55" s="94"/>
      <c r="AD55" s="674">
        <v>366556.2</v>
      </c>
      <c r="AE55" s="675"/>
      <c r="AF55" s="676">
        <f>AD55/AD56*100</f>
        <v>1.9769506393842637</v>
      </c>
      <c r="AG55" s="94"/>
      <c r="AH55">
        <v>931337.60000000149</v>
      </c>
      <c r="AI55">
        <v>2022</v>
      </c>
    </row>
    <row r="56" spans="3:35" ht="18.75">
      <c r="C56" s="1334" t="s">
        <v>1160</v>
      </c>
      <c r="D56" s="920"/>
      <c r="E56" s="920"/>
      <c r="F56" s="920"/>
      <c r="G56" s="920"/>
      <c r="H56" s="920"/>
      <c r="I56" s="920"/>
      <c r="J56" s="920"/>
      <c r="K56" s="920"/>
      <c r="L56" s="920"/>
      <c r="M56" s="920"/>
      <c r="N56" s="920"/>
      <c r="O56" s="920"/>
      <c r="P56" s="920"/>
      <c r="Q56" s="920"/>
      <c r="R56" s="920"/>
      <c r="S56" s="920"/>
      <c r="T56" s="920"/>
      <c r="U56" s="920"/>
      <c r="V56" s="1316">
        <f>V51+V52+V53+V54+V55</f>
        <v>14820156.999999998</v>
      </c>
      <c r="W56" s="1316">
        <f>W51+W52+W53+W54+W55</f>
        <v>0</v>
      </c>
      <c r="X56" s="680">
        <f>X51+X52+X53+X54+X55</f>
        <v>100</v>
      </c>
      <c r="Z56" s="306">
        <v>931337.60000000149</v>
      </c>
      <c r="AA56" s="149">
        <v>2022</v>
      </c>
      <c r="AD56" s="1316">
        <f>AD51+AD52+AD53+AD54+AD55</f>
        <v>18541494.800000001</v>
      </c>
      <c r="AE56" s="1316">
        <f>AE51+AE52+AE53+AE54+AE55</f>
        <v>0</v>
      </c>
      <c r="AF56" s="680">
        <f>AF51+AF52+AF53+AF54+AF55</f>
        <v>100.00000000000001</v>
      </c>
      <c r="AH56" s="306">
        <v>1071563.4999999981</v>
      </c>
      <c r="AI56" s="149">
        <v>2023</v>
      </c>
    </row>
    <row r="57" spans="3:35" ht="18.75">
      <c r="C57" s="1335"/>
      <c r="D57" s="921"/>
      <c r="E57" s="921"/>
      <c r="F57" s="921"/>
      <c r="G57" s="921"/>
      <c r="H57" s="921"/>
      <c r="I57" s="921"/>
      <c r="J57" s="921"/>
      <c r="K57" s="921"/>
      <c r="L57" s="921"/>
      <c r="M57" s="921"/>
      <c r="N57" s="921"/>
      <c r="O57" s="921"/>
      <c r="P57" s="921"/>
      <c r="Q57" s="921"/>
      <c r="R57" s="921"/>
      <c r="S57" s="921"/>
      <c r="T57" s="921"/>
      <c r="U57" s="921"/>
      <c r="V57" s="1317"/>
      <c r="W57" s="1317"/>
      <c r="X57" s="1324" t="s">
        <v>1161</v>
      </c>
      <c r="Y57" s="94"/>
      <c r="Z57" s="306">
        <v>1071563.4999999981</v>
      </c>
      <c r="AA57" s="149">
        <v>2023</v>
      </c>
      <c r="AD57" s="1317"/>
      <c r="AE57" s="1317"/>
      <c r="AF57" s="1324" t="s">
        <v>1161</v>
      </c>
      <c r="AG57" s="94"/>
      <c r="AH57" s="306">
        <v>1273075.7999999989</v>
      </c>
      <c r="AI57" s="149">
        <v>2023</v>
      </c>
    </row>
    <row r="58" spans="3:35" ht="18.75">
      <c r="C58" s="1336" t="s">
        <v>1162</v>
      </c>
      <c r="D58" s="922"/>
      <c r="E58" s="922"/>
      <c r="F58" s="922"/>
      <c r="G58" s="922"/>
      <c r="H58" s="922"/>
      <c r="I58" s="922"/>
      <c r="J58" s="922"/>
      <c r="K58" s="922"/>
      <c r="L58" s="922"/>
      <c r="M58" s="922"/>
      <c r="N58" s="922"/>
      <c r="O58" s="922"/>
      <c r="P58" s="922"/>
      <c r="Q58" s="922"/>
      <c r="R58" s="922"/>
      <c r="S58" s="922"/>
      <c r="T58" s="922"/>
      <c r="U58" s="922"/>
      <c r="V58" s="1325">
        <v>394244.6</v>
      </c>
      <c r="W58" s="1327"/>
      <c r="X58" s="1324"/>
      <c r="Y58" s="94"/>
      <c r="Z58" s="306">
        <v>1273075.7999999989</v>
      </c>
      <c r="AA58" s="149">
        <v>2023</v>
      </c>
      <c r="AD58" s="1325">
        <v>384544.6</v>
      </c>
      <c r="AE58" s="1327"/>
      <c r="AF58" s="1324"/>
      <c r="AG58" s="94"/>
      <c r="AH58" s="306">
        <v>1376163.8999999966</v>
      </c>
      <c r="AI58" s="149">
        <v>2024</v>
      </c>
    </row>
    <row r="59" spans="3:35" ht="18.75">
      <c r="C59" s="1337"/>
      <c r="D59" s="923"/>
      <c r="E59" s="923"/>
      <c r="F59" s="923"/>
      <c r="G59" s="923"/>
      <c r="H59" s="923"/>
      <c r="I59" s="923"/>
      <c r="J59" s="923"/>
      <c r="K59" s="923"/>
      <c r="L59" s="923"/>
      <c r="M59" s="923"/>
      <c r="N59" s="923"/>
      <c r="O59" s="923"/>
      <c r="P59" s="923"/>
      <c r="Q59" s="923"/>
      <c r="R59" s="923"/>
      <c r="S59" s="923"/>
      <c r="T59" s="923"/>
      <c r="U59" s="923"/>
      <c r="V59" s="1326"/>
      <c r="W59" s="1328"/>
      <c r="X59" s="681"/>
      <c r="Y59" s="94"/>
      <c r="Z59" s="306">
        <v>1376163.8999999966</v>
      </c>
      <c r="AA59" s="149">
        <v>2024</v>
      </c>
      <c r="AD59" s="1326"/>
      <c r="AE59" s="1328"/>
      <c r="AF59" s="681"/>
      <c r="AG59" s="94"/>
      <c r="AH59" s="306">
        <v>1364673.5999999978</v>
      </c>
      <c r="AI59" s="149">
        <v>2025</v>
      </c>
    </row>
    <row r="60" spans="3:35" ht="18.75">
      <c r="C60" s="1334" t="s">
        <v>1163</v>
      </c>
      <c r="D60" s="920"/>
      <c r="E60" s="920"/>
      <c r="F60" s="920"/>
      <c r="G60" s="920"/>
      <c r="H60" s="920"/>
      <c r="I60" s="920"/>
      <c r="J60" s="920"/>
      <c r="K60" s="920"/>
      <c r="L60" s="920"/>
      <c r="M60" s="920"/>
      <c r="N60" s="920"/>
      <c r="O60" s="920"/>
      <c r="P60" s="920"/>
      <c r="Q60" s="920"/>
      <c r="R60" s="920"/>
      <c r="S60" s="920"/>
      <c r="T60" s="920"/>
      <c r="U60" s="920"/>
      <c r="V60" s="1316">
        <f>V56-V58</f>
        <v>14425912.399999999</v>
      </c>
      <c r="W60" s="1318">
        <f>W56-W58</f>
        <v>0</v>
      </c>
      <c r="X60" s="1320" t="s">
        <v>1161</v>
      </c>
      <c r="Z60" s="682">
        <f>Z57/Z56*100</f>
        <v>115.05639845314914</v>
      </c>
      <c r="AA60" s="149">
        <v>2022</v>
      </c>
      <c r="AD60" s="1316">
        <f>AD56-AD58</f>
        <v>18156950.199999999</v>
      </c>
      <c r="AE60" s="1318">
        <f>AE56-AE58</f>
        <v>0</v>
      </c>
      <c r="AF60" s="1320" t="s">
        <v>1161</v>
      </c>
      <c r="AH60" s="682">
        <v>118.80544643411251</v>
      </c>
      <c r="AI60" s="149">
        <v>2023</v>
      </c>
    </row>
    <row r="61" spans="3:35" ht="18.75">
      <c r="C61" s="1335"/>
      <c r="D61" s="921"/>
      <c r="E61" s="921"/>
      <c r="F61" s="921"/>
      <c r="G61" s="921"/>
      <c r="H61" s="921"/>
      <c r="I61" s="921"/>
      <c r="J61" s="921"/>
      <c r="K61" s="921"/>
      <c r="L61" s="921"/>
      <c r="M61" s="921"/>
      <c r="N61" s="921"/>
      <c r="O61" s="921"/>
      <c r="P61" s="921"/>
      <c r="Q61" s="921"/>
      <c r="R61" s="921"/>
      <c r="S61" s="921"/>
      <c r="T61" s="921"/>
      <c r="U61" s="921"/>
      <c r="V61" s="1317"/>
      <c r="W61" s="1319"/>
      <c r="X61" s="1320"/>
      <c r="Y61" s="94"/>
      <c r="Z61" s="682">
        <f>Z58/Z57*100</f>
        <v>118.80544643411251</v>
      </c>
      <c r="AA61" s="149">
        <v>2023</v>
      </c>
      <c r="AD61" s="1317"/>
      <c r="AE61" s="1319"/>
      <c r="AF61" s="1320"/>
      <c r="AG61" s="94"/>
      <c r="AH61" s="682">
        <v>108.09756182624773</v>
      </c>
      <c r="AI61" s="149">
        <v>2024</v>
      </c>
    </row>
    <row r="62" spans="3:35">
      <c r="C62" s="149">
        <v>2021</v>
      </c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94">
        <v>9882773.1999999993</v>
      </c>
      <c r="X62" s="683"/>
      <c r="Y62" s="94"/>
      <c r="Z62" s="682">
        <f>Z59/Z58*100</f>
        <v>108.09756182624773</v>
      </c>
      <c r="AA62" s="149">
        <v>2024</v>
      </c>
      <c r="AC62" s="149">
        <v>2022</v>
      </c>
      <c r="AD62" s="94">
        <v>10958088.599999998</v>
      </c>
      <c r="AF62" s="683"/>
      <c r="AG62" s="94"/>
      <c r="AH62" s="682">
        <v>99.16504858178601</v>
      </c>
      <c r="AI62" s="149">
        <v>2025</v>
      </c>
    </row>
    <row r="63" spans="3:35">
      <c r="C63" s="149">
        <v>2022</v>
      </c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94">
        <v>10958088.599999998</v>
      </c>
      <c r="W63" s="94"/>
      <c r="X63" s="1321" t="s">
        <v>1164</v>
      </c>
      <c r="Z63" s="682">
        <f>V63/V62*100</f>
        <v>110.8807050231609</v>
      </c>
      <c r="AA63" s="149">
        <v>2022</v>
      </c>
      <c r="AC63" s="149">
        <v>2023</v>
      </c>
      <c r="AD63" s="94">
        <v>13443004.4</v>
      </c>
      <c r="AE63" s="94"/>
      <c r="AF63" s="1321" t="s">
        <v>1164</v>
      </c>
      <c r="AH63" s="682">
        <v>122.6765441557025</v>
      </c>
      <c r="AI63" s="149">
        <v>2023</v>
      </c>
    </row>
    <row r="64" spans="3:35">
      <c r="C64" s="149">
        <v>2023</v>
      </c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>
        <v>13443004.4</v>
      </c>
      <c r="W64" s="94"/>
      <c r="X64" s="1321"/>
      <c r="Y64" s="94"/>
      <c r="Z64" s="682">
        <f>V64/V63*100</f>
        <v>122.6765441557025</v>
      </c>
      <c r="AA64" s="149">
        <v>2023</v>
      </c>
      <c r="AC64" s="149">
        <v>2024</v>
      </c>
      <c r="AD64">
        <v>14820156.999999998</v>
      </c>
      <c r="AE64" s="94"/>
      <c r="AF64" s="1321"/>
      <c r="AG64" s="94"/>
      <c r="AH64" s="682">
        <v>110.24438108493067</v>
      </c>
      <c r="AI64" s="149">
        <v>2024</v>
      </c>
    </row>
    <row r="65" spans="3:35">
      <c r="C65" s="149">
        <v>2024</v>
      </c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94">
        <f>V56</f>
        <v>14820156.999999998</v>
      </c>
      <c r="X65" s="684"/>
      <c r="Y65" s="94"/>
      <c r="Z65" s="682">
        <f>V65/V64*100</f>
        <v>110.24438108493067</v>
      </c>
      <c r="AA65" s="149">
        <v>2024</v>
      </c>
      <c r="AC65" s="149">
        <v>2024</v>
      </c>
      <c r="AD65" s="94">
        <f>AD56</f>
        <v>18541494.800000001</v>
      </c>
      <c r="AF65" s="684"/>
      <c r="AG65" s="94"/>
      <c r="AH65" s="682">
        <v>125.1099755555896</v>
      </c>
      <c r="AI65" s="149">
        <v>2025</v>
      </c>
    </row>
    <row r="66" spans="3:35"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</sheetData>
  <mergeCells count="29">
    <mergeCell ref="C60:C61"/>
    <mergeCell ref="V60:V61"/>
    <mergeCell ref="W60:W61"/>
    <mergeCell ref="X60:X61"/>
    <mergeCell ref="X63:X64"/>
    <mergeCell ref="C56:C57"/>
    <mergeCell ref="V56:V57"/>
    <mergeCell ref="W56:W57"/>
    <mergeCell ref="X57:X58"/>
    <mergeCell ref="C58:C59"/>
    <mergeCell ref="V58:V59"/>
    <mergeCell ref="W58:W59"/>
    <mergeCell ref="C45:W45"/>
    <mergeCell ref="C46:W46"/>
    <mergeCell ref="C47:W47"/>
    <mergeCell ref="C49:C50"/>
    <mergeCell ref="V49:V50"/>
    <mergeCell ref="W49:W50"/>
    <mergeCell ref="AD60:AD61"/>
    <mergeCell ref="AE60:AE61"/>
    <mergeCell ref="AF60:AF61"/>
    <mergeCell ref="AF63:AF64"/>
    <mergeCell ref="AD49:AD50"/>
    <mergeCell ref="AE49:AE50"/>
    <mergeCell ref="AD56:AD57"/>
    <mergeCell ref="AE56:AE57"/>
    <mergeCell ref="AF57:AF58"/>
    <mergeCell ref="AD58:AD59"/>
    <mergeCell ref="AE58:AE59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809A-45C9-4970-9D8A-AFE97748D193}">
  <dimension ref="B1:AP36"/>
  <sheetViews>
    <sheetView workbookViewId="0">
      <pane xSplit="3" ySplit="2" topLeftCell="AH4" activePane="bottomRight" state="frozen"/>
      <selection pane="topRight" activeCell="D1" sqref="D1"/>
      <selection pane="bottomLeft" activeCell="A3" sqref="A3"/>
      <selection pane="bottomRight" activeCell="AM12" sqref="AM12"/>
    </sheetView>
  </sheetViews>
  <sheetFormatPr defaultRowHeight="15"/>
  <cols>
    <col min="1" max="1" width="3.5703125" customWidth="1"/>
    <col min="2" max="2" width="6.5703125" customWidth="1"/>
    <col min="3" max="3" width="33.5703125" customWidth="1"/>
    <col min="4" max="20" width="8.42578125" customWidth="1"/>
    <col min="21" max="21" width="8.28515625" customWidth="1"/>
  </cols>
  <sheetData>
    <row r="1" spans="2:42">
      <c r="B1" s="209"/>
      <c r="C1" s="210"/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>
        <v>2025</v>
      </c>
      <c r="AG1" s="111">
        <v>2026</v>
      </c>
      <c r="AH1" s="111">
        <v>2027</v>
      </c>
      <c r="AI1" s="111">
        <v>2028</v>
      </c>
      <c r="AJ1" s="111">
        <v>2029</v>
      </c>
      <c r="AK1" s="111">
        <v>2030</v>
      </c>
      <c r="AL1" s="111">
        <v>2031</v>
      </c>
      <c r="AM1" s="111">
        <v>2032</v>
      </c>
      <c r="AN1" s="111">
        <v>2033</v>
      </c>
      <c r="AO1" s="111">
        <v>2034</v>
      </c>
      <c r="AP1" s="111">
        <v>2035</v>
      </c>
    </row>
    <row r="2" spans="2:42">
      <c r="B2" s="209" t="s">
        <v>700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</row>
    <row r="3" spans="2:42">
      <c r="B3" s="7" t="s">
        <v>621</v>
      </c>
      <c r="C3" t="s">
        <v>701</v>
      </c>
      <c r="G3">
        <v>0</v>
      </c>
      <c r="H3">
        <v>0</v>
      </c>
      <c r="I3">
        <v>0</v>
      </c>
      <c r="J3">
        <v>4761.5</v>
      </c>
      <c r="K3">
        <v>6167.2</v>
      </c>
      <c r="L3">
        <v>7206.5999999999995</v>
      </c>
      <c r="M3">
        <v>9335.3000000000011</v>
      </c>
      <c r="N3">
        <v>12804.3</v>
      </c>
      <c r="O3">
        <v>17706.900000000001</v>
      </c>
      <c r="P3">
        <v>20629</v>
      </c>
      <c r="Q3">
        <v>24932.9</v>
      </c>
      <c r="R3">
        <v>30071.1</v>
      </c>
      <c r="S3">
        <v>36163.1</v>
      </c>
      <c r="T3">
        <v>40525.199999999997</v>
      </c>
      <c r="U3">
        <v>45606.6</v>
      </c>
      <c r="V3">
        <f>GDP!V93</f>
        <v>50977.399999999994</v>
      </c>
      <c r="W3">
        <f>GDP!W93</f>
        <v>54790.299999999996</v>
      </c>
      <c r="X3">
        <f>GDP!X93</f>
        <v>64434.3</v>
      </c>
      <c r="Y3">
        <f>GDP!Y93</f>
        <v>71059.199999999997</v>
      </c>
      <c r="Z3">
        <f>GDP!Z93</f>
        <v>79109.799999999988</v>
      </c>
      <c r="AA3">
        <f>GDP!AA93</f>
        <v>83958.3</v>
      </c>
      <c r="AB3">
        <f>GDP!AB93</f>
        <v>101076.30000000002</v>
      </c>
      <c r="AC3">
        <f>GDP!AC93</f>
        <v>118181.70000000001</v>
      </c>
      <c r="AD3">
        <f>GDP!AD93</f>
        <v>132781.90000000002</v>
      </c>
      <c r="AE3" s="175">
        <f>GDP!AE93</f>
        <v>155783.9</v>
      </c>
      <c r="AF3" s="175">
        <f>GDP!AF93</f>
        <v>176919</v>
      </c>
      <c r="AG3">
        <f>GDP!AG93</f>
        <v>199898.1373681862</v>
      </c>
      <c r="AH3">
        <f>GDP!AH93</f>
        <v>225457.20835606457</v>
      </c>
      <c r="AI3">
        <f>GDP!AI93</f>
        <v>254610.40971193821</v>
      </c>
      <c r="AJ3">
        <f>GDP!AJ93</f>
        <v>290955.27502497676</v>
      </c>
      <c r="AK3">
        <f>GDP!AK93</f>
        <v>325987.59758401546</v>
      </c>
      <c r="AL3">
        <f>GDP!AL93</f>
        <v>368330.80468772119</v>
      </c>
      <c r="AM3">
        <f>GDP!AM93</f>
        <v>413970.29228411877</v>
      </c>
      <c r="AN3">
        <f>GDP!AN93</f>
        <v>460417.1837588718</v>
      </c>
      <c r="AO3">
        <f>GDP!AO93</f>
        <v>511101.7351686334</v>
      </c>
      <c r="AP3">
        <f>GDP!AP93</f>
        <v>568732.0579310552</v>
      </c>
    </row>
    <row r="4" spans="2:42" ht="15.75">
      <c r="B4" s="7" t="s">
        <v>702</v>
      </c>
      <c r="C4" t="s">
        <v>703</v>
      </c>
      <c r="L4">
        <v>5243.5077753400001</v>
      </c>
      <c r="M4">
        <v>7819.7655793599997</v>
      </c>
      <c r="N4">
        <v>12761.634948750001</v>
      </c>
      <c r="O4">
        <v>14004.9</v>
      </c>
      <c r="P4">
        <v>12686.7</v>
      </c>
      <c r="Q4">
        <v>14577.7</v>
      </c>
      <c r="R4">
        <v>22286.1</v>
      </c>
      <c r="S4">
        <v>25114</v>
      </c>
      <c r="T4">
        <v>26051.9</v>
      </c>
      <c r="U4">
        <v>26676.2</v>
      </c>
      <c r="V4" s="93">
        <f>-GDP!V105</f>
        <v>20460</v>
      </c>
      <c r="W4" s="93">
        <f>-GDP!W105</f>
        <v>23299.3</v>
      </c>
      <c r="X4" s="93">
        <f>-GDP!X105</f>
        <v>25037.599999999999</v>
      </c>
      <c r="Y4" s="93">
        <f>-GDP!Y105</f>
        <v>29468.7</v>
      </c>
      <c r="Z4" s="93">
        <f>-GDP!Z105</f>
        <v>32486.5</v>
      </c>
      <c r="AA4" s="93">
        <f>-GDP!AA105</f>
        <v>32260.799999999999</v>
      </c>
      <c r="AB4" s="93">
        <f>-GDP!AB105</f>
        <v>48156.800000000003</v>
      </c>
      <c r="AC4" s="93">
        <f>-GDP!AC105</f>
        <v>58006.400000000001</v>
      </c>
      <c r="AD4" s="93">
        <f>-GDP!AD105</f>
        <v>64323.5</v>
      </c>
      <c r="AE4" s="733">
        <f>-GDP!AE105</f>
        <v>74585.100000000006</v>
      </c>
      <c r="AF4" s="733">
        <f>-GDP!AF105</f>
        <v>87535.953705100008</v>
      </c>
      <c r="AG4" s="93">
        <f>-GDP!AG105</f>
        <v>80656.402683312044</v>
      </c>
      <c r="AH4" s="93">
        <f>-GDP!AH105</f>
        <v>85329.100756968823</v>
      </c>
      <c r="AI4" s="93">
        <f>-GDP!AI105</f>
        <v>90451.623238805187</v>
      </c>
      <c r="AJ4" s="93">
        <f>-GDP!AJ105</f>
        <v>97325.403680975127</v>
      </c>
      <c r="AK4" s="93">
        <f>-GDP!AK105</f>
        <v>104932.07627590917</v>
      </c>
      <c r="AL4" s="93">
        <f>-GDP!AL105</f>
        <v>116533.95700262485</v>
      </c>
      <c r="AM4" s="93">
        <f>-GDP!AM105</f>
        <v>128335.67871648754</v>
      </c>
      <c r="AN4" s="93">
        <f>-GDP!AN105</f>
        <v>129767.63891000372</v>
      </c>
      <c r="AO4" s="93">
        <f>-GDP!AO105</f>
        <v>135718.05444469416</v>
      </c>
      <c r="AP4" s="93">
        <f>-GDP!AP105</f>
        <v>172775.63758438913</v>
      </c>
    </row>
    <row r="5" spans="2:42" ht="15.75">
      <c r="B5" s="7" t="s">
        <v>704</v>
      </c>
      <c r="C5" t="s">
        <v>705</v>
      </c>
      <c r="L5">
        <v>3909.5708743600007</v>
      </c>
      <c r="M5">
        <v>5243.2217387199998</v>
      </c>
      <c r="N5">
        <v>5871.4188727500004</v>
      </c>
      <c r="O5">
        <v>5782.4</v>
      </c>
      <c r="P5">
        <v>5048</v>
      </c>
      <c r="Q5">
        <v>6620.7</v>
      </c>
      <c r="R5">
        <v>5335</v>
      </c>
      <c r="S5">
        <v>7829.5</v>
      </c>
      <c r="T5">
        <v>7582.6</v>
      </c>
      <c r="U5">
        <v>5143.3999999999996</v>
      </c>
      <c r="V5" s="93">
        <f>GDP!V104</f>
        <v>4997.2</v>
      </c>
      <c r="W5" s="93">
        <f>GDP!W104</f>
        <v>7232.5</v>
      </c>
      <c r="X5" s="93">
        <f>GDP!X104</f>
        <v>9619.1</v>
      </c>
      <c r="Y5" s="93">
        <f>GDP!Y104</f>
        <v>10215.1</v>
      </c>
      <c r="Z5" s="93">
        <f>GDP!Z104</f>
        <v>11850.6</v>
      </c>
      <c r="AA5" s="93">
        <f>GDP!AA104</f>
        <v>14545.2</v>
      </c>
      <c r="AB5" s="93">
        <f>GDP!AB104</f>
        <v>24442.2</v>
      </c>
      <c r="AC5" s="93">
        <f>GDP!AC104</f>
        <v>19326.400000000001</v>
      </c>
      <c r="AD5" s="93">
        <f>GDP!AD104</f>
        <v>22827.7</v>
      </c>
      <c r="AE5" s="733">
        <f>GDP!AE104</f>
        <v>17467.5</v>
      </c>
      <c r="AF5" s="733">
        <f>GDP!AF104</f>
        <v>33946.689580782579</v>
      </c>
      <c r="AG5" s="93">
        <f>GDP!AG104</f>
        <v>35600.83602720817</v>
      </c>
      <c r="AH5" s="93">
        <f>GDP!AH104</f>
        <v>39596.776228077171</v>
      </c>
      <c r="AI5" s="93">
        <f>GDP!AI104</f>
        <v>44151.942449272814</v>
      </c>
      <c r="AJ5" s="93">
        <f>GDP!AJ104</f>
        <v>49171.80942785657</v>
      </c>
      <c r="AK5" s="93">
        <f>GDP!AK104</f>
        <v>54369.440452802992</v>
      </c>
      <c r="AL5" s="93">
        <f>GDP!AL104</f>
        <v>56441.620122337801</v>
      </c>
      <c r="AM5" s="93">
        <f>GDP!AM104</f>
        <v>62629.97571208467</v>
      </c>
      <c r="AN5" s="93">
        <f>GDP!AN104</f>
        <v>68972.931340895026</v>
      </c>
      <c r="AO5" s="93">
        <f>GDP!AO104</f>
        <v>76895.798371511744</v>
      </c>
      <c r="AP5" s="93">
        <f>GDP!AP104</f>
        <v>86147.805041390602</v>
      </c>
    </row>
    <row r="6" spans="2:42">
      <c r="B6" s="7" t="s">
        <v>706</v>
      </c>
      <c r="C6" t="s">
        <v>707</v>
      </c>
      <c r="L6">
        <v>7701.1369009799982</v>
      </c>
      <c r="M6">
        <v>10421.343840640002</v>
      </c>
      <c r="N6">
        <v>16540.416076000001</v>
      </c>
      <c r="O6">
        <v>17156.5</v>
      </c>
      <c r="P6">
        <v>20380.2</v>
      </c>
      <c r="Q6">
        <v>23726.2</v>
      </c>
      <c r="R6">
        <v>33314.9</v>
      </c>
      <c r="S6">
        <v>41047.699999999997</v>
      </c>
      <c r="T6">
        <v>46141.599999999999</v>
      </c>
      <c r="U6">
        <v>51376.3</v>
      </c>
      <c r="V6">
        <f>GDP!V94</f>
        <v>42206.3</v>
      </c>
      <c r="W6">
        <f>GDP!W94</f>
        <v>50109.599999999999</v>
      </c>
      <c r="X6">
        <f>GDP!X94</f>
        <v>59167.4</v>
      </c>
      <c r="Y6">
        <f>GDP!Y94</f>
        <v>62273.399999999994</v>
      </c>
      <c r="Z6">
        <f>GDP!Z94</f>
        <v>69139</v>
      </c>
      <c r="AA6">
        <f>GDP!AA94</f>
        <v>74861.600000000006</v>
      </c>
      <c r="AB6">
        <f>GDP!AB94</f>
        <v>92235.3</v>
      </c>
      <c r="AC6">
        <f>GDP!AC94</f>
        <v>115547</v>
      </c>
      <c r="AD6">
        <f>GDP!AD94</f>
        <v>133104.30000000002</v>
      </c>
      <c r="AE6" s="175">
        <f>GDP!AE94</f>
        <v>161955.20000000001</v>
      </c>
      <c r="AF6" s="175">
        <f>GDP!AF94</f>
        <v>163129.42226810416</v>
      </c>
      <c r="AG6">
        <f>GDP!AG94</f>
        <v>179844.37485575455</v>
      </c>
      <c r="AH6">
        <f>GDP!AH94</f>
        <v>196983.31364556632</v>
      </c>
      <c r="AI6">
        <f>GDP!AI94</f>
        <v>212475.27645251172</v>
      </c>
      <c r="AJ6">
        <f>GDP!AJ94</f>
        <v>236261.4104138476</v>
      </c>
      <c r="AK6">
        <f>GDP!AK94</f>
        <v>258756.0105729163</v>
      </c>
      <c r="AL6">
        <f>GDP!AL94</f>
        <v>280866.47143267293</v>
      </c>
      <c r="AM6">
        <f>GDP!AM94</f>
        <v>308320.30236369028</v>
      </c>
      <c r="AN6">
        <f>GDP!AN94</f>
        <v>335624.03311565123</v>
      </c>
      <c r="AO6">
        <f>GDP!AO94</f>
        <v>366029.27578607632</v>
      </c>
      <c r="AP6">
        <f>GDP!AP94</f>
        <v>400502.89614980627</v>
      </c>
    </row>
    <row r="7" spans="2:42">
      <c r="B7" s="7" t="s">
        <v>708</v>
      </c>
      <c r="C7" t="s">
        <v>709</v>
      </c>
      <c r="L7">
        <v>6648.8369009799981</v>
      </c>
      <c r="M7">
        <v>9384.7438406400015</v>
      </c>
      <c r="N7">
        <v>15400.316076000001</v>
      </c>
      <c r="O7">
        <v>15145</v>
      </c>
      <c r="P7">
        <v>17605.3</v>
      </c>
      <c r="Q7">
        <v>20717.099999999999</v>
      </c>
      <c r="R7">
        <v>28935.7</v>
      </c>
      <c r="S7">
        <v>36067.9</v>
      </c>
      <c r="T7">
        <v>40396.6</v>
      </c>
      <c r="U7">
        <v>44710.8</v>
      </c>
      <c r="V7" s="93">
        <f>GDP!V95</f>
        <v>36003</v>
      </c>
      <c r="W7" s="93">
        <f>GDP!W95</f>
        <v>43219.8</v>
      </c>
      <c r="X7" s="93">
        <f>GDP!X95</f>
        <v>51499.4</v>
      </c>
      <c r="Y7" s="93">
        <f>GDP!Y95</f>
        <v>53938.7</v>
      </c>
      <c r="Z7" s="93">
        <f>GDP!Z95</f>
        <v>59925</v>
      </c>
      <c r="AA7" s="93">
        <f>GDP!AA95</f>
        <v>64584</v>
      </c>
      <c r="AB7" s="93">
        <f>GDP!AB95</f>
        <v>80377.100000000006</v>
      </c>
      <c r="AC7" s="93">
        <f>GDP!AC95</f>
        <v>102715.8</v>
      </c>
      <c r="AD7" s="93">
        <f>GDP!AD95</f>
        <v>118160.2</v>
      </c>
      <c r="AE7" s="733">
        <f>GDP!AE95</f>
        <v>143478</v>
      </c>
      <c r="AF7" s="733">
        <f>GDP!AF95</f>
        <v>142970.5048312477</v>
      </c>
      <c r="AG7" s="93">
        <f>GDP!AG95</f>
        <v>156795.4531059429</v>
      </c>
      <c r="AH7" s="93">
        <f>GDP!AH95</f>
        <v>170643.49002913773</v>
      </c>
      <c r="AI7" s="93">
        <f>GDP!AI95</f>
        <v>182359.93127978497</v>
      </c>
      <c r="AJ7" s="93">
        <f>GDP!AJ95</f>
        <v>201698.21258047849</v>
      </c>
      <c r="AK7" s="93">
        <f>GDP!AK95</f>
        <v>219332.16769183526</v>
      </c>
      <c r="AL7" s="93">
        <f>GDP!AL95</f>
        <v>235775.56493457354</v>
      </c>
      <c r="AM7" s="93">
        <f>GDP!AM95</f>
        <v>256827.1703178795</v>
      </c>
      <c r="AN7" s="93">
        <f>GDP!AN95</f>
        <v>276995.43363556557</v>
      </c>
      <c r="AO7" s="93">
        <f>GDP!AO95</f>
        <v>299297.53292753099</v>
      </c>
      <c r="AP7" s="93">
        <f>GDP!AP95</f>
        <v>324477.24301855441</v>
      </c>
    </row>
    <row r="8" spans="2:42">
      <c r="B8" s="65" t="s">
        <v>324</v>
      </c>
      <c r="C8" t="s">
        <v>710</v>
      </c>
      <c r="L8">
        <v>260.60000000000002</v>
      </c>
      <c r="M8">
        <v>365.7</v>
      </c>
      <c r="N8">
        <v>526.5</v>
      </c>
      <c r="O8">
        <v>652</v>
      </c>
      <c r="P8">
        <v>919.3</v>
      </c>
      <c r="Q8">
        <v>1138.2</v>
      </c>
      <c r="R8">
        <v>1328.9</v>
      </c>
      <c r="S8">
        <v>1744.4</v>
      </c>
      <c r="T8">
        <v>2401.1999999999998</v>
      </c>
      <c r="U8">
        <v>3177.3</v>
      </c>
      <c r="V8">
        <f>Household!V34</f>
        <v>3403.7</v>
      </c>
      <c r="W8">
        <f>Household!W34</f>
        <v>3915.2</v>
      </c>
      <c r="X8">
        <f>Household!X34</f>
        <v>4496.8999999999996</v>
      </c>
      <c r="Y8">
        <f>Household!Y34</f>
        <v>4923.8999999999996</v>
      </c>
      <c r="Z8">
        <f>Household!Z34</f>
        <v>4980.3</v>
      </c>
      <c r="AA8">
        <f>Household!AA34</f>
        <v>5417.4</v>
      </c>
      <c r="AB8">
        <f>Household!AB34</f>
        <v>6169.5</v>
      </c>
      <c r="AC8">
        <f>Household!AC34</f>
        <v>7053.8</v>
      </c>
      <c r="AD8">
        <f>Household!AD34</f>
        <v>10667.5</v>
      </c>
      <c r="AE8" s="175">
        <f>Household!AE34</f>
        <v>12768.8</v>
      </c>
      <c r="AF8" s="175">
        <f>Household!AF34</f>
        <v>13420.008799999998</v>
      </c>
      <c r="AG8">
        <f>Household!AG34</f>
        <v>14104.429248799997</v>
      </c>
      <c r="AH8">
        <f>Household!AH34</f>
        <v>14823.755140488796</v>
      </c>
      <c r="AI8">
        <f>Household!AI34</f>
        <v>15579.766652653723</v>
      </c>
      <c r="AJ8">
        <f>Household!AJ34</f>
        <v>16374.334751939063</v>
      </c>
      <c r="AK8">
        <f>Household!AK34</f>
        <v>17209.425824287955</v>
      </c>
      <c r="AL8">
        <f>Household!AL34</f>
        <v>18087.106541326641</v>
      </c>
      <c r="AM8">
        <f>Household!AM34</f>
        <v>19009.5489749343</v>
      </c>
      <c r="AN8">
        <f>Household!AN34</f>
        <v>19979.035972655947</v>
      </c>
      <c r="AO8">
        <f>Household!AO34</f>
        <v>20997.9668072614</v>
      </c>
      <c r="AP8">
        <f>Household!AP34</f>
        <v>22068.86311443173</v>
      </c>
    </row>
    <row r="11" spans="2:42">
      <c r="B11" s="209" t="s">
        <v>711</v>
      </c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</row>
    <row r="12" spans="2:42">
      <c r="B12" s="40" t="s">
        <v>712</v>
      </c>
      <c r="C12" s="160" t="s">
        <v>548</v>
      </c>
      <c r="D12" s="160"/>
      <c r="E12" s="160"/>
      <c r="F12" s="160" t="s">
        <v>1184</v>
      </c>
      <c r="G12" s="160">
        <v>149.69999999999999</v>
      </c>
      <c r="H12" s="160">
        <v>230.3</v>
      </c>
      <c r="I12" s="160">
        <v>332.8</v>
      </c>
      <c r="J12" s="160">
        <v>508.4</v>
      </c>
      <c r="K12" s="160">
        <v>679.7</v>
      </c>
      <c r="L12" s="160">
        <v>831.2</v>
      </c>
      <c r="M12" s="160">
        <v>1059.7</v>
      </c>
      <c r="N12" s="160">
        <v>1603.5</v>
      </c>
      <c r="O12" s="160">
        <v>2235.8999999999996</v>
      </c>
      <c r="P12" s="160">
        <v>2286.6</v>
      </c>
      <c r="Q12" s="160">
        <v>2781.7</v>
      </c>
      <c r="R12" s="160">
        <v>3727.5</v>
      </c>
      <c r="S12" s="160">
        <v>4455.8</v>
      </c>
      <c r="T12" s="160">
        <v>5159.5</v>
      </c>
      <c r="U12" s="160">
        <v>6361.6</v>
      </c>
      <c r="V12" s="93">
        <f>GDP!V14</f>
        <v>5370.2000000000007</v>
      </c>
      <c r="W12" s="93">
        <f>GDP!W14</f>
        <v>5660.1</v>
      </c>
      <c r="X12" s="93">
        <f>GDP!X14</f>
        <v>6337.0999999999995</v>
      </c>
      <c r="Y12" s="93">
        <f>GDP!Y14</f>
        <v>7019.1</v>
      </c>
      <c r="Z12" s="93">
        <f>GDP!Z14</f>
        <v>7692.7000000000007</v>
      </c>
      <c r="AA12" s="93">
        <f>GDP!AA14</f>
        <v>7542.7</v>
      </c>
      <c r="AB12" s="93">
        <f>GDP!AB14</f>
        <v>9696.5</v>
      </c>
      <c r="AC12" s="93">
        <f>GDP!AC14</f>
        <v>10687.4</v>
      </c>
      <c r="AD12" s="93">
        <f>GDP!AD14</f>
        <v>13197.199999999999</v>
      </c>
      <c r="AE12" s="733">
        <f>GDP!AE14</f>
        <v>14524.9</v>
      </c>
      <c r="AF12" s="733">
        <f>GDP!AF14</f>
        <v>18157</v>
      </c>
      <c r="AG12" s="1260">
        <f>AF12*'Revenue Model'!AG24/'Revenue Model'!AF24-AG36</f>
        <v>18610.317492499998</v>
      </c>
      <c r="AH12" s="1260">
        <f>AG12*'Revenue Model'!AH24/'Revenue Model'!AG24-AH36</f>
        <v>20494.298679300002</v>
      </c>
      <c r="AI12" s="1260">
        <f>AH12*'Revenue Model'!AI24/'Revenue Model'!AH24-1708.9</f>
        <v>21611.49022430585</v>
      </c>
      <c r="AJ12" s="1260">
        <f>AI12*'Revenue Model'!AJ24/'Revenue Model'!AI24-2869.334</f>
        <v>21722.855640801459</v>
      </c>
      <c r="AK12" s="1260">
        <f>AJ12*'Revenue Model'!AK24/'Revenue Model'!AJ24-3042.911</f>
        <v>21977.797977323473</v>
      </c>
      <c r="AL12" s="1260">
        <f>AK12*'Revenue Model'!AL24/'Revenue Model'!AK24-2403.547</f>
        <v>22429.216625017085</v>
      </c>
      <c r="AM12" s="1260">
        <f>AL12*'Revenue Model'!AM24/'Revenue Model'!AL24-1578.646</f>
        <v>23764.34544755895</v>
      </c>
      <c r="AN12" s="93">
        <f>AM12*'Revenue Model'!AN24/'Revenue Model'!AM24</f>
        <v>26851.731562470981</v>
      </c>
      <c r="AO12" s="93">
        <f>AN12*'Revenue Model'!AO24/'Revenue Model'!AN24</f>
        <v>30340.39270820206</v>
      </c>
      <c r="AP12" s="93">
        <f>AO12*'Revenue Model'!AP24/'Revenue Model'!AO24</f>
        <v>34282.490793819001</v>
      </c>
    </row>
    <row r="13" spans="2:42" ht="18.75">
      <c r="B13" t="s">
        <v>713</v>
      </c>
      <c r="C13" t="s">
        <v>714</v>
      </c>
      <c r="G13">
        <v>47.3</v>
      </c>
      <c r="H13">
        <v>100.5</v>
      </c>
      <c r="I13">
        <v>117.2</v>
      </c>
      <c r="J13">
        <v>180.2</v>
      </c>
      <c r="K13">
        <v>349</v>
      </c>
      <c r="L13">
        <v>319.2</v>
      </c>
      <c r="M13">
        <v>429.3</v>
      </c>
      <c r="N13">
        <v>547.5</v>
      </c>
      <c r="O13">
        <v>1015</v>
      </c>
      <c r="P13">
        <v>1219.3</v>
      </c>
      <c r="Q13">
        <v>1629.9</v>
      </c>
      <c r="R13">
        <v>2183.3169336919509</v>
      </c>
      <c r="S13">
        <v>2239.7685000000001</v>
      </c>
      <c r="T13">
        <v>2394.5</v>
      </c>
      <c r="U13">
        <v>3089</v>
      </c>
      <c r="V13" s="93">
        <f>OEA!V23</f>
        <v>3446</v>
      </c>
      <c r="W13" s="93">
        <f>OEA!W23</f>
        <v>4399.8999999999996</v>
      </c>
      <c r="X13" s="93">
        <f>OEA!X23</f>
        <v>5013.8</v>
      </c>
      <c r="Y13" s="93">
        <f>OEA!Y23</f>
        <v>6468.8</v>
      </c>
      <c r="Z13" s="93">
        <f>OEA!Z23</f>
        <v>6261.4</v>
      </c>
      <c r="AA13" s="93">
        <f>OEA!AA23</f>
        <v>5686.9</v>
      </c>
      <c r="AB13" s="93">
        <f>OEA!AB23</f>
        <v>6108.8</v>
      </c>
      <c r="AC13" s="93">
        <f>OEA!AC23</f>
        <v>6736.9</v>
      </c>
      <c r="AD13" s="93">
        <f>OEA!AD23</f>
        <v>7922.5</v>
      </c>
      <c r="AE13" s="733">
        <f>OEA!AE23</f>
        <v>9830.5</v>
      </c>
      <c r="AF13" s="733">
        <f>OEA!AF23</f>
        <v>13280.5</v>
      </c>
      <c r="AG13" s="94">
        <f>'Revenue Model'!AG15*Assumptions!AG65/100</f>
        <v>14362.407477015899</v>
      </c>
      <c r="AH13" s="94">
        <f>'Revenue Model'!AH15*Assumptions!AH65/100</f>
        <v>15644.618952840852</v>
      </c>
      <c r="AI13" s="94">
        <f>'Revenue Model'!AI15*Assumptions!AI65/100</f>
        <v>17154.424878603815</v>
      </c>
      <c r="AJ13" s="94">
        <f>'Revenue Model'!AJ15*Assumptions!AJ65/100</f>
        <v>18861.838383589173</v>
      </c>
      <c r="AK13" s="94">
        <f>'Revenue Model'!AK15*Assumptions!AK65/100</f>
        <v>20950.026088293253</v>
      </c>
      <c r="AL13" s="94">
        <f>'Revenue Model'!AL15*Assumptions!AL65/100</f>
        <v>23055.83878112413</v>
      </c>
      <c r="AM13" s="94">
        <f>'Revenue Model'!AM15*Assumptions!AM65/100</f>
        <v>25428.32610451027</v>
      </c>
      <c r="AN13" s="94">
        <f>'Revenue Model'!AN15*Assumptions!AN65/100</f>
        <v>28102.808040177235</v>
      </c>
      <c r="AO13" s="94">
        <f>'Revenue Model'!AO15*Assumptions!AO65/100</f>
        <v>31119.328436311356</v>
      </c>
      <c r="AP13" s="94">
        <f>'Revenue Model'!AP15*Assumptions!AP65/100</f>
        <v>34523.289645648707</v>
      </c>
    </row>
    <row r="19" spans="2:42">
      <c r="B19" s="209" t="s">
        <v>715</v>
      </c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</row>
    <row r="20" spans="2:42" ht="15.75">
      <c r="B20" s="7" t="s">
        <v>400</v>
      </c>
      <c r="C20" s="211" t="s">
        <v>401</v>
      </c>
      <c r="D20" s="211"/>
      <c r="E20" s="211"/>
      <c r="F20" s="211" t="s">
        <v>1185</v>
      </c>
      <c r="G20" s="211">
        <v>62.6</v>
      </c>
      <c r="H20" s="211">
        <v>62.2</v>
      </c>
      <c r="I20" s="211">
        <v>68.989199999999997</v>
      </c>
      <c r="J20" s="211">
        <v>88.526499999999999</v>
      </c>
      <c r="K20" s="211">
        <v>122.907</v>
      </c>
      <c r="L20" s="211">
        <v>146.34200000000001</v>
      </c>
      <c r="M20" s="211">
        <v>134.215</v>
      </c>
      <c r="N20" s="211">
        <v>148.69200000000001</v>
      </c>
      <c r="O20" s="211">
        <v>181.40899999999999</v>
      </c>
      <c r="P20" s="211">
        <v>179.74799999999999</v>
      </c>
      <c r="Q20" s="211">
        <v>333.74732999999998</v>
      </c>
      <c r="R20" s="211">
        <v>564.5</v>
      </c>
      <c r="S20" s="211">
        <v>818</v>
      </c>
      <c r="T20" s="211">
        <v>797.4</v>
      </c>
      <c r="U20" s="211">
        <v>515.4</v>
      </c>
      <c r="V20" s="94">
        <f>Trade!V4</f>
        <v>252.4</v>
      </c>
      <c r="W20" s="94">
        <f>Trade!W4</f>
        <v>231.8</v>
      </c>
      <c r="X20" s="94">
        <f>Trade!X4</f>
        <v>252</v>
      </c>
      <c r="Y20" s="94">
        <f>Trade!Y4</f>
        <v>242.2</v>
      </c>
      <c r="Z20" s="94">
        <f>Trade!Z4</f>
        <v>242.35</v>
      </c>
      <c r="AA20" s="94">
        <f>Trade!AA4</f>
        <v>138.5</v>
      </c>
      <c r="AB20" s="94">
        <f>Trade!AB4</f>
        <v>146.80000000000001</v>
      </c>
      <c r="AC20" s="94">
        <f>Trade!AC4</f>
        <v>137.4</v>
      </c>
      <c r="AD20" s="94">
        <f>Trade!AD4</f>
        <v>243.5</v>
      </c>
      <c r="AE20" s="646">
        <f>Trade!AE4</f>
        <v>194.65</v>
      </c>
      <c r="AF20" s="646">
        <f>Trade!AF4</f>
        <v>85.397000000000006</v>
      </c>
      <c r="AG20" s="94">
        <f>Trade!AG4</f>
        <v>96.680933568954202</v>
      </c>
      <c r="AH20" s="94">
        <f>Trade!AH4</f>
        <v>99.7130200320792</v>
      </c>
      <c r="AI20" s="94">
        <f>Trade!AI4</f>
        <v>101.96744646050972</v>
      </c>
      <c r="AJ20" s="94">
        <f>Trade!AJ4</f>
        <v>104.73154260693993</v>
      </c>
      <c r="AK20" s="94">
        <f>Trade!AK4</f>
        <v>108.34569556274232</v>
      </c>
      <c r="AL20" s="94">
        <f>Trade!AL4</f>
        <v>105.29168690955537</v>
      </c>
      <c r="AM20" s="94">
        <f>Trade!AM4</f>
        <v>109.38016639073655</v>
      </c>
      <c r="AN20" s="94">
        <f>Trade!AN4</f>
        <v>115.06309809644874</v>
      </c>
      <c r="AO20" s="94">
        <f>Trade!AO4</f>
        <v>115.40993099543488</v>
      </c>
      <c r="AP20" s="94">
        <f>Trade!AP4</f>
        <v>116.5426580747194</v>
      </c>
    </row>
    <row r="21" spans="2:42" ht="15.75">
      <c r="B21" s="7" t="s">
        <v>402</v>
      </c>
      <c r="C21" s="211" t="s">
        <v>403</v>
      </c>
      <c r="D21" s="211"/>
      <c r="E21" s="211"/>
      <c r="F21" s="211" t="s">
        <v>1185</v>
      </c>
      <c r="G21" s="211">
        <v>838.92650000000003</v>
      </c>
      <c r="H21" s="211">
        <v>651.57069999999999</v>
      </c>
      <c r="I21" s="211">
        <v>699.14800000000002</v>
      </c>
      <c r="J21" s="211">
        <v>906.19819999999993</v>
      </c>
      <c r="K21" s="211">
        <v>1096.9347</v>
      </c>
      <c r="L21" s="211">
        <v>1108.0926000000002</v>
      </c>
      <c r="M21" s="211">
        <v>1455.4108000000001</v>
      </c>
      <c r="N21" s="211">
        <v>1556.8763000000001</v>
      </c>
      <c r="O21" s="211">
        <v>1504.9</v>
      </c>
      <c r="P21" s="211">
        <v>1038.8</v>
      </c>
      <c r="Q21" s="211">
        <v>1194.7</v>
      </c>
      <c r="R21" s="211">
        <v>1257.3</v>
      </c>
      <c r="S21" s="211">
        <v>1359.7</v>
      </c>
      <c r="T21" s="211">
        <v>943.4</v>
      </c>
      <c r="U21" s="211">
        <v>977.3</v>
      </c>
      <c r="V21" s="94">
        <f>Trade!V5</f>
        <v>890.6</v>
      </c>
      <c r="W21" s="94">
        <f>Trade!W5</f>
        <v>898.7</v>
      </c>
      <c r="X21" s="94">
        <f>Trade!X5</f>
        <v>1198</v>
      </c>
      <c r="Y21" s="94">
        <f>Trade!Y5</f>
        <v>1073.3</v>
      </c>
      <c r="Z21" s="94">
        <f>Trade!Z5</f>
        <v>1174.4000000000001</v>
      </c>
      <c r="AA21" s="94">
        <f>Trade!AA5</f>
        <v>1406.9</v>
      </c>
      <c r="AB21" s="94">
        <f>Trade!AB5</f>
        <v>2149.6</v>
      </c>
      <c r="AC21" s="94">
        <f>Trade!AC5</f>
        <v>2142</v>
      </c>
      <c r="AD21" s="94">
        <f>Trade!AD5</f>
        <v>1861.4780000000001</v>
      </c>
      <c r="AE21" s="646">
        <f>Trade!AE5</f>
        <v>1947.5</v>
      </c>
      <c r="AF21" s="646">
        <f>Trade!AF5</f>
        <v>2487.9</v>
      </c>
      <c r="AG21" s="94">
        <f>Trade!AG5</f>
        <v>2672.7851308695854</v>
      </c>
      <c r="AH21" s="94">
        <f>Trade!AH5</f>
        <v>2840.4586402822802</v>
      </c>
      <c r="AI21" s="94">
        <f>Trade!AI5</f>
        <v>2973.4668221584402</v>
      </c>
      <c r="AJ21" s="94">
        <f>Trade!AJ5</f>
        <v>3140.6395578060606</v>
      </c>
      <c r="AK21" s="94">
        <f>Trade!AK5</f>
        <v>3298.4752801084705</v>
      </c>
      <c r="AL21" s="94">
        <f>Trade!AL5</f>
        <v>3051.7187217447872</v>
      </c>
      <c r="AM21" s="94">
        <f>Trade!AM5</f>
        <v>3206.4233036194364</v>
      </c>
      <c r="AN21" s="94">
        <f>Trade!AN5</f>
        <v>3486.8409223060944</v>
      </c>
      <c r="AO21" s="94">
        <f>Trade!AO5</f>
        <v>3794.5847221810568</v>
      </c>
      <c r="AP21" s="94">
        <f>Trade!AP5</f>
        <v>4161.3641181863914</v>
      </c>
    </row>
    <row r="22" spans="2:42" ht="15.75">
      <c r="B22" s="7" t="s">
        <v>440</v>
      </c>
      <c r="C22" s="211" t="s">
        <v>441</v>
      </c>
      <c r="D22" s="211"/>
      <c r="E22" s="211"/>
      <c r="F22" s="211" t="s">
        <v>1185</v>
      </c>
      <c r="G22" s="211">
        <v>57</v>
      </c>
      <c r="H22" s="211">
        <v>69.599999999999994</v>
      </c>
      <c r="I22" s="211">
        <v>104.878</v>
      </c>
      <c r="J22" s="211">
        <v>121.533</v>
      </c>
      <c r="K22" s="211">
        <v>212.52600000000001</v>
      </c>
      <c r="L22" s="211">
        <v>251.51900000000001</v>
      </c>
      <c r="M22" s="211">
        <v>240.8</v>
      </c>
      <c r="N22" s="211">
        <v>592.07799999999997</v>
      </c>
      <c r="O22" s="211">
        <v>455.524</v>
      </c>
      <c r="P22" s="211">
        <v>291.30099999999999</v>
      </c>
      <c r="Q22" s="211">
        <v>528.125</v>
      </c>
      <c r="R22" s="211">
        <v>670.8</v>
      </c>
      <c r="S22" s="211">
        <v>890.3</v>
      </c>
      <c r="T22" s="211">
        <v>1063.9000000000001</v>
      </c>
      <c r="U22" s="211">
        <v>896.8</v>
      </c>
      <c r="V22" s="94">
        <f>Trade!V42</f>
        <v>462.54</v>
      </c>
      <c r="W22" s="94">
        <f>Trade!W42</f>
        <v>374.1</v>
      </c>
      <c r="X22" s="94">
        <f>Trade!X42</f>
        <v>374.18</v>
      </c>
      <c r="Y22" s="94">
        <f>Trade!Y42</f>
        <v>457.8</v>
      </c>
      <c r="Z22" s="94">
        <f>Trade!Z42</f>
        <v>487.8</v>
      </c>
      <c r="AA22" s="94">
        <f>Trade!AA42</f>
        <v>410</v>
      </c>
      <c r="AB22" s="94">
        <f>Trade!AB42</f>
        <v>531.6</v>
      </c>
      <c r="AC22" s="94">
        <f>Trade!AC42</f>
        <v>685.32399999999996</v>
      </c>
      <c r="AD22" s="94">
        <f>Trade!AD42</f>
        <v>748.28099999999995</v>
      </c>
      <c r="AE22" s="646">
        <f>Trade!AE42</f>
        <v>970.65099999999995</v>
      </c>
      <c r="AF22" s="646">
        <f>Trade!AF42</f>
        <v>514.63900000000001</v>
      </c>
      <c r="AG22" s="94">
        <f>Trade!AG42</f>
        <v>547.24015677951763</v>
      </c>
      <c r="AH22" s="94">
        <f>Trade!AH42</f>
        <v>816.30109052880687</v>
      </c>
      <c r="AI22" s="94">
        <f>Trade!AI42</f>
        <v>1087.4658719318211</v>
      </c>
      <c r="AJ22" s="94">
        <f>Trade!AJ42</f>
        <v>1448.0699412189224</v>
      </c>
      <c r="AK22" s="94">
        <f>Trade!AK42</f>
        <v>1927.4629854626482</v>
      </c>
      <c r="AL22" s="94">
        <f>Trade!AL42</f>
        <v>2527.8860214922647</v>
      </c>
      <c r="AM22" s="94">
        <f>Trade!AM42</f>
        <v>3314.9749349800845</v>
      </c>
      <c r="AN22" s="94">
        <f>Trade!AN42</f>
        <v>4346.7108683736924</v>
      </c>
      <c r="AO22" s="94">
        <f>Trade!AO42</f>
        <v>5699.0775764172513</v>
      </c>
      <c r="AP22" s="94">
        <f>Trade!AP42</f>
        <v>7471.6500719205433</v>
      </c>
    </row>
    <row r="23" spans="2:42" ht="15.75">
      <c r="B23" s="7" t="s">
        <v>442</v>
      </c>
      <c r="C23" s="211" t="s">
        <v>443</v>
      </c>
      <c r="D23" s="211"/>
      <c r="E23" s="211"/>
      <c r="F23" s="211" t="s">
        <v>1185</v>
      </c>
      <c r="G23" s="211">
        <v>920.47500000000002</v>
      </c>
      <c r="H23" s="211">
        <v>765.6807</v>
      </c>
      <c r="I23" s="211">
        <v>822.9011999999999</v>
      </c>
      <c r="J23" s="211">
        <v>1025.7317</v>
      </c>
      <c r="K23" s="211">
        <v>1232.4333000000001</v>
      </c>
      <c r="L23" s="211">
        <v>1430.9259</v>
      </c>
      <c r="M23" s="211">
        <v>2129.9753999999998</v>
      </c>
      <c r="N23" s="211">
        <v>3115.0055000000002</v>
      </c>
      <c r="O23" s="211">
        <v>3629</v>
      </c>
      <c r="P23" s="211">
        <v>2771.2</v>
      </c>
      <c r="Q23" s="211">
        <v>2656.9</v>
      </c>
      <c r="R23" s="211">
        <v>3206</v>
      </c>
      <c r="S23" s="211">
        <v>3778.4</v>
      </c>
      <c r="T23" s="211">
        <v>4045.4</v>
      </c>
      <c r="U23" s="211">
        <v>4297.3999999999996</v>
      </c>
      <c r="V23" s="93">
        <f>Trade!V43</f>
        <v>3435.6</v>
      </c>
      <c r="W23" s="93">
        <f>Trade!W43</f>
        <v>3031.2</v>
      </c>
      <c r="X23" s="93">
        <f>Trade!X43</f>
        <v>2774.9</v>
      </c>
      <c r="Y23" s="93">
        <f>Trade!Y43</f>
        <v>3151</v>
      </c>
      <c r="Z23" s="93">
        <f>Trade!Z43</f>
        <v>3349.3</v>
      </c>
      <c r="AA23" s="93">
        <f>Trade!AA43</f>
        <v>3150</v>
      </c>
      <c r="AB23" s="93">
        <f>Trade!AB43</f>
        <v>4209.5</v>
      </c>
      <c r="AC23" s="93">
        <f>Trade!AC43</f>
        <v>5167.5</v>
      </c>
      <c r="AD23" s="93">
        <f>Trade!AD43</f>
        <v>5880.1</v>
      </c>
      <c r="AE23" s="733">
        <f>Trade!AE43</f>
        <v>7007.6</v>
      </c>
      <c r="AF23" s="733">
        <f>Trade!AF43</f>
        <v>8305.2000000000007</v>
      </c>
      <c r="AG23" s="93">
        <f>Trade!AG43</f>
        <v>8349.0359625222663</v>
      </c>
      <c r="AH23" s="93">
        <f>Trade!AH43</f>
        <v>8360.0847918253094</v>
      </c>
      <c r="AI23" s="93">
        <f>Trade!AI43</f>
        <v>8363.0526514601843</v>
      </c>
      <c r="AJ23" s="93">
        <f>Trade!AJ43</f>
        <v>8523.8791265756172</v>
      </c>
      <c r="AK23" s="93">
        <f>Trade!AK43</f>
        <v>8680.9080435574015</v>
      </c>
      <c r="AL23" s="93">
        <f>Trade!AL43</f>
        <v>8924.4478678583273</v>
      </c>
      <c r="AM23" s="93">
        <f>Trade!AM43</f>
        <v>9094.0526202244091</v>
      </c>
      <c r="AN23" s="93">
        <f>Trade!AN43</f>
        <v>8353.5516570309264</v>
      </c>
      <c r="AO23" s="93">
        <f>Trade!AO43</f>
        <v>7584.1718351028503</v>
      </c>
      <c r="AP23" s="93">
        <f>Trade!AP43</f>
        <v>9403.3083700360949</v>
      </c>
    </row>
    <row r="24" spans="2:42" ht="15.75">
      <c r="B24" s="7" t="s">
        <v>716</v>
      </c>
      <c r="C24" s="211" t="s">
        <v>717</v>
      </c>
      <c r="D24" s="211"/>
      <c r="E24" s="211"/>
      <c r="F24" s="211" t="s">
        <v>1186</v>
      </c>
      <c r="G24" s="211">
        <v>922.55555103560766</v>
      </c>
      <c r="H24" s="211">
        <v>1086.8938608530323</v>
      </c>
      <c r="I24" s="211">
        <v>1219.5022251945015</v>
      </c>
      <c r="J24" s="211">
        <v>1555.1817617663389</v>
      </c>
      <c r="K24" s="211">
        <v>2075.8692652058298</v>
      </c>
      <c r="L24" s="211">
        <v>2312.3275364178912</v>
      </c>
      <c r="M24" s="211">
        <v>2830.2510308028136</v>
      </c>
      <c r="N24" s="211">
        <v>3719.4771241830063</v>
      </c>
      <c r="O24" s="211">
        <v>5162.3615160349855</v>
      </c>
      <c r="P24" s="211">
        <v>4982.8502415458943</v>
      </c>
      <c r="Q24" s="211">
        <v>5640.3424657534251</v>
      </c>
      <c r="R24" s="211">
        <v>6523.5812217979856</v>
      </c>
      <c r="S24" s="211">
        <v>7592.9829718437022</v>
      </c>
      <c r="T24" s="211">
        <v>8506.1920154485542</v>
      </c>
      <c r="U24" s="211">
        <v>9241.6462339662412</v>
      </c>
      <c r="V24" s="94">
        <f>GDP!V2/Assumptions!V12</f>
        <v>8269.5109092383791</v>
      </c>
      <c r="W24" s="94">
        <f>GDP!W2/Assumptions!W12</f>
        <v>6992.4830261881661</v>
      </c>
      <c r="X24" s="94">
        <f>GDP!X2/Assumptions!X12</f>
        <v>7536.439875083337</v>
      </c>
      <c r="Y24" s="94">
        <f>GDP!Y2/Assumptions!Y12</f>
        <v>7765.0144243377918</v>
      </c>
      <c r="Z24" s="94">
        <f>GDP!Z2/Assumptions!Z12</f>
        <v>8301.0461590119721</v>
      </c>
      <c r="AA24" s="94">
        <f>GDP!AA2/Assumptions!AA12</f>
        <v>8133.9966479039722</v>
      </c>
      <c r="AB24" s="94">
        <f>GDP!AB2/Assumptions!AB12</f>
        <v>8937.7658304521228</v>
      </c>
      <c r="AC24" s="94">
        <f>GDP!AC2/Assumptions!AC12</f>
        <v>10718.650800848918</v>
      </c>
      <c r="AD24" s="94">
        <f>GDP!AD2/Assumptions!AD12</f>
        <v>12244.169855687216</v>
      </c>
      <c r="AE24" s="646">
        <f>GDP!AE2/Assumptions!AE12</f>
        <v>14426.305261793193</v>
      </c>
      <c r="AF24" s="646">
        <f>GDP!AF2/Assumptions!AF12</f>
        <v>17619.834875359778</v>
      </c>
      <c r="AG24" s="94">
        <f>GDP!AG2/Assumptions!AG12</f>
        <v>21783.279021905986</v>
      </c>
      <c r="AH24" s="94">
        <f>GDP!AH2/Assumptions!AH12</f>
        <v>23949.079411319173</v>
      </c>
      <c r="AI24" s="94">
        <f>GDP!AI2/Assumptions!AI12</f>
        <v>26270.021014325779</v>
      </c>
      <c r="AJ24" s="94">
        <f>GDP!AJ2/Assumptions!AJ12</f>
        <v>29440.961244879978</v>
      </c>
      <c r="AK24" s="94">
        <f>GDP!AK2/Assumptions!AK12</f>
        <v>32552.502652132865</v>
      </c>
      <c r="AL24" s="94">
        <f>GDP!AL2/Assumptions!AL12</f>
        <v>35765.967075118868</v>
      </c>
      <c r="AM24" s="94">
        <f>GDP!AM2/Assumptions!AM12</f>
        <v>39565.086589160564</v>
      </c>
      <c r="AN24" s="94">
        <f>GDP!AN2/Assumptions!AN12</f>
        <v>44526.52524821565</v>
      </c>
      <c r="AO24" s="94">
        <f>GDP!AO2/Assumptions!AO12</f>
        <v>49428.181914494991</v>
      </c>
      <c r="AP24" s="94">
        <f>GDP!AP2/Assumptions!AP12</f>
        <v>55001.557783297685</v>
      </c>
    </row>
    <row r="26" spans="2:42">
      <c r="B26" s="209" t="s">
        <v>718</v>
      </c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</row>
    <row r="27" spans="2:42" ht="15.75">
      <c r="B27" s="7" t="s">
        <v>719</v>
      </c>
      <c r="C27" t="s">
        <v>720</v>
      </c>
      <c r="G27">
        <v>36.483599999999996</v>
      </c>
      <c r="H27">
        <v>93.028399999999991</v>
      </c>
      <c r="I27">
        <v>201.71960000000001</v>
      </c>
      <c r="J27">
        <v>285.10849999999999</v>
      </c>
      <c r="K27">
        <v>348.41059999999999</v>
      </c>
      <c r="L27">
        <v>599.91049999999996</v>
      </c>
      <c r="M27">
        <v>1202.3678</v>
      </c>
      <c r="N27">
        <v>1794.3315</v>
      </c>
      <c r="O27">
        <v>2705.1605</v>
      </c>
      <c r="P27">
        <v>1861.7883999999999</v>
      </c>
      <c r="Q27">
        <v>2420.6999999999998</v>
      </c>
      <c r="R27">
        <v>3147.8</v>
      </c>
      <c r="S27">
        <v>3715.2</v>
      </c>
      <c r="T27">
        <v>4304.7</v>
      </c>
      <c r="U27">
        <v>3919.1</v>
      </c>
      <c r="V27" s="94">
        <f>BoP!V39</f>
        <v>2659.49948650957</v>
      </c>
      <c r="W27" s="94">
        <f>BoP!W39</f>
        <v>2221.9401329704319</v>
      </c>
      <c r="X27" s="94">
        <f>BoP!X39</f>
        <v>2668.5224832144281</v>
      </c>
      <c r="Y27" s="94">
        <f>BoP!Y39</f>
        <v>2608.9606283393596</v>
      </c>
      <c r="Z27" s="94">
        <f>BoP!Z39</f>
        <v>2774.5276220133469</v>
      </c>
      <c r="AA27" s="94">
        <f>BoP!AA39</f>
        <v>2607.7272396216304</v>
      </c>
      <c r="AB27" s="94">
        <f>BoP!AB39</f>
        <v>2087.6129158005187</v>
      </c>
      <c r="AC27" s="94">
        <f>BoP!AC39</f>
        <v>3780.812819345389</v>
      </c>
      <c r="AD27" s="94">
        <f>BoP!AD39</f>
        <v>3312.7421768392533</v>
      </c>
      <c r="AE27" s="646">
        <f>BoP!AE39</f>
        <v>2114.0558412226997</v>
      </c>
      <c r="AF27" s="646">
        <f>BoP!AF39</f>
        <v>1612.5238205041392</v>
      </c>
      <c r="AG27" s="94">
        <f>BoP!AG39</f>
        <v>1558.7864821355975</v>
      </c>
      <c r="AH27" s="94">
        <f>BoP!AH39</f>
        <v>1442.8662219816324</v>
      </c>
      <c r="AI27" s="94">
        <f>BoP!AI39</f>
        <v>1323.8574986414417</v>
      </c>
      <c r="AJ27" s="94">
        <f>BoP!AJ39</f>
        <v>1371.1088626842488</v>
      </c>
      <c r="AK27" s="94">
        <f>BoP!AK39</f>
        <v>1417.4751026882989</v>
      </c>
      <c r="AL27" s="94">
        <f>BoP!AL39</f>
        <v>1465.3601355962144</v>
      </c>
      <c r="AM27" s="94">
        <f>BoP!AM39</f>
        <v>1521.9722336327457</v>
      </c>
      <c r="AN27" s="94">
        <f>BoP!AN39</f>
        <v>1595.9044831264848</v>
      </c>
      <c r="AO27" s="94">
        <f>BoP!AO39</f>
        <v>1668.9458988300971</v>
      </c>
      <c r="AP27" s="94">
        <f>BoP!AP39</f>
        <v>1751.9968531138254</v>
      </c>
    </row>
    <row r="29" spans="2:42">
      <c r="AA29">
        <f t="shared" ref="AA29:AD29" si="0">AA30/AA3*100</f>
        <v>11.659955001470967</v>
      </c>
      <c r="AB29">
        <f t="shared" si="0"/>
        <v>10.848537194179048</v>
      </c>
      <c r="AC29">
        <f t="shared" si="0"/>
        <v>0</v>
      </c>
      <c r="AD29">
        <f t="shared" si="0"/>
        <v>14.302551778518005</v>
      </c>
      <c r="AE29">
        <f>AE30/AE3*100</f>
        <v>15.764016692353961</v>
      </c>
      <c r="AF29">
        <f>AF30/AF3*100</f>
        <v>17.90625201363336</v>
      </c>
      <c r="AG29">
        <f t="shared" ref="AG29:AK29" si="1">AG30/AG3*100</f>
        <v>20.443729750582424</v>
      </c>
      <c r="AH29">
        <f t="shared" si="1"/>
        <v>23.382689561622943</v>
      </c>
      <c r="AI29">
        <f t="shared" si="1"/>
        <v>26.709892713011619</v>
      </c>
      <c r="AJ29">
        <f t="shared" si="1"/>
        <v>30.15169797868429</v>
      </c>
      <c r="AK29">
        <f t="shared" si="1"/>
        <v>34.715757223003926</v>
      </c>
    </row>
    <row r="30" spans="2:42">
      <c r="C30" s="149" t="s">
        <v>1193</v>
      </c>
      <c r="AA30">
        <v>9789.5</v>
      </c>
      <c r="AB30">
        <v>10965.3</v>
      </c>
      <c r="AD30">
        <v>18991.2</v>
      </c>
      <c r="AE30">
        <v>24557.8</v>
      </c>
      <c r="AF30">
        <f>AE30*1.29</f>
        <v>31679.562000000002</v>
      </c>
      <c r="AG30">
        <f t="shared" ref="AG30:AK30" si="2">AF30*1.29</f>
        <v>40866.634980000003</v>
      </c>
      <c r="AH30">
        <f t="shared" si="2"/>
        <v>52717.959124200002</v>
      </c>
      <c r="AI30">
        <f t="shared" si="2"/>
        <v>68006.167270218008</v>
      </c>
      <c r="AJ30">
        <f t="shared" si="2"/>
        <v>87727.955778581236</v>
      </c>
      <c r="AK30">
        <f t="shared" si="2"/>
        <v>113169.0629543698</v>
      </c>
    </row>
    <row r="31" spans="2:42">
      <c r="AB31">
        <f>AB30/AA30</f>
        <v>1.1201082792788191</v>
      </c>
      <c r="AE31">
        <f>AE30/AD30</f>
        <v>1.2931147057584564</v>
      </c>
    </row>
    <row r="34" spans="2:39">
      <c r="B34" s="1263" t="s">
        <v>1197</v>
      </c>
      <c r="C34" s="163" t="s">
        <v>548</v>
      </c>
      <c r="AG34" s="85">
        <v>20333.121330451726</v>
      </c>
      <c r="AH34" s="85">
        <v>21027.089786494344</v>
      </c>
      <c r="AI34" s="85">
        <v>23320.390224305851</v>
      </c>
      <c r="AJ34" s="85">
        <v>24592.189640801458</v>
      </c>
      <c r="AK34" s="85">
        <v>25020.708977323473</v>
      </c>
      <c r="AL34" s="85">
        <v>24832.763625017084</v>
      </c>
      <c r="AM34" s="85">
        <v>25342.99144755895</v>
      </c>
    </row>
    <row r="35" spans="2:39">
      <c r="C35" t="s">
        <v>1199</v>
      </c>
      <c r="AG35" s="85">
        <v>18610.317492499998</v>
      </c>
      <c r="AH35" s="85">
        <v>20494.298679300002</v>
      </c>
      <c r="AI35" s="85">
        <v>21611.492778</v>
      </c>
      <c r="AJ35" s="85">
        <v>21722.856097599997</v>
      </c>
      <c r="AK35" s="85">
        <v>21977.797952000001</v>
      </c>
      <c r="AL35" s="85">
        <v>22429.217100000002</v>
      </c>
      <c r="AM35" s="85">
        <v>23764.345399999998</v>
      </c>
    </row>
    <row r="36" spans="2:39">
      <c r="AG36" s="85">
        <f>AG34-AG35</f>
        <v>1722.8038379517275</v>
      </c>
      <c r="AH36" s="85">
        <f t="shared" ref="AH36:AI36" si="3">AH34-AH35</f>
        <v>532.79110719434175</v>
      </c>
      <c r="AI36" s="85">
        <f t="shared" si="3"/>
        <v>1708.8974463058512</v>
      </c>
      <c r="AJ36" s="85">
        <f>AJ34-AJ35</f>
        <v>2869.333543201461</v>
      </c>
      <c r="AK36" s="85">
        <f>AK34-AK35</f>
        <v>3042.9110253234721</v>
      </c>
      <c r="AL36" s="85">
        <f>AL34-AL35</f>
        <v>2403.5465250170819</v>
      </c>
      <c r="AM36" s="85">
        <f>AM34-AM35</f>
        <v>1578.646047558952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37F8-6DA1-4BAB-95F8-6B4FC40C64BD}">
  <dimension ref="A1:AG50"/>
  <sheetViews>
    <sheetView workbookViewId="0">
      <pane xSplit="8" ySplit="2" topLeftCell="R21" activePane="bottomRight" state="frozen"/>
      <selection pane="topRight" activeCell="I1" sqref="I1"/>
      <selection pane="bottomLeft" activeCell="A3" sqref="A3"/>
      <selection pane="bottomRight" activeCell="S33" sqref="S33"/>
    </sheetView>
  </sheetViews>
  <sheetFormatPr defaultRowHeight="15"/>
  <cols>
    <col min="1" max="1" width="26.140625" customWidth="1"/>
    <col min="2" max="2" width="9.5703125" customWidth="1"/>
    <col min="3" max="3" width="7.85546875" customWidth="1"/>
    <col min="4" max="4" width="8.5703125" customWidth="1"/>
    <col min="5" max="5" width="8.28515625" customWidth="1"/>
    <col min="6" max="6" width="7.85546875" style="46" customWidth="1"/>
    <col min="7" max="7" width="9.7109375" customWidth="1"/>
    <col min="8" max="8" width="10.5703125" style="575" customWidth="1"/>
    <col min="9" max="9" width="9.42578125" style="46" bestFit="1" customWidth="1"/>
    <col min="14" max="14" width="9.5703125" bestFit="1" customWidth="1"/>
    <col min="19" max="22" width="12.5703125" bestFit="1" customWidth="1"/>
  </cols>
  <sheetData>
    <row r="1" spans="1:33" ht="18.75">
      <c r="A1" s="1338" t="s">
        <v>1066</v>
      </c>
      <c r="B1" s="1338"/>
      <c r="C1" s="1338"/>
      <c r="D1" s="1338"/>
      <c r="E1" s="1338"/>
      <c r="F1" s="1338"/>
      <c r="G1" s="1338"/>
      <c r="H1" s="1338"/>
      <c r="I1" s="1338"/>
      <c r="J1" s="1338"/>
    </row>
    <row r="2" spans="1:33" s="149" customFormat="1" ht="20.25" customHeight="1">
      <c r="A2" s="555"/>
      <c r="B2" s="556">
        <v>2013</v>
      </c>
      <c r="C2" s="556">
        <v>2014</v>
      </c>
      <c r="D2" s="556">
        <v>2015</v>
      </c>
      <c r="E2" s="556">
        <v>2016</v>
      </c>
      <c r="F2" s="556">
        <v>2017</v>
      </c>
      <c r="G2" s="556">
        <v>2018</v>
      </c>
      <c r="H2" s="556">
        <v>2019</v>
      </c>
      <c r="I2" s="556">
        <v>2020</v>
      </c>
      <c r="J2" s="556">
        <v>2021</v>
      </c>
      <c r="K2" s="556">
        <v>2022</v>
      </c>
      <c r="L2" s="556">
        <v>2023</v>
      </c>
      <c r="M2" s="556">
        <v>2024</v>
      </c>
      <c r="N2" s="556">
        <v>2025</v>
      </c>
      <c r="O2" s="556">
        <v>2026</v>
      </c>
      <c r="P2" s="556">
        <v>2027</v>
      </c>
      <c r="Q2" s="556">
        <v>2028</v>
      </c>
      <c r="R2" s="556">
        <v>2029</v>
      </c>
      <c r="S2" s="556">
        <v>2030</v>
      </c>
      <c r="T2" s="556">
        <v>2031</v>
      </c>
      <c r="U2" s="556">
        <v>2032</v>
      </c>
      <c r="V2" s="556">
        <v>2033</v>
      </c>
      <c r="W2" s="556">
        <v>2034</v>
      </c>
      <c r="X2" s="556">
        <v>2035</v>
      </c>
      <c r="Y2" s="556">
        <v>2036</v>
      </c>
      <c r="Z2" s="556">
        <v>2037</v>
      </c>
      <c r="AA2" s="556">
        <v>2038</v>
      </c>
      <c r="AB2" s="556">
        <v>2039</v>
      </c>
      <c r="AC2" s="556">
        <v>2040</v>
      </c>
      <c r="AD2" s="556">
        <v>2041</v>
      </c>
      <c r="AE2" s="556">
        <v>2042</v>
      </c>
      <c r="AF2" s="556">
        <v>2043</v>
      </c>
      <c r="AG2" s="556">
        <v>2044</v>
      </c>
    </row>
    <row r="3" spans="1:33" s="149" customFormat="1" ht="30">
      <c r="A3" s="557" t="s">
        <v>542</v>
      </c>
      <c r="B3" s="558">
        <f>GDP!T2</f>
        <v>40525.199999999997</v>
      </c>
      <c r="C3" s="558">
        <f>GDP!U2</f>
        <v>45606.6</v>
      </c>
      <c r="D3" s="558">
        <f>GDP!V2</f>
        <v>50977.399999999994</v>
      </c>
      <c r="E3" s="558">
        <f>GDP!W2</f>
        <v>54790.299999999996</v>
      </c>
      <c r="F3" s="558">
        <f>GDP!X2</f>
        <v>64434.3</v>
      </c>
      <c r="G3" s="558">
        <f>GDP!Y2</f>
        <v>71059.199999999997</v>
      </c>
      <c r="H3" s="558">
        <f>GDP!Z2</f>
        <v>79109.799999999988</v>
      </c>
      <c r="I3" s="558">
        <f>GDP!AA2</f>
        <v>83958.3</v>
      </c>
      <c r="J3" s="558">
        <f>GDP!AB2</f>
        <v>101076.30000000002</v>
      </c>
      <c r="K3" s="558">
        <f>GDP!AC2</f>
        <v>118181.70000000001</v>
      </c>
      <c r="L3" s="558">
        <f>GDP!AD2</f>
        <v>132781.90000000002</v>
      </c>
      <c r="M3" s="558">
        <f>GDP!AE2</f>
        <v>155783.9</v>
      </c>
      <c r="N3" s="558">
        <f>GDP!AF2</f>
        <v>176919</v>
      </c>
      <c r="O3" s="558">
        <f>GDP!AG2</f>
        <v>199898.1373681862</v>
      </c>
      <c r="P3" s="558">
        <f>GDP!AH2</f>
        <v>225457.20835606457</v>
      </c>
      <c r="Q3" s="558">
        <f>GDP!AI2</f>
        <v>254610.40971193821</v>
      </c>
      <c r="R3" s="558">
        <f>GDP!AJ2</f>
        <v>290955.27502497676</v>
      </c>
      <c r="S3" s="558">
        <f>GDP!AK2</f>
        <v>325987.59758401546</v>
      </c>
      <c r="T3" s="558">
        <f>GDP!AL2</f>
        <v>368330.80468772119</v>
      </c>
      <c r="U3" s="558">
        <f>GDP!AM2</f>
        <v>413970.29228411877</v>
      </c>
      <c r="V3" s="558">
        <f>GDP!AN2</f>
        <v>460417.1837588718</v>
      </c>
      <c r="W3" s="558">
        <f>GDP!AO2</f>
        <v>511101.7351686334</v>
      </c>
      <c r="X3" s="558">
        <f>GDP!AP2</f>
        <v>568732.0579310552</v>
      </c>
    </row>
    <row r="4" spans="1:33" s="149" customFormat="1">
      <c r="A4" s="557" t="s">
        <v>543</v>
      </c>
      <c r="B4" s="558">
        <f>GDP!T3</f>
        <v>107.4</v>
      </c>
      <c r="C4" s="558">
        <f>GDP!U3</f>
        <v>106.7</v>
      </c>
      <c r="D4" s="558">
        <f>GDP!V3</f>
        <v>106</v>
      </c>
      <c r="E4" s="558">
        <f>GDP!W3</f>
        <v>106.89999999999999</v>
      </c>
      <c r="F4" s="558">
        <f>GDP!X3</f>
        <v>107.1</v>
      </c>
      <c r="G4" s="558">
        <f>GDP!Y3</f>
        <v>106.95738760256572</v>
      </c>
      <c r="H4" s="558">
        <f>GDP!Z3</f>
        <v>107.4424302553364</v>
      </c>
      <c r="I4" s="558">
        <f>GDP!AA3</f>
        <v>104.63389377801489</v>
      </c>
      <c r="J4" s="558">
        <f>GDP!AB3</f>
        <v>110.98124580893132</v>
      </c>
      <c r="K4" s="558">
        <f>GDP!AC3</f>
        <v>108.03592118033602</v>
      </c>
      <c r="L4" s="558">
        <f>GDP!AD3</f>
        <v>108.31976837361451</v>
      </c>
      <c r="M4" s="558">
        <f>GDP!AE3</f>
        <v>108.4291832644482</v>
      </c>
      <c r="N4" s="558">
        <f>GDP!AF3</f>
        <v>108.43562605134716</v>
      </c>
      <c r="O4" s="558">
        <f>GDP!AG3</f>
        <v>108.49433156989561</v>
      </c>
      <c r="P4" s="558">
        <f>GDP!AH3</f>
        <v>108.43204362986133</v>
      </c>
      <c r="Q4" s="558">
        <f>GDP!AI3</f>
        <v>108.5884711213525</v>
      </c>
      <c r="R4" s="558">
        <f>GDP!AJ3</f>
        <v>108.78200675581428</v>
      </c>
      <c r="S4" s="558">
        <f>GDP!AK3</f>
        <v>108.04843594512415</v>
      </c>
      <c r="T4" s="558">
        <f>GDP!AL3</f>
        <v>108.54825631851573</v>
      </c>
      <c r="U4" s="558">
        <f>GDP!AM3</f>
        <v>108.06837462699862</v>
      </c>
      <c r="V4" s="558">
        <f>GDP!AN3</f>
        <v>108.10104640261854</v>
      </c>
      <c r="W4" s="558">
        <f>GDP!AO3</f>
        <v>108.24890917885453</v>
      </c>
      <c r="X4" s="558">
        <f>GDP!AP3</f>
        <v>108.60848412660823</v>
      </c>
    </row>
    <row r="5" spans="1:33" s="149" customFormat="1">
      <c r="A5" s="557" t="s">
        <v>544</v>
      </c>
      <c r="B5" s="558">
        <f>GDP!T4</f>
        <v>104.34105730386703</v>
      </c>
      <c r="C5" s="558">
        <f>GDP!U4</f>
        <v>105.47222559175718</v>
      </c>
      <c r="D5" s="558">
        <f>GDP!V4</f>
        <v>105.44940160514669</v>
      </c>
      <c r="E5" s="558">
        <f>GDP!W4</f>
        <v>100.54217866635985</v>
      </c>
      <c r="F5" s="558">
        <f>GDP!X4</f>
        <v>109.80546757006118</v>
      </c>
      <c r="G5" s="558">
        <f>GDP!Y4</f>
        <v>103.10801169007861</v>
      </c>
      <c r="H5" s="558">
        <f>GDP!Z4</f>
        <v>103.61774809722768</v>
      </c>
      <c r="I5" s="558">
        <f>GDP!AA4</f>
        <v>101.42872414598965</v>
      </c>
      <c r="J5" s="558">
        <f>GDP!AB4</f>
        <v>108.47660979185154</v>
      </c>
      <c r="K5" s="558">
        <f>GDP!AC4</f>
        <v>108.22627671327531</v>
      </c>
      <c r="L5" s="558">
        <f>GDP!AD4</f>
        <v>103.72439807211711</v>
      </c>
      <c r="M5" s="558">
        <f>GDP!AE4</f>
        <v>108.20255272739531</v>
      </c>
      <c r="N5" s="558">
        <f>GDP!AF4</f>
        <v>106.43212434365169</v>
      </c>
      <c r="O5" s="558">
        <f>GDP!AG4</f>
        <v>104.1423139284166</v>
      </c>
      <c r="P5" s="558">
        <f>GDP!AH4</f>
        <v>104.11542184451834</v>
      </c>
      <c r="Q5" s="558">
        <f>GDP!AI4</f>
        <v>103.99879613927943</v>
      </c>
      <c r="R5" s="558">
        <f>GDP!AJ4</f>
        <v>105.14926386330478</v>
      </c>
      <c r="S5" s="558">
        <f>GDP!AK4</f>
        <v>103.99465173946309</v>
      </c>
      <c r="T5" s="558">
        <f>GDP!AL4</f>
        <v>104.0912234170238</v>
      </c>
      <c r="U5" s="558">
        <f>GDP!AM4</f>
        <v>103.99980249987213</v>
      </c>
      <c r="V5" s="558">
        <f>GDP!AN4</f>
        <v>102.88509198118591</v>
      </c>
      <c r="W5" s="558">
        <f>GDP!AO4</f>
        <v>102.54920611630706</v>
      </c>
      <c r="X5" s="558">
        <f>GDP!AP4</f>
        <v>102.45581242644181</v>
      </c>
    </row>
    <row r="6" spans="1:33" s="149" customFormat="1" ht="30">
      <c r="A6" s="557" t="s">
        <v>1067</v>
      </c>
      <c r="B6" s="560">
        <f>Agriculture!T2</f>
        <v>16756.599999999999</v>
      </c>
      <c r="C6" s="560">
        <f>Agriculture!U2</f>
        <v>21021.9</v>
      </c>
      <c r="D6" s="560">
        <f>Agriculture!V2</f>
        <v>21577.8</v>
      </c>
      <c r="E6" s="560">
        <f>Agriculture!W2</f>
        <v>22907.671731113471</v>
      </c>
      <c r="F6" s="560">
        <f>Agriculture!X2</f>
        <v>24576</v>
      </c>
      <c r="G6" s="560">
        <f>Agriculture!Y2</f>
        <v>45645.8</v>
      </c>
      <c r="H6" s="560">
        <f>Agriculture!Z2</f>
        <v>48889.8</v>
      </c>
      <c r="I6" s="560">
        <f>Agriculture!AA2</f>
        <v>53235.199999999997</v>
      </c>
      <c r="J6" s="560">
        <f>Agriculture!AB2</f>
        <v>56806.7</v>
      </c>
      <c r="K6" s="560">
        <f>Agriculture!AC2</f>
        <v>61337.9</v>
      </c>
      <c r="L6" s="560">
        <f>Agriculture!AD2</f>
        <v>66907.199999999997</v>
      </c>
      <c r="M6" s="560">
        <f>Agriculture!AE2</f>
        <v>73976.600000000006</v>
      </c>
      <c r="N6" s="560">
        <f>Agriculture!AF2</f>
        <v>84653.8</v>
      </c>
      <c r="O6" s="560">
        <f>Agriculture!AG2</f>
        <v>95155.364905574694</v>
      </c>
      <c r="P6" s="560">
        <f>Agriculture!AH2</f>
        <v>104591.33871634123</v>
      </c>
      <c r="Q6" s="560">
        <f>Agriculture!AI2</f>
        <v>114715.98328108198</v>
      </c>
      <c r="R6" s="560">
        <f>Agriculture!AJ2</f>
        <v>125434.66879246393</v>
      </c>
      <c r="S6" s="560">
        <f>Agriculture!AK2</f>
        <v>136949.66205418564</v>
      </c>
      <c r="T6" s="560">
        <f>Agriculture!AL2</f>
        <v>148095.74720289503</v>
      </c>
      <c r="U6" s="560">
        <f>Agriculture!AM2</f>
        <v>159589.22939203866</v>
      </c>
      <c r="V6" s="560">
        <f>Agriculture!AN2</f>
        <v>172013.1801808544</v>
      </c>
      <c r="W6" s="560">
        <f>Agriculture!AO2</f>
        <v>184982.76954834524</v>
      </c>
      <c r="X6" s="560">
        <f>Agriculture!AP2</f>
        <v>199395.93071211304</v>
      </c>
    </row>
    <row r="7" spans="1:33" s="149" customFormat="1" ht="30">
      <c r="A7" s="557" t="s">
        <v>1068</v>
      </c>
      <c r="B7" s="560">
        <f>Agriculture!T3</f>
        <v>107.6</v>
      </c>
      <c r="C7" s="560">
        <f>Agriculture!U3</f>
        <v>104.5</v>
      </c>
      <c r="D7" s="560">
        <f>Agriculture!V3</f>
        <v>103.2</v>
      </c>
      <c r="E7" s="560">
        <f>Agriculture!W3</f>
        <v>105.2</v>
      </c>
      <c r="F7" s="560">
        <f>Agriculture!X3</f>
        <v>106.8</v>
      </c>
      <c r="G7" s="560">
        <f>Agriculture!Y3</f>
        <v>104</v>
      </c>
      <c r="H7" s="560">
        <f>Agriculture!Z3</f>
        <v>107.1</v>
      </c>
      <c r="I7" s="560">
        <f>Agriculture!AA3</f>
        <v>108.8</v>
      </c>
      <c r="J7" s="560">
        <f>Agriculture!AB3</f>
        <v>106.6</v>
      </c>
      <c r="K7" s="560">
        <f>Agriculture!AC3</f>
        <v>108</v>
      </c>
      <c r="L7" s="560">
        <f>Agriculture!AD3</f>
        <v>109</v>
      </c>
      <c r="M7" s="560">
        <f>Agriculture!AE3</f>
        <v>110.6</v>
      </c>
      <c r="N7" s="560">
        <f>Agriculture!AF3</f>
        <v>109.5</v>
      </c>
      <c r="O7" s="560">
        <f>Agriculture!AG3</f>
        <v>108.91987241566737</v>
      </c>
      <c r="P7" s="560">
        <f>Agriculture!AH3</f>
        <v>108.61303019155473</v>
      </c>
      <c r="Q7" s="560">
        <f>Agriculture!AI3</f>
        <v>108.27264962165613</v>
      </c>
      <c r="R7" s="560">
        <f>Agriculture!AJ3</f>
        <v>108.15397849978116</v>
      </c>
      <c r="S7" s="560">
        <f>Agriculture!AK3</f>
        <v>108.3135637717354</v>
      </c>
      <c r="T7" s="560">
        <f>Agriculture!AL3</f>
        <v>107.60081494935515</v>
      </c>
      <c r="U7" s="560">
        <f>Agriculture!AM3</f>
        <v>107.54575403019618</v>
      </c>
      <c r="V7" s="560">
        <f>Agriculture!AN3</f>
        <v>107.24871212600701</v>
      </c>
      <c r="W7" s="560">
        <f>Agriculture!AO3</f>
        <v>107.00485687696262</v>
      </c>
      <c r="X7" s="560">
        <f>Agriculture!AP3</f>
        <v>107.25534688487758</v>
      </c>
    </row>
    <row r="8" spans="1:33" s="149" customFormat="1">
      <c r="A8" s="557" t="s">
        <v>725</v>
      </c>
      <c r="B8" s="560">
        <f>Agriculture!T4</f>
        <v>94.510989695873448</v>
      </c>
      <c r="C8" s="560">
        <f>Agriculture!U4</f>
        <v>120.05210315758181</v>
      </c>
      <c r="D8" s="560">
        <f>Agriculture!V4</f>
        <v>99.461613508924287</v>
      </c>
      <c r="E8" s="560">
        <f>Agriculture!W4</f>
        <v>100.9155398445242</v>
      </c>
      <c r="F8" s="560">
        <f>Agriculture!X4</f>
        <v>100.45209406332661</v>
      </c>
      <c r="G8" s="560">
        <f>Agriculture!Y4</f>
        <v>178.5896496895032</v>
      </c>
      <c r="H8" s="560">
        <f>Agriculture!Z4</f>
        <v>100.00643979467624</v>
      </c>
      <c r="I8" s="560">
        <f>Agriculture!AA4</f>
        <v>100.08102255420533</v>
      </c>
      <c r="J8" s="560">
        <f>Agriculture!AB4</f>
        <v>100.10216406067089</v>
      </c>
      <c r="K8" s="560">
        <f>Agriculture!AC4</f>
        <v>99.978262866619346</v>
      </c>
      <c r="L8" s="560">
        <f>Agriculture!AD4</f>
        <v>100.07312329502312</v>
      </c>
      <c r="M8" s="560">
        <f>Agriculture!AE4</f>
        <v>99.969238654205071</v>
      </c>
      <c r="N8" s="560">
        <f>Agriculture!AF4</f>
        <v>104.50521704524682</v>
      </c>
      <c r="O8" s="560">
        <f>Agriculture!AG4</f>
        <v>103.2</v>
      </c>
      <c r="P8" s="560">
        <f>Agriculture!AH4</f>
        <v>101.2</v>
      </c>
      <c r="Q8" s="560">
        <f>Agriculture!AI4</f>
        <v>101.3</v>
      </c>
      <c r="R8" s="560">
        <f>Agriculture!AJ4</f>
        <v>101.1</v>
      </c>
      <c r="S8" s="560">
        <f>Agriculture!AK4</f>
        <v>100.8</v>
      </c>
      <c r="T8" s="560">
        <f>Agriculture!AL4</f>
        <v>100.5</v>
      </c>
      <c r="U8" s="560">
        <f>Agriculture!AM4</f>
        <v>100.2</v>
      </c>
      <c r="V8" s="560">
        <f>Agriculture!AN4</f>
        <v>100.5</v>
      </c>
      <c r="W8" s="560">
        <f>Agriculture!AO4</f>
        <v>100.5</v>
      </c>
      <c r="X8" s="560">
        <f>Agriculture!AP4</f>
        <v>100.5</v>
      </c>
    </row>
    <row r="9" spans="1:33" s="149" customFormat="1">
      <c r="A9" s="557" t="s">
        <v>1069</v>
      </c>
      <c r="B9" s="560">
        <f>Agriculture!T5</f>
        <v>11502.5</v>
      </c>
      <c r="C9" s="560">
        <f>Agriculture!U5</f>
        <v>14532.8</v>
      </c>
      <c r="D9" s="560">
        <f>Agriculture!V5</f>
        <v>14623.7</v>
      </c>
      <c r="E9" s="560">
        <f>Agriculture!W5</f>
        <v>15066.6</v>
      </c>
      <c r="F9" s="560">
        <f>Agriculture!X5</f>
        <v>16977.8</v>
      </c>
      <c r="G9" s="560">
        <f>Agriculture!Y5</f>
        <v>31669.599999999999</v>
      </c>
      <c r="H9" s="560">
        <f>Agriculture!Z5</f>
        <v>34124</v>
      </c>
      <c r="I9" s="560">
        <f>Agriculture!AA5</f>
        <v>36919.4</v>
      </c>
      <c r="J9" s="560">
        <f>Agriculture!AB5</f>
        <v>39115.599999999999</v>
      </c>
      <c r="K9" s="560">
        <f>Agriculture!AC5</f>
        <v>42115</v>
      </c>
      <c r="L9" s="560">
        <f>Agriculture!AD5</f>
        <v>44976.1</v>
      </c>
      <c r="M9" s="560">
        <f>Agriculture!AE5</f>
        <v>50984.9</v>
      </c>
      <c r="N9" s="560">
        <f>Agriculture!AF5</f>
        <v>56588</v>
      </c>
      <c r="O9" s="560">
        <f>Agriculture!AG5</f>
        <v>61242.178263449699</v>
      </c>
      <c r="P9" s="560">
        <f>Agriculture!AH5</f>
        <v>66836.043930076368</v>
      </c>
      <c r="Q9" s="560">
        <f>Agriculture!AI5</f>
        <v>72556.837504824551</v>
      </c>
      <c r="R9" s="560">
        <f>Agriculture!AJ5</f>
        <v>78788.347222391312</v>
      </c>
      <c r="S9" s="560">
        <f>Agriculture!AK5</f>
        <v>85058.319781999962</v>
      </c>
      <c r="T9" s="560">
        <f>Agriculture!AL5</f>
        <v>90393.17158246602</v>
      </c>
      <c r="U9" s="560">
        <f>Agriculture!AM5</f>
        <v>95752.602340394369</v>
      </c>
      <c r="V9" s="560">
        <f>Agriculture!AN5</f>
        <v>100785.75325530593</v>
      </c>
      <c r="W9" s="560">
        <f>Agriculture!AO5</f>
        <v>105499.67246285305</v>
      </c>
      <c r="X9" s="560">
        <f>Agriculture!AP5</f>
        <v>109860.01776743868</v>
      </c>
    </row>
    <row r="10" spans="1:33" s="149" customFormat="1" ht="30">
      <c r="A10" s="557" t="s">
        <v>1068</v>
      </c>
      <c r="B10" s="560">
        <f>Agriculture!T6</f>
        <v>107.6</v>
      </c>
      <c r="C10" s="560">
        <f>Agriculture!U6</f>
        <v>104.5</v>
      </c>
      <c r="D10" s="560">
        <f>Agriculture!V6</f>
        <v>101.4</v>
      </c>
      <c r="E10" s="560">
        <f>Agriculture!W6</f>
        <v>105.1</v>
      </c>
      <c r="F10" s="560">
        <f>Agriculture!X6</f>
        <v>107.4</v>
      </c>
      <c r="G10" s="560">
        <f>Agriculture!Y6</f>
        <v>103.4</v>
      </c>
      <c r="H10" s="560">
        <f>Agriculture!Z6</f>
        <v>107.8</v>
      </c>
      <c r="I10" s="560">
        <f>Agriculture!AA6</f>
        <v>108.2</v>
      </c>
      <c r="J10" s="560">
        <f>Agriculture!AB6</f>
        <v>105.9</v>
      </c>
      <c r="K10" s="560">
        <f>Agriculture!AC6</f>
        <v>107.7</v>
      </c>
      <c r="L10" s="560">
        <f>Agriculture!AD6</f>
        <v>106.8</v>
      </c>
      <c r="M10" s="560">
        <f>Agriculture!AE6</f>
        <v>113.4</v>
      </c>
      <c r="N10" s="560">
        <f>Agriculture!AF6</f>
        <v>109.9</v>
      </c>
      <c r="O10" s="560">
        <f>Agriculture!AG6</f>
        <v>107.25933948574951</v>
      </c>
      <c r="P10" s="560">
        <f>Agriculture!AH6</f>
        <v>106.99412581783922</v>
      </c>
      <c r="Q10" s="560">
        <f>Agriculture!AI6</f>
        <v>108.34275821834399</v>
      </c>
      <c r="R10" s="560">
        <f>Agriculture!AJ6</f>
        <v>107.51331957024452</v>
      </c>
      <c r="S10" s="560">
        <f>Agriculture!AK6</f>
        <v>107.42089032886649</v>
      </c>
      <c r="T10" s="560">
        <f>Agriculture!AL6</f>
        <v>105.74327654417797</v>
      </c>
      <c r="U10" s="560">
        <f>Agriculture!AM6</f>
        <v>105.61218514399904</v>
      </c>
      <c r="V10" s="560">
        <f>Agriculture!AN6</f>
        <v>104.94158685842078</v>
      </c>
      <c r="W10" s="560">
        <f>Agriculture!AO6</f>
        <v>104.4682317426262</v>
      </c>
      <c r="X10" s="560">
        <f>Agriculture!AP6</f>
        <v>101.29673303136077</v>
      </c>
    </row>
    <row r="11" spans="1:33" s="149" customFormat="1">
      <c r="A11" s="557" t="s">
        <v>1070</v>
      </c>
      <c r="B11" s="560">
        <f>Agriculture!T8</f>
        <v>3958.6</v>
      </c>
      <c r="C11" s="560">
        <f>Agriculture!U8</f>
        <v>3958.6</v>
      </c>
      <c r="D11" s="560">
        <f>Agriculture!V8</f>
        <v>6954.1</v>
      </c>
      <c r="E11" s="560">
        <f>Agriculture!W8</f>
        <v>7841.0717311134686</v>
      </c>
      <c r="F11" s="560">
        <f>Agriculture!X8</f>
        <v>7598.2</v>
      </c>
      <c r="G11" s="560">
        <f>Agriculture!Y8</f>
        <v>13976.2</v>
      </c>
      <c r="H11" s="560">
        <f>Agriculture!Z8</f>
        <v>14765.8</v>
      </c>
      <c r="I11" s="560">
        <f>Agriculture!AA8</f>
        <v>16315.8</v>
      </c>
      <c r="J11" s="560">
        <f>Agriculture!AB8</f>
        <v>17691.099999999999</v>
      </c>
      <c r="K11" s="560">
        <f>Agriculture!AC8</f>
        <v>19222.900000000001</v>
      </c>
      <c r="L11" s="560">
        <f>Agriculture!AD8</f>
        <v>21931.1</v>
      </c>
      <c r="M11" s="560">
        <f>Agriculture!AE8</f>
        <v>22991.7</v>
      </c>
      <c r="N11" s="560">
        <f>Agriculture!AF8</f>
        <v>28065.8</v>
      </c>
      <c r="O11" s="560">
        <f>Agriculture!AG8</f>
        <v>33724.206642124998</v>
      </c>
      <c r="P11" s="560">
        <f>Agriculture!AH8</f>
        <v>37549.306586264844</v>
      </c>
      <c r="Q11" s="560">
        <f>Agriculture!AI8</f>
        <v>41934.824626457434</v>
      </c>
      <c r="R11" s="560">
        <f>Agriculture!AJ8</f>
        <v>46401.587195640808</v>
      </c>
      <c r="S11" s="560">
        <f>Agriculture!AK8</f>
        <v>51624.557330617587</v>
      </c>
      <c r="T11" s="560">
        <f>Agriculture!AL8</f>
        <v>57411.246464236632</v>
      </c>
      <c r="U11" s="560">
        <f>Agriculture!AM8</f>
        <v>63518.786942238425</v>
      </c>
      <c r="V11" s="560">
        <f>Agriculture!AN8</f>
        <v>70880.981206296085</v>
      </c>
      <c r="W11" s="560">
        <f>Agriculture!AO8</f>
        <v>79106.510588664809</v>
      </c>
      <c r="X11" s="560">
        <f>Agriculture!AP8</f>
        <v>89127.316595616678</v>
      </c>
    </row>
    <row r="12" spans="1:33" s="149" customFormat="1" ht="30">
      <c r="A12" s="557" t="s">
        <v>1068</v>
      </c>
      <c r="B12" s="560">
        <f>Agriculture!T9</f>
        <v>107.5</v>
      </c>
      <c r="C12" s="560">
        <f>Agriculture!U9</f>
        <v>112.5</v>
      </c>
      <c r="D12" s="560">
        <f>Agriculture!V9</f>
        <v>107.2</v>
      </c>
      <c r="E12" s="560">
        <f>Agriculture!W9</f>
        <v>105.5</v>
      </c>
      <c r="F12" s="560">
        <f>Agriculture!X9</f>
        <v>105.6</v>
      </c>
      <c r="G12" s="560">
        <f>Agriculture!Y9</f>
        <v>105.3</v>
      </c>
      <c r="H12" s="560">
        <f>Agriculture!Z9</f>
        <v>105.7</v>
      </c>
      <c r="I12" s="560">
        <f>Agriculture!AA9</f>
        <v>110.5</v>
      </c>
      <c r="J12" s="560">
        <f>Agriculture!AB9</f>
        <v>108.4</v>
      </c>
      <c r="K12" s="560">
        <f>Agriculture!AC9</f>
        <v>108.7</v>
      </c>
      <c r="L12" s="560">
        <f>Agriculture!AD9</f>
        <v>114.1</v>
      </c>
      <c r="M12" s="560">
        <f>Agriculture!AE9</f>
        <v>104.8</v>
      </c>
      <c r="N12" s="560">
        <f>Agriculture!AF9</f>
        <v>108.5</v>
      </c>
      <c r="O12" s="560">
        <f>Agriculture!AG9</f>
        <v>107.4085</v>
      </c>
      <c r="P12" s="560">
        <f>Agriculture!AH9</f>
        <v>106.622</v>
      </c>
      <c r="Q12" s="560">
        <f>Agriculture!AI9</f>
        <v>104.4435</v>
      </c>
      <c r="R12" s="560">
        <f>Agriculture!AJ9</f>
        <v>103.5132</v>
      </c>
      <c r="S12" s="560">
        <f>Agriculture!AK9</f>
        <v>105.0056</v>
      </c>
      <c r="T12" s="560">
        <f>Agriculture!AL9</f>
        <v>105.44670000000001</v>
      </c>
      <c r="U12" s="560">
        <f>Agriculture!AM9</f>
        <v>105.89700000000001</v>
      </c>
      <c r="V12" s="560">
        <f>Agriculture!AN9</f>
        <v>107</v>
      </c>
      <c r="W12" s="560">
        <f>Agriculture!AO9</f>
        <v>107</v>
      </c>
      <c r="X12" s="560">
        <f>Agriculture!AP9</f>
        <v>108</v>
      </c>
    </row>
    <row r="13" spans="1:33" s="149" customFormat="1" ht="30">
      <c r="A13" s="557" t="s">
        <v>1071</v>
      </c>
      <c r="B13" s="558">
        <f>Industry!T4</f>
        <v>9952</v>
      </c>
      <c r="C13" s="558">
        <f>Industry!U4</f>
        <v>10534.656999999999</v>
      </c>
      <c r="D13" s="558">
        <f>Industry!V4</f>
        <v>12196</v>
      </c>
      <c r="E13" s="558">
        <f>Industry!W4</f>
        <v>15090</v>
      </c>
      <c r="F13" s="558">
        <f>Industry!X4</f>
        <v>20028.511999999999</v>
      </c>
      <c r="G13" s="558">
        <f>Industry!Y4</f>
        <v>23893.9</v>
      </c>
      <c r="H13" s="558">
        <f>Industry!Z4</f>
        <v>27613.3</v>
      </c>
      <c r="I13" s="558">
        <f>Industry!AA4</f>
        <v>30890</v>
      </c>
      <c r="J13" s="558">
        <f>Industry!AB4</f>
        <v>38829</v>
      </c>
      <c r="K13" s="558">
        <f>Industry!AC4</f>
        <v>42221.4</v>
      </c>
      <c r="L13" s="558">
        <f>Industry!AD4</f>
        <v>46816</v>
      </c>
      <c r="M13" s="558">
        <f>Industry!AE4</f>
        <v>53818.999999999993</v>
      </c>
      <c r="N13" s="558">
        <f>Industry!AF4</f>
        <v>66726.100000000006</v>
      </c>
      <c r="O13" s="558">
        <f>Industry!AG4</f>
        <v>83491.032306140944</v>
      </c>
      <c r="P13" s="558">
        <f>Industry!AH4</f>
        <v>104885.64945832182</v>
      </c>
      <c r="Q13" s="558">
        <f>Industry!AI4</f>
        <v>131605.53347201648</v>
      </c>
      <c r="R13" s="558">
        <f>Industry!AJ4</f>
        <v>164803.16089586611</v>
      </c>
      <c r="S13" s="558">
        <f>Industry!AK4</f>
        <v>167867.77460593067</v>
      </c>
      <c r="T13" s="558">
        <f>Industry!AL4</f>
        <v>171881.25456641559</v>
      </c>
      <c r="U13" s="558">
        <f>Industry!AM4</f>
        <v>172762.8500399797</v>
      </c>
      <c r="V13" s="558">
        <f>Industry!AN4</f>
        <v>196491.13487940727</v>
      </c>
      <c r="W13" s="558">
        <f>Industry!AO4</f>
        <v>216673.07420805254</v>
      </c>
      <c r="X13" s="558">
        <f>Industry!AP4</f>
        <v>241220.43643245698</v>
      </c>
    </row>
    <row r="14" spans="1:33" s="149" customFormat="1" ht="30">
      <c r="A14" s="557" t="s">
        <v>1068</v>
      </c>
      <c r="B14" s="558">
        <f>GDP!T34</f>
        <v>103.8</v>
      </c>
      <c r="C14" s="558">
        <f>GDP!U34</f>
        <v>105</v>
      </c>
      <c r="D14" s="558">
        <f>GDP!V34</f>
        <v>111.3</v>
      </c>
      <c r="E14" s="558">
        <f>GDP!W34</f>
        <v>116</v>
      </c>
      <c r="F14" s="558">
        <f>GDP!X34</f>
        <v>121.3</v>
      </c>
      <c r="G14" s="558">
        <f>GDP!Y34</f>
        <v>110.6</v>
      </c>
      <c r="H14" s="558">
        <f>GDP!Z34</f>
        <v>113.2</v>
      </c>
      <c r="I14" s="558">
        <f>GDP!AA34</f>
        <v>108.8</v>
      </c>
      <c r="J14" s="558">
        <f>GDP!AB34</f>
        <v>120.8</v>
      </c>
      <c r="K14" s="558">
        <f>GDP!AC34</f>
        <v>115.4</v>
      </c>
      <c r="L14" s="558">
        <f>GDP!AD34</f>
        <v>109.7</v>
      </c>
      <c r="M14" s="558">
        <f>GDP!AE34</f>
        <v>120</v>
      </c>
      <c r="N14" s="558">
        <f>GDP!AF34</f>
        <v>122.1</v>
      </c>
      <c r="O14" s="558">
        <f>GDP!AG34</f>
        <v>125.02096627281625</v>
      </c>
      <c r="P14" s="558">
        <f>GDP!AH34</f>
        <v>125.00010346903679</v>
      </c>
      <c r="Q14" s="558">
        <f>GDP!AI34</f>
        <v>125.10772131494927</v>
      </c>
      <c r="R14" s="558">
        <f>GDP!AJ34</f>
        <v>125.07379530741514</v>
      </c>
      <c r="S14" s="558">
        <f>GDP!AK34</f>
        <v>119.95581243415236</v>
      </c>
      <c r="T14" s="558">
        <f>GDP!AL34</f>
        <v>119.92602525044774</v>
      </c>
      <c r="U14" s="558">
        <f>GDP!AM34</f>
        <v>120.07027383022358</v>
      </c>
      <c r="V14" s="558">
        <f>GDP!AN34</f>
        <v>111.30175408111008</v>
      </c>
      <c r="W14" s="558">
        <f>GDP!AO34</f>
        <v>109.17266964720974</v>
      </c>
      <c r="X14" s="558">
        <f>GDP!AP34</f>
        <v>122.33960441142446</v>
      </c>
    </row>
    <row r="15" spans="1:33" s="149" customFormat="1">
      <c r="A15" s="557" t="s">
        <v>47</v>
      </c>
      <c r="B15" s="558" t="e">
        <f t="shared" ref="B15:H15" si="0">B13/A13/B14*10000</f>
        <v>#VALUE!</v>
      </c>
      <c r="C15" s="558">
        <f t="shared" si="0"/>
        <v>100.81397374062163</v>
      </c>
      <c r="D15" s="558">
        <f t="shared" si="0"/>
        <v>104.01640782381872</v>
      </c>
      <c r="E15" s="558">
        <f t="shared" si="0"/>
        <v>106.66300991845827</v>
      </c>
      <c r="F15" s="558">
        <f t="shared" si="0"/>
        <v>109.4204872441635</v>
      </c>
      <c r="G15" s="558">
        <f t="shared" si="0"/>
        <v>107.86566612770653</v>
      </c>
      <c r="H15" s="558">
        <f t="shared" si="0"/>
        <v>102.09038523767106</v>
      </c>
      <c r="I15" s="558">
        <f>I13/H13/I14*10000</f>
        <v>102.81836693784177</v>
      </c>
      <c r="J15" s="558">
        <f t="shared" ref="J15:Q15" si="1">J13/I13/J14*10000</f>
        <v>104.05701495801165</v>
      </c>
      <c r="K15" s="558">
        <f t="shared" si="1"/>
        <v>94.225969592578366</v>
      </c>
      <c r="L15" s="558">
        <f t="shared" si="1"/>
        <v>101.07762924717819</v>
      </c>
      <c r="M15" s="558">
        <f t="shared" si="1"/>
        <v>95.798800979722017</v>
      </c>
      <c r="N15" s="558">
        <f t="shared" si="1"/>
        <v>101.54170562204904</v>
      </c>
      <c r="O15" s="558">
        <f t="shared" si="1"/>
        <v>100.08321264218527</v>
      </c>
      <c r="P15" s="558">
        <f t="shared" si="1"/>
        <v>100.49995525695964</v>
      </c>
      <c r="Q15" s="558">
        <f t="shared" si="1"/>
        <v>100.29377176735255</v>
      </c>
      <c r="R15" s="558">
        <f t="shared" ref="R15" si="2">R13/Q13/R14*10000</f>
        <v>100.12097233654178</v>
      </c>
      <c r="S15" s="558">
        <f t="shared" ref="S15" si="3">S13/R13/S14*10000</f>
        <v>84.914234637065022</v>
      </c>
      <c r="T15" s="558">
        <f t="shared" ref="T15" si="4">T13/S13/T14*10000</f>
        <v>85.378346936779437</v>
      </c>
      <c r="U15" s="558">
        <f t="shared" ref="U15" si="5">U13/T13/U14*10000</f>
        <v>83.711735140010859</v>
      </c>
      <c r="V15" s="558">
        <f t="shared" ref="V15" si="6">V13/U13/V14*10000</f>
        <v>102.18581012918523</v>
      </c>
      <c r="W15" s="558">
        <f t="shared" ref="W15" si="7">W13/V13/W14*10000</f>
        <v>101.00620492187215</v>
      </c>
      <c r="X15" s="558">
        <f t="shared" ref="X15" si="8">X13/W13/X14*10000</f>
        <v>91.000144466316542</v>
      </c>
    </row>
    <row r="16" spans="1:33" s="149" customFormat="1" ht="30">
      <c r="A16" s="557" t="s">
        <v>7</v>
      </c>
      <c r="B16" s="558">
        <f>Industry!T5</f>
        <v>1117</v>
      </c>
      <c r="C16" s="558">
        <f>Industry!U5</f>
        <v>1402</v>
      </c>
      <c r="D16" s="558">
        <f>Industry!V5</f>
        <v>1641</v>
      </c>
      <c r="E16" s="558">
        <f>Industry!W5</f>
        <v>3004</v>
      </c>
      <c r="F16" s="558">
        <f>Industry!X5</f>
        <v>4523.5119999999997</v>
      </c>
      <c r="G16" s="558">
        <f>Industry!Y5</f>
        <v>4685.8999999999996</v>
      </c>
      <c r="H16" s="558">
        <f>Industry!Z5</f>
        <v>4853.3</v>
      </c>
      <c r="I16" s="558">
        <f>Industry!AA5</f>
        <v>4309</v>
      </c>
      <c r="J16" s="558">
        <f>Industry!AB5</f>
        <v>8409</v>
      </c>
      <c r="K16" s="558">
        <f>Industry!AC5</f>
        <v>8890.9</v>
      </c>
      <c r="L16" s="558">
        <f>Industry!AD5</f>
        <v>9373</v>
      </c>
      <c r="M16" s="558">
        <f>Industry!AE5</f>
        <v>13363.1</v>
      </c>
      <c r="N16" s="558">
        <f>Industry!AF5</f>
        <v>20000.2</v>
      </c>
      <c r="O16" s="558">
        <f>Industry!AG5</f>
        <v>26754.531741408595</v>
      </c>
      <c r="P16" s="558">
        <f>Industry!AH5</f>
        <v>29788.981375210191</v>
      </c>
      <c r="Q16" s="558">
        <f>Industry!AI5</f>
        <v>40744.261742567498</v>
      </c>
      <c r="R16" s="558">
        <f>Industry!AJ5</f>
        <v>48047.334517555668</v>
      </c>
      <c r="S16" s="558">
        <f>Industry!AK5</f>
        <v>51160.518338924099</v>
      </c>
      <c r="T16" s="558">
        <f>Industry!AL5</f>
        <v>37883.054050213053</v>
      </c>
      <c r="U16" s="558">
        <f>Industry!AM5</f>
        <v>26182.762309147718</v>
      </c>
      <c r="V16" s="558">
        <f>Industry!AN5</f>
        <v>30415.986988575227</v>
      </c>
      <c r="W16" s="558">
        <f>Industry!AO5</f>
        <v>36342.376666143347</v>
      </c>
      <c r="X16" s="558">
        <f>Industry!AP5</f>
        <v>43559.3058322371</v>
      </c>
    </row>
    <row r="17" spans="1:24" s="149" customFormat="1" ht="30">
      <c r="A17" s="557" t="s">
        <v>1068</v>
      </c>
      <c r="B17" s="558">
        <f>Industry!T19</f>
        <v>143.1</v>
      </c>
      <c r="C17" s="558">
        <f>Industry!U19</f>
        <v>124.5</v>
      </c>
      <c r="D17" s="558">
        <f>Industry!V19</f>
        <v>117.9</v>
      </c>
      <c r="E17" s="558">
        <f>Industry!W19</f>
        <v>153.30000000000001</v>
      </c>
      <c r="F17" s="558">
        <f>Industry!X19</f>
        <v>121.7</v>
      </c>
      <c r="G17" s="558">
        <f>Industry!Y19</f>
        <v>112</v>
      </c>
      <c r="H17" s="558">
        <f>Industry!Z19</f>
        <v>112.6</v>
      </c>
      <c r="I17" s="558">
        <f>Industry!AA19</f>
        <v>97.4</v>
      </c>
      <c r="J17" s="558">
        <f>Industry!AB19</f>
        <v>155.19999999999999</v>
      </c>
      <c r="K17" s="558">
        <f>Industry!AC19</f>
        <v>97.7</v>
      </c>
      <c r="L17" s="558">
        <f>Industry!AD19</f>
        <v>111.7</v>
      </c>
      <c r="M17" s="558">
        <f>Industry!AE19</f>
        <v>143</v>
      </c>
      <c r="N17" s="558">
        <f>Industry!AF19</f>
        <v>136.19999999999999</v>
      </c>
      <c r="O17" s="558">
        <f>Industry!AG19</f>
        <v>121.23928485715143</v>
      </c>
      <c r="P17" s="558">
        <f>Industry!AH19</f>
        <v>127.31864585181219</v>
      </c>
      <c r="Q17" s="558">
        <f>Industry!AI19</f>
        <v>157.14609258494852</v>
      </c>
      <c r="R17" s="558">
        <f>Industry!AJ19</f>
        <v>118.05098737819198</v>
      </c>
      <c r="S17" s="558">
        <f>Industry!AK19</f>
        <v>77.117570047060596</v>
      </c>
      <c r="T17" s="558">
        <f>Industry!AL19</f>
        <v>72.072546386405634</v>
      </c>
      <c r="U17" s="558">
        <f>Industry!AM19</f>
        <v>67.986265370186331</v>
      </c>
      <c r="V17" s="558">
        <f>Industry!AN19</f>
        <v>117.51327175308901</v>
      </c>
      <c r="W17" s="558">
        <f>Industry!AO19</f>
        <v>119.45571309683619</v>
      </c>
      <c r="X17" s="558">
        <f>Industry!AP19</f>
        <v>119.8637006731132</v>
      </c>
    </row>
    <row r="18" spans="1:24" s="149" customFormat="1" ht="30">
      <c r="A18" s="557" t="s">
        <v>13</v>
      </c>
      <c r="B18" s="558">
        <f>Industry!T8</f>
        <v>6916</v>
      </c>
      <c r="C18" s="558">
        <f>Industry!U8</f>
        <v>6959</v>
      </c>
      <c r="D18" s="558">
        <f>Industry!V8</f>
        <v>8006</v>
      </c>
      <c r="E18" s="558">
        <f>Industry!W8</f>
        <v>9368</v>
      </c>
      <c r="F18" s="558">
        <f>Industry!X8</f>
        <v>11776</v>
      </c>
      <c r="G18" s="558">
        <f>Industry!Y8</f>
        <v>13520</v>
      </c>
      <c r="H18" s="558">
        <f>Industry!Z8</f>
        <v>15952</v>
      </c>
      <c r="I18" s="558">
        <f>Industry!AA8</f>
        <v>19054</v>
      </c>
      <c r="J18" s="558">
        <f>Industry!AB8</f>
        <v>22313</v>
      </c>
      <c r="K18" s="558">
        <f>Industry!AC8</f>
        <v>25708.7</v>
      </c>
      <c r="L18" s="558">
        <f>Industry!AD8</f>
        <v>28459.8</v>
      </c>
      <c r="M18" s="558">
        <f>Industry!AE8</f>
        <v>30275.599999999999</v>
      </c>
      <c r="N18" s="558">
        <f>Industry!AF8</f>
        <v>34595.4</v>
      </c>
      <c r="O18" s="558">
        <f>Industry!AG8</f>
        <v>43621.320067966401</v>
      </c>
      <c r="P18" s="558">
        <f>Industry!AH8</f>
        <v>60339.771492344909</v>
      </c>
      <c r="Q18" s="558">
        <f>Industry!AI8</f>
        <v>73035.004445359795</v>
      </c>
      <c r="R18" s="558">
        <f>Industry!AJ8</f>
        <v>95177.14810210072</v>
      </c>
      <c r="S18" s="558">
        <f>Industry!AK8</f>
        <v>93137.600420206843</v>
      </c>
      <c r="T18" s="558">
        <f>Industry!AL8</f>
        <v>108597.03876551773</v>
      </c>
      <c r="U18" s="558">
        <f>Industry!AM8</f>
        <v>119233.47531193127</v>
      </c>
      <c r="V18" s="558">
        <f>Industry!AN8</f>
        <v>136686.92637279021</v>
      </c>
      <c r="W18" s="558">
        <f>Industry!AO8</f>
        <v>148738.68210948393</v>
      </c>
      <c r="X18" s="558">
        <f>Industry!AP8</f>
        <v>163710.01507056947</v>
      </c>
    </row>
    <row r="19" spans="1:24" s="149" customFormat="1" ht="30">
      <c r="A19" s="557" t="s">
        <v>1068</v>
      </c>
      <c r="B19" s="558">
        <f>Industry!T22</f>
        <v>99</v>
      </c>
      <c r="C19" s="558">
        <f>Industry!U22</f>
        <v>100.9</v>
      </c>
      <c r="D19" s="558">
        <f>Industry!V22</f>
        <v>110.1</v>
      </c>
      <c r="E19" s="558">
        <f>Industry!W22</f>
        <v>112.5</v>
      </c>
      <c r="F19" s="558">
        <f>Industry!X22</f>
        <v>122.9</v>
      </c>
      <c r="G19" s="558">
        <f>Industry!Y22</f>
        <v>112.1</v>
      </c>
      <c r="H19" s="558">
        <f>Industry!Z22</f>
        <v>115.3</v>
      </c>
      <c r="I19" s="558">
        <f>Industry!AA22</f>
        <v>114.1</v>
      </c>
      <c r="J19" s="558">
        <f>Industry!AB22</f>
        <v>115.3</v>
      </c>
      <c r="K19" s="558">
        <f>Industry!AC22</f>
        <v>116.4</v>
      </c>
      <c r="L19" s="558">
        <f>Industry!AD22</f>
        <v>112.4</v>
      </c>
      <c r="M19" s="558">
        <f>Industry!AE22</f>
        <v>107.6</v>
      </c>
      <c r="N19" s="558">
        <f>Industry!AF22</f>
        <v>110.5</v>
      </c>
      <c r="O19" s="558">
        <f>Industry!AG22</f>
        <v>132.91232080012878</v>
      </c>
      <c r="P19" s="558">
        <f>Industry!AH22</f>
        <v>127.14443299873152</v>
      </c>
      <c r="Q19" s="558">
        <f>Industry!AI22</f>
        <v>110.19672560929948</v>
      </c>
      <c r="R19" s="558">
        <f>Industry!AJ22</f>
        <v>129.91494320209819</v>
      </c>
      <c r="S19" s="558">
        <f>Industry!AK22</f>
        <v>143.9584800044311</v>
      </c>
      <c r="T19" s="558">
        <f>Industry!AL22</f>
        <v>149.21788693588729</v>
      </c>
      <c r="U19" s="558">
        <f>Industry!AM22</f>
        <v>141.07613629143407</v>
      </c>
      <c r="V19" s="558">
        <f>Industry!AN22</f>
        <v>110.79750474273503</v>
      </c>
      <c r="W19" s="558">
        <f>Industry!AO22</f>
        <v>107.23611508915199</v>
      </c>
      <c r="X19" s="558">
        <f>Industry!AP22</f>
        <v>126.03136673787191</v>
      </c>
    </row>
    <row r="20" spans="1:24" s="149" customFormat="1" ht="60">
      <c r="A20" s="557" t="s">
        <v>27</v>
      </c>
      <c r="B20" s="558">
        <f>Industry!T15</f>
        <v>1919</v>
      </c>
      <c r="C20" s="558">
        <f>Industry!U15</f>
        <v>2173.6570000000002</v>
      </c>
      <c r="D20" s="558">
        <f>Industry!V15</f>
        <v>2549</v>
      </c>
      <c r="E20" s="558">
        <f>Industry!W15</f>
        <v>2718</v>
      </c>
      <c r="F20" s="558">
        <f>Industry!X15</f>
        <v>3729</v>
      </c>
      <c r="G20" s="558">
        <f>Industry!Y15</f>
        <v>5688</v>
      </c>
      <c r="H20" s="558">
        <f>Industry!Z15</f>
        <v>6808</v>
      </c>
      <c r="I20" s="558">
        <f>Industry!AA15</f>
        <v>7527</v>
      </c>
      <c r="J20" s="558">
        <f>Industry!AB15</f>
        <v>8107</v>
      </c>
      <c r="K20" s="558">
        <f>Industry!AC15</f>
        <v>7621.8</v>
      </c>
      <c r="L20" s="558">
        <f>Industry!AD15+Industry!AD17</f>
        <v>9212</v>
      </c>
      <c r="M20" s="558">
        <f>Industry!AE15+Industry!AE17</f>
        <v>10180.300000000001</v>
      </c>
      <c r="N20" s="558">
        <f>Industry!AF15+Industry!AF17</f>
        <v>12130.5</v>
      </c>
      <c r="O20" s="558">
        <f>Industry!AG15+Industry!AG17</f>
        <v>13115.180496765961</v>
      </c>
      <c r="P20" s="558">
        <f>Industry!AH15+Industry!AH17</f>
        <v>14756.896590766721</v>
      </c>
      <c r="Q20" s="558">
        <f>Industry!AI15+Industry!AI17</f>
        <v>17826.267284089194</v>
      </c>
      <c r="R20" s="558">
        <f>Industry!AJ15+Industry!AJ17</f>
        <v>21578.678276209706</v>
      </c>
      <c r="S20" s="558">
        <f>Industry!AK15+Industry!AK17</f>
        <v>23569.655846799709</v>
      </c>
      <c r="T20" s="558">
        <f>Industry!AL15+Industry!AL17</f>
        <v>25401.161750684802</v>
      </c>
      <c r="U20" s="558">
        <f>Industry!AM15+Industry!AM17</f>
        <v>27346.61241890071</v>
      </c>
      <c r="V20" s="558">
        <f>Industry!AN15+Industry!AN17</f>
        <v>29388.221518041835</v>
      </c>
      <c r="W20" s="558">
        <f>Industry!AO15+Industry!AO17</f>
        <v>31592.015432425251</v>
      </c>
      <c r="X20" s="558">
        <f>Industry!AP15+Industry!AP17</f>
        <v>33951.1155296504</v>
      </c>
    </row>
    <row r="21" spans="1:24" s="149" customFormat="1" ht="30">
      <c r="A21" s="557" t="s">
        <v>1068</v>
      </c>
      <c r="B21" s="558">
        <f>Industry!T29</f>
        <v>105.6</v>
      </c>
      <c r="C21" s="558">
        <f>Industry!U29</f>
        <v>106.8</v>
      </c>
      <c r="D21" s="558">
        <f>Industry!V29</f>
        <v>111.5</v>
      </c>
      <c r="E21" s="558">
        <f>Industry!W29</f>
        <v>103.7</v>
      </c>
      <c r="F21" s="558">
        <f>Industry!X29</f>
        <v>116.5</v>
      </c>
      <c r="G21" s="558">
        <f>Industry!Y29</f>
        <v>107.5</v>
      </c>
      <c r="H21" s="558">
        <f>Industry!Z29</f>
        <v>105.6</v>
      </c>
      <c r="I21" s="558">
        <f>Industry!AA29</f>
        <v>100.1</v>
      </c>
      <c r="J21" s="558">
        <f>Industry!AB29</f>
        <v>112.7</v>
      </c>
      <c r="K21" s="558">
        <f>Industry!AC29</f>
        <v>117.5</v>
      </c>
      <c r="L21" s="558">
        <f>Industry!AD29</f>
        <v>107.1</v>
      </c>
      <c r="M21" s="558">
        <f>Industry!AE29</f>
        <v>105.7</v>
      </c>
      <c r="N21" s="558">
        <f>Industry!AF29</f>
        <v>113</v>
      </c>
      <c r="O21" s="558">
        <f>Industry!AG29</f>
        <v>108.22722005796955</v>
      </c>
      <c r="P21" s="558">
        <f>Industry!AH29</f>
        <v>112.76928853806145</v>
      </c>
      <c r="Q21" s="558">
        <f>Industry!AI29</f>
        <v>121.29668523878343</v>
      </c>
      <c r="R21" s="558">
        <f>Industry!AJ29</f>
        <v>121.19792219999404</v>
      </c>
      <c r="S21" s="558">
        <f>Industry!AK29</f>
        <v>109.22659648151406</v>
      </c>
      <c r="T21" s="558">
        <f>Industry!AL29</f>
        <v>107.77060944712001</v>
      </c>
      <c r="U21" s="558">
        <f>Industry!AM29</f>
        <v>107.65890429465676</v>
      </c>
      <c r="V21" s="558">
        <f>Industry!AN29</f>
        <v>107.46567460666559</v>
      </c>
      <c r="W21" s="558">
        <f>Industry!AO29</f>
        <v>107.49890194284291</v>
      </c>
      <c r="X21" s="558">
        <f>Industry!AP29</f>
        <v>107.4673934693126</v>
      </c>
    </row>
    <row r="22" spans="1:24" s="149" customFormat="1" ht="30">
      <c r="A22" s="557" t="s">
        <v>1072</v>
      </c>
      <c r="B22" s="558">
        <f>OEA!T22</f>
        <v>5796.7999999999993</v>
      </c>
      <c r="C22" s="558">
        <f>OEA!U22</f>
        <v>7495.2</v>
      </c>
      <c r="D22" s="558">
        <f>OEA!V22</f>
        <v>9749.9</v>
      </c>
      <c r="E22" s="558">
        <f>OEA!W22</f>
        <v>11509.2</v>
      </c>
      <c r="F22" s="558">
        <f>OEA!X22</f>
        <v>11806.3</v>
      </c>
      <c r="G22" s="558">
        <f>OEA!Y22</f>
        <v>13361</v>
      </c>
      <c r="H22" s="558">
        <f>OEA!Z22</f>
        <v>12517.8</v>
      </c>
      <c r="I22" s="558">
        <f>OEA!AA22</f>
        <v>11616.9</v>
      </c>
      <c r="J22" s="558">
        <f>OEA!AB22</f>
        <v>14757.2</v>
      </c>
      <c r="K22" s="558">
        <f>OEA!AC22</f>
        <v>16279.5</v>
      </c>
      <c r="L22" s="558">
        <f>OEA!AD22</f>
        <v>19859</v>
      </c>
      <c r="M22" s="558">
        <f>OEA!AE22</f>
        <v>22543</v>
      </c>
      <c r="N22" s="558">
        <f>OEA!AF22</f>
        <v>28736</v>
      </c>
      <c r="O22" s="558">
        <f>OEA!AG22</f>
        <v>32767.971999999998</v>
      </c>
      <c r="P22" s="558">
        <f>OEA!AH22</f>
        <v>38923.921560000003</v>
      </c>
      <c r="Q22" s="558">
        <f>OEA!AI22</f>
        <v>44524.430810400008</v>
      </c>
      <c r="R22" s="558">
        <f>OEA!AJ22</f>
        <v>51375.483912360003</v>
      </c>
      <c r="S22" s="558">
        <f>OEA!AK22</f>
        <v>55564.061765779203</v>
      </c>
      <c r="T22" s="558">
        <f>OEA!AL22</f>
        <v>63254.948836590629</v>
      </c>
      <c r="U22" s="558">
        <f>OEA!AM22</f>
        <v>73256.89332081945</v>
      </c>
      <c r="V22" s="558">
        <f>OEA!AN22</f>
        <v>91342.98609508443</v>
      </c>
      <c r="W22" s="558">
        <f>OEA!AO22</f>
        <v>114213.0994791697</v>
      </c>
      <c r="X22" s="558">
        <f>OEA!AP22</f>
        <v>143190.44475016196</v>
      </c>
    </row>
    <row r="23" spans="1:24" s="149" customFormat="1" ht="30">
      <c r="A23" s="557" t="s">
        <v>1068</v>
      </c>
      <c r="B23" s="558">
        <f>GDP!T35</f>
        <v>117.2</v>
      </c>
      <c r="C23" s="558">
        <f>GDP!U35</f>
        <v>125.3</v>
      </c>
      <c r="D23" s="558">
        <f>GDP!V35</f>
        <v>121.2</v>
      </c>
      <c r="E23" s="558">
        <f>GDP!W35</f>
        <v>120.3</v>
      </c>
      <c r="F23" s="558">
        <f>GDP!X35</f>
        <v>104.1</v>
      </c>
      <c r="G23" s="558">
        <f>GDP!Y35</f>
        <v>110.2</v>
      </c>
      <c r="H23" s="558">
        <f>GDP!Z35</f>
        <v>104.6</v>
      </c>
      <c r="I23" s="558">
        <f>GDP!AA35</f>
        <v>104</v>
      </c>
      <c r="J23" s="558">
        <f>GDP!AB35</f>
        <v>132.1</v>
      </c>
      <c r="K23" s="558">
        <f>GDP!AC35</f>
        <v>111.4</v>
      </c>
      <c r="L23" s="558">
        <f>GDP!AD35</f>
        <v>112.3</v>
      </c>
      <c r="M23" s="558">
        <f>GDP!AE35</f>
        <v>114.38905264772578</v>
      </c>
      <c r="N23" s="558">
        <f>GDP!AF35</f>
        <v>68.092444010713166</v>
      </c>
      <c r="O23" s="558">
        <f>GDP!AG35</f>
        <v>173.24992872393935</v>
      </c>
      <c r="P23" s="558">
        <f>GDP!AH35</f>
        <v>116.08605509492818</v>
      </c>
      <c r="Q23" s="558">
        <f>GDP!AI35</f>
        <v>110.87035705184428</v>
      </c>
      <c r="R23" s="558">
        <f>GDP!AJ35</f>
        <v>125.03680854928925</v>
      </c>
      <c r="S23" s="558">
        <f>GDP!AK35</f>
        <v>115.54982397635719</v>
      </c>
      <c r="T23" s="558">
        <f>GDP!AL35</f>
        <v>116.54057368406799</v>
      </c>
      <c r="U23" s="558">
        <f>GDP!AM35</f>
        <v>114.67559181842475</v>
      </c>
      <c r="V23" s="558">
        <f>GDP!AN35</f>
        <v>138.94089544808796</v>
      </c>
      <c r="W23" s="558">
        <f>GDP!AO35</f>
        <v>128.38684604357985</v>
      </c>
      <c r="X23" s="558">
        <f>GDP!AP35</f>
        <v>130.59510157906368</v>
      </c>
    </row>
    <row r="24" spans="1:24" s="149" customFormat="1" ht="30">
      <c r="A24" s="557" t="s">
        <v>1073</v>
      </c>
      <c r="B24" s="558">
        <f>Household!T3</f>
        <v>11586.3</v>
      </c>
      <c r="C24" s="558">
        <f>Household!U3</f>
        <v>13122.1</v>
      </c>
      <c r="D24" s="558">
        <f>Household!V3</f>
        <v>14696.7</v>
      </c>
      <c r="E24" s="558">
        <f>Household!W3</f>
        <v>16573.400000000001</v>
      </c>
      <c r="F24" s="558">
        <f>Household!X3</f>
        <v>18959.599999999999</v>
      </c>
      <c r="G24" s="558">
        <f>Household!Y3</f>
        <v>20989</v>
      </c>
      <c r="H24" s="558">
        <f>Household!Z3</f>
        <v>25456.799999999999</v>
      </c>
      <c r="I24" s="558">
        <f>Household!AA3</f>
        <v>27599.7</v>
      </c>
      <c r="J24" s="558">
        <f>Household!AB3</f>
        <v>33797.9</v>
      </c>
      <c r="K24" s="558">
        <f>Household!AC3</f>
        <v>47563.399999999994</v>
      </c>
      <c r="L24" s="558">
        <f>Household!AD3</f>
        <v>56124.4</v>
      </c>
      <c r="M24" s="558">
        <f>Household!AE3</f>
        <v>65783.8</v>
      </c>
      <c r="N24" s="558">
        <f>Household!AF3</f>
        <v>77307.100000000006</v>
      </c>
      <c r="O24" s="558">
        <f>Household!AG3</f>
        <v>89946.541177669904</v>
      </c>
      <c r="P24" s="558">
        <f>Household!AH3</f>
        <v>105319.77392904399</v>
      </c>
      <c r="Q24" s="558">
        <f>Household!AI3</f>
        <v>120054.47057104275</v>
      </c>
      <c r="R24" s="558">
        <f>Household!AJ3</f>
        <v>138358.42123583407</v>
      </c>
      <c r="S24" s="558">
        <f>Household!AK3</f>
        <v>149157.7179315917</v>
      </c>
      <c r="T24" s="558">
        <f>Household!AL3</f>
        <v>160879.07437051309</v>
      </c>
      <c r="U24" s="558">
        <f>Household!AM3</f>
        <v>174656.34444130448</v>
      </c>
      <c r="V24" s="558">
        <f>Household!AN3</f>
        <v>194923.91701782183</v>
      </c>
      <c r="W24" s="558">
        <f>Household!AO3</f>
        <v>210618.08386618146</v>
      </c>
      <c r="X24" s="558">
        <f>Household!AP3</f>
        <v>228337.24860437328</v>
      </c>
    </row>
    <row r="25" spans="1:24" s="149" customFormat="1" ht="30">
      <c r="A25" s="557" t="s">
        <v>1068</v>
      </c>
      <c r="B25" s="558">
        <f>Household!T4</f>
        <v>0</v>
      </c>
      <c r="C25" s="558">
        <f>Household!U4</f>
        <v>0</v>
      </c>
      <c r="D25" s="558">
        <f>Household!V4</f>
        <v>0</v>
      </c>
      <c r="E25" s="558">
        <f>Household!W4</f>
        <v>0</v>
      </c>
      <c r="F25" s="558">
        <f>Household!X4</f>
        <v>0</v>
      </c>
      <c r="G25" s="558">
        <f>Household!Y4</f>
        <v>115.4</v>
      </c>
      <c r="H25" s="558">
        <f>Household!Z4</f>
        <v>109</v>
      </c>
      <c r="I25" s="558">
        <f>Household!AA4</f>
        <v>93.2</v>
      </c>
      <c r="J25" s="558">
        <f>Household!AB4</f>
        <v>113</v>
      </c>
      <c r="K25" s="558">
        <f>Household!AC4</f>
        <v>111.2</v>
      </c>
      <c r="L25" s="558">
        <f>Household!AD4</f>
        <v>113.4</v>
      </c>
      <c r="M25" s="558">
        <f>Household!AE4</f>
        <v>113.6</v>
      </c>
      <c r="N25" s="558">
        <f>Household!AF4</f>
        <v>113.9</v>
      </c>
      <c r="O25" s="558">
        <f>Household!AG4</f>
        <v>114.3279423781605</v>
      </c>
      <c r="P25" s="558">
        <f>Household!AH4</f>
        <v>114.4652322077294</v>
      </c>
      <c r="Q25" s="558">
        <f>Household!AI4</f>
        <v>113.63166095807681</v>
      </c>
      <c r="R25" s="558">
        <f>Household!AJ4</f>
        <v>113.89224358350485</v>
      </c>
      <c r="S25" s="558">
        <f>Household!AK4</f>
        <v>108.36872265199328</v>
      </c>
      <c r="T25" s="558">
        <f>Household!AL4</f>
        <v>109.8489746524762</v>
      </c>
      <c r="U25" s="558">
        <f>Household!AM4</f>
        <v>109.32916297519593</v>
      </c>
      <c r="V25" s="558">
        <f>Household!AN4</f>
        <v>109.35302151139886</v>
      </c>
      <c r="W25" s="558">
        <f>Household!AO4</f>
        <v>106.10895341643496</v>
      </c>
      <c r="X25" s="558">
        <f>Household!AP4</f>
        <v>106.39788604260637</v>
      </c>
    </row>
    <row r="26" spans="1:24" s="149" customFormat="1" ht="30">
      <c r="A26" s="561" t="s">
        <v>364</v>
      </c>
      <c r="B26" s="558">
        <f>Household!T15</f>
        <v>11566.3</v>
      </c>
      <c r="C26" s="558">
        <f>Household!U15</f>
        <v>12757.6</v>
      </c>
      <c r="D26" s="558">
        <f>Household!V15</f>
        <v>11782.9</v>
      </c>
      <c r="E26" s="558">
        <f>Household!W15</f>
        <v>11729</v>
      </c>
      <c r="F26" s="558">
        <f>Household!X15</f>
        <v>11998.8</v>
      </c>
      <c r="G26" s="558">
        <f>Household!Y15</f>
        <v>12130.8</v>
      </c>
      <c r="H26" s="558">
        <f>Household!Z15</f>
        <v>12983.6</v>
      </c>
      <c r="I26" s="558">
        <f>Household!AA15</f>
        <v>13110.4</v>
      </c>
      <c r="J26" s="558">
        <f>Household!AB15</f>
        <v>15111.8</v>
      </c>
      <c r="K26" s="558">
        <f>Household!AC15</f>
        <v>18696.8</v>
      </c>
      <c r="L26" s="558">
        <f>Household!AD15</f>
        <v>21760.3</v>
      </c>
      <c r="M26" s="558">
        <f>Household!AE15</f>
        <v>25722.9</v>
      </c>
      <c r="N26" s="558">
        <f>Household!AF15</f>
        <v>30470.2</v>
      </c>
      <c r="O26" s="558">
        <f>Household!AG15</f>
        <v>35439.755165198461</v>
      </c>
      <c r="P26" s="558">
        <f>Household!AH15</f>
        <v>41254.484715362232</v>
      </c>
      <c r="Q26" s="558">
        <f>Household!AI15</f>
        <v>47612.182093920492</v>
      </c>
      <c r="R26" s="558">
        <f>Household!AJ15</f>
        <v>51548.635208337779</v>
      </c>
      <c r="S26" s="558">
        <f>Household!AK15</f>
        <v>56661.403904945022</v>
      </c>
      <c r="T26" s="558">
        <f>Household!AL15</f>
        <v>62425.439388689359</v>
      </c>
      <c r="U26" s="558">
        <f>Household!AM15</f>
        <v>64323.564193216989</v>
      </c>
      <c r="V26" s="558">
        <f>Household!AN15</f>
        <v>76394.868967510149</v>
      </c>
      <c r="W26" s="558">
        <f>Household!AO15</f>
        <v>87007.682410646259</v>
      </c>
      <c r="X26" s="558">
        <f>Household!AP15</f>
        <v>83427.506834194428</v>
      </c>
    </row>
    <row r="27" spans="1:24" s="149" customFormat="1" ht="30">
      <c r="A27" s="561" t="s">
        <v>1068</v>
      </c>
      <c r="B27" s="558">
        <f>Household!T16</f>
        <v>0</v>
      </c>
      <c r="C27" s="558">
        <f>Household!U16</f>
        <v>106.08200283030205</v>
      </c>
      <c r="D27" s="558">
        <f>Household!V16</f>
        <v>89.100849388148731</v>
      </c>
      <c r="E27" s="558">
        <f>Household!W16</f>
        <v>94.919662453915919</v>
      </c>
      <c r="F27" s="558">
        <f>Household!X16</f>
        <v>96.005736770956531</v>
      </c>
      <c r="G27" s="558">
        <f>Household!Y16</f>
        <v>92.613961396139615</v>
      </c>
      <c r="H27" s="558">
        <f>Household!Z16</f>
        <v>102.9</v>
      </c>
      <c r="I27" s="558">
        <f>Household!AA16</f>
        <v>97.4</v>
      </c>
      <c r="J27" s="558">
        <f>Household!AB16</f>
        <v>107.9</v>
      </c>
      <c r="K27" s="558">
        <f>Household!AC16</f>
        <v>116</v>
      </c>
      <c r="L27" s="558">
        <f>Household!AD16</f>
        <v>114.1</v>
      </c>
      <c r="M27" s="558">
        <f>Household!AE16</f>
        <v>113</v>
      </c>
      <c r="N27" s="558">
        <f>Household!AF16</f>
        <v>113.2</v>
      </c>
      <c r="O27" s="558">
        <f>Household!AG16</f>
        <v>114.9303940053814</v>
      </c>
      <c r="P27" s="558">
        <f>Household!AH16</f>
        <v>113.901530110427</v>
      </c>
      <c r="Q27" s="558">
        <f>Household!AI16</f>
        <v>113.70534406322643</v>
      </c>
      <c r="R27" s="558">
        <f>Household!AJ16</f>
        <v>108.1595839667325</v>
      </c>
      <c r="S27" s="558">
        <f>Household!AK16</f>
        <v>109.69894171168636</v>
      </c>
      <c r="T27" s="558">
        <f>Household!AL16</f>
        <v>109.62464884840513</v>
      </c>
      <c r="U27" s="558">
        <f>Household!AM16</f>
        <v>102.52798712780707</v>
      </c>
      <c r="V27" s="558">
        <f>Household!AN16</f>
        <v>118.17565762402712</v>
      </c>
      <c r="W27" s="558">
        <f>Household!AO16</f>
        <v>113.32542294904846</v>
      </c>
      <c r="X27" s="558">
        <f>Household!AP16</f>
        <v>95.408178118512126</v>
      </c>
    </row>
    <row r="28" spans="1:24" s="149" customFormat="1">
      <c r="A28" s="557" t="s">
        <v>1074</v>
      </c>
      <c r="B28" s="558">
        <f>Monetary!T15</f>
        <v>103.7</v>
      </c>
      <c r="C28" s="558">
        <f>Monetary!U15</f>
        <v>107.4</v>
      </c>
      <c r="D28" s="558">
        <f>Monetary!V15</f>
        <v>105.1</v>
      </c>
      <c r="E28" s="558">
        <f>Monetary!W15</f>
        <v>106.1</v>
      </c>
      <c r="F28" s="558">
        <f>Monetary!X15</f>
        <v>106.7411</v>
      </c>
      <c r="G28" s="558">
        <f>Monetary!Y15</f>
        <v>105.37888685927308</v>
      </c>
      <c r="H28" s="558">
        <f>Monetary!Z15</f>
        <v>108</v>
      </c>
      <c r="I28" s="558">
        <f>Monetary!AA15</f>
        <v>109.4</v>
      </c>
      <c r="J28" s="558">
        <f>Monetary!AB15</f>
        <v>108</v>
      </c>
      <c r="K28" s="558">
        <f>Monetary!AC15</f>
        <v>104.2</v>
      </c>
      <c r="L28" s="558">
        <f>Monetary!AD15</f>
        <v>103.8</v>
      </c>
      <c r="M28" s="558">
        <f>Monetary!AE15</f>
        <v>103.6</v>
      </c>
      <c r="N28" s="558">
        <f>Monetary!AF15</f>
        <v>103.5</v>
      </c>
      <c r="O28" s="558">
        <f>Monetary!AG15</f>
        <v>102.41615783032842</v>
      </c>
      <c r="P28" s="558">
        <f>Monetary!AH15</f>
        <v>104.26809893578867</v>
      </c>
      <c r="Q28" s="558">
        <f>Monetary!AI15</f>
        <v>104.80070002414024</v>
      </c>
      <c r="R28" s="558">
        <f>Monetary!AJ15</f>
        <v>104.1809609368155</v>
      </c>
      <c r="S28" s="558">
        <f>Monetary!AK15</f>
        <v>103.90637291476378</v>
      </c>
      <c r="T28" s="558">
        <f>Monetary!AL15</f>
        <v>105.03247240189455</v>
      </c>
      <c r="U28" s="558">
        <f>Monetary!AM15</f>
        <v>104.72672897287403</v>
      </c>
      <c r="V28" s="558">
        <f>Monetary!AN15</f>
        <v>104.57101867456707</v>
      </c>
      <c r="W28" s="558">
        <f>Monetary!AO15</f>
        <v>104.69616681622347</v>
      </c>
      <c r="X28" s="558">
        <f>Monetary!AP15</f>
        <v>104.91717480500677</v>
      </c>
    </row>
    <row r="29" spans="1:24" s="149" customFormat="1">
      <c r="A29" s="562" t="s">
        <v>1075</v>
      </c>
      <c r="B29" s="563">
        <f t="shared" ref="B29:H29" si="9">B31+B33</f>
        <v>4988.8</v>
      </c>
      <c r="C29" s="563">
        <f t="shared" si="9"/>
        <v>5274.7</v>
      </c>
      <c r="D29" s="563">
        <f t="shared" si="9"/>
        <v>4326.2</v>
      </c>
      <c r="E29" s="563">
        <f t="shared" si="9"/>
        <v>3929.8999999999996</v>
      </c>
      <c r="F29" s="563">
        <f t="shared" si="9"/>
        <v>3972.9</v>
      </c>
      <c r="G29" s="563">
        <f t="shared" si="9"/>
        <v>4224.3</v>
      </c>
      <c r="H29" s="563">
        <f t="shared" si="9"/>
        <v>4523.7000000000007</v>
      </c>
      <c r="I29" s="563">
        <f>I31+I33</f>
        <v>4556.8999999999996</v>
      </c>
      <c r="J29" s="563">
        <f t="shared" ref="J29:X29" si="10">J31+J33</f>
        <v>6359.1</v>
      </c>
      <c r="K29" s="563">
        <f t="shared" si="10"/>
        <v>7309.5</v>
      </c>
      <c r="L29" s="563">
        <f t="shared" si="10"/>
        <v>7741.5780000000004</v>
      </c>
      <c r="M29" s="563">
        <f t="shared" si="10"/>
        <v>8955.1</v>
      </c>
      <c r="N29" s="563">
        <f t="shared" si="10"/>
        <v>10793.1</v>
      </c>
      <c r="O29" s="563">
        <f t="shared" si="10"/>
        <v>11021.821093391853</v>
      </c>
      <c r="P29" s="563">
        <f t="shared" si="10"/>
        <v>11200.54343210759</v>
      </c>
      <c r="Q29" s="563">
        <f t="shared" si="10"/>
        <v>11336.519473618624</v>
      </c>
      <c r="R29" s="563">
        <f t="shared" si="10"/>
        <v>11664.518684381677</v>
      </c>
      <c r="S29" s="563">
        <f t="shared" si="10"/>
        <v>11979.383323665872</v>
      </c>
      <c r="T29" s="563">
        <f t="shared" si="10"/>
        <v>11976.166589603115</v>
      </c>
      <c r="U29" s="563">
        <f t="shared" si="10"/>
        <v>12300.475923843846</v>
      </c>
      <c r="V29" s="563">
        <f t="shared" si="10"/>
        <v>11840.392579337022</v>
      </c>
      <c r="W29" s="563">
        <f t="shared" si="10"/>
        <v>11378.756557283907</v>
      </c>
      <c r="X29" s="563">
        <f t="shared" si="10"/>
        <v>13564.672488222486</v>
      </c>
    </row>
    <row r="30" spans="1:24" s="149" customFormat="1" ht="30">
      <c r="A30" s="562" t="s">
        <v>1068</v>
      </c>
      <c r="B30" s="558">
        <f>Trade!T91</f>
        <v>0</v>
      </c>
      <c r="C30" s="558">
        <f>Trade!U91</f>
        <v>0</v>
      </c>
      <c r="D30" s="558">
        <f>Trade!V91</f>
        <v>0</v>
      </c>
      <c r="E30" s="558">
        <f>Trade!W91</f>
        <v>90.839535851324484</v>
      </c>
      <c r="F30" s="558">
        <f>Trade!X91</f>
        <v>101.09417542431108</v>
      </c>
      <c r="G30" s="558">
        <f>Trade!Y91</f>
        <v>106.32787132824888</v>
      </c>
      <c r="H30" s="558">
        <f>Trade!Z91</f>
        <v>107.08756480363613</v>
      </c>
      <c r="I30" s="558">
        <f>Trade!AA91</f>
        <v>100.7339125052501</v>
      </c>
      <c r="J30" s="558">
        <f>Trade!AB91</f>
        <v>139.54881608110779</v>
      </c>
      <c r="K30" s="558">
        <f t="shared" ref="K30" si="11">K29/J29*100</f>
        <v>114.94551115723924</v>
      </c>
      <c r="L30" s="558">
        <f t="shared" ref="L30" si="12">L29/K29*100</f>
        <v>105.91118407551816</v>
      </c>
      <c r="M30" s="558">
        <f t="shared" ref="M30" si="13">M29/L29*100</f>
        <v>115.67538297747566</v>
      </c>
      <c r="N30" s="558">
        <f t="shared" ref="N30" si="14">N29/M29*100</f>
        <v>120.52461725720538</v>
      </c>
      <c r="O30" s="558">
        <f t="shared" ref="O30" si="15">O29/N29*100</f>
        <v>102.1191417979251</v>
      </c>
      <c r="P30" s="558">
        <f t="shared" ref="P30" si="16">P29/O29*100</f>
        <v>101.62153184307165</v>
      </c>
      <c r="Q30" s="558">
        <f t="shared" ref="Q30" si="17">Q29/P29*100</f>
        <v>101.2140128944212</v>
      </c>
      <c r="R30" s="558">
        <f t="shared" ref="R30" si="18">R29/Q29*100</f>
        <v>102.89329729046331</v>
      </c>
      <c r="S30" s="558">
        <f t="shared" ref="S30" si="19">S29/R29*100</f>
        <v>102.69933674765154</v>
      </c>
      <c r="T30" s="558">
        <f t="shared" ref="T30" si="20">T29/S29*100</f>
        <v>99.973147749129936</v>
      </c>
      <c r="U30" s="558">
        <f t="shared" ref="U30" si="21">U29/T29*100</f>
        <v>102.70795610443724</v>
      </c>
      <c r="V30" s="558">
        <f t="shared" ref="V30" si="22">V29/U29*100</f>
        <v>96.259629730139338</v>
      </c>
      <c r="W30" s="558">
        <f t="shared" ref="W30" si="23">W29/V29*100</f>
        <v>96.101176384482983</v>
      </c>
      <c r="X30" s="558">
        <f t="shared" ref="X30" si="24">X29/W29*100</f>
        <v>119.21049914315378</v>
      </c>
    </row>
    <row r="31" spans="1:24" ht="30">
      <c r="A31" s="557" t="s">
        <v>1076</v>
      </c>
      <c r="B31" s="558">
        <f>Trade!T5</f>
        <v>943.4</v>
      </c>
      <c r="C31" s="558">
        <f>Trade!U5</f>
        <v>977.3</v>
      </c>
      <c r="D31" s="558">
        <f>Trade!V5</f>
        <v>890.6</v>
      </c>
      <c r="E31" s="558">
        <f>Trade!W5</f>
        <v>898.7</v>
      </c>
      <c r="F31" s="558">
        <f>Trade!X5</f>
        <v>1198</v>
      </c>
      <c r="G31" s="558">
        <f>Trade!Y5</f>
        <v>1073.3</v>
      </c>
      <c r="H31" s="558">
        <f>Trade!Z5</f>
        <v>1174.4000000000001</v>
      </c>
      <c r="I31" s="558">
        <f>Trade!AA5</f>
        <v>1406.9</v>
      </c>
      <c r="J31" s="558">
        <f>Trade!AB5</f>
        <v>2149.6</v>
      </c>
      <c r="K31" s="558">
        <f>Trade!AC5</f>
        <v>2142</v>
      </c>
      <c r="L31" s="558">
        <f>Trade!AD5</f>
        <v>1861.4780000000001</v>
      </c>
      <c r="M31" s="558">
        <f>Trade!AE5</f>
        <v>1947.5</v>
      </c>
      <c r="N31" s="558">
        <f>Trade!AF5</f>
        <v>2487.9</v>
      </c>
      <c r="O31" s="558">
        <f>Trade!AG5</f>
        <v>2672.7851308695854</v>
      </c>
      <c r="P31" s="558">
        <f>Trade!AH5</f>
        <v>2840.4586402822802</v>
      </c>
      <c r="Q31" s="558">
        <f>Trade!AI5</f>
        <v>2973.4668221584402</v>
      </c>
      <c r="R31" s="558">
        <f>Trade!AJ5</f>
        <v>3140.6395578060606</v>
      </c>
      <c r="S31" s="558">
        <f>Trade!AK5</f>
        <v>3298.4752801084705</v>
      </c>
      <c r="T31" s="558">
        <f>Trade!AL5</f>
        <v>3051.7187217447872</v>
      </c>
      <c r="U31" s="558">
        <f>Trade!AM5</f>
        <v>3206.4233036194364</v>
      </c>
      <c r="V31" s="558">
        <f>Trade!AN5</f>
        <v>3486.8409223060944</v>
      </c>
      <c r="W31" s="558">
        <f>Trade!AO5</f>
        <v>3794.5847221810568</v>
      </c>
      <c r="X31" s="558">
        <f>Trade!AP5</f>
        <v>4161.3641181863914</v>
      </c>
    </row>
    <row r="32" spans="1:24" ht="30">
      <c r="A32" s="557" t="s">
        <v>1068</v>
      </c>
      <c r="B32" s="558">
        <f>Trade!T12</f>
        <v>0</v>
      </c>
      <c r="C32" s="558">
        <f>Trade!U12</f>
        <v>0</v>
      </c>
      <c r="D32" s="558">
        <f>Trade!V12</f>
        <v>91.128619666427923</v>
      </c>
      <c r="E32" s="558">
        <f>Trade!W12</f>
        <v>100.90949921401302</v>
      </c>
      <c r="F32" s="558">
        <f>Trade!X12</f>
        <v>133.30366084344053</v>
      </c>
      <c r="G32" s="558">
        <f>Trade!Y12</f>
        <v>89.590984974958261</v>
      </c>
      <c r="H32" s="558">
        <f>Trade!Z12</f>
        <v>109.41954719090657</v>
      </c>
      <c r="I32" s="558">
        <f>Trade!AA12</f>
        <v>119.79734332425068</v>
      </c>
      <c r="J32" s="558">
        <f>Trade!AB12</f>
        <v>152.78982159357452</v>
      </c>
      <c r="K32" s="558">
        <f t="shared" ref="K32" si="25">K31/J31*100</f>
        <v>99.646445850390776</v>
      </c>
      <c r="L32" s="558">
        <f t="shared" ref="L32" si="26">L31/K31*100</f>
        <v>86.903734827264245</v>
      </c>
      <c r="M32" s="558">
        <f t="shared" ref="M32" si="27">M31/L31*100</f>
        <v>104.62116662136216</v>
      </c>
      <c r="N32" s="558">
        <f t="shared" ref="N32" si="28">N31/M31*100</f>
        <v>127.74839537869063</v>
      </c>
      <c r="O32" s="558">
        <f t="shared" ref="O32" si="29">O31/N31*100</f>
        <v>107.431373080493</v>
      </c>
      <c r="P32" s="558">
        <f t="shared" ref="P32" si="30">P31/O31*100</f>
        <v>106.27336284821902</v>
      </c>
      <c r="Q32" s="558">
        <f t="shared" ref="Q32" si="31">Q31/P31*100</f>
        <v>104.68263047346966</v>
      </c>
      <c r="R32" s="558">
        <f t="shared" ref="R32" si="32">R31/Q31*100</f>
        <v>105.62214901480789</v>
      </c>
      <c r="S32" s="558">
        <f t="shared" ref="S32" si="33">S31/R31*100</f>
        <v>105.02559174325208</v>
      </c>
      <c r="T32" s="558">
        <f t="shared" ref="T32" si="34">T31/S31*100</f>
        <v>92.519072073944159</v>
      </c>
      <c r="U32" s="558">
        <f t="shared" ref="U32" si="35">U31/T31*100</f>
        <v>105.06942467444046</v>
      </c>
      <c r="V32" s="558">
        <f t="shared" ref="V32" si="36">V31/U31*100</f>
        <v>108.74549590411597</v>
      </c>
      <c r="W32" s="558">
        <f t="shared" ref="W32" si="37">W31/V31*100</f>
        <v>108.82586291523243</v>
      </c>
      <c r="X32" s="558">
        <f t="shared" ref="X32" si="38">X31/W31*100</f>
        <v>109.6658639313373</v>
      </c>
    </row>
    <row r="33" spans="1:24" ht="30">
      <c r="A33" s="557" t="s">
        <v>1077</v>
      </c>
      <c r="B33" s="558">
        <f>Trade!T43</f>
        <v>4045.4</v>
      </c>
      <c r="C33" s="558">
        <f>Trade!U43</f>
        <v>4297.3999999999996</v>
      </c>
      <c r="D33" s="558">
        <f>Trade!V43</f>
        <v>3435.6</v>
      </c>
      <c r="E33" s="558">
        <f>Trade!W43</f>
        <v>3031.2</v>
      </c>
      <c r="F33" s="558">
        <f>Trade!X43</f>
        <v>2774.9</v>
      </c>
      <c r="G33" s="558">
        <f>Trade!Y43</f>
        <v>3151</v>
      </c>
      <c r="H33" s="558">
        <f>Trade!Z43</f>
        <v>3349.3</v>
      </c>
      <c r="I33" s="558">
        <f>Trade!AA43</f>
        <v>3150</v>
      </c>
      <c r="J33" s="558">
        <f>Trade!AB43</f>
        <v>4209.5</v>
      </c>
      <c r="K33" s="558">
        <f>Trade!AC43</f>
        <v>5167.5</v>
      </c>
      <c r="L33" s="558">
        <f>Trade!AD43</f>
        <v>5880.1</v>
      </c>
      <c r="M33" s="558">
        <f>Trade!AE43</f>
        <v>7007.6</v>
      </c>
      <c r="N33" s="558">
        <f>Trade!AF43</f>
        <v>8305.2000000000007</v>
      </c>
      <c r="O33" s="558">
        <f>Trade!AG43</f>
        <v>8349.0359625222663</v>
      </c>
      <c r="P33" s="558">
        <f>Trade!AH43</f>
        <v>8360.0847918253094</v>
      </c>
      <c r="Q33" s="558">
        <f>Trade!AI43</f>
        <v>8363.0526514601843</v>
      </c>
      <c r="R33" s="558">
        <f>Trade!AJ43</f>
        <v>8523.8791265756172</v>
      </c>
      <c r="S33" s="558">
        <f>Trade!AK43</f>
        <v>8680.9080435574015</v>
      </c>
      <c r="T33" s="558">
        <f>Trade!AL43</f>
        <v>8924.4478678583273</v>
      </c>
      <c r="U33" s="558">
        <f>Trade!AM43</f>
        <v>9094.0526202244091</v>
      </c>
      <c r="V33" s="558">
        <f>Trade!AN43</f>
        <v>8353.5516570309264</v>
      </c>
      <c r="W33" s="558">
        <f>Trade!AO43</f>
        <v>7584.1718351028503</v>
      </c>
      <c r="X33" s="558">
        <f>Trade!AP43</f>
        <v>9403.3083700360949</v>
      </c>
    </row>
    <row r="34" spans="1:24" ht="30">
      <c r="A34" s="557" t="s">
        <v>1068</v>
      </c>
      <c r="B34" s="558"/>
      <c r="C34" s="558">
        <f>C33/B33*100</f>
        <v>106.2292974736738</v>
      </c>
      <c r="D34" s="558">
        <f>D33/C33*100</f>
        <v>79.94601386885094</v>
      </c>
      <c r="E34" s="558">
        <f>E33/D33*100</f>
        <v>88.229130282920011</v>
      </c>
      <c r="F34" s="558">
        <f>F33/E33*100</f>
        <v>91.544602797571926</v>
      </c>
      <c r="G34" s="558">
        <f>G33/F33*100</f>
        <v>113.55364157266928</v>
      </c>
      <c r="H34" s="558">
        <f>Trade!Z93</f>
        <v>106.29324024119329</v>
      </c>
      <c r="I34" s="558">
        <f>Trade!AA93</f>
        <v>94.049502881199061</v>
      </c>
      <c r="J34" s="558">
        <f>Trade!AB93</f>
        <v>133.63492063492063</v>
      </c>
      <c r="K34" s="558">
        <f t="shared" ref="K34" si="39">K33/J33*100</f>
        <v>122.75804727402304</v>
      </c>
      <c r="L34" s="558">
        <f t="shared" ref="L34" si="40">L33/K33*100</f>
        <v>113.79003386550556</v>
      </c>
      <c r="M34" s="558">
        <f t="shared" ref="M34" si="41">M33/L33*100</f>
        <v>119.17484396523868</v>
      </c>
      <c r="N34" s="558">
        <f t="shared" ref="N34" si="42">N33/M33*100</f>
        <v>118.5170386437582</v>
      </c>
      <c r="O34" s="558">
        <f t="shared" ref="O34" si="43">O33/N33*100</f>
        <v>100.52781344846922</v>
      </c>
      <c r="P34" s="558">
        <f t="shared" ref="P34" si="44">P33/O33*100</f>
        <v>100.13233658775265</v>
      </c>
      <c r="Q34" s="558">
        <f t="shared" ref="Q34" si="45">Q33/P33*100</f>
        <v>100.03550035327126</v>
      </c>
      <c r="R34" s="558">
        <f t="shared" ref="R34" si="46">R33/Q33*100</f>
        <v>101.92305945948281</v>
      </c>
      <c r="S34" s="558">
        <f t="shared" ref="S34" si="47">S33/R33*100</f>
        <v>101.84222364782487</v>
      </c>
      <c r="T34" s="558">
        <f t="shared" ref="T34" si="48">T33/S33*100</f>
        <v>102.80546485550749</v>
      </c>
      <c r="U34" s="558">
        <f t="shared" ref="U34" si="49">U33/T33*100</f>
        <v>101.90045092847613</v>
      </c>
      <c r="V34" s="558">
        <f t="shared" ref="V34" si="50">V33/U33*100</f>
        <v>91.857305052901594</v>
      </c>
      <c r="W34" s="558">
        <f t="shared" ref="W34" si="51">W33/V33*100</f>
        <v>90.789787942706823</v>
      </c>
      <c r="X34" s="558">
        <f t="shared" ref="X34" si="52">X33/W33*100</f>
        <v>123.9859614798479</v>
      </c>
    </row>
    <row r="35" spans="1:24" hidden="1">
      <c r="A35" s="557" t="s">
        <v>1078</v>
      </c>
      <c r="B35" s="558"/>
      <c r="C35" s="558">
        <v>5.16</v>
      </c>
      <c r="D35" s="558">
        <v>6.16</v>
      </c>
      <c r="E35" s="558">
        <v>7.84</v>
      </c>
      <c r="F35" s="564"/>
      <c r="G35" s="558"/>
      <c r="H35" s="559"/>
      <c r="I35" s="564"/>
      <c r="J35" s="558"/>
      <c r="K35" s="94"/>
    </row>
    <row r="36" spans="1:24" hidden="1">
      <c r="A36" s="557" t="s">
        <v>1079</v>
      </c>
      <c r="B36" s="558"/>
      <c r="C36" s="558">
        <v>97.387119094673437</v>
      </c>
      <c r="D36" s="558">
        <v>50.793041982976774</v>
      </c>
      <c r="E36" s="558">
        <v>42.7</v>
      </c>
      <c r="F36" s="564">
        <v>54.4</v>
      </c>
      <c r="G36" s="558">
        <v>71.069999999999993</v>
      </c>
      <c r="H36" s="559">
        <v>64.03</v>
      </c>
      <c r="I36" s="564">
        <v>42.8</v>
      </c>
      <c r="J36" s="558">
        <v>71</v>
      </c>
      <c r="K36" s="94"/>
    </row>
    <row r="37" spans="1:24" ht="30" hidden="1">
      <c r="A37" s="557" t="s">
        <v>1080</v>
      </c>
      <c r="B37" s="558"/>
      <c r="C37" s="558">
        <v>44.45</v>
      </c>
      <c r="D37" s="558">
        <v>61</v>
      </c>
      <c r="E37" s="558">
        <v>67.03</v>
      </c>
      <c r="F37" s="564">
        <v>61</v>
      </c>
      <c r="G37" s="558">
        <v>63</v>
      </c>
      <c r="H37" s="559">
        <v>65.400000000000006</v>
      </c>
      <c r="I37" s="564">
        <v>71.900000000000006</v>
      </c>
      <c r="J37" s="558">
        <v>73.599999999999994</v>
      </c>
      <c r="K37" s="94"/>
    </row>
    <row r="38" spans="1:24" ht="30" hidden="1">
      <c r="A38" s="565" t="s">
        <v>1081</v>
      </c>
      <c r="B38" s="566">
        <v>0</v>
      </c>
      <c r="C38" s="566">
        <v>3900</v>
      </c>
      <c r="D38" s="566">
        <v>2629.2</v>
      </c>
      <c r="E38" s="567">
        <v>2185.6999999999998</v>
      </c>
      <c r="F38" s="567">
        <v>2632</v>
      </c>
      <c r="G38" s="568">
        <v>2568.6</v>
      </c>
      <c r="H38" s="569">
        <v>2731.6</v>
      </c>
      <c r="I38" s="567">
        <v>2559.8000000000002</v>
      </c>
    </row>
    <row r="39" spans="1:24" hidden="1">
      <c r="A39" s="565" t="s">
        <v>1082</v>
      </c>
      <c r="B39" s="568" t="e">
        <f>B38/#REF!*100</f>
        <v>#REF!</v>
      </c>
      <c r="C39" s="568" t="e">
        <f t="shared" ref="C39:E39" si="53">C38/B38*100</f>
        <v>#DIV/0!</v>
      </c>
      <c r="D39" s="568">
        <f>D38/C38*100</f>
        <v>67.41538461538461</v>
      </c>
      <c r="E39" s="567">
        <f t="shared" si="53"/>
        <v>83.131751102997114</v>
      </c>
      <c r="F39" s="567">
        <f>F38/E38*100</f>
        <v>120.41908770645561</v>
      </c>
      <c r="G39" s="568">
        <f>G38/F38*100</f>
        <v>97.591185410334347</v>
      </c>
      <c r="H39" s="569">
        <f>H38/G38*100</f>
        <v>106.34586934516857</v>
      </c>
      <c r="I39" s="567">
        <f>I38/H38*100</f>
        <v>93.710645775369755</v>
      </c>
    </row>
    <row r="40" spans="1:24" hidden="1">
      <c r="A40" s="565"/>
      <c r="B40" s="568"/>
      <c r="C40" s="568"/>
      <c r="D40" s="568"/>
      <c r="E40" s="567"/>
      <c r="F40" s="567"/>
      <c r="G40" s="568"/>
      <c r="H40" s="569"/>
      <c r="I40" s="567"/>
    </row>
    <row r="41" spans="1:24" hidden="1">
      <c r="A41" s="570"/>
      <c r="B41" s="94"/>
      <c r="C41" s="94"/>
      <c r="D41" s="94"/>
      <c r="E41" s="571">
        <f>E31-E33</f>
        <v>-2132.5</v>
      </c>
      <c r="F41" s="126">
        <f>F31-F33</f>
        <v>-1576.9</v>
      </c>
      <c r="G41" s="94">
        <f>G31-G33</f>
        <v>-2077.6999999999998</v>
      </c>
      <c r="H41" s="571">
        <f>H31-H33</f>
        <v>-2174.9</v>
      </c>
      <c r="I41" s="126">
        <f>I31-I33</f>
        <v>-1743.1</v>
      </c>
    </row>
    <row r="42" spans="1:24" hidden="1">
      <c r="A42" s="570" t="s">
        <v>1083</v>
      </c>
      <c r="B42" s="572">
        <v>0</v>
      </c>
      <c r="C42" s="572">
        <v>0.42200273644604069</v>
      </c>
      <c r="D42" s="572">
        <v>0.31793899649648671</v>
      </c>
      <c r="E42" s="573">
        <v>0.31257852065055314</v>
      </c>
      <c r="F42" s="574">
        <v>0.34923651533422412</v>
      </c>
      <c r="G42" s="572">
        <v>0.33079140097271009</v>
      </c>
    </row>
    <row r="43" spans="1:24" hidden="1">
      <c r="A43" s="570" t="s">
        <v>546</v>
      </c>
      <c r="B43" s="576">
        <v>1053.5032114520802</v>
      </c>
      <c r="C43" s="576">
        <v>1119.3134612656791</v>
      </c>
      <c r="D43" s="576">
        <v>978.45729580663465</v>
      </c>
      <c r="E43" s="576">
        <v>808.65536780846389</v>
      </c>
      <c r="F43" s="577">
        <v>852.82524533024548</v>
      </c>
      <c r="G43" s="576">
        <v>860.01835824809871</v>
      </c>
    </row>
    <row r="44" spans="1:24" ht="15.75">
      <c r="B44" s="578"/>
      <c r="F44"/>
    </row>
    <row r="45" spans="1:24" ht="15.75">
      <c r="B45" s="578"/>
      <c r="F45"/>
    </row>
    <row r="46" spans="1:24" ht="15.75">
      <c r="B46" s="578"/>
      <c r="F46"/>
    </row>
    <row r="47" spans="1:24" ht="15.75">
      <c r="B47" s="578"/>
      <c r="F47"/>
    </row>
    <row r="48" spans="1:24" ht="15.75">
      <c r="B48" s="578"/>
    </row>
    <row r="50" spans="12:12">
      <c r="L50" t="s">
        <v>358</v>
      </c>
    </row>
  </sheetData>
  <mergeCells count="1">
    <mergeCell ref="A1:J1"/>
  </mergeCells>
  <pageMargins left="0.70866141732283472" right="0.70866141732283472" top="0.74803149606299213" bottom="0.74803149606299213" header="0.31496062992125984" footer="0.31496062992125984"/>
  <pageSetup paperSize="9" scale="7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S-1 реалистичный сценарий</vt:lpstr>
      <vt:lpstr>GDP</vt:lpstr>
      <vt:lpstr>Agriculture</vt:lpstr>
      <vt:lpstr>Industry</vt:lpstr>
      <vt:lpstr>Industry-2</vt:lpstr>
      <vt:lpstr>OEA</vt:lpstr>
      <vt:lpstr>Household</vt:lpstr>
      <vt:lpstr>Assumptions</vt:lpstr>
      <vt:lpstr>Trade</vt:lpstr>
      <vt:lpstr>Monetary</vt:lpstr>
      <vt:lpstr>BoP</vt:lpstr>
      <vt:lpstr>Revenue Model</vt:lpstr>
      <vt:lpstr>gateway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Jaolov Muhammad</dc:creator>
  <cp:lastModifiedBy>марказ</cp:lastModifiedBy>
  <cp:lastPrinted>2025-04-16T11:35:12Z</cp:lastPrinted>
  <dcterms:created xsi:type="dcterms:W3CDTF">2015-06-05T18:19:34Z</dcterms:created>
  <dcterms:modified xsi:type="dcterms:W3CDTF">2026-04-29T10:10:45Z</dcterms:modified>
</cp:coreProperties>
</file>