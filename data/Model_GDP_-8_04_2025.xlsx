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Jaolov Muhammad\Desktop\Новая папка\модель-цифровизация макро-данных\"/>
    </mc:Choice>
  </mc:AlternateContent>
  <xr:revisionPtr revIDLastSave="0" documentId="13_ncr:1_{03B2A09E-1A0C-4825-8544-5CF3708795CE}" xr6:coauthVersionLast="47" xr6:coauthVersionMax="47" xr10:uidLastSave="{00000000-0000-0000-0000-000000000000}"/>
  <bookViews>
    <workbookView xWindow="-120" yWindow="-120" windowWidth="29040" windowHeight="15720" tabRatio="603" activeTab="1" xr2:uid="{00000000-000D-0000-FFFF-FFFF00000000}"/>
  </bookViews>
  <sheets>
    <sheet name="GDP" sheetId="1" r:id="rId1"/>
    <sheet name="Agriculture" sheetId="11" r:id="rId2"/>
    <sheet name="Industry" sheetId="2" r:id="rId3"/>
    <sheet name="OEA" sheetId="3" r:id="rId4"/>
    <sheet name="Household" sheetId="4" r:id="rId5"/>
    <sheet name="Assumptions" sheetId="5" r:id="rId6"/>
    <sheet name="Trade" sheetId="6" r:id="rId7"/>
    <sheet name="Monetary" sheetId="7" r:id="rId8"/>
    <sheet name="BoP" sheetId="8" r:id="rId9"/>
    <sheet name="Revenue Model" sheetId="9" r:id="rId10"/>
    <sheet name="gateway" sheetId="10" r:id="rId11"/>
    <sheet name="Results" sheetId="12" r:id="rId12"/>
  </sheets>
  <externalReferences>
    <externalReference r:id="rId13"/>
    <externalReference r:id="rId14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11" i="11" l="1"/>
  <c r="J15" i="12" l="1"/>
  <c r="K15" i="12"/>
  <c r="M15" i="12"/>
  <c r="D80" i="1"/>
  <c r="E79" i="1"/>
  <c r="F79" i="1"/>
  <c r="G79" i="1"/>
  <c r="H79" i="1"/>
  <c r="I79" i="1"/>
  <c r="J79" i="1"/>
  <c r="K79" i="1"/>
  <c r="E80" i="1"/>
  <c r="F80" i="1"/>
  <c r="G80" i="1"/>
  <c r="H80" i="1"/>
  <c r="I80" i="1"/>
  <c r="J80" i="1"/>
  <c r="K80" i="1"/>
  <c r="E81" i="1"/>
  <c r="F81" i="1"/>
  <c r="G81" i="1"/>
  <c r="H81" i="1"/>
  <c r="I81" i="1"/>
  <c r="J81" i="1"/>
  <c r="K81" i="1"/>
  <c r="E82" i="1"/>
  <c r="F82" i="1"/>
  <c r="G82" i="1"/>
  <c r="H82" i="1"/>
  <c r="I82" i="1"/>
  <c r="J82" i="1"/>
  <c r="K82" i="1"/>
  <c r="E83" i="1"/>
  <c r="F83" i="1"/>
  <c r="G83" i="1"/>
  <c r="H83" i="1"/>
  <c r="I83" i="1"/>
  <c r="J83" i="1"/>
  <c r="K83" i="1"/>
  <c r="E84" i="1"/>
  <c r="F84" i="1"/>
  <c r="G84" i="1"/>
  <c r="H84" i="1"/>
  <c r="I84" i="1"/>
  <c r="J84" i="1"/>
  <c r="K84" i="1"/>
  <c r="E85" i="1"/>
  <c r="F85" i="1"/>
  <c r="G85" i="1"/>
  <c r="H85" i="1"/>
  <c r="I85" i="1"/>
  <c r="J85" i="1"/>
  <c r="K85" i="1"/>
  <c r="E86" i="1"/>
  <c r="F86" i="1"/>
  <c r="G86" i="1"/>
  <c r="H86" i="1"/>
  <c r="I86" i="1"/>
  <c r="J86" i="1"/>
  <c r="K86" i="1"/>
  <c r="E87" i="1"/>
  <c r="F87" i="1"/>
  <c r="G87" i="1"/>
  <c r="H87" i="1"/>
  <c r="I87" i="1"/>
  <c r="J87" i="1"/>
  <c r="K87" i="1"/>
  <c r="E88" i="1"/>
  <c r="F88" i="1"/>
  <c r="G88" i="1"/>
  <c r="H88" i="1"/>
  <c r="I88" i="1"/>
  <c r="J88" i="1"/>
  <c r="K88" i="1"/>
  <c r="E89" i="1"/>
  <c r="F89" i="1"/>
  <c r="G89" i="1"/>
  <c r="H89" i="1"/>
  <c r="I89" i="1"/>
  <c r="J89" i="1"/>
  <c r="K89" i="1"/>
  <c r="E90" i="1"/>
  <c r="F90" i="1"/>
  <c r="G90" i="1"/>
  <c r="H90" i="1"/>
  <c r="I90" i="1"/>
  <c r="J90" i="1"/>
  <c r="K90" i="1"/>
  <c r="D81" i="1"/>
  <c r="D82" i="1"/>
  <c r="D83" i="1"/>
  <c r="D84" i="1"/>
  <c r="D85" i="1"/>
  <c r="D86" i="1"/>
  <c r="D87" i="1"/>
  <c r="D88" i="1"/>
  <c r="D89" i="1"/>
  <c r="D90" i="1"/>
  <c r="D79" i="1"/>
  <c r="I133" i="1" l="1"/>
  <c r="AD125" i="1"/>
  <c r="AC125" i="1"/>
  <c r="T125" i="1"/>
  <c r="S125" i="1"/>
  <c r="U125" i="1"/>
  <c r="V125" i="1"/>
  <c r="W125" i="1"/>
  <c r="X125" i="1"/>
  <c r="Y125" i="1"/>
  <c r="Z125" i="1"/>
  <c r="AA125" i="1"/>
  <c r="AB125" i="1"/>
  <c r="R125" i="1"/>
  <c r="Q125" i="1"/>
  <c r="O131" i="1"/>
  <c r="P131" i="1"/>
  <c r="D133" i="1" l="1"/>
  <c r="E133" i="1"/>
  <c r="F133" i="1"/>
  <c r="G133" i="1"/>
  <c r="H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3" i="1"/>
  <c r="B3" i="12"/>
  <c r="C3" i="12"/>
  <c r="B4" i="12"/>
  <c r="C4" i="12"/>
  <c r="B5" i="12"/>
  <c r="C5" i="12"/>
  <c r="B6" i="12"/>
  <c r="C6" i="12"/>
  <c r="D6" i="12"/>
  <c r="B7" i="12"/>
  <c r="C7" i="12"/>
  <c r="D7" i="12"/>
  <c r="E7" i="12"/>
  <c r="F7" i="12"/>
  <c r="G7" i="12"/>
  <c r="H7" i="12"/>
  <c r="B8" i="12"/>
  <c r="C8" i="12"/>
  <c r="D8" i="12"/>
  <c r="B9" i="12"/>
  <c r="C9" i="12"/>
  <c r="D9" i="12"/>
  <c r="E9" i="12"/>
  <c r="F9" i="12"/>
  <c r="G9" i="12"/>
  <c r="H9" i="12"/>
  <c r="B10" i="12"/>
  <c r="C10" i="12"/>
  <c r="D10" i="12"/>
  <c r="E10" i="12"/>
  <c r="F10" i="12"/>
  <c r="G10" i="12"/>
  <c r="H10" i="12"/>
  <c r="B11" i="12"/>
  <c r="C11" i="12"/>
  <c r="D11" i="12"/>
  <c r="E11" i="12"/>
  <c r="F11" i="12"/>
  <c r="G11" i="12"/>
  <c r="H11" i="12"/>
  <c r="B12" i="12"/>
  <c r="C12" i="12"/>
  <c r="D12" i="12"/>
  <c r="E12" i="12"/>
  <c r="F12" i="12"/>
  <c r="G12" i="12"/>
  <c r="H12" i="12"/>
  <c r="B13" i="12"/>
  <c r="C13" i="12"/>
  <c r="B14" i="12"/>
  <c r="C14" i="12"/>
  <c r="B16" i="12"/>
  <c r="C16" i="12"/>
  <c r="B17" i="12"/>
  <c r="C17" i="12"/>
  <c r="D17" i="12"/>
  <c r="E17" i="12"/>
  <c r="F17" i="12"/>
  <c r="G17" i="12"/>
  <c r="H17" i="12"/>
  <c r="B18" i="12"/>
  <c r="C18" i="12"/>
  <c r="D18" i="12"/>
  <c r="E18" i="12"/>
  <c r="F18" i="12"/>
  <c r="G18" i="12"/>
  <c r="H18" i="12"/>
  <c r="B19" i="12"/>
  <c r="C19" i="12"/>
  <c r="D19" i="12"/>
  <c r="E19" i="12"/>
  <c r="F19" i="12"/>
  <c r="G19" i="12"/>
  <c r="H19" i="12"/>
  <c r="B20" i="12"/>
  <c r="C20" i="12"/>
  <c r="D20" i="12"/>
  <c r="E20" i="12"/>
  <c r="F20" i="12"/>
  <c r="G20" i="12"/>
  <c r="H20" i="12"/>
  <c r="B21" i="12"/>
  <c r="C21" i="12"/>
  <c r="D21" i="12"/>
  <c r="E21" i="12"/>
  <c r="F21" i="12"/>
  <c r="G21" i="12"/>
  <c r="H21" i="12"/>
  <c r="B22" i="12"/>
  <c r="C22" i="12"/>
  <c r="D22" i="12"/>
  <c r="G22" i="12"/>
  <c r="H22" i="12"/>
  <c r="B23" i="12"/>
  <c r="C23" i="12"/>
  <c r="B24" i="12"/>
  <c r="C24" i="12"/>
  <c r="D24" i="12"/>
  <c r="E24" i="12"/>
  <c r="F24" i="12"/>
  <c r="G24" i="12"/>
  <c r="H24" i="12"/>
  <c r="B25" i="12"/>
  <c r="C25" i="12"/>
  <c r="D25" i="12"/>
  <c r="E25" i="12"/>
  <c r="F25" i="12"/>
  <c r="G25" i="12"/>
  <c r="H25" i="12"/>
  <c r="B26" i="12"/>
  <c r="C26" i="12"/>
  <c r="D26" i="12"/>
  <c r="E26" i="12"/>
  <c r="F26" i="12"/>
  <c r="G26" i="12"/>
  <c r="H26" i="12"/>
  <c r="B27" i="12"/>
  <c r="C27" i="12"/>
  <c r="D27" i="12"/>
  <c r="B28" i="12"/>
  <c r="C28" i="12"/>
  <c r="D28" i="12"/>
  <c r="E28" i="12"/>
  <c r="H28" i="12"/>
  <c r="B30" i="12"/>
  <c r="C30" i="12"/>
  <c r="D30" i="12"/>
  <c r="B31" i="12"/>
  <c r="C31" i="12"/>
  <c r="C29" i="12" s="1"/>
  <c r="D31" i="12"/>
  <c r="D29" i="12" s="1"/>
  <c r="E31" i="12"/>
  <c r="F31" i="12"/>
  <c r="G31" i="12"/>
  <c r="H31" i="12"/>
  <c r="B32" i="12"/>
  <c r="C32" i="12"/>
  <c r="D32" i="12"/>
  <c r="B33" i="12"/>
  <c r="C33" i="12"/>
  <c r="D33" i="12"/>
  <c r="E33" i="12"/>
  <c r="F33" i="12"/>
  <c r="F34" i="12" s="1"/>
  <c r="G33" i="12"/>
  <c r="H33" i="12"/>
  <c r="Z93" i="6"/>
  <c r="H34" i="12"/>
  <c r="V4" i="10"/>
  <c r="W4" i="10"/>
  <c r="X4" i="10"/>
  <c r="Y4" i="10"/>
  <c r="Z4" i="10"/>
  <c r="AA4" i="10"/>
  <c r="V5" i="10"/>
  <c r="W5" i="10"/>
  <c r="X5" i="10"/>
  <c r="Y5" i="10"/>
  <c r="Z5" i="10"/>
  <c r="AA5" i="10"/>
  <c r="V7" i="10"/>
  <c r="W7" i="10"/>
  <c r="X7" i="10"/>
  <c r="Y7" i="10"/>
  <c r="Z7" i="10"/>
  <c r="AA7" i="10"/>
  <c r="V8" i="10"/>
  <c r="W8" i="10"/>
  <c r="X8" i="10"/>
  <c r="Y8" i="10"/>
  <c r="Z8" i="10"/>
  <c r="AA8" i="10"/>
  <c r="V13" i="10"/>
  <c r="W13" i="10"/>
  <c r="X13" i="10"/>
  <c r="Y13" i="10"/>
  <c r="Z13" i="10"/>
  <c r="AA13" i="10"/>
  <c r="V21" i="10"/>
  <c r="W21" i="10"/>
  <c r="X21" i="10"/>
  <c r="Y21" i="10"/>
  <c r="Z21" i="10"/>
  <c r="AA21" i="10"/>
  <c r="V23" i="10"/>
  <c r="W23" i="10"/>
  <c r="X23" i="10"/>
  <c r="Y23" i="10"/>
  <c r="Z23" i="10"/>
  <c r="AA23" i="10"/>
  <c r="V27" i="10"/>
  <c r="I14" i="2"/>
  <c r="F29" i="12" l="1"/>
  <c r="E29" i="12"/>
  <c r="G34" i="12"/>
  <c r="H29" i="12"/>
  <c r="B29" i="12"/>
  <c r="G29" i="12"/>
  <c r="C15" i="12"/>
  <c r="B15" i="12"/>
  <c r="AD50" i="8" l="1"/>
  <c r="AE47" i="4" l="1"/>
  <c r="AD47" i="4"/>
  <c r="AC230" i="2" l="1"/>
  <c r="AE219" i="2" l="1"/>
  <c r="AE218" i="2"/>
  <c r="AE217" i="2"/>
  <c r="AD219" i="2"/>
  <c r="AC219" i="2"/>
  <c r="AC218" i="2"/>
  <c r="AD218" i="2"/>
  <c r="AC217" i="2"/>
  <c r="AD217" i="2"/>
  <c r="AD230" i="2"/>
  <c r="AE230" i="2"/>
  <c r="W219" i="2"/>
  <c r="X219" i="2"/>
  <c r="Y219" i="2"/>
  <c r="Z219" i="2"/>
  <c r="AA219" i="2"/>
  <c r="AB219" i="2"/>
  <c r="W218" i="2"/>
  <c r="X218" i="2"/>
  <c r="Y218" i="2"/>
  <c r="Z218" i="2"/>
  <c r="AA218" i="2"/>
  <c r="AB218" i="2"/>
  <c r="W217" i="2"/>
  <c r="X217" i="2"/>
  <c r="Y217" i="2"/>
  <c r="Z217" i="2"/>
  <c r="AA217" i="2"/>
  <c r="AB217" i="2"/>
  <c r="Y106" i="1" l="1"/>
  <c r="L20" i="12" l="1"/>
  <c r="M20" i="12"/>
  <c r="AE14" i="4" l="1"/>
  <c r="X14" i="4"/>
  <c r="Y14" i="4"/>
  <c r="Z14" i="4"/>
  <c r="AA14" i="4"/>
  <c r="AB14" i="4"/>
  <c r="AC14" i="4"/>
  <c r="AD14" i="4"/>
  <c r="W14" i="4"/>
  <c r="W13" i="4"/>
  <c r="AD22" i="1" l="1"/>
  <c r="AD21" i="1"/>
  <c r="AE38" i="1" s="1"/>
  <c r="AD20" i="1"/>
  <c r="AD17" i="1"/>
  <c r="AD14" i="1"/>
  <c r="AE23" i="4"/>
  <c r="X22" i="4"/>
  <c r="Y22" i="4"/>
  <c r="Z22" i="4"/>
  <c r="AA22" i="4"/>
  <c r="AB22" i="4"/>
  <c r="AC22" i="4"/>
  <c r="AD22" i="4"/>
  <c r="AE22" i="4"/>
  <c r="X23" i="4"/>
  <c r="Y23" i="4"/>
  <c r="Z23" i="4"/>
  <c r="AA23" i="4"/>
  <c r="AB23" i="4"/>
  <c r="AC23" i="4"/>
  <c r="AD23" i="4"/>
  <c r="W23" i="4"/>
  <c r="W22" i="4"/>
  <c r="AE90" i="6"/>
  <c r="AE40" i="6"/>
  <c r="AD40" i="6"/>
  <c r="AE13" i="6" l="1"/>
  <c r="AE15" i="8"/>
  <c r="AE14" i="8"/>
  <c r="AE36" i="3"/>
  <c r="AD36" i="3"/>
  <c r="AE35" i="3"/>
  <c r="AE37" i="2" l="1"/>
  <c r="AE36" i="2"/>
  <c r="AE45" i="5"/>
  <c r="X40" i="6" l="1"/>
  <c r="Y40" i="6"/>
  <c r="Z40" i="6"/>
  <c r="AA40" i="6"/>
  <c r="AB40" i="6"/>
  <c r="AC40" i="6"/>
  <c r="W40" i="6"/>
  <c r="X13" i="6"/>
  <c r="Y13" i="6"/>
  <c r="Z13" i="6"/>
  <c r="AA13" i="6"/>
  <c r="AB13" i="6"/>
  <c r="AC13" i="6"/>
  <c r="AD13" i="6"/>
  <c r="W13" i="6"/>
  <c r="X13" i="4"/>
  <c r="Y13" i="4"/>
  <c r="Z13" i="4"/>
  <c r="AA13" i="4"/>
  <c r="AB13" i="4"/>
  <c r="AE21" i="3"/>
  <c r="X21" i="3"/>
  <c r="Y21" i="3"/>
  <c r="Z21" i="3"/>
  <c r="AA21" i="3"/>
  <c r="AB21" i="3"/>
  <c r="AC21" i="3"/>
  <c r="AD21" i="3"/>
  <c r="W21" i="3"/>
  <c r="Z20" i="3"/>
  <c r="AE36" i="9"/>
  <c r="AC12" i="11"/>
  <c r="AD12" i="11"/>
  <c r="AE12" i="11"/>
  <c r="AB12" i="11"/>
  <c r="AE49" i="5" l="1"/>
  <c r="AD106" i="11" l="1"/>
  <c r="AE79" i="11"/>
  <c r="AE74" i="11" s="1"/>
  <c r="AE73" i="11"/>
  <c r="AE68" i="11" s="1"/>
  <c r="AE67" i="11"/>
  <c r="AE62" i="11" s="1"/>
  <c r="AE57" i="11"/>
  <c r="AE52" i="11" s="1"/>
  <c r="AE51" i="11"/>
  <c r="AE42" i="11" s="1"/>
  <c r="AE46" i="11"/>
  <c r="AE44" i="11" s="1"/>
  <c r="AE43" i="11" s="1"/>
  <c r="AC45" i="11" s="1"/>
  <c r="AD46" i="11"/>
  <c r="AD44" i="11" s="1"/>
  <c r="AD43" i="11" s="1"/>
  <c r="AC46" i="11" s="1"/>
  <c r="AE41" i="11"/>
  <c r="AE36" i="11" s="1"/>
  <c r="AE28" i="11"/>
  <c r="AE23" i="11" s="1"/>
  <c r="AE29" i="11" l="1"/>
  <c r="AE35" i="11"/>
  <c r="AE15" i="3" l="1"/>
  <c r="AD15" i="3"/>
  <c r="AC15" i="3"/>
  <c r="AE43" i="8" l="1"/>
  <c r="AE44" i="3" l="1"/>
  <c r="AD35" i="3" l="1"/>
  <c r="AE194" i="2"/>
  <c r="AE195" i="2" s="1"/>
  <c r="AE201" i="2" l="1"/>
  <c r="AE48" i="5" s="1"/>
  <c r="AE211" i="2"/>
  <c r="AE213" i="2"/>
  <c r="AE150" i="2"/>
  <c r="AD150" i="2"/>
  <c r="AC150" i="2"/>
  <c r="AB150" i="2"/>
  <c r="AA150" i="2"/>
  <c r="Z150" i="2"/>
  <c r="Y150" i="2"/>
  <c r="X150" i="2"/>
  <c r="W150" i="2"/>
  <c r="V150" i="2"/>
  <c r="AE149" i="2"/>
  <c r="AE106" i="11" l="1"/>
  <c r="AE26" i="11"/>
  <c r="AE14" i="3" l="1"/>
  <c r="AE6" i="3"/>
  <c r="AD36" i="9" l="1"/>
  <c r="AC36" i="9"/>
  <c r="AE33" i="9"/>
  <c r="AD33" i="9"/>
  <c r="AE26" i="9"/>
  <c r="AE25" i="9" s="1"/>
  <c r="AE24" i="9" s="1"/>
  <c r="AD25" i="9"/>
  <c r="AC25" i="9"/>
  <c r="AE22" i="9"/>
  <c r="AD22" i="9"/>
  <c r="AE17" i="9"/>
  <c r="AE71" i="6"/>
  <c r="AE70" i="6"/>
  <c r="AE27" i="6"/>
  <c r="AE24" i="6"/>
  <c r="AE17" i="4"/>
  <c r="AD24" i="9" l="1"/>
  <c r="AE42" i="6"/>
  <c r="AE4" i="6"/>
  <c r="AD17" i="4" l="1"/>
  <c r="AD49" i="5"/>
  <c r="AE14" i="2"/>
  <c r="AE12" i="2"/>
  <c r="AE5" i="2"/>
  <c r="AE10" i="11"/>
  <c r="AD10" i="11"/>
  <c r="AE4" i="2" l="1"/>
  <c r="AE221" i="2"/>
  <c r="AE234" i="2" s="1"/>
  <c r="AD94" i="1"/>
  <c r="AD108" i="1" s="1"/>
  <c r="AE223" i="2" l="1"/>
  <c r="AE222" i="2"/>
  <c r="AE235" i="2" s="1"/>
  <c r="AE224" i="2"/>
  <c r="AE237" i="2" s="1"/>
  <c r="W14" i="8"/>
  <c r="X14" i="8"/>
  <c r="Y14" i="8"/>
  <c r="Z14" i="8"/>
  <c r="AA14" i="8"/>
  <c r="AB14" i="8"/>
  <c r="AC14" i="8"/>
  <c r="AD14" i="8"/>
  <c r="W15" i="8"/>
  <c r="X15" i="8"/>
  <c r="Y15" i="8"/>
  <c r="Z15" i="8"/>
  <c r="AA15" i="8"/>
  <c r="AB15" i="8"/>
  <c r="AC15" i="8"/>
  <c r="AD15" i="8"/>
  <c r="V15" i="8"/>
  <c r="V14" i="8"/>
  <c r="V6" i="8"/>
  <c r="AE65" i="5"/>
  <c r="AE236" i="2" l="1"/>
  <c r="AE225" i="2"/>
  <c r="AE238" i="2" s="1"/>
  <c r="W16" i="5"/>
  <c r="W4" i="3" l="1"/>
  <c r="X4" i="3" s="1"/>
  <c r="Y4" i="3" s="1"/>
  <c r="Z4" i="3" s="1"/>
  <c r="AA4" i="3" s="1"/>
  <c r="AB4" i="3" s="1"/>
  <c r="J33" i="12" l="1"/>
  <c r="K33" i="12"/>
  <c r="L33" i="12"/>
  <c r="AA93" i="6"/>
  <c r="I34" i="12" s="1"/>
  <c r="AB93" i="6"/>
  <c r="J34" i="12" s="1"/>
  <c r="AC93" i="6"/>
  <c r="AD93" i="6"/>
  <c r="W90" i="6"/>
  <c r="X90" i="6"/>
  <c r="Y90" i="6"/>
  <c r="Z90" i="6"/>
  <c r="AA90" i="6"/>
  <c r="AB90" i="6"/>
  <c r="AC90" i="6"/>
  <c r="AD90" i="6"/>
  <c r="V90" i="6"/>
  <c r="I33" i="12"/>
  <c r="J31" i="12"/>
  <c r="K31" i="12"/>
  <c r="L31" i="12"/>
  <c r="M31" i="12"/>
  <c r="AA12" i="6"/>
  <c r="I32" i="12" s="1"/>
  <c r="AB12" i="6"/>
  <c r="J32" i="12" s="1"/>
  <c r="I31" i="12"/>
  <c r="J28" i="12"/>
  <c r="K28" i="12"/>
  <c r="L28" i="12"/>
  <c r="I28" i="12"/>
  <c r="J27" i="12"/>
  <c r="K27" i="12"/>
  <c r="L27" i="12"/>
  <c r="I27" i="12"/>
  <c r="J26" i="12"/>
  <c r="K26" i="12"/>
  <c r="L26" i="12"/>
  <c r="M26" i="12"/>
  <c r="I26" i="12"/>
  <c r="J25" i="12"/>
  <c r="K25" i="12"/>
  <c r="L25" i="12"/>
  <c r="M25" i="12"/>
  <c r="I25" i="12"/>
  <c r="J24" i="12"/>
  <c r="I24" i="12"/>
  <c r="J23" i="12"/>
  <c r="J21" i="12"/>
  <c r="K21" i="12"/>
  <c r="L21" i="12"/>
  <c r="I21" i="12"/>
  <c r="J20" i="12"/>
  <c r="K20" i="12"/>
  <c r="I20" i="12"/>
  <c r="J19" i="12"/>
  <c r="K19" i="12"/>
  <c r="L19" i="12"/>
  <c r="M19" i="12"/>
  <c r="I19" i="12"/>
  <c r="M16" i="12"/>
  <c r="J17" i="12"/>
  <c r="K17" i="12"/>
  <c r="L17" i="12"/>
  <c r="M17" i="12"/>
  <c r="I17" i="12"/>
  <c r="J18" i="12"/>
  <c r="K18" i="12"/>
  <c r="L18" i="12"/>
  <c r="M18" i="12"/>
  <c r="I18" i="12"/>
  <c r="L14" i="12"/>
  <c r="M13" i="12"/>
  <c r="J12" i="12"/>
  <c r="K12" i="12"/>
  <c r="L12" i="12"/>
  <c r="M12" i="12"/>
  <c r="I12" i="12"/>
  <c r="J11" i="12"/>
  <c r="K11" i="12"/>
  <c r="L11" i="12"/>
  <c r="M11" i="12"/>
  <c r="I11" i="12"/>
  <c r="J10" i="12"/>
  <c r="K10" i="12"/>
  <c r="L10" i="12"/>
  <c r="M10" i="12"/>
  <c r="I10" i="12"/>
  <c r="J9" i="12"/>
  <c r="K9" i="12"/>
  <c r="L9" i="12"/>
  <c r="M9" i="12"/>
  <c r="I9" i="12"/>
  <c r="J7" i="12"/>
  <c r="K7" i="12"/>
  <c r="L7" i="12"/>
  <c r="M7" i="12"/>
  <c r="I7" i="12"/>
  <c r="G43" i="12"/>
  <c r="F43" i="12"/>
  <c r="E43" i="12"/>
  <c r="D43" i="12"/>
  <c r="C43" i="12"/>
  <c r="B43" i="12"/>
  <c r="I38" i="12"/>
  <c r="H38" i="12"/>
  <c r="G38" i="12"/>
  <c r="F38" i="12"/>
  <c r="E38" i="12"/>
  <c r="D38" i="12"/>
  <c r="C38" i="12"/>
  <c r="B38" i="12"/>
  <c r="B39" i="12" s="1"/>
  <c r="J37" i="12"/>
  <c r="I37" i="12"/>
  <c r="H37" i="12"/>
  <c r="G37" i="12"/>
  <c r="F37" i="12"/>
  <c r="E37" i="12"/>
  <c r="D37" i="12"/>
  <c r="C37" i="12"/>
  <c r="J36" i="12"/>
  <c r="I36" i="12"/>
  <c r="H36" i="12"/>
  <c r="G36" i="12"/>
  <c r="F36" i="12"/>
  <c r="E36" i="12"/>
  <c r="D36" i="12"/>
  <c r="C36" i="12"/>
  <c r="D2" i="12"/>
  <c r="C2" i="12"/>
  <c r="B2" i="12"/>
  <c r="AB23" i="10"/>
  <c r="AC23" i="10"/>
  <c r="AD23" i="10"/>
  <c r="AB21" i="10"/>
  <c r="AC21" i="10"/>
  <c r="AD21" i="10"/>
  <c r="AE21" i="10"/>
  <c r="AE20" i="10"/>
  <c r="AB13" i="10"/>
  <c r="AC13" i="10"/>
  <c r="AD13" i="10"/>
  <c r="AE13" i="10"/>
  <c r="AC12" i="10"/>
  <c r="AD12" i="10"/>
  <c r="AE12" i="10"/>
  <c r="W11" i="9"/>
  <c r="X11" i="9"/>
  <c r="Y11" i="9"/>
  <c r="Z11" i="9"/>
  <c r="AB8" i="10"/>
  <c r="AB11" i="9" s="1"/>
  <c r="AC8" i="10"/>
  <c r="AC11" i="9" s="1"/>
  <c r="AD8" i="10"/>
  <c r="AD11" i="9" s="1"/>
  <c r="V11" i="9"/>
  <c r="X10" i="9"/>
  <c r="Y10" i="9"/>
  <c r="AB7" i="10"/>
  <c r="AB10" i="9" s="1"/>
  <c r="AC7" i="10"/>
  <c r="AD7" i="10"/>
  <c r="AD10" i="9" s="1"/>
  <c r="V10" i="9"/>
  <c r="W8" i="9"/>
  <c r="X8" i="9"/>
  <c r="Y8" i="9"/>
  <c r="AA8" i="9"/>
  <c r="AB5" i="10"/>
  <c r="AB8" i="9" s="1"/>
  <c r="AC5" i="10"/>
  <c r="AC8" i="9" s="1"/>
  <c r="AD5" i="10"/>
  <c r="AD8" i="9" s="1"/>
  <c r="V8" i="9"/>
  <c r="W7" i="9"/>
  <c r="X7" i="9"/>
  <c r="Y7" i="9"/>
  <c r="Z7" i="9"/>
  <c r="AA7" i="9"/>
  <c r="AB4" i="10"/>
  <c r="AB7" i="9" s="1"/>
  <c r="AC4" i="10"/>
  <c r="AC7" i="9" s="1"/>
  <c r="AD4" i="10"/>
  <c r="AD7" i="9" s="1"/>
  <c r="V7" i="9"/>
  <c r="W10" i="9"/>
  <c r="AC10" i="9"/>
  <c r="AA11" i="9"/>
  <c r="Z8" i="9"/>
  <c r="X118" i="8"/>
  <c r="V106" i="8"/>
  <c r="W105" i="8"/>
  <c r="X105" i="8"/>
  <c r="Y105" i="8"/>
  <c r="Z105" i="8"/>
  <c r="AA105" i="8"/>
  <c r="AB105" i="8"/>
  <c r="AC105" i="8"/>
  <c r="AD105" i="8"/>
  <c r="V105" i="8"/>
  <c r="W93" i="8"/>
  <c r="X93" i="8" s="1"/>
  <c r="Y93" i="8" s="1"/>
  <c r="Z93" i="8" s="1"/>
  <c r="AA93" i="8" s="1"/>
  <c r="AB93" i="8" s="1"/>
  <c r="AC93" i="8" s="1"/>
  <c r="AD93" i="8" s="1"/>
  <c r="AE93" i="8" s="1"/>
  <c r="W90" i="8"/>
  <c r="W84" i="8" s="1"/>
  <c r="W78" i="8"/>
  <c r="X78" i="8" s="1"/>
  <c r="Y78" i="8" s="1"/>
  <c r="W72" i="8"/>
  <c r="W71" i="8" s="1"/>
  <c r="W69" i="8"/>
  <c r="X69" i="8" s="1"/>
  <c r="Y69" i="8" s="1"/>
  <c r="V67" i="8"/>
  <c r="W62" i="8"/>
  <c r="W64" i="8" s="1"/>
  <c r="X62" i="8"/>
  <c r="X64" i="8" s="1"/>
  <c r="Y62" i="8"/>
  <c r="Y64" i="8" s="1"/>
  <c r="Z62" i="8"/>
  <c r="Z64" i="8" s="1"/>
  <c r="AA62" i="8"/>
  <c r="AA64" i="8" s="1"/>
  <c r="AB62" i="8"/>
  <c r="AB64" i="8" s="1"/>
  <c r="AC62" i="8"/>
  <c r="AC64" i="8" s="1"/>
  <c r="AD62" i="8"/>
  <c r="AD64" i="8" s="1"/>
  <c r="Z60" i="8"/>
  <c r="Z59" i="8" s="1"/>
  <c r="X59" i="8"/>
  <c r="Y59" i="8"/>
  <c r="W59" i="8"/>
  <c r="W57" i="8"/>
  <c r="X57" i="8" s="1"/>
  <c r="V56" i="8"/>
  <c r="AE50" i="8"/>
  <c r="W50" i="8"/>
  <c r="X50" i="8"/>
  <c r="Y50" i="8"/>
  <c r="Z50" i="8"/>
  <c r="AA50" i="8"/>
  <c r="AB50" i="8"/>
  <c r="AC50" i="8"/>
  <c r="V50" i="8"/>
  <c r="W44" i="8"/>
  <c r="W40" i="8"/>
  <c r="X40" i="8" s="1"/>
  <c r="Y40" i="8" s="1"/>
  <c r="Z40" i="8" s="1"/>
  <c r="AA40" i="8" s="1"/>
  <c r="AB40" i="8" s="1"/>
  <c r="AC40" i="8" s="1"/>
  <c r="AD40" i="8" s="1"/>
  <c r="V34" i="8"/>
  <c r="V38" i="8"/>
  <c r="J29" i="12" l="1"/>
  <c r="W106" i="8"/>
  <c r="AD91" i="6"/>
  <c r="X91" i="6"/>
  <c r="F30" i="12" s="1"/>
  <c r="W91" i="6"/>
  <c r="E30" i="12" s="1"/>
  <c r="Y92" i="6"/>
  <c r="Z92" i="6"/>
  <c r="W56" i="8"/>
  <c r="Y57" i="8"/>
  <c r="Z57" i="8" s="1"/>
  <c r="X56" i="8"/>
  <c r="X72" i="8"/>
  <c r="Y72" i="8" s="1"/>
  <c r="Z72" i="8" s="1"/>
  <c r="AA60" i="8"/>
  <c r="AB60" i="8" s="1"/>
  <c r="AB59" i="8" s="1"/>
  <c r="X90" i="8"/>
  <c r="Y90" i="8" s="1"/>
  <c r="Y84" i="8" s="1"/>
  <c r="Y106" i="8" s="1"/>
  <c r="W55" i="8"/>
  <c r="W54" i="8" s="1"/>
  <c r="Y118" i="8"/>
  <c r="Y91" i="6"/>
  <c r="G30" i="12" s="1"/>
  <c r="Z91" i="6"/>
  <c r="H30" i="12" s="1"/>
  <c r="L29" i="12"/>
  <c r="K32" i="12"/>
  <c r="AC91" i="6"/>
  <c r="W92" i="6"/>
  <c r="K34" i="12"/>
  <c r="I29" i="12"/>
  <c r="AA92" i="6"/>
  <c r="AB92" i="6"/>
  <c r="L32" i="12"/>
  <c r="AB91" i="6"/>
  <c r="J30" i="12" s="1"/>
  <c r="L34" i="12"/>
  <c r="K29" i="12"/>
  <c r="AD92" i="6"/>
  <c r="AE92" i="6"/>
  <c r="X92" i="6"/>
  <c r="AA91" i="6"/>
  <c r="I30" i="12" s="1"/>
  <c r="I41" i="12"/>
  <c r="AC92" i="6"/>
  <c r="M32" i="12"/>
  <c r="H39" i="12"/>
  <c r="D34" i="12"/>
  <c r="E39" i="12"/>
  <c r="D39" i="12"/>
  <c r="C34" i="12"/>
  <c r="H41" i="12"/>
  <c r="C39" i="12"/>
  <c r="I39" i="12"/>
  <c r="C42" i="12"/>
  <c r="B42" i="12"/>
  <c r="F41" i="12"/>
  <c r="E41" i="12"/>
  <c r="F39" i="12"/>
  <c r="G41" i="12"/>
  <c r="E34" i="12"/>
  <c r="G39" i="12"/>
  <c r="Z78" i="8"/>
  <c r="Z69" i="8"/>
  <c r="Y68" i="8"/>
  <c r="X68" i="8"/>
  <c r="W68" i="8"/>
  <c r="W67" i="8" s="1"/>
  <c r="W39" i="8"/>
  <c r="W27" i="10" s="1"/>
  <c r="X44" i="8"/>
  <c r="Y44" i="8" s="1"/>
  <c r="Z44" i="8" s="1"/>
  <c r="AA44" i="8" s="1"/>
  <c r="AB44" i="8" s="1"/>
  <c r="AC44" i="8" s="1"/>
  <c r="AD44" i="8" s="1"/>
  <c r="AE44" i="8" s="1"/>
  <c r="Y56" i="8" l="1"/>
  <c r="Y55" i="8" s="1"/>
  <c r="Y54" i="8" s="1"/>
  <c r="X71" i="8"/>
  <c r="X67" i="8" s="1"/>
  <c r="X55" i="8"/>
  <c r="X54" i="8" s="1"/>
  <c r="Z90" i="8"/>
  <c r="AA90" i="8" s="1"/>
  <c r="AC60" i="8"/>
  <c r="AC59" i="8" s="1"/>
  <c r="Y71" i="8"/>
  <c r="Y67" i="8" s="1"/>
  <c r="AA59" i="8"/>
  <c r="X84" i="8"/>
  <c r="X106" i="8" s="1"/>
  <c r="W38" i="8"/>
  <c r="Z118" i="8"/>
  <c r="AA72" i="8"/>
  <c r="Z71" i="8"/>
  <c r="K30" i="12"/>
  <c r="L30" i="12"/>
  <c r="AA78" i="8"/>
  <c r="Z68" i="8"/>
  <c r="AA69" i="8"/>
  <c r="Z56" i="8"/>
  <c r="AA57" i="8"/>
  <c r="X39" i="8"/>
  <c r="Y39" i="8" l="1"/>
  <c r="Y27" i="10" s="1"/>
  <c r="X27" i="10"/>
  <c r="AD60" i="8"/>
  <c r="AD59" i="8" s="1"/>
  <c r="Z55" i="8"/>
  <c r="Z54" i="8" s="1"/>
  <c r="Z84" i="8"/>
  <c r="Z106" i="8" s="1"/>
  <c r="Z67" i="8"/>
  <c r="AA118" i="8"/>
  <c r="X38" i="8"/>
  <c r="AA71" i="8"/>
  <c r="AB72" i="8"/>
  <c r="AB90" i="8"/>
  <c r="AA84" i="8"/>
  <c r="AA106" i="8" s="1"/>
  <c r="AB78" i="8"/>
  <c r="AA68" i="8"/>
  <c r="AB69" i="8"/>
  <c r="AB57" i="8"/>
  <c r="AA56" i="8"/>
  <c r="AA55" i="8" s="1"/>
  <c r="AA54" i="8" s="1"/>
  <c r="Y38" i="8"/>
  <c r="Z39" i="8"/>
  <c r="Z27" i="10" s="1"/>
  <c r="AA67" i="8" l="1"/>
  <c r="AC72" i="8"/>
  <c r="AB71" i="8"/>
  <c r="AB118" i="8"/>
  <c r="AC90" i="8"/>
  <c r="AB84" i="8"/>
  <c r="AB106" i="8" s="1"/>
  <c r="AC78" i="8"/>
  <c r="AB68" i="8"/>
  <c r="AC69" i="8"/>
  <c r="AC57" i="8"/>
  <c r="AB56" i="8"/>
  <c r="AB55" i="8" s="1"/>
  <c r="AB54" i="8" s="1"/>
  <c r="Z38" i="8"/>
  <c r="AA39" i="8"/>
  <c r="AA27" i="10" s="1"/>
  <c r="AB67" i="8" l="1"/>
  <c r="AC118" i="8"/>
  <c r="AD72" i="8"/>
  <c r="AD71" i="8" s="1"/>
  <c r="AC71" i="8"/>
  <c r="AD90" i="8"/>
  <c r="AC84" i="8"/>
  <c r="AC106" i="8" s="1"/>
  <c r="AD78" i="8"/>
  <c r="AC68" i="8"/>
  <c r="AD69" i="8"/>
  <c r="AD57" i="8"/>
  <c r="AC56" i="8"/>
  <c r="AC55" i="8" s="1"/>
  <c r="AC54" i="8" s="1"/>
  <c r="AA38" i="8"/>
  <c r="AB39" i="8"/>
  <c r="AB27" i="10" s="1"/>
  <c r="AC67" i="8" l="1"/>
  <c r="AD118" i="8"/>
  <c r="AE118" i="8" s="1"/>
  <c r="AE90" i="8"/>
  <c r="AD84" i="8"/>
  <c r="AD106" i="8" s="1"/>
  <c r="AE78" i="8"/>
  <c r="AD68" i="8"/>
  <c r="AD67" i="8" s="1"/>
  <c r="AD56" i="8"/>
  <c r="AD55" i="8" s="1"/>
  <c r="AD54" i="8" s="1"/>
  <c r="AE57" i="8"/>
  <c r="AB38" i="8"/>
  <c r="AC39" i="8"/>
  <c r="AC27" i="10" s="1"/>
  <c r="AD39" i="8" l="1"/>
  <c r="AC38" i="8"/>
  <c r="AE39" i="8" l="1"/>
  <c r="AE27" i="10" s="1"/>
  <c r="AD27" i="10"/>
  <c r="AD38" i="8"/>
  <c r="W36" i="8" l="1"/>
  <c r="X36" i="8" s="1"/>
  <c r="Y36" i="8" s="1"/>
  <c r="Z36" i="8" s="1"/>
  <c r="AA36" i="8" s="1"/>
  <c r="AB36" i="8" s="1"/>
  <c r="AC36" i="8" s="1"/>
  <c r="AD36" i="8" s="1"/>
  <c r="W34" i="8"/>
  <c r="W33" i="8" s="1"/>
  <c r="W37" i="8" s="1"/>
  <c r="X34" i="8"/>
  <c r="X33" i="8" s="1"/>
  <c r="X37" i="8" s="1"/>
  <c r="Y34" i="8"/>
  <c r="Y33" i="8" s="1"/>
  <c r="Y37" i="8" s="1"/>
  <c r="Z34" i="8"/>
  <c r="Z33" i="8" s="1"/>
  <c r="Z37" i="8" s="1"/>
  <c r="AA34" i="8"/>
  <c r="AA33" i="8" s="1"/>
  <c r="AA37" i="8" s="1"/>
  <c r="AB34" i="8"/>
  <c r="AB33" i="8" s="1"/>
  <c r="AB37" i="8" s="1"/>
  <c r="AC34" i="8"/>
  <c r="AC33" i="8" s="1"/>
  <c r="AC37" i="8" s="1"/>
  <c r="AD34" i="8"/>
  <c r="AD33" i="8" s="1"/>
  <c r="AD37" i="8" s="1"/>
  <c r="V29" i="8"/>
  <c r="W22" i="8"/>
  <c r="X22" i="8"/>
  <c r="Y22" i="8"/>
  <c r="Z22" i="8"/>
  <c r="AA22" i="8"/>
  <c r="AB22" i="8"/>
  <c r="AC22" i="8"/>
  <c r="AD22" i="8"/>
  <c r="V22" i="8"/>
  <c r="W21" i="8"/>
  <c r="X21" i="8"/>
  <c r="Y21" i="8"/>
  <c r="Z21" i="8"/>
  <c r="AA21" i="8"/>
  <c r="AB21" i="8"/>
  <c r="AC21" i="8"/>
  <c r="AD21" i="8"/>
  <c r="W19" i="8"/>
  <c r="X19" i="8"/>
  <c r="Y19" i="8"/>
  <c r="Z19" i="8"/>
  <c r="AA19" i="8"/>
  <c r="AB19" i="8"/>
  <c r="AC19" i="8"/>
  <c r="AD19" i="8"/>
  <c r="V19" i="8"/>
  <c r="AC18" i="8"/>
  <c r="AD18" i="8" s="1"/>
  <c r="AE18" i="8" s="1"/>
  <c r="W18" i="8"/>
  <c r="X18" i="8" s="1"/>
  <c r="Y18" i="8" s="1"/>
  <c r="Z18" i="8" s="1"/>
  <c r="AA18" i="8" s="1"/>
  <c r="AE13" i="8"/>
  <c r="AE12" i="8"/>
  <c r="W9" i="8"/>
  <c r="X9" i="8"/>
  <c r="Y9" i="8"/>
  <c r="Z9" i="8"/>
  <c r="AA9" i="8"/>
  <c r="AB9" i="8"/>
  <c r="AC9" i="8"/>
  <c r="AD9" i="8"/>
  <c r="V9" i="8"/>
  <c r="V5" i="8" s="1"/>
  <c r="V4" i="8" s="1"/>
  <c r="W6" i="8"/>
  <c r="X6" i="8"/>
  <c r="Y6" i="8"/>
  <c r="Z6" i="8"/>
  <c r="AA6" i="8"/>
  <c r="AB6" i="8"/>
  <c r="AC6" i="8"/>
  <c r="AD6" i="8"/>
  <c r="X35" i="7"/>
  <c r="Y35" i="7" s="1"/>
  <c r="W34" i="7"/>
  <c r="X34" i="7" s="1"/>
  <c r="X33" i="7" s="1"/>
  <c r="V34" i="7"/>
  <c r="V32" i="7"/>
  <c r="AD10" i="7"/>
  <c r="AC10" i="7"/>
  <c r="AB10" i="7"/>
  <c r="AA10" i="7"/>
  <c r="Z10" i="7"/>
  <c r="Y10" i="7"/>
  <c r="X10" i="7"/>
  <c r="W10" i="7"/>
  <c r="X84" i="6"/>
  <c r="Y84" i="6"/>
  <c r="Z84" i="6"/>
  <c r="AA84" i="6"/>
  <c r="AB84" i="6"/>
  <c r="AC84" i="6"/>
  <c r="AD84" i="6"/>
  <c r="W84" i="6"/>
  <c r="W76" i="6"/>
  <c r="X76" i="6"/>
  <c r="Y76" i="6"/>
  <c r="Z76" i="6"/>
  <c r="AA76" i="6"/>
  <c r="AB76" i="6"/>
  <c r="AD76" i="6"/>
  <c r="AE76" i="6"/>
  <c r="V76" i="6"/>
  <c r="W73" i="6"/>
  <c r="X73" i="6"/>
  <c r="Y73" i="6"/>
  <c r="Z73" i="6"/>
  <c r="AA73" i="6"/>
  <c r="AB73" i="6"/>
  <c r="AC73" i="6"/>
  <c r="AD73" i="6"/>
  <c r="V73" i="6"/>
  <c r="W72" i="6"/>
  <c r="X72" i="6"/>
  <c r="Y72" i="6"/>
  <c r="Z72" i="6"/>
  <c r="AA72" i="6"/>
  <c r="AB72" i="6"/>
  <c r="AC72" i="6"/>
  <c r="AD72" i="6"/>
  <c r="AE72" i="6"/>
  <c r="V72" i="6"/>
  <c r="W71" i="6"/>
  <c r="X71" i="6"/>
  <c r="Y71" i="6"/>
  <c r="Z71" i="6"/>
  <c r="AA71" i="6"/>
  <c r="AB71" i="6"/>
  <c r="AC71" i="6"/>
  <c r="AD71" i="6"/>
  <c r="V71" i="6"/>
  <c r="W70" i="6"/>
  <c r="X70" i="6"/>
  <c r="Y70" i="6"/>
  <c r="Z70" i="6"/>
  <c r="AA70" i="6"/>
  <c r="AB70" i="6"/>
  <c r="AC70" i="6"/>
  <c r="AD70" i="6"/>
  <c r="V70" i="6"/>
  <c r="W55" i="6"/>
  <c r="W52" i="6" s="1"/>
  <c r="X55" i="6"/>
  <c r="X52" i="6" s="1"/>
  <c r="Y55" i="6"/>
  <c r="Z55" i="6"/>
  <c r="Z52" i="6" s="1"/>
  <c r="AA55" i="6"/>
  <c r="AA52" i="6" s="1"/>
  <c r="AB55" i="6"/>
  <c r="AB52" i="6" s="1"/>
  <c r="AC55" i="6"/>
  <c r="AC52" i="6" s="1"/>
  <c r="AD55" i="6"/>
  <c r="AD52" i="6" s="1"/>
  <c r="V54" i="6"/>
  <c r="W54" i="6"/>
  <c r="X54" i="6"/>
  <c r="Y54" i="6"/>
  <c r="Z54" i="6"/>
  <c r="AA54" i="6"/>
  <c r="AB54" i="6"/>
  <c r="AC54" i="6"/>
  <c r="AD54" i="6"/>
  <c r="W53" i="6"/>
  <c r="X53" i="6"/>
  <c r="Y53" i="6"/>
  <c r="Z53" i="6"/>
  <c r="AA53" i="6"/>
  <c r="AB53" i="6"/>
  <c r="AC53" i="6"/>
  <c r="AD53" i="6"/>
  <c r="V52" i="6"/>
  <c r="Y52" i="6"/>
  <c r="W51" i="6"/>
  <c r="X51" i="6"/>
  <c r="Y51" i="6"/>
  <c r="Z51" i="6"/>
  <c r="AA51" i="6"/>
  <c r="AB51" i="6"/>
  <c r="AD51" i="6"/>
  <c r="V51" i="6"/>
  <c r="AC50" i="6"/>
  <c r="AC76" i="6" s="1"/>
  <c r="W42" i="6"/>
  <c r="W22" i="10" s="1"/>
  <c r="X42" i="6"/>
  <c r="X22" i="10" s="1"/>
  <c r="Y42" i="6"/>
  <c r="Y22" i="10" s="1"/>
  <c r="Z42" i="6"/>
  <c r="Z22" i="10" s="1"/>
  <c r="AA42" i="6"/>
  <c r="AA22" i="10" s="1"/>
  <c r="AB42" i="6"/>
  <c r="AB22" i="10" s="1"/>
  <c r="AC42" i="6"/>
  <c r="AC22" i="10" s="1"/>
  <c r="AD42" i="6"/>
  <c r="V42" i="6"/>
  <c r="V22" i="10" s="1"/>
  <c r="V33" i="6"/>
  <c r="W28" i="6"/>
  <c r="X28" i="6"/>
  <c r="Y28" i="6"/>
  <c r="Z28" i="6"/>
  <c r="AA28" i="6"/>
  <c r="AB28" i="6"/>
  <c r="AC28" i="6"/>
  <c r="AD28" i="6"/>
  <c r="V28" i="6"/>
  <c r="W27" i="6"/>
  <c r="X27" i="6"/>
  <c r="Y27" i="6"/>
  <c r="Z27" i="6"/>
  <c r="AA27" i="6"/>
  <c r="AB27" i="6"/>
  <c r="AC27" i="6"/>
  <c r="AD27" i="6"/>
  <c r="V27" i="6"/>
  <c r="AE152" i="2"/>
  <c r="X12" i="6"/>
  <c r="F32" i="12" s="1"/>
  <c r="Y12" i="6"/>
  <c r="G32" i="12" s="1"/>
  <c r="Z12" i="6"/>
  <c r="H32" i="12" s="1"/>
  <c r="AC12" i="6"/>
  <c r="AD12" i="6"/>
  <c r="AE12" i="6"/>
  <c r="W12" i="6"/>
  <c r="E32" i="12" s="1"/>
  <c r="W4" i="6"/>
  <c r="W20" i="10" s="1"/>
  <c r="X4" i="6"/>
  <c r="X20" i="10" s="1"/>
  <c r="Y4" i="6"/>
  <c r="Y20" i="10" s="1"/>
  <c r="Z4" i="6"/>
  <c r="Z20" i="10" s="1"/>
  <c r="AA4" i="6"/>
  <c r="AA20" i="10" s="1"/>
  <c r="AB4" i="6"/>
  <c r="AC4" i="6"/>
  <c r="AD4" i="6"/>
  <c r="V4" i="6"/>
  <c r="V20" i="10" s="1"/>
  <c r="AE53" i="4"/>
  <c r="W5" i="8" l="1"/>
  <c r="W4" i="8" s="1"/>
  <c r="V41" i="6"/>
  <c r="Y5" i="8"/>
  <c r="Y4" i="8" s="1"/>
  <c r="AD5" i="8"/>
  <c r="AD4" i="8" s="1"/>
  <c r="AC5" i="8"/>
  <c r="AC4" i="8" s="1"/>
  <c r="AB5" i="8"/>
  <c r="AB4" i="8" s="1"/>
  <c r="AA5" i="8"/>
  <c r="AA4" i="8" s="1"/>
  <c r="X5" i="8"/>
  <c r="X4" i="8" s="1"/>
  <c r="Z5" i="8"/>
  <c r="Z4" i="8" s="1"/>
  <c r="X15" i="7"/>
  <c r="F28" i="12" s="1"/>
  <c r="V39" i="7"/>
  <c r="AC3" i="6"/>
  <c r="AC20" i="10"/>
  <c r="X41" i="6"/>
  <c r="Z3" i="6"/>
  <c r="AA41" i="6"/>
  <c r="AD3" i="6"/>
  <c r="AD20" i="10"/>
  <c r="X3" i="6"/>
  <c r="Y41" i="6"/>
  <c r="AB3" i="6"/>
  <c r="AB20" i="10"/>
  <c r="W41" i="6"/>
  <c r="AA3" i="6"/>
  <c r="AC51" i="6"/>
  <c r="W3" i="6"/>
  <c r="V3" i="6"/>
  <c r="Y3" i="6"/>
  <c r="AB41" i="6"/>
  <c r="Z41" i="6"/>
  <c r="Z86" i="6" s="1"/>
  <c r="AD41" i="6"/>
  <c r="AD22" i="10"/>
  <c r="AC41" i="6"/>
  <c r="AE62" i="8"/>
  <c r="AE64" i="8" s="1"/>
  <c r="AE40" i="8"/>
  <c r="AE38" i="8" s="1"/>
  <c r="AE56" i="8"/>
  <c r="AE55" i="8" s="1"/>
  <c r="W39" i="7"/>
  <c r="Z35" i="7"/>
  <c r="AA35" i="7" s="1"/>
  <c r="AB35" i="7" s="1"/>
  <c r="AC35" i="7" s="1"/>
  <c r="AD35" i="7" s="1"/>
  <c r="X16" i="7"/>
  <c r="Y34" i="7"/>
  <c r="AE72" i="8"/>
  <c r="W86" i="6" l="1"/>
  <c r="Y86" i="6"/>
  <c r="AB86" i="6"/>
  <c r="AD2" i="6"/>
  <c r="AB2" i="6"/>
  <c r="W2" i="6"/>
  <c r="AC86" i="6"/>
  <c r="Y2" i="6"/>
  <c r="Z2" i="6"/>
  <c r="AA2" i="6"/>
  <c r="X86" i="6"/>
  <c r="X2" i="6"/>
  <c r="AD86" i="6"/>
  <c r="AA86" i="6"/>
  <c r="AC2" i="6"/>
  <c r="Y33" i="7"/>
  <c r="Z34" i="7"/>
  <c r="AE71" i="8"/>
  <c r="Z33" i="7" l="1"/>
  <c r="AA34" i="7"/>
  <c r="AB34" i="7" s="1"/>
  <c r="AC34" i="7" s="1"/>
  <c r="AD39" i="7" l="1"/>
  <c r="AD34" i="7"/>
  <c r="AA33" i="7"/>
  <c r="AB33" i="7" l="1"/>
  <c r="W65" i="5"/>
  <c r="X65" i="5"/>
  <c r="Y65" i="5"/>
  <c r="Z65" i="5"/>
  <c r="AA65" i="5"/>
  <c r="AB65" i="5"/>
  <c r="AC65" i="5"/>
  <c r="AD65" i="5"/>
  <c r="V65" i="5"/>
  <c r="W58" i="5"/>
  <c r="X58" i="5"/>
  <c r="Y58" i="5"/>
  <c r="Z58" i="5"/>
  <c r="AA58" i="5"/>
  <c r="AB58" i="5"/>
  <c r="AC58" i="5"/>
  <c r="AD58" i="5"/>
  <c r="AE58" i="5"/>
  <c r="V58" i="5"/>
  <c r="W53" i="5"/>
  <c r="X53" i="5"/>
  <c r="Y53" i="5"/>
  <c r="Z53" i="5"/>
  <c r="AA53" i="5"/>
  <c r="AB53" i="5"/>
  <c r="AC53" i="5"/>
  <c r="AD53" i="5"/>
  <c r="AE53" i="5" s="1"/>
  <c r="V53" i="5"/>
  <c r="W52" i="5"/>
  <c r="X52" i="5"/>
  <c r="Y52" i="5"/>
  <c r="Z52" i="5"/>
  <c r="AA52" i="5"/>
  <c r="AB52" i="5"/>
  <c r="AC52" i="5"/>
  <c r="AD52" i="5"/>
  <c r="AE52" i="5" s="1"/>
  <c r="V52" i="5"/>
  <c r="W50" i="5"/>
  <c r="X50" i="5" s="1"/>
  <c r="Y50" i="5" s="1"/>
  <c r="Z50" i="5" s="1"/>
  <c r="AA50" i="5" s="1"/>
  <c r="AB50" i="5" s="1"/>
  <c r="AC50" i="5" s="1"/>
  <c r="AD50" i="5" s="1"/>
  <c r="AE50" i="5" s="1"/>
  <c r="W49" i="5"/>
  <c r="X49" i="5"/>
  <c r="Y49" i="5"/>
  <c r="Z49" i="5"/>
  <c r="AA49" i="5"/>
  <c r="AB49" i="5"/>
  <c r="AC49" i="5"/>
  <c r="V49" i="5"/>
  <c r="W45" i="5"/>
  <c r="X45" i="5"/>
  <c r="Y45" i="5"/>
  <c r="Z45" i="5"/>
  <c r="AA45" i="5"/>
  <c r="AB45" i="5"/>
  <c r="AC45" i="5"/>
  <c r="AD45" i="5"/>
  <c r="V45" i="5"/>
  <c r="W44" i="5"/>
  <c r="X44" i="5"/>
  <c r="Y44" i="5"/>
  <c r="Z44" i="5"/>
  <c r="AA44" i="5"/>
  <c r="AB44" i="5"/>
  <c r="AC44" i="5"/>
  <c r="AD44" i="5"/>
  <c r="AE44" i="5"/>
  <c r="V44" i="5"/>
  <c r="W40" i="5"/>
  <c r="X40" i="5" s="1"/>
  <c r="Y40" i="5" s="1"/>
  <c r="Z40" i="5" s="1"/>
  <c r="AA40" i="5" s="1"/>
  <c r="AB40" i="5" s="1"/>
  <c r="AC40" i="5" s="1"/>
  <c r="AD40" i="5" s="1"/>
  <c r="AE40" i="5" s="1"/>
  <c r="V36" i="5"/>
  <c r="W35" i="5"/>
  <c r="X35" i="5" s="1"/>
  <c r="Y35" i="5" s="1"/>
  <c r="Z35" i="5" s="1"/>
  <c r="AA35" i="5" s="1"/>
  <c r="AB35" i="5" s="1"/>
  <c r="AC35" i="5" s="1"/>
  <c r="AD35" i="5" s="1"/>
  <c r="W33" i="5"/>
  <c r="X33" i="5"/>
  <c r="Y33" i="5"/>
  <c r="Z33" i="5"/>
  <c r="AA33" i="5"/>
  <c r="AB33" i="5"/>
  <c r="AC33" i="5"/>
  <c r="AD33" i="5"/>
  <c r="V33" i="5"/>
  <c r="AB31" i="5"/>
  <c r="W31" i="5"/>
  <c r="X31" i="5"/>
  <c r="Y31" i="5"/>
  <c r="Z31" i="5"/>
  <c r="AA31" i="5"/>
  <c r="V31" i="5"/>
  <c r="AA30" i="5"/>
  <c r="AB30" i="5"/>
  <c r="W30" i="5"/>
  <c r="X30" i="5"/>
  <c r="Y30" i="5"/>
  <c r="Z30" i="5"/>
  <c r="V30" i="5"/>
  <c r="W29" i="5"/>
  <c r="X29" i="5"/>
  <c r="Y29" i="5"/>
  <c r="Z29" i="5"/>
  <c r="AA29" i="5"/>
  <c r="AB29" i="5"/>
  <c r="V29" i="5"/>
  <c r="AE65" i="2"/>
  <c r="AE25" i="5" s="1"/>
  <c r="W20" i="5"/>
  <c r="X20" i="5" s="1"/>
  <c r="Y20" i="5" s="1"/>
  <c r="Z20" i="5" s="1"/>
  <c r="AA20" i="5" s="1"/>
  <c r="AB20" i="5" s="1"/>
  <c r="AC20" i="5" s="1"/>
  <c r="X16" i="5"/>
  <c r="Y16" i="5"/>
  <c r="Z16" i="5"/>
  <c r="AA16" i="5"/>
  <c r="AB16" i="5"/>
  <c r="AC16" i="5"/>
  <c r="V16" i="5"/>
  <c r="W14" i="5"/>
  <c r="X14" i="5" s="1"/>
  <c r="Y14" i="5" s="1"/>
  <c r="Z14" i="5" s="1"/>
  <c r="AA14" i="5" s="1"/>
  <c r="AB14" i="5" s="1"/>
  <c r="AC14" i="5" s="1"/>
  <c r="W13" i="5"/>
  <c r="X13" i="5"/>
  <c r="Y13" i="5"/>
  <c r="Z13" i="5"/>
  <c r="AA13" i="5"/>
  <c r="AB13" i="5"/>
  <c r="AC13" i="5"/>
  <c r="V13" i="5"/>
  <c r="AE35" i="4"/>
  <c r="AE10" i="7" s="1"/>
  <c r="AE35" i="5" l="1"/>
  <c r="AC33" i="7"/>
  <c r="AC47" i="4"/>
  <c r="AB47" i="4"/>
  <c r="AA47" i="4"/>
  <c r="Z47" i="4"/>
  <c r="Y47" i="4"/>
  <c r="X47" i="4"/>
  <c r="W47" i="4"/>
  <c r="V47" i="4"/>
  <c r="AE34" i="4"/>
  <c r="AE8" i="10" s="1"/>
  <c r="AE11" i="9" s="1"/>
  <c r="W33" i="4"/>
  <c r="X33" i="4"/>
  <c r="Y33" i="4"/>
  <c r="Z33" i="4"/>
  <c r="AA33" i="4"/>
  <c r="AB33" i="4"/>
  <c r="AC33" i="4"/>
  <c r="AD33" i="4"/>
  <c r="V33" i="4"/>
  <c r="Y32" i="4"/>
  <c r="V32" i="4"/>
  <c r="W29" i="4"/>
  <c r="W31" i="4" s="1"/>
  <c r="W32" i="4" s="1"/>
  <c r="X29" i="4"/>
  <c r="X31" i="4" s="1"/>
  <c r="X32" i="4" s="1"/>
  <c r="Y29" i="4"/>
  <c r="Z29" i="4"/>
  <c r="Z31" i="4" s="1"/>
  <c r="Z32" i="4" s="1"/>
  <c r="AA29" i="4"/>
  <c r="AA31" i="4" s="1"/>
  <c r="AA32" i="4" s="1"/>
  <c r="AB29" i="4"/>
  <c r="AB31" i="4" s="1"/>
  <c r="AB32" i="4" s="1"/>
  <c r="AC29" i="4"/>
  <c r="AC31" i="4" s="1"/>
  <c r="AC32" i="4" s="1"/>
  <c r="AD29" i="4"/>
  <c r="AD31" i="4" s="1"/>
  <c r="AD32" i="4" s="1"/>
  <c r="V29" i="4"/>
  <c r="X21" i="4"/>
  <c r="X17" i="4" s="1"/>
  <c r="Y21" i="4"/>
  <c r="Y16" i="4" s="1"/>
  <c r="G27" i="12" s="1"/>
  <c r="Z21" i="4"/>
  <c r="Z16" i="4" s="1"/>
  <c r="AA21" i="4"/>
  <c r="AB21" i="4"/>
  <c r="AC21" i="4"/>
  <c r="AD21" i="4"/>
  <c r="AE21" i="4"/>
  <c r="W21" i="4"/>
  <c r="W16" i="4" s="1"/>
  <c r="E27" i="12" s="1"/>
  <c r="W19" i="4"/>
  <c r="X19" i="4" s="1"/>
  <c r="Y19" i="4" s="1"/>
  <c r="Z19" i="4" s="1"/>
  <c r="AA19" i="4" s="1"/>
  <c r="AB19" i="4" s="1"/>
  <c r="AC19" i="4" s="1"/>
  <c r="AD19" i="4" s="1"/>
  <c r="AE19" i="4" s="1"/>
  <c r="AC17" i="4"/>
  <c r="AB17" i="4"/>
  <c r="AA17" i="4"/>
  <c r="Y17" i="4"/>
  <c r="V17" i="4"/>
  <c r="X12" i="4"/>
  <c r="Y12" i="4"/>
  <c r="Y8" i="4" s="1"/>
  <c r="Z12" i="4"/>
  <c r="Z8" i="4" s="1"/>
  <c r="AA12" i="4"/>
  <c r="AA8" i="4" s="1"/>
  <c r="AB12" i="4"/>
  <c r="AB8" i="4" s="1"/>
  <c r="AC12" i="4"/>
  <c r="AC8" i="4" s="1"/>
  <c r="AD12" i="4"/>
  <c r="AD8" i="4" s="1"/>
  <c r="AE12" i="4"/>
  <c r="AE8" i="4" s="1"/>
  <c r="W12" i="4"/>
  <c r="W10" i="4"/>
  <c r="X10" i="4" s="1"/>
  <c r="Y10" i="4" s="1"/>
  <c r="Z10" i="4" s="1"/>
  <c r="AA10" i="4" s="1"/>
  <c r="AB10" i="4" s="1"/>
  <c r="AC10" i="4" s="1"/>
  <c r="AD10" i="4" s="1"/>
  <c r="AE10" i="4" s="1"/>
  <c r="V44" i="3"/>
  <c r="W44" i="3"/>
  <c r="X44" i="3"/>
  <c r="Y44" i="3"/>
  <c r="Z44" i="3"/>
  <c r="AA44" i="3"/>
  <c r="AB44" i="3"/>
  <c r="AC44" i="3"/>
  <c r="AD44" i="3"/>
  <c r="W37" i="3"/>
  <c r="X37" i="3"/>
  <c r="Y37" i="3"/>
  <c r="Z37" i="3"/>
  <c r="Z41" i="3" s="1"/>
  <c r="AA37" i="3"/>
  <c r="AB37" i="3"/>
  <c r="AC37" i="3"/>
  <c r="AD37" i="3"/>
  <c r="AE37" i="3"/>
  <c r="V37" i="3"/>
  <c r="V41" i="3" s="1"/>
  <c r="AE33" i="3"/>
  <c r="AD33" i="3"/>
  <c r="AC33" i="3"/>
  <c r="AB33" i="3"/>
  <c r="AA33" i="3"/>
  <c r="Z33" i="3"/>
  <c r="Y33" i="3"/>
  <c r="X33" i="3"/>
  <c r="W33" i="3"/>
  <c r="AE32" i="3"/>
  <c r="AD32" i="3"/>
  <c r="AC32" i="3"/>
  <c r="AB32" i="3"/>
  <c r="AA32" i="3"/>
  <c r="Z32" i="3"/>
  <c r="Y32" i="3"/>
  <c r="X32" i="3"/>
  <c r="W32" i="3"/>
  <c r="AE31" i="3"/>
  <c r="AD31" i="3"/>
  <c r="AC31" i="3"/>
  <c r="AB31" i="3"/>
  <c r="AA31" i="3"/>
  <c r="Z31" i="3"/>
  <c r="Y31" i="3"/>
  <c r="X31" i="3"/>
  <c r="W31" i="3"/>
  <c r="AE30" i="3"/>
  <c r="AD30" i="3"/>
  <c r="AC30" i="3"/>
  <c r="AB30" i="3"/>
  <c r="AA30" i="3"/>
  <c r="Z30" i="3"/>
  <c r="Y30" i="3"/>
  <c r="X30" i="3"/>
  <c r="W30" i="3"/>
  <c r="Z29" i="3"/>
  <c r="AD22" i="3"/>
  <c r="AC22" i="3"/>
  <c r="AB22" i="3"/>
  <c r="AA22" i="3"/>
  <c r="X22" i="3"/>
  <c r="W22" i="3"/>
  <c r="Z17" i="4" l="1"/>
  <c r="H27" i="12"/>
  <c r="W20" i="3"/>
  <c r="E22" i="12"/>
  <c r="Y29" i="3"/>
  <c r="F22" i="12"/>
  <c r="AB37" i="4"/>
  <c r="AB41" i="4" s="1"/>
  <c r="V37" i="4"/>
  <c r="V41" i="4" s="1"/>
  <c r="V43" i="4" s="1"/>
  <c r="X37" i="4"/>
  <c r="X41" i="4" s="1"/>
  <c r="W17" i="4"/>
  <c r="Y37" i="4"/>
  <c r="Y41" i="4" s="1"/>
  <c r="X16" i="4"/>
  <c r="F27" i="12" s="1"/>
  <c r="W41" i="3"/>
  <c r="X29" i="3"/>
  <c r="AB41" i="3"/>
  <c r="W29" i="3"/>
  <c r="AC41" i="3"/>
  <c r="AD29" i="3"/>
  <c r="X41" i="3"/>
  <c r="Y38" i="3"/>
  <c r="AC37" i="4"/>
  <c r="W37" i="4"/>
  <c r="AA37" i="4"/>
  <c r="Z37" i="4"/>
  <c r="AA38" i="3"/>
  <c r="W38" i="3"/>
  <c r="AB20" i="3"/>
  <c r="J22" i="12"/>
  <c r="AA20" i="3"/>
  <c r="I22" i="12"/>
  <c r="AB29" i="3"/>
  <c r="X38" i="3"/>
  <c r="AA41" i="3"/>
  <c r="AB38" i="3"/>
  <c r="AD20" i="3"/>
  <c r="L22" i="12"/>
  <c r="AD41" i="3"/>
  <c r="AC29" i="3"/>
  <c r="Z38" i="3"/>
  <c r="Y41" i="3"/>
  <c r="AC20" i="3"/>
  <c r="K22" i="12"/>
  <c r="Y20" i="3"/>
  <c r="X20" i="3"/>
  <c r="AA29" i="3"/>
  <c r="AD38" i="3"/>
  <c r="AD37" i="4"/>
  <c r="AE39" i="3"/>
  <c r="M27" i="12"/>
  <c r="AD33" i="7"/>
  <c r="AE22" i="3"/>
  <c r="AD14" i="3"/>
  <c r="AC14" i="3"/>
  <c r="AB14" i="3"/>
  <c r="AA14" i="3"/>
  <c r="Z14" i="3"/>
  <c r="Y14" i="3"/>
  <c r="X14" i="3"/>
  <c r="W14" i="3"/>
  <c r="V14" i="3"/>
  <c r="Z7" i="3"/>
  <c r="Y7" i="3"/>
  <c r="V6" i="3"/>
  <c r="AD6" i="3"/>
  <c r="AC6" i="3"/>
  <c r="AB6" i="3"/>
  <c r="AA6" i="3"/>
  <c r="Z6" i="3"/>
  <c r="Y6" i="3"/>
  <c r="X6" i="3"/>
  <c r="W6" i="3"/>
  <c r="AE110" i="11"/>
  <c r="AE114" i="11"/>
  <c r="AE120" i="11"/>
  <c r="V122" i="11"/>
  <c r="AD120" i="11"/>
  <c r="AC120" i="11"/>
  <c r="AB120" i="11"/>
  <c r="AA120" i="11"/>
  <c r="Z120" i="11"/>
  <c r="Y120" i="11"/>
  <c r="AD114" i="11"/>
  <c r="AC114" i="11"/>
  <c r="AB114" i="11"/>
  <c r="AA114" i="11"/>
  <c r="Z114" i="11"/>
  <c r="Y114" i="11"/>
  <c r="AD110" i="11"/>
  <c r="AC110" i="11"/>
  <c r="AB110" i="11"/>
  <c r="AA110" i="11"/>
  <c r="Z110" i="11"/>
  <c r="Y110" i="11"/>
  <c r="X110" i="11"/>
  <c r="W110" i="11"/>
  <c r="X85" i="11"/>
  <c r="Y85" i="11" s="1"/>
  <c r="Z85" i="11" s="1"/>
  <c r="AA85" i="11" s="1"/>
  <c r="AB85" i="11" s="1"/>
  <c r="AC85" i="11" s="1"/>
  <c r="AD85" i="11" s="1"/>
  <c r="AE85" i="11" s="1"/>
  <c r="AC82" i="11"/>
  <c r="AC83" i="11" s="1"/>
  <c r="AD82" i="11"/>
  <c r="AD83" i="11" s="1"/>
  <c r="AE82" i="11"/>
  <c r="AE83" i="11" s="1"/>
  <c r="V82" i="11"/>
  <c r="V83" i="11" s="1"/>
  <c r="AC81" i="11"/>
  <c r="AD81" i="11"/>
  <c r="AE81" i="11"/>
  <c r="V81" i="11"/>
  <c r="W79" i="11"/>
  <c r="X79" i="11"/>
  <c r="Y79" i="11"/>
  <c r="Z79" i="11"/>
  <c r="AA79" i="11"/>
  <c r="AB79" i="11"/>
  <c r="AC79" i="11"/>
  <c r="AD79" i="11"/>
  <c r="V79" i="11"/>
  <c r="AE78" i="11"/>
  <c r="AD78" i="11"/>
  <c r="AC78" i="11"/>
  <c r="Y78" i="11"/>
  <c r="X78" i="11"/>
  <c r="W78" i="11"/>
  <c r="V78" i="11"/>
  <c r="Z75" i="11"/>
  <c r="AA75" i="11" s="1"/>
  <c r="AB75" i="11" s="1"/>
  <c r="AB78" i="11" s="1"/>
  <c r="AC73" i="11"/>
  <c r="AD73" i="11"/>
  <c r="V73" i="11"/>
  <c r="AE72" i="11"/>
  <c r="AD72" i="11"/>
  <c r="AC72" i="11"/>
  <c r="AA72" i="11"/>
  <c r="Z72" i="11"/>
  <c r="Y72" i="11"/>
  <c r="X72" i="11"/>
  <c r="W72" i="11"/>
  <c r="V72" i="11"/>
  <c r="W71" i="11"/>
  <c r="X71" i="11" s="1"/>
  <c r="Y71" i="11" s="1"/>
  <c r="Z71" i="11" s="1"/>
  <c r="AA71" i="11" s="1"/>
  <c r="AB71" i="11" s="1"/>
  <c r="AB82" i="11" s="1"/>
  <c r="AB83" i="11" s="1"/>
  <c r="AB69" i="11"/>
  <c r="AB72" i="11" s="1"/>
  <c r="W67" i="11"/>
  <c r="X67" i="11"/>
  <c r="Y67" i="11"/>
  <c r="Z67" i="11"/>
  <c r="AA67" i="11"/>
  <c r="AB67" i="11"/>
  <c r="AC67" i="11"/>
  <c r="AD67" i="11"/>
  <c r="V67" i="11"/>
  <c r="AE66" i="11"/>
  <c r="AD66" i="11"/>
  <c r="AC66" i="11"/>
  <c r="AB66" i="11"/>
  <c r="AA66" i="11"/>
  <c r="Z66" i="11"/>
  <c r="Y66" i="11"/>
  <c r="X66" i="11"/>
  <c r="W66" i="11"/>
  <c r="V66" i="11"/>
  <c r="W57" i="11"/>
  <c r="X57" i="11"/>
  <c r="Y57" i="11"/>
  <c r="Z57" i="11"/>
  <c r="AA57" i="11"/>
  <c r="AB57" i="11"/>
  <c r="AC57" i="11"/>
  <c r="AD57" i="11"/>
  <c r="V57" i="11"/>
  <c r="AE56" i="11"/>
  <c r="AD56" i="11"/>
  <c r="AC56" i="11"/>
  <c r="AB56" i="11"/>
  <c r="AA56" i="11"/>
  <c r="Z56" i="11"/>
  <c r="Y56" i="11"/>
  <c r="X56" i="11"/>
  <c r="W51" i="11"/>
  <c r="X51" i="11"/>
  <c r="Y51" i="11"/>
  <c r="Z51" i="11"/>
  <c r="AA51" i="11"/>
  <c r="V51" i="11"/>
  <c r="AE50" i="11"/>
  <c r="AD50" i="11"/>
  <c r="AC50" i="11"/>
  <c r="AB50" i="11"/>
  <c r="AA50" i="11"/>
  <c r="Z50" i="11"/>
  <c r="Y50" i="11"/>
  <c r="X50" i="11"/>
  <c r="W41" i="11"/>
  <c r="X41" i="11"/>
  <c r="Y41" i="11"/>
  <c r="Z41" i="11"/>
  <c r="AA41" i="11"/>
  <c r="AB41" i="11"/>
  <c r="AC41" i="11"/>
  <c r="AD41" i="11"/>
  <c r="V41" i="11"/>
  <c r="AD40" i="11"/>
  <c r="AC40" i="11"/>
  <c r="AB40" i="11"/>
  <c r="AA40" i="11"/>
  <c r="Z40" i="11"/>
  <c r="Y40" i="11"/>
  <c r="X40" i="11"/>
  <c r="W40" i="11"/>
  <c r="AE40" i="11"/>
  <c r="AD35" i="11"/>
  <c r="AC35" i="11"/>
  <c r="AB35" i="11"/>
  <c r="AA35" i="11"/>
  <c r="Y35" i="11"/>
  <c r="X35" i="11"/>
  <c r="W35" i="11"/>
  <c r="V35" i="11"/>
  <c r="Z32" i="11"/>
  <c r="Z35" i="11" s="1"/>
  <c r="AD29" i="11"/>
  <c r="AC29" i="11"/>
  <c r="AB29" i="11"/>
  <c r="AA29" i="11"/>
  <c r="Y29" i="11"/>
  <c r="X29" i="11"/>
  <c r="W28" i="11"/>
  <c r="X28" i="11"/>
  <c r="Y28" i="11"/>
  <c r="Z28" i="11"/>
  <c r="AA28" i="11"/>
  <c r="AB28" i="11"/>
  <c r="AC28" i="11"/>
  <c r="AD28" i="11"/>
  <c r="V28" i="11"/>
  <c r="AD26" i="11"/>
  <c r="AC26" i="11"/>
  <c r="AB26" i="11"/>
  <c r="X26" i="11"/>
  <c r="W26" i="11"/>
  <c r="Z24" i="11"/>
  <c r="Z29" i="11" s="1"/>
  <c r="AB21" i="11"/>
  <c r="AC21" i="11" s="1"/>
  <c r="AD21" i="11" s="1"/>
  <c r="AE21" i="11" s="1"/>
  <c r="AB20" i="11"/>
  <c r="Y20" i="11"/>
  <c r="AB19" i="11"/>
  <c r="AC19" i="11" s="1"/>
  <c r="AD19" i="11" s="1"/>
  <c r="AE19" i="11" s="1"/>
  <c r="Y19" i="11"/>
  <c r="AB18" i="11"/>
  <c r="AB15" i="11"/>
  <c r="X14" i="11"/>
  <c r="AC13" i="11"/>
  <c r="AD13" i="11" s="1"/>
  <c r="AE13" i="11" s="1"/>
  <c r="Z13" i="11"/>
  <c r="X10" i="11"/>
  <c r="Y10" i="11"/>
  <c r="Z10" i="11"/>
  <c r="AA10" i="11"/>
  <c r="AB10" i="11"/>
  <c r="AC10" i="11"/>
  <c r="W10" i="11"/>
  <c r="X7" i="11"/>
  <c r="Y7" i="11"/>
  <c r="Z7" i="11"/>
  <c r="AA7" i="11"/>
  <c r="AB7" i="11"/>
  <c r="AC7" i="11"/>
  <c r="AD7" i="11"/>
  <c r="AE7" i="11"/>
  <c r="W2" i="11"/>
  <c r="W7" i="11"/>
  <c r="AE2" i="11"/>
  <c r="AE206" i="2"/>
  <c r="AD206" i="2"/>
  <c r="AC206" i="2"/>
  <c r="AB206" i="2"/>
  <c r="AA206" i="2"/>
  <c r="Z206" i="2"/>
  <c r="Y206" i="2"/>
  <c r="X206" i="2"/>
  <c r="AA185" i="2"/>
  <c r="AB185" i="2"/>
  <c r="AC185" i="2"/>
  <c r="AD185" i="2"/>
  <c r="AE185" i="2"/>
  <c r="Z185" i="2"/>
  <c r="V59" i="4" l="1"/>
  <c r="X58" i="4"/>
  <c r="W11" i="11"/>
  <c r="E6" i="12"/>
  <c r="V50" i="4"/>
  <c r="V54" i="5" s="1"/>
  <c r="V51" i="4"/>
  <c r="Y58" i="4"/>
  <c r="Z58" i="4"/>
  <c r="Z41" i="4"/>
  <c r="AA58" i="4"/>
  <c r="AA41" i="4"/>
  <c r="AC58" i="4"/>
  <c r="AC41" i="4"/>
  <c r="V48" i="4"/>
  <c r="V49" i="4"/>
  <c r="V44" i="4"/>
  <c r="V52" i="4" s="1"/>
  <c r="Y59" i="4"/>
  <c r="Y43" i="4"/>
  <c r="W58" i="4"/>
  <c r="W41" i="4"/>
  <c r="AB59" i="4"/>
  <c r="AB43" i="4"/>
  <c r="AD41" i="4"/>
  <c r="AD58" i="4"/>
  <c r="X59" i="4"/>
  <c r="X43" i="4"/>
  <c r="AB58" i="4"/>
  <c r="AE20" i="3"/>
  <c r="Y73" i="11"/>
  <c r="W81" i="11"/>
  <c r="Z82" i="11"/>
  <c r="Z83" i="11" s="1"/>
  <c r="AA73" i="11"/>
  <c r="Z73" i="11"/>
  <c r="Z78" i="11"/>
  <c r="AA78" i="11"/>
  <c r="AB81" i="11"/>
  <c r="AA82" i="11"/>
  <c r="AA83" i="11" s="1"/>
  <c r="AA81" i="11"/>
  <c r="Y82" i="11"/>
  <c r="Y83" i="11" s="1"/>
  <c r="X73" i="11"/>
  <c r="Z81" i="11"/>
  <c r="X82" i="11"/>
  <c r="X83" i="11" s="1"/>
  <c r="W73" i="11"/>
  <c r="Y81" i="11"/>
  <c r="W82" i="11"/>
  <c r="W83" i="11" s="1"/>
  <c r="AB73" i="11"/>
  <c r="X81" i="11"/>
  <c r="M6" i="12"/>
  <c r="M22" i="12"/>
  <c r="AE41" i="3"/>
  <c r="AE29" i="3"/>
  <c r="AB48" i="4" l="1"/>
  <c r="AB44" i="4"/>
  <c r="AB52" i="4" s="1"/>
  <c r="AB49" i="4"/>
  <c r="AB51" i="4"/>
  <c r="AB50" i="4"/>
  <c r="AB54" i="5" s="1"/>
  <c r="AC59" i="4"/>
  <c r="AC43" i="4"/>
  <c r="AD43" i="4"/>
  <c r="AD59" i="4"/>
  <c r="Z59" i="4"/>
  <c r="Z43" i="4"/>
  <c r="Y49" i="4"/>
  <c r="Y48" i="4"/>
  <c r="Y44" i="4"/>
  <c r="Y52" i="4" s="1"/>
  <c r="Y51" i="4"/>
  <c r="Y50" i="4"/>
  <c r="Y54" i="5" s="1"/>
  <c r="AA59" i="4"/>
  <c r="AA43" i="4"/>
  <c r="X48" i="4"/>
  <c r="X44" i="4"/>
  <c r="X52" i="4" s="1"/>
  <c r="X51" i="4"/>
  <c r="X49" i="4"/>
  <c r="X50" i="4"/>
  <c r="X54" i="5" s="1"/>
  <c r="W59" i="4"/>
  <c r="W43" i="4"/>
  <c r="Z57" i="4" l="1"/>
  <c r="Z49" i="4"/>
  <c r="Z44" i="4"/>
  <c r="Z52" i="4" s="1"/>
  <c r="Z48" i="4"/>
  <c r="Z51" i="4"/>
  <c r="Z50" i="4"/>
  <c r="Z54" i="5" s="1"/>
  <c r="AD49" i="4"/>
  <c r="AD50" i="4"/>
  <c r="AD54" i="5" s="1"/>
  <c r="AE54" i="5" s="1"/>
  <c r="AD51" i="4"/>
  <c r="AD48" i="4"/>
  <c r="AD44" i="4"/>
  <c r="AD52" i="4" s="1"/>
  <c r="AD57" i="4"/>
  <c r="W57" i="4"/>
  <c r="W48" i="4"/>
  <c r="W44" i="4"/>
  <c r="W52" i="4" s="1"/>
  <c r="W49" i="4"/>
  <c r="W50" i="4"/>
  <c r="W54" i="5" s="1"/>
  <c r="W51" i="4"/>
  <c r="X57" i="4"/>
  <c r="AC57" i="4"/>
  <c r="AC48" i="4"/>
  <c r="AC49" i="4"/>
  <c r="AC44" i="4"/>
  <c r="AC52" i="4" s="1"/>
  <c r="AC50" i="4"/>
  <c r="AC54" i="5" s="1"/>
  <c r="AC51" i="4"/>
  <c r="AA57" i="4"/>
  <c r="AA44" i="4"/>
  <c r="AA52" i="4" s="1"/>
  <c r="AA49" i="4"/>
  <c r="AA48" i="4"/>
  <c r="AA51" i="4"/>
  <c r="AA50" i="4"/>
  <c r="AA54" i="5" s="1"/>
  <c r="AB57" i="4"/>
  <c r="W168" i="2" l="1"/>
  <c r="X168" i="2"/>
  <c r="Y168" i="2"/>
  <c r="Z168" i="2"/>
  <c r="AA168" i="2"/>
  <c r="AB168" i="2"/>
  <c r="AC168" i="2"/>
  <c r="AD168" i="2"/>
  <c r="AE168" i="2"/>
  <c r="V168" i="2"/>
  <c r="V169" i="2" s="1"/>
  <c r="V170" i="2" s="1"/>
  <c r="Y139" i="2"/>
  <c r="Z139" i="2"/>
  <c r="AA139" i="2"/>
  <c r="AB139" i="2"/>
  <c r="AC139" i="2"/>
  <c r="AD139" i="2"/>
  <c r="Y140" i="2"/>
  <c r="Z140" i="2"/>
  <c r="AA140" i="2"/>
  <c r="AB140" i="2"/>
  <c r="AC140" i="2"/>
  <c r="AD140" i="2"/>
  <c r="X140" i="2"/>
  <c r="X139" i="2"/>
  <c r="W137" i="2"/>
  <c r="X137" i="2"/>
  <c r="Y137" i="2"/>
  <c r="Z137" i="2"/>
  <c r="AA137" i="2"/>
  <c r="V137" i="2"/>
  <c r="V138" i="2" s="1"/>
  <c r="W38" i="5"/>
  <c r="X38" i="5" s="1"/>
  <c r="Y38" i="5" s="1"/>
  <c r="Z38" i="5" s="1"/>
  <c r="AA38" i="5" s="1"/>
  <c r="AB38" i="5" s="1"/>
  <c r="AC38" i="5" s="1"/>
  <c r="AD38" i="5" s="1"/>
  <c r="AE38" i="5" s="1"/>
  <c r="W37" i="5"/>
  <c r="V107" i="2"/>
  <c r="V110" i="2" s="1"/>
  <c r="V102" i="2"/>
  <c r="X95" i="2"/>
  <c r="V94" i="2"/>
  <c r="V95" i="2" s="1"/>
  <c r="W94" i="2"/>
  <c r="W95" i="2" s="1"/>
  <c r="X94" i="2"/>
  <c r="Y94" i="2"/>
  <c r="Y95" i="2" s="1"/>
  <c r="Z94" i="2"/>
  <c r="Z95" i="2" s="1"/>
  <c r="AA94" i="2"/>
  <c r="AA95" i="2" s="1"/>
  <c r="AB94" i="2"/>
  <c r="AB95" i="2" s="1"/>
  <c r="AC93" i="2"/>
  <c r="AC31" i="5" s="1"/>
  <c r="W89" i="2"/>
  <c r="X89" i="2"/>
  <c r="Y89" i="2"/>
  <c r="Z89" i="2"/>
  <c r="AA89" i="2"/>
  <c r="AB89" i="2"/>
  <c r="AC89" i="2"/>
  <c r="AD89" i="2"/>
  <c r="AE89" i="2"/>
  <c r="V89" i="2"/>
  <c r="AC80" i="2"/>
  <c r="AC29" i="5" s="1"/>
  <c r="W112" i="1"/>
  <c r="X112" i="1"/>
  <c r="Y112" i="1"/>
  <c r="Z112" i="1"/>
  <c r="AA112" i="1"/>
  <c r="AB112" i="1"/>
  <c r="AC112" i="1"/>
  <c r="AD112" i="1"/>
  <c r="AE112" i="1"/>
  <c r="AD106" i="1"/>
  <c r="AC106" i="1"/>
  <c r="AB106" i="1"/>
  <c r="AA106" i="1"/>
  <c r="Z106" i="1"/>
  <c r="X106" i="1"/>
  <c r="W106" i="1"/>
  <c r="V106" i="1"/>
  <c r="W100" i="1"/>
  <c r="X100" i="1"/>
  <c r="Y100" i="1"/>
  <c r="Z100" i="1"/>
  <c r="AA100" i="1"/>
  <c r="AB100" i="1"/>
  <c r="AC100" i="1"/>
  <c r="AD100" i="1"/>
  <c r="V100" i="1"/>
  <c r="W96" i="1"/>
  <c r="W97" i="1" s="1"/>
  <c r="X96" i="1"/>
  <c r="X97" i="1" s="1"/>
  <c r="Y96" i="1"/>
  <c r="Y97" i="1" s="1"/>
  <c r="Z96" i="1"/>
  <c r="AA96" i="1"/>
  <c r="AA97" i="1" s="1"/>
  <c r="AB96" i="1"/>
  <c r="V96" i="1"/>
  <c r="V97" i="1" s="1"/>
  <c r="W94" i="1"/>
  <c r="X94" i="1"/>
  <c r="Y94" i="1"/>
  <c r="Z94" i="1"/>
  <c r="AA94" i="1"/>
  <c r="AB94" i="1"/>
  <c r="AB6" i="10" s="1"/>
  <c r="AB9" i="9" s="1"/>
  <c r="AC94" i="1"/>
  <c r="AD6" i="10"/>
  <c r="AD9" i="9" s="1"/>
  <c r="V94" i="1"/>
  <c r="AE73" i="1"/>
  <c r="Y72" i="1"/>
  <c r="Z72" i="1"/>
  <c r="AA72" i="1"/>
  <c r="AE35" i="1"/>
  <c r="V57" i="5"/>
  <c r="W59" i="1"/>
  <c r="X59" i="1" s="1"/>
  <c r="W58" i="1"/>
  <c r="X58" i="1" s="1"/>
  <c r="W56" i="1"/>
  <c r="X56" i="1" s="1"/>
  <c r="Y56" i="1" s="1"/>
  <c r="Z56" i="1" s="1"/>
  <c r="AA56" i="1" s="1"/>
  <c r="AB56" i="1" s="1"/>
  <c r="AC56" i="1" s="1"/>
  <c r="AD56" i="1" s="1"/>
  <c r="AE56" i="1" s="1"/>
  <c r="W54" i="1"/>
  <c r="X54" i="1" s="1"/>
  <c r="Y54" i="1" s="1"/>
  <c r="Z54" i="1" s="1"/>
  <c r="AA54" i="1" s="1"/>
  <c r="AB54" i="1" s="1"/>
  <c r="W49" i="1"/>
  <c r="X49" i="1" s="1"/>
  <c r="W48" i="1"/>
  <c r="X48" i="1" s="1"/>
  <c r="Y48" i="1" s="1"/>
  <c r="Z48" i="1" s="1"/>
  <c r="AA48" i="1" s="1"/>
  <c r="AB48" i="1" s="1"/>
  <c r="AC48" i="1" s="1"/>
  <c r="W6" i="10" l="1"/>
  <c r="W9" i="9" s="1"/>
  <c r="AA6" i="10"/>
  <c r="AA9" i="9" s="1"/>
  <c r="Z6" i="10"/>
  <c r="Z9" i="9" s="1"/>
  <c r="V6" i="10"/>
  <c r="V9" i="9" s="1"/>
  <c r="Y6" i="10"/>
  <c r="Y9" i="9" s="1"/>
  <c r="X6" i="10"/>
  <c r="X9" i="9" s="1"/>
  <c r="X37" i="5"/>
  <c r="W125" i="2"/>
  <c r="AD93" i="2"/>
  <c r="AD94" i="2" s="1"/>
  <c r="AD95" i="2" s="1"/>
  <c r="AC94" i="2"/>
  <c r="AC95" i="2" s="1"/>
  <c r="AD80" i="2"/>
  <c r="W169" i="2"/>
  <c r="W170" i="2" s="1"/>
  <c r="W172" i="2" s="1"/>
  <c r="W173" i="2" s="1"/>
  <c r="X169" i="2"/>
  <c r="X170" i="2" s="1"/>
  <c r="X172" i="2" s="1"/>
  <c r="AC119" i="1"/>
  <c r="AB97" i="1"/>
  <c r="AC108" i="1"/>
  <c r="AC6" i="10"/>
  <c r="AC9" i="9" s="1"/>
  <c r="AA119" i="1"/>
  <c r="AE69" i="1"/>
  <c r="M23" i="12"/>
  <c r="Y169" i="2"/>
  <c r="Y170" i="2" s="1"/>
  <c r="Y167" i="2" s="1"/>
  <c r="AE36" i="4"/>
  <c r="AE33" i="4" s="1"/>
  <c r="AB119" i="1"/>
  <c r="Z97" i="1"/>
  <c r="Z119" i="1"/>
  <c r="Y119" i="1"/>
  <c r="X119" i="1"/>
  <c r="W119" i="1"/>
  <c r="Z169" i="2"/>
  <c r="Z170" i="2" s="1"/>
  <c r="Z167" i="2" s="1"/>
  <c r="AA169" i="2"/>
  <c r="AA170" i="2" s="1"/>
  <c r="AB169" i="2" s="1"/>
  <c r="AB170" i="2" s="1"/>
  <c r="AC169" i="2" s="1"/>
  <c r="AC170" i="2" s="1"/>
  <c r="AD169" i="2" s="1"/>
  <c r="AD170" i="2" s="1"/>
  <c r="AE169" i="2" s="1"/>
  <c r="AE170" i="2" s="1"/>
  <c r="Y37" i="5" l="1"/>
  <c r="X125" i="2"/>
  <c r="AA172" i="2"/>
  <c r="AD29" i="5"/>
  <c r="AE80" i="2"/>
  <c r="AD31" i="5"/>
  <c r="AE93" i="2"/>
  <c r="AB172" i="2"/>
  <c r="AA167" i="2"/>
  <c r="Y172" i="2"/>
  <c r="Y173" i="2" s="1"/>
  <c r="X173" i="2"/>
  <c r="AB167" i="2"/>
  <c r="AD172" i="2"/>
  <c r="Z172" i="2"/>
  <c r="AC172" i="2"/>
  <c r="AE172" i="2"/>
  <c r="AE51" i="6"/>
  <c r="AD167" i="2"/>
  <c r="AE167" i="2"/>
  <c r="AC167" i="2"/>
  <c r="AA173" i="2" l="1"/>
  <c r="Y125" i="2"/>
  <c r="Z37" i="5"/>
  <c r="AB173" i="2"/>
  <c r="AE31" i="5"/>
  <c r="AE94" i="2"/>
  <c r="AE95" i="2" s="1"/>
  <c r="AE173" i="2"/>
  <c r="AE29" i="5"/>
  <c r="AD173" i="2"/>
  <c r="AC173" i="2"/>
  <c r="Z173" i="2"/>
  <c r="Z125" i="2" l="1"/>
  <c r="AA37" i="5"/>
  <c r="AA125" i="2" l="1"/>
  <c r="AB37" i="5"/>
  <c r="AC37" i="5" l="1"/>
  <c r="AB125" i="2"/>
  <c r="AD37" i="5" l="1"/>
  <c r="AC125" i="2"/>
  <c r="X38" i="1"/>
  <c r="X72" i="1" s="1"/>
  <c r="W38" i="1"/>
  <c r="AC37" i="1"/>
  <c r="AC54" i="1" s="1"/>
  <c r="AD54" i="1" s="1"/>
  <c r="AE37" i="1"/>
  <c r="AD36" i="1"/>
  <c r="W35" i="1"/>
  <c r="X35" i="1"/>
  <c r="Y35" i="1"/>
  <c r="Z35" i="1"/>
  <c r="AA35" i="1"/>
  <c r="AB69" i="1"/>
  <c r="AD35" i="1"/>
  <c r="V35" i="1"/>
  <c r="D23" i="12" s="1"/>
  <c r="W33" i="1"/>
  <c r="X33" i="1"/>
  <c r="Y33" i="1"/>
  <c r="Z33" i="1"/>
  <c r="AA33" i="1"/>
  <c r="AB33" i="1"/>
  <c r="AC33" i="1"/>
  <c r="AE33" i="1"/>
  <c r="AE56" i="5" s="1"/>
  <c r="V33" i="1"/>
  <c r="AD2" i="11"/>
  <c r="AC2" i="11"/>
  <c r="AB2" i="11"/>
  <c r="AA2" i="11"/>
  <c r="Z2" i="11"/>
  <c r="H6" i="12" s="1"/>
  <c r="Y2" i="11"/>
  <c r="G6" i="12" s="1"/>
  <c r="X2" i="11"/>
  <c r="W4" i="11"/>
  <c r="V3" i="1"/>
  <c r="D4" i="12" s="1"/>
  <c r="AE24" i="1"/>
  <c r="AD24" i="1"/>
  <c r="AC22" i="1"/>
  <c r="AB22" i="1"/>
  <c r="AA22" i="1"/>
  <c r="Z22" i="1"/>
  <c r="Y22" i="1"/>
  <c r="X22" i="1"/>
  <c r="W22" i="1"/>
  <c r="V22" i="1"/>
  <c r="AC21" i="1"/>
  <c r="AB21" i="1"/>
  <c r="AC20" i="1"/>
  <c r="AB20" i="1"/>
  <c r="AA20" i="1"/>
  <c r="Z20" i="1"/>
  <c r="Y20" i="1"/>
  <c r="X20" i="1"/>
  <c r="W20" i="1"/>
  <c r="V20" i="1"/>
  <c r="X16" i="1"/>
  <c r="W16" i="1"/>
  <c r="AD15" i="1"/>
  <c r="AE15" i="1"/>
  <c r="AB14" i="1"/>
  <c r="AA14" i="1"/>
  <c r="AA12" i="10" s="1"/>
  <c r="Z14" i="1"/>
  <c r="Z12" i="10" s="1"/>
  <c r="Y14" i="1"/>
  <c r="Y12" i="10" s="1"/>
  <c r="X14" i="1"/>
  <c r="X12" i="10" s="1"/>
  <c r="W14" i="1"/>
  <c r="W12" i="10" s="1"/>
  <c r="V14" i="1"/>
  <c r="V12" i="10" s="1"/>
  <c r="W8" i="1"/>
  <c r="X8" i="1"/>
  <c r="Z8" i="1"/>
  <c r="AA8" i="1"/>
  <c r="AB8" i="1"/>
  <c r="AC8" i="1"/>
  <c r="AD8" i="1"/>
  <c r="V8" i="1"/>
  <c r="C8" i="1"/>
  <c r="B8" i="1"/>
  <c r="AA6" i="1"/>
  <c r="W6" i="1"/>
  <c r="X6" i="1"/>
  <c r="Y6" i="1"/>
  <c r="Z6" i="1"/>
  <c r="AB6" i="1"/>
  <c r="AC6" i="1"/>
  <c r="V6" i="1"/>
  <c r="V5" i="1"/>
  <c r="V4" i="1"/>
  <c r="D5" i="12" s="1"/>
  <c r="W130" i="2"/>
  <c r="X130" i="2" s="1"/>
  <c r="Y130" i="2" s="1"/>
  <c r="Z130" i="2" s="1"/>
  <c r="AA130" i="2" s="1"/>
  <c r="AB130" i="2" s="1"/>
  <c r="AC130" i="2" s="1"/>
  <c r="AD130" i="2" s="1"/>
  <c r="AE130" i="2" s="1"/>
  <c r="X123" i="2"/>
  <c r="Y123" i="2" s="1"/>
  <c r="Z123" i="2" s="1"/>
  <c r="AA123" i="2" s="1"/>
  <c r="AB123" i="2" s="1"/>
  <c r="AC123" i="2" s="1"/>
  <c r="AD123" i="2" s="1"/>
  <c r="AE123" i="2" s="1"/>
  <c r="W118" i="2"/>
  <c r="W36" i="5" s="1"/>
  <c r="W111" i="2"/>
  <c r="W73" i="2"/>
  <c r="X73" i="2"/>
  <c r="Y73" i="2"/>
  <c r="Z73" i="2"/>
  <c r="AA73" i="2"/>
  <c r="AB73" i="2"/>
  <c r="AC73" i="2"/>
  <c r="AD73" i="2"/>
  <c r="V73" i="2"/>
  <c r="AE28" i="6"/>
  <c r="AE33" i="5" s="1"/>
  <c r="W71" i="2"/>
  <c r="X71" i="2"/>
  <c r="X72" i="2" s="1"/>
  <c r="Y71" i="2"/>
  <c r="Y72" i="2" s="1"/>
  <c r="Z71" i="2"/>
  <c r="Z72" i="2" s="1"/>
  <c r="AA71" i="2"/>
  <c r="AA72" i="2" s="1"/>
  <c r="AB71" i="2"/>
  <c r="AB72" i="2" s="1"/>
  <c r="V71" i="2"/>
  <c r="V72" i="2" s="1"/>
  <c r="V60" i="2"/>
  <c r="W60" i="2"/>
  <c r="X60" i="2"/>
  <c r="Y60" i="2"/>
  <c r="Z60" i="2"/>
  <c r="AA60" i="2"/>
  <c r="AB60" i="2"/>
  <c r="AC60" i="2"/>
  <c r="AD60" i="2"/>
  <c r="AE60" i="2"/>
  <c r="V58" i="2"/>
  <c r="V34" i="1" s="1"/>
  <c r="W58" i="2"/>
  <c r="W34" i="1" s="1"/>
  <c r="E14" i="12" s="1"/>
  <c r="X58" i="2"/>
  <c r="X34" i="1" s="1"/>
  <c r="Y58" i="2"/>
  <c r="Y34" i="1" s="1"/>
  <c r="G14" i="12" s="1"/>
  <c r="Z58" i="2"/>
  <c r="Z34" i="1" s="1"/>
  <c r="H14" i="12" s="1"/>
  <c r="AA58" i="2"/>
  <c r="AA34" i="1" s="1"/>
  <c r="AA36" i="1" s="1"/>
  <c r="AB58" i="2"/>
  <c r="AB34" i="1" s="1"/>
  <c r="AB36" i="1" s="1"/>
  <c r="AC58" i="2"/>
  <c r="AC34" i="1" s="1"/>
  <c r="AC36" i="1" s="1"/>
  <c r="AD58" i="2"/>
  <c r="AE58" i="2"/>
  <c r="AD57" i="2"/>
  <c r="AE57" i="2"/>
  <c r="AE63" i="2" s="1"/>
  <c r="AC17" i="1"/>
  <c r="AC24" i="1" s="1"/>
  <c r="AB17" i="1"/>
  <c r="AB24" i="1" s="1"/>
  <c r="AA17" i="1"/>
  <c r="Z17" i="1"/>
  <c r="Z24" i="1" s="1"/>
  <c r="Y17" i="1"/>
  <c r="X17" i="1"/>
  <c r="X57" i="2" s="1"/>
  <c r="W17" i="1"/>
  <c r="W57" i="2" s="1"/>
  <c r="V17" i="1"/>
  <c r="V24" i="1" s="1"/>
  <c r="W54" i="2"/>
  <c r="X54" i="2" s="1"/>
  <c r="Y54" i="2" s="1"/>
  <c r="Z54" i="2" s="1"/>
  <c r="AA54" i="2" s="1"/>
  <c r="AB54" i="2" s="1"/>
  <c r="W53" i="2"/>
  <c r="X53" i="2" s="1"/>
  <c r="Y53" i="2" s="1"/>
  <c r="Z53" i="2" s="1"/>
  <c r="AA53" i="2" s="1"/>
  <c r="AB53" i="2" s="1"/>
  <c r="AC53" i="2" s="1"/>
  <c r="AD53" i="2" s="1"/>
  <c r="AE53" i="2" s="1"/>
  <c r="W52" i="2"/>
  <c r="X52" i="2" s="1"/>
  <c r="Y52" i="2" s="1"/>
  <c r="Z52" i="2" s="1"/>
  <c r="AA52" i="2" s="1"/>
  <c r="AB52" i="2" s="1"/>
  <c r="AC52" i="2" s="1"/>
  <c r="AD52" i="2" s="1"/>
  <c r="AE52" i="2" s="1"/>
  <c r="W51" i="2"/>
  <c r="X51" i="2" s="1"/>
  <c r="Y51" i="2" s="1"/>
  <c r="Z51" i="2" s="1"/>
  <c r="AA51" i="2" s="1"/>
  <c r="AB51" i="2" s="1"/>
  <c r="AC51" i="2" s="1"/>
  <c r="AD51" i="2" s="1"/>
  <c r="AE51" i="2" s="1"/>
  <c r="AE109" i="2" s="1"/>
  <c r="W50" i="2"/>
  <c r="X50" i="2" s="1"/>
  <c r="Y50" i="2" s="1"/>
  <c r="Z50" i="2" s="1"/>
  <c r="AA50" i="2" s="1"/>
  <c r="AB50" i="2" s="1"/>
  <c r="AC50" i="2" s="1"/>
  <c r="AD50" i="2" s="1"/>
  <c r="AE50" i="2" s="1"/>
  <c r="W49" i="2"/>
  <c r="X49" i="2" s="1"/>
  <c r="Y49" i="2" s="1"/>
  <c r="Z49" i="2" s="1"/>
  <c r="AA49" i="2" s="1"/>
  <c r="AB49" i="2" s="1"/>
  <c r="AC49" i="2" s="1"/>
  <c r="AD49" i="2" s="1"/>
  <c r="AE49" i="2" s="1"/>
  <c r="AB40" i="2"/>
  <c r="AC40" i="2"/>
  <c r="AD40" i="2"/>
  <c r="AE40" i="2"/>
  <c r="AB39" i="2"/>
  <c r="AC39" i="2"/>
  <c r="AD39" i="2"/>
  <c r="AE39" i="2"/>
  <c r="AE38" i="2"/>
  <c r="AD38" i="2"/>
  <c r="AB37" i="2"/>
  <c r="AC37" i="2"/>
  <c r="AD37" i="2"/>
  <c r="W57" i="5" l="1"/>
  <c r="E8" i="12"/>
  <c r="X11" i="11"/>
  <c r="F6" i="12"/>
  <c r="V36" i="1"/>
  <c r="D14" i="12"/>
  <c r="Z69" i="1"/>
  <c r="H23" i="12"/>
  <c r="Y69" i="1"/>
  <c r="G23" i="12"/>
  <c r="X69" i="1"/>
  <c r="F23" i="12"/>
  <c r="X36" i="1"/>
  <c r="F14" i="12"/>
  <c r="W69" i="1"/>
  <c r="E23" i="12"/>
  <c r="AE37" i="5"/>
  <c r="AD125" i="2"/>
  <c r="X74" i="2"/>
  <c r="X118" i="2"/>
  <c r="Y118" i="2" s="1"/>
  <c r="AD11" i="11"/>
  <c r="AE11" i="11"/>
  <c r="AA15" i="1"/>
  <c r="AA13" i="1" s="1"/>
  <c r="AA84" i="1" s="1"/>
  <c r="W52" i="1"/>
  <c r="Y68" i="1"/>
  <c r="AA57" i="2"/>
  <c r="W109" i="2"/>
  <c r="W107" i="2" s="1"/>
  <c r="W110" i="2" s="1"/>
  <c r="Z74" i="2"/>
  <c r="W116" i="2"/>
  <c r="X111" i="2"/>
  <c r="X36" i="5"/>
  <c r="X59" i="2"/>
  <c r="AD109" i="2"/>
  <c r="AC109" i="2"/>
  <c r="X116" i="2"/>
  <c r="X15" i="1"/>
  <c r="X13" i="1" s="1"/>
  <c r="X85" i="1" s="1"/>
  <c r="V57" i="2"/>
  <c r="W59" i="2" s="1"/>
  <c r="AA24" i="1"/>
  <c r="AA81" i="1"/>
  <c r="Y57" i="2"/>
  <c r="Z71" i="1"/>
  <c r="AB73" i="1"/>
  <c r="Z68" i="1"/>
  <c r="AA82" i="1"/>
  <c r="AC57" i="2"/>
  <c r="AD59" i="2" s="1"/>
  <c r="V25" i="1"/>
  <c r="AB15" i="1"/>
  <c r="AB71" i="1"/>
  <c r="X73" i="1"/>
  <c r="X68" i="1"/>
  <c r="Z15" i="1"/>
  <c r="Z25" i="1" s="1"/>
  <c r="AA71" i="1"/>
  <c r="AB57" i="2"/>
  <c r="AB12" i="10"/>
  <c r="AB65" i="1"/>
  <c r="AC65" i="1"/>
  <c r="W25" i="1"/>
  <c r="W76" i="1" s="1"/>
  <c r="W71" i="1"/>
  <c r="AC71" i="1"/>
  <c r="AD71" i="1"/>
  <c r="Y73" i="1"/>
  <c r="W24" i="1"/>
  <c r="W75" i="1" s="1"/>
  <c r="AD73" i="1"/>
  <c r="AC73" i="1"/>
  <c r="AD68" i="1"/>
  <c r="W65" i="1"/>
  <c r="X25" i="1"/>
  <c r="X71" i="1"/>
  <c r="AB72" i="1"/>
  <c r="Z73" i="1"/>
  <c r="X24" i="1"/>
  <c r="W72" i="1"/>
  <c r="W55" i="1"/>
  <c r="X55" i="1" s="1"/>
  <c r="Y55" i="1" s="1"/>
  <c r="Z55" i="1" s="1"/>
  <c r="AA55" i="1" s="1"/>
  <c r="AB55" i="1" s="1"/>
  <c r="AC55" i="1" s="1"/>
  <c r="AA42" i="1"/>
  <c r="W15" i="1"/>
  <c r="W73" i="1"/>
  <c r="Z57" i="2"/>
  <c r="X65" i="1"/>
  <c r="Y15" i="1"/>
  <c r="Y13" i="1" s="1"/>
  <c r="Y79" i="1" s="1"/>
  <c r="Y71" i="1"/>
  <c r="AC15" i="1"/>
  <c r="AC13" i="1" s="1"/>
  <c r="AC82" i="1" s="1"/>
  <c r="AH82" i="1" s="1"/>
  <c r="AD72" i="1"/>
  <c r="AC72" i="1"/>
  <c r="AA73" i="1"/>
  <c r="AA87" i="1"/>
  <c r="Y24" i="1"/>
  <c r="Y74" i="2"/>
  <c r="X56" i="5"/>
  <c r="X67" i="1"/>
  <c r="X113" i="1"/>
  <c r="AA4" i="11"/>
  <c r="I8" i="12" s="1"/>
  <c r="AA11" i="11"/>
  <c r="I6" i="12"/>
  <c r="W56" i="5"/>
  <c r="W50" i="1"/>
  <c r="X50" i="1" s="1"/>
  <c r="Y50" i="1" s="1"/>
  <c r="Z50" i="1" s="1"/>
  <c r="AA50" i="1" s="1"/>
  <c r="AB50" i="1" s="1"/>
  <c r="AC50" i="1" s="1"/>
  <c r="AD50" i="1" s="1"/>
  <c r="AE50" i="1" s="1"/>
  <c r="W113" i="1"/>
  <c r="W67" i="1"/>
  <c r="W136" i="2"/>
  <c r="AB4" i="11"/>
  <c r="AB57" i="5" s="1"/>
  <c r="AB11" i="11"/>
  <c r="J6" i="12"/>
  <c r="AC11" i="11"/>
  <c r="K6" i="12"/>
  <c r="Z4" i="11"/>
  <c r="Z11" i="11"/>
  <c r="AB32" i="1"/>
  <c r="AB30" i="1" s="1"/>
  <c r="AC113" i="1"/>
  <c r="AC56" i="5"/>
  <c r="AC67" i="1"/>
  <c r="L6" i="12"/>
  <c r="Z56" i="5"/>
  <c r="Z67" i="1"/>
  <c r="Z113" i="1"/>
  <c r="Y11" i="11"/>
  <c r="V56" i="5"/>
  <c r="V113" i="1"/>
  <c r="W51" i="1"/>
  <c r="X51" i="1" s="1"/>
  <c r="Y51" i="1" s="1"/>
  <c r="Z51" i="1" s="1"/>
  <c r="AA51" i="1" s="1"/>
  <c r="AB51" i="1" s="1"/>
  <c r="AC51" i="1" s="1"/>
  <c r="AD51" i="1" s="1"/>
  <c r="W68" i="1"/>
  <c r="W36" i="1"/>
  <c r="K14" i="12"/>
  <c r="AC68" i="1"/>
  <c r="I14" i="12"/>
  <c r="AA68" i="1"/>
  <c r="Z36" i="1"/>
  <c r="Z41" i="1" s="1"/>
  <c r="J14" i="12"/>
  <c r="AB68" i="1"/>
  <c r="Y36" i="1"/>
  <c r="Y32" i="1" s="1"/>
  <c r="AD13" i="1"/>
  <c r="AD93" i="1" s="1"/>
  <c r="AD69" i="1"/>
  <c r="L23" i="12"/>
  <c r="AE72" i="1"/>
  <c r="AE59" i="2"/>
  <c r="AE25" i="1"/>
  <c r="AE73" i="6"/>
  <c r="AE107" i="2"/>
  <c r="AE110" i="2" s="1"/>
  <c r="AE34" i="1"/>
  <c r="AD56" i="5"/>
  <c r="AD113" i="1"/>
  <c r="AD67" i="1"/>
  <c r="AE71" i="1"/>
  <c r="AE54" i="1"/>
  <c r="AB56" i="5"/>
  <c r="AB113" i="1"/>
  <c r="AB67" i="1"/>
  <c r="AA69" i="1"/>
  <c r="I23" i="12"/>
  <c r="AA56" i="5"/>
  <c r="AA67" i="1"/>
  <c r="AA113" i="1"/>
  <c r="Y56" i="5"/>
  <c r="Y113" i="1"/>
  <c r="Y67" i="1"/>
  <c r="AE73" i="2"/>
  <c r="AE87" i="2" s="1"/>
  <c r="V74" i="2"/>
  <c r="AB74" i="2"/>
  <c r="AA74" i="2"/>
  <c r="AE71" i="2"/>
  <c r="AE72" i="2" s="1"/>
  <c r="AE83" i="2" s="1"/>
  <c r="Z96" i="2"/>
  <c r="Z87" i="2"/>
  <c r="AD71" i="2"/>
  <c r="AD72" i="2" s="1"/>
  <c r="Y96" i="2"/>
  <c r="Y87" i="2"/>
  <c r="W86" i="2"/>
  <c r="X86" i="2" s="1"/>
  <c r="Y86" i="2" s="1"/>
  <c r="Z86" i="2" s="1"/>
  <c r="AA86" i="2" s="1"/>
  <c r="AB86" i="2" s="1"/>
  <c r="V87" i="2"/>
  <c r="V96" i="2"/>
  <c r="AD87" i="2"/>
  <c r="X87" i="2"/>
  <c r="X96" i="2"/>
  <c r="AC71" i="2"/>
  <c r="AC72" i="2" s="1"/>
  <c r="AC84" i="2" s="1"/>
  <c r="W72" i="2"/>
  <c r="W74" i="2" s="1"/>
  <c r="AC87" i="2"/>
  <c r="W87" i="2"/>
  <c r="W96" i="2"/>
  <c r="AB87" i="2"/>
  <c r="AB96" i="2"/>
  <c r="AA96" i="2"/>
  <c r="AA87" i="2"/>
  <c r="AB41" i="1"/>
  <c r="AB75" i="1" s="1"/>
  <c r="AA41" i="1"/>
  <c r="AA75" i="1" s="1"/>
  <c r="AD41" i="1"/>
  <c r="AD75" i="1" s="1"/>
  <c r="AC4" i="11"/>
  <c r="X4" i="11"/>
  <c r="AD4" i="11"/>
  <c r="AE4" i="11"/>
  <c r="Y4" i="11"/>
  <c r="AE113" i="1"/>
  <c r="AE67" i="1"/>
  <c r="AD32" i="1"/>
  <c r="X52" i="1"/>
  <c r="Y52" i="1" s="1"/>
  <c r="Z52" i="1" s="1"/>
  <c r="AA52" i="1" s="1"/>
  <c r="AB52" i="1" s="1"/>
  <c r="AA32" i="1"/>
  <c r="AB13" i="1"/>
  <c r="AB87" i="1" s="1"/>
  <c r="AG87" i="1" s="1"/>
  <c r="AB25" i="1"/>
  <c r="AC42" i="1" s="1"/>
  <c r="AA2" i="1"/>
  <c r="AA24" i="10" s="1"/>
  <c r="AE13" i="1"/>
  <c r="AE93" i="1" s="1"/>
  <c r="AD25" i="1"/>
  <c r="Y25" i="1"/>
  <c r="Z42" i="1" s="1"/>
  <c r="V15" i="1"/>
  <c r="V13" i="1" s="1"/>
  <c r="AA25" i="1"/>
  <c r="AB42" i="1" s="1"/>
  <c r="Y57" i="5" l="1"/>
  <c r="G8" i="12"/>
  <c r="Z57" i="5"/>
  <c r="H8" i="12"/>
  <c r="X57" i="5"/>
  <c r="F8" i="12"/>
  <c r="AA83" i="1"/>
  <c r="X75" i="1"/>
  <c r="AA85" i="1"/>
  <c r="AA93" i="1"/>
  <c r="AA3" i="10" s="1"/>
  <c r="AA6" i="9" s="1"/>
  <c r="AA79" i="1"/>
  <c r="AA86" i="1"/>
  <c r="AE125" i="2"/>
  <c r="W102" i="2"/>
  <c r="W101" i="2" s="1"/>
  <c r="AA57" i="5"/>
  <c r="J8" i="12"/>
  <c r="Z32" i="1"/>
  <c r="Z30" i="1" s="1"/>
  <c r="Y30" i="1"/>
  <c r="Y3" i="1" s="1"/>
  <c r="G4" i="12" s="1"/>
  <c r="AC25" i="1"/>
  <c r="Z13" i="1"/>
  <c r="Z85" i="1" s="1"/>
  <c r="X66" i="1"/>
  <c r="Z76" i="1"/>
  <c r="AD79" i="1"/>
  <c r="AI79" i="1" s="1"/>
  <c r="AB76" i="1"/>
  <c r="Z75" i="1"/>
  <c r="AC107" i="2"/>
  <c r="AC110" i="2" s="1"/>
  <c r="Z118" i="2"/>
  <c r="Y36" i="5"/>
  <c r="Y116" i="2"/>
  <c r="Y111" i="2"/>
  <c r="X109" i="2"/>
  <c r="AD107" i="2"/>
  <c r="AD110" i="2" s="1"/>
  <c r="X79" i="1"/>
  <c r="X81" i="1"/>
  <c r="X87" i="1"/>
  <c r="AD2" i="1"/>
  <c r="AD43" i="3" s="1"/>
  <c r="AD45" i="3" s="1"/>
  <c r="X82" i="1"/>
  <c r="AA90" i="1"/>
  <c r="V86" i="1"/>
  <c r="V83" i="1"/>
  <c r="V81" i="1"/>
  <c r="V93" i="1"/>
  <c r="V3" i="10" s="1"/>
  <c r="V84" i="1"/>
  <c r="I3" i="12"/>
  <c r="AA43" i="3"/>
  <c r="AA45" i="3" s="1"/>
  <c r="AC86" i="1"/>
  <c r="AH86" i="1" s="1"/>
  <c r="Z59" i="2"/>
  <c r="X76" i="1"/>
  <c r="Y42" i="1"/>
  <c r="Y59" i="1" s="1"/>
  <c r="Z59" i="1" s="1"/>
  <c r="AA59" i="1" s="1"/>
  <c r="AB59" i="1" s="1"/>
  <c r="AC59" i="1" s="1"/>
  <c r="AC85" i="1"/>
  <c r="AB59" i="2"/>
  <c r="AB85" i="1"/>
  <c r="AA134" i="1"/>
  <c r="AA135" i="1"/>
  <c r="AA133" i="1"/>
  <c r="AE27" i="1"/>
  <c r="AA76" i="1"/>
  <c r="AB79" i="1"/>
  <c r="AG79" i="1" s="1"/>
  <c r="AB82" i="1"/>
  <c r="AG82" i="1" s="1"/>
  <c r="X2" i="1"/>
  <c r="X84" i="1"/>
  <c r="X86" i="1"/>
  <c r="X83" i="1"/>
  <c r="X93" i="1"/>
  <c r="X3" i="10" s="1"/>
  <c r="AC76" i="1"/>
  <c r="Z83" i="1"/>
  <c r="AD55" i="1"/>
  <c r="AC79" i="2"/>
  <c r="AB86" i="1"/>
  <c r="AG86" i="1" s="1"/>
  <c r="AC59" i="2"/>
  <c r="W30" i="1"/>
  <c r="AA80" i="1"/>
  <c r="AA78" i="1" s="1"/>
  <c r="AA89" i="1"/>
  <c r="AC93" i="1"/>
  <c r="AC84" i="1"/>
  <c r="AC81" i="1"/>
  <c r="AC83" i="1"/>
  <c r="AH83" i="1" s="1"/>
  <c r="AC79" i="1"/>
  <c r="AH79" i="1" s="1"/>
  <c r="Y93" i="1"/>
  <c r="Y3" i="10" s="1"/>
  <c r="Y86" i="1"/>
  <c r="Y83" i="1"/>
  <c r="Y84" i="1"/>
  <c r="Y81" i="1"/>
  <c r="AB83" i="1"/>
  <c r="AG83" i="1" s="1"/>
  <c r="AB93" i="1"/>
  <c r="AB84" i="1"/>
  <c r="AB81" i="1"/>
  <c r="AD107" i="1"/>
  <c r="AD135" i="1"/>
  <c r="Y85" i="1"/>
  <c r="Y87" i="1"/>
  <c r="V82" i="1"/>
  <c r="V85" i="1"/>
  <c r="Y59" i="2"/>
  <c r="W13" i="1"/>
  <c r="W66" i="1"/>
  <c r="X30" i="1"/>
  <c r="X3" i="1" s="1"/>
  <c r="F4" i="12" s="1"/>
  <c r="AA59" i="2"/>
  <c r="AC87" i="1"/>
  <c r="AH87" i="1" s="1"/>
  <c r="V79" i="1"/>
  <c r="V87" i="1"/>
  <c r="Y82" i="1"/>
  <c r="AD42" i="1"/>
  <c r="AD76" i="1" s="1"/>
  <c r="AB66" i="1"/>
  <c r="W138" i="2"/>
  <c r="X136" i="2"/>
  <c r="AC57" i="5"/>
  <c r="K8" i="12"/>
  <c r="Y41" i="1"/>
  <c r="Y75" i="1" s="1"/>
  <c r="AD82" i="1"/>
  <c r="AI82" i="1" s="1"/>
  <c r="AD27" i="1"/>
  <c r="AD86" i="1"/>
  <c r="AI86" i="1" s="1"/>
  <c r="AD81" i="1"/>
  <c r="AD83" i="1"/>
  <c r="AI83" i="1" s="1"/>
  <c r="AD85" i="1"/>
  <c r="AI85" i="1" s="1"/>
  <c r="AD87" i="1"/>
  <c r="AI87" i="1" s="1"/>
  <c r="AD84" i="1"/>
  <c r="AD30" i="1"/>
  <c r="AD64" i="1" s="1"/>
  <c r="AD65" i="1"/>
  <c r="AD48" i="1"/>
  <c r="AD3" i="10"/>
  <c r="AD6" i="9" s="1"/>
  <c r="AD134" i="1"/>
  <c r="AD133" i="1"/>
  <c r="AE42" i="1"/>
  <c r="AE76" i="1" s="1"/>
  <c r="AE86" i="1"/>
  <c r="AJ86" i="1" s="1"/>
  <c r="AE83" i="1"/>
  <c r="AJ83" i="1" s="1"/>
  <c r="AE79" i="1"/>
  <c r="AJ79" i="1" s="1"/>
  <c r="AE87" i="1"/>
  <c r="AJ87" i="1" s="1"/>
  <c r="AE84" i="1"/>
  <c r="AE81" i="1"/>
  <c r="AE82" i="1"/>
  <c r="AJ82" i="1" s="1"/>
  <c r="AE85" i="1"/>
  <c r="AE74" i="2"/>
  <c r="M14" i="12"/>
  <c r="AE68" i="1"/>
  <c r="AE51" i="1"/>
  <c r="AE36" i="1"/>
  <c r="AE32" i="1" s="1"/>
  <c r="AE31" i="1" s="1"/>
  <c r="AE30" i="1" s="1"/>
  <c r="AE57" i="5"/>
  <c r="AE26" i="4" s="1"/>
  <c r="AE27" i="4" s="1"/>
  <c r="AE29" i="4" s="1"/>
  <c r="AE25" i="4" s="1"/>
  <c r="M8" i="12"/>
  <c r="AD57" i="5"/>
  <c r="L8" i="12"/>
  <c r="Y66" i="1"/>
  <c r="Y49" i="1"/>
  <c r="AC96" i="2"/>
  <c r="AD96" i="2"/>
  <c r="AE96" i="2"/>
  <c r="AC83" i="2"/>
  <c r="AC30" i="5" s="1"/>
  <c r="AC74" i="2"/>
  <c r="AD83" i="2"/>
  <c r="AD30" i="5" s="1"/>
  <c r="AD84" i="2"/>
  <c r="AD74" i="2"/>
  <c r="AC86" i="2"/>
  <c r="AD86" i="2" s="1"/>
  <c r="AE86" i="2" s="1"/>
  <c r="AD66" i="1"/>
  <c r="AB3" i="1"/>
  <c r="J4" i="12" s="1"/>
  <c r="AB64" i="1"/>
  <c r="AB4" i="1" s="1"/>
  <c r="J5" i="12" s="1"/>
  <c r="AA30" i="1"/>
  <c r="AA66" i="1"/>
  <c r="Y2" i="1"/>
  <c r="Y27" i="1"/>
  <c r="AB2" i="1"/>
  <c r="AB27" i="1"/>
  <c r="V2" i="1"/>
  <c r="AE2" i="1"/>
  <c r="AE7" i="1" s="1"/>
  <c r="AE6" i="1" s="1"/>
  <c r="AC2" i="1"/>
  <c r="AC27" i="1"/>
  <c r="D3" i="12" l="1"/>
  <c r="D42" i="12" s="1"/>
  <c r="V24" i="10"/>
  <c r="Y24" i="10"/>
  <c r="G3" i="12"/>
  <c r="G42" i="12" s="1"/>
  <c r="X24" i="10"/>
  <c r="F3" i="12"/>
  <c r="F42" i="12" s="1"/>
  <c r="Y64" i="1"/>
  <c r="Y4" i="1" s="1"/>
  <c r="G5" i="12" s="1"/>
  <c r="Z66" i="1"/>
  <c r="Z49" i="1"/>
  <c r="AA49" i="1" s="1"/>
  <c r="AB49" i="1" s="1"/>
  <c r="Z84" i="1"/>
  <c r="Z81" i="1"/>
  <c r="Z80" i="1" s="1"/>
  <c r="Z78" i="1" s="1"/>
  <c r="Z82" i="1"/>
  <c r="Z27" i="1"/>
  <c r="Z93" i="1"/>
  <c r="Z2" i="1"/>
  <c r="AA27" i="1"/>
  <c r="Z87" i="1"/>
  <c r="Z86" i="1"/>
  <c r="Z79" i="1"/>
  <c r="AD24" i="10"/>
  <c r="L3" i="12"/>
  <c r="X89" i="1"/>
  <c r="AD79" i="2"/>
  <c r="X90" i="1"/>
  <c r="AA118" i="2"/>
  <c r="Z36" i="5"/>
  <c r="Z116" i="2"/>
  <c r="X107" i="2"/>
  <c r="X110" i="2" s="1"/>
  <c r="X102" i="2"/>
  <c r="X101" i="2" s="1"/>
  <c r="Z111" i="2"/>
  <c r="Y109" i="2"/>
  <c r="AD7" i="1"/>
  <c r="AD6" i="1" s="1"/>
  <c r="K3" i="12"/>
  <c r="AC24" i="10"/>
  <c r="AC43" i="3"/>
  <c r="AC45" i="3" s="1"/>
  <c r="Y43" i="3"/>
  <c r="Y45" i="3" s="1"/>
  <c r="X43" i="3"/>
  <c r="X45" i="3" s="1"/>
  <c r="W64" i="1"/>
  <c r="W4" i="1" s="1"/>
  <c r="E5" i="12" s="1"/>
  <c r="W86" i="1"/>
  <c r="W83" i="1"/>
  <c r="W93" i="1"/>
  <c r="W3" i="10" s="1"/>
  <c r="W84" i="1"/>
  <c r="W2" i="1"/>
  <c r="W27" i="1"/>
  <c r="X27" i="1"/>
  <c r="W85" i="1"/>
  <c r="W82" i="1"/>
  <c r="W79" i="1"/>
  <c r="W87" i="1"/>
  <c r="W81" i="1"/>
  <c r="AC89" i="1"/>
  <c r="AH89" i="1" s="1"/>
  <c r="AC80" i="1"/>
  <c r="AC78" i="1" s="1"/>
  <c r="AH81" i="1"/>
  <c r="W3" i="1"/>
  <c r="E4" i="12" s="1"/>
  <c r="W47" i="1"/>
  <c r="X80" i="1"/>
  <c r="X78" i="1" s="1"/>
  <c r="AD59" i="1"/>
  <c r="AE59" i="1" s="1"/>
  <c r="V89" i="1"/>
  <c r="AG81" i="1"/>
  <c r="AB89" i="1"/>
  <c r="AG89" i="1" s="1"/>
  <c r="X6" i="9"/>
  <c r="X134" i="1"/>
  <c r="X135" i="1"/>
  <c r="X133" i="1"/>
  <c r="AC90" i="1"/>
  <c r="AH90" i="1" s="1"/>
  <c r="AH85" i="1"/>
  <c r="AB3" i="10"/>
  <c r="AB6" i="9" s="1"/>
  <c r="AB135" i="1"/>
  <c r="AB133" i="1"/>
  <c r="AB134" i="1"/>
  <c r="V80" i="1"/>
  <c r="V78" i="1" s="1"/>
  <c r="V43" i="3"/>
  <c r="V45" i="3" s="1"/>
  <c r="J3" i="12"/>
  <c r="AB24" i="10"/>
  <c r="AB43" i="3"/>
  <c r="AB45" i="3" s="1"/>
  <c r="AC3" i="10"/>
  <c r="AC6" i="9" s="1"/>
  <c r="AC133" i="1"/>
  <c r="AC135" i="1"/>
  <c r="AC134" i="1"/>
  <c r="AE55" i="1"/>
  <c r="X64" i="1"/>
  <c r="X4" i="1" s="1"/>
  <c r="F5" i="12" s="1"/>
  <c r="Y76" i="1"/>
  <c r="Y89" i="1"/>
  <c r="Y80" i="1"/>
  <c r="Y78" i="1" s="1"/>
  <c r="Z89" i="1"/>
  <c r="V6" i="9"/>
  <c r="V134" i="1"/>
  <c r="V135" i="1"/>
  <c r="Y90" i="1"/>
  <c r="V90" i="1"/>
  <c r="Y6" i="9"/>
  <c r="Y135" i="1"/>
  <c r="Y133" i="1"/>
  <c r="Y134" i="1"/>
  <c r="AB80" i="1"/>
  <c r="AB78" i="1" s="1"/>
  <c r="AB90" i="1"/>
  <c r="AG90" i="1" s="1"/>
  <c r="AG85" i="1"/>
  <c r="Y58" i="1"/>
  <c r="Z58" i="1" s="1"/>
  <c r="AA58" i="1" s="1"/>
  <c r="AB58" i="1" s="1"/>
  <c r="X138" i="2"/>
  <c r="Y136" i="2"/>
  <c r="AD89" i="1"/>
  <c r="AI89" i="1" s="1"/>
  <c r="AI81" i="1"/>
  <c r="AI80" i="1" s="1"/>
  <c r="AD80" i="1"/>
  <c r="AD78" i="1" s="1"/>
  <c r="AD90" i="1"/>
  <c r="AI90" i="1" s="1"/>
  <c r="AE90" i="1"/>
  <c r="AJ90" i="1" s="1"/>
  <c r="AJ85" i="1"/>
  <c r="AE3" i="10"/>
  <c r="AE6" i="9" s="1"/>
  <c r="AE39" i="4"/>
  <c r="AE38" i="4"/>
  <c r="AE24" i="10"/>
  <c r="M3" i="12"/>
  <c r="AE43" i="3"/>
  <c r="AE45" i="3" s="1"/>
  <c r="AE89" i="1"/>
  <c r="AJ89" i="1" s="1"/>
  <c r="AE80" i="1"/>
  <c r="AE78" i="1" s="1"/>
  <c r="AJ81" i="1"/>
  <c r="AE41" i="1"/>
  <c r="AE75" i="1" s="1"/>
  <c r="AE30" i="4"/>
  <c r="AE31" i="4" s="1"/>
  <c r="AE32" i="4" s="1"/>
  <c r="AD3" i="1"/>
  <c r="AD4" i="1"/>
  <c r="Z3" i="1"/>
  <c r="H4" i="12" s="1"/>
  <c r="Z64" i="1"/>
  <c r="Z4" i="1" s="1"/>
  <c r="H5" i="12" s="1"/>
  <c r="AA3" i="1"/>
  <c r="I4" i="12" s="1"/>
  <c r="AA64" i="1"/>
  <c r="AA4" i="1" s="1"/>
  <c r="I5" i="12" s="1"/>
  <c r="E3" i="12" l="1"/>
  <c r="E42" i="12" s="1"/>
  <c r="W24" i="10"/>
  <c r="H3" i="12"/>
  <c r="Z24" i="10"/>
  <c r="Z3" i="10"/>
  <c r="Z6" i="9" s="1"/>
  <c r="Z90" i="1"/>
  <c r="Z133" i="1"/>
  <c r="Z135" i="1"/>
  <c r="Z134" i="1"/>
  <c r="Z43" i="3"/>
  <c r="Z45" i="3" s="1"/>
  <c r="AE79" i="2"/>
  <c r="AI78" i="1"/>
  <c r="AG78" i="1"/>
  <c r="Y107" i="2"/>
  <c r="Y110" i="2" s="1"/>
  <c r="Y102" i="2"/>
  <c r="Y101" i="2" s="1"/>
  <c r="AA111" i="2"/>
  <c r="Z109" i="2"/>
  <c r="AB118" i="2"/>
  <c r="AA36" i="5"/>
  <c r="AA116" i="2"/>
  <c r="W89" i="1"/>
  <c r="W80" i="1"/>
  <c r="W78" i="1" s="1"/>
  <c r="X47" i="1"/>
  <c r="W5" i="1"/>
  <c r="W43" i="3"/>
  <c r="W45" i="3" s="1"/>
  <c r="AG80" i="1"/>
  <c r="AH80" i="1"/>
  <c r="W6" i="9"/>
  <c r="W133" i="1"/>
  <c r="W134" i="1"/>
  <c r="W135" i="1"/>
  <c r="W90" i="1"/>
  <c r="AH78" i="1"/>
  <c r="AJ78" i="1"/>
  <c r="Z136" i="2"/>
  <c r="Y138" i="2"/>
  <c r="AJ80" i="1"/>
  <c r="AE66" i="1"/>
  <c r="AE37" i="4"/>
  <c r="AE58" i="4" s="1"/>
  <c r="L5" i="12"/>
  <c r="L4" i="12"/>
  <c r="AC118" i="2" l="1"/>
  <c r="AB36" i="5"/>
  <c r="AB116" i="2"/>
  <c r="AB111" i="2"/>
  <c r="AB109" i="2" s="1"/>
  <c r="AA109" i="2"/>
  <c r="Z107" i="2"/>
  <c r="Z110" i="2" s="1"/>
  <c r="Z102" i="2"/>
  <c r="Z101" i="2" s="1"/>
  <c r="X5" i="1"/>
  <c r="Y47" i="1"/>
  <c r="AA136" i="2"/>
  <c r="Z138" i="2"/>
  <c r="AE48" i="1"/>
  <c r="AE65" i="1"/>
  <c r="AA107" i="2" l="1"/>
  <c r="AA110" i="2" s="1"/>
  <c r="AA102" i="2"/>
  <c r="AA101" i="2" s="1"/>
  <c r="AB107" i="2"/>
  <c r="AB110" i="2" s="1"/>
  <c r="AB102" i="2"/>
  <c r="AD118" i="2"/>
  <c r="AC36" i="5"/>
  <c r="AC116" i="2"/>
  <c r="AC102" i="2" s="1"/>
  <c r="Y5" i="1"/>
  <c r="Z47" i="1"/>
  <c r="AB136" i="2"/>
  <c r="AA138" i="2"/>
  <c r="AE3" i="1"/>
  <c r="AE64" i="1"/>
  <c r="AE4" i="1" s="1"/>
  <c r="AB44" i="2"/>
  <c r="AC44" i="2"/>
  <c r="AD44" i="2"/>
  <c r="X43" i="2"/>
  <c r="Y43" i="2"/>
  <c r="Z43" i="2"/>
  <c r="AA43" i="2"/>
  <c r="AB43" i="2"/>
  <c r="W43" i="2"/>
  <c r="M21" i="12"/>
  <c r="AE28" i="2"/>
  <c r="AE43" i="2" s="1"/>
  <c r="AC28" i="2"/>
  <c r="AC43" i="2" s="1"/>
  <c r="AD28" i="2"/>
  <c r="AD43" i="2" s="1"/>
  <c r="V165" i="2"/>
  <c r="V160" i="2" s="1"/>
  <c r="W75" i="6"/>
  <c r="X75" i="6"/>
  <c r="Y75" i="6"/>
  <c r="Y163" i="2" s="1"/>
  <c r="Z75" i="6"/>
  <c r="AA75" i="6"/>
  <c r="AA163" i="2" s="1"/>
  <c r="AB75" i="6"/>
  <c r="AC75" i="6"/>
  <c r="AD75" i="6"/>
  <c r="V75" i="6"/>
  <c r="AE142" i="2"/>
  <c r="AE139" i="2" s="1"/>
  <c r="AE143" i="2"/>
  <c r="AE140" i="2" s="1"/>
  <c r="W2" i="4"/>
  <c r="X2" i="4"/>
  <c r="Y2" i="4"/>
  <c r="Z2" i="4"/>
  <c r="AA2" i="4"/>
  <c r="AB2" i="4"/>
  <c r="AC2" i="4"/>
  <c r="AD2" i="4"/>
  <c r="AD28" i="3" s="1"/>
  <c r="AE2" i="4"/>
  <c r="AE28" i="3" s="1"/>
  <c r="V2" i="4"/>
  <c r="Z188" i="2"/>
  <c r="AA188" i="2" s="1"/>
  <c r="AB188" i="2" s="1"/>
  <c r="AC188" i="2" s="1"/>
  <c r="AD188" i="2" s="1"/>
  <c r="W188" i="2"/>
  <c r="W192" i="2" s="1"/>
  <c r="V188" i="2"/>
  <c r="V192" i="2" s="1"/>
  <c r="Z5" i="4"/>
  <c r="AA5" i="4"/>
  <c r="AB5" i="4"/>
  <c r="Y5" i="4"/>
  <c r="W42" i="2"/>
  <c r="X42" i="2"/>
  <c r="Y42" i="2"/>
  <c r="Z42" i="2"/>
  <c r="AA42" i="2"/>
  <c r="AB42" i="2"/>
  <c r="AC42" i="2"/>
  <c r="AD42" i="2"/>
  <c r="AE41" i="2"/>
  <c r="AE42" i="2"/>
  <c r="W149" i="2"/>
  <c r="W147" i="2" s="1"/>
  <c r="X149" i="2"/>
  <c r="X147" i="2" s="1"/>
  <c r="Y149" i="2"/>
  <c r="Y147" i="2" s="1"/>
  <c r="Z149" i="2"/>
  <c r="Z147" i="2" s="1"/>
  <c r="AA149" i="2"/>
  <c r="AA147" i="2" s="1"/>
  <c r="AB149" i="2"/>
  <c r="AB147" i="2" s="1"/>
  <c r="AC149" i="2"/>
  <c r="AC147" i="2" s="1"/>
  <c r="AD149" i="2"/>
  <c r="AD147" i="2" s="1"/>
  <c r="V149" i="2"/>
  <c r="V147" i="2" s="1"/>
  <c r="V24" i="6"/>
  <c r="W24" i="6"/>
  <c r="X24" i="6"/>
  <c r="Y24" i="6"/>
  <c r="Z24" i="6"/>
  <c r="AA24" i="6"/>
  <c r="AB24" i="6"/>
  <c r="AC24" i="6"/>
  <c r="AD24" i="6"/>
  <c r="W156" i="2"/>
  <c r="X156" i="2"/>
  <c r="Y156" i="2"/>
  <c r="Z156" i="2"/>
  <c r="AA156" i="2"/>
  <c r="AB156" i="2"/>
  <c r="AC156" i="2"/>
  <c r="AD156" i="2"/>
  <c r="V156" i="2"/>
  <c r="V12" i="2"/>
  <c r="W12" i="2"/>
  <c r="X12" i="2"/>
  <c r="Y12" i="2"/>
  <c r="Z12" i="2"/>
  <c r="AA12" i="2"/>
  <c r="AB12" i="2"/>
  <c r="AC12" i="2"/>
  <c r="AD12" i="2"/>
  <c r="AB152" i="2"/>
  <c r="AA152" i="2"/>
  <c r="Z152" i="2"/>
  <c r="Y152" i="2"/>
  <c r="X152" i="2"/>
  <c r="W152" i="2"/>
  <c r="V152" i="2"/>
  <c r="AC152" i="2"/>
  <c r="AD152" i="2"/>
  <c r="W146" i="2"/>
  <c r="X146" i="2"/>
  <c r="Y146" i="2"/>
  <c r="Z146" i="2"/>
  <c r="AA146" i="2"/>
  <c r="AB146" i="2"/>
  <c r="AC146" i="2"/>
  <c r="AD146" i="2"/>
  <c r="AE146" i="2"/>
  <c r="V146" i="2"/>
  <c r="V153" i="2" s="1"/>
  <c r="W186" i="2"/>
  <c r="W190" i="2" s="1"/>
  <c r="X186" i="2"/>
  <c r="X190" i="2" s="1"/>
  <c r="Y186" i="2"/>
  <c r="Y190" i="2" s="1"/>
  <c r="Z186" i="2"/>
  <c r="Z190" i="2" s="1"/>
  <c r="AA186" i="2"/>
  <c r="AA190" i="2" s="1"/>
  <c r="AB186" i="2"/>
  <c r="AB190" i="2" s="1"/>
  <c r="AC186" i="2"/>
  <c r="AC190" i="2" s="1"/>
  <c r="AD186" i="2"/>
  <c r="AD190" i="2" s="1"/>
  <c r="V186" i="2"/>
  <c r="V190" i="2" s="1"/>
  <c r="V17" i="6"/>
  <c r="V26" i="6" s="1"/>
  <c r="W17" i="6"/>
  <c r="W26" i="6" s="1"/>
  <c r="X17" i="6"/>
  <c r="X26" i="6" s="1"/>
  <c r="Y17" i="6"/>
  <c r="Y26" i="6" s="1"/>
  <c r="Z17" i="6"/>
  <c r="Z26" i="6" s="1"/>
  <c r="AA17" i="6"/>
  <c r="AA26" i="6" s="1"/>
  <c r="AB17" i="6"/>
  <c r="AB26" i="6" s="1"/>
  <c r="AC17" i="6"/>
  <c r="AC26" i="6" s="1"/>
  <c r="AD17" i="6"/>
  <c r="AD26" i="6" s="1"/>
  <c r="AC187" i="2"/>
  <c r="AD187" i="2" s="1"/>
  <c r="AE187" i="2" s="1"/>
  <c r="AA187" i="2"/>
  <c r="W187" i="2"/>
  <c r="V187" i="2"/>
  <c r="V191" i="2" s="1"/>
  <c r="W196" i="2"/>
  <c r="X196" i="2"/>
  <c r="Y196" i="2"/>
  <c r="Z196" i="2"/>
  <c r="AA196" i="2"/>
  <c r="AB196" i="2"/>
  <c r="AC196" i="2"/>
  <c r="AD196" i="2"/>
  <c r="V196" i="2"/>
  <c r="W194" i="2"/>
  <c r="X194" i="2"/>
  <c r="Y194" i="2"/>
  <c r="Y195" i="2" s="1"/>
  <c r="Z194" i="2"/>
  <c r="AA194" i="2"/>
  <c r="AB194" i="2"/>
  <c r="AC194" i="2"/>
  <c r="AD194" i="2"/>
  <c r="V194" i="2"/>
  <c r="V195" i="2" s="1"/>
  <c r="AD3" i="4"/>
  <c r="AE3" i="4"/>
  <c r="AC3" i="4"/>
  <c r="V65" i="2"/>
  <c r="V25" i="5" s="1"/>
  <c r="W65" i="2"/>
  <c r="W25" i="5" s="1"/>
  <c r="X65" i="2"/>
  <c r="X25" i="5" s="1"/>
  <c r="Y65" i="2"/>
  <c r="Y25" i="5" s="1"/>
  <c r="Z65" i="2"/>
  <c r="Z25" i="5" s="1"/>
  <c r="AA65" i="2"/>
  <c r="AA25" i="5" s="1"/>
  <c r="AB65" i="2"/>
  <c r="AB25" i="5" s="1"/>
  <c r="AC65" i="2"/>
  <c r="AC25" i="5" s="1"/>
  <c r="AD65" i="2"/>
  <c r="AD25" i="5" s="1"/>
  <c r="V5" i="2"/>
  <c r="D16" i="12" s="1"/>
  <c r="W5" i="2"/>
  <c r="X5" i="2"/>
  <c r="F16" i="12" s="1"/>
  <c r="Y5" i="2"/>
  <c r="G16" i="12" s="1"/>
  <c r="Z5" i="2"/>
  <c r="H16" i="12" s="1"/>
  <c r="AA5" i="2"/>
  <c r="AB5" i="2"/>
  <c r="AC5" i="2"/>
  <c r="AD5" i="2"/>
  <c r="AB36" i="2"/>
  <c r="AC36" i="2"/>
  <c r="AB35" i="2"/>
  <c r="AC35" i="2"/>
  <c r="AD35" i="2"/>
  <c r="AE35" i="2"/>
  <c r="W4" i="2" l="1"/>
  <c r="E13" i="12" s="1"/>
  <c r="E16" i="12"/>
  <c r="AD5" i="4"/>
  <c r="AA41" i="2"/>
  <c r="AC41" i="2"/>
  <c r="W41" i="2"/>
  <c r="Z41" i="2"/>
  <c r="AB101" i="2"/>
  <c r="AB36" i="6"/>
  <c r="AB34" i="6" s="1"/>
  <c r="AB33" i="6" s="1"/>
  <c r="AB35" i="6" s="1"/>
  <c r="AD41" i="2"/>
  <c r="X41" i="2"/>
  <c r="Y41" i="2"/>
  <c r="AB41" i="2"/>
  <c r="W224" i="2"/>
  <c r="W222" i="2"/>
  <c r="W223" i="2"/>
  <c r="W61" i="2"/>
  <c r="V158" i="2"/>
  <c r="V7" i="6" s="1"/>
  <c r="V16" i="6"/>
  <c r="AE118" i="2"/>
  <c r="AD36" i="5"/>
  <c r="AD116" i="2"/>
  <c r="AD102" i="2" s="1"/>
  <c r="AD101" i="2" s="1"/>
  <c r="V4" i="2"/>
  <c r="X187" i="2"/>
  <c r="X191" i="2" s="1"/>
  <c r="Y191" i="2" s="1"/>
  <c r="Z191" i="2" s="1"/>
  <c r="AA191" i="2" s="1"/>
  <c r="AB191" i="2" s="1"/>
  <c r="AC191" i="2" s="1"/>
  <c r="AD191" i="2" s="1"/>
  <c r="W191" i="2"/>
  <c r="X188" i="2"/>
  <c r="AC4" i="3"/>
  <c r="AD4" i="3" s="1"/>
  <c r="AE4" i="3" s="1"/>
  <c r="AC54" i="2"/>
  <c r="AD54" i="2" s="1"/>
  <c r="AE54" i="2" s="1"/>
  <c r="AC216" i="2"/>
  <c r="K16" i="12"/>
  <c r="AC34" i="2"/>
  <c r="Z216" i="2"/>
  <c r="W216" i="2"/>
  <c r="W221" i="2"/>
  <c r="AB4" i="2"/>
  <c r="AB221" i="2" s="1"/>
  <c r="AB216" i="2"/>
  <c r="J16" i="12"/>
  <c r="AB34" i="2"/>
  <c r="AA4" i="2"/>
  <c r="AA221" i="2" s="1"/>
  <c r="AA216" i="2"/>
  <c r="I16" i="12"/>
  <c r="AC4" i="2"/>
  <c r="AC221" i="2" s="1"/>
  <c r="AC234" i="2" s="1"/>
  <c r="Z4" i="2"/>
  <c r="Y216" i="2"/>
  <c r="Y4" i="2"/>
  <c r="AD4" i="2"/>
  <c r="AD216" i="2"/>
  <c r="AE216" i="2"/>
  <c r="L16" i="12"/>
  <c r="AE34" i="2"/>
  <c r="AD34" i="2"/>
  <c r="X216" i="2"/>
  <c r="X4" i="2"/>
  <c r="F13" i="12" s="1"/>
  <c r="F15" i="12" s="1"/>
  <c r="AC101" i="2"/>
  <c r="AC76" i="2"/>
  <c r="AC13" i="4"/>
  <c r="K24" i="12"/>
  <c r="AC96" i="1"/>
  <c r="AE5" i="4"/>
  <c r="AE13" i="4"/>
  <c r="AC5" i="4"/>
  <c r="Y11" i="7"/>
  <c r="AD13" i="4"/>
  <c r="L24" i="12"/>
  <c r="AD96" i="1"/>
  <c r="X11" i="7"/>
  <c r="X32" i="7" s="1"/>
  <c r="W11" i="7"/>
  <c r="Z5" i="1"/>
  <c r="AA47" i="1"/>
  <c r="X162" i="2"/>
  <c r="AB163" i="2"/>
  <c r="AB87" i="6"/>
  <c r="AB85" i="6" s="1"/>
  <c r="Z36" i="6"/>
  <c r="Z34" i="6" s="1"/>
  <c r="Z33" i="6" s="1"/>
  <c r="Z35" i="6" s="1"/>
  <c r="AB162" i="2"/>
  <c r="V162" i="2"/>
  <c r="Z163" i="2"/>
  <c r="Z87" i="6"/>
  <c r="Z85" i="6" s="1"/>
  <c r="AA162" i="2"/>
  <c r="V163" i="2"/>
  <c r="Y87" i="6"/>
  <c r="Y85" i="6" s="1"/>
  <c r="AC162" i="2"/>
  <c r="W162" i="2"/>
  <c r="AA87" i="6"/>
  <c r="AA85" i="6" s="1"/>
  <c r="Z162" i="2"/>
  <c r="AD163" i="2"/>
  <c r="AD87" i="6"/>
  <c r="AD85" i="6" s="1"/>
  <c r="X163" i="2"/>
  <c r="X87" i="6"/>
  <c r="X85" i="6" s="1"/>
  <c r="W64" i="6" s="1"/>
  <c r="AC36" i="6"/>
  <c r="AC34" i="6" s="1"/>
  <c r="AC33" i="6" s="1"/>
  <c r="AC35" i="6" s="1"/>
  <c r="W36" i="6"/>
  <c r="W34" i="6" s="1"/>
  <c r="W33" i="6" s="1"/>
  <c r="W35" i="6" s="1"/>
  <c r="Y162" i="2"/>
  <c r="AC163" i="2"/>
  <c r="AC87" i="6"/>
  <c r="AC85" i="6" s="1"/>
  <c r="W163" i="2"/>
  <c r="W87" i="6"/>
  <c r="AB137" i="2"/>
  <c r="AC136" i="2"/>
  <c r="AA36" i="6"/>
  <c r="AA34" i="6" s="1"/>
  <c r="AA33" i="6" s="1"/>
  <c r="AA35" i="6" s="1"/>
  <c r="AD36" i="6"/>
  <c r="AD34" i="6" s="1"/>
  <c r="AD33" i="6" s="1"/>
  <c r="AD35" i="6" s="1"/>
  <c r="X36" i="6"/>
  <c r="X34" i="6" s="1"/>
  <c r="X33" i="6" s="1"/>
  <c r="X35" i="6" s="1"/>
  <c r="Y36" i="6"/>
  <c r="Y34" i="6" s="1"/>
  <c r="Y33" i="6" s="1"/>
  <c r="Y35" i="6" s="1"/>
  <c r="M5" i="12"/>
  <c r="M4" i="12"/>
  <c r="AE44" i="2"/>
  <c r="M24" i="12"/>
  <c r="AE96" i="1"/>
  <c r="AB66" i="2"/>
  <c r="AB27" i="5" s="1"/>
  <c r="V66" i="2"/>
  <c r="V27" i="5" s="1"/>
  <c r="AA66" i="2"/>
  <c r="AA27" i="5" s="1"/>
  <c r="Y161" i="2"/>
  <c r="Y43" i="5" s="1"/>
  <c r="W66" i="2"/>
  <c r="W27" i="5" s="1"/>
  <c r="AC66" i="2"/>
  <c r="AC27" i="5" s="1"/>
  <c r="AD162" i="2"/>
  <c r="Z66" i="2"/>
  <c r="Z27" i="5" s="1"/>
  <c r="AA161" i="2"/>
  <c r="AA43" i="5" s="1"/>
  <c r="Z161" i="2"/>
  <c r="Z43" i="5" s="1"/>
  <c r="AD66" i="2"/>
  <c r="AD27" i="5" s="1"/>
  <c r="AE17" i="6"/>
  <c r="AE26" i="6" s="1"/>
  <c r="Y197" i="2"/>
  <c r="Y201" i="2"/>
  <c r="Y48" i="5" s="1"/>
  <c r="V197" i="2"/>
  <c r="V201" i="2"/>
  <c r="V48" i="5" s="1"/>
  <c r="AD213" i="2"/>
  <c r="AD208" i="2"/>
  <c r="AD211" i="2"/>
  <c r="X213" i="2"/>
  <c r="X211" i="2"/>
  <c r="X208" i="2"/>
  <c r="AC28" i="3"/>
  <c r="AC203" i="2"/>
  <c r="W28" i="3"/>
  <c r="W203" i="2"/>
  <c r="W141" i="2"/>
  <c r="V161" i="2"/>
  <c r="V43" i="5" s="1"/>
  <c r="AD161" i="2"/>
  <c r="AD43" i="5" s="1"/>
  <c r="X161" i="2"/>
  <c r="X43" i="5" s="1"/>
  <c r="AC213" i="2"/>
  <c r="AC211" i="2"/>
  <c r="AC208" i="2"/>
  <c r="W211" i="2"/>
  <c r="W208" i="2"/>
  <c r="W213" i="2"/>
  <c r="AD195" i="2"/>
  <c r="X195" i="2"/>
  <c r="AB28" i="3"/>
  <c r="AB203" i="2"/>
  <c r="AB141" i="2"/>
  <c r="AC161" i="2"/>
  <c r="AC43" i="5" s="1"/>
  <c r="W161" i="2"/>
  <c r="W43" i="5" s="1"/>
  <c r="AE162" i="2"/>
  <c r="AB208" i="2"/>
  <c r="AB213" i="2"/>
  <c r="AB211" i="2"/>
  <c r="AC195" i="2"/>
  <c r="W195" i="2"/>
  <c r="W154" i="2"/>
  <c r="AA28" i="3"/>
  <c r="AA203" i="2"/>
  <c r="AA141" i="2"/>
  <c r="AB161" i="2"/>
  <c r="AB43" i="5" s="1"/>
  <c r="AA211" i="2"/>
  <c r="AA208" i="2"/>
  <c r="AA213" i="2"/>
  <c r="AB195" i="2"/>
  <c r="Z28" i="3"/>
  <c r="Z203" i="2"/>
  <c r="Z141" i="2"/>
  <c r="Z213" i="2"/>
  <c r="Z211" i="2"/>
  <c r="Z208" i="2"/>
  <c r="AA195" i="2"/>
  <c r="Y28" i="3"/>
  <c r="Y203" i="2"/>
  <c r="Y141" i="2"/>
  <c r="AE208" i="2"/>
  <c r="Y213" i="2"/>
  <c r="Y211" i="2"/>
  <c r="Y208" i="2"/>
  <c r="Z195" i="2"/>
  <c r="V28" i="3"/>
  <c r="V203" i="2"/>
  <c r="V141" i="2"/>
  <c r="AD203" i="2"/>
  <c r="X28" i="3"/>
  <c r="X203" i="2"/>
  <c r="X141" i="2"/>
  <c r="AE188" i="2"/>
  <c r="Z221" i="2" l="1"/>
  <c r="H13" i="12"/>
  <c r="V221" i="2"/>
  <c r="D13" i="12"/>
  <c r="D15" i="12" s="1"/>
  <c r="Y221" i="2"/>
  <c r="G13" i="12"/>
  <c r="G15" i="12" s="1"/>
  <c r="W164" i="2"/>
  <c r="X164" i="2" s="1"/>
  <c r="Y164" i="2" s="1"/>
  <c r="Z164" i="2" s="1"/>
  <c r="AA164" i="2" s="1"/>
  <c r="AB164" i="2" s="1"/>
  <c r="AC164" i="2" s="1"/>
  <c r="AD164" i="2" s="1"/>
  <c r="AE164" i="2" s="1"/>
  <c r="W153" i="2"/>
  <c r="W16" i="6" s="1"/>
  <c r="W62" i="2"/>
  <c r="X62" i="2" s="1"/>
  <c r="Y62" i="2" s="1"/>
  <c r="Z62" i="2" s="1"/>
  <c r="AA62" i="2" s="1"/>
  <c r="AD76" i="2"/>
  <c r="AD223" i="2"/>
  <c r="AD236" i="2" s="1"/>
  <c r="AD224" i="2"/>
  <c r="AD222" i="2"/>
  <c r="AD235" i="2" s="1"/>
  <c r="AD2" i="2"/>
  <c r="AE16" i="2"/>
  <c r="AE2" i="2"/>
  <c r="L13" i="12"/>
  <c r="AD33" i="2"/>
  <c r="AE33" i="2"/>
  <c r="AD63" i="2"/>
  <c r="AD16" i="2"/>
  <c r="V11" i="6"/>
  <c r="V25" i="6"/>
  <c r="AB224" i="2"/>
  <c r="AB222" i="2"/>
  <c r="AB223" i="2"/>
  <c r="AB2" i="2"/>
  <c r="J13" i="12"/>
  <c r="AB33" i="2"/>
  <c r="AB61" i="2"/>
  <c r="AB16" i="2"/>
  <c r="AE36" i="5"/>
  <c r="AE116" i="2"/>
  <c r="AE102" i="2" s="1"/>
  <c r="AE101" i="2" s="1"/>
  <c r="W2" i="2"/>
  <c r="AD201" i="2"/>
  <c r="AD48" i="5" s="1"/>
  <c r="AD197" i="2"/>
  <c r="X223" i="2"/>
  <c r="X224" i="2"/>
  <c r="X222" i="2"/>
  <c r="X2" i="2"/>
  <c r="X61" i="2"/>
  <c r="AA222" i="2"/>
  <c r="AA223" i="2"/>
  <c r="AA224" i="2"/>
  <c r="AA2" i="2"/>
  <c r="I13" i="12"/>
  <c r="I15" i="12" s="1"/>
  <c r="AA61" i="2"/>
  <c r="AA16" i="2"/>
  <c r="Y223" i="2"/>
  <c r="Y222" i="2"/>
  <c r="Y224" i="2"/>
  <c r="Y2" i="2"/>
  <c r="Y61" i="2"/>
  <c r="X192" i="2"/>
  <c r="Y192" i="2" s="1"/>
  <c r="Z192" i="2" s="1"/>
  <c r="AA192" i="2" s="1"/>
  <c r="AB192" i="2" s="1"/>
  <c r="AC192" i="2" s="1"/>
  <c r="AD192" i="2" s="1"/>
  <c r="Y188" i="2"/>
  <c r="Y66" i="2" s="1"/>
  <c r="Y27" i="5" s="1"/>
  <c r="Z223" i="2"/>
  <c r="Z224" i="2"/>
  <c r="Z222" i="2"/>
  <c r="Z2" i="2"/>
  <c r="Z61" i="2"/>
  <c r="Z16" i="2"/>
  <c r="AC197" i="2"/>
  <c r="AC201" i="2"/>
  <c r="AC48" i="5" s="1"/>
  <c r="X66" i="2"/>
  <c r="X27" i="5" s="1"/>
  <c r="X221" i="2"/>
  <c r="AD221" i="2"/>
  <c r="AD234" i="2" s="1"/>
  <c r="AC224" i="2"/>
  <c r="AC222" i="2"/>
  <c r="AC235" i="2" s="1"/>
  <c r="AC223" i="2"/>
  <c r="AC236" i="2" s="1"/>
  <c r="AC2" i="2"/>
  <c r="K13" i="12"/>
  <c r="AC33" i="2"/>
  <c r="AC61" i="2"/>
  <c r="AC16" i="2"/>
  <c r="V223" i="2"/>
  <c r="V224" i="2"/>
  <c r="V222" i="2"/>
  <c r="Y32" i="7"/>
  <c r="X31" i="7"/>
  <c r="AD119" i="1"/>
  <c r="AC97" i="1"/>
  <c r="AD97" i="1"/>
  <c r="AE111" i="1" s="1"/>
  <c r="AA5" i="1"/>
  <c r="AB47" i="1"/>
  <c r="AB5" i="1" s="1"/>
  <c r="X64" i="6"/>
  <c r="Y64" i="6" s="1"/>
  <c r="Z64" i="6" s="1"/>
  <c r="AA64" i="6" s="1"/>
  <c r="AB64" i="6" s="1"/>
  <c r="AC64" i="6" s="1"/>
  <c r="W20" i="6"/>
  <c r="W85" i="6"/>
  <c r="W77" i="6"/>
  <c r="X77" i="6" s="1"/>
  <c r="Y77" i="6" s="1"/>
  <c r="Z77" i="6" s="1"/>
  <c r="AA77" i="6" s="1"/>
  <c r="AB77" i="6" s="1"/>
  <c r="AC77" i="6" s="1"/>
  <c r="AD77" i="6" s="1"/>
  <c r="AC137" i="2"/>
  <c r="AC78" i="2" s="1"/>
  <c r="AD136" i="2"/>
  <c r="AE186" i="2"/>
  <c r="AE36" i="6"/>
  <c r="AE34" i="6" s="1"/>
  <c r="AE33" i="6" s="1"/>
  <c r="AE116" i="1" s="1"/>
  <c r="AE22" i="10"/>
  <c r="AE9" i="8" s="1"/>
  <c r="AE147" i="2"/>
  <c r="AE75" i="6"/>
  <c r="AE161" i="2"/>
  <c r="AE43" i="5" s="1"/>
  <c r="W197" i="2"/>
  <c r="W201" i="2"/>
  <c r="W48" i="5" s="1"/>
  <c r="X197" i="2"/>
  <c r="X201" i="2"/>
  <c r="X48" i="5" s="1"/>
  <c r="Z197" i="2"/>
  <c r="Z201" i="2"/>
  <c r="Z48" i="5" s="1"/>
  <c r="AA197" i="2"/>
  <c r="AA201" i="2"/>
  <c r="AA48" i="5" s="1"/>
  <c r="W165" i="2"/>
  <c r="W160" i="2" s="1"/>
  <c r="X154" i="2"/>
  <c r="AB197" i="2"/>
  <c r="AB201" i="2"/>
  <c r="AB48" i="5" s="1"/>
  <c r="H15" i="12" l="1"/>
  <c r="E15" i="12"/>
  <c r="AB62" i="2"/>
  <c r="AC62" i="2" s="1"/>
  <c r="AD62" i="2" s="1"/>
  <c r="W158" i="2"/>
  <c r="W7" i="6" s="1"/>
  <c r="W29" i="6" s="1"/>
  <c r="AE76" i="2"/>
  <c r="L15" i="12"/>
  <c r="Y15" i="7"/>
  <c r="G28" i="12" s="1"/>
  <c r="Y16" i="7"/>
  <c r="Z32" i="7"/>
  <c r="Y31" i="7"/>
  <c r="AE203" i="2"/>
  <c r="AE66" i="2"/>
  <c r="AE27" i="5" s="1"/>
  <c r="AD137" i="2"/>
  <c r="AD78" i="2" s="1"/>
  <c r="AE136" i="2"/>
  <c r="AE137" i="2" s="1"/>
  <c r="AE78" i="2" s="1"/>
  <c r="AE87" i="6"/>
  <c r="AE77" i="6" s="1"/>
  <c r="AE190" i="2"/>
  <c r="AE191" i="2" s="1"/>
  <c r="M28" i="12"/>
  <c r="AE8" i="1"/>
  <c r="AE163" i="2"/>
  <c r="Y154" i="2"/>
  <c r="X165" i="2"/>
  <c r="X160" i="2" s="1"/>
  <c r="X153" i="2"/>
  <c r="X20" i="6" l="1"/>
  <c r="W25" i="6"/>
  <c r="W11" i="6"/>
  <c r="AE62" i="2"/>
  <c r="X158" i="2"/>
  <c r="X7" i="6" s="1"/>
  <c r="X16" i="6"/>
  <c r="AA32" i="7"/>
  <c r="Z31" i="7"/>
  <c r="Y57" i="4"/>
  <c r="Y8" i="1"/>
  <c r="AE192" i="2"/>
  <c r="Z154" i="2"/>
  <c r="Y165" i="2"/>
  <c r="Y160" i="2" s="1"/>
  <c r="Y153" i="2"/>
  <c r="X29" i="6" l="1"/>
  <c r="X11" i="6"/>
  <c r="X25" i="6"/>
  <c r="Y158" i="2"/>
  <c r="Y7" i="6" s="1"/>
  <c r="Y11" i="6" s="1"/>
  <c r="Y16" i="6"/>
  <c r="Y20" i="6"/>
  <c r="AB32" i="7"/>
  <c r="AA31" i="7"/>
  <c r="AA154" i="2"/>
  <c r="Z165" i="2"/>
  <c r="Z160" i="2" s="1"/>
  <c r="Z153" i="2"/>
  <c r="Y25" i="6" l="1"/>
  <c r="Y29" i="6"/>
  <c r="Z20" i="6"/>
  <c r="AC32" i="7"/>
  <c r="AB31" i="7"/>
  <c r="Z158" i="2"/>
  <c r="Z7" i="6" s="1"/>
  <c r="Z16" i="6"/>
  <c r="AB154" i="2"/>
  <c r="AA165" i="2"/>
  <c r="AA160" i="2" s="1"/>
  <c r="AA153" i="2"/>
  <c r="Z29" i="6" l="1"/>
  <c r="Z11" i="6"/>
  <c r="AC31" i="7"/>
  <c r="AD32" i="7"/>
  <c r="Z25" i="6"/>
  <c r="AA20" i="6"/>
  <c r="AA158" i="2"/>
  <c r="AA7" i="6" s="1"/>
  <c r="AA16" i="6"/>
  <c r="AC154" i="2"/>
  <c r="AB165" i="2"/>
  <c r="AB160" i="2" s="1"/>
  <c r="AB153" i="2"/>
  <c r="AD31" i="7" l="1"/>
  <c r="AE16" i="7" s="1"/>
  <c r="AE32" i="7"/>
  <c r="AA25" i="6"/>
  <c r="AB20" i="6"/>
  <c r="AA29" i="6"/>
  <c r="AA11" i="6"/>
  <c r="AB158" i="2"/>
  <c r="AB7" i="6" s="1"/>
  <c r="AB11" i="6" s="1"/>
  <c r="AB16" i="6"/>
  <c r="AD154" i="2"/>
  <c r="AC165" i="2"/>
  <c r="AC160" i="2" s="1"/>
  <c r="AC153" i="2"/>
  <c r="AC20" i="6" l="1"/>
  <c r="AB29" i="6"/>
  <c r="AB25" i="6"/>
  <c r="AC158" i="2"/>
  <c r="AC7" i="6" s="1"/>
  <c r="AC16" i="6"/>
  <c r="AD26" i="2"/>
  <c r="AD165" i="2"/>
  <c r="AD160" i="2" s="1"/>
  <c r="AE154" i="2"/>
  <c r="AD153" i="2"/>
  <c r="AC25" i="6" l="1"/>
  <c r="AD20" i="6"/>
  <c r="AC11" i="6"/>
  <c r="AC29" i="6"/>
  <c r="AD158" i="2"/>
  <c r="AD7" i="6" s="1"/>
  <c r="AD16" i="6"/>
  <c r="AE153" i="2"/>
  <c r="AE16" i="6" s="1"/>
  <c r="AD27" i="2"/>
  <c r="AD25" i="6" l="1"/>
  <c r="AD29" i="6"/>
  <c r="AE20" i="6"/>
  <c r="AD11" i="6"/>
  <c r="AE158" i="2"/>
  <c r="AE27" i="2"/>
  <c r="AE156" i="2" l="1"/>
  <c r="AB51" i="11" l="1"/>
  <c r="AC51" i="11"/>
  <c r="AD51" i="11"/>
  <c r="W108" i="11"/>
  <c r="X108" i="11"/>
  <c r="AE3" i="6" l="1"/>
  <c r="AE104" i="1"/>
  <c r="AE5" i="10" s="1"/>
  <c r="AE8" i="9" s="1"/>
  <c r="AE35" i="6" l="1"/>
  <c r="AE2" i="6"/>
  <c r="M33" i="12" l="1"/>
  <c r="AE93" i="6"/>
  <c r="AE23" i="10"/>
  <c r="AE91" i="6"/>
  <c r="AE84" i="6"/>
  <c r="AE85" i="6"/>
  <c r="AE105" i="1"/>
  <c r="AE53" i="6"/>
  <c r="AE54" i="6"/>
  <c r="AE55" i="6"/>
  <c r="AE52" i="6" s="1"/>
  <c r="AE41" i="6"/>
  <c r="AD64" i="6" l="1"/>
  <c r="AE60" i="8"/>
  <c r="AE59" i="8" s="1"/>
  <c r="AE54" i="8" s="1"/>
  <c r="AE21" i="8" s="1"/>
  <c r="AE69" i="8"/>
  <c r="AE68" i="8" s="1"/>
  <c r="AE67" i="8" s="1"/>
  <c r="AE22" i="8" s="1"/>
  <c r="AE6" i="8"/>
  <c r="AE5" i="8" s="1"/>
  <c r="AE4" i="8" s="1"/>
  <c r="AE36" i="8"/>
  <c r="M34" i="12"/>
  <c r="M29" i="12"/>
  <c r="M30" i="12" s="1"/>
  <c r="AE4" i="10"/>
  <c r="AE7" i="9" s="1"/>
  <c r="AE86" i="6"/>
  <c r="AE106" i="1"/>
  <c r="AE39" i="7" l="1"/>
  <c r="AE35" i="7"/>
  <c r="AE33" i="7"/>
  <c r="AE31" i="7" l="1"/>
  <c r="V33" i="8" l="1"/>
  <c r="V37" i="8" s="1"/>
  <c r="AE49" i="8"/>
  <c r="AE19" i="8" s="1"/>
  <c r="V62" i="8"/>
  <c r="AD80" i="8"/>
  <c r="Y80" i="8"/>
  <c r="X80" i="8"/>
  <c r="AB80" i="8"/>
  <c r="AC80" i="8"/>
  <c r="AC82" i="8" s="1"/>
  <c r="Z80" i="8"/>
  <c r="Z82" i="8" s="1"/>
  <c r="AA80" i="8"/>
  <c r="W80" i="8"/>
  <c r="W77" i="8" s="1"/>
  <c r="W23" i="8" s="1"/>
  <c r="W20" i="8" s="1"/>
  <c r="W17" i="8" s="1"/>
  <c r="W27" i="8" s="1"/>
  <c r="W28" i="8" s="1"/>
  <c r="AE80" i="8"/>
  <c r="AC77" i="8" l="1"/>
  <c r="AC23" i="8" s="1"/>
  <c r="AC20" i="8" s="1"/>
  <c r="AC17" i="8" s="1"/>
  <c r="AC27" i="8" s="1"/>
  <c r="V54" i="8"/>
  <c r="V21" i="8" s="1"/>
  <c r="V64" i="8"/>
  <c r="W82" i="8"/>
  <c r="W108" i="8"/>
  <c r="Z77" i="8"/>
  <c r="Z23" i="8" s="1"/>
  <c r="Z20" i="8" s="1"/>
  <c r="Z17" i="8" s="1"/>
  <c r="Z27" i="8" s="1"/>
  <c r="AE82" i="8"/>
  <c r="AA77" i="8"/>
  <c r="AA23" i="8" s="1"/>
  <c r="AA20" i="8" s="1"/>
  <c r="AA17" i="8" s="1"/>
  <c r="AA27" i="8" s="1"/>
  <c r="AA82" i="8"/>
  <c r="AB77" i="8"/>
  <c r="AB23" i="8" s="1"/>
  <c r="AB20" i="8" s="1"/>
  <c r="AB17" i="8" s="1"/>
  <c r="AB27" i="8" s="1"/>
  <c r="AB82" i="8"/>
  <c r="X77" i="8"/>
  <c r="X23" i="8" s="1"/>
  <c r="X20" i="8" s="1"/>
  <c r="X17" i="8" s="1"/>
  <c r="X27" i="8" s="1"/>
  <c r="X28" i="8" s="1"/>
  <c r="X82" i="8"/>
  <c r="AE77" i="8"/>
  <c r="AE23" i="8" s="1"/>
  <c r="AE20" i="8" s="1"/>
  <c r="AE17" i="8" s="1"/>
  <c r="AE27" i="8" s="1"/>
  <c r="Y77" i="8"/>
  <c r="Y23" i="8" s="1"/>
  <c r="Y20" i="8" s="1"/>
  <c r="Y17" i="8" s="1"/>
  <c r="Y27" i="8" s="1"/>
  <c r="Y82" i="8"/>
  <c r="AD77" i="8"/>
  <c r="AD23" i="8" s="1"/>
  <c r="AD20" i="8" s="1"/>
  <c r="AD17" i="8" s="1"/>
  <c r="AD27" i="8" s="1"/>
  <c r="AD82" i="8"/>
  <c r="W29" i="8"/>
  <c r="W116" i="8" l="1"/>
  <c r="X108" i="8"/>
  <c r="X116" i="8" s="1"/>
  <c r="AE105" i="8"/>
  <c r="AE84" i="8"/>
  <c r="X29" i="8"/>
  <c r="Y28" i="8"/>
  <c r="Y108" i="8" l="1"/>
  <c r="Y116" i="8" s="1"/>
  <c r="AE106" i="8"/>
  <c r="AE34" i="8"/>
  <c r="AE33" i="8" s="1"/>
  <c r="AE37" i="8" s="1"/>
  <c r="Y29" i="8"/>
  <c r="Z28" i="8"/>
  <c r="Z108" i="8" l="1"/>
  <c r="Z116" i="8" s="1"/>
  <c r="AA28" i="8"/>
  <c r="Z29" i="8"/>
  <c r="AA108" i="8" l="1"/>
  <c r="AA116" i="8" s="1"/>
  <c r="AA29" i="8"/>
  <c r="AB28" i="8"/>
  <c r="AB108" i="8" l="1"/>
  <c r="AB116" i="8" s="1"/>
  <c r="AB29" i="8"/>
  <c r="AC28" i="8"/>
  <c r="AC108" i="8" l="1"/>
  <c r="AC116" i="8" s="1"/>
  <c r="AD28" i="8"/>
  <c r="AC29" i="8"/>
  <c r="AD108" i="8" l="1"/>
  <c r="AE108" i="8" s="1"/>
  <c r="AE116" i="8" s="1"/>
  <c r="AD29" i="8"/>
  <c r="AE28" i="8"/>
  <c r="AD116" i="8" l="1"/>
  <c r="AE29" i="8"/>
  <c r="AE84" i="2" l="1"/>
  <c r="AE30" i="5"/>
  <c r="AE196" i="2" l="1"/>
  <c r="AE197" i="2" s="1"/>
  <c r="AC38" i="3" l="1"/>
  <c r="AC35" i="1"/>
  <c r="AC32" i="1" s="1"/>
  <c r="K23" i="12" l="1"/>
  <c r="AC49" i="1"/>
  <c r="AD49" i="1" s="1"/>
  <c r="AE49" i="1" s="1"/>
  <c r="AC66" i="1"/>
  <c r="AC30" i="1"/>
  <c r="AC41" i="1"/>
  <c r="AC69" i="1"/>
  <c r="AC52" i="1"/>
  <c r="AC58" i="1" l="1"/>
  <c r="AD58" i="1" s="1"/>
  <c r="AE58" i="1" s="1"/>
  <c r="AC75" i="1"/>
  <c r="AD52" i="1"/>
  <c r="AE52" i="1" s="1"/>
  <c r="AC77" i="2"/>
  <c r="AC47" i="1"/>
  <c r="AC3" i="1"/>
  <c r="AC64" i="1"/>
  <c r="AC4" i="1" s="1"/>
  <c r="AD47" i="1" l="1"/>
  <c r="AC5" i="1"/>
  <c r="K5" i="12"/>
  <c r="AC82" i="2"/>
  <c r="AC141" i="2" s="1"/>
  <c r="AD77" i="2"/>
  <c r="K4" i="12"/>
  <c r="AE77" i="2" l="1"/>
  <c r="AD82" i="2"/>
  <c r="AD141" i="2" s="1"/>
  <c r="AD5" i="1"/>
  <c r="AE47" i="1"/>
  <c r="AE82" i="2" l="1"/>
  <c r="AE85" i="2" s="1"/>
  <c r="AE5" i="1"/>
  <c r="AE141" i="2" l="1"/>
  <c r="AE40" i="4" l="1"/>
  <c r="AE100" i="1" s="1"/>
  <c r="AE98" i="1" s="1"/>
  <c r="AE41" i="4" l="1"/>
  <c r="AE114" i="1"/>
  <c r="AE134" i="1"/>
  <c r="AE43" i="4" l="1"/>
  <c r="AE59" i="4"/>
  <c r="AE51" i="4" l="1"/>
  <c r="AE50" i="4"/>
  <c r="AE49" i="4"/>
  <c r="AE48" i="4"/>
  <c r="AE45" i="4"/>
  <c r="AE95" i="1"/>
  <c r="AE57" i="4"/>
  <c r="AE44" i="4"/>
  <c r="AE52" i="4" s="1"/>
  <c r="AE7" i="10" l="1"/>
  <c r="AE10" i="9" s="1"/>
  <c r="AE133" i="1"/>
  <c r="AE97" i="1"/>
  <c r="AE94" i="1"/>
  <c r="AE6" i="10" l="1"/>
  <c r="AE9" i="9" s="1"/>
  <c r="AE101" i="1"/>
  <c r="AE102" i="1" s="1"/>
  <c r="AE108" i="1" l="1"/>
  <c r="AE107" i="1"/>
  <c r="AE103" i="1"/>
  <c r="AE115" i="1"/>
  <c r="AE135" i="1"/>
  <c r="AE119" i="1" l="1"/>
  <c r="AE110" i="1"/>
  <c r="V80" i="8" l="1"/>
  <c r="V77" i="8" s="1"/>
  <c r="V23" i="8" s="1"/>
  <c r="V20" i="8" s="1"/>
  <c r="V17" i="8" s="1"/>
  <c r="V27" i="8" s="1"/>
  <c r="V82" i="8" l="1"/>
  <c r="AE7" i="6" l="1"/>
  <c r="AE29" i="6" s="1"/>
  <c r="AE26" i="2"/>
  <c r="AE165" i="2"/>
  <c r="AE160" i="2" s="1"/>
  <c r="AE25" i="6" l="1"/>
  <c r="AE11" i="6"/>
  <c r="AE64" i="6" l="1"/>
  <c r="AK87" i="1" l="1"/>
  <c r="AK86" i="1"/>
  <c r="AK83" i="1"/>
  <c r="AK82" i="1"/>
  <c r="AK89" i="1" l="1"/>
  <c r="AK81" i="1"/>
  <c r="AK90" i="1"/>
  <c r="AK85" i="1"/>
  <c r="AK79" i="1"/>
  <c r="AK78" i="1" l="1"/>
  <c r="AK80" i="1"/>
  <c r="AL86" i="1" l="1"/>
  <c r="AL87" i="1"/>
  <c r="AL83" i="1"/>
  <c r="AL82" i="1"/>
  <c r="AL79" i="1" l="1"/>
  <c r="AL90" i="1"/>
  <c r="AL85" i="1"/>
  <c r="AL89" i="1"/>
  <c r="AL81" i="1"/>
  <c r="AL78" i="1" l="1"/>
  <c r="AL80" i="1"/>
  <c r="AA10" i="9" l="1"/>
  <c r="Z10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Jalolov Muhammad</author>
  </authors>
  <commentList>
    <comment ref="AE3" authorId="0" shapeId="0" xr:uid="{56634A65-47D1-4299-800E-715F4B7CA42D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пред. Т/Р-108,4</t>
        </r>
      </text>
    </comment>
    <comment ref="AE4" authorId="0" shapeId="0" xr:uid="{DEA0EFB8-0F39-49E4-B1EF-77F61B058A8F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пред.деф 108,2
модель расчитывает прошлый год по оконч, данным поэтому получили 106,6%</t>
        </r>
      </text>
    </comment>
    <comment ref="AD33" authorId="0" shapeId="0" xr:uid="{24DF7CF3-EF49-4A4A-92D2-7E64E360FE37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т/р ВДС с/х, сборник СНС</t>
        </r>
      </text>
    </comment>
    <comment ref="AD34" authorId="0" shapeId="0" xr:uid="{B1480F7B-A8B4-4994-8DAA-EBAE96E467C5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т/р ВДС общ.промышленность, сборник СНС</t>
        </r>
      </text>
    </comment>
    <comment ref="AD35" authorId="0" shapeId="0" xr:uid="{2534C7F1-DB00-44DB-9ABD-E2B13F178A89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сборник СНС</t>
        </r>
      </text>
    </comment>
    <comment ref="AD37" authorId="0" shapeId="0" xr:uid="{AE18E304-A02B-4C21-8E16-754E0BC77F9C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сборник СНС т/р торговля+гост.рест.</t>
        </r>
      </text>
    </comment>
    <comment ref="AD38" authorId="0" shapeId="0" xr:uid="{0055B7E8-9E5F-4368-AC7C-08FDB8241578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сборник СНС т/р транспорт+связь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Jalolov Muhammad</author>
  </authors>
  <commentList>
    <comment ref="AC45" authorId="0" shapeId="0" xr:uid="{D06A5C7D-20BD-4C06-895C-353751FAE2AE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млн. сомони</t>
        </r>
      </text>
    </comment>
    <comment ref="AD45" authorId="0" shapeId="0" xr:uid="{76F1B28E-C6EB-418B-98FD-7D1E118BA909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цена за 1 кг</t>
        </r>
      </text>
    </comment>
    <comment ref="AC46" authorId="0" shapeId="0" xr:uid="{7D6B8C74-8707-43B0-8747-B421452ABE50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млн. сомони</t>
        </r>
      </text>
    </comment>
    <comment ref="AC107" authorId="0" shapeId="0" xr:uid="{A638C70F-CD99-41A1-90DB-E96B28A1FE97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сборник с/х стр.54</t>
        </r>
      </text>
    </comment>
    <comment ref="AD107" authorId="0" shapeId="0" xr:uid="{2DB8668F-788D-4382-8882-29BBFE31AAA5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сборник с/х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Igor Eromenko</author>
    <author>Jalolov Muhammad</author>
  </authors>
  <commentList>
    <comment ref="C6" authorId="0" shapeId="0" xr:uid="{9C44454C-D2FA-48DD-A26E-D617DDCD22D9}">
      <text>
        <r>
          <rPr>
            <b/>
            <sz val="9"/>
            <color indexed="81"/>
            <rFont val="Tahoma"/>
            <family val="2"/>
          </rPr>
          <t>Igor Eromenko:</t>
        </r>
        <r>
          <rPr>
            <sz val="9"/>
            <color indexed="81"/>
            <rFont val="Tahoma"/>
            <family val="2"/>
          </rPr>
          <t xml:space="preserve">
около 50% - добыча золота</t>
        </r>
      </text>
    </comment>
    <comment ref="C7" authorId="0" shapeId="0" xr:uid="{4BB93B59-5809-4F22-B7C7-0E498F33FEB6}">
      <text>
        <r>
          <rPr>
            <b/>
            <sz val="9"/>
            <color indexed="81"/>
            <rFont val="Tahoma"/>
            <family val="2"/>
          </rPr>
          <t>Igor Eromenko:</t>
        </r>
        <r>
          <rPr>
            <sz val="9"/>
            <color indexed="81"/>
            <rFont val="Tahoma"/>
            <family val="2"/>
          </rPr>
          <t xml:space="preserve">
В основном уголь</t>
        </r>
      </text>
    </comment>
    <comment ref="AE13" authorId="1" shapeId="0" xr:uid="{D0540BA0-1E40-4893-BA5F-45CD7C2A7760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0,4%-от произ. Транспортных средств</t>
        </r>
      </text>
    </comment>
    <comment ref="Z17" authorId="1" shapeId="0" xr:uid="{74D2611C-9D73-426B-98B6-D56B9FA63378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Водоснабжение, очистка, обработка отходов и получение вторичного сырья</t>
        </r>
      </text>
    </comment>
    <comment ref="AA17" authorId="1" shapeId="0" xr:uid="{6D19EF1A-7E7B-473C-9220-9693263E866B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Водоснабжение, очистка, обработка отходов и получение вторичного сырья</t>
        </r>
      </text>
    </comment>
    <comment ref="AB17" authorId="1" shapeId="0" xr:uid="{19504820-235E-493E-903D-B59ACD4CC0D8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Водоснабжение, очистка, обработка отходов и получение вторичного сырья</t>
        </r>
      </text>
    </comment>
    <comment ref="AC17" authorId="1" shapeId="0" xr:uid="{2D2CE6DB-2AFD-4717-97D3-78B748D3A821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Водоснабжение, очистка, обработка отходов и получение вторичного сырья</t>
        </r>
      </text>
    </comment>
    <comment ref="AE17" authorId="1" shapeId="0" xr:uid="{2520B405-D6FC-4D09-BB0E-6C1883DFCA00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Водоснабжение, очистка, обработка отходов и получение вторичного сырья</t>
        </r>
      </text>
    </comment>
    <comment ref="AE30" authorId="1" shapeId="0" xr:uid="{042C46FE-B38E-4264-8A3D-6FA13944518C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Водоснабжение, очистка, обработка отходов и получение вторичного сырья</t>
        </r>
      </text>
    </comment>
    <comment ref="AD41" authorId="1" shapeId="0" xr:uid="{A04990A9-4143-4A56-AF9C-08785181D570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изм.формулу цыклическая ошибка строку 26 на 31</t>
        </r>
      </text>
    </comment>
    <comment ref="AE45" authorId="1" shapeId="0" xr:uid="{95BECD15-41E2-4EC9-9191-4557CF91E5B6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Водоснабжение, очистка, обработка отходов и получение вторичного сырья</t>
        </r>
      </text>
    </comment>
    <comment ref="AD61" authorId="1" shapeId="0" xr:uid="{01289FE2-49EC-47F7-ACC0-F999FE9DC01D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=строка57/строка 4
=AL57/AL4</t>
        </r>
      </text>
    </comment>
    <comment ref="AC84" authorId="1" shapeId="0" xr:uid="{14AAF645-E686-4E0E-AB5B-43E575ADF9F0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в строку 83 необходимо вставить зачение строки 84, чтобы не образовалось цыклическая ошибка</t>
        </r>
      </text>
    </comment>
    <comment ref="AD142" authorId="1" shapeId="0" xr:uid="{890B6DA1-2434-413E-B2E1-948C4023967B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тариф на 1 кВт. Час предприятий</t>
        </r>
      </text>
    </comment>
    <comment ref="AD143" authorId="1" shapeId="0" xr:uid="{7244CBD6-BE81-40EF-BE44-209F238B6FF7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населения</t>
        </r>
      </text>
    </comment>
    <comment ref="AD152" authorId="1" shapeId="0" xr:uid="{6E40D049-D62D-41C7-8104-D3C05CF4966C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Trade!AC15/1000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NAWIGuest</author>
    <author>Jalolov Muhammad</author>
  </authors>
  <commentList>
    <comment ref="C13" authorId="0" shapeId="0" xr:uid="{8E48DA68-A19C-441D-AD02-BB2EA05A00D2}">
      <text>
        <r>
          <rPr>
            <b/>
            <sz val="9"/>
            <color indexed="81"/>
            <rFont val="Tahoma"/>
            <family val="2"/>
          </rPr>
          <t>NAWIGuest:</t>
        </r>
        <r>
          <rPr>
            <sz val="9"/>
            <color indexed="81"/>
            <rFont val="Tahoma"/>
            <family val="2"/>
          </rPr>
          <t xml:space="preserve">
автобусный.такси</t>
        </r>
      </text>
    </comment>
    <comment ref="C14" authorId="0" shapeId="0" xr:uid="{45C07AE9-60A3-4A0E-9449-5BA0515A3CD6}">
      <text>
        <r>
          <rPr>
            <b/>
            <sz val="9"/>
            <color indexed="81"/>
            <rFont val="Tahoma"/>
            <family val="2"/>
          </rPr>
          <t>NAWIGuest:</t>
        </r>
        <r>
          <rPr>
            <sz val="9"/>
            <color indexed="81"/>
            <rFont val="Tahoma"/>
            <family val="2"/>
          </rPr>
          <t xml:space="preserve">
жд.электрический .авиатсионный</t>
        </r>
      </text>
    </comment>
    <comment ref="AE38" authorId="1" shapeId="0" xr:uid="{CF84C071-8A3F-43DA-9A36-90C0DE3D2539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годовой доклад 104,7 индекс на строительные материалы</t>
        </r>
      </text>
    </comment>
    <comment ref="AD39" authorId="1" shapeId="0" xr:uid="{1D79B22C-EBC4-4203-8F3D-1B8C4B82CF0E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сборник СНС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Jalolov Muhammad</author>
  </authors>
  <commentList>
    <comment ref="AE25" authorId="0" shapeId="0" xr:uid="{A636A4EA-B8B1-45A8-8B9D-3D2388A0F684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надо вставить значение в строку 28 чтобы не было цыклической ошибки</t>
        </r>
      </text>
    </comment>
    <comment ref="AE42" authorId="0" shapeId="0" xr:uid="{0EE87DD8-92E0-4568-9FFE-4C2753B9FCC0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вставить значение строки 58 в строку 42</t>
        </r>
      </text>
    </comment>
    <comment ref="AE43" authorId="0" shapeId="0" xr:uid="{3E8C126C-5900-4BC8-8A10-797EC868756D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вставить значение строка 41-42=строка 43 так как образуется цыклическая ошибка</t>
        </r>
      </text>
    </comment>
    <comment ref="C59" authorId="0" shapeId="0" xr:uid="{8B47F9A7-2F10-4300-AC95-B8F7890C7536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вставить значение в строку 43</t>
        </r>
      </text>
    </comment>
    <comment ref="AE59" authorId="0" shapeId="0" xr:uid="{BCDAE1C2-1674-4827-815B-A4CBD1C449F2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вставить значение в строку 43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Igor Eromenko</author>
  </authors>
  <commentList>
    <comment ref="V7" authorId="0" shapeId="0" xr:uid="{6CD49867-FD0B-4B91-A88A-36138B32E14E}">
      <text>
        <r>
          <rPr>
            <b/>
            <sz val="9"/>
            <color indexed="81"/>
            <rFont val="Tahoma"/>
            <family val="2"/>
          </rPr>
          <t>Igor Eromenko:</t>
        </r>
        <r>
          <rPr>
            <sz val="9"/>
            <color indexed="81"/>
            <rFont val="Tahoma"/>
            <family val="2"/>
          </rPr>
          <t xml:space="preserve">
ТАЛКО: Себестоимость 2350 долл., цена 1870 долл. 1кв 2015</t>
        </r>
      </text>
    </comment>
    <comment ref="V18" authorId="0" shapeId="0" xr:uid="{4EBFBE76-3CD0-444C-93AE-0EC6C29C711E}">
      <text>
        <r>
          <rPr>
            <b/>
            <sz val="9"/>
            <color indexed="81"/>
            <rFont val="Tahoma"/>
            <family val="2"/>
          </rPr>
          <t>Igor Eromenko:</t>
        </r>
        <r>
          <rPr>
            <sz val="9"/>
            <color indexed="81"/>
            <rFont val="Tahoma"/>
            <family val="2"/>
          </rPr>
          <t xml:space="preserve">
Прогноз Минэкономики РФ октябрь 2015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Jalolov Muhammad</author>
  </authors>
  <commentList>
    <comment ref="AD47" authorId="0" shapeId="0" xr:uid="{055FA709-F898-4D7E-A6B8-BBB25A31CC7D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платежный баланс стр.51</t>
        </r>
      </text>
    </comment>
    <comment ref="AE47" authorId="0" shapeId="0" xr:uid="{EE9DA3BC-DA90-446B-993A-C1A540794B21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годовой доклад стр.111</t>
        </r>
      </text>
    </comment>
    <comment ref="AD60" authorId="0" shapeId="0" xr:uid="{32A1E516-6A99-4ED9-9EFB-37B5850281A4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платежный баланс стр.51</t>
        </r>
      </text>
    </comment>
    <comment ref="AE60" authorId="0" shapeId="0" xr:uid="{D0FA3A90-7052-44EA-980A-01BD743376A1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1617792 тыс. кВт/часов
данные статистики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Jalolov Muhammad</author>
    <author>John</author>
  </authors>
  <commentList>
    <comment ref="Z11" authorId="0" shapeId="0" xr:uid="{48ECC097-6095-4BB0-9848-95C62BF5830C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100</t>
        </r>
      </text>
    </comment>
    <comment ref="AD11" authorId="0" shapeId="0" xr:uid="{DF3E6942-D55E-4A68-8A33-310980E24713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Фрукты</t>
        </r>
      </text>
    </comment>
    <comment ref="AE11" authorId="0" shapeId="0" xr:uid="{43302E0A-FD61-44CC-B09D-AF466B048D1C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Фрукты</t>
        </r>
      </text>
    </comment>
    <comment ref="AE34" authorId="0" shapeId="0" xr:uid="{3B61581F-A2BB-4280-9582-D8E8614AD7A4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строка 34=39 вставить значение строки 39 </t>
        </r>
      </text>
    </comment>
    <comment ref="C43" authorId="1" shapeId="0" xr:uid="{0FE09212-D9F4-41EF-AFF0-AE0487E5369D}">
      <text>
        <r>
          <rPr>
            <b/>
            <sz val="9"/>
            <color indexed="81"/>
            <rFont val="Tahoma"/>
            <family val="2"/>
          </rPr>
          <t>John:</t>
        </r>
        <r>
          <rPr>
            <sz val="9"/>
            <color indexed="81"/>
            <rFont val="Tahoma"/>
            <family val="2"/>
          </rPr>
          <t xml:space="preserve">
I define net credit to the private sector as credit to private sector + Other items, net - bills payable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Jalolov Muhammad</author>
  </authors>
  <commentList>
    <comment ref="AE10" authorId="0" shapeId="0" xr:uid="{16065B02-8341-4DBF-8F29-159FC56A9EB1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данные пл.баланс за (I+II+III) кв 2024 года</t>
        </r>
      </text>
    </comment>
    <comment ref="AE11" authorId="0" shapeId="0" xr:uid="{FA20A88B-8F0F-4F04-8E7E-9E425B309663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данные пл.баланс за (I+II+III) кв 2024 года</t>
        </r>
      </text>
    </comment>
    <comment ref="AB43" authorId="0" shapeId="0" xr:uid="{674C2374-88CA-4916-97B5-D2E3EF046988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пл.баланс таб.25</t>
        </r>
      </text>
    </comment>
    <comment ref="V82" authorId="0" shapeId="0" xr:uid="{3AA4B359-D36C-493A-A2AF-919361A76906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вставить значение в строку 81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Igor Eromenko</author>
    <author>Jalolov Muhammad</author>
  </authors>
  <commentList>
    <comment ref="W15" authorId="0" shapeId="0" xr:uid="{1A8B8741-2AD2-465D-BFDD-77F66F74FD5B}">
      <text>
        <r>
          <rPr>
            <b/>
            <sz val="9"/>
            <color indexed="81"/>
            <rFont val="Tahoma"/>
            <family val="2"/>
          </rPr>
          <t>Igor Eromenko:</t>
        </r>
        <r>
          <rPr>
            <sz val="9"/>
            <color indexed="81"/>
            <rFont val="Tahoma"/>
            <family val="2"/>
          </rPr>
          <t xml:space="preserve">
Бюджет 2016: 13938,178 млрд сомони
</t>
        </r>
      </text>
    </comment>
    <comment ref="AE24" authorId="1" shapeId="0" xr:uid="{CA8B101B-4999-4383-A988-02E755224A30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Итого налоги на продукты - 14820,2
</t>
        </r>
        <r>
          <rPr>
            <b/>
            <sz val="9"/>
            <color indexed="81"/>
            <rFont val="Tahoma"/>
            <family val="2"/>
            <charset val="204"/>
          </rPr>
          <t>Чистые налоги на продукты-14425,9</t>
        </r>
      </text>
    </comment>
    <comment ref="C25" authorId="1" shapeId="0" xr:uid="{64C8E7DD-CAF1-4198-9BE1-2BD876632C36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1.01.04.  Андоз аз фурӯш </t>
        </r>
      </text>
    </comment>
    <comment ref="C26" authorId="1" shapeId="0" xr:uid="{90941B85-5F68-4933-8777-76703A3CD0F1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1.01.04.03.  Андоз аз маҳсулоти коркарди алюмин </t>
        </r>
      </text>
    </comment>
    <comment ref="C27" authorId="1" shapeId="0" xr:uid="{99E71802-9CAE-48E1-B328-914C23447B9D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1.01.04.02.  Андоз аз фурӯши алюминии аввала  </t>
        </r>
      </text>
    </comment>
    <comment ref="C32" authorId="1" shapeId="0" xr:uid="{AF033D23-9A34-473C-8189-A0BC2E93C2F4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1.01.09.01.  Боҷҳои гумрукӣ </t>
        </r>
      </text>
    </comment>
    <comment ref="C37" authorId="1" shapeId="0" xr:uid="{567F3049-40ED-4A2F-939F-832E8B8E2EA9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1.01.11.  Андозҳои дигари дохилӣ ва пардохтҳо аз молу хизматрасониҳо </t>
        </r>
      </text>
    </comment>
  </commentList>
</comments>
</file>

<file path=xl/sharedStrings.xml><?xml version="1.0" encoding="utf-8"?>
<sst xmlns="http://schemas.openxmlformats.org/spreadsheetml/2006/main" count="1565" uniqueCount="1134">
  <si>
    <t>Var. Name</t>
  </si>
  <si>
    <t>Наименование индикатора</t>
  </si>
  <si>
    <t>Промышленность</t>
  </si>
  <si>
    <t>Номиналы, млн. сомони</t>
  </si>
  <si>
    <r>
      <t>IND</t>
    </r>
    <r>
      <rPr>
        <i/>
        <vertAlign val="subscript"/>
        <sz val="10"/>
        <color indexed="8"/>
        <rFont val="Calibri"/>
        <family val="2"/>
      </rPr>
      <t>CDE,t</t>
    </r>
  </si>
  <si>
    <t>Промышленное производство</t>
  </si>
  <si>
    <r>
      <t>IND</t>
    </r>
    <r>
      <rPr>
        <b/>
        <i/>
        <vertAlign val="subscript"/>
        <sz val="10"/>
        <color indexed="8"/>
        <rFont val="Calibri"/>
        <family val="2"/>
        <charset val="204"/>
      </rPr>
      <t>C,t</t>
    </r>
  </si>
  <si>
    <t>Добыча полезных ископаемых</t>
  </si>
  <si>
    <r>
      <t>IND</t>
    </r>
    <r>
      <rPr>
        <i/>
        <vertAlign val="subscript"/>
        <sz val="10"/>
        <color indexed="8"/>
        <rFont val="Calibri"/>
        <family val="2"/>
      </rPr>
      <t>C13,t</t>
    </r>
  </si>
  <si>
    <t>Добыча неэнергетических материалов</t>
  </si>
  <si>
    <r>
      <t>IND</t>
    </r>
    <r>
      <rPr>
        <i/>
        <vertAlign val="subscript"/>
        <sz val="10"/>
        <color indexed="8"/>
        <rFont val="Calibri"/>
        <family val="2"/>
      </rPr>
      <t>COther,t</t>
    </r>
  </si>
  <si>
    <t>Добыча энергетических материалов</t>
  </si>
  <si>
    <r>
      <t>IND</t>
    </r>
    <r>
      <rPr>
        <b/>
        <i/>
        <vertAlign val="subscript"/>
        <sz val="10"/>
        <color indexed="8"/>
        <rFont val="Calibri"/>
        <family val="2"/>
        <charset val="204"/>
      </rPr>
      <t>DJ, t</t>
    </r>
  </si>
  <si>
    <t>Обрабатывающая промышленность</t>
  </si>
  <si>
    <r>
      <t>IND</t>
    </r>
    <r>
      <rPr>
        <i/>
        <vertAlign val="subscript"/>
        <sz val="10"/>
        <color indexed="8"/>
        <rFont val="Calibri"/>
        <family val="2"/>
      </rPr>
      <t>DA, t</t>
    </r>
  </si>
  <si>
    <t>пищевые продукты и табак</t>
  </si>
  <si>
    <r>
      <t>IND</t>
    </r>
    <r>
      <rPr>
        <i/>
        <vertAlign val="subscript"/>
        <sz val="10"/>
        <color indexed="8"/>
        <rFont val="Calibri"/>
        <family val="2"/>
      </rPr>
      <t>DB, t</t>
    </r>
  </si>
  <si>
    <t>текстильное производство</t>
  </si>
  <si>
    <r>
      <t>IND</t>
    </r>
    <r>
      <rPr>
        <i/>
        <vertAlign val="subscript"/>
        <sz val="10"/>
        <color indexed="8"/>
        <rFont val="Calibri"/>
        <family val="2"/>
      </rPr>
      <t>DJ, t</t>
    </r>
  </si>
  <si>
    <t>металлургическое производство и готовые металлические изделия</t>
  </si>
  <si>
    <r>
      <t>IND</t>
    </r>
    <r>
      <rPr>
        <i/>
        <vertAlign val="subscript"/>
        <sz val="10"/>
        <color indexed="8"/>
        <rFont val="Calibri"/>
        <family val="2"/>
      </rPr>
      <t>D27, t</t>
    </r>
  </si>
  <si>
    <t xml:space="preserve">    металлургическое производство</t>
  </si>
  <si>
    <r>
      <t>IND</t>
    </r>
    <r>
      <rPr>
        <i/>
        <vertAlign val="subscript"/>
        <sz val="10"/>
        <color indexed="8"/>
        <rFont val="Calibri"/>
        <family val="2"/>
      </rPr>
      <t>D28, t</t>
    </r>
  </si>
  <si>
    <t xml:space="preserve">   готовые металлические изделия</t>
  </si>
  <si>
    <r>
      <t>IND</t>
    </r>
    <r>
      <rPr>
        <i/>
        <vertAlign val="subscript"/>
        <sz val="10"/>
        <color indexed="8"/>
        <rFont val="Calibri"/>
        <family val="2"/>
      </rPr>
      <t>DOther, t</t>
    </r>
  </si>
  <si>
    <t xml:space="preserve"> переработка прочие (d)</t>
  </si>
  <si>
    <r>
      <t>IND</t>
    </r>
    <r>
      <rPr>
        <b/>
        <i/>
        <vertAlign val="subscript"/>
        <sz val="10"/>
        <color indexed="8"/>
        <rFont val="Calibri"/>
        <family val="2"/>
        <charset val="204"/>
      </rPr>
      <t>E, t</t>
    </r>
  </si>
  <si>
    <t>Производство и распределение  электроэнергии, газа и воды</t>
  </si>
  <si>
    <t>Реальные темпы роста, %</t>
  </si>
  <si>
    <r>
      <t>gIND</t>
    </r>
    <r>
      <rPr>
        <i/>
        <vertAlign val="subscript"/>
        <sz val="10"/>
        <color indexed="8"/>
        <rFont val="Calibri"/>
        <family val="2"/>
      </rPr>
      <t>CDE,t</t>
    </r>
  </si>
  <si>
    <t xml:space="preserve">Все промышленность </t>
  </si>
  <si>
    <r>
      <t>gIND</t>
    </r>
    <r>
      <rPr>
        <i/>
        <vertAlign val="subscript"/>
        <sz val="10"/>
        <color indexed="8"/>
        <rFont val="Calibri"/>
        <family val="2"/>
      </rPr>
      <t>C,t</t>
    </r>
  </si>
  <si>
    <r>
      <t>gIND</t>
    </r>
    <r>
      <rPr>
        <i/>
        <vertAlign val="subscript"/>
        <sz val="10"/>
        <color indexed="8"/>
        <rFont val="Calibri"/>
        <family val="2"/>
      </rPr>
      <t>C13,t</t>
    </r>
  </si>
  <si>
    <r>
      <t>gIND</t>
    </r>
    <r>
      <rPr>
        <i/>
        <vertAlign val="subscript"/>
        <sz val="10"/>
        <color indexed="8"/>
        <rFont val="Calibri"/>
        <family val="2"/>
      </rPr>
      <t>COther,t</t>
    </r>
  </si>
  <si>
    <r>
      <t>gIND</t>
    </r>
    <r>
      <rPr>
        <i/>
        <vertAlign val="subscript"/>
        <sz val="10"/>
        <color indexed="8"/>
        <rFont val="Calibri"/>
        <family val="2"/>
      </rPr>
      <t>D, t</t>
    </r>
  </si>
  <si>
    <r>
      <t>gIND</t>
    </r>
    <r>
      <rPr>
        <i/>
        <vertAlign val="subscript"/>
        <sz val="10"/>
        <color indexed="8"/>
        <rFont val="Calibri"/>
        <family val="2"/>
      </rPr>
      <t>DA, t</t>
    </r>
  </si>
  <si>
    <t xml:space="preserve">   пищевые продукты и табак</t>
  </si>
  <si>
    <r>
      <t>gIND</t>
    </r>
    <r>
      <rPr>
        <i/>
        <vertAlign val="subscript"/>
        <sz val="10"/>
        <color indexed="8"/>
        <rFont val="Calibri"/>
        <family val="2"/>
      </rPr>
      <t>DB, t</t>
    </r>
  </si>
  <si>
    <t xml:space="preserve">   текстильное производство</t>
  </si>
  <si>
    <r>
      <t>gIND</t>
    </r>
    <r>
      <rPr>
        <i/>
        <vertAlign val="subscript"/>
        <sz val="10"/>
        <color indexed="8"/>
        <rFont val="Calibri"/>
        <family val="2"/>
      </rPr>
      <t>DJ, t</t>
    </r>
  </si>
  <si>
    <r>
      <t>gIND</t>
    </r>
    <r>
      <rPr>
        <i/>
        <vertAlign val="subscript"/>
        <sz val="10"/>
        <color indexed="8"/>
        <rFont val="Calibri"/>
        <family val="2"/>
      </rPr>
      <t>D27J, t</t>
    </r>
  </si>
  <si>
    <t xml:space="preserve">   металлургическое производство</t>
  </si>
  <si>
    <r>
      <t>gIND</t>
    </r>
    <r>
      <rPr>
        <i/>
        <vertAlign val="subscript"/>
        <sz val="10"/>
        <color indexed="8"/>
        <rFont val="Calibri"/>
        <family val="2"/>
      </rPr>
      <t>D28, t</t>
    </r>
  </si>
  <si>
    <r>
      <t>gIND</t>
    </r>
    <r>
      <rPr>
        <i/>
        <vertAlign val="subscript"/>
        <sz val="10"/>
        <color indexed="8"/>
        <rFont val="Calibri"/>
        <family val="2"/>
      </rPr>
      <t>Dther, t</t>
    </r>
  </si>
  <si>
    <t xml:space="preserve">      переработка прочие (d)</t>
  </si>
  <si>
    <r>
      <t>gIND</t>
    </r>
    <r>
      <rPr>
        <i/>
        <vertAlign val="subscript"/>
        <sz val="10"/>
        <color indexed="8"/>
        <rFont val="Calibri"/>
        <family val="2"/>
      </rPr>
      <t>E, t</t>
    </r>
  </si>
  <si>
    <t>gINDD27J, t</t>
  </si>
  <si>
    <t>Дефлятор, %</t>
  </si>
  <si>
    <r>
      <t>defIND</t>
    </r>
    <r>
      <rPr>
        <i/>
        <vertAlign val="subscript"/>
        <sz val="10"/>
        <color indexed="8"/>
        <rFont val="Calibri"/>
        <family val="2"/>
      </rPr>
      <t>CDE,t</t>
    </r>
  </si>
  <si>
    <r>
      <t>defIND</t>
    </r>
    <r>
      <rPr>
        <i/>
        <vertAlign val="subscript"/>
        <sz val="10"/>
        <color indexed="8"/>
        <rFont val="Calibri"/>
        <family val="2"/>
      </rPr>
      <t>C,t</t>
    </r>
  </si>
  <si>
    <r>
      <t>defIND</t>
    </r>
    <r>
      <rPr>
        <i/>
        <vertAlign val="subscript"/>
        <sz val="10"/>
        <color indexed="8"/>
        <rFont val="Calibri"/>
        <family val="2"/>
      </rPr>
      <t>C13,t</t>
    </r>
  </si>
  <si>
    <r>
      <t>defIND</t>
    </r>
    <r>
      <rPr>
        <i/>
        <vertAlign val="subscript"/>
        <sz val="10"/>
        <color indexed="8"/>
        <rFont val="Calibri"/>
        <family val="2"/>
      </rPr>
      <t>COther,t</t>
    </r>
  </si>
  <si>
    <r>
      <t>defIND</t>
    </r>
    <r>
      <rPr>
        <i/>
        <vertAlign val="subscript"/>
        <sz val="10"/>
        <color indexed="8"/>
        <rFont val="Calibri"/>
        <family val="2"/>
      </rPr>
      <t>D,t</t>
    </r>
  </si>
  <si>
    <r>
      <t>defIND</t>
    </r>
    <r>
      <rPr>
        <i/>
        <vertAlign val="subscript"/>
        <sz val="10"/>
        <color indexed="8"/>
        <rFont val="Calibri"/>
        <family val="2"/>
      </rPr>
      <t>DA, t</t>
    </r>
  </si>
  <si>
    <r>
      <t>defIND</t>
    </r>
    <r>
      <rPr>
        <i/>
        <vertAlign val="subscript"/>
        <sz val="10"/>
        <color indexed="8"/>
        <rFont val="Calibri"/>
        <family val="2"/>
      </rPr>
      <t>DB, t</t>
    </r>
  </si>
  <si>
    <r>
      <t>defIND</t>
    </r>
    <r>
      <rPr>
        <i/>
        <vertAlign val="subscript"/>
        <sz val="10"/>
        <color indexed="8"/>
        <rFont val="Calibri"/>
        <family val="2"/>
      </rPr>
      <t>DJ, t</t>
    </r>
  </si>
  <si>
    <r>
      <t>defIND</t>
    </r>
    <r>
      <rPr>
        <i/>
        <vertAlign val="subscript"/>
        <sz val="10"/>
        <color indexed="8"/>
        <rFont val="Calibri"/>
        <family val="2"/>
      </rPr>
      <t>D27, t</t>
    </r>
  </si>
  <si>
    <r>
      <t>defIND</t>
    </r>
    <r>
      <rPr>
        <i/>
        <vertAlign val="subscript"/>
        <sz val="10"/>
        <color indexed="8"/>
        <rFont val="Calibri"/>
        <family val="2"/>
      </rPr>
      <t>D28, t</t>
    </r>
  </si>
  <si>
    <r>
      <t>defIND</t>
    </r>
    <r>
      <rPr>
        <i/>
        <vertAlign val="subscript"/>
        <sz val="10"/>
        <color indexed="8"/>
        <rFont val="Calibri"/>
        <family val="2"/>
      </rPr>
      <t>Dther, t</t>
    </r>
  </si>
  <si>
    <r>
      <t>defIND</t>
    </r>
    <r>
      <rPr>
        <i/>
        <vertAlign val="subscript"/>
        <sz val="10"/>
        <color indexed="8"/>
        <rFont val="Calibri"/>
        <family val="2"/>
      </rPr>
      <t>E, t</t>
    </r>
  </si>
  <si>
    <t>производство и распределение  электроэнергии, газа и воды</t>
  </si>
  <si>
    <t>Индекс 2003 = 100</t>
  </si>
  <si>
    <r>
      <t>idxIND</t>
    </r>
    <r>
      <rPr>
        <i/>
        <vertAlign val="superscript"/>
        <sz val="10"/>
        <color indexed="8"/>
        <rFont val="Calibri"/>
        <family val="2"/>
      </rPr>
      <t>2003</t>
    </r>
    <r>
      <rPr>
        <i/>
        <vertAlign val="subscript"/>
        <sz val="10"/>
        <color indexed="8"/>
        <rFont val="Calibri"/>
        <family val="2"/>
      </rPr>
      <t>t</t>
    </r>
  </si>
  <si>
    <r>
      <t>idxIND</t>
    </r>
    <r>
      <rPr>
        <i/>
        <vertAlign val="superscript"/>
        <sz val="10"/>
        <color indexed="8"/>
        <rFont val="Calibri"/>
        <family val="2"/>
      </rPr>
      <t>2003</t>
    </r>
    <r>
      <rPr>
        <i/>
        <vertAlign val="subscript"/>
        <sz val="10"/>
        <color indexed="8"/>
        <rFont val="Calibri"/>
        <family val="2"/>
      </rPr>
      <t>E,,t</t>
    </r>
  </si>
  <si>
    <t>Электроэнергетика</t>
  </si>
  <si>
    <r>
      <t>idxIND</t>
    </r>
    <r>
      <rPr>
        <i/>
        <vertAlign val="superscript"/>
        <sz val="10"/>
        <color indexed="8"/>
        <rFont val="Calibri"/>
        <family val="2"/>
      </rPr>
      <t>2003</t>
    </r>
    <r>
      <rPr>
        <i/>
        <vertAlign val="subscript"/>
        <sz val="10"/>
        <color indexed="8"/>
        <rFont val="Calibri"/>
        <family val="2"/>
      </rPr>
      <t>DJ,,t</t>
    </r>
  </si>
  <si>
    <t>Цветная металлургия</t>
  </si>
  <si>
    <r>
      <t>idxIND</t>
    </r>
    <r>
      <rPr>
        <i/>
        <vertAlign val="superscript"/>
        <sz val="10"/>
        <color indexed="8"/>
        <rFont val="Calibri"/>
        <family val="2"/>
      </rPr>
      <t>2003</t>
    </r>
    <r>
      <rPr>
        <i/>
        <vertAlign val="subscript"/>
        <sz val="10"/>
        <color indexed="8"/>
        <rFont val="Calibri"/>
        <family val="2"/>
      </rPr>
      <t>DBC,,t</t>
    </r>
  </si>
  <si>
    <t>Легкая промышленность</t>
  </si>
  <si>
    <r>
      <t>idxIND</t>
    </r>
    <r>
      <rPr>
        <i/>
        <vertAlign val="superscript"/>
        <sz val="10"/>
        <color indexed="8"/>
        <rFont val="Calibri"/>
        <family val="2"/>
      </rPr>
      <t>2003</t>
    </r>
    <r>
      <rPr>
        <i/>
        <vertAlign val="subscript"/>
        <sz val="10"/>
        <color indexed="8"/>
        <rFont val="Calibri"/>
        <family val="2"/>
      </rPr>
      <t>DA,,t</t>
    </r>
  </si>
  <si>
    <t>Пищевая промышленность</t>
  </si>
  <si>
    <r>
      <t>idxIND</t>
    </r>
    <r>
      <rPr>
        <i/>
        <vertAlign val="superscript"/>
        <sz val="10"/>
        <color indexed="8"/>
        <rFont val="Calibri"/>
        <family val="2"/>
      </rPr>
      <t>2003</t>
    </r>
    <r>
      <rPr>
        <i/>
        <vertAlign val="subscript"/>
        <sz val="10"/>
        <color indexed="8"/>
        <rFont val="Calibri"/>
        <family val="2"/>
      </rPr>
      <t>Other,t</t>
    </r>
  </si>
  <si>
    <t>Прочее</t>
  </si>
  <si>
    <t>Расчет доли ВДС в выпуске</t>
  </si>
  <si>
    <r>
      <t>VA</t>
    </r>
    <r>
      <rPr>
        <i/>
        <vertAlign val="subscript"/>
        <sz val="10"/>
        <color indexed="8"/>
        <rFont val="Calibri"/>
        <family val="2"/>
      </rPr>
      <t>CDE,t</t>
    </r>
  </si>
  <si>
    <t>Промышленность, ВДС</t>
  </si>
  <si>
    <r>
      <t>gVA</t>
    </r>
    <r>
      <rPr>
        <i/>
        <vertAlign val="subscript"/>
        <sz val="10"/>
        <color indexed="8"/>
        <rFont val="Calibri"/>
        <family val="2"/>
      </rPr>
      <t>CDE,t</t>
    </r>
  </si>
  <si>
    <t xml:space="preserve"> - рост</t>
  </si>
  <si>
    <r>
      <t>defVA</t>
    </r>
    <r>
      <rPr>
        <i/>
        <vertAlign val="subscript"/>
        <sz val="10"/>
        <color indexed="8"/>
        <rFont val="Calibri"/>
        <family val="2"/>
      </rPr>
      <t xml:space="preserve">CDE,t </t>
    </r>
    <r>
      <rPr>
        <i/>
        <sz val="10"/>
        <color indexed="8"/>
        <rFont val="Calibri"/>
        <family val="2"/>
      </rPr>
      <t xml:space="preserve"> /IND</t>
    </r>
    <r>
      <rPr>
        <i/>
        <vertAlign val="subscript"/>
        <sz val="10"/>
        <color indexed="8"/>
        <rFont val="Calibri"/>
        <family val="2"/>
      </rPr>
      <t>t</t>
    </r>
  </si>
  <si>
    <t xml:space="preserve"> - дефлятор</t>
  </si>
  <si>
    <t>Доля ВДС/выпуск</t>
  </si>
  <si>
    <r>
      <t>proxy1</t>
    </r>
    <r>
      <rPr>
        <vertAlign val="subscript"/>
        <sz val="10"/>
        <color indexed="8"/>
        <rFont val="Calibri"/>
        <family val="2"/>
      </rPr>
      <t>t</t>
    </r>
  </si>
  <si>
    <t>Прокси (глинозем/дефлятор промпроизводства)</t>
  </si>
  <si>
    <t>Предпосылки:</t>
  </si>
  <si>
    <r>
      <t>IND</t>
    </r>
    <r>
      <rPr>
        <i/>
        <vertAlign val="subscript"/>
        <sz val="10"/>
        <color indexed="8"/>
        <rFont val="Calibri"/>
        <family val="2"/>
      </rPr>
      <t xml:space="preserve">DA, t </t>
    </r>
    <r>
      <rPr>
        <i/>
        <sz val="10"/>
        <color indexed="8"/>
        <rFont val="Calibri"/>
        <family val="2"/>
      </rPr>
      <t>/RET</t>
    </r>
    <r>
      <rPr>
        <i/>
        <vertAlign val="subscript"/>
        <sz val="10"/>
        <color indexed="8"/>
        <rFont val="Calibri"/>
        <family val="2"/>
      </rPr>
      <t>t</t>
    </r>
  </si>
  <si>
    <t>доля пищевой промышленности к розничному товарооброту</t>
  </si>
  <si>
    <r>
      <t>IND</t>
    </r>
    <r>
      <rPr>
        <i/>
        <vertAlign val="subscript"/>
        <sz val="10"/>
        <color indexed="8"/>
        <rFont val="Calibri"/>
        <family val="2"/>
      </rPr>
      <t xml:space="preserve">Dther, t </t>
    </r>
    <r>
      <rPr>
        <i/>
        <sz val="10"/>
        <color indexed="8"/>
        <rFont val="Calibri"/>
        <family val="2"/>
      </rPr>
      <t>/DD</t>
    </r>
    <r>
      <rPr>
        <i/>
        <vertAlign val="subscript"/>
        <sz val="10"/>
        <color indexed="8"/>
        <rFont val="Calibri"/>
        <family val="2"/>
      </rPr>
      <t>IND, t</t>
    </r>
  </si>
  <si>
    <t>доля прочей в промышленности</t>
  </si>
  <si>
    <t>Подробное описание</t>
  </si>
  <si>
    <r>
      <t>qY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</si>
  <si>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t>Производство, млн. кВт - час</t>
  </si>
  <si>
    <r>
      <t>qIM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</si>
  <si>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t>Импорт</t>
  </si>
  <si>
    <r>
      <t>qTC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</si>
  <si>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t>ИТОГО ПОТРЕБЛЕНИЕ</t>
  </si>
  <si>
    <r>
      <t>qEX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</si>
  <si>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t>Экспорт</t>
  </si>
  <si>
    <r>
      <t>qC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</si>
  <si>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t>Внутреннее потребление - всего (по секторам)</t>
  </si>
  <si>
    <r>
      <t xml:space="preserve">  </t>
    </r>
    <r>
      <rPr>
        <i/>
        <sz val="10"/>
        <rFont val="Calibri"/>
        <family val="2"/>
      </rPr>
      <t>в том числе:</t>
    </r>
  </si>
  <si>
    <r>
      <t>qC</t>
    </r>
    <r>
      <rPr>
        <i/>
        <vertAlign val="superscript"/>
        <sz val="10"/>
        <color indexed="8"/>
        <rFont val="Calibri"/>
        <family val="2"/>
        <charset val="204"/>
      </rPr>
      <t>CDE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</si>
  <si>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t xml:space="preserve">  Промышленность</t>
  </si>
  <si>
    <r>
      <t>qC</t>
    </r>
    <r>
      <rPr>
        <i/>
        <vertAlign val="superscript"/>
        <sz val="10"/>
        <color indexed="8"/>
        <rFont val="Calibri"/>
        <family val="2"/>
        <charset val="204"/>
      </rPr>
      <t>F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</si>
  <si>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t xml:space="preserve">  Строительство</t>
  </si>
  <si>
    <r>
      <t>qC</t>
    </r>
    <r>
      <rPr>
        <i/>
        <vertAlign val="superscript"/>
        <sz val="10"/>
        <color indexed="8"/>
        <rFont val="Calibri"/>
        <family val="2"/>
        <charset val="204"/>
      </rPr>
      <t>AB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</si>
  <si>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t xml:space="preserve">  Сельское хозяйство</t>
  </si>
  <si>
    <r>
      <t>qC</t>
    </r>
    <r>
      <rPr>
        <i/>
        <vertAlign val="superscript"/>
        <sz val="10"/>
        <color indexed="8"/>
        <rFont val="Calibri"/>
        <family val="2"/>
        <charset val="204"/>
      </rPr>
      <t>I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</si>
  <si>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t xml:space="preserve">  Транспорт</t>
  </si>
  <si>
    <r>
      <t>qC</t>
    </r>
    <r>
      <rPr>
        <i/>
        <vertAlign val="superscript"/>
        <sz val="10"/>
        <color indexed="8"/>
        <rFont val="Calibri"/>
        <family val="2"/>
        <charset val="204"/>
      </rPr>
      <t>HH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</si>
  <si>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t xml:space="preserve">  Население</t>
  </si>
  <si>
    <r>
      <t>qL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</si>
  <si>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t xml:space="preserve">  Потери</t>
  </si>
  <si>
    <r>
      <t>qC</t>
    </r>
    <r>
      <rPr>
        <i/>
        <vertAlign val="superscript"/>
        <sz val="10"/>
        <color indexed="8"/>
        <rFont val="Calibri"/>
        <family val="2"/>
        <charset val="204"/>
      </rPr>
      <t>Oth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</si>
  <si>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r>
      <t>qL</t>
    </r>
    <r>
      <rPr>
        <i/>
        <vertAlign val="superscript"/>
        <sz val="10"/>
        <color indexed="8"/>
        <rFont val="Calibri"/>
        <family val="2"/>
        <charset val="204"/>
      </rPr>
      <t>Y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</si>
  <si>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t>потери к выпуску</t>
  </si>
  <si>
    <t>Импорт, млн кВт</t>
  </si>
  <si>
    <t>Экспорт, млн кВт</t>
  </si>
  <si>
    <t>Импорт, млн. долл.</t>
  </si>
  <si>
    <r>
      <t>EX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</si>
  <si>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t>Экспорт, млн. долл.</t>
  </si>
  <si>
    <r>
      <t>qCAP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</si>
  <si>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t>Мощность, тыс. кВт</t>
  </si>
  <si>
    <r>
      <t>UR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</si>
  <si>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t>загрузка мощностей, %</t>
  </si>
  <si>
    <r>
      <t>qEXP*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</si>
  <si>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t>потенциал чистого экспорта э/э, млн. кВт-ч/год</t>
  </si>
  <si>
    <r>
      <t>PUR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</si>
  <si>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t>использование потенциала, %</t>
  </si>
  <si>
    <t>Потребление электроэнергии</t>
  </si>
  <si>
    <t xml:space="preserve"> - в т.ч. на двигательную силу</t>
  </si>
  <si>
    <r>
      <t>qC*</t>
    </r>
    <r>
      <rPr>
        <i/>
        <vertAlign val="superscript"/>
        <sz val="10"/>
        <color indexed="8"/>
        <rFont val="Calibri"/>
        <family val="2"/>
        <charset val="204"/>
      </rPr>
      <t>CDE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</si>
  <si>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t xml:space="preserve"> - на технологические нужды и прочее</t>
  </si>
  <si>
    <t>энергоемкость выпуска 1</t>
  </si>
  <si>
    <r>
      <t>ef</t>
    </r>
    <r>
      <rPr>
        <i/>
        <vertAlign val="superscript"/>
        <sz val="10"/>
        <color indexed="8"/>
        <rFont val="Calibri"/>
        <family val="2"/>
        <charset val="204"/>
      </rPr>
      <t>CDE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</si>
  <si>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t>энергоемкость выпуска 2</t>
  </si>
  <si>
    <t>Цветные металлы</t>
  </si>
  <si>
    <r>
      <t>qC*</t>
    </r>
    <r>
      <rPr>
        <i/>
        <vertAlign val="superscript"/>
        <sz val="10"/>
        <color indexed="8"/>
        <rFont val="Calibri"/>
        <family val="2"/>
        <charset val="204"/>
      </rPr>
      <t>Dl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</si>
  <si>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r>
      <t>ef</t>
    </r>
    <r>
      <rPr>
        <i/>
        <vertAlign val="superscript"/>
        <sz val="10"/>
        <color indexed="8"/>
        <rFont val="Calibri"/>
        <family val="2"/>
        <charset val="204"/>
      </rPr>
      <t>DI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</si>
  <si>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t>энергоемкость выпуска алюминия</t>
  </si>
  <si>
    <t>Легкая  промышленность</t>
  </si>
  <si>
    <r>
      <t>qC*</t>
    </r>
    <r>
      <rPr>
        <i/>
        <vertAlign val="superscript"/>
        <sz val="10"/>
        <color indexed="8"/>
        <rFont val="Calibri"/>
        <family val="2"/>
        <charset val="204"/>
      </rPr>
      <t>DBC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</si>
  <si>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r>
      <t>ef</t>
    </r>
    <r>
      <rPr>
        <i/>
        <vertAlign val="superscript"/>
        <sz val="10"/>
        <color indexed="8"/>
        <rFont val="Calibri"/>
        <family val="2"/>
        <charset val="204"/>
      </rPr>
      <t>DBC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</si>
  <si>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t>энергоемкость выпуска  в легкой промышленности</t>
  </si>
  <si>
    <r>
      <t>qC*</t>
    </r>
    <r>
      <rPr>
        <i/>
        <vertAlign val="superscript"/>
        <sz val="10"/>
        <color indexed="8"/>
        <rFont val="Calibri"/>
        <family val="2"/>
        <charset val="204"/>
      </rPr>
      <t>DA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</si>
  <si>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r>
      <t>ef</t>
    </r>
    <r>
      <rPr>
        <i/>
        <vertAlign val="superscript"/>
        <sz val="10"/>
        <color indexed="8"/>
        <rFont val="Calibri"/>
        <family val="2"/>
        <charset val="204"/>
      </rPr>
      <t>DA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</si>
  <si>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t>энергоемкость выпуска в пищевой промышленности</t>
  </si>
  <si>
    <r>
      <t>qC*</t>
    </r>
    <r>
      <rPr>
        <i/>
        <vertAlign val="superscript"/>
        <sz val="10"/>
        <color indexed="8"/>
        <rFont val="Calibri"/>
        <family val="2"/>
        <charset val="204"/>
      </rPr>
      <t>Oth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</si>
  <si>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r>
      <t>ef</t>
    </r>
    <r>
      <rPr>
        <i/>
        <vertAlign val="superscript"/>
        <sz val="10"/>
        <color indexed="8"/>
        <rFont val="Calibri"/>
        <family val="2"/>
        <charset val="204"/>
      </rPr>
      <t>Oth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</si>
  <si>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t>энергоемкость выпуска прочих секторов</t>
  </si>
  <si>
    <t>Сельское хозйство</t>
  </si>
  <si>
    <r>
      <t>idxVA</t>
    </r>
    <r>
      <rPr>
        <i/>
        <vertAlign val="superscript"/>
        <sz val="10"/>
        <color indexed="8"/>
        <rFont val="Calibri"/>
        <family val="2"/>
        <charset val="204"/>
      </rPr>
      <t>2004</t>
    </r>
    <r>
      <rPr>
        <i/>
        <vertAlign val="subscript"/>
        <sz val="10"/>
        <color indexed="8"/>
        <rFont val="Calibri"/>
        <family val="2"/>
      </rPr>
      <t>AB,t</t>
    </r>
  </si>
  <si>
    <t>ВДС сектора</t>
  </si>
  <si>
    <r>
      <t>qC*</t>
    </r>
    <r>
      <rPr>
        <i/>
        <vertAlign val="superscript"/>
        <sz val="10"/>
        <color indexed="8"/>
        <rFont val="Calibri"/>
        <family val="2"/>
        <charset val="204"/>
      </rPr>
      <t>AB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</si>
  <si>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t>потребление электроэнергии</t>
  </si>
  <si>
    <r>
      <t>ef</t>
    </r>
    <r>
      <rPr>
        <i/>
        <vertAlign val="superscript"/>
        <sz val="10"/>
        <color indexed="8"/>
        <rFont val="Calibri"/>
        <family val="2"/>
        <charset val="204"/>
      </rPr>
      <t>AB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</si>
  <si>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t>энергоемкость выпуска с/х</t>
  </si>
  <si>
    <r>
      <t>TR</t>
    </r>
    <r>
      <rPr>
        <i/>
        <vertAlign val="subscript"/>
        <sz val="10"/>
        <color indexed="8"/>
        <rFont val="Calibri"/>
        <family val="2"/>
      </rPr>
      <t>E, t</t>
    </r>
  </si>
  <si>
    <t>Выручка э/э сектора, расчет, млн. сом.</t>
  </si>
  <si>
    <r>
      <t>P</t>
    </r>
    <r>
      <rPr>
        <i/>
        <vertAlign val="superscript"/>
        <sz val="10"/>
        <color indexed="8"/>
        <rFont val="Calibri"/>
        <family val="2"/>
        <charset val="204"/>
      </rPr>
      <t>F</t>
    </r>
    <r>
      <rPr>
        <i/>
        <vertAlign val="subscript"/>
        <sz val="10"/>
        <color indexed="8"/>
        <rFont val="Calibri"/>
        <family val="2"/>
      </rPr>
      <t>El, t</t>
    </r>
  </si>
  <si>
    <t>Цены предприятий</t>
  </si>
  <si>
    <r>
      <t>P</t>
    </r>
    <r>
      <rPr>
        <i/>
        <vertAlign val="superscript"/>
        <sz val="10"/>
        <color indexed="8"/>
        <rFont val="Calibri"/>
        <family val="2"/>
        <charset val="204"/>
      </rPr>
      <t>HH</t>
    </r>
    <r>
      <rPr>
        <i/>
        <vertAlign val="subscript"/>
        <sz val="10"/>
        <color indexed="8"/>
        <rFont val="Calibri"/>
        <family val="2"/>
      </rPr>
      <t>El, t</t>
    </r>
  </si>
  <si>
    <t>Цены для населения</t>
  </si>
  <si>
    <r>
      <t>P</t>
    </r>
    <r>
      <rPr>
        <i/>
        <vertAlign val="superscript"/>
        <sz val="10"/>
        <color indexed="8"/>
        <rFont val="Calibri"/>
        <family val="2"/>
        <charset val="204"/>
      </rPr>
      <t>NN</t>
    </r>
    <r>
      <rPr>
        <i/>
        <vertAlign val="subscript"/>
        <sz val="10"/>
        <color indexed="8"/>
        <rFont val="Calibri"/>
        <family val="2"/>
      </rPr>
      <t>El, t</t>
    </r>
  </si>
  <si>
    <r>
      <t>qY</t>
    </r>
    <r>
      <rPr>
        <i/>
        <vertAlign val="subscript"/>
        <sz val="10"/>
        <color indexed="8"/>
        <rFont val="Calibri"/>
        <family val="2"/>
        <charset val="204"/>
      </rPr>
      <t>Al,t</t>
    </r>
  </si>
  <si>
    <t>Производство алюминия, тыс.. тонн</t>
  </si>
  <si>
    <t>Потребление глинозема, тыс. тонн., в том числе</t>
  </si>
  <si>
    <t xml:space="preserve">  - глинозем отечественного производства, тыс. тонн.</t>
  </si>
  <si>
    <r>
      <t>qIM</t>
    </r>
    <r>
      <rPr>
        <i/>
        <vertAlign val="subscript"/>
        <sz val="10"/>
        <color indexed="8"/>
        <rFont val="Calibri"/>
        <family val="2"/>
        <charset val="204"/>
      </rPr>
      <t>Am,t</t>
    </r>
  </si>
  <si>
    <t xml:space="preserve">  - импорт глинозема, тыс. тонн</t>
  </si>
  <si>
    <r>
      <t>IM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Am,t</t>
    </r>
  </si>
  <si>
    <t>Импорт глинозема, млн. долл.</t>
  </si>
  <si>
    <t>Использование алюминия</t>
  </si>
  <si>
    <r>
      <t>qEX</t>
    </r>
    <r>
      <rPr>
        <i/>
        <vertAlign val="subscript"/>
        <sz val="10"/>
        <color indexed="8"/>
        <rFont val="Calibri"/>
        <family val="2"/>
        <charset val="204"/>
      </rPr>
      <t>Al,t</t>
    </r>
  </si>
  <si>
    <t>Экспорт алюминия, тыс.. тонн</t>
  </si>
  <si>
    <t>Экспорт готовых изделий из алюминия, тыс. тонн</t>
  </si>
  <si>
    <t>Экспорт отходов алюминивого производства, тыс. тонн</t>
  </si>
  <si>
    <r>
      <t xml:space="preserve">Справочно: </t>
    </r>
    <r>
      <rPr>
        <i/>
        <sz val="10"/>
        <color indexed="8"/>
        <rFont val="Calibri"/>
        <family val="2"/>
        <charset val="204"/>
      </rPr>
      <t>степень переработки, %</t>
    </r>
  </si>
  <si>
    <r>
      <t>EX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Al,t</t>
    </r>
  </si>
  <si>
    <t>Экспорт алюминия, млн. долл.</t>
  </si>
  <si>
    <t>Экспорт готовых изделий из алюминия, млн. долл.</t>
  </si>
  <si>
    <t>Экспорт отходов алюминивого производства, млн. долл.</t>
  </si>
  <si>
    <r>
      <t>ef</t>
    </r>
    <r>
      <rPr>
        <i/>
        <vertAlign val="superscript"/>
        <sz val="10"/>
        <color indexed="8"/>
        <rFont val="Calibri"/>
        <family val="2"/>
        <charset val="204"/>
      </rPr>
      <t>Al</t>
    </r>
    <r>
      <rPr>
        <i/>
        <vertAlign val="subscript"/>
        <sz val="10"/>
        <color indexed="8"/>
        <rFont val="Calibri"/>
        <family val="2"/>
        <charset val="204"/>
      </rPr>
      <t>Am,t</t>
    </r>
  </si>
  <si>
    <t>Норма потребления глинозема в производстве</t>
  </si>
  <si>
    <r>
      <t>pEX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Al,t</t>
    </r>
  </si>
  <si>
    <t>Цена алюминий, долл./тон</t>
  </si>
  <si>
    <r>
      <t>pIM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Am,t</t>
    </r>
  </si>
  <si>
    <t>Цена глинозема, долл./тон</t>
  </si>
  <si>
    <t>Средние цены готовых изделий из алюминия</t>
  </si>
  <si>
    <t>Средние цены отходов из алюминия</t>
  </si>
  <si>
    <t>Производство алюминия, тыс. тонн</t>
  </si>
  <si>
    <t>Оплата за тонну, сомони</t>
  </si>
  <si>
    <t>Оплата за тонну, долл. США</t>
  </si>
  <si>
    <t>Выпуск  / Плата за переработку алюминия по толлингу, млн. сомони</t>
  </si>
  <si>
    <t>Плата за переработку алюминия по толлингу, млн. долл. США</t>
  </si>
  <si>
    <t>Добыча золота, кг</t>
  </si>
  <si>
    <t>Добыча серебра, кг</t>
  </si>
  <si>
    <t>Стоимость (золото+серебро), млн. сомони</t>
  </si>
  <si>
    <t>Производство цинка</t>
  </si>
  <si>
    <t>Производство свинца</t>
  </si>
  <si>
    <t>Хлопок</t>
  </si>
  <si>
    <r>
      <t>qEX</t>
    </r>
    <r>
      <rPr>
        <i/>
        <vertAlign val="subscript"/>
        <sz val="10"/>
        <rFont val="Calibri"/>
        <family val="2"/>
      </rPr>
      <t>Cot,t</t>
    </r>
  </si>
  <si>
    <t>Экспорт, хлопок- волокно, тонн</t>
  </si>
  <si>
    <t xml:space="preserve">5205 5207 5208 5209 </t>
  </si>
  <si>
    <t>Экспорт, хлопок ткани и пряжа, тонн</t>
  </si>
  <si>
    <t>6006, 6103, 6106,6111, 6115,6116,6203, 6204-06, 6209, 6211, 6310</t>
  </si>
  <si>
    <t>Экспорт, готовые изделия (вкл. отходы), тонн</t>
  </si>
  <si>
    <r>
      <t>EX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Cot,t</t>
    </r>
  </si>
  <si>
    <t>Экспорт, хлопок-волокно, млн. долл.</t>
  </si>
  <si>
    <t>Экспорт, хлопок ткани и пряжа ,млн. долл.</t>
  </si>
  <si>
    <t>Экспорт, готовые изделия (вкл. отходы), млн. долл.</t>
  </si>
  <si>
    <t>Средняя цена, хлопок-волокно, долл./кг</t>
  </si>
  <si>
    <t>Средняя цена, хлопок-ткани и пряжа, долл./кг</t>
  </si>
  <si>
    <t>Средняя цена, готовые изделия, долл./кг</t>
  </si>
  <si>
    <t>Производство, хлопок-сырец,тыс. тонн.</t>
  </si>
  <si>
    <t>Потенциальный объем производства, ткани, тыс. тонн</t>
  </si>
  <si>
    <t>Экспорт в тканевом эквиваленте, тыс. тонн</t>
  </si>
  <si>
    <t>Внутреннее потребление , тыс. тонн</t>
  </si>
  <si>
    <t>Средняя цена отечественного текстиля, сом./кг</t>
  </si>
  <si>
    <t xml:space="preserve">  - отношение к экспортной цен на готовые изделия</t>
  </si>
  <si>
    <t>Доля переработки, %</t>
  </si>
  <si>
    <t>Доля внутреннего потребления в переработке, %</t>
  </si>
  <si>
    <r>
      <t>EX</t>
    </r>
    <r>
      <rPr>
        <i/>
        <vertAlign val="subscript"/>
        <sz val="10"/>
        <color indexed="8"/>
        <rFont val="Calibri"/>
        <family val="2"/>
        <charset val="204"/>
      </rPr>
      <t>Cot,t</t>
    </r>
  </si>
  <si>
    <t>Экспорт, млн. сом.</t>
  </si>
  <si>
    <t>Внешние сценарные условия</t>
  </si>
  <si>
    <t>External scenario conditions </t>
  </si>
  <si>
    <r>
      <t>gGDP</t>
    </r>
    <r>
      <rPr>
        <vertAlign val="superscript"/>
        <sz val="10"/>
        <color indexed="8"/>
        <rFont val="Calibri"/>
        <family val="2"/>
        <charset val="204"/>
      </rPr>
      <t>W</t>
    </r>
    <r>
      <rPr>
        <vertAlign val="subscript"/>
        <sz val="10"/>
        <color indexed="8"/>
        <rFont val="Calibri"/>
        <family val="2"/>
        <charset val="204"/>
      </rPr>
      <t>t</t>
    </r>
  </si>
  <si>
    <t>Темпы роста мировой экономики,%</t>
  </si>
  <si>
    <t>Global economic growth ,% NGDP_RPCH</t>
  </si>
  <si>
    <r>
      <t>gGDP</t>
    </r>
    <r>
      <rPr>
        <vertAlign val="superscript"/>
        <sz val="10"/>
        <color indexed="8"/>
        <rFont val="Calibri"/>
        <family val="2"/>
        <charset val="204"/>
      </rPr>
      <t>DE</t>
    </r>
    <r>
      <rPr>
        <vertAlign val="subscript"/>
        <sz val="10"/>
        <color indexed="8"/>
        <rFont val="Calibri"/>
        <family val="2"/>
        <charset val="204"/>
      </rPr>
      <t>t</t>
    </r>
  </si>
  <si>
    <t>Темпы роста экономики развивающихся стран, %</t>
  </si>
  <si>
    <t>Economic growth in developing countries , % NGDP_RPCH</t>
  </si>
  <si>
    <r>
      <t>gTRADE</t>
    </r>
    <r>
      <rPr>
        <vertAlign val="superscript"/>
        <sz val="10"/>
        <color indexed="8"/>
        <rFont val="Calibri"/>
        <family val="2"/>
        <charset val="204"/>
      </rPr>
      <t>W</t>
    </r>
    <r>
      <rPr>
        <vertAlign val="subscript"/>
        <sz val="10"/>
        <color indexed="8"/>
        <rFont val="Calibri"/>
        <family val="2"/>
        <charset val="204"/>
      </rPr>
      <t>t</t>
    </r>
  </si>
  <si>
    <t>Объем мировой торговл, рост, %</t>
  </si>
  <si>
    <t>Volume of world trade, growth rate, % TRADEPCH</t>
  </si>
  <si>
    <r>
      <t>pOIL</t>
    </r>
    <r>
      <rPr>
        <vertAlign val="superscript"/>
        <sz val="10"/>
        <color indexed="8"/>
        <rFont val="Calibri"/>
        <family val="2"/>
        <charset val="204"/>
      </rPr>
      <t>W</t>
    </r>
    <r>
      <rPr>
        <vertAlign val="subscript"/>
        <sz val="10"/>
        <color indexed="8"/>
        <rFont val="Calibri"/>
        <family val="2"/>
        <charset val="204"/>
      </rPr>
      <t>t</t>
    </r>
  </si>
  <si>
    <t>Мировые цены на нефть (brent+dubai+wti), долл./барр.</t>
  </si>
  <si>
    <t>World oil prices (brent + dubai + wti) , USD/bar</t>
  </si>
  <si>
    <r>
      <t>pAL</t>
    </r>
    <r>
      <rPr>
        <vertAlign val="superscript"/>
        <sz val="10"/>
        <color indexed="8"/>
        <rFont val="Calibri"/>
        <family val="2"/>
        <charset val="204"/>
      </rPr>
      <t>W</t>
    </r>
    <r>
      <rPr>
        <vertAlign val="subscript"/>
        <sz val="10"/>
        <color indexed="8"/>
        <rFont val="Calibri"/>
        <family val="2"/>
        <charset val="204"/>
      </rPr>
      <t>t</t>
    </r>
  </si>
  <si>
    <t>Мировые цены на алюминий, долл./тонн</t>
  </si>
  <si>
    <t>Worldwide aluminum prices , USD/t</t>
  </si>
  <si>
    <r>
      <t>pidxAG</t>
    </r>
    <r>
      <rPr>
        <vertAlign val="superscript"/>
        <sz val="10"/>
        <color indexed="8"/>
        <rFont val="Calibri"/>
        <family val="2"/>
        <charset val="204"/>
      </rPr>
      <t>W</t>
    </r>
    <r>
      <rPr>
        <vertAlign val="subscript"/>
        <sz val="10"/>
        <color indexed="8"/>
        <rFont val="Calibri"/>
        <family val="2"/>
        <charset val="204"/>
      </rPr>
      <t>t</t>
    </r>
  </si>
  <si>
    <t>Индекс цен на сельхозсырье, 2005=100</t>
  </si>
  <si>
    <t>The price index for agricultural raw, 2005=100 </t>
  </si>
  <si>
    <r>
      <t>pCOT</t>
    </r>
    <r>
      <rPr>
        <vertAlign val="superscript"/>
        <sz val="10"/>
        <color indexed="8"/>
        <rFont val="Calibri"/>
        <family val="2"/>
        <charset val="204"/>
      </rPr>
      <t>W</t>
    </r>
    <r>
      <rPr>
        <vertAlign val="subscript"/>
        <sz val="10"/>
        <color indexed="8"/>
        <rFont val="Calibri"/>
        <family val="2"/>
        <charset val="204"/>
      </rPr>
      <t>t</t>
    </r>
  </si>
  <si>
    <t>Мировые цены на хлопок, cents/pound</t>
  </si>
  <si>
    <t>World cotton prices, USD/tonn</t>
  </si>
  <si>
    <r>
      <t>pWH</t>
    </r>
    <r>
      <rPr>
        <vertAlign val="superscript"/>
        <sz val="10"/>
        <color indexed="8"/>
        <rFont val="Calibri"/>
        <family val="2"/>
        <charset val="204"/>
      </rPr>
      <t>W</t>
    </r>
    <r>
      <rPr>
        <vertAlign val="subscript"/>
        <sz val="10"/>
        <color indexed="8"/>
        <rFont val="Calibri"/>
        <family val="2"/>
        <charset val="204"/>
      </rPr>
      <t>t</t>
    </r>
  </si>
  <si>
    <t>Мировые цены на пшеницу, долл./тонн</t>
  </si>
  <si>
    <t>World wheat prices, USD/tonn</t>
  </si>
  <si>
    <r>
      <t>dCPI</t>
    </r>
    <r>
      <rPr>
        <vertAlign val="superscript"/>
        <sz val="10"/>
        <color indexed="8"/>
        <rFont val="Calibri"/>
        <family val="2"/>
        <charset val="204"/>
      </rPr>
      <t>W</t>
    </r>
    <r>
      <rPr>
        <vertAlign val="subscript"/>
        <sz val="10"/>
        <color indexed="8"/>
        <rFont val="Calibri"/>
        <family val="2"/>
        <charset val="204"/>
      </rPr>
      <t>t</t>
    </r>
  </si>
  <si>
    <t>Мировая инфляция, % средняя</t>
  </si>
  <si>
    <t>World inflationб CPI average, PCPIPCH</t>
  </si>
  <si>
    <r>
      <t>er</t>
    </r>
    <r>
      <rPr>
        <i/>
        <vertAlign val="superscript"/>
        <sz val="10"/>
        <color indexed="8"/>
        <rFont val="Calibri"/>
        <family val="2"/>
        <charset val="204"/>
      </rPr>
      <t>USD</t>
    </r>
    <r>
      <rPr>
        <i/>
        <vertAlign val="subscript"/>
        <sz val="10"/>
        <color indexed="8"/>
        <rFont val="Calibri"/>
        <family val="2"/>
        <charset val="204"/>
      </rPr>
      <t>t</t>
    </r>
  </si>
  <si>
    <t>Средний обменный курс (TJS/USD)</t>
  </si>
  <si>
    <t>Average exchange rate (TJS/USD)</t>
  </si>
  <si>
    <r>
      <t>er</t>
    </r>
    <r>
      <rPr>
        <i/>
        <vertAlign val="superscript"/>
        <sz val="10"/>
        <color indexed="8"/>
        <rFont val="Calibri"/>
        <family val="2"/>
        <charset val="204"/>
      </rPr>
      <t>RUR</t>
    </r>
    <r>
      <rPr>
        <i/>
        <vertAlign val="subscript"/>
        <sz val="10"/>
        <color indexed="8"/>
        <rFont val="Calibri"/>
        <family val="2"/>
        <charset val="204"/>
      </rPr>
      <t>t</t>
    </r>
  </si>
  <si>
    <t>Курс рубля , руб./сомони</t>
  </si>
  <si>
    <t>RUB/Somoni</t>
  </si>
  <si>
    <r>
      <t>MIG</t>
    </r>
    <r>
      <rPr>
        <vertAlign val="superscript"/>
        <sz val="10"/>
        <color indexed="8"/>
        <rFont val="Calibri"/>
        <family val="2"/>
        <charset val="204"/>
      </rPr>
      <t>RUS</t>
    </r>
    <r>
      <rPr>
        <vertAlign val="subscript"/>
        <sz val="10"/>
        <color indexed="8"/>
        <rFont val="Calibri"/>
        <family val="2"/>
        <charset val="204"/>
      </rPr>
      <t>t</t>
    </r>
  </si>
  <si>
    <t>Число мигрантов из Таджикистана в России, тыс.чел.</t>
  </si>
  <si>
    <t>The number of migrants from Tajikistan in Russia, thousand persons</t>
  </si>
  <si>
    <r>
      <t>Inv</t>
    </r>
    <r>
      <rPr>
        <vertAlign val="superscript"/>
        <sz val="10"/>
        <color indexed="8"/>
        <rFont val="Calibri"/>
        <family val="2"/>
        <charset val="204"/>
      </rPr>
      <t>F</t>
    </r>
    <r>
      <rPr>
        <vertAlign val="subscript"/>
        <sz val="10"/>
        <color indexed="8"/>
        <rFont val="Calibri"/>
        <family val="2"/>
        <charset val="204"/>
      </rPr>
      <t>t</t>
    </r>
  </si>
  <si>
    <r>
      <t xml:space="preserve">Зарубежные инвестиции (по счету инвестиций), </t>
    </r>
    <r>
      <rPr>
        <sz val="10"/>
        <color rgb="FFFF0000"/>
        <rFont val="Calibri"/>
        <family val="2"/>
        <scheme val="minor"/>
      </rPr>
      <t>млн. долл. США</t>
    </r>
  </si>
  <si>
    <t>Foreign investments (investment survey), mln USD</t>
  </si>
  <si>
    <r>
      <t>W</t>
    </r>
    <r>
      <rPr>
        <vertAlign val="superscript"/>
        <sz val="10"/>
        <color indexed="8"/>
        <rFont val="Calibri"/>
        <family val="2"/>
        <charset val="204"/>
      </rPr>
      <t>RUS, US</t>
    </r>
    <r>
      <rPr>
        <vertAlign val="subscript"/>
        <sz val="10"/>
        <color indexed="8"/>
        <rFont val="Calibri"/>
        <family val="2"/>
        <charset val="204"/>
      </rPr>
      <t>t</t>
    </r>
  </si>
  <si>
    <t>Средняя зарплата в России, долл.</t>
  </si>
  <si>
    <t>The average salary in Russia, U.S. </t>
  </si>
  <si>
    <t>Потребность России в мигрантах (высокий вар.), тыс.чел.</t>
  </si>
  <si>
    <t>Russia's need for Migrants, thousand</t>
  </si>
  <si>
    <r>
      <t>W</t>
    </r>
    <r>
      <rPr>
        <vertAlign val="superscript"/>
        <sz val="10"/>
        <color indexed="8"/>
        <rFont val="Calibri"/>
        <family val="2"/>
        <charset val="204"/>
      </rPr>
      <t>RUS, RUB</t>
    </r>
    <r>
      <rPr>
        <vertAlign val="subscript"/>
        <sz val="10"/>
        <color indexed="8"/>
        <rFont val="Calibri"/>
        <family val="2"/>
        <charset val="204"/>
      </rPr>
      <t>t</t>
    </r>
  </si>
  <si>
    <t>Средняя зарплата в России, руб.</t>
  </si>
  <si>
    <t>The average salary in Russia, RUB</t>
  </si>
  <si>
    <r>
      <t>er</t>
    </r>
    <r>
      <rPr>
        <i/>
        <vertAlign val="superscript"/>
        <sz val="10"/>
        <color indexed="8"/>
        <rFont val="Calibri"/>
        <family val="2"/>
        <charset val="204"/>
      </rPr>
      <t>RUR/USD</t>
    </r>
    <r>
      <rPr>
        <i/>
        <vertAlign val="subscript"/>
        <sz val="10"/>
        <color indexed="8"/>
        <rFont val="Calibri"/>
        <family val="2"/>
        <charset val="204"/>
      </rPr>
      <t>t</t>
    </r>
  </si>
  <si>
    <t>Курс доллара к рублю, руб./долл.</t>
  </si>
  <si>
    <t>Exhange rate, Rub/dollar </t>
  </si>
  <si>
    <r>
      <t>pFV</t>
    </r>
    <r>
      <rPr>
        <vertAlign val="superscript"/>
        <sz val="10"/>
        <color indexed="8"/>
        <rFont val="Calibri"/>
        <family val="2"/>
        <charset val="204"/>
      </rPr>
      <t>RUB</t>
    </r>
    <r>
      <rPr>
        <vertAlign val="subscript"/>
        <sz val="10"/>
        <color indexed="8"/>
        <rFont val="Calibri"/>
        <family val="2"/>
        <charset val="204"/>
      </rPr>
      <t>t</t>
    </r>
  </si>
  <si>
    <t>Цены на плодоовощную продукцию в России, $/tn</t>
  </si>
  <si>
    <t>Prices for fruits and vegetables in Russia, $/tn</t>
  </si>
  <si>
    <r>
      <t>pGOLD</t>
    </r>
    <r>
      <rPr>
        <vertAlign val="superscript"/>
        <sz val="10"/>
        <color indexed="8"/>
        <rFont val="Calibri"/>
        <family val="2"/>
        <charset val="204"/>
      </rPr>
      <t>W</t>
    </r>
    <r>
      <rPr>
        <vertAlign val="subscript"/>
        <sz val="10"/>
        <color indexed="8"/>
        <rFont val="Calibri"/>
        <family val="2"/>
        <charset val="204"/>
      </rPr>
      <t>t</t>
    </r>
  </si>
  <si>
    <t>Мировые цены на золото, долл./унция</t>
  </si>
  <si>
    <t>Worldwide gold prices , USD/onz</t>
  </si>
  <si>
    <t>Предпосылки производственного блока</t>
  </si>
  <si>
    <t>Production block assumptions</t>
  </si>
  <si>
    <t>Food industry</t>
  </si>
  <si>
    <r>
      <t>IND</t>
    </r>
    <r>
      <rPr>
        <i/>
        <vertAlign val="subscript"/>
        <sz val="10"/>
        <color indexed="8"/>
        <rFont val="Calibri"/>
        <family val="2"/>
        <charset val="204"/>
      </rPr>
      <t xml:space="preserve">DA, t </t>
    </r>
    <r>
      <rPr>
        <i/>
        <sz val="10"/>
        <color indexed="8"/>
        <rFont val="Calibri"/>
        <family val="2"/>
        <charset val="204"/>
      </rPr>
      <t>/RET</t>
    </r>
    <r>
      <rPr>
        <i/>
        <vertAlign val="subscript"/>
        <sz val="10"/>
        <color indexed="8"/>
        <rFont val="Calibri"/>
        <family val="2"/>
        <charset val="204"/>
      </rPr>
      <t>t</t>
    </r>
  </si>
  <si>
    <t>food industry ouput / retail sales</t>
  </si>
  <si>
    <t>Прочая промышленность</t>
  </si>
  <si>
    <t>Other industrial production</t>
  </si>
  <si>
    <r>
      <t>IND</t>
    </r>
    <r>
      <rPr>
        <i/>
        <vertAlign val="subscript"/>
        <sz val="10"/>
        <color indexed="8"/>
        <rFont val="Calibri"/>
        <family val="2"/>
        <charset val="204"/>
      </rPr>
      <t xml:space="preserve">Dther, t </t>
    </r>
    <r>
      <rPr>
        <i/>
        <sz val="10"/>
        <color indexed="8"/>
        <rFont val="Calibri"/>
        <family val="2"/>
        <charset val="204"/>
      </rPr>
      <t>/DD</t>
    </r>
    <r>
      <rPr>
        <i/>
        <vertAlign val="subscript"/>
        <sz val="10"/>
        <color indexed="8"/>
        <rFont val="Calibri"/>
        <family val="2"/>
        <charset val="204"/>
      </rPr>
      <t>IND, t</t>
    </r>
  </si>
  <si>
    <t>other industry  / domestic final demand industries</t>
  </si>
  <si>
    <t>Power generation</t>
  </si>
  <si>
    <t>Потребление  населением, млн. Квт*ч</t>
  </si>
  <si>
    <t xml:space="preserve">  Household consumption of energy, mln. kWt*h</t>
  </si>
  <si>
    <t>Losses/consumption ratio</t>
  </si>
  <si>
    <t>Production capacity, thousands kWt</t>
  </si>
  <si>
    <t>использование потенциала, % от потенциала</t>
  </si>
  <si>
    <t>export utlization rate. % potential</t>
  </si>
  <si>
    <r>
      <t>pEX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</si>
  <si>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t xml:space="preserve">    Электричество, USD/кВт-ч</t>
  </si>
  <si>
    <t xml:space="preserve">    Electricity, USD/kWt-hour</t>
  </si>
  <si>
    <t xml:space="preserve"> power consumption/aluminum output ratio</t>
  </si>
  <si>
    <t>power consumption/light industry output ratio</t>
  </si>
  <si>
    <t>power consumption/food industry output ratio</t>
  </si>
  <si>
    <t>power consumption/other insdustries output ratio</t>
  </si>
  <si>
    <t>power consumption/agriculture output ratio</t>
  </si>
  <si>
    <r>
      <t>P</t>
    </r>
    <r>
      <rPr>
        <i/>
        <vertAlign val="superscript"/>
        <sz val="10"/>
        <color indexed="8"/>
        <rFont val="Calibri"/>
        <family val="2"/>
        <charset val="204"/>
      </rPr>
      <t>HH</t>
    </r>
    <r>
      <rPr>
        <i/>
        <vertAlign val="subscript"/>
        <sz val="10"/>
        <color indexed="8"/>
        <rFont val="Calibri"/>
        <family val="2"/>
        <charset val="204"/>
      </rPr>
      <t>El, t</t>
    </r>
  </si>
  <si>
    <t>Цены на электроэнергию для населения, дирам/кВт*ч</t>
  </si>
  <si>
    <t>Elecricity prices for households, .01 somoni/kWt</t>
  </si>
  <si>
    <t>Производства алюминия</t>
  </si>
  <si>
    <t>Aluminum production</t>
  </si>
  <si>
    <t>Производство алюминия тонн</t>
  </si>
  <si>
    <t xml:space="preserve"> Aluminiun production, ton</t>
  </si>
  <si>
    <t>Alumina consumption per ton of aluminium</t>
  </si>
  <si>
    <t>Добыча глинозема в РТ, тыс. тонн.</t>
  </si>
  <si>
    <t>Производства хлопка</t>
  </si>
  <si>
    <t>Cotton production</t>
  </si>
  <si>
    <t>Урожай хлопка, тыс. тонн</t>
  </si>
  <si>
    <r>
      <t>gIND</t>
    </r>
    <r>
      <rPr>
        <i/>
        <vertAlign val="subscript"/>
        <sz val="10"/>
        <color indexed="9"/>
        <rFont val="Calibri"/>
        <family val="2"/>
        <charset val="204"/>
      </rPr>
      <t>C13,t</t>
    </r>
  </si>
  <si>
    <t>Темп роста добычи драгметаллов</t>
  </si>
  <si>
    <t>Домохозяйства</t>
  </si>
  <si>
    <t>Household</t>
  </si>
  <si>
    <r>
      <t>Tr</t>
    </r>
    <r>
      <rPr>
        <i/>
        <vertAlign val="superscript"/>
        <sz val="10"/>
        <color indexed="8"/>
        <rFont val="Calibri"/>
        <family val="2"/>
        <charset val="204"/>
      </rPr>
      <t>NAT</t>
    </r>
    <r>
      <rPr>
        <i/>
        <vertAlign val="subscript"/>
        <sz val="10"/>
        <color indexed="8"/>
        <rFont val="Calibri"/>
        <family val="2"/>
        <charset val="204"/>
      </rPr>
      <t>G,t</t>
    </r>
  </si>
  <si>
    <t>Социальные трансферты в натуральной форме, млн. сомони</t>
  </si>
  <si>
    <t xml:space="preserve"> Social transferts in natural form, mil. TJS</t>
  </si>
  <si>
    <r>
      <t>W</t>
    </r>
    <r>
      <rPr>
        <i/>
        <vertAlign val="subscript"/>
        <sz val="10"/>
        <color indexed="8"/>
        <rFont val="Calibri"/>
        <family val="2"/>
        <charset val="204"/>
      </rPr>
      <t>G,t</t>
    </r>
  </si>
  <si>
    <t>Зарплата в секторе "Государство и НКО", млн. сомони</t>
  </si>
  <si>
    <t>Wage in "Government and non-commercial organization" sector, mln. TJS</t>
  </si>
  <si>
    <r>
      <t>mpc</t>
    </r>
    <r>
      <rPr>
        <i/>
        <vertAlign val="subscript"/>
        <sz val="10"/>
        <color indexed="8"/>
        <rFont val="Calibri"/>
        <family val="2"/>
        <charset val="204"/>
      </rPr>
      <t>C</t>
    </r>
    <r>
      <rPr>
        <i/>
        <vertAlign val="superscript"/>
        <sz val="10"/>
        <color indexed="8"/>
        <rFont val="Calibri"/>
        <family val="2"/>
        <charset val="204"/>
      </rPr>
      <t>DI</t>
    </r>
    <r>
      <rPr>
        <i/>
        <vertAlign val="subscript"/>
        <sz val="10"/>
        <color indexed="8"/>
        <rFont val="Calibri"/>
        <family val="2"/>
        <charset val="204"/>
      </rPr>
      <t>t</t>
    </r>
  </si>
  <si>
    <t xml:space="preserve">    - склонность к потреблению (полному доходу)</t>
  </si>
  <si>
    <t xml:space="preserve">       mpc to total income</t>
  </si>
  <si>
    <t>Сельское хозяйство</t>
  </si>
  <si>
    <t>Agriculture</t>
  </si>
  <si>
    <r>
      <t>gVA</t>
    </r>
    <r>
      <rPr>
        <i/>
        <vertAlign val="subscript"/>
        <sz val="10"/>
        <color indexed="8"/>
        <rFont val="Calibri"/>
        <family val="2"/>
        <charset val="204"/>
      </rPr>
      <t>AB,t</t>
    </r>
  </si>
  <si>
    <t>Темп роста сельское хозяйства и рыболовства, %</t>
  </si>
  <si>
    <t>Agriculture, real growth, %</t>
  </si>
  <si>
    <r>
      <t>defVA</t>
    </r>
    <r>
      <rPr>
        <vertAlign val="subscript"/>
        <sz val="10"/>
        <color indexed="8"/>
        <rFont val="Calibri"/>
        <family val="2"/>
        <charset val="204"/>
      </rPr>
      <t>AB,t</t>
    </r>
  </si>
  <si>
    <t>Дефлятор сельское хозяйства и рыболовства, %</t>
  </si>
  <si>
    <t>Agriculture, deflator, %</t>
  </si>
  <si>
    <r>
      <t>qEX</t>
    </r>
    <r>
      <rPr>
        <vertAlign val="subscript"/>
        <sz val="10"/>
        <color indexed="8"/>
        <rFont val="Calibri"/>
        <family val="2"/>
        <charset val="204"/>
      </rPr>
      <t>FV,t</t>
    </r>
  </si>
  <si>
    <t xml:space="preserve">    Экспорт Фрукты и овощи, тонн</t>
  </si>
  <si>
    <t xml:space="preserve">    Export Fruit and vegetables, tn</t>
  </si>
  <si>
    <t>ВВП по производству</t>
  </si>
  <si>
    <t>GDP by production</t>
  </si>
  <si>
    <r>
      <t>gVA</t>
    </r>
    <r>
      <rPr>
        <i/>
        <vertAlign val="subscript"/>
        <sz val="10"/>
        <color indexed="8"/>
        <rFont val="Calibri"/>
        <family val="2"/>
        <charset val="204"/>
      </rPr>
      <t>Other,t</t>
    </r>
  </si>
  <si>
    <t>ВДС прочих отраслей (J-0), growth, %</t>
  </si>
  <si>
    <t>Value Added growth of J-O activities, growth, %</t>
  </si>
  <si>
    <t>CPI</t>
  </si>
  <si>
    <r>
      <t>dCPI</t>
    </r>
    <r>
      <rPr>
        <i/>
        <vertAlign val="superscript"/>
        <sz val="10"/>
        <color indexed="8"/>
        <rFont val="Calibri"/>
        <family val="2"/>
        <charset val="204"/>
      </rPr>
      <t>AV</t>
    </r>
    <r>
      <rPr>
        <i/>
        <vertAlign val="subscript"/>
        <sz val="10"/>
        <color indexed="8"/>
        <rFont val="Calibri"/>
        <family val="2"/>
        <charset val="204"/>
      </rPr>
      <t>Services,t</t>
    </r>
  </si>
  <si>
    <t>Services, %</t>
  </si>
  <si>
    <t>платные услуги, %</t>
  </si>
  <si>
    <r>
      <t>POP</t>
    </r>
    <r>
      <rPr>
        <i/>
        <vertAlign val="subscript"/>
        <sz val="10"/>
        <color indexed="8"/>
        <rFont val="Calibri"/>
        <family val="2"/>
        <charset val="204"/>
      </rPr>
      <t>t</t>
    </r>
  </si>
  <si>
    <t>Население (млн.)</t>
  </si>
  <si>
    <t>Population (million)</t>
  </si>
  <si>
    <t>Госбюджет</t>
  </si>
  <si>
    <r>
      <t>sInv</t>
    </r>
    <r>
      <rPr>
        <vertAlign val="superscript"/>
        <sz val="10"/>
        <color indexed="8"/>
        <rFont val="Calibri"/>
        <family val="2"/>
        <charset val="204"/>
      </rPr>
      <t>G</t>
    </r>
    <r>
      <rPr>
        <vertAlign val="subscript"/>
        <sz val="10"/>
        <color indexed="8"/>
        <rFont val="Calibri"/>
        <family val="2"/>
        <charset val="204"/>
      </rPr>
      <t>t</t>
    </r>
  </si>
  <si>
    <t>Доля гос. инвестиций в доходах бюджета, %</t>
  </si>
  <si>
    <t>Government investments to total revenue (invetment survey), %</t>
  </si>
  <si>
    <t>Реальные темпы роста добыча энергетических материалов</t>
  </si>
  <si>
    <t xml:space="preserve"> </t>
  </si>
  <si>
    <t>Курс доллара</t>
  </si>
  <si>
    <t xml:space="preserve">Розничная и оптовая торговля </t>
  </si>
  <si>
    <t xml:space="preserve">Оптовая торговля </t>
  </si>
  <si>
    <t>Розничная торговля, млн. сомони</t>
  </si>
  <si>
    <t>2003=100%</t>
  </si>
  <si>
    <t>Платные услуги, млн. сомони</t>
  </si>
  <si>
    <t>Платные услуги населения, млн. сомони</t>
  </si>
  <si>
    <t>в ценах 2009</t>
  </si>
  <si>
    <t>Домашние хозяйства</t>
  </si>
  <si>
    <t>Выпуск</t>
  </si>
  <si>
    <t>Промежуточное потребление</t>
  </si>
  <si>
    <t xml:space="preserve">Чистые налоги </t>
  </si>
  <si>
    <t>Валовая добавленная стоимость</t>
  </si>
  <si>
    <t>Чистые налоги на производство и импорт</t>
  </si>
  <si>
    <t>Валовая прибыль (валовая смешенный доход)</t>
  </si>
  <si>
    <t xml:space="preserve">    - без чистых налогов</t>
  </si>
  <si>
    <t>Заработная плата и транферты из-за рубежа, в том числе:</t>
  </si>
  <si>
    <t>Государство и НКО</t>
  </si>
  <si>
    <t>Нефинансовые и финансовые предприятия</t>
  </si>
  <si>
    <t>Из зарубежа</t>
  </si>
  <si>
    <t>Итого: зарплата и прибыль</t>
  </si>
  <si>
    <t>Доходы от собственности</t>
  </si>
  <si>
    <t>Текущие трансферты</t>
  </si>
  <si>
    <t>Социальные трансферты в натуральной форме</t>
  </si>
  <si>
    <t>ИТОГО ДОХОДЫ</t>
  </si>
  <si>
    <t>Налоги</t>
  </si>
  <si>
    <t>Располагаемые доходы (вкл. субсидии)</t>
  </si>
  <si>
    <t>Располагаемые доходы денежные</t>
  </si>
  <si>
    <t>Фактическое конечное потребление</t>
  </si>
  <si>
    <t>Расходы на конечное потребление</t>
  </si>
  <si>
    <t xml:space="preserve">  - в том числе рыночные</t>
  </si>
  <si>
    <t>Склонность к потреблению розничной торговли</t>
  </si>
  <si>
    <t>Склонность к потреблению платных услуг</t>
  </si>
  <si>
    <t xml:space="preserve">    - склонность к потреблению (без прибыли)</t>
  </si>
  <si>
    <t xml:space="preserve">    - склонность к потреблению (без прибыли и соцтранфертов)</t>
  </si>
  <si>
    <t>Валовое сбережение</t>
  </si>
  <si>
    <t>Валовое накопленое основного капитала</t>
  </si>
  <si>
    <t>Чистое кредитование и статистическое расхождение</t>
  </si>
  <si>
    <t>Распологаемые доходы, реальные, %</t>
  </si>
  <si>
    <r>
      <t>EX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t</t>
    </r>
  </si>
  <si>
    <t>Экспорт ТОВАРОВ И УСЛУГ (млн. долл.)</t>
  </si>
  <si>
    <r>
      <t>EX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Serv,t</t>
    </r>
  </si>
  <si>
    <t>Экспорт услуг, млн.долл.</t>
  </si>
  <si>
    <r>
      <t>EX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Goods,t</t>
    </r>
  </si>
  <si>
    <t>Экспорт товаров ФОБ, млн.долл.</t>
  </si>
  <si>
    <t xml:space="preserve">    Алюминий первичный</t>
  </si>
  <si>
    <t xml:space="preserve">    Готовые изделия из алюминия, включая отходы</t>
  </si>
  <si>
    <t xml:space="preserve">    Хлопок-волокно</t>
  </si>
  <si>
    <r>
      <t>EX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FV,t</t>
    </r>
  </si>
  <si>
    <t xml:space="preserve">    Фрукты и овощи</t>
  </si>
  <si>
    <t xml:space="preserve">    Электричество</t>
  </si>
  <si>
    <r>
      <t>EX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oG,t</t>
    </r>
  </si>
  <si>
    <t xml:space="preserve">    Прочие товары (вкл. неорг.торг.)</t>
  </si>
  <si>
    <t>Экспорт товаров в физическом выражении</t>
  </si>
  <si>
    <t xml:space="preserve">    Алюминий первичный, тонн</t>
  </si>
  <si>
    <r>
      <t>qEX</t>
    </r>
    <r>
      <rPr>
        <i/>
        <vertAlign val="subscript"/>
        <sz val="10"/>
        <color indexed="8"/>
        <rFont val="Calibri"/>
        <family val="2"/>
        <charset val="204"/>
      </rPr>
      <t>Cot,t</t>
    </r>
  </si>
  <si>
    <t xml:space="preserve">    Хлопок-волокно, тонн</t>
  </si>
  <si>
    <r>
      <t>qEX</t>
    </r>
    <r>
      <rPr>
        <i/>
        <vertAlign val="subscript"/>
        <sz val="10"/>
        <color indexed="8"/>
        <rFont val="Calibri"/>
        <family val="2"/>
        <charset val="204"/>
      </rPr>
      <t>FV,t</t>
    </r>
  </si>
  <si>
    <t xml:space="preserve">    Фрукты и овощи, тонн</t>
  </si>
  <si>
    <t xml:space="preserve">    Электричество, млн. кВт-часов</t>
  </si>
  <si>
    <r>
      <t>idxqEX</t>
    </r>
    <r>
      <rPr>
        <i/>
        <vertAlign val="superscript"/>
        <sz val="10"/>
        <color indexed="8"/>
        <rFont val="Calibri"/>
        <family val="2"/>
        <charset val="204"/>
      </rPr>
      <t>2003</t>
    </r>
    <r>
      <rPr>
        <i/>
        <vertAlign val="subscript"/>
        <sz val="10"/>
        <color indexed="8"/>
        <rFont val="Calibri"/>
        <family val="2"/>
        <charset val="204"/>
      </rPr>
      <t>oG,t</t>
    </r>
  </si>
  <si>
    <t xml:space="preserve">    Имплицитный индекс объемов прочего экспорта товаров и услуг, 2003=100</t>
  </si>
  <si>
    <t>Экспортные цены на товары</t>
  </si>
  <si>
    <t xml:space="preserve">    Алюминий первичный, USD/тонн</t>
  </si>
  <si>
    <r>
      <t>pEX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Cot,t</t>
    </r>
  </si>
  <si>
    <t xml:space="preserve">    Хлопок-волокно, USD/тонн</t>
  </si>
  <si>
    <r>
      <t>pEX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FV,t</t>
    </r>
  </si>
  <si>
    <t xml:space="preserve">    Фрукты и овощи, USD/тонн</t>
  </si>
  <si>
    <r>
      <t>idxdefEX</t>
    </r>
    <r>
      <rPr>
        <i/>
        <vertAlign val="superscript"/>
        <sz val="10"/>
        <color indexed="8"/>
        <rFont val="Calibri"/>
        <family val="2"/>
        <charset val="204"/>
      </rPr>
      <t>US,2003</t>
    </r>
    <r>
      <rPr>
        <i/>
        <vertAlign val="subscript"/>
        <sz val="10"/>
        <color indexed="8"/>
        <rFont val="Calibri"/>
        <family val="2"/>
        <charset val="204"/>
      </rPr>
      <t>oG,t</t>
    </r>
  </si>
  <si>
    <t xml:space="preserve">    Имплицитный индекс цен экспорта прочих товаров и услуг, 2000=100</t>
  </si>
  <si>
    <t>Справочно:</t>
  </si>
  <si>
    <r>
      <t>gEX</t>
    </r>
    <r>
      <rPr>
        <i/>
        <vertAlign val="subscript"/>
        <sz val="10"/>
        <color indexed="8"/>
        <rFont val="Calibri"/>
        <family val="2"/>
        <charset val="204"/>
      </rPr>
      <t>t</t>
    </r>
  </si>
  <si>
    <t>Темпы роста физобъема экспорта товаров и услуг, %</t>
  </si>
  <si>
    <r>
      <t>gEX</t>
    </r>
    <r>
      <rPr>
        <i/>
        <vertAlign val="subscript"/>
        <sz val="10"/>
        <color indexed="8"/>
        <rFont val="Calibri"/>
        <family val="2"/>
        <charset val="204"/>
      </rPr>
      <t>Goods,t</t>
    </r>
  </si>
  <si>
    <t>Темпы роста физобъема товаров, %</t>
  </si>
  <si>
    <r>
      <t>defEX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t</t>
    </r>
  </si>
  <si>
    <t>Дефлятор экспорта товаров и услуг, %</t>
  </si>
  <si>
    <r>
      <t>defEX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Goods,t</t>
    </r>
  </si>
  <si>
    <t>Дефлятор экспорта товаров, %</t>
  </si>
  <si>
    <r>
      <t>IM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t</t>
    </r>
  </si>
  <si>
    <t>Импорт ТОВАРОВ И УСЛУГ (млн. долл.)</t>
  </si>
  <si>
    <r>
      <t>IM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Serv,t</t>
    </r>
  </si>
  <si>
    <t>Импорт услуг, млн.долл.</t>
  </si>
  <si>
    <r>
      <t>IM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Goods,t</t>
    </r>
  </si>
  <si>
    <t>Импорт товаов ФОБ, млн.долл.</t>
  </si>
  <si>
    <r>
      <t>IM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Wh,t</t>
    </r>
  </si>
  <si>
    <t xml:space="preserve">    Пшеница</t>
  </si>
  <si>
    <r>
      <t>IM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Oil,t</t>
    </r>
  </si>
  <si>
    <t xml:space="preserve">    Нефтепродукты (c учетом бензина)</t>
  </si>
  <si>
    <t xml:space="preserve">    Бензин</t>
  </si>
  <si>
    <r>
      <t>IM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</si>
  <si>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t xml:space="preserve">    Электроэнергия</t>
  </si>
  <si>
    <r>
      <t>IM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Gas,t</t>
    </r>
  </si>
  <si>
    <t xml:space="preserve">    Природный газ</t>
  </si>
  <si>
    <t xml:space="preserve">    Глинозем</t>
  </si>
  <si>
    <r>
      <t>IM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Fl,t</t>
    </r>
  </si>
  <si>
    <t xml:space="preserve">    МУКА</t>
  </si>
  <si>
    <r>
      <t>IM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oG,t</t>
    </r>
  </si>
  <si>
    <t xml:space="preserve">    Прочие товары (вкл. неорг.торг. и переоц. СИФ-ФОБ)</t>
  </si>
  <si>
    <t>Сжиженный газ</t>
  </si>
  <si>
    <t>Дизтопливо</t>
  </si>
  <si>
    <t>Керосин</t>
  </si>
  <si>
    <t>Импорт товаров в физическом выражении</t>
  </si>
  <si>
    <r>
      <t>qIM</t>
    </r>
    <r>
      <rPr>
        <i/>
        <vertAlign val="subscript"/>
        <sz val="10"/>
        <color indexed="8"/>
        <rFont val="Calibri"/>
        <family val="2"/>
        <charset val="204"/>
      </rPr>
      <t>Wh,t</t>
    </r>
  </si>
  <si>
    <t xml:space="preserve">    Пшеница, т</t>
  </si>
  <si>
    <r>
      <t>qIM</t>
    </r>
    <r>
      <rPr>
        <i/>
        <vertAlign val="subscript"/>
        <sz val="10"/>
        <color indexed="8"/>
        <rFont val="Calibri"/>
        <family val="2"/>
        <charset val="204"/>
      </rPr>
      <t>Oil,t</t>
    </r>
  </si>
  <si>
    <t xml:space="preserve">    Нефтепродукты (c учетом бензина), т</t>
  </si>
  <si>
    <t xml:space="preserve">    Бензин, т</t>
  </si>
  <si>
    <t xml:space="preserve">    Электроэнергия, млн кВт/часов</t>
  </si>
  <si>
    <r>
      <t>qIM</t>
    </r>
    <r>
      <rPr>
        <i/>
        <vertAlign val="subscript"/>
        <sz val="10"/>
        <color indexed="8"/>
        <rFont val="Calibri"/>
        <family val="2"/>
        <charset val="204"/>
      </rPr>
      <t>Gas,t</t>
    </r>
  </si>
  <si>
    <t xml:space="preserve">    Природный газ, млн.куб.м</t>
  </si>
  <si>
    <t xml:space="preserve">    Глинозем, т</t>
  </si>
  <si>
    <r>
      <t>qIM</t>
    </r>
    <r>
      <rPr>
        <i/>
        <vertAlign val="subscript"/>
        <sz val="10"/>
        <color indexed="8"/>
        <rFont val="Calibri"/>
        <family val="2"/>
        <charset val="204"/>
      </rPr>
      <t>Fl,t</t>
    </r>
  </si>
  <si>
    <t xml:space="preserve">    МУКА, т</t>
  </si>
  <si>
    <r>
      <t>idxqIM</t>
    </r>
    <r>
      <rPr>
        <i/>
        <vertAlign val="superscript"/>
        <sz val="10"/>
        <color indexed="8"/>
        <rFont val="Calibri"/>
        <family val="2"/>
        <charset val="204"/>
      </rPr>
      <t>2003</t>
    </r>
    <r>
      <rPr>
        <i/>
        <vertAlign val="subscript"/>
        <sz val="10"/>
        <color indexed="8"/>
        <rFont val="Calibri"/>
        <family val="2"/>
        <charset val="204"/>
      </rPr>
      <t>oG,t</t>
    </r>
  </si>
  <si>
    <t xml:space="preserve">    Имплицитный индекс объемов прочего импорта товаров и услуг, 2003=100</t>
  </si>
  <si>
    <t>Цены на импортные товары</t>
  </si>
  <si>
    <r>
      <t>pIM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Wh,t</t>
    </r>
  </si>
  <si>
    <t xml:space="preserve">    Пшеница, долл./т</t>
  </si>
  <si>
    <r>
      <t>pIM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Oil,t</t>
    </r>
  </si>
  <si>
    <t xml:space="preserve">    Нефтепродукты (c УЧЕТОМ бензина), долл./т</t>
  </si>
  <si>
    <t xml:space="preserve">    Бензин, долл./т</t>
  </si>
  <si>
    <r>
      <t>pIM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El,t</t>
    </r>
  </si>
  <si>
    <t xml:space="preserve">    Электроэнергия, долл./КВт-час</t>
  </si>
  <si>
    <r>
      <t>pIM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Gas,t</t>
    </r>
  </si>
  <si>
    <t xml:space="preserve">    Природный газ, долл./тыс.куб.м</t>
  </si>
  <si>
    <t xml:space="preserve">    Глинозем, долл./т</t>
  </si>
  <si>
    <r>
      <t>pIM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Fl,t</t>
    </r>
  </si>
  <si>
    <t xml:space="preserve">    МУКА, долл./т</t>
  </si>
  <si>
    <r>
      <t>idxdefIM</t>
    </r>
    <r>
      <rPr>
        <i/>
        <vertAlign val="superscript"/>
        <sz val="10"/>
        <color indexed="8"/>
        <rFont val="Calibri"/>
        <family val="2"/>
        <charset val="204"/>
      </rPr>
      <t>US,2003</t>
    </r>
    <r>
      <rPr>
        <i/>
        <vertAlign val="subscript"/>
        <sz val="10"/>
        <color indexed="8"/>
        <rFont val="Calibri"/>
        <family val="2"/>
        <charset val="204"/>
      </rPr>
      <t>oG,t</t>
    </r>
  </si>
  <si>
    <t xml:space="preserve">    Имплицитный индекс цен импорта прочих товаров и услуг, 2000=100</t>
  </si>
  <si>
    <r>
      <t>gIM</t>
    </r>
    <r>
      <rPr>
        <i/>
        <vertAlign val="subscript"/>
        <sz val="10"/>
        <color indexed="8"/>
        <rFont val="Calibri"/>
        <family val="2"/>
        <charset val="204"/>
      </rPr>
      <t>t</t>
    </r>
  </si>
  <si>
    <t>Темпы роста физобъема импорта товаров и услуг, %</t>
  </si>
  <si>
    <r>
      <t>gIM</t>
    </r>
    <r>
      <rPr>
        <i/>
        <vertAlign val="subscript"/>
        <sz val="10"/>
        <color indexed="8"/>
        <rFont val="Calibri"/>
        <family val="2"/>
        <charset val="204"/>
      </rPr>
      <t>Goods,t</t>
    </r>
  </si>
  <si>
    <r>
      <t>defIM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t</t>
    </r>
  </si>
  <si>
    <t>Цены импорта товаров и услуг, %</t>
  </si>
  <si>
    <r>
      <t>defIM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Goods,t</t>
    </r>
  </si>
  <si>
    <t>Цены импорта товаров, %</t>
  </si>
  <si>
    <t>Цены</t>
  </si>
  <si>
    <r>
      <t>dCPI</t>
    </r>
    <r>
      <rPr>
        <i/>
        <vertAlign val="superscript"/>
        <sz val="11"/>
        <color indexed="8"/>
        <rFont val="Calibri"/>
        <family val="2"/>
        <charset val="204"/>
      </rPr>
      <t>AV</t>
    </r>
    <r>
      <rPr>
        <i/>
        <vertAlign val="subscript"/>
        <sz val="11"/>
        <color indexed="8"/>
        <rFont val="Calibri"/>
        <family val="2"/>
      </rPr>
      <t>t</t>
    </r>
  </si>
  <si>
    <t>Инфляция, в т.ч., факт - сргод</t>
  </si>
  <si>
    <r>
      <t>dCPI</t>
    </r>
    <r>
      <rPr>
        <i/>
        <vertAlign val="superscript"/>
        <sz val="11"/>
        <color indexed="8"/>
        <rFont val="Calibri"/>
        <family val="2"/>
        <charset val="204"/>
      </rPr>
      <t>AV</t>
    </r>
    <r>
      <rPr>
        <i/>
        <vertAlign val="subscript"/>
        <sz val="11"/>
        <color indexed="8"/>
        <rFont val="Calibri"/>
        <family val="2"/>
      </rPr>
      <t>Goods,t</t>
    </r>
  </si>
  <si>
    <t xml:space="preserve">  все товары, в том числе:</t>
  </si>
  <si>
    <r>
      <t>dCPI</t>
    </r>
    <r>
      <rPr>
        <i/>
        <vertAlign val="superscript"/>
        <sz val="11"/>
        <color indexed="8"/>
        <rFont val="Calibri"/>
        <family val="2"/>
        <charset val="204"/>
      </rPr>
      <t>AV</t>
    </r>
    <r>
      <rPr>
        <i/>
        <vertAlign val="subscript"/>
        <sz val="11"/>
        <color indexed="8"/>
        <rFont val="Calibri"/>
        <family val="2"/>
      </rPr>
      <t>Food,t</t>
    </r>
  </si>
  <si>
    <t>продовольсвтенные товары</t>
  </si>
  <si>
    <r>
      <t>dCPI</t>
    </r>
    <r>
      <rPr>
        <i/>
        <vertAlign val="superscript"/>
        <sz val="11"/>
        <color indexed="8"/>
        <rFont val="Calibri"/>
        <family val="2"/>
        <charset val="204"/>
      </rPr>
      <t>AV</t>
    </r>
    <r>
      <rPr>
        <i/>
        <vertAlign val="subscript"/>
        <sz val="11"/>
        <color indexed="8"/>
        <rFont val="Calibri"/>
        <family val="2"/>
      </rPr>
      <t>nonFood,t</t>
    </r>
  </si>
  <si>
    <t>непродовольственные товары</t>
  </si>
  <si>
    <r>
      <t>dCPI</t>
    </r>
    <r>
      <rPr>
        <i/>
        <vertAlign val="superscript"/>
        <sz val="11"/>
        <color indexed="8"/>
        <rFont val="Calibri"/>
        <family val="2"/>
        <charset val="204"/>
      </rPr>
      <t>AV</t>
    </r>
    <r>
      <rPr>
        <i/>
        <vertAlign val="subscript"/>
        <sz val="11"/>
        <color indexed="8"/>
        <rFont val="Calibri"/>
        <family val="2"/>
      </rPr>
      <t>Services,t</t>
    </r>
  </si>
  <si>
    <t>платные услуги</t>
  </si>
  <si>
    <r>
      <t>dCPI</t>
    </r>
    <r>
      <rPr>
        <i/>
        <vertAlign val="superscript"/>
        <sz val="11"/>
        <color indexed="8"/>
        <rFont val="Calibri"/>
        <family val="2"/>
        <charset val="204"/>
      </rPr>
      <t>AV</t>
    </r>
    <r>
      <rPr>
        <i/>
        <vertAlign val="subscript"/>
        <sz val="11"/>
        <color indexed="8"/>
        <rFont val="Calibri"/>
        <family val="2"/>
      </rPr>
      <t>Utli,t</t>
    </r>
  </si>
  <si>
    <t xml:space="preserve">     в т.ч. ЖКХ</t>
  </si>
  <si>
    <r>
      <t>dCPI</t>
    </r>
    <r>
      <rPr>
        <i/>
        <vertAlign val="superscript"/>
        <sz val="11"/>
        <color indexed="8"/>
        <rFont val="Calibri"/>
        <family val="2"/>
        <charset val="204"/>
      </rPr>
      <t>AV</t>
    </r>
    <r>
      <rPr>
        <i/>
        <vertAlign val="subscript"/>
        <sz val="11"/>
        <color indexed="8"/>
        <rFont val="Calibri"/>
        <family val="2"/>
      </rPr>
      <t>Foods w/o Agr ,t</t>
    </r>
  </si>
  <si>
    <t>Продовольствие без овощей и фруктов</t>
  </si>
  <si>
    <r>
      <t>dCPI</t>
    </r>
    <r>
      <rPr>
        <i/>
        <vertAlign val="superscript"/>
        <sz val="11"/>
        <color indexed="8"/>
        <rFont val="Calibri"/>
        <family val="2"/>
        <charset val="204"/>
      </rPr>
      <t>AV</t>
    </r>
    <r>
      <rPr>
        <i/>
        <vertAlign val="subscript"/>
        <sz val="11"/>
        <color indexed="8"/>
        <rFont val="Calibri"/>
        <family val="2"/>
      </rPr>
      <t>Agr ,t</t>
    </r>
  </si>
  <si>
    <t>Фрукты и овощи</t>
  </si>
  <si>
    <r>
      <t>dCPI</t>
    </r>
    <r>
      <rPr>
        <i/>
        <vertAlign val="superscript"/>
        <sz val="11"/>
        <color indexed="8"/>
        <rFont val="Calibri"/>
        <family val="2"/>
        <charset val="204"/>
      </rPr>
      <t>AV</t>
    </r>
    <r>
      <rPr>
        <i/>
        <vertAlign val="subscript"/>
        <sz val="11"/>
        <color indexed="8"/>
        <rFont val="Calibri"/>
        <family val="2"/>
      </rPr>
      <t>Gas ,t</t>
    </r>
  </si>
  <si>
    <t>Бензин</t>
  </si>
  <si>
    <r>
      <t>dCPI</t>
    </r>
    <r>
      <rPr>
        <i/>
        <vertAlign val="subscript"/>
        <sz val="11"/>
        <color indexed="8"/>
        <rFont val="Calibri"/>
        <family val="2"/>
      </rPr>
      <t>t</t>
    </r>
  </si>
  <si>
    <t>ИПЦ, в том числе: (дек/дек), факт</t>
  </si>
  <si>
    <r>
      <t>dCPI</t>
    </r>
    <r>
      <rPr>
        <i/>
        <vertAlign val="subscript"/>
        <sz val="11"/>
        <color indexed="8"/>
        <rFont val="Calibri"/>
        <family val="2"/>
      </rPr>
      <t>Goods,t</t>
    </r>
  </si>
  <si>
    <t>Все товары, в том числе:</t>
  </si>
  <si>
    <r>
      <t>dCPI</t>
    </r>
    <r>
      <rPr>
        <i/>
        <vertAlign val="subscript"/>
        <sz val="11"/>
        <color indexed="8"/>
        <rFont val="Calibri"/>
        <family val="2"/>
      </rPr>
      <t>Food,t</t>
    </r>
  </si>
  <si>
    <t xml:space="preserve">    продтовары, включая алкогольные напитки</t>
  </si>
  <si>
    <r>
      <t>dCPI</t>
    </r>
    <r>
      <rPr>
        <i/>
        <vertAlign val="subscript"/>
        <sz val="11"/>
        <color indexed="8"/>
        <rFont val="Calibri"/>
        <family val="2"/>
      </rPr>
      <t>nonFood,t</t>
    </r>
  </si>
  <si>
    <t xml:space="preserve">    непродовольственные товары</t>
  </si>
  <si>
    <r>
      <t>dCPI</t>
    </r>
    <r>
      <rPr>
        <i/>
        <vertAlign val="subscript"/>
        <sz val="11"/>
        <color indexed="8"/>
        <rFont val="Calibri"/>
        <family val="2"/>
      </rPr>
      <t>Services,t</t>
    </r>
  </si>
  <si>
    <t>Услуги</t>
  </si>
  <si>
    <t>нац. Банк</t>
  </si>
  <si>
    <t>ИПЦ, ср. годовой, расчетный</t>
  </si>
  <si>
    <t xml:space="preserve"> Все товары, в том числе:</t>
  </si>
  <si>
    <t xml:space="preserve"> Услуги</t>
  </si>
  <si>
    <t>Веса</t>
  </si>
  <si>
    <r>
      <t>w</t>
    </r>
    <r>
      <rPr>
        <i/>
        <vertAlign val="superscript"/>
        <sz val="11"/>
        <color indexed="8"/>
        <rFont val="Calibri"/>
        <family val="2"/>
        <charset val="204"/>
      </rPr>
      <t>CPI</t>
    </r>
    <r>
      <rPr>
        <i/>
        <vertAlign val="subscript"/>
        <sz val="11"/>
        <color indexed="8"/>
        <rFont val="Calibri"/>
        <family val="2"/>
      </rPr>
      <t>Food w/o Agr ,t</t>
    </r>
  </si>
  <si>
    <r>
      <t>w</t>
    </r>
    <r>
      <rPr>
        <i/>
        <vertAlign val="superscript"/>
        <sz val="11"/>
        <color indexed="8"/>
        <rFont val="Calibri"/>
        <family val="2"/>
        <charset val="204"/>
      </rPr>
      <t>CPI</t>
    </r>
    <r>
      <rPr>
        <i/>
        <vertAlign val="subscript"/>
        <sz val="11"/>
        <color indexed="8"/>
        <rFont val="Calibri"/>
        <family val="2"/>
      </rPr>
      <t>Agr ,t</t>
    </r>
  </si>
  <si>
    <r>
      <t>w</t>
    </r>
    <r>
      <rPr>
        <i/>
        <vertAlign val="superscript"/>
        <sz val="11"/>
        <color indexed="8"/>
        <rFont val="Calibri"/>
        <family val="2"/>
        <charset val="204"/>
      </rPr>
      <t>CPI</t>
    </r>
    <r>
      <rPr>
        <i/>
        <vertAlign val="subscript"/>
        <sz val="11"/>
        <color indexed="8"/>
        <rFont val="Calibri"/>
        <family val="2"/>
      </rPr>
      <t xml:space="preserve"> nonFood w/o gas, t</t>
    </r>
  </si>
  <si>
    <t>Непродовольственные товары</t>
  </si>
  <si>
    <r>
      <t>w</t>
    </r>
    <r>
      <rPr>
        <i/>
        <vertAlign val="superscript"/>
        <sz val="11"/>
        <color indexed="8"/>
        <rFont val="Calibri"/>
        <family val="2"/>
        <charset val="204"/>
      </rPr>
      <t>CPI</t>
    </r>
    <r>
      <rPr>
        <i/>
        <vertAlign val="subscript"/>
        <sz val="11"/>
        <color indexed="8"/>
        <rFont val="Calibri"/>
        <family val="2"/>
      </rPr>
      <t xml:space="preserve"> gas, t</t>
    </r>
  </si>
  <si>
    <r>
      <t>w</t>
    </r>
    <r>
      <rPr>
        <i/>
        <vertAlign val="superscript"/>
        <sz val="11"/>
        <color indexed="8"/>
        <rFont val="Calibri"/>
        <family val="2"/>
        <charset val="204"/>
      </rPr>
      <t>CPI</t>
    </r>
    <r>
      <rPr>
        <i/>
        <vertAlign val="subscript"/>
        <sz val="11"/>
        <color indexed="8"/>
        <rFont val="Calibri"/>
        <family val="2"/>
      </rPr>
      <t>Services, t</t>
    </r>
  </si>
  <si>
    <t>Услуги, в т.ч.</t>
  </si>
  <si>
    <r>
      <t>w</t>
    </r>
    <r>
      <rPr>
        <i/>
        <vertAlign val="superscript"/>
        <sz val="11"/>
        <color indexed="8"/>
        <rFont val="Calibri"/>
        <family val="2"/>
        <charset val="204"/>
      </rPr>
      <t>CPI</t>
    </r>
    <r>
      <rPr>
        <i/>
        <vertAlign val="subscript"/>
        <sz val="11"/>
        <color indexed="8"/>
        <rFont val="Calibri"/>
        <family val="2"/>
      </rPr>
      <t>Util, t</t>
    </r>
  </si>
  <si>
    <t xml:space="preserve">      ЖКХ</t>
  </si>
  <si>
    <r>
      <t>w</t>
    </r>
    <r>
      <rPr>
        <i/>
        <vertAlign val="superscript"/>
        <sz val="11"/>
        <color indexed="8"/>
        <rFont val="Calibri"/>
        <family val="2"/>
        <charset val="204"/>
      </rPr>
      <t>CPI</t>
    </r>
    <r>
      <rPr>
        <i/>
        <vertAlign val="subscript"/>
        <sz val="11"/>
        <color indexed="8"/>
        <rFont val="Calibri"/>
        <family val="2"/>
      </rPr>
      <t>Transport, t</t>
    </r>
  </si>
  <si>
    <t xml:space="preserve">      Транспорт</t>
  </si>
  <si>
    <t>ВВП в рыночных ценах, млн. сомони</t>
  </si>
  <si>
    <t>Реальный рост ВВП, %</t>
  </si>
  <si>
    <t>Дефлятор ВВП, %</t>
  </si>
  <si>
    <t>ВВП в рыночных ценах 2009 года</t>
  </si>
  <si>
    <t>ВВП на душу населения, долл. США</t>
  </si>
  <si>
    <t>ВВП на душу населения, в сомони</t>
  </si>
  <si>
    <t>Чистые косвенные налоги</t>
  </si>
  <si>
    <t>ВВП в основных ценах</t>
  </si>
  <si>
    <t xml:space="preserve">         Сельское хозяйство и рыболовство</t>
  </si>
  <si>
    <t xml:space="preserve">         Промышленность</t>
  </si>
  <si>
    <t xml:space="preserve">         Строительство</t>
  </si>
  <si>
    <t xml:space="preserve">         Прочие товары</t>
  </si>
  <si>
    <t xml:space="preserve">            Розничная и оптовая торговля</t>
  </si>
  <si>
    <t xml:space="preserve">            Транспорт и связь </t>
  </si>
  <si>
    <t xml:space="preserve">         Прочие услуги (остатком)</t>
  </si>
  <si>
    <t xml:space="preserve">    Товары</t>
  </si>
  <si>
    <t xml:space="preserve">    Услуги</t>
  </si>
  <si>
    <t>ВВП в рыночных ценах, %</t>
  </si>
  <si>
    <t>В постоянных ценах 2009 года, млн. сомони</t>
  </si>
  <si>
    <t>Дефляторы, %</t>
  </si>
  <si>
    <t>Товары</t>
  </si>
  <si>
    <t>структура ВВП</t>
  </si>
  <si>
    <t>ВВП по использованию</t>
  </si>
  <si>
    <t>Конечное потребление</t>
  </si>
  <si>
    <t xml:space="preserve">  - населения</t>
  </si>
  <si>
    <t xml:space="preserve">        - в т.ч. рыночный</t>
  </si>
  <si>
    <t xml:space="preserve">       - в т.ч.  натуральное</t>
  </si>
  <si>
    <t xml:space="preserve">  - государства</t>
  </si>
  <si>
    <t>организации, обслуживающие домашние хозяйства</t>
  </si>
  <si>
    <t xml:space="preserve">         - в т.ч. трансферты населению в натуральной форме</t>
  </si>
  <si>
    <t xml:space="preserve">Валовое накопление </t>
  </si>
  <si>
    <t xml:space="preserve">   - валовое накопление основного капитала</t>
  </si>
  <si>
    <t xml:space="preserve">   - изменение запасов</t>
  </si>
  <si>
    <t>Экспорт товаров и услуг</t>
  </si>
  <si>
    <t>(-) Импорт товаров и услуг</t>
  </si>
  <si>
    <t>чистый экспорт товаров и услуг</t>
  </si>
  <si>
    <t>статистическое расхождение</t>
  </si>
  <si>
    <t>ВВП по использованию, %</t>
  </si>
  <si>
    <t>Конечное потребление населения</t>
  </si>
  <si>
    <t>Конечное потребление государства</t>
  </si>
  <si>
    <t xml:space="preserve">Внутренний спрос </t>
  </si>
  <si>
    <t>ВВП по доходам (без трансфертов)</t>
  </si>
  <si>
    <t>Валовая прибыль и смешанные доходы</t>
  </si>
  <si>
    <t>Оплата труда наемных работников</t>
  </si>
  <si>
    <t xml:space="preserve">Заработной платы, полученной за границей и выплаченной нерезидентам </t>
  </si>
  <si>
    <t>Налоги на производства и импорт</t>
  </si>
  <si>
    <t>Субсидии на производство и импорт (-)</t>
  </si>
  <si>
    <t>Потребление домохозяйств / ВВП</t>
  </si>
  <si>
    <t>Потребление государства / ВВП</t>
  </si>
  <si>
    <t>Инвестиции в ОК / ВВП</t>
  </si>
  <si>
    <t>Транспорт</t>
  </si>
  <si>
    <r>
      <t>TRAN</t>
    </r>
    <r>
      <rPr>
        <i/>
        <vertAlign val="superscript"/>
        <sz val="10"/>
        <color indexed="8"/>
        <rFont val="Calibri"/>
        <family val="2"/>
        <charset val="204"/>
      </rPr>
      <t>C</t>
    </r>
    <r>
      <rPr>
        <i/>
        <vertAlign val="subscript"/>
        <sz val="10"/>
        <color indexed="8"/>
        <rFont val="Calibri"/>
        <family val="2"/>
      </rPr>
      <t>t</t>
    </r>
  </si>
  <si>
    <r>
      <t>PROXY</t>
    </r>
    <r>
      <rPr>
        <i/>
        <vertAlign val="superscript"/>
        <sz val="10"/>
        <color indexed="8"/>
        <rFont val="Calibri"/>
        <family val="2"/>
        <charset val="204"/>
      </rPr>
      <t>TRAN</t>
    </r>
    <r>
      <rPr>
        <i/>
        <vertAlign val="subscript"/>
        <sz val="10"/>
        <color indexed="8"/>
        <rFont val="Calibri"/>
        <family val="2"/>
        <charset val="204"/>
      </rPr>
      <t>IND,t</t>
    </r>
  </si>
  <si>
    <t>Промышленное производство, превозимое автотранспортом</t>
  </si>
  <si>
    <r>
      <t>TRAN</t>
    </r>
    <r>
      <rPr>
        <i/>
        <vertAlign val="superscript"/>
        <sz val="10"/>
        <color indexed="8"/>
        <rFont val="Calibri"/>
        <family val="2"/>
        <charset val="204"/>
      </rPr>
      <t>C</t>
    </r>
    <r>
      <rPr>
        <i/>
        <vertAlign val="subscript"/>
        <sz val="10"/>
        <color indexed="8"/>
        <rFont val="Calibri"/>
        <family val="2"/>
      </rPr>
      <t>M, t</t>
    </r>
  </si>
  <si>
    <t xml:space="preserve"> - в т.ч. авто</t>
  </si>
  <si>
    <r>
      <t>TRAN</t>
    </r>
    <r>
      <rPr>
        <i/>
        <vertAlign val="superscript"/>
        <sz val="10"/>
        <color indexed="8"/>
        <rFont val="Calibri"/>
        <family val="2"/>
        <charset val="204"/>
      </rPr>
      <t>C</t>
    </r>
    <r>
      <rPr>
        <i/>
        <vertAlign val="subscript"/>
        <sz val="10"/>
        <color indexed="8"/>
        <rFont val="Calibri"/>
        <family val="2"/>
      </rPr>
      <t>Other, t</t>
    </r>
  </si>
  <si>
    <t xml:space="preserve"> - прочее</t>
  </si>
  <si>
    <r>
      <t>gTRAN</t>
    </r>
    <r>
      <rPr>
        <i/>
        <vertAlign val="superscript"/>
        <sz val="10"/>
        <color indexed="8"/>
        <rFont val="Calibri"/>
        <family val="2"/>
        <charset val="204"/>
      </rPr>
      <t>C</t>
    </r>
    <r>
      <rPr>
        <i/>
        <vertAlign val="subscript"/>
        <sz val="10"/>
        <color indexed="8"/>
        <rFont val="Calibri"/>
        <family val="2"/>
      </rPr>
      <t>, t</t>
    </r>
  </si>
  <si>
    <t xml:space="preserve"> - темпы роста</t>
  </si>
  <si>
    <r>
      <t>TRAN</t>
    </r>
    <r>
      <rPr>
        <i/>
        <vertAlign val="superscript"/>
        <sz val="10"/>
        <color indexed="8"/>
        <rFont val="Calibri"/>
        <family val="2"/>
        <charset val="204"/>
      </rPr>
      <t>P</t>
    </r>
    <r>
      <rPr>
        <i/>
        <vertAlign val="subscript"/>
        <sz val="10"/>
        <color indexed="8"/>
        <rFont val="Calibri"/>
        <family val="2"/>
      </rPr>
      <t>t</t>
    </r>
  </si>
  <si>
    <t>Перевозка пассажиров</t>
  </si>
  <si>
    <r>
      <t>TRAN</t>
    </r>
    <r>
      <rPr>
        <i/>
        <vertAlign val="superscript"/>
        <sz val="10"/>
        <color indexed="8"/>
        <rFont val="Calibri"/>
        <family val="2"/>
        <charset val="204"/>
      </rPr>
      <t>P</t>
    </r>
    <r>
      <rPr>
        <i/>
        <vertAlign val="subscript"/>
        <sz val="10"/>
        <color indexed="8"/>
        <rFont val="Calibri"/>
        <family val="2"/>
      </rPr>
      <t>M, t</t>
    </r>
  </si>
  <si>
    <r>
      <t>TRAN</t>
    </r>
    <r>
      <rPr>
        <i/>
        <vertAlign val="superscript"/>
        <sz val="10"/>
        <color indexed="8"/>
        <rFont val="Calibri"/>
        <family val="2"/>
        <charset val="204"/>
      </rPr>
      <t>P</t>
    </r>
    <r>
      <rPr>
        <i/>
        <vertAlign val="subscript"/>
        <sz val="10"/>
        <color indexed="8"/>
        <rFont val="Calibri"/>
        <family val="2"/>
      </rPr>
      <t>Other, t</t>
    </r>
  </si>
  <si>
    <r>
      <t>gTRAN</t>
    </r>
    <r>
      <rPr>
        <i/>
        <vertAlign val="superscript"/>
        <sz val="10"/>
        <color indexed="8"/>
        <rFont val="Calibri"/>
        <family val="2"/>
        <charset val="204"/>
      </rPr>
      <t>P</t>
    </r>
    <r>
      <rPr>
        <i/>
        <vertAlign val="subscript"/>
        <sz val="10"/>
        <color indexed="8"/>
        <rFont val="Calibri"/>
        <family val="2"/>
      </rPr>
      <t>t</t>
    </r>
  </si>
  <si>
    <r>
      <t>INV</t>
    </r>
    <r>
      <rPr>
        <i/>
        <vertAlign val="subscript"/>
        <sz val="10"/>
        <color indexed="8"/>
        <rFont val="Calibri"/>
        <family val="2"/>
      </rPr>
      <t>t</t>
    </r>
  </si>
  <si>
    <t>Инвестиции в ОК</t>
  </si>
  <si>
    <t>за счет бюджета</t>
  </si>
  <si>
    <t>в. том числе  цент.кап.влож.</t>
  </si>
  <si>
    <t>частные</t>
  </si>
  <si>
    <t>совместные</t>
  </si>
  <si>
    <t>иностранные инвестиции</t>
  </si>
  <si>
    <r>
      <t>CONSTR</t>
    </r>
    <r>
      <rPr>
        <i/>
        <vertAlign val="subscript"/>
        <sz val="10"/>
        <color indexed="8"/>
        <rFont val="Calibri"/>
        <family val="2"/>
      </rPr>
      <t>t</t>
    </r>
  </si>
  <si>
    <t>Строительство</t>
  </si>
  <si>
    <r>
      <t>defCONSTR</t>
    </r>
    <r>
      <rPr>
        <i/>
        <vertAlign val="subscript"/>
        <sz val="10"/>
        <color indexed="8"/>
        <rFont val="Calibri"/>
        <family val="2"/>
      </rPr>
      <t>t</t>
    </r>
  </si>
  <si>
    <t xml:space="preserve">    - дефлятор</t>
  </si>
  <si>
    <r>
      <t>gCONSTR</t>
    </r>
    <r>
      <rPr>
        <i/>
        <vertAlign val="subscript"/>
        <sz val="10"/>
        <color indexed="8"/>
        <rFont val="Calibri"/>
        <family val="2"/>
      </rPr>
      <t>t</t>
    </r>
  </si>
  <si>
    <t xml:space="preserve">    - темпы роста</t>
  </si>
  <si>
    <t>соотношение строительство/инвестиции в ОК</t>
  </si>
  <si>
    <r>
      <t>GDP</t>
    </r>
    <r>
      <rPr>
        <i/>
        <vertAlign val="subscript"/>
        <sz val="10"/>
        <color indexed="8"/>
        <rFont val="Calibri"/>
        <family val="2"/>
      </rPr>
      <t>mp,t</t>
    </r>
  </si>
  <si>
    <r>
      <t>gGDP</t>
    </r>
    <r>
      <rPr>
        <i/>
        <vertAlign val="subscript"/>
        <sz val="10"/>
        <color indexed="8"/>
        <rFont val="Calibri"/>
        <family val="2"/>
      </rPr>
      <t>t</t>
    </r>
  </si>
  <si>
    <r>
      <t>defGDP</t>
    </r>
    <r>
      <rPr>
        <i/>
        <vertAlign val="subscript"/>
        <sz val="10"/>
        <color indexed="8"/>
        <rFont val="Calibri"/>
        <family val="2"/>
      </rPr>
      <t>t</t>
    </r>
  </si>
  <si>
    <r>
      <t>GDP</t>
    </r>
    <r>
      <rPr>
        <i/>
        <vertAlign val="superscript"/>
        <sz val="10"/>
        <color indexed="8"/>
        <rFont val="Calibri"/>
        <family val="2"/>
      </rPr>
      <t>2009</t>
    </r>
    <r>
      <rPr>
        <i/>
        <vertAlign val="subscript"/>
        <sz val="10"/>
        <color indexed="8"/>
        <rFont val="Calibri"/>
        <family val="2"/>
      </rPr>
      <t>mp,t</t>
    </r>
  </si>
  <si>
    <r>
      <t>GDPPC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,t</t>
    </r>
  </si>
  <si>
    <r>
      <t>GDP</t>
    </r>
    <r>
      <rPr>
        <vertAlign val="subscript"/>
        <sz val="11"/>
        <color indexed="8"/>
        <rFont val="Calibri"/>
        <family val="2"/>
      </rPr>
      <t>mp,t</t>
    </r>
    <r>
      <rPr>
        <sz val="11"/>
        <color theme="1"/>
        <rFont val="Calibri"/>
        <family val="2"/>
        <scheme val="minor"/>
      </rPr>
      <t xml:space="preserve">  =  GDP</t>
    </r>
    <r>
      <rPr>
        <vertAlign val="subscript"/>
        <sz val="11"/>
        <color indexed="8"/>
        <rFont val="Calibri"/>
        <family val="2"/>
      </rPr>
      <t>mp,t</t>
    </r>
  </si>
  <si>
    <r>
      <t>gGDP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gGDP</t>
    </r>
    <r>
      <rPr>
        <vertAlign val="subscript"/>
        <sz val="11"/>
        <color indexed="8"/>
        <rFont val="Calibri"/>
        <family val="2"/>
      </rPr>
      <t>mp,t</t>
    </r>
  </si>
  <si>
    <r>
      <t>defGDP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defGDP</t>
    </r>
    <r>
      <rPr>
        <vertAlign val="subscript"/>
        <sz val="11"/>
        <color indexed="8"/>
        <rFont val="Calibri"/>
        <family val="2"/>
      </rPr>
      <t>mp,t</t>
    </r>
  </si>
  <si>
    <r>
      <t>GDP</t>
    </r>
    <r>
      <rPr>
        <vertAlign val="superscript"/>
        <sz val="11"/>
        <color indexed="8"/>
        <rFont val="Calibri"/>
        <family val="2"/>
      </rPr>
      <t>2009</t>
    </r>
    <r>
      <rPr>
        <vertAlign val="subscript"/>
        <sz val="11"/>
        <color indexed="8"/>
        <rFont val="Calibri"/>
        <family val="2"/>
      </rPr>
      <t>mp,t</t>
    </r>
    <r>
      <rPr>
        <sz val="11"/>
        <color theme="1"/>
        <rFont val="Calibri"/>
        <family val="2"/>
        <scheme val="minor"/>
      </rPr>
      <t xml:space="preserve">  =  GDP</t>
    </r>
    <r>
      <rPr>
        <vertAlign val="superscript"/>
        <sz val="11"/>
        <color indexed="8"/>
        <rFont val="Calibri"/>
        <family val="2"/>
      </rPr>
      <t>2009</t>
    </r>
    <r>
      <rPr>
        <vertAlign val="subscript"/>
        <sz val="11"/>
        <color indexed="8"/>
        <rFont val="Calibri"/>
        <family val="2"/>
      </rPr>
      <t>mp,t</t>
    </r>
  </si>
  <si>
    <r>
      <t>GDPPC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 xml:space="preserve">  =  GDP</t>
    </r>
    <r>
      <rPr>
        <vertAlign val="subscript"/>
        <sz val="11"/>
        <color indexed="8"/>
        <rFont val="Calibri"/>
        <family val="2"/>
      </rPr>
      <t>mp,t</t>
    </r>
    <r>
      <rPr>
        <sz val="11"/>
        <color theme="1"/>
        <rFont val="Calibri"/>
        <family val="2"/>
        <scheme val="minor"/>
      </rPr>
      <t>/er</t>
    </r>
    <r>
      <rPr>
        <vertAlign val="superscript"/>
        <sz val="11"/>
        <color indexed="8"/>
        <rFont val="Calibri"/>
        <family val="2"/>
      </rPr>
      <t>USD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/POP</t>
    </r>
    <r>
      <rPr>
        <vertAlign val="subscript"/>
        <sz val="11"/>
        <color indexed="8"/>
        <rFont val="Calibri"/>
        <family val="2"/>
      </rPr>
      <t>t</t>
    </r>
  </si>
  <si>
    <r>
      <t>GDP</t>
    </r>
    <r>
      <rPr>
        <vertAlign val="subscript"/>
        <sz val="11"/>
        <color indexed="8"/>
        <rFont val="Calibri"/>
        <family val="2"/>
      </rPr>
      <t>mp,t</t>
    </r>
    <r>
      <rPr>
        <sz val="11"/>
        <color theme="1"/>
        <rFont val="Calibri"/>
        <family val="2"/>
        <scheme val="minor"/>
      </rPr>
      <t xml:space="preserve">  =  NIT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+GDP</t>
    </r>
    <r>
      <rPr>
        <vertAlign val="subscript"/>
        <sz val="11"/>
        <color indexed="8"/>
        <rFont val="Calibri"/>
        <family val="2"/>
      </rPr>
      <t>fc,t</t>
    </r>
  </si>
  <si>
    <r>
      <t>NIT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NIT</t>
    </r>
    <r>
      <rPr>
        <vertAlign val="subscript"/>
        <sz val="11"/>
        <color indexed="8"/>
        <rFont val="Calibri"/>
        <family val="2"/>
      </rPr>
      <t>t</t>
    </r>
  </si>
  <si>
    <r>
      <t>GDP</t>
    </r>
    <r>
      <rPr>
        <vertAlign val="subscript"/>
        <sz val="11"/>
        <color indexed="8"/>
        <rFont val="Calibri"/>
        <family val="2"/>
      </rPr>
      <t>fc,t</t>
    </r>
    <r>
      <rPr>
        <sz val="11"/>
        <color theme="1"/>
        <rFont val="Calibri"/>
        <family val="2"/>
        <scheme val="minor"/>
      </rPr>
      <t xml:space="preserve">  =  (VA</t>
    </r>
    <r>
      <rPr>
        <vertAlign val="subscript"/>
        <sz val="11"/>
        <color indexed="8"/>
        <rFont val="Calibri"/>
        <family val="2"/>
      </rPr>
      <t>AB,t</t>
    </r>
    <r>
      <rPr>
        <sz val="11"/>
        <color theme="1"/>
        <rFont val="Calibri"/>
        <family val="2"/>
        <scheme val="minor"/>
      </rPr>
      <t>+VA</t>
    </r>
    <r>
      <rPr>
        <vertAlign val="subscript"/>
        <sz val="11"/>
        <color indexed="8"/>
        <rFont val="Calibri"/>
        <family val="2"/>
      </rPr>
      <t>CDE,t</t>
    </r>
    <r>
      <rPr>
        <sz val="11"/>
        <color theme="1"/>
        <rFont val="Calibri"/>
        <family val="2"/>
        <scheme val="minor"/>
      </rPr>
      <t>+VA</t>
    </r>
    <r>
      <rPr>
        <vertAlign val="subscript"/>
        <sz val="11"/>
        <color indexed="8"/>
        <rFont val="Calibri"/>
        <family val="2"/>
      </rPr>
      <t>F,t</t>
    </r>
    <r>
      <rPr>
        <sz val="11"/>
        <color theme="1"/>
        <rFont val="Calibri"/>
        <family val="2"/>
        <scheme val="minor"/>
      </rPr>
      <t>+VA</t>
    </r>
    <r>
      <rPr>
        <vertAlign val="subscript"/>
        <sz val="11"/>
        <color indexed="8"/>
        <rFont val="Calibri"/>
        <family val="2"/>
      </rPr>
      <t>GoodsO,t</t>
    </r>
    <r>
      <rPr>
        <sz val="11"/>
        <color theme="1"/>
        <rFont val="Calibri"/>
        <family val="2"/>
        <scheme val="minor"/>
      </rPr>
      <t>+VA</t>
    </r>
    <r>
      <rPr>
        <vertAlign val="subscript"/>
        <sz val="11"/>
        <color indexed="8"/>
        <rFont val="Calibri"/>
        <family val="2"/>
      </rPr>
      <t>GH,t</t>
    </r>
    <r>
      <rPr>
        <sz val="11"/>
        <color theme="1"/>
        <rFont val="Calibri"/>
        <family val="2"/>
        <scheme val="minor"/>
      </rPr>
      <t>+VA</t>
    </r>
    <r>
      <rPr>
        <vertAlign val="subscript"/>
        <sz val="11"/>
        <color indexed="8"/>
        <rFont val="Calibri"/>
        <family val="2"/>
      </rPr>
      <t>I,t</t>
    </r>
    <r>
      <rPr>
        <sz val="11"/>
        <color theme="1"/>
        <rFont val="Calibri"/>
        <family val="2"/>
        <scheme val="minor"/>
      </rPr>
      <t>+VA</t>
    </r>
    <r>
      <rPr>
        <vertAlign val="subscript"/>
        <sz val="11"/>
        <color indexed="8"/>
        <rFont val="Calibri"/>
        <family val="2"/>
      </rPr>
      <t>Other,t</t>
    </r>
    <r>
      <rPr>
        <sz val="11"/>
        <color theme="1"/>
        <rFont val="Calibri"/>
        <family val="2"/>
        <scheme val="minor"/>
      </rPr>
      <t>)</t>
    </r>
  </si>
  <si>
    <r>
      <t>VA</t>
    </r>
    <r>
      <rPr>
        <vertAlign val="subscript"/>
        <sz val="11"/>
        <color indexed="8"/>
        <rFont val="Calibri"/>
        <family val="2"/>
      </rPr>
      <t>AB,t</t>
    </r>
    <r>
      <rPr>
        <sz val="11"/>
        <color theme="1"/>
        <rFont val="Calibri"/>
        <family val="2"/>
        <scheme val="minor"/>
      </rPr>
      <t xml:space="preserve">  =  VA</t>
    </r>
    <r>
      <rPr>
        <vertAlign val="subscript"/>
        <sz val="11"/>
        <color indexed="8"/>
        <rFont val="Calibri"/>
        <family val="2"/>
      </rPr>
      <t>AB,t-1</t>
    </r>
    <r>
      <rPr>
        <sz val="11"/>
        <color theme="1"/>
        <rFont val="Calibri"/>
        <family val="2"/>
        <scheme val="minor"/>
      </rPr>
      <t>·gVA</t>
    </r>
    <r>
      <rPr>
        <vertAlign val="subscript"/>
        <sz val="11"/>
        <color indexed="8"/>
        <rFont val="Calibri"/>
        <family val="2"/>
      </rPr>
      <t>AB,t</t>
    </r>
    <r>
      <rPr>
        <sz val="11"/>
        <color theme="1"/>
        <rFont val="Calibri"/>
        <family val="2"/>
        <scheme val="minor"/>
      </rPr>
      <t>·defVA</t>
    </r>
    <r>
      <rPr>
        <vertAlign val="subscript"/>
        <sz val="11"/>
        <color indexed="8"/>
        <rFont val="Calibri"/>
        <family val="2"/>
      </rPr>
      <t>AB,t</t>
    </r>
    <r>
      <rPr>
        <sz val="11"/>
        <color theme="1"/>
        <rFont val="Calibri"/>
        <family val="2"/>
        <scheme val="minor"/>
      </rPr>
      <t>/10000</t>
    </r>
  </si>
  <si>
    <r>
      <t>VA</t>
    </r>
    <r>
      <rPr>
        <vertAlign val="subscript"/>
        <sz val="11"/>
        <color indexed="8"/>
        <rFont val="Calibri"/>
        <family val="2"/>
      </rPr>
      <t>CDE,t</t>
    </r>
    <r>
      <rPr>
        <sz val="11"/>
        <color theme="1"/>
        <rFont val="Calibri"/>
        <family val="2"/>
        <scheme val="minor"/>
      </rPr>
      <t xml:space="preserve">  =  VA</t>
    </r>
    <r>
      <rPr>
        <vertAlign val="subscript"/>
        <sz val="11"/>
        <color indexed="8"/>
        <rFont val="Calibri"/>
        <family val="2"/>
      </rPr>
      <t>CDE,t</t>
    </r>
  </si>
  <si>
    <r>
      <t>VA</t>
    </r>
    <r>
      <rPr>
        <vertAlign val="subscript"/>
        <sz val="11"/>
        <color indexed="8"/>
        <rFont val="Calibri"/>
        <family val="2"/>
      </rPr>
      <t>F,t</t>
    </r>
    <r>
      <rPr>
        <sz val="11"/>
        <color theme="1"/>
        <rFont val="Calibri"/>
        <family val="2"/>
        <scheme val="minor"/>
      </rPr>
      <t xml:space="preserve">  =  0,58·Inv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F,t</t>
    </r>
  </si>
  <si>
    <r>
      <t>VA</t>
    </r>
    <r>
      <rPr>
        <vertAlign val="subscript"/>
        <sz val="11"/>
        <color indexed="8"/>
        <rFont val="Calibri"/>
        <family val="2"/>
      </rPr>
      <t>GoodsO,t</t>
    </r>
    <r>
      <rPr>
        <sz val="11"/>
        <color theme="1"/>
        <rFont val="Calibri"/>
        <family val="2"/>
        <scheme val="minor"/>
      </rPr>
      <t xml:space="preserve">  =  VA</t>
    </r>
    <r>
      <rPr>
        <vertAlign val="subscript"/>
        <sz val="11"/>
        <color indexed="8"/>
        <rFont val="Calibri"/>
        <family val="2"/>
      </rPr>
      <t>GoodsO,t-1</t>
    </r>
    <r>
      <rPr>
        <sz val="11"/>
        <color theme="1"/>
        <rFont val="Calibri"/>
        <family val="2"/>
        <scheme val="minor"/>
      </rPr>
      <t>·VA</t>
    </r>
    <r>
      <rPr>
        <vertAlign val="subscript"/>
        <sz val="11"/>
        <color indexed="8"/>
        <rFont val="Calibri"/>
        <family val="2"/>
      </rPr>
      <t>CDE,t</t>
    </r>
    <r>
      <rPr>
        <sz val="11"/>
        <color theme="1"/>
        <rFont val="Calibri"/>
        <family val="2"/>
        <scheme val="minor"/>
      </rPr>
      <t>/VA</t>
    </r>
    <r>
      <rPr>
        <vertAlign val="subscript"/>
        <sz val="11"/>
        <color indexed="8"/>
        <rFont val="Calibri"/>
        <family val="2"/>
      </rPr>
      <t>CDE,t-1</t>
    </r>
  </si>
  <si>
    <r>
      <t>VA</t>
    </r>
    <r>
      <rPr>
        <vertAlign val="subscript"/>
        <sz val="11"/>
        <color indexed="8"/>
        <rFont val="Calibri"/>
        <family val="2"/>
      </rPr>
      <t>GH,t</t>
    </r>
    <r>
      <rPr>
        <sz val="11"/>
        <color theme="1"/>
        <rFont val="Calibri"/>
        <family val="2"/>
        <scheme val="minor"/>
      </rPr>
      <t xml:space="preserve">  =  RET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·0,447-750</t>
    </r>
  </si>
  <si>
    <r>
      <t>VA</t>
    </r>
    <r>
      <rPr>
        <vertAlign val="subscript"/>
        <sz val="11"/>
        <color indexed="8"/>
        <rFont val="Calibri"/>
        <family val="2"/>
      </rPr>
      <t>I,t</t>
    </r>
    <r>
      <rPr>
        <sz val="11"/>
        <color theme="1"/>
        <rFont val="Calibri"/>
        <family val="2"/>
        <scheme val="minor"/>
      </rPr>
      <t xml:space="preserve">  =  VA</t>
    </r>
    <r>
      <rPr>
        <vertAlign val="subscript"/>
        <sz val="11"/>
        <color indexed="8"/>
        <rFont val="Calibri"/>
        <family val="2"/>
      </rPr>
      <t>I,t-1</t>
    </r>
    <r>
      <rPr>
        <sz val="11"/>
        <color theme="1"/>
        <rFont val="Calibri"/>
        <family val="2"/>
        <scheme val="minor"/>
      </rPr>
      <t>+(RET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+SER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-RET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-SER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)·0,24</t>
    </r>
  </si>
  <si>
    <r>
      <t>VA</t>
    </r>
    <r>
      <rPr>
        <vertAlign val="subscript"/>
        <sz val="11"/>
        <color indexed="8"/>
        <rFont val="Calibri"/>
        <family val="2"/>
      </rPr>
      <t>Other,t</t>
    </r>
    <r>
      <rPr>
        <sz val="11"/>
        <color theme="1"/>
        <rFont val="Calibri"/>
        <family val="2"/>
        <scheme val="minor"/>
      </rPr>
      <t xml:space="preserve">  =  VA</t>
    </r>
    <r>
      <rPr>
        <vertAlign val="subscript"/>
        <sz val="11"/>
        <color indexed="8"/>
        <rFont val="Calibri"/>
        <family val="2"/>
      </rPr>
      <t>Other,t-1</t>
    </r>
    <r>
      <rPr>
        <sz val="11"/>
        <color theme="1"/>
        <rFont val="Calibri"/>
        <family val="2"/>
        <scheme val="minor"/>
      </rPr>
      <t>·(SER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/SER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)</t>
    </r>
  </si>
  <si>
    <r>
      <t>VA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 xml:space="preserve">  =  VA</t>
    </r>
    <r>
      <rPr>
        <vertAlign val="subscript"/>
        <sz val="11"/>
        <color indexed="8"/>
        <rFont val="Calibri"/>
        <family val="2"/>
      </rPr>
      <t>AB,t</t>
    </r>
    <r>
      <rPr>
        <sz val="11"/>
        <color theme="1"/>
        <rFont val="Calibri"/>
        <family val="2"/>
        <scheme val="minor"/>
      </rPr>
      <t>+VA</t>
    </r>
    <r>
      <rPr>
        <vertAlign val="subscript"/>
        <sz val="11"/>
        <color indexed="8"/>
        <rFont val="Calibri"/>
        <family val="2"/>
      </rPr>
      <t>CDE,t</t>
    </r>
    <r>
      <rPr>
        <sz val="11"/>
        <color theme="1"/>
        <rFont val="Calibri"/>
        <family val="2"/>
        <scheme val="minor"/>
      </rPr>
      <t>+VA</t>
    </r>
    <r>
      <rPr>
        <vertAlign val="subscript"/>
        <sz val="11"/>
        <color indexed="8"/>
        <rFont val="Calibri"/>
        <family val="2"/>
      </rPr>
      <t>F,t</t>
    </r>
    <r>
      <rPr>
        <sz val="11"/>
        <color theme="1"/>
        <rFont val="Calibri"/>
        <family val="2"/>
        <scheme val="minor"/>
      </rPr>
      <t>+VA</t>
    </r>
    <r>
      <rPr>
        <vertAlign val="subscript"/>
        <sz val="11"/>
        <color indexed="8"/>
        <rFont val="Calibri"/>
        <family val="2"/>
      </rPr>
      <t>GoodsO,t</t>
    </r>
  </si>
  <si>
    <r>
      <t>VA</t>
    </r>
    <r>
      <rPr>
        <vertAlign val="subscript"/>
        <sz val="11"/>
        <color indexed="8"/>
        <rFont val="Calibri"/>
        <family val="2"/>
      </rPr>
      <t>Servces,t</t>
    </r>
    <r>
      <rPr>
        <sz val="11"/>
        <color theme="1"/>
        <rFont val="Calibri"/>
        <family val="2"/>
        <scheme val="minor"/>
      </rPr>
      <t xml:space="preserve">  =  GDP</t>
    </r>
    <r>
      <rPr>
        <vertAlign val="subscript"/>
        <sz val="11"/>
        <color indexed="8"/>
        <rFont val="Calibri"/>
        <family val="2"/>
      </rPr>
      <t>fc,t</t>
    </r>
    <r>
      <rPr>
        <sz val="11"/>
        <color theme="1"/>
        <rFont val="Calibri"/>
        <family val="2"/>
        <scheme val="minor"/>
      </rPr>
      <t>-VA</t>
    </r>
    <r>
      <rPr>
        <vertAlign val="subscript"/>
        <sz val="11"/>
        <color indexed="8"/>
        <rFont val="Calibri"/>
        <family val="2"/>
      </rPr>
      <t>Goods,t</t>
    </r>
  </si>
  <si>
    <r>
      <t>gGDP</t>
    </r>
    <r>
      <rPr>
        <vertAlign val="subscript"/>
        <sz val="11"/>
        <color indexed="8"/>
        <rFont val="Calibri"/>
        <family val="2"/>
      </rPr>
      <t>mp,t</t>
    </r>
    <r>
      <rPr>
        <sz val="11"/>
        <color theme="1"/>
        <rFont val="Calibri"/>
        <family val="2"/>
        <scheme val="minor"/>
      </rPr>
      <t xml:space="preserve">  =  (NIT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·gNIT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+gGDP</t>
    </r>
    <r>
      <rPr>
        <vertAlign val="subscript"/>
        <sz val="11"/>
        <color indexed="8"/>
        <rFont val="Calibri"/>
        <family val="2"/>
      </rPr>
      <t>fc,t</t>
    </r>
    <r>
      <rPr>
        <sz val="11"/>
        <color theme="1"/>
        <rFont val="Calibri"/>
        <family val="2"/>
        <scheme val="minor"/>
      </rPr>
      <t>·GDP</t>
    </r>
    <r>
      <rPr>
        <vertAlign val="subscript"/>
        <sz val="11"/>
        <color indexed="8"/>
        <rFont val="Calibri"/>
        <family val="2"/>
      </rPr>
      <t>fc,t-1</t>
    </r>
    <r>
      <rPr>
        <sz val="11"/>
        <color theme="1"/>
        <rFont val="Calibri"/>
        <family val="2"/>
        <scheme val="minor"/>
      </rPr>
      <t>)/(NIT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+GDP</t>
    </r>
    <r>
      <rPr>
        <vertAlign val="subscript"/>
        <sz val="11"/>
        <color indexed="8"/>
        <rFont val="Calibri"/>
        <family val="2"/>
      </rPr>
      <t>fc,t-1</t>
    </r>
    <r>
      <rPr>
        <sz val="11"/>
        <color theme="1"/>
        <rFont val="Calibri"/>
        <family val="2"/>
        <scheme val="minor"/>
      </rPr>
      <t>)</t>
    </r>
  </si>
  <si>
    <r>
      <t>gNIT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(gGDP</t>
    </r>
    <r>
      <rPr>
        <vertAlign val="subscript"/>
        <sz val="11"/>
        <color indexed="8"/>
        <rFont val="Calibri"/>
        <family val="2"/>
      </rPr>
      <t>fc,t</t>
    </r>
    <r>
      <rPr>
        <sz val="11"/>
        <color theme="1"/>
        <rFont val="Calibri"/>
        <family val="2"/>
        <scheme val="minor"/>
      </rPr>
      <t>/100)^1,00·100</t>
    </r>
  </si>
  <si>
    <r>
      <t>gGDP</t>
    </r>
    <r>
      <rPr>
        <vertAlign val="subscript"/>
        <sz val="11"/>
        <color indexed="8"/>
        <rFont val="Calibri"/>
        <family val="2"/>
      </rPr>
      <t>fc,t</t>
    </r>
    <r>
      <rPr>
        <sz val="11"/>
        <color theme="1"/>
        <rFont val="Calibri"/>
        <family val="2"/>
        <scheme val="minor"/>
      </rPr>
      <t xml:space="preserve">  =  (gVA</t>
    </r>
    <r>
      <rPr>
        <vertAlign val="subscript"/>
        <sz val="11"/>
        <color indexed="8"/>
        <rFont val="Calibri"/>
        <family val="2"/>
      </rPr>
      <t>AB,t</t>
    </r>
    <r>
      <rPr>
        <sz val="11"/>
        <color theme="1"/>
        <rFont val="Calibri"/>
        <family val="2"/>
        <scheme val="minor"/>
      </rPr>
      <t>·VA</t>
    </r>
    <r>
      <rPr>
        <vertAlign val="subscript"/>
        <sz val="11"/>
        <color indexed="8"/>
        <rFont val="Calibri"/>
        <family val="2"/>
      </rPr>
      <t>AB,t-1</t>
    </r>
    <r>
      <rPr>
        <sz val="11"/>
        <color theme="1"/>
        <rFont val="Calibri"/>
        <family val="2"/>
        <scheme val="minor"/>
      </rPr>
      <t>+gVA</t>
    </r>
    <r>
      <rPr>
        <vertAlign val="subscript"/>
        <sz val="11"/>
        <color indexed="8"/>
        <rFont val="Calibri"/>
        <family val="2"/>
      </rPr>
      <t>CDE,t</t>
    </r>
    <r>
      <rPr>
        <sz val="11"/>
        <color theme="1"/>
        <rFont val="Calibri"/>
        <family val="2"/>
        <scheme val="minor"/>
      </rPr>
      <t>·VA</t>
    </r>
    <r>
      <rPr>
        <vertAlign val="subscript"/>
        <sz val="11"/>
        <color indexed="8"/>
        <rFont val="Calibri"/>
        <family val="2"/>
      </rPr>
      <t>CDE,t-1</t>
    </r>
    <r>
      <rPr>
        <sz val="11"/>
        <color theme="1"/>
        <rFont val="Calibri"/>
        <family val="2"/>
        <scheme val="minor"/>
      </rPr>
      <t>+gVA</t>
    </r>
    <r>
      <rPr>
        <vertAlign val="subscript"/>
        <sz val="11"/>
        <color indexed="8"/>
        <rFont val="Calibri"/>
        <family val="2"/>
      </rPr>
      <t>F,t</t>
    </r>
    <r>
      <rPr>
        <sz val="11"/>
        <color theme="1"/>
        <rFont val="Calibri"/>
        <family val="2"/>
        <scheme val="minor"/>
      </rPr>
      <t>·VA</t>
    </r>
    <r>
      <rPr>
        <vertAlign val="subscript"/>
        <sz val="11"/>
        <color indexed="8"/>
        <rFont val="Calibri"/>
        <family val="2"/>
      </rPr>
      <t>F,t-1</t>
    </r>
    <r>
      <rPr>
        <sz val="11"/>
        <color theme="1"/>
        <rFont val="Calibri"/>
        <family val="2"/>
        <scheme val="minor"/>
      </rPr>
      <t>+gVA</t>
    </r>
    <r>
      <rPr>
        <vertAlign val="subscript"/>
        <sz val="11"/>
        <color indexed="8"/>
        <rFont val="Calibri"/>
        <family val="2"/>
      </rPr>
      <t>GoodsO,t</t>
    </r>
    <r>
      <rPr>
        <sz val="11"/>
        <color theme="1"/>
        <rFont val="Calibri"/>
        <family val="2"/>
        <scheme val="minor"/>
      </rPr>
      <t>·VA</t>
    </r>
    <r>
      <rPr>
        <vertAlign val="subscript"/>
        <sz val="11"/>
        <color indexed="8"/>
        <rFont val="Calibri"/>
        <family val="2"/>
      </rPr>
      <t>GoodsO,t-1</t>
    </r>
    <r>
      <rPr>
        <sz val="11"/>
        <color theme="1"/>
        <rFont val="Calibri"/>
        <family val="2"/>
        <scheme val="minor"/>
      </rPr>
      <t>+gVA</t>
    </r>
    <r>
      <rPr>
        <vertAlign val="subscript"/>
        <sz val="11"/>
        <color indexed="8"/>
        <rFont val="Calibri"/>
        <family val="2"/>
      </rPr>
      <t>GH,t</t>
    </r>
    <r>
      <rPr>
        <sz val="11"/>
        <color theme="1"/>
        <rFont val="Calibri"/>
        <family val="2"/>
        <scheme val="minor"/>
      </rPr>
      <t>·VA</t>
    </r>
    <r>
      <rPr>
        <vertAlign val="subscript"/>
        <sz val="11"/>
        <color indexed="8"/>
        <rFont val="Calibri"/>
        <family val="2"/>
      </rPr>
      <t>GH,t-1</t>
    </r>
    <r>
      <rPr>
        <sz val="11"/>
        <color theme="1"/>
        <rFont val="Calibri"/>
        <family val="2"/>
        <scheme val="minor"/>
      </rPr>
      <t>+gVA</t>
    </r>
    <r>
      <rPr>
        <vertAlign val="subscript"/>
        <sz val="11"/>
        <color indexed="8"/>
        <rFont val="Calibri"/>
        <family val="2"/>
      </rPr>
      <t>I,t</t>
    </r>
    <r>
      <rPr>
        <sz val="11"/>
        <color theme="1"/>
        <rFont val="Calibri"/>
        <family val="2"/>
        <scheme val="minor"/>
      </rPr>
      <t>·VA</t>
    </r>
    <r>
      <rPr>
        <vertAlign val="subscript"/>
        <sz val="11"/>
        <color indexed="8"/>
        <rFont val="Calibri"/>
        <family val="2"/>
      </rPr>
      <t>I,t-1</t>
    </r>
    <r>
      <rPr>
        <sz val="11"/>
        <color theme="1"/>
        <rFont val="Calibri"/>
        <family val="2"/>
        <scheme val="minor"/>
      </rPr>
      <t>+gVA</t>
    </r>
    <r>
      <rPr>
        <vertAlign val="subscript"/>
        <sz val="11"/>
        <color indexed="8"/>
        <rFont val="Calibri"/>
        <family val="2"/>
      </rPr>
      <t>Other,t</t>
    </r>
    <r>
      <rPr>
        <sz val="11"/>
        <color theme="1"/>
        <rFont val="Calibri"/>
        <family val="2"/>
        <scheme val="minor"/>
      </rPr>
      <t>·VA</t>
    </r>
    <r>
      <rPr>
        <vertAlign val="subscript"/>
        <sz val="11"/>
        <color indexed="8"/>
        <rFont val="Calibri"/>
        <family val="2"/>
      </rPr>
      <t>Other,t-1</t>
    </r>
    <r>
      <rPr>
        <sz val="11"/>
        <color theme="1"/>
        <rFont val="Calibri"/>
        <family val="2"/>
        <scheme val="minor"/>
      </rPr>
      <t>)/(VA</t>
    </r>
    <r>
      <rPr>
        <vertAlign val="subscript"/>
        <sz val="11"/>
        <color indexed="8"/>
        <rFont val="Calibri"/>
        <family val="2"/>
      </rPr>
      <t>AB,t-1</t>
    </r>
    <r>
      <rPr>
        <sz val="11"/>
        <color theme="1"/>
        <rFont val="Calibri"/>
        <family val="2"/>
        <scheme val="minor"/>
      </rPr>
      <t>+VA</t>
    </r>
    <r>
      <rPr>
        <vertAlign val="subscript"/>
        <sz val="11"/>
        <color indexed="8"/>
        <rFont val="Calibri"/>
        <family val="2"/>
      </rPr>
      <t>CDE,t-1</t>
    </r>
    <r>
      <rPr>
        <sz val="11"/>
        <color theme="1"/>
        <rFont val="Calibri"/>
        <family val="2"/>
        <scheme val="minor"/>
      </rPr>
      <t>+VA</t>
    </r>
    <r>
      <rPr>
        <vertAlign val="subscript"/>
        <sz val="11"/>
        <color indexed="8"/>
        <rFont val="Calibri"/>
        <family val="2"/>
      </rPr>
      <t>F,t-1</t>
    </r>
    <r>
      <rPr>
        <sz val="11"/>
        <color theme="1"/>
        <rFont val="Calibri"/>
        <family val="2"/>
        <scheme val="minor"/>
      </rPr>
      <t>+VA</t>
    </r>
    <r>
      <rPr>
        <vertAlign val="subscript"/>
        <sz val="11"/>
        <color indexed="8"/>
        <rFont val="Calibri"/>
        <family val="2"/>
      </rPr>
      <t>GoodsO,t-1</t>
    </r>
    <r>
      <rPr>
        <sz val="11"/>
        <color theme="1"/>
        <rFont val="Calibri"/>
        <family val="2"/>
        <scheme val="minor"/>
      </rPr>
      <t>+VA</t>
    </r>
    <r>
      <rPr>
        <vertAlign val="subscript"/>
        <sz val="11"/>
        <color indexed="8"/>
        <rFont val="Calibri"/>
        <family val="2"/>
      </rPr>
      <t>GH,t-1</t>
    </r>
    <r>
      <rPr>
        <sz val="11"/>
        <color theme="1"/>
        <rFont val="Calibri"/>
        <family val="2"/>
        <scheme val="minor"/>
      </rPr>
      <t>+VA</t>
    </r>
    <r>
      <rPr>
        <vertAlign val="subscript"/>
        <sz val="11"/>
        <color indexed="8"/>
        <rFont val="Calibri"/>
        <family val="2"/>
      </rPr>
      <t>I,t-1</t>
    </r>
    <r>
      <rPr>
        <sz val="11"/>
        <color theme="1"/>
        <rFont val="Calibri"/>
        <family val="2"/>
        <scheme val="minor"/>
      </rPr>
      <t>+VA</t>
    </r>
    <r>
      <rPr>
        <vertAlign val="subscript"/>
        <sz val="11"/>
        <color indexed="8"/>
        <rFont val="Calibri"/>
        <family val="2"/>
      </rPr>
      <t>Other,t-1</t>
    </r>
    <r>
      <rPr>
        <sz val="11"/>
        <color theme="1"/>
        <rFont val="Calibri"/>
        <family val="2"/>
        <scheme val="minor"/>
      </rPr>
      <t>)</t>
    </r>
  </si>
  <si>
    <r>
      <t>gVA</t>
    </r>
    <r>
      <rPr>
        <vertAlign val="subscript"/>
        <sz val="11"/>
        <color indexed="8"/>
        <rFont val="Calibri"/>
        <family val="2"/>
      </rPr>
      <t>AB,t</t>
    </r>
    <r>
      <rPr>
        <sz val="11"/>
        <color theme="1"/>
        <rFont val="Calibri"/>
        <family val="2"/>
        <scheme val="minor"/>
      </rPr>
      <t xml:space="preserve">  =  (1+gVA</t>
    </r>
    <r>
      <rPr>
        <vertAlign val="subscript"/>
        <sz val="11"/>
        <color indexed="8"/>
        <rFont val="Calibri"/>
        <family val="2"/>
      </rPr>
      <t>AB,t</t>
    </r>
    <r>
      <rPr>
        <sz val="11"/>
        <color theme="1"/>
        <rFont val="Calibri"/>
        <family val="2"/>
        <scheme val="minor"/>
      </rPr>
      <t>/100)·100</t>
    </r>
  </si>
  <si>
    <r>
      <t>gVA</t>
    </r>
    <r>
      <rPr>
        <vertAlign val="subscript"/>
        <sz val="11"/>
        <color indexed="8"/>
        <rFont val="Calibri"/>
        <family val="2"/>
      </rPr>
      <t>CDE,t</t>
    </r>
    <r>
      <rPr>
        <sz val="11"/>
        <color theme="1"/>
        <rFont val="Calibri"/>
        <family val="2"/>
        <scheme val="minor"/>
      </rPr>
      <t xml:space="preserve">  =  gVA</t>
    </r>
    <r>
      <rPr>
        <vertAlign val="subscript"/>
        <sz val="11"/>
        <color indexed="8"/>
        <rFont val="Calibri"/>
        <family val="2"/>
      </rPr>
      <t>CDE,t</t>
    </r>
  </si>
  <si>
    <r>
      <t>gVA</t>
    </r>
    <r>
      <rPr>
        <vertAlign val="subscript"/>
        <sz val="11"/>
        <color indexed="8"/>
        <rFont val="Calibri"/>
        <family val="2"/>
      </rPr>
      <t>F,t</t>
    </r>
    <r>
      <rPr>
        <sz val="11"/>
        <color theme="1"/>
        <rFont val="Calibri"/>
        <family val="2"/>
        <scheme val="minor"/>
      </rPr>
      <t xml:space="preserve">  =  gCONSTR</t>
    </r>
    <r>
      <rPr>
        <vertAlign val="subscript"/>
        <sz val="11"/>
        <color indexed="8"/>
        <rFont val="Calibri"/>
        <family val="2"/>
      </rPr>
      <t>t</t>
    </r>
  </si>
  <si>
    <r>
      <t>gVA</t>
    </r>
    <r>
      <rPr>
        <vertAlign val="subscript"/>
        <sz val="11"/>
        <color indexed="8"/>
        <rFont val="Calibri"/>
        <family val="2"/>
      </rPr>
      <t>GoodsO,t</t>
    </r>
    <r>
      <rPr>
        <sz val="11"/>
        <color theme="1"/>
        <rFont val="Calibri"/>
        <family val="2"/>
        <scheme val="minor"/>
      </rPr>
      <t xml:space="preserve">  =  gVA</t>
    </r>
    <r>
      <rPr>
        <vertAlign val="subscript"/>
        <sz val="11"/>
        <color indexed="8"/>
        <rFont val="Calibri"/>
        <family val="2"/>
      </rPr>
      <t>CDE,t</t>
    </r>
  </si>
  <si>
    <r>
      <t>gVA</t>
    </r>
    <r>
      <rPr>
        <vertAlign val="subscript"/>
        <sz val="11"/>
        <color indexed="8"/>
        <rFont val="Calibri"/>
        <family val="2"/>
      </rPr>
      <t>GH,t</t>
    </r>
    <r>
      <rPr>
        <sz val="11"/>
        <color theme="1"/>
        <rFont val="Calibri"/>
        <family val="2"/>
        <scheme val="minor"/>
      </rPr>
      <t xml:space="preserve">  =  VA</t>
    </r>
    <r>
      <rPr>
        <vertAlign val="subscript"/>
        <sz val="11"/>
        <color indexed="8"/>
        <rFont val="Calibri"/>
        <family val="2"/>
      </rPr>
      <t>GH,t</t>
    </r>
    <r>
      <rPr>
        <sz val="11"/>
        <color theme="1"/>
        <rFont val="Calibri"/>
        <family val="2"/>
        <scheme val="minor"/>
      </rPr>
      <t>/VA</t>
    </r>
    <r>
      <rPr>
        <vertAlign val="subscript"/>
        <sz val="11"/>
        <color indexed="8"/>
        <rFont val="Calibri"/>
        <family val="2"/>
      </rPr>
      <t>GH,t-1</t>
    </r>
    <r>
      <rPr>
        <sz val="11"/>
        <color theme="1"/>
        <rFont val="Calibri"/>
        <family val="2"/>
        <scheme val="minor"/>
      </rPr>
      <t>/defVA</t>
    </r>
    <r>
      <rPr>
        <vertAlign val="subscript"/>
        <sz val="11"/>
        <color indexed="8"/>
        <rFont val="Calibri"/>
        <family val="2"/>
      </rPr>
      <t>GH,t</t>
    </r>
    <r>
      <rPr>
        <sz val="11"/>
        <color theme="1"/>
        <rFont val="Calibri"/>
        <family val="2"/>
        <scheme val="minor"/>
      </rPr>
      <t>·10000</t>
    </r>
  </si>
  <si>
    <r>
      <t>gVA</t>
    </r>
    <r>
      <rPr>
        <vertAlign val="subscript"/>
        <sz val="11"/>
        <color indexed="8"/>
        <rFont val="Calibri"/>
        <family val="2"/>
      </rPr>
      <t>I,t</t>
    </r>
    <r>
      <rPr>
        <sz val="11"/>
        <color theme="1"/>
        <rFont val="Calibri"/>
        <family val="2"/>
        <scheme val="minor"/>
      </rPr>
      <t xml:space="preserve">  =  (VA</t>
    </r>
    <r>
      <rPr>
        <vertAlign val="subscript"/>
        <sz val="11"/>
        <color indexed="8"/>
        <rFont val="Calibri"/>
        <family val="2"/>
      </rPr>
      <t>I,t</t>
    </r>
    <r>
      <rPr>
        <sz val="11"/>
        <color theme="1"/>
        <rFont val="Calibri"/>
        <family val="2"/>
        <scheme val="minor"/>
      </rPr>
      <t>/VA</t>
    </r>
    <r>
      <rPr>
        <vertAlign val="subscript"/>
        <sz val="11"/>
        <color indexed="8"/>
        <rFont val="Calibri"/>
        <family val="2"/>
      </rPr>
      <t>I,t-1</t>
    </r>
    <r>
      <rPr>
        <sz val="11"/>
        <color theme="1"/>
        <rFont val="Calibri"/>
        <family val="2"/>
        <scheme val="minor"/>
      </rPr>
      <t>)^0,9·100</t>
    </r>
  </si>
  <si>
    <r>
      <t>gVA</t>
    </r>
    <r>
      <rPr>
        <vertAlign val="subscript"/>
        <sz val="11"/>
        <color indexed="8"/>
        <rFont val="Calibri"/>
        <family val="2"/>
      </rPr>
      <t>Other,t</t>
    </r>
    <r>
      <rPr>
        <sz val="11"/>
        <color theme="1"/>
        <rFont val="Calibri"/>
        <family val="2"/>
        <scheme val="minor"/>
      </rPr>
      <t xml:space="preserve">  =  gVA</t>
    </r>
    <r>
      <rPr>
        <vertAlign val="subscript"/>
        <sz val="11"/>
        <color indexed="8"/>
        <rFont val="Calibri"/>
        <family val="2"/>
      </rPr>
      <t>Other,t</t>
    </r>
  </si>
  <si>
    <r>
      <t>gVA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 xml:space="preserve">  =  (gVA</t>
    </r>
    <r>
      <rPr>
        <vertAlign val="subscript"/>
        <sz val="11"/>
        <color indexed="8"/>
        <rFont val="Calibri"/>
        <family val="2"/>
      </rPr>
      <t>AB,t</t>
    </r>
    <r>
      <rPr>
        <sz val="11"/>
        <color theme="1"/>
        <rFont val="Calibri"/>
        <family val="2"/>
        <scheme val="minor"/>
      </rPr>
      <t>·VA</t>
    </r>
    <r>
      <rPr>
        <vertAlign val="subscript"/>
        <sz val="11"/>
        <color indexed="8"/>
        <rFont val="Calibri"/>
        <family val="2"/>
      </rPr>
      <t>AB,t-1</t>
    </r>
    <r>
      <rPr>
        <sz val="11"/>
        <color theme="1"/>
        <rFont val="Calibri"/>
        <family val="2"/>
        <scheme val="minor"/>
      </rPr>
      <t>+gVA</t>
    </r>
    <r>
      <rPr>
        <vertAlign val="subscript"/>
        <sz val="11"/>
        <color indexed="8"/>
        <rFont val="Calibri"/>
        <family val="2"/>
      </rPr>
      <t>CDE,t</t>
    </r>
    <r>
      <rPr>
        <sz val="11"/>
        <color theme="1"/>
        <rFont val="Calibri"/>
        <family val="2"/>
        <scheme val="minor"/>
      </rPr>
      <t>·VA</t>
    </r>
    <r>
      <rPr>
        <vertAlign val="subscript"/>
        <sz val="11"/>
        <color indexed="8"/>
        <rFont val="Calibri"/>
        <family val="2"/>
      </rPr>
      <t>CDE,t-1</t>
    </r>
    <r>
      <rPr>
        <sz val="11"/>
        <color theme="1"/>
        <rFont val="Calibri"/>
        <family val="2"/>
        <scheme val="minor"/>
      </rPr>
      <t>+gVA</t>
    </r>
    <r>
      <rPr>
        <vertAlign val="subscript"/>
        <sz val="11"/>
        <color indexed="8"/>
        <rFont val="Calibri"/>
        <family val="2"/>
      </rPr>
      <t>F,t</t>
    </r>
    <r>
      <rPr>
        <sz val="11"/>
        <color theme="1"/>
        <rFont val="Calibri"/>
        <family val="2"/>
        <scheme val="minor"/>
      </rPr>
      <t>·VA</t>
    </r>
    <r>
      <rPr>
        <vertAlign val="subscript"/>
        <sz val="11"/>
        <color indexed="8"/>
        <rFont val="Calibri"/>
        <family val="2"/>
      </rPr>
      <t>F,t-1</t>
    </r>
    <r>
      <rPr>
        <sz val="11"/>
        <color theme="1"/>
        <rFont val="Calibri"/>
        <family val="2"/>
        <scheme val="minor"/>
      </rPr>
      <t>+gVA</t>
    </r>
    <r>
      <rPr>
        <vertAlign val="subscript"/>
        <sz val="11"/>
        <color indexed="8"/>
        <rFont val="Calibri"/>
        <family val="2"/>
      </rPr>
      <t>GoodsO,t</t>
    </r>
    <r>
      <rPr>
        <sz val="11"/>
        <color theme="1"/>
        <rFont val="Calibri"/>
        <family val="2"/>
        <scheme val="minor"/>
      </rPr>
      <t>·VA</t>
    </r>
    <r>
      <rPr>
        <vertAlign val="subscript"/>
        <sz val="11"/>
        <color indexed="8"/>
        <rFont val="Calibri"/>
        <family val="2"/>
      </rPr>
      <t>GoodsO,t-1</t>
    </r>
    <r>
      <rPr>
        <sz val="11"/>
        <color theme="1"/>
        <rFont val="Calibri"/>
        <family val="2"/>
        <scheme val="minor"/>
      </rPr>
      <t>)/(VA</t>
    </r>
    <r>
      <rPr>
        <vertAlign val="subscript"/>
        <sz val="11"/>
        <color indexed="8"/>
        <rFont val="Calibri"/>
        <family val="2"/>
      </rPr>
      <t>AB,t-1</t>
    </r>
    <r>
      <rPr>
        <sz val="11"/>
        <color theme="1"/>
        <rFont val="Calibri"/>
        <family val="2"/>
        <scheme val="minor"/>
      </rPr>
      <t>+VA</t>
    </r>
    <r>
      <rPr>
        <vertAlign val="subscript"/>
        <sz val="11"/>
        <color indexed="8"/>
        <rFont val="Calibri"/>
        <family val="2"/>
      </rPr>
      <t>CDE,t-1</t>
    </r>
    <r>
      <rPr>
        <sz val="11"/>
        <color theme="1"/>
        <rFont val="Calibri"/>
        <family val="2"/>
        <scheme val="minor"/>
      </rPr>
      <t>+VA</t>
    </r>
    <r>
      <rPr>
        <vertAlign val="subscript"/>
        <sz val="11"/>
        <color indexed="8"/>
        <rFont val="Calibri"/>
        <family val="2"/>
      </rPr>
      <t>F,t-1</t>
    </r>
    <r>
      <rPr>
        <sz val="11"/>
        <color theme="1"/>
        <rFont val="Calibri"/>
        <family val="2"/>
        <scheme val="minor"/>
      </rPr>
      <t>+VA</t>
    </r>
    <r>
      <rPr>
        <vertAlign val="subscript"/>
        <sz val="11"/>
        <color indexed="8"/>
        <rFont val="Calibri"/>
        <family val="2"/>
      </rPr>
      <t>GoodsO,t-1</t>
    </r>
    <r>
      <rPr>
        <sz val="11"/>
        <color theme="1"/>
        <rFont val="Calibri"/>
        <family val="2"/>
        <scheme val="minor"/>
      </rPr>
      <t>)</t>
    </r>
  </si>
  <si>
    <r>
      <t>gVA</t>
    </r>
    <r>
      <rPr>
        <vertAlign val="subscript"/>
        <sz val="11"/>
        <color indexed="8"/>
        <rFont val="Calibri"/>
        <family val="2"/>
      </rPr>
      <t>Servces,t</t>
    </r>
    <r>
      <rPr>
        <sz val="11"/>
        <color theme="1"/>
        <rFont val="Calibri"/>
        <family val="2"/>
        <scheme val="minor"/>
      </rPr>
      <t xml:space="preserve">  =  (gVA</t>
    </r>
    <r>
      <rPr>
        <vertAlign val="subscript"/>
        <sz val="11"/>
        <color indexed="8"/>
        <rFont val="Calibri"/>
        <family val="2"/>
      </rPr>
      <t>GH,t</t>
    </r>
    <r>
      <rPr>
        <sz val="11"/>
        <color theme="1"/>
        <rFont val="Calibri"/>
        <family val="2"/>
        <scheme val="minor"/>
      </rPr>
      <t>·VA</t>
    </r>
    <r>
      <rPr>
        <vertAlign val="subscript"/>
        <sz val="11"/>
        <color indexed="8"/>
        <rFont val="Calibri"/>
        <family val="2"/>
      </rPr>
      <t>GH,t-1</t>
    </r>
    <r>
      <rPr>
        <sz val="11"/>
        <color theme="1"/>
        <rFont val="Calibri"/>
        <family val="2"/>
        <scheme val="minor"/>
      </rPr>
      <t>+VA</t>
    </r>
    <r>
      <rPr>
        <vertAlign val="subscript"/>
        <sz val="11"/>
        <color indexed="8"/>
        <rFont val="Calibri"/>
        <family val="2"/>
      </rPr>
      <t>I,t-1</t>
    </r>
    <r>
      <rPr>
        <sz val="11"/>
        <color theme="1"/>
        <rFont val="Calibri"/>
        <family val="2"/>
        <scheme val="minor"/>
      </rPr>
      <t>·gVA</t>
    </r>
    <r>
      <rPr>
        <vertAlign val="subscript"/>
        <sz val="11"/>
        <color indexed="8"/>
        <rFont val="Calibri"/>
        <family val="2"/>
      </rPr>
      <t>I,t</t>
    </r>
    <r>
      <rPr>
        <sz val="11"/>
        <color theme="1"/>
        <rFont val="Calibri"/>
        <family val="2"/>
        <scheme val="minor"/>
      </rPr>
      <t>+gVA</t>
    </r>
    <r>
      <rPr>
        <vertAlign val="subscript"/>
        <sz val="11"/>
        <color indexed="8"/>
        <rFont val="Calibri"/>
        <family val="2"/>
      </rPr>
      <t>Other,t</t>
    </r>
    <r>
      <rPr>
        <sz val="11"/>
        <color theme="1"/>
        <rFont val="Calibri"/>
        <family val="2"/>
        <scheme val="minor"/>
      </rPr>
      <t>·VA</t>
    </r>
    <r>
      <rPr>
        <vertAlign val="subscript"/>
        <sz val="11"/>
        <color indexed="8"/>
        <rFont val="Calibri"/>
        <family val="2"/>
      </rPr>
      <t>Other,t-1</t>
    </r>
    <r>
      <rPr>
        <sz val="11"/>
        <color theme="1"/>
        <rFont val="Calibri"/>
        <family val="2"/>
        <scheme val="minor"/>
      </rPr>
      <t>)/VA</t>
    </r>
    <r>
      <rPr>
        <vertAlign val="subscript"/>
        <sz val="11"/>
        <color indexed="8"/>
        <rFont val="Calibri"/>
        <family val="2"/>
      </rPr>
      <t>Servces,t-1</t>
    </r>
  </si>
  <si>
    <r>
      <t>GDP</t>
    </r>
    <r>
      <rPr>
        <vertAlign val="superscript"/>
        <sz val="11"/>
        <color indexed="8"/>
        <rFont val="Calibri"/>
        <family val="2"/>
      </rPr>
      <t>2009</t>
    </r>
    <r>
      <rPr>
        <vertAlign val="subscript"/>
        <sz val="11"/>
        <color indexed="8"/>
        <rFont val="Calibri"/>
        <family val="2"/>
      </rPr>
      <t>mp,t</t>
    </r>
    <r>
      <rPr>
        <sz val="11"/>
        <color theme="1"/>
        <rFont val="Calibri"/>
        <family val="2"/>
        <scheme val="minor"/>
      </rPr>
      <t xml:space="preserve">  =  GDP</t>
    </r>
    <r>
      <rPr>
        <vertAlign val="superscript"/>
        <sz val="11"/>
        <color indexed="8"/>
        <rFont val="Calibri"/>
        <family val="2"/>
      </rPr>
      <t>2009</t>
    </r>
    <r>
      <rPr>
        <vertAlign val="subscript"/>
        <sz val="11"/>
        <color indexed="8"/>
        <rFont val="Calibri"/>
        <family val="2"/>
      </rPr>
      <t>mp,t-1</t>
    </r>
    <r>
      <rPr>
        <sz val="11"/>
        <color theme="1"/>
        <rFont val="Calibri"/>
        <family val="2"/>
        <scheme val="minor"/>
      </rPr>
      <t>·gGDP</t>
    </r>
    <r>
      <rPr>
        <vertAlign val="subscript"/>
        <sz val="11"/>
        <color indexed="8"/>
        <rFont val="Calibri"/>
        <family val="2"/>
      </rPr>
      <t>mp,t</t>
    </r>
    <r>
      <rPr>
        <sz val="11"/>
        <color theme="1"/>
        <rFont val="Calibri"/>
        <family val="2"/>
        <scheme val="minor"/>
      </rPr>
      <t>/100</t>
    </r>
  </si>
  <si>
    <r>
      <t>NIT</t>
    </r>
    <r>
      <rPr>
        <vertAlign val="superscript"/>
        <sz val="11"/>
        <color indexed="8"/>
        <rFont val="Calibri"/>
        <family val="2"/>
      </rPr>
      <t>2009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NIT</t>
    </r>
    <r>
      <rPr>
        <vertAlign val="superscript"/>
        <sz val="11"/>
        <color indexed="8"/>
        <rFont val="Calibri"/>
        <family val="2"/>
      </rPr>
      <t>2009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·gNIT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/100</t>
    </r>
  </si>
  <si>
    <r>
      <t>GDP</t>
    </r>
    <r>
      <rPr>
        <vertAlign val="superscript"/>
        <sz val="11"/>
        <color indexed="8"/>
        <rFont val="Calibri"/>
        <family val="2"/>
      </rPr>
      <t>2009</t>
    </r>
    <r>
      <rPr>
        <vertAlign val="subscript"/>
        <sz val="11"/>
        <color indexed="8"/>
        <rFont val="Calibri"/>
        <family val="2"/>
      </rPr>
      <t>fc,t</t>
    </r>
    <r>
      <rPr>
        <sz val="11"/>
        <color theme="1"/>
        <rFont val="Calibri"/>
        <family val="2"/>
        <scheme val="minor"/>
      </rPr>
      <t xml:space="preserve">  =  GDP</t>
    </r>
    <r>
      <rPr>
        <vertAlign val="superscript"/>
        <sz val="11"/>
        <color indexed="8"/>
        <rFont val="Calibri"/>
        <family val="2"/>
      </rPr>
      <t>2009</t>
    </r>
    <r>
      <rPr>
        <vertAlign val="subscript"/>
        <sz val="11"/>
        <color indexed="8"/>
        <rFont val="Calibri"/>
        <family val="2"/>
      </rPr>
      <t>fc,t-1</t>
    </r>
    <r>
      <rPr>
        <sz val="11"/>
        <color theme="1"/>
        <rFont val="Calibri"/>
        <family val="2"/>
        <scheme val="minor"/>
      </rPr>
      <t>·gGDP</t>
    </r>
    <r>
      <rPr>
        <vertAlign val="subscript"/>
        <sz val="11"/>
        <color indexed="8"/>
        <rFont val="Calibri"/>
        <family val="2"/>
      </rPr>
      <t>fc,t</t>
    </r>
    <r>
      <rPr>
        <sz val="11"/>
        <color theme="1"/>
        <rFont val="Calibri"/>
        <family val="2"/>
        <scheme val="minor"/>
      </rPr>
      <t>/100</t>
    </r>
  </si>
  <si>
    <r>
      <t>VA</t>
    </r>
    <r>
      <rPr>
        <vertAlign val="superscript"/>
        <sz val="11"/>
        <color indexed="8"/>
        <rFont val="Calibri"/>
        <family val="2"/>
      </rPr>
      <t>2009</t>
    </r>
    <r>
      <rPr>
        <vertAlign val="subscript"/>
        <sz val="11"/>
        <color indexed="8"/>
        <rFont val="Calibri"/>
        <family val="2"/>
      </rPr>
      <t>AB,t</t>
    </r>
    <r>
      <rPr>
        <sz val="11"/>
        <color theme="1"/>
        <rFont val="Calibri"/>
        <family val="2"/>
        <scheme val="minor"/>
      </rPr>
      <t xml:space="preserve">  =  VA</t>
    </r>
    <r>
      <rPr>
        <vertAlign val="superscript"/>
        <sz val="11"/>
        <color indexed="8"/>
        <rFont val="Calibri"/>
        <family val="2"/>
      </rPr>
      <t>2009</t>
    </r>
    <r>
      <rPr>
        <vertAlign val="subscript"/>
        <sz val="11"/>
        <color indexed="8"/>
        <rFont val="Calibri"/>
        <family val="2"/>
      </rPr>
      <t>AB,t-1</t>
    </r>
    <r>
      <rPr>
        <sz val="11"/>
        <color theme="1"/>
        <rFont val="Calibri"/>
        <family val="2"/>
        <scheme val="minor"/>
      </rPr>
      <t>·gVA</t>
    </r>
    <r>
      <rPr>
        <vertAlign val="subscript"/>
        <sz val="11"/>
        <color indexed="8"/>
        <rFont val="Calibri"/>
        <family val="2"/>
      </rPr>
      <t>AB,t</t>
    </r>
    <r>
      <rPr>
        <sz val="11"/>
        <color theme="1"/>
        <rFont val="Calibri"/>
        <family val="2"/>
        <scheme val="minor"/>
      </rPr>
      <t>/100</t>
    </r>
  </si>
  <si>
    <r>
      <t>VA</t>
    </r>
    <r>
      <rPr>
        <vertAlign val="superscript"/>
        <sz val="11"/>
        <color indexed="8"/>
        <rFont val="Calibri"/>
        <family val="2"/>
      </rPr>
      <t>2009</t>
    </r>
    <r>
      <rPr>
        <vertAlign val="subscript"/>
        <sz val="11"/>
        <color indexed="8"/>
        <rFont val="Calibri"/>
        <family val="2"/>
      </rPr>
      <t>CDE,t</t>
    </r>
    <r>
      <rPr>
        <sz val="11"/>
        <color theme="1"/>
        <rFont val="Calibri"/>
        <family val="2"/>
        <scheme val="minor"/>
      </rPr>
      <t xml:space="preserve">  =  VA</t>
    </r>
    <r>
      <rPr>
        <vertAlign val="superscript"/>
        <sz val="11"/>
        <color indexed="8"/>
        <rFont val="Calibri"/>
        <family val="2"/>
      </rPr>
      <t>2009</t>
    </r>
    <r>
      <rPr>
        <vertAlign val="subscript"/>
        <sz val="11"/>
        <color indexed="8"/>
        <rFont val="Calibri"/>
        <family val="2"/>
      </rPr>
      <t>CDE,t-1</t>
    </r>
    <r>
      <rPr>
        <sz val="11"/>
        <color theme="1"/>
        <rFont val="Calibri"/>
        <family val="2"/>
        <scheme val="minor"/>
      </rPr>
      <t>·gVA</t>
    </r>
    <r>
      <rPr>
        <vertAlign val="subscript"/>
        <sz val="11"/>
        <color indexed="8"/>
        <rFont val="Calibri"/>
        <family val="2"/>
      </rPr>
      <t>CDE,t</t>
    </r>
    <r>
      <rPr>
        <sz val="11"/>
        <color theme="1"/>
        <rFont val="Calibri"/>
        <family val="2"/>
        <scheme val="minor"/>
      </rPr>
      <t>/100</t>
    </r>
  </si>
  <si>
    <r>
      <t>VA</t>
    </r>
    <r>
      <rPr>
        <vertAlign val="superscript"/>
        <sz val="11"/>
        <color indexed="8"/>
        <rFont val="Calibri"/>
        <family val="2"/>
      </rPr>
      <t>2009</t>
    </r>
    <r>
      <rPr>
        <vertAlign val="subscript"/>
        <sz val="11"/>
        <color indexed="8"/>
        <rFont val="Calibri"/>
        <family val="2"/>
      </rPr>
      <t>F,t</t>
    </r>
    <r>
      <rPr>
        <sz val="11"/>
        <color theme="1"/>
        <rFont val="Calibri"/>
        <family val="2"/>
        <scheme val="minor"/>
      </rPr>
      <t xml:space="preserve">  =  VA</t>
    </r>
    <r>
      <rPr>
        <vertAlign val="superscript"/>
        <sz val="11"/>
        <color indexed="8"/>
        <rFont val="Calibri"/>
        <family val="2"/>
      </rPr>
      <t>2009</t>
    </r>
    <r>
      <rPr>
        <vertAlign val="subscript"/>
        <sz val="11"/>
        <color indexed="8"/>
        <rFont val="Calibri"/>
        <family val="2"/>
      </rPr>
      <t>F,t-1</t>
    </r>
    <r>
      <rPr>
        <sz val="11"/>
        <color theme="1"/>
        <rFont val="Calibri"/>
        <family val="2"/>
        <scheme val="minor"/>
      </rPr>
      <t>·gVA</t>
    </r>
    <r>
      <rPr>
        <vertAlign val="subscript"/>
        <sz val="11"/>
        <color indexed="8"/>
        <rFont val="Calibri"/>
        <family val="2"/>
      </rPr>
      <t>F,t</t>
    </r>
    <r>
      <rPr>
        <sz val="11"/>
        <color theme="1"/>
        <rFont val="Calibri"/>
        <family val="2"/>
        <scheme val="minor"/>
      </rPr>
      <t>/100</t>
    </r>
  </si>
  <si>
    <r>
      <t>VA</t>
    </r>
    <r>
      <rPr>
        <vertAlign val="superscript"/>
        <sz val="11"/>
        <color indexed="8"/>
        <rFont val="Calibri"/>
        <family val="2"/>
      </rPr>
      <t>2009</t>
    </r>
    <r>
      <rPr>
        <vertAlign val="subscript"/>
        <sz val="11"/>
        <color indexed="8"/>
        <rFont val="Calibri"/>
        <family val="2"/>
      </rPr>
      <t>GoodsO,t</t>
    </r>
    <r>
      <rPr>
        <sz val="11"/>
        <color theme="1"/>
        <rFont val="Calibri"/>
        <family val="2"/>
        <scheme val="minor"/>
      </rPr>
      <t xml:space="preserve">  =  VA</t>
    </r>
    <r>
      <rPr>
        <vertAlign val="superscript"/>
        <sz val="11"/>
        <color indexed="8"/>
        <rFont val="Calibri"/>
        <family val="2"/>
      </rPr>
      <t>2009</t>
    </r>
    <r>
      <rPr>
        <vertAlign val="subscript"/>
        <sz val="11"/>
        <color indexed="8"/>
        <rFont val="Calibri"/>
        <family val="2"/>
      </rPr>
      <t>GoodsO,t-1</t>
    </r>
    <r>
      <rPr>
        <sz val="11"/>
        <color theme="1"/>
        <rFont val="Calibri"/>
        <family val="2"/>
        <scheme val="minor"/>
      </rPr>
      <t>·gVA</t>
    </r>
    <r>
      <rPr>
        <vertAlign val="subscript"/>
        <sz val="11"/>
        <color indexed="8"/>
        <rFont val="Calibri"/>
        <family val="2"/>
      </rPr>
      <t>GoodsO,t</t>
    </r>
    <r>
      <rPr>
        <sz val="11"/>
        <color theme="1"/>
        <rFont val="Calibri"/>
        <family val="2"/>
        <scheme val="minor"/>
      </rPr>
      <t>/100</t>
    </r>
  </si>
  <si>
    <r>
      <t>VA</t>
    </r>
    <r>
      <rPr>
        <vertAlign val="superscript"/>
        <sz val="11"/>
        <color indexed="8"/>
        <rFont val="Calibri"/>
        <family val="2"/>
      </rPr>
      <t>2009</t>
    </r>
    <r>
      <rPr>
        <vertAlign val="subscript"/>
        <sz val="11"/>
        <color indexed="8"/>
        <rFont val="Calibri"/>
        <family val="2"/>
      </rPr>
      <t>GH,t</t>
    </r>
    <r>
      <rPr>
        <sz val="11"/>
        <color theme="1"/>
        <rFont val="Calibri"/>
        <family val="2"/>
        <scheme val="minor"/>
      </rPr>
      <t xml:space="preserve">  =  VA</t>
    </r>
    <r>
      <rPr>
        <vertAlign val="superscript"/>
        <sz val="11"/>
        <color indexed="8"/>
        <rFont val="Calibri"/>
        <family val="2"/>
      </rPr>
      <t>2009</t>
    </r>
    <r>
      <rPr>
        <vertAlign val="subscript"/>
        <sz val="11"/>
        <color indexed="8"/>
        <rFont val="Calibri"/>
        <family val="2"/>
      </rPr>
      <t>GH,t-1</t>
    </r>
    <r>
      <rPr>
        <sz val="11"/>
        <color theme="1"/>
        <rFont val="Calibri"/>
        <family val="2"/>
        <scheme val="minor"/>
      </rPr>
      <t>·gVA</t>
    </r>
    <r>
      <rPr>
        <vertAlign val="subscript"/>
        <sz val="11"/>
        <color indexed="8"/>
        <rFont val="Calibri"/>
        <family val="2"/>
      </rPr>
      <t>GH,t</t>
    </r>
    <r>
      <rPr>
        <sz val="11"/>
        <color theme="1"/>
        <rFont val="Calibri"/>
        <family val="2"/>
        <scheme val="minor"/>
      </rPr>
      <t>/100</t>
    </r>
  </si>
  <si>
    <r>
      <t>VA</t>
    </r>
    <r>
      <rPr>
        <vertAlign val="superscript"/>
        <sz val="11"/>
        <color indexed="8"/>
        <rFont val="Calibri"/>
        <family val="2"/>
      </rPr>
      <t>2009</t>
    </r>
    <r>
      <rPr>
        <vertAlign val="subscript"/>
        <sz val="11"/>
        <color indexed="8"/>
        <rFont val="Calibri"/>
        <family val="2"/>
      </rPr>
      <t>I,t</t>
    </r>
    <r>
      <rPr>
        <sz val="11"/>
        <color theme="1"/>
        <rFont val="Calibri"/>
        <family val="2"/>
        <scheme val="minor"/>
      </rPr>
      <t xml:space="preserve">  =  VA</t>
    </r>
    <r>
      <rPr>
        <vertAlign val="superscript"/>
        <sz val="11"/>
        <color indexed="8"/>
        <rFont val="Calibri"/>
        <family val="2"/>
      </rPr>
      <t>2009</t>
    </r>
    <r>
      <rPr>
        <vertAlign val="subscript"/>
        <sz val="11"/>
        <color indexed="8"/>
        <rFont val="Calibri"/>
        <family val="2"/>
      </rPr>
      <t>I,t-1</t>
    </r>
    <r>
      <rPr>
        <sz val="11"/>
        <color theme="1"/>
        <rFont val="Calibri"/>
        <family val="2"/>
        <scheme val="minor"/>
      </rPr>
      <t>·gVA</t>
    </r>
    <r>
      <rPr>
        <vertAlign val="subscript"/>
        <sz val="11"/>
        <color indexed="8"/>
        <rFont val="Calibri"/>
        <family val="2"/>
      </rPr>
      <t>I,t</t>
    </r>
    <r>
      <rPr>
        <sz val="11"/>
        <color theme="1"/>
        <rFont val="Calibri"/>
        <family val="2"/>
        <scheme val="minor"/>
      </rPr>
      <t>/100</t>
    </r>
  </si>
  <si>
    <r>
      <t>VA</t>
    </r>
    <r>
      <rPr>
        <vertAlign val="superscript"/>
        <sz val="11"/>
        <color indexed="8"/>
        <rFont val="Calibri"/>
        <family val="2"/>
      </rPr>
      <t>2009</t>
    </r>
    <r>
      <rPr>
        <vertAlign val="subscript"/>
        <sz val="11"/>
        <color indexed="8"/>
        <rFont val="Calibri"/>
        <family val="2"/>
      </rPr>
      <t>Other,t</t>
    </r>
    <r>
      <rPr>
        <sz val="11"/>
        <color theme="1"/>
        <rFont val="Calibri"/>
        <family val="2"/>
        <scheme val="minor"/>
      </rPr>
      <t xml:space="preserve">  =  VA</t>
    </r>
    <r>
      <rPr>
        <vertAlign val="superscript"/>
        <sz val="11"/>
        <color indexed="8"/>
        <rFont val="Calibri"/>
        <family val="2"/>
      </rPr>
      <t>2009</t>
    </r>
    <r>
      <rPr>
        <vertAlign val="subscript"/>
        <sz val="11"/>
        <color indexed="8"/>
        <rFont val="Calibri"/>
        <family val="2"/>
      </rPr>
      <t>Other,t-1</t>
    </r>
    <r>
      <rPr>
        <sz val="11"/>
        <color theme="1"/>
        <rFont val="Calibri"/>
        <family val="2"/>
        <scheme val="minor"/>
      </rPr>
      <t>·gVA</t>
    </r>
    <r>
      <rPr>
        <vertAlign val="subscript"/>
        <sz val="11"/>
        <color indexed="8"/>
        <rFont val="Calibri"/>
        <family val="2"/>
      </rPr>
      <t>Other,t</t>
    </r>
    <r>
      <rPr>
        <sz val="11"/>
        <color theme="1"/>
        <rFont val="Calibri"/>
        <family val="2"/>
        <scheme val="minor"/>
      </rPr>
      <t>/100</t>
    </r>
  </si>
  <si>
    <r>
      <t>VA</t>
    </r>
    <r>
      <rPr>
        <vertAlign val="superscript"/>
        <sz val="11"/>
        <color indexed="8"/>
        <rFont val="Calibri"/>
        <family val="2"/>
      </rPr>
      <t>2009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 xml:space="preserve">  =  VA</t>
    </r>
    <r>
      <rPr>
        <vertAlign val="superscript"/>
        <sz val="11"/>
        <color indexed="8"/>
        <rFont val="Calibri"/>
        <family val="2"/>
      </rPr>
      <t>2009</t>
    </r>
    <r>
      <rPr>
        <vertAlign val="subscript"/>
        <sz val="11"/>
        <color indexed="8"/>
        <rFont val="Calibri"/>
        <family val="2"/>
      </rPr>
      <t>Goods,t-1</t>
    </r>
    <r>
      <rPr>
        <sz val="11"/>
        <color theme="1"/>
        <rFont val="Calibri"/>
        <family val="2"/>
        <scheme val="minor"/>
      </rPr>
      <t>·gVA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>/100</t>
    </r>
  </si>
  <si>
    <r>
      <t>VA</t>
    </r>
    <r>
      <rPr>
        <vertAlign val="superscript"/>
        <sz val="11"/>
        <color indexed="8"/>
        <rFont val="Calibri"/>
        <family val="2"/>
      </rPr>
      <t>2009</t>
    </r>
    <r>
      <rPr>
        <vertAlign val="subscript"/>
        <sz val="11"/>
        <color indexed="8"/>
        <rFont val="Calibri"/>
        <family val="2"/>
      </rPr>
      <t>Services,t</t>
    </r>
    <r>
      <rPr>
        <sz val="11"/>
        <color theme="1"/>
        <rFont val="Calibri"/>
        <family val="2"/>
        <scheme val="minor"/>
      </rPr>
      <t xml:space="preserve">  =  VA</t>
    </r>
    <r>
      <rPr>
        <vertAlign val="superscript"/>
        <sz val="11"/>
        <color indexed="8"/>
        <rFont val="Calibri"/>
        <family val="2"/>
      </rPr>
      <t>2009</t>
    </r>
    <r>
      <rPr>
        <vertAlign val="subscript"/>
        <sz val="11"/>
        <color indexed="8"/>
        <rFont val="Calibri"/>
        <family val="2"/>
      </rPr>
      <t>Services,t-1</t>
    </r>
    <r>
      <rPr>
        <sz val="11"/>
        <color theme="1"/>
        <rFont val="Calibri"/>
        <family val="2"/>
        <scheme val="minor"/>
      </rPr>
      <t>·gVA</t>
    </r>
    <r>
      <rPr>
        <vertAlign val="subscript"/>
        <sz val="11"/>
        <color indexed="8"/>
        <rFont val="Calibri"/>
        <family val="2"/>
      </rPr>
      <t>Servces,t</t>
    </r>
    <r>
      <rPr>
        <sz val="11"/>
        <color theme="1"/>
        <rFont val="Calibri"/>
        <family val="2"/>
        <scheme val="minor"/>
      </rPr>
      <t>/100</t>
    </r>
  </si>
  <si>
    <r>
      <t>defGDP</t>
    </r>
    <r>
      <rPr>
        <vertAlign val="subscript"/>
        <sz val="11"/>
        <color indexed="8"/>
        <rFont val="Calibri"/>
        <family val="2"/>
      </rPr>
      <t>mp,t</t>
    </r>
    <r>
      <rPr>
        <sz val="11"/>
        <color theme="1"/>
        <rFont val="Calibri"/>
        <family val="2"/>
        <scheme val="minor"/>
      </rPr>
      <t xml:space="preserve">  =  GDP</t>
    </r>
    <r>
      <rPr>
        <vertAlign val="subscript"/>
        <sz val="11"/>
        <color indexed="8"/>
        <rFont val="Calibri"/>
        <family val="2"/>
      </rPr>
      <t>mp,t</t>
    </r>
    <r>
      <rPr>
        <sz val="11"/>
        <color theme="1"/>
        <rFont val="Calibri"/>
        <family val="2"/>
        <scheme val="minor"/>
      </rPr>
      <t>/GDP</t>
    </r>
    <r>
      <rPr>
        <vertAlign val="subscript"/>
        <sz val="11"/>
        <color indexed="8"/>
        <rFont val="Calibri"/>
        <family val="2"/>
      </rPr>
      <t>mp,t-1</t>
    </r>
    <r>
      <rPr>
        <sz val="11"/>
        <color theme="1"/>
        <rFont val="Calibri"/>
        <family val="2"/>
        <scheme val="minor"/>
      </rPr>
      <t>/gGDP</t>
    </r>
    <r>
      <rPr>
        <vertAlign val="subscript"/>
        <sz val="11"/>
        <color indexed="8"/>
        <rFont val="Calibri"/>
        <family val="2"/>
      </rPr>
      <t>mp,t</t>
    </r>
    <r>
      <rPr>
        <sz val="11"/>
        <color theme="1"/>
        <rFont val="Calibri"/>
        <family val="2"/>
        <scheme val="minor"/>
      </rPr>
      <t>·10000</t>
    </r>
  </si>
  <si>
    <r>
      <t>defNIT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NIT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/NIT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/gNIT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·10000</t>
    </r>
  </si>
  <si>
    <r>
      <t>defGDP</t>
    </r>
    <r>
      <rPr>
        <vertAlign val="subscript"/>
        <sz val="11"/>
        <color indexed="8"/>
        <rFont val="Calibri"/>
        <family val="2"/>
      </rPr>
      <t>fc,t</t>
    </r>
    <r>
      <rPr>
        <sz val="11"/>
        <color theme="1"/>
        <rFont val="Calibri"/>
        <family val="2"/>
        <scheme val="minor"/>
      </rPr>
      <t xml:space="preserve">  =  GDP</t>
    </r>
    <r>
      <rPr>
        <vertAlign val="subscript"/>
        <sz val="11"/>
        <color indexed="8"/>
        <rFont val="Calibri"/>
        <family val="2"/>
      </rPr>
      <t>fc,t</t>
    </r>
    <r>
      <rPr>
        <sz val="11"/>
        <color theme="1"/>
        <rFont val="Calibri"/>
        <family val="2"/>
        <scheme val="minor"/>
      </rPr>
      <t>/GDP</t>
    </r>
    <r>
      <rPr>
        <vertAlign val="subscript"/>
        <sz val="11"/>
        <color indexed="8"/>
        <rFont val="Calibri"/>
        <family val="2"/>
      </rPr>
      <t>fc,t-1</t>
    </r>
    <r>
      <rPr>
        <sz val="11"/>
        <color theme="1"/>
        <rFont val="Calibri"/>
        <family val="2"/>
        <scheme val="minor"/>
      </rPr>
      <t>/gGDP</t>
    </r>
    <r>
      <rPr>
        <vertAlign val="subscript"/>
        <sz val="11"/>
        <color indexed="8"/>
        <rFont val="Calibri"/>
        <family val="2"/>
      </rPr>
      <t>fc,t</t>
    </r>
    <r>
      <rPr>
        <sz val="11"/>
        <color theme="1"/>
        <rFont val="Calibri"/>
        <family val="2"/>
        <scheme val="minor"/>
      </rPr>
      <t>·10000</t>
    </r>
  </si>
  <si>
    <r>
      <t>defVA</t>
    </r>
    <r>
      <rPr>
        <vertAlign val="subscript"/>
        <sz val="11"/>
        <color indexed="8"/>
        <rFont val="Calibri"/>
        <family val="2"/>
      </rPr>
      <t>AB,t</t>
    </r>
    <r>
      <rPr>
        <sz val="11"/>
        <color theme="1"/>
        <rFont val="Calibri"/>
        <family val="2"/>
        <scheme val="minor"/>
      </rPr>
      <t xml:space="preserve">  =  defVA</t>
    </r>
    <r>
      <rPr>
        <vertAlign val="subscript"/>
        <sz val="11"/>
        <color indexed="8"/>
        <rFont val="Calibri"/>
        <family val="2"/>
      </rPr>
      <t>AB,t</t>
    </r>
    <r>
      <rPr>
        <sz val="11"/>
        <color theme="1"/>
        <rFont val="Calibri"/>
        <family val="2"/>
        <scheme val="minor"/>
      </rPr>
      <t>+100</t>
    </r>
  </si>
  <si>
    <r>
      <t>defVA</t>
    </r>
    <r>
      <rPr>
        <vertAlign val="subscript"/>
        <sz val="11"/>
        <color indexed="8"/>
        <rFont val="Calibri"/>
        <family val="2"/>
      </rPr>
      <t>CDE,t</t>
    </r>
    <r>
      <rPr>
        <sz val="11"/>
        <color theme="1"/>
        <rFont val="Calibri"/>
        <family val="2"/>
        <scheme val="minor"/>
      </rPr>
      <t xml:space="preserve">  =  VA</t>
    </r>
    <r>
      <rPr>
        <vertAlign val="subscript"/>
        <sz val="11"/>
        <color indexed="8"/>
        <rFont val="Calibri"/>
        <family val="2"/>
      </rPr>
      <t>CDE,t</t>
    </r>
    <r>
      <rPr>
        <sz val="11"/>
        <color theme="1"/>
        <rFont val="Calibri"/>
        <family val="2"/>
        <scheme val="minor"/>
      </rPr>
      <t>/VA</t>
    </r>
    <r>
      <rPr>
        <vertAlign val="subscript"/>
        <sz val="11"/>
        <color indexed="8"/>
        <rFont val="Calibri"/>
        <family val="2"/>
      </rPr>
      <t>CDE,t-1</t>
    </r>
    <r>
      <rPr>
        <sz val="11"/>
        <color theme="1"/>
        <rFont val="Calibri"/>
        <family val="2"/>
        <scheme val="minor"/>
      </rPr>
      <t>/gVA</t>
    </r>
    <r>
      <rPr>
        <vertAlign val="subscript"/>
        <sz val="11"/>
        <color indexed="8"/>
        <rFont val="Calibri"/>
        <family val="2"/>
      </rPr>
      <t>CDE,t</t>
    </r>
    <r>
      <rPr>
        <sz val="11"/>
        <color theme="1"/>
        <rFont val="Calibri"/>
        <family val="2"/>
        <scheme val="minor"/>
      </rPr>
      <t>·10000</t>
    </r>
  </si>
  <si>
    <r>
      <t>defVA</t>
    </r>
    <r>
      <rPr>
        <vertAlign val="subscript"/>
        <sz val="11"/>
        <color indexed="8"/>
        <rFont val="Calibri"/>
        <family val="2"/>
      </rPr>
      <t>F,t</t>
    </r>
    <r>
      <rPr>
        <sz val="11"/>
        <color theme="1"/>
        <rFont val="Calibri"/>
        <family val="2"/>
        <scheme val="minor"/>
      </rPr>
      <t xml:space="preserve">  =  VA</t>
    </r>
    <r>
      <rPr>
        <vertAlign val="subscript"/>
        <sz val="11"/>
        <color indexed="8"/>
        <rFont val="Calibri"/>
        <family val="2"/>
      </rPr>
      <t>F,t</t>
    </r>
    <r>
      <rPr>
        <sz val="11"/>
        <color theme="1"/>
        <rFont val="Calibri"/>
        <family val="2"/>
        <scheme val="minor"/>
      </rPr>
      <t>/VA</t>
    </r>
    <r>
      <rPr>
        <vertAlign val="subscript"/>
        <sz val="11"/>
        <color indexed="8"/>
        <rFont val="Calibri"/>
        <family val="2"/>
      </rPr>
      <t>F,t-1</t>
    </r>
    <r>
      <rPr>
        <sz val="11"/>
        <color theme="1"/>
        <rFont val="Calibri"/>
        <family val="2"/>
        <scheme val="minor"/>
      </rPr>
      <t>/gVA</t>
    </r>
    <r>
      <rPr>
        <vertAlign val="subscript"/>
        <sz val="11"/>
        <color indexed="8"/>
        <rFont val="Calibri"/>
        <family val="2"/>
      </rPr>
      <t>F,t</t>
    </r>
    <r>
      <rPr>
        <sz val="11"/>
        <color theme="1"/>
        <rFont val="Calibri"/>
        <family val="2"/>
        <scheme val="minor"/>
      </rPr>
      <t>·10000</t>
    </r>
  </si>
  <si>
    <r>
      <t>defVA</t>
    </r>
    <r>
      <rPr>
        <vertAlign val="subscript"/>
        <sz val="11"/>
        <color indexed="8"/>
        <rFont val="Calibri"/>
        <family val="2"/>
      </rPr>
      <t>GoodsO,t</t>
    </r>
    <r>
      <rPr>
        <sz val="11"/>
        <color theme="1"/>
        <rFont val="Calibri"/>
        <family val="2"/>
        <scheme val="minor"/>
      </rPr>
      <t xml:space="preserve">  =  VA</t>
    </r>
    <r>
      <rPr>
        <vertAlign val="subscript"/>
        <sz val="11"/>
        <color indexed="8"/>
        <rFont val="Calibri"/>
        <family val="2"/>
      </rPr>
      <t>GoodsO,t</t>
    </r>
    <r>
      <rPr>
        <sz val="11"/>
        <color theme="1"/>
        <rFont val="Calibri"/>
        <family val="2"/>
        <scheme val="minor"/>
      </rPr>
      <t>/VA</t>
    </r>
    <r>
      <rPr>
        <vertAlign val="subscript"/>
        <sz val="11"/>
        <color indexed="8"/>
        <rFont val="Calibri"/>
        <family val="2"/>
      </rPr>
      <t>GoodsO,t-1</t>
    </r>
    <r>
      <rPr>
        <sz val="11"/>
        <color theme="1"/>
        <rFont val="Calibri"/>
        <family val="2"/>
        <scheme val="minor"/>
      </rPr>
      <t>/gVA</t>
    </r>
    <r>
      <rPr>
        <vertAlign val="subscript"/>
        <sz val="11"/>
        <color indexed="8"/>
        <rFont val="Calibri"/>
        <family val="2"/>
      </rPr>
      <t>GoodsO,t</t>
    </r>
    <r>
      <rPr>
        <sz val="11"/>
        <color theme="1"/>
        <rFont val="Calibri"/>
        <family val="2"/>
        <scheme val="minor"/>
      </rPr>
      <t>·10000</t>
    </r>
  </si>
  <si>
    <r>
      <t>defVA</t>
    </r>
    <r>
      <rPr>
        <vertAlign val="subscript"/>
        <sz val="11"/>
        <color indexed="8"/>
        <rFont val="Calibri"/>
        <family val="2"/>
      </rPr>
      <t>GH,t</t>
    </r>
    <r>
      <rPr>
        <sz val="11"/>
        <color theme="1"/>
        <rFont val="Calibri"/>
        <family val="2"/>
        <scheme val="minor"/>
      </rPr>
      <t xml:space="preserve">  =  defRET</t>
    </r>
    <r>
      <rPr>
        <vertAlign val="subscript"/>
        <sz val="11"/>
        <color indexed="8"/>
        <rFont val="Calibri"/>
        <family val="2"/>
      </rPr>
      <t>t</t>
    </r>
  </si>
  <si>
    <r>
      <t>defVA</t>
    </r>
    <r>
      <rPr>
        <vertAlign val="subscript"/>
        <sz val="11"/>
        <color indexed="8"/>
        <rFont val="Calibri"/>
        <family val="2"/>
      </rPr>
      <t>I,t</t>
    </r>
    <r>
      <rPr>
        <sz val="11"/>
        <color theme="1"/>
        <rFont val="Calibri"/>
        <family val="2"/>
        <scheme val="minor"/>
      </rPr>
      <t xml:space="preserve">  =  VA</t>
    </r>
    <r>
      <rPr>
        <vertAlign val="subscript"/>
        <sz val="11"/>
        <color indexed="8"/>
        <rFont val="Calibri"/>
        <family val="2"/>
      </rPr>
      <t>I,t</t>
    </r>
    <r>
      <rPr>
        <sz val="11"/>
        <color theme="1"/>
        <rFont val="Calibri"/>
        <family val="2"/>
        <scheme val="minor"/>
      </rPr>
      <t>/VA</t>
    </r>
    <r>
      <rPr>
        <vertAlign val="subscript"/>
        <sz val="11"/>
        <color indexed="8"/>
        <rFont val="Calibri"/>
        <family val="2"/>
      </rPr>
      <t>I,t-1</t>
    </r>
    <r>
      <rPr>
        <sz val="11"/>
        <color theme="1"/>
        <rFont val="Calibri"/>
        <family val="2"/>
        <scheme val="minor"/>
      </rPr>
      <t>/gVA</t>
    </r>
    <r>
      <rPr>
        <vertAlign val="subscript"/>
        <sz val="11"/>
        <color indexed="8"/>
        <rFont val="Calibri"/>
        <family val="2"/>
      </rPr>
      <t>I,t</t>
    </r>
    <r>
      <rPr>
        <sz val="11"/>
        <color theme="1"/>
        <rFont val="Calibri"/>
        <family val="2"/>
        <scheme val="minor"/>
      </rPr>
      <t>·10000</t>
    </r>
  </si>
  <si>
    <r>
      <t>defVA</t>
    </r>
    <r>
      <rPr>
        <vertAlign val="subscript"/>
        <sz val="11"/>
        <color indexed="8"/>
        <rFont val="Calibri"/>
        <family val="2"/>
      </rPr>
      <t>Other,t</t>
    </r>
    <r>
      <rPr>
        <sz val="11"/>
        <color theme="1"/>
        <rFont val="Calibri"/>
        <family val="2"/>
        <scheme val="minor"/>
      </rPr>
      <t xml:space="preserve">  =  VA</t>
    </r>
    <r>
      <rPr>
        <vertAlign val="subscript"/>
        <sz val="11"/>
        <color indexed="8"/>
        <rFont val="Calibri"/>
        <family val="2"/>
      </rPr>
      <t>Other,t</t>
    </r>
    <r>
      <rPr>
        <sz val="11"/>
        <color theme="1"/>
        <rFont val="Calibri"/>
        <family val="2"/>
        <scheme val="minor"/>
      </rPr>
      <t>/VA</t>
    </r>
    <r>
      <rPr>
        <vertAlign val="subscript"/>
        <sz val="11"/>
        <color indexed="8"/>
        <rFont val="Calibri"/>
        <family val="2"/>
      </rPr>
      <t>Other,t-1</t>
    </r>
    <r>
      <rPr>
        <sz val="11"/>
        <color theme="1"/>
        <rFont val="Calibri"/>
        <family val="2"/>
        <scheme val="minor"/>
      </rPr>
      <t>/gVA</t>
    </r>
    <r>
      <rPr>
        <vertAlign val="subscript"/>
        <sz val="11"/>
        <color indexed="8"/>
        <rFont val="Calibri"/>
        <family val="2"/>
      </rPr>
      <t>Other,t</t>
    </r>
    <r>
      <rPr>
        <sz val="11"/>
        <color theme="1"/>
        <rFont val="Calibri"/>
        <family val="2"/>
        <scheme val="minor"/>
      </rPr>
      <t>·10000</t>
    </r>
  </si>
  <si>
    <r>
      <t>defVA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 xml:space="preserve">  =  VA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>/VA</t>
    </r>
    <r>
      <rPr>
        <vertAlign val="subscript"/>
        <sz val="11"/>
        <color indexed="8"/>
        <rFont val="Calibri"/>
        <family val="2"/>
      </rPr>
      <t>Goods,t-1</t>
    </r>
    <r>
      <rPr>
        <sz val="11"/>
        <color theme="1"/>
        <rFont val="Calibri"/>
        <family val="2"/>
        <scheme val="minor"/>
      </rPr>
      <t>/gVA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>·10000</t>
    </r>
  </si>
  <si>
    <r>
      <t>defVA</t>
    </r>
    <r>
      <rPr>
        <vertAlign val="subscript"/>
        <sz val="11"/>
        <color indexed="8"/>
        <rFont val="Calibri"/>
        <family val="2"/>
      </rPr>
      <t>Servces,t</t>
    </r>
    <r>
      <rPr>
        <sz val="11"/>
        <color theme="1"/>
        <rFont val="Calibri"/>
        <family val="2"/>
        <scheme val="minor"/>
      </rPr>
      <t xml:space="preserve">  =  VA</t>
    </r>
    <r>
      <rPr>
        <vertAlign val="subscript"/>
        <sz val="11"/>
        <color indexed="8"/>
        <rFont val="Calibri"/>
        <family val="2"/>
      </rPr>
      <t>Servces,t</t>
    </r>
    <r>
      <rPr>
        <sz val="11"/>
        <color theme="1"/>
        <rFont val="Calibri"/>
        <family val="2"/>
        <scheme val="minor"/>
      </rPr>
      <t>/VA</t>
    </r>
    <r>
      <rPr>
        <vertAlign val="subscript"/>
        <sz val="11"/>
        <color indexed="8"/>
        <rFont val="Calibri"/>
        <family val="2"/>
      </rPr>
      <t>Servces,t-1</t>
    </r>
    <r>
      <rPr>
        <sz val="11"/>
        <color theme="1"/>
        <rFont val="Calibri"/>
        <family val="2"/>
        <scheme val="minor"/>
      </rPr>
      <t>/gVA</t>
    </r>
    <r>
      <rPr>
        <vertAlign val="subscript"/>
        <sz val="11"/>
        <color indexed="8"/>
        <rFont val="Calibri"/>
        <family val="2"/>
      </rPr>
      <t>Servces,t</t>
    </r>
    <r>
      <rPr>
        <sz val="11"/>
        <color theme="1"/>
        <rFont val="Calibri"/>
        <family val="2"/>
        <scheme val="minor"/>
      </rPr>
      <t>·10000</t>
    </r>
  </si>
  <si>
    <r>
      <t>FC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 xml:space="preserve">  =  G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>+C</t>
    </r>
    <r>
      <rPr>
        <vertAlign val="subscript"/>
        <sz val="11"/>
        <color indexed="8"/>
        <rFont val="Calibri"/>
        <family val="2"/>
      </rPr>
      <t>H,t</t>
    </r>
  </si>
  <si>
    <r>
      <t>C</t>
    </r>
    <r>
      <rPr>
        <vertAlign val="subscript"/>
        <sz val="11"/>
        <color indexed="8"/>
        <rFont val="Calibri"/>
        <family val="2"/>
      </rPr>
      <t>H,t</t>
    </r>
    <r>
      <rPr>
        <sz val="11"/>
        <color theme="1"/>
        <rFont val="Calibri"/>
        <family val="2"/>
        <scheme val="minor"/>
      </rPr>
      <t xml:space="preserve">  =  C</t>
    </r>
    <r>
      <rPr>
        <vertAlign val="subscript"/>
        <sz val="11"/>
        <color indexed="8"/>
        <rFont val="Calibri"/>
        <family val="2"/>
      </rPr>
      <t>H,t-1</t>
    </r>
    <r>
      <rPr>
        <sz val="11"/>
        <color theme="1"/>
        <rFont val="Calibri"/>
        <family val="2"/>
        <scheme val="minor"/>
      </rPr>
      <t>·DI</t>
    </r>
    <r>
      <rPr>
        <vertAlign val="superscript"/>
        <sz val="11"/>
        <color indexed="8"/>
        <rFont val="Calibri"/>
        <family val="2"/>
      </rPr>
      <t>HH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/DI</t>
    </r>
    <r>
      <rPr>
        <vertAlign val="superscript"/>
        <sz val="11"/>
        <color indexed="8"/>
        <rFont val="Calibri"/>
        <family val="2"/>
      </rPr>
      <t>HH</t>
    </r>
    <r>
      <rPr>
        <vertAlign val="subscript"/>
        <sz val="11"/>
        <color indexed="8"/>
        <rFont val="Calibri"/>
        <family val="2"/>
      </rPr>
      <t>t-1</t>
    </r>
  </si>
  <si>
    <r>
      <t>C</t>
    </r>
    <r>
      <rPr>
        <vertAlign val="superscript"/>
        <sz val="11"/>
        <color indexed="8"/>
        <rFont val="Calibri"/>
        <family val="2"/>
      </rPr>
      <t>MRKT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RET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+SER</t>
    </r>
    <r>
      <rPr>
        <vertAlign val="subscript"/>
        <sz val="11"/>
        <color indexed="8"/>
        <rFont val="Calibri"/>
        <family val="2"/>
      </rPr>
      <t>t</t>
    </r>
  </si>
  <si>
    <r>
      <t>C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C</t>
    </r>
    <r>
      <rPr>
        <vertAlign val="subscript"/>
        <sz val="11"/>
        <color indexed="8"/>
        <rFont val="Calibri"/>
        <family val="2"/>
      </rPr>
      <t>H,t</t>
    </r>
    <r>
      <rPr>
        <sz val="11"/>
        <color theme="1"/>
        <rFont val="Calibri"/>
        <family val="2"/>
        <scheme val="minor"/>
      </rPr>
      <t>-C</t>
    </r>
    <r>
      <rPr>
        <vertAlign val="superscript"/>
        <sz val="11"/>
        <color indexed="8"/>
        <rFont val="Calibri"/>
        <family val="2"/>
      </rPr>
      <t>MRKT</t>
    </r>
    <r>
      <rPr>
        <vertAlign val="subscript"/>
        <sz val="11"/>
        <color indexed="8"/>
        <rFont val="Calibri"/>
        <family val="2"/>
      </rPr>
      <t>t</t>
    </r>
  </si>
  <si>
    <r>
      <t>G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 xml:space="preserve">  =  (G</t>
    </r>
    <r>
      <rPr>
        <vertAlign val="subscript"/>
        <sz val="11"/>
        <color indexed="8"/>
        <rFont val="Calibri"/>
        <family val="2"/>
      </rPr>
      <t>,t-1</t>
    </r>
    <r>
      <rPr>
        <sz val="11"/>
        <color theme="1"/>
        <rFont val="Calibri"/>
        <family val="2"/>
        <scheme val="minor"/>
      </rPr>
      <t>-G</t>
    </r>
    <r>
      <rPr>
        <vertAlign val="superscript"/>
        <sz val="11"/>
        <color indexed="8"/>
        <rFont val="Calibri"/>
        <family val="2"/>
      </rPr>
      <t>NTrr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)·GDP</t>
    </r>
    <r>
      <rPr>
        <vertAlign val="subscript"/>
        <sz val="11"/>
        <color indexed="8"/>
        <rFont val="Calibri"/>
        <family val="2"/>
      </rPr>
      <t>mp,t</t>
    </r>
    <r>
      <rPr>
        <sz val="11"/>
        <color theme="1"/>
        <rFont val="Calibri"/>
        <family val="2"/>
        <scheme val="minor"/>
      </rPr>
      <t>/GDP</t>
    </r>
    <r>
      <rPr>
        <vertAlign val="subscript"/>
        <sz val="11"/>
        <color indexed="8"/>
        <rFont val="Calibri"/>
        <family val="2"/>
      </rPr>
      <t>mp,t-1</t>
    </r>
    <r>
      <rPr>
        <sz val="11"/>
        <color theme="1"/>
        <rFont val="Calibri"/>
        <family val="2"/>
        <scheme val="minor"/>
      </rPr>
      <t>+G</t>
    </r>
    <r>
      <rPr>
        <vertAlign val="superscript"/>
        <sz val="11"/>
        <color indexed="8"/>
        <rFont val="Calibri"/>
        <family val="2"/>
      </rPr>
      <t>NTrr</t>
    </r>
    <r>
      <rPr>
        <vertAlign val="subscript"/>
        <sz val="11"/>
        <color indexed="8"/>
        <rFont val="Calibri"/>
        <family val="2"/>
      </rPr>
      <t>t</t>
    </r>
  </si>
  <si>
    <r>
      <t>G</t>
    </r>
    <r>
      <rPr>
        <vertAlign val="superscript"/>
        <sz val="11"/>
        <color indexed="8"/>
        <rFont val="Calibri"/>
        <family val="2"/>
      </rPr>
      <t>NTrr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Tr</t>
    </r>
    <r>
      <rPr>
        <vertAlign val="superscript"/>
        <sz val="11"/>
        <color indexed="8"/>
        <rFont val="Calibri"/>
        <family val="2"/>
      </rPr>
      <t>NAT</t>
    </r>
    <r>
      <rPr>
        <vertAlign val="subscript"/>
        <sz val="11"/>
        <color indexed="8"/>
        <rFont val="Calibri"/>
        <family val="2"/>
      </rPr>
      <t>G,t</t>
    </r>
  </si>
  <si>
    <r>
      <t>Inv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GDP</t>
    </r>
    <r>
      <rPr>
        <vertAlign val="subscript"/>
        <sz val="11"/>
        <color indexed="8"/>
        <rFont val="Calibri"/>
        <family val="2"/>
      </rPr>
      <t>mp,t</t>
    </r>
    <r>
      <rPr>
        <sz val="11"/>
        <color theme="1"/>
        <rFont val="Calibri"/>
        <family val="2"/>
        <scheme val="minor"/>
      </rPr>
      <t>-Ex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>-Im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>-FC</t>
    </r>
    <r>
      <rPr>
        <vertAlign val="subscript"/>
        <sz val="11"/>
        <color indexed="8"/>
        <rFont val="Calibri"/>
        <family val="2"/>
      </rPr>
      <t>,t</t>
    </r>
  </si>
  <si>
    <r>
      <t>Inv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F,t</t>
    </r>
    <r>
      <rPr>
        <sz val="11"/>
        <color theme="1"/>
        <rFont val="Calibri"/>
        <family val="2"/>
        <scheme val="minor"/>
      </rPr>
      <t xml:space="preserve">  =  Inv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·0,97</t>
    </r>
  </si>
  <si>
    <r>
      <t>CiI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Inv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-Inv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F,t</t>
    </r>
  </si>
  <si>
    <r>
      <t>Ex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 xml:space="preserve">  =  (EX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+EX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Serv,t</t>
    </r>
    <r>
      <rPr>
        <sz val="11"/>
        <color theme="1"/>
        <rFont val="Calibri"/>
        <family val="2"/>
        <scheme val="minor"/>
      </rPr>
      <t>)·er</t>
    </r>
    <r>
      <rPr>
        <vertAlign val="superscript"/>
        <sz val="11"/>
        <color indexed="8"/>
        <rFont val="Calibri"/>
        <family val="2"/>
      </rPr>
      <t>USD</t>
    </r>
    <r>
      <rPr>
        <vertAlign val="subscript"/>
        <sz val="11"/>
        <color indexed="8"/>
        <rFont val="Calibri"/>
        <family val="2"/>
      </rPr>
      <t>t</t>
    </r>
  </si>
  <si>
    <r>
      <t>Im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 xml:space="preserve">  =  -(IM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Serv,t</t>
    </r>
    <r>
      <rPr>
        <sz val="11"/>
        <color theme="1"/>
        <rFont val="Calibri"/>
        <family val="2"/>
        <scheme val="minor"/>
      </rPr>
      <t>+IM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>)·er</t>
    </r>
    <r>
      <rPr>
        <vertAlign val="superscript"/>
        <sz val="11"/>
        <color indexed="8"/>
        <rFont val="Calibri"/>
        <family val="2"/>
      </rPr>
      <t>USD</t>
    </r>
    <r>
      <rPr>
        <vertAlign val="subscript"/>
        <sz val="11"/>
        <color indexed="8"/>
        <rFont val="Calibri"/>
        <family val="2"/>
      </rPr>
      <t>t</t>
    </r>
  </si>
  <si>
    <r>
      <t>gGDP</t>
    </r>
    <r>
      <rPr>
        <vertAlign val="subscript"/>
        <sz val="11"/>
        <color indexed="8"/>
        <rFont val="Calibri"/>
        <family val="2"/>
      </rPr>
      <t>mp,t</t>
    </r>
    <r>
      <rPr>
        <sz val="11"/>
        <color theme="1"/>
        <rFont val="Calibri"/>
        <family val="2"/>
        <scheme val="minor"/>
      </rPr>
      <t xml:space="preserve">  =  (gEx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>·Ex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,t-1</t>
    </r>
    <r>
      <rPr>
        <sz val="11"/>
        <color theme="1"/>
        <rFont val="Calibri"/>
        <family val="2"/>
        <scheme val="minor"/>
      </rPr>
      <t>+gIm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>·Im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,t-1</t>
    </r>
    <r>
      <rPr>
        <sz val="11"/>
        <color theme="1"/>
        <rFont val="Calibri"/>
        <family val="2"/>
        <scheme val="minor"/>
      </rPr>
      <t>+gInv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·Inv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+gC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·C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+C</t>
    </r>
    <r>
      <rPr>
        <vertAlign val="superscript"/>
        <sz val="11"/>
        <color indexed="8"/>
        <rFont val="Calibri"/>
        <family val="2"/>
      </rPr>
      <t>MRKT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·gC</t>
    </r>
    <r>
      <rPr>
        <vertAlign val="superscript"/>
        <sz val="11"/>
        <color indexed="8"/>
        <rFont val="Calibri"/>
        <family val="2"/>
      </rPr>
      <t>MRKT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+gG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>·G</t>
    </r>
    <r>
      <rPr>
        <vertAlign val="subscript"/>
        <sz val="11"/>
        <color indexed="8"/>
        <rFont val="Calibri"/>
        <family val="2"/>
      </rPr>
      <t>,t-1</t>
    </r>
    <r>
      <rPr>
        <sz val="11"/>
        <color theme="1"/>
        <rFont val="Calibri"/>
        <family val="2"/>
        <scheme val="minor"/>
      </rPr>
      <t>)/(Ex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,t-1</t>
    </r>
    <r>
      <rPr>
        <sz val="11"/>
        <color theme="1"/>
        <rFont val="Calibri"/>
        <family val="2"/>
        <scheme val="minor"/>
      </rPr>
      <t>+Im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,t-1</t>
    </r>
    <r>
      <rPr>
        <sz val="11"/>
        <color theme="1"/>
        <rFont val="Calibri"/>
        <family val="2"/>
        <scheme val="minor"/>
      </rPr>
      <t>+Inv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+G</t>
    </r>
    <r>
      <rPr>
        <vertAlign val="subscript"/>
        <sz val="11"/>
        <color indexed="8"/>
        <rFont val="Calibri"/>
        <family val="2"/>
      </rPr>
      <t>,t-1</t>
    </r>
    <r>
      <rPr>
        <sz val="11"/>
        <color theme="1"/>
        <rFont val="Calibri"/>
        <family val="2"/>
        <scheme val="minor"/>
      </rPr>
      <t>+C</t>
    </r>
    <r>
      <rPr>
        <vertAlign val="superscript"/>
        <sz val="11"/>
        <color indexed="8"/>
        <rFont val="Calibri"/>
        <family val="2"/>
      </rPr>
      <t>MRKT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+C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)</t>
    </r>
  </si>
  <si>
    <r>
      <t>gC</t>
    </r>
    <r>
      <rPr>
        <vertAlign val="subscript"/>
        <sz val="11"/>
        <color indexed="8"/>
        <rFont val="Calibri"/>
        <family val="2"/>
      </rPr>
      <t>H,t</t>
    </r>
    <r>
      <rPr>
        <sz val="11"/>
        <color theme="1"/>
        <rFont val="Calibri"/>
        <family val="2"/>
        <scheme val="minor"/>
      </rPr>
      <t xml:space="preserve">  =  (gC</t>
    </r>
    <r>
      <rPr>
        <vertAlign val="superscript"/>
        <sz val="11"/>
        <color indexed="8"/>
        <rFont val="Calibri"/>
        <family val="2"/>
      </rPr>
      <t>MRKT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·C</t>
    </r>
    <r>
      <rPr>
        <vertAlign val="superscript"/>
        <sz val="11"/>
        <color indexed="8"/>
        <rFont val="Calibri"/>
        <family val="2"/>
      </rPr>
      <t>MRKT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+gC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·C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)/(C</t>
    </r>
    <r>
      <rPr>
        <vertAlign val="superscript"/>
        <sz val="11"/>
        <color indexed="8"/>
        <rFont val="Calibri"/>
        <family val="2"/>
      </rPr>
      <t>MRKT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+C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)</t>
    </r>
  </si>
  <si>
    <r>
      <t>gC</t>
    </r>
    <r>
      <rPr>
        <vertAlign val="superscript"/>
        <sz val="11"/>
        <color indexed="8"/>
        <rFont val="Calibri"/>
        <family val="2"/>
      </rPr>
      <t>MRKT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(RET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·gRET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+SER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·gSER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)/(RET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+SER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)</t>
    </r>
  </si>
  <si>
    <r>
      <t>gC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gVA</t>
    </r>
    <r>
      <rPr>
        <vertAlign val="subscript"/>
        <sz val="11"/>
        <color indexed="8"/>
        <rFont val="Calibri"/>
        <family val="2"/>
      </rPr>
      <t>AB,t</t>
    </r>
  </si>
  <si>
    <r>
      <t>gG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 xml:space="preserve">  =  G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>/G</t>
    </r>
    <r>
      <rPr>
        <vertAlign val="subscript"/>
        <sz val="11"/>
        <color indexed="8"/>
        <rFont val="Calibri"/>
        <family val="2"/>
      </rPr>
      <t>,t-1</t>
    </r>
    <r>
      <rPr>
        <sz val="11"/>
        <color theme="1"/>
        <rFont val="Calibri"/>
        <family val="2"/>
        <scheme val="minor"/>
      </rPr>
      <t>/(C</t>
    </r>
    <r>
      <rPr>
        <vertAlign val="superscript"/>
        <sz val="11"/>
        <color indexed="8"/>
        <rFont val="Calibri"/>
        <family val="2"/>
      </rPr>
      <t>MRKT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/C</t>
    </r>
    <r>
      <rPr>
        <vertAlign val="superscript"/>
        <sz val="11"/>
        <color indexed="8"/>
        <rFont val="Calibri"/>
        <family val="2"/>
      </rPr>
      <t>MRKT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/gC</t>
    </r>
    <r>
      <rPr>
        <vertAlign val="superscript"/>
        <sz val="11"/>
        <color indexed="8"/>
        <rFont val="Calibri"/>
        <family val="2"/>
      </rPr>
      <t>MRKT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)</t>
    </r>
  </si>
  <si>
    <r>
      <t>gInv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Inv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F,t</t>
    </r>
    <r>
      <rPr>
        <sz val="11"/>
        <color theme="1"/>
        <rFont val="Calibri"/>
        <family val="2"/>
        <scheme val="minor"/>
      </rPr>
      <t>/Inv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F,t-1</t>
    </r>
    <r>
      <rPr>
        <sz val="11"/>
        <color theme="1"/>
        <rFont val="Calibri"/>
        <family val="2"/>
        <scheme val="minor"/>
      </rPr>
      <t>/0,88·100</t>
    </r>
  </si>
  <si>
    <r>
      <t>gEx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 xml:space="preserve">  =  gEX</t>
    </r>
    <r>
      <rPr>
        <vertAlign val="subscript"/>
        <sz val="11"/>
        <color indexed="8"/>
        <rFont val="Calibri"/>
        <family val="2"/>
      </rPr>
      <t>t</t>
    </r>
  </si>
  <si>
    <r>
      <t>gIm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 xml:space="preserve">  =  gIM</t>
    </r>
    <r>
      <rPr>
        <vertAlign val="subscript"/>
        <sz val="11"/>
        <color indexed="8"/>
        <rFont val="Calibri"/>
        <family val="2"/>
      </rPr>
      <t>t</t>
    </r>
  </si>
  <si>
    <r>
      <t>gDD</t>
    </r>
    <r>
      <rPr>
        <vertAlign val="subscript"/>
        <sz val="11"/>
        <color indexed="8"/>
        <rFont val="Calibri"/>
        <family val="2"/>
      </rPr>
      <t>, t</t>
    </r>
    <r>
      <rPr>
        <sz val="11"/>
        <color theme="1"/>
        <rFont val="Calibri"/>
        <family val="2"/>
        <scheme val="minor"/>
      </rPr>
      <t xml:space="preserve">  =  (+gInv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·Inv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+C</t>
    </r>
    <r>
      <rPr>
        <vertAlign val="superscript"/>
        <sz val="11"/>
        <color indexed="8"/>
        <rFont val="Calibri"/>
        <family val="2"/>
      </rPr>
      <t>MRKT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·gC</t>
    </r>
    <r>
      <rPr>
        <vertAlign val="superscript"/>
        <sz val="11"/>
        <color indexed="8"/>
        <rFont val="Calibri"/>
        <family val="2"/>
      </rPr>
      <t>MRKT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+gG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>·G</t>
    </r>
    <r>
      <rPr>
        <vertAlign val="subscript"/>
        <sz val="11"/>
        <color indexed="8"/>
        <rFont val="Calibri"/>
        <family val="2"/>
      </rPr>
      <t>,t-1</t>
    </r>
    <r>
      <rPr>
        <sz val="11"/>
        <color theme="1"/>
        <rFont val="Calibri"/>
        <family val="2"/>
        <scheme val="minor"/>
      </rPr>
      <t>)/(Inv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+G</t>
    </r>
    <r>
      <rPr>
        <vertAlign val="subscript"/>
        <sz val="11"/>
        <color indexed="8"/>
        <rFont val="Calibri"/>
        <family val="2"/>
      </rPr>
      <t>,t-1</t>
    </r>
    <r>
      <rPr>
        <sz val="11"/>
        <color theme="1"/>
        <rFont val="Calibri"/>
        <family val="2"/>
        <scheme val="minor"/>
      </rPr>
      <t>+C</t>
    </r>
    <r>
      <rPr>
        <vertAlign val="superscript"/>
        <sz val="11"/>
        <color indexed="8"/>
        <rFont val="Calibri"/>
        <family val="2"/>
      </rPr>
      <t>MRKT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)</t>
    </r>
  </si>
  <si>
    <r>
      <t>Trans</t>
    </r>
    <r>
      <rPr>
        <vertAlign val="superscript"/>
        <sz val="11"/>
        <color indexed="8"/>
        <rFont val="Calibri"/>
        <family val="2"/>
      </rPr>
      <t>FOR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Trans</t>
    </r>
    <r>
      <rPr>
        <vertAlign val="superscript"/>
        <sz val="11"/>
        <color indexed="8"/>
        <rFont val="Calibri"/>
        <family val="2"/>
      </rPr>
      <t>FOR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·CT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L,t</t>
    </r>
    <r>
      <rPr>
        <sz val="11"/>
        <color theme="1"/>
        <rFont val="Calibri"/>
        <family val="2"/>
        <scheme val="minor"/>
      </rPr>
      <t>/CT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L,t-1</t>
    </r>
    <r>
      <rPr>
        <sz val="11"/>
        <color theme="1"/>
        <rFont val="Calibri"/>
        <family val="2"/>
        <scheme val="minor"/>
      </rPr>
      <t>·er</t>
    </r>
    <r>
      <rPr>
        <vertAlign val="superscript"/>
        <sz val="11"/>
        <color indexed="8"/>
        <rFont val="Calibri"/>
        <family val="2"/>
      </rPr>
      <t>USD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/er</t>
    </r>
    <r>
      <rPr>
        <vertAlign val="superscript"/>
        <sz val="11"/>
        <color indexed="8"/>
        <rFont val="Calibri"/>
        <family val="2"/>
      </rPr>
      <t>USD</t>
    </r>
    <r>
      <rPr>
        <vertAlign val="subscript"/>
        <sz val="11"/>
        <color indexed="8"/>
        <rFont val="Calibri"/>
        <family val="2"/>
      </rPr>
      <t>t-1</t>
    </r>
  </si>
  <si>
    <t>Trade and Production--&gt;  Government</t>
  </si>
  <si>
    <t>GDP</t>
  </si>
  <si>
    <r>
      <t>Im</t>
    </r>
    <r>
      <rPr>
        <i/>
        <vertAlign val="superscript"/>
        <sz val="10"/>
        <color indexed="8"/>
        <rFont val="Calibri"/>
        <family val="2"/>
      </rPr>
      <t>NA</t>
    </r>
    <r>
      <rPr>
        <i/>
        <vertAlign val="subscript"/>
        <sz val="10"/>
        <color indexed="8"/>
        <rFont val="Calibri"/>
        <family val="2"/>
      </rPr>
      <t>,t</t>
    </r>
  </si>
  <si>
    <t>Import of Goods and services</t>
  </si>
  <si>
    <r>
      <t>Ex</t>
    </r>
    <r>
      <rPr>
        <i/>
        <vertAlign val="superscript"/>
        <sz val="10"/>
        <color indexed="8"/>
        <rFont val="Calibri"/>
        <family val="2"/>
      </rPr>
      <t>NA</t>
    </r>
    <r>
      <rPr>
        <i/>
        <vertAlign val="subscript"/>
        <sz val="10"/>
        <color indexed="8"/>
        <rFont val="Calibri"/>
        <family val="2"/>
      </rPr>
      <t>,t</t>
    </r>
  </si>
  <si>
    <t>Export of Goods and Services</t>
  </si>
  <si>
    <r>
      <t>FC</t>
    </r>
    <r>
      <rPr>
        <i/>
        <vertAlign val="subscript"/>
        <sz val="10"/>
        <color indexed="8"/>
        <rFont val="Calibri"/>
        <family val="2"/>
      </rPr>
      <t>,t</t>
    </r>
  </si>
  <si>
    <t>Final Consumption</t>
  </si>
  <si>
    <r>
      <t>C</t>
    </r>
    <r>
      <rPr>
        <i/>
        <vertAlign val="subscript"/>
        <sz val="10"/>
        <color indexed="8"/>
        <rFont val="Calibri"/>
        <family val="2"/>
      </rPr>
      <t>H,t</t>
    </r>
  </si>
  <si>
    <t>Private Consumption</t>
  </si>
  <si>
    <t>Government Wages and Salaries</t>
  </si>
  <si>
    <t xml:space="preserve">Government Revenule --&gt; Trade and Production </t>
  </si>
  <si>
    <r>
      <t>NIT</t>
    </r>
    <r>
      <rPr>
        <i/>
        <vertAlign val="subscript"/>
        <sz val="10"/>
        <rFont val="Calibri"/>
        <family val="2"/>
      </rPr>
      <t>t</t>
    </r>
  </si>
  <si>
    <r>
      <t>Inv</t>
    </r>
    <r>
      <rPr>
        <vertAlign val="superscript"/>
        <sz val="11"/>
        <color indexed="8"/>
        <rFont val="Calibri"/>
        <family val="2"/>
        <charset val="204"/>
      </rPr>
      <t>G</t>
    </r>
    <r>
      <rPr>
        <vertAlign val="subscript"/>
        <sz val="11"/>
        <color indexed="8"/>
        <rFont val="Calibri"/>
        <family val="2"/>
        <charset val="204"/>
      </rPr>
      <t>t</t>
    </r>
  </si>
  <si>
    <t xml:space="preserve">Гос. инвестиции, </t>
  </si>
  <si>
    <t>Trade and Production--&gt;  Balance of Payments</t>
  </si>
  <si>
    <r>
      <t>GDP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,t</t>
    </r>
  </si>
  <si>
    <t>ВВП в рыночных ценах, млн. долларов</t>
  </si>
  <si>
    <t>Balance of Payments--&gt; Trade and Production</t>
  </si>
  <si>
    <r>
      <t>CT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L,t</t>
    </r>
  </si>
  <si>
    <t>Получено текущий трансфертов</t>
  </si>
  <si>
    <t>СЕЛЬСКОЕ ХОЗЯЙСТВО</t>
  </si>
  <si>
    <t>млн. Сомони</t>
  </si>
  <si>
    <t>темп роста</t>
  </si>
  <si>
    <t xml:space="preserve"> %</t>
  </si>
  <si>
    <t>дефлятор</t>
  </si>
  <si>
    <t>РАСТЕНИЕВОДСТВО</t>
  </si>
  <si>
    <t>ЖИВОТНОВОДСТВО</t>
  </si>
  <si>
    <t>Общая земельная площадь</t>
  </si>
  <si>
    <t>га</t>
  </si>
  <si>
    <r>
      <t>площадь орошаемых земель</t>
    </r>
    <r>
      <rPr>
        <sz val="12"/>
        <color theme="1"/>
        <rFont val="Calibri"/>
        <family val="2"/>
        <scheme val="minor"/>
      </rPr>
      <t xml:space="preserve"> (оби)</t>
    </r>
  </si>
  <si>
    <t>Всего СХ угодья</t>
  </si>
  <si>
    <t>в том числе,</t>
  </si>
  <si>
    <t>Пашня</t>
  </si>
  <si>
    <t>многолетние насождение</t>
  </si>
  <si>
    <t>сенокосы</t>
  </si>
  <si>
    <t>пастбища</t>
  </si>
  <si>
    <t>залежи</t>
  </si>
  <si>
    <t>Зерновые</t>
  </si>
  <si>
    <t>пос. площадь -га</t>
  </si>
  <si>
    <t>тыс. тонн</t>
  </si>
  <si>
    <t>Рост, %, тыс. тонн</t>
  </si>
  <si>
    <t>млн. сомони</t>
  </si>
  <si>
    <t>цена, сомони\тонну</t>
  </si>
  <si>
    <t>урожайность -ц/га</t>
  </si>
  <si>
    <t>урожайность стат.</t>
  </si>
  <si>
    <t xml:space="preserve"> пшеница</t>
  </si>
  <si>
    <t>цена</t>
  </si>
  <si>
    <t>хлопковолокно</t>
  </si>
  <si>
    <t>тонн</t>
  </si>
  <si>
    <t>Картошка</t>
  </si>
  <si>
    <t>Овощи</t>
  </si>
  <si>
    <t xml:space="preserve">Лук </t>
  </si>
  <si>
    <t>Бахчевые</t>
  </si>
  <si>
    <t>Фрукты</t>
  </si>
  <si>
    <t>Виноград</t>
  </si>
  <si>
    <t xml:space="preserve">пос. площадь для корм животных </t>
  </si>
  <si>
    <t>(ГА)</t>
  </si>
  <si>
    <t>продуктивность</t>
  </si>
  <si>
    <t>2. Животноводство</t>
  </si>
  <si>
    <r>
      <rPr>
        <b/>
        <sz val="10"/>
        <color theme="1"/>
        <rFont val="Calibri"/>
        <family val="2"/>
        <scheme val="minor"/>
      </rPr>
      <t xml:space="preserve">Мясо   </t>
    </r>
    <r>
      <rPr>
        <sz val="10"/>
        <color theme="1"/>
        <rFont val="Calibri"/>
        <family val="2"/>
        <scheme val="minor"/>
      </rPr>
      <t xml:space="preserve">                                                                                        (в живом весе)</t>
    </r>
  </si>
  <si>
    <t>тыс. голов</t>
  </si>
  <si>
    <t>крупный рогатый скот</t>
  </si>
  <si>
    <t>Яки</t>
  </si>
  <si>
    <t>тыс.голов</t>
  </si>
  <si>
    <t>овцы и козы</t>
  </si>
  <si>
    <t>тыс. поголовье</t>
  </si>
  <si>
    <t xml:space="preserve"> птица                                                            всех видов</t>
  </si>
  <si>
    <t xml:space="preserve"> коровы</t>
  </si>
  <si>
    <t>молоко</t>
  </si>
  <si>
    <t>срдг. удой от 1-й коровы - кг</t>
  </si>
  <si>
    <t>яйцо</t>
  </si>
  <si>
    <t>млн. штук</t>
  </si>
  <si>
    <t>яйценоскость кур, несушек штук</t>
  </si>
  <si>
    <t>шерсть</t>
  </si>
  <si>
    <t>срдг. Настриг от 1-й овцы - кг</t>
  </si>
  <si>
    <t>кокон</t>
  </si>
  <si>
    <t>мед</t>
  </si>
  <si>
    <t>от 1-й пчелосемьи - кг</t>
  </si>
  <si>
    <t xml:space="preserve">рыболовство </t>
  </si>
  <si>
    <t xml:space="preserve"> тонн</t>
  </si>
  <si>
    <t>общая площадь водоёмов, прудов и озер - га</t>
  </si>
  <si>
    <t>qLYEl,t</t>
  </si>
  <si>
    <r>
      <t>TRAN</t>
    </r>
    <r>
      <rPr>
        <vertAlign val="superscript"/>
        <sz val="11"/>
        <color indexed="8"/>
        <rFont val="Calibri"/>
        <family val="2"/>
      </rPr>
      <t>C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TRAN</t>
    </r>
    <r>
      <rPr>
        <vertAlign val="superscript"/>
        <sz val="11"/>
        <color indexed="8"/>
        <rFont val="Calibri"/>
        <family val="2"/>
      </rPr>
      <t>C</t>
    </r>
    <r>
      <rPr>
        <vertAlign val="subscript"/>
        <sz val="11"/>
        <color indexed="8"/>
        <rFont val="Calibri"/>
        <family val="2"/>
      </rPr>
      <t>M, t</t>
    </r>
    <r>
      <rPr>
        <sz val="11"/>
        <color theme="1"/>
        <rFont val="Calibri"/>
        <family val="2"/>
        <scheme val="minor"/>
      </rPr>
      <t>+TRAN</t>
    </r>
    <r>
      <rPr>
        <vertAlign val="superscript"/>
        <sz val="11"/>
        <color indexed="8"/>
        <rFont val="Calibri"/>
        <family val="2"/>
      </rPr>
      <t>C</t>
    </r>
    <r>
      <rPr>
        <vertAlign val="subscript"/>
        <sz val="11"/>
        <color indexed="8"/>
        <rFont val="Calibri"/>
        <family val="2"/>
      </rPr>
      <t>Other, t</t>
    </r>
  </si>
  <si>
    <r>
      <t>PROXY</t>
    </r>
    <r>
      <rPr>
        <vertAlign val="superscript"/>
        <sz val="11"/>
        <color indexed="8"/>
        <rFont val="Calibri"/>
        <family val="2"/>
      </rPr>
      <t>TRAN</t>
    </r>
    <r>
      <rPr>
        <vertAlign val="subscript"/>
        <sz val="11"/>
        <color indexed="8"/>
        <rFont val="Calibri"/>
        <family val="2"/>
      </rPr>
      <t>IND,t</t>
    </r>
    <r>
      <rPr>
        <sz val="11"/>
        <color theme="1"/>
        <rFont val="Calibri"/>
        <family val="2"/>
        <scheme val="minor"/>
      </rPr>
      <t xml:space="preserve">  =  PROXY</t>
    </r>
    <r>
      <rPr>
        <vertAlign val="superscript"/>
        <sz val="11"/>
        <color indexed="8"/>
        <rFont val="Calibri"/>
        <family val="2"/>
      </rPr>
      <t>TRAN</t>
    </r>
    <r>
      <rPr>
        <vertAlign val="subscript"/>
        <sz val="11"/>
        <color indexed="8"/>
        <rFont val="Calibri"/>
        <family val="2"/>
      </rPr>
      <t>IND,t-1</t>
    </r>
    <r>
      <rPr>
        <sz val="11"/>
        <color theme="1"/>
        <rFont val="Calibri"/>
        <family val="2"/>
        <scheme val="minor"/>
      </rPr>
      <t>·((IND</t>
    </r>
    <r>
      <rPr>
        <vertAlign val="subscript"/>
        <sz val="11"/>
        <color indexed="8"/>
        <rFont val="Calibri"/>
        <family val="2"/>
      </rPr>
      <t>DBC, t-1</t>
    </r>
    <r>
      <rPr>
        <sz val="11"/>
        <color theme="1"/>
        <rFont val="Calibri"/>
        <family val="2"/>
        <scheme val="minor"/>
      </rPr>
      <t>·gIND</t>
    </r>
    <r>
      <rPr>
        <vertAlign val="subscript"/>
        <sz val="11"/>
        <color indexed="8"/>
        <rFont val="Calibri"/>
        <family val="2"/>
      </rPr>
      <t>DBC, t</t>
    </r>
    <r>
      <rPr>
        <sz val="11"/>
        <color theme="1"/>
        <rFont val="Calibri"/>
        <family val="2"/>
        <scheme val="minor"/>
      </rPr>
      <t>+IND</t>
    </r>
    <r>
      <rPr>
        <vertAlign val="subscript"/>
        <sz val="11"/>
        <color indexed="8"/>
        <rFont val="Calibri"/>
        <family val="2"/>
      </rPr>
      <t>DA, t-1</t>
    </r>
    <r>
      <rPr>
        <sz val="11"/>
        <color theme="1"/>
        <rFont val="Calibri"/>
        <family val="2"/>
        <scheme val="minor"/>
      </rPr>
      <t>·gIND</t>
    </r>
    <r>
      <rPr>
        <vertAlign val="subscript"/>
        <sz val="11"/>
        <color indexed="8"/>
        <rFont val="Calibri"/>
        <family val="2"/>
      </rPr>
      <t>DA, t</t>
    </r>
    <r>
      <rPr>
        <sz val="11"/>
        <color theme="1"/>
        <rFont val="Calibri"/>
        <family val="2"/>
        <scheme val="minor"/>
      </rPr>
      <t>+IND</t>
    </r>
    <r>
      <rPr>
        <vertAlign val="subscript"/>
        <sz val="11"/>
        <color indexed="8"/>
        <rFont val="Calibri"/>
        <family val="2"/>
      </rPr>
      <t>Dther, t-1</t>
    </r>
    <r>
      <rPr>
        <sz val="11"/>
        <color theme="1"/>
        <rFont val="Calibri"/>
        <family val="2"/>
        <scheme val="minor"/>
      </rPr>
      <t>·gIND</t>
    </r>
    <r>
      <rPr>
        <vertAlign val="subscript"/>
        <sz val="11"/>
        <color indexed="8"/>
        <rFont val="Calibri"/>
        <family val="2"/>
      </rPr>
      <t>Dther, t</t>
    </r>
    <r>
      <rPr>
        <sz val="11"/>
        <color theme="1"/>
        <rFont val="Calibri"/>
        <family val="2"/>
        <scheme val="minor"/>
      </rPr>
      <t>)/(IND</t>
    </r>
    <r>
      <rPr>
        <vertAlign val="subscript"/>
        <sz val="11"/>
        <color indexed="8"/>
        <rFont val="Calibri"/>
        <family val="2"/>
      </rPr>
      <t>DBC, t-1</t>
    </r>
    <r>
      <rPr>
        <sz val="11"/>
        <color theme="1"/>
        <rFont val="Calibri"/>
        <family val="2"/>
        <scheme val="minor"/>
      </rPr>
      <t>+IND</t>
    </r>
    <r>
      <rPr>
        <vertAlign val="subscript"/>
        <sz val="11"/>
        <color indexed="8"/>
        <rFont val="Calibri"/>
        <family val="2"/>
      </rPr>
      <t>DA, t-1</t>
    </r>
    <r>
      <rPr>
        <sz val="11"/>
        <color theme="1"/>
        <rFont val="Calibri"/>
        <family val="2"/>
        <scheme val="minor"/>
      </rPr>
      <t>+IND</t>
    </r>
    <r>
      <rPr>
        <vertAlign val="subscript"/>
        <sz val="11"/>
        <color indexed="8"/>
        <rFont val="Calibri"/>
        <family val="2"/>
      </rPr>
      <t>Dther, t-1</t>
    </r>
    <r>
      <rPr>
        <sz val="11"/>
        <color theme="1"/>
        <rFont val="Calibri"/>
        <family val="2"/>
        <scheme val="minor"/>
      </rPr>
      <t>))/100</t>
    </r>
  </si>
  <si>
    <r>
      <t>TRAN</t>
    </r>
    <r>
      <rPr>
        <vertAlign val="superscript"/>
        <sz val="11"/>
        <color indexed="8"/>
        <rFont val="Calibri"/>
        <family val="2"/>
      </rPr>
      <t>C</t>
    </r>
    <r>
      <rPr>
        <vertAlign val="subscript"/>
        <sz val="11"/>
        <color indexed="8"/>
        <rFont val="Calibri"/>
        <family val="2"/>
      </rPr>
      <t>M, t</t>
    </r>
    <r>
      <rPr>
        <sz val="11"/>
        <color theme="1"/>
        <rFont val="Calibri"/>
        <family val="2"/>
        <scheme val="minor"/>
      </rPr>
      <t xml:space="preserve">  =  TRAN</t>
    </r>
    <r>
      <rPr>
        <vertAlign val="superscript"/>
        <sz val="11"/>
        <color indexed="8"/>
        <rFont val="Calibri"/>
        <family val="2"/>
      </rPr>
      <t>C</t>
    </r>
    <r>
      <rPr>
        <vertAlign val="subscript"/>
        <sz val="11"/>
        <color indexed="8"/>
        <rFont val="Calibri"/>
        <family val="2"/>
      </rPr>
      <t>M, t-1</t>
    </r>
    <r>
      <rPr>
        <sz val="11"/>
        <color theme="1"/>
        <rFont val="Calibri"/>
        <family val="2"/>
        <scheme val="minor"/>
      </rPr>
      <t>·(PROXY</t>
    </r>
    <r>
      <rPr>
        <vertAlign val="superscript"/>
        <sz val="11"/>
        <color indexed="8"/>
        <rFont val="Calibri"/>
        <family val="2"/>
      </rPr>
      <t>TRAN</t>
    </r>
    <r>
      <rPr>
        <vertAlign val="subscript"/>
        <sz val="11"/>
        <color indexed="8"/>
        <rFont val="Calibri"/>
        <family val="2"/>
      </rPr>
      <t>IND,t</t>
    </r>
    <r>
      <rPr>
        <sz val="11"/>
        <color theme="1"/>
        <rFont val="Calibri"/>
        <family val="2"/>
        <scheme val="minor"/>
      </rPr>
      <t>/PROXY</t>
    </r>
    <r>
      <rPr>
        <vertAlign val="superscript"/>
        <sz val="11"/>
        <color indexed="8"/>
        <rFont val="Calibri"/>
        <family val="2"/>
      </rPr>
      <t>TRAN</t>
    </r>
    <r>
      <rPr>
        <vertAlign val="subscript"/>
        <sz val="11"/>
        <color indexed="8"/>
        <rFont val="Calibri"/>
        <family val="2"/>
      </rPr>
      <t>IND,t-1</t>
    </r>
    <r>
      <rPr>
        <sz val="11"/>
        <color theme="1"/>
        <rFont val="Calibri"/>
        <family val="2"/>
        <scheme val="minor"/>
      </rPr>
      <t>)^0,1·(gRET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/100)^0,8</t>
    </r>
  </si>
  <si>
    <r>
      <t>TRAN</t>
    </r>
    <r>
      <rPr>
        <vertAlign val="superscript"/>
        <sz val="11"/>
        <color indexed="8"/>
        <rFont val="Calibri"/>
        <family val="2"/>
      </rPr>
      <t>C</t>
    </r>
    <r>
      <rPr>
        <vertAlign val="subscript"/>
        <sz val="11"/>
        <color indexed="8"/>
        <rFont val="Calibri"/>
        <family val="2"/>
      </rPr>
      <t>Other, t</t>
    </r>
    <r>
      <rPr>
        <sz val="11"/>
        <color theme="1"/>
        <rFont val="Calibri"/>
        <family val="2"/>
        <scheme val="minor"/>
      </rPr>
      <t xml:space="preserve">  =  TRAN</t>
    </r>
    <r>
      <rPr>
        <vertAlign val="superscript"/>
        <sz val="11"/>
        <color indexed="8"/>
        <rFont val="Calibri"/>
        <family val="2"/>
      </rPr>
      <t>C</t>
    </r>
    <r>
      <rPr>
        <vertAlign val="subscript"/>
        <sz val="11"/>
        <color indexed="8"/>
        <rFont val="Calibri"/>
        <family val="2"/>
      </rPr>
      <t>Other, t-1</t>
    </r>
    <r>
      <rPr>
        <sz val="11"/>
        <color theme="1"/>
        <rFont val="Calibri"/>
        <family val="2"/>
        <scheme val="minor"/>
      </rPr>
      <t>·(qEX</t>
    </r>
    <r>
      <rPr>
        <vertAlign val="subscript"/>
        <sz val="11"/>
        <color indexed="8"/>
        <rFont val="Calibri"/>
        <family val="2"/>
      </rPr>
      <t>Al,t</t>
    </r>
    <r>
      <rPr>
        <sz val="11"/>
        <color theme="1"/>
        <rFont val="Calibri"/>
        <family val="2"/>
        <scheme val="minor"/>
      </rPr>
      <t>/qEX</t>
    </r>
    <r>
      <rPr>
        <vertAlign val="subscript"/>
        <sz val="11"/>
        <color indexed="8"/>
        <rFont val="Calibri"/>
        <family val="2"/>
      </rPr>
      <t>Al,t-1</t>
    </r>
    <r>
      <rPr>
        <sz val="11"/>
        <color theme="1"/>
        <rFont val="Calibri"/>
        <family val="2"/>
        <scheme val="minor"/>
      </rPr>
      <t>)</t>
    </r>
  </si>
  <si>
    <r>
      <t>gTRAN</t>
    </r>
    <r>
      <rPr>
        <vertAlign val="superscript"/>
        <sz val="11"/>
        <color indexed="8"/>
        <rFont val="Calibri"/>
        <family val="2"/>
      </rPr>
      <t>C</t>
    </r>
    <r>
      <rPr>
        <vertAlign val="subscript"/>
        <sz val="11"/>
        <color indexed="8"/>
        <rFont val="Calibri"/>
        <family val="2"/>
      </rPr>
      <t>, t</t>
    </r>
    <r>
      <rPr>
        <sz val="11"/>
        <color theme="1"/>
        <rFont val="Calibri"/>
        <family val="2"/>
        <scheme val="minor"/>
      </rPr>
      <t xml:space="preserve">  =  TRAN</t>
    </r>
    <r>
      <rPr>
        <vertAlign val="superscript"/>
        <sz val="11"/>
        <color indexed="8"/>
        <rFont val="Calibri"/>
        <family val="2"/>
      </rPr>
      <t>C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/TRAN</t>
    </r>
    <r>
      <rPr>
        <vertAlign val="superscript"/>
        <sz val="11"/>
        <color indexed="8"/>
        <rFont val="Calibri"/>
        <family val="2"/>
      </rPr>
      <t>C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·100</t>
    </r>
  </si>
  <si>
    <r>
      <t>TRAN</t>
    </r>
    <r>
      <rPr>
        <vertAlign val="superscript"/>
        <sz val="11"/>
        <color indexed="8"/>
        <rFont val="Calibri"/>
        <family val="2"/>
      </rPr>
      <t>P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TRAN</t>
    </r>
    <r>
      <rPr>
        <vertAlign val="superscript"/>
        <sz val="11"/>
        <color indexed="8"/>
        <rFont val="Calibri"/>
        <family val="2"/>
      </rPr>
      <t>P</t>
    </r>
    <r>
      <rPr>
        <vertAlign val="subscript"/>
        <sz val="11"/>
        <color indexed="8"/>
        <rFont val="Calibri"/>
        <family val="2"/>
      </rPr>
      <t>M, t</t>
    </r>
    <r>
      <rPr>
        <sz val="11"/>
        <color theme="1"/>
        <rFont val="Calibri"/>
        <family val="2"/>
        <scheme val="minor"/>
      </rPr>
      <t>+TRAN</t>
    </r>
    <r>
      <rPr>
        <vertAlign val="superscript"/>
        <sz val="11"/>
        <color indexed="8"/>
        <rFont val="Calibri"/>
        <family val="2"/>
      </rPr>
      <t>P</t>
    </r>
    <r>
      <rPr>
        <vertAlign val="subscript"/>
        <sz val="11"/>
        <color indexed="8"/>
        <rFont val="Calibri"/>
        <family val="2"/>
      </rPr>
      <t>Other, t</t>
    </r>
  </si>
  <si>
    <r>
      <t>TRAN</t>
    </r>
    <r>
      <rPr>
        <vertAlign val="superscript"/>
        <sz val="11"/>
        <color indexed="8"/>
        <rFont val="Calibri"/>
        <family val="2"/>
      </rPr>
      <t>P</t>
    </r>
    <r>
      <rPr>
        <vertAlign val="subscript"/>
        <sz val="11"/>
        <color indexed="8"/>
        <rFont val="Calibri"/>
        <family val="2"/>
      </rPr>
      <t>M, t</t>
    </r>
    <r>
      <rPr>
        <sz val="11"/>
        <color theme="1"/>
        <rFont val="Calibri"/>
        <family val="2"/>
        <scheme val="minor"/>
      </rPr>
      <t xml:space="preserve">  =  TRAN</t>
    </r>
    <r>
      <rPr>
        <vertAlign val="superscript"/>
        <sz val="11"/>
        <color indexed="8"/>
        <rFont val="Calibri"/>
        <family val="2"/>
      </rPr>
      <t>P</t>
    </r>
    <r>
      <rPr>
        <vertAlign val="subscript"/>
        <sz val="11"/>
        <color indexed="8"/>
        <rFont val="Calibri"/>
        <family val="2"/>
      </rPr>
      <t>M, t-1</t>
    </r>
    <r>
      <rPr>
        <sz val="11"/>
        <color theme="1"/>
        <rFont val="Calibri"/>
        <family val="2"/>
        <scheme val="minor"/>
      </rPr>
      <t>·gRET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/100</t>
    </r>
  </si>
  <si>
    <r>
      <t>TRAN</t>
    </r>
    <r>
      <rPr>
        <vertAlign val="superscript"/>
        <sz val="11"/>
        <color indexed="8"/>
        <rFont val="Calibri"/>
        <family val="2"/>
      </rPr>
      <t>P</t>
    </r>
    <r>
      <rPr>
        <vertAlign val="subscript"/>
        <sz val="11"/>
        <color indexed="8"/>
        <rFont val="Calibri"/>
        <family val="2"/>
      </rPr>
      <t>Other, t</t>
    </r>
    <r>
      <rPr>
        <sz val="11"/>
        <color theme="1"/>
        <rFont val="Calibri"/>
        <family val="2"/>
        <scheme val="minor"/>
      </rPr>
      <t xml:space="preserve">  =  TRAN</t>
    </r>
    <r>
      <rPr>
        <vertAlign val="superscript"/>
        <sz val="11"/>
        <color indexed="8"/>
        <rFont val="Calibri"/>
        <family val="2"/>
      </rPr>
      <t>P</t>
    </r>
    <r>
      <rPr>
        <vertAlign val="subscript"/>
        <sz val="11"/>
        <color indexed="8"/>
        <rFont val="Calibri"/>
        <family val="2"/>
      </rPr>
      <t>Other, t-1</t>
    </r>
  </si>
  <si>
    <r>
      <t>gTRAN</t>
    </r>
    <r>
      <rPr>
        <vertAlign val="superscript"/>
        <sz val="11"/>
        <color indexed="8"/>
        <rFont val="Calibri"/>
        <family val="2"/>
      </rPr>
      <t>P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TRAN</t>
    </r>
    <r>
      <rPr>
        <vertAlign val="superscript"/>
        <sz val="11"/>
        <color indexed="8"/>
        <rFont val="Calibri"/>
        <family val="2"/>
      </rPr>
      <t>P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/TRAN</t>
    </r>
    <r>
      <rPr>
        <vertAlign val="superscript"/>
        <sz val="11"/>
        <color indexed="8"/>
        <rFont val="Calibri"/>
        <family val="2"/>
      </rPr>
      <t>P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·100</t>
    </r>
  </si>
  <si>
    <r>
      <t>INV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INV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·Inv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F,t</t>
    </r>
    <r>
      <rPr>
        <sz val="11"/>
        <color theme="1"/>
        <rFont val="Calibri"/>
        <family val="2"/>
        <scheme val="minor"/>
      </rPr>
      <t>/Inv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F,t-1</t>
    </r>
  </si>
  <si>
    <r>
      <t>CONSTR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VA</t>
    </r>
    <r>
      <rPr>
        <vertAlign val="subscript"/>
        <sz val="11"/>
        <color indexed="8"/>
        <rFont val="Calibri"/>
        <family val="2"/>
      </rPr>
      <t>F,t</t>
    </r>
  </si>
  <si>
    <r>
      <t>defCONSTR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EXP(0,25+1,31·LN(er</t>
    </r>
    <r>
      <rPr>
        <vertAlign val="superscript"/>
        <sz val="11"/>
        <color indexed="8"/>
        <rFont val="Calibri"/>
        <family val="2"/>
      </rPr>
      <t>RUR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/er</t>
    </r>
    <r>
      <rPr>
        <vertAlign val="superscript"/>
        <sz val="11"/>
        <color indexed="8"/>
        <rFont val="Calibri"/>
        <family val="2"/>
      </rPr>
      <t>RUR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))·100</t>
    </r>
  </si>
  <si>
    <r>
      <t>gCONSTR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CONSTR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/CONSTR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/defCONSTR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·10000</t>
    </r>
  </si>
  <si>
    <t>Модель прогнозирования госдоходов Таджикистана</t>
  </si>
  <si>
    <t>Экзогенные переменные</t>
  </si>
  <si>
    <t>ВВП</t>
  </si>
  <si>
    <t>Импорт товаров и услуг</t>
  </si>
  <si>
    <t>Частное потребление</t>
  </si>
  <si>
    <t>Гос. фонд зарплаты</t>
  </si>
  <si>
    <t>Эндогенные переменные</t>
  </si>
  <si>
    <t>Общие текущие госдоходы</t>
  </si>
  <si>
    <t>Налоговые поступления</t>
  </si>
  <si>
    <t>Общие прямые налоги</t>
  </si>
  <si>
    <t>Подоходный налог</t>
  </si>
  <si>
    <t>1.1.1. Физические лица</t>
  </si>
  <si>
    <t>Корпоративный П/н (1.1.2.+1.1.3.)</t>
  </si>
  <si>
    <t>2. Социальные выплаты</t>
  </si>
  <si>
    <t>3. Земельный налог и налог на недвиж.</t>
  </si>
  <si>
    <t>Общие косвенные налоги</t>
  </si>
  <si>
    <t>4.2. НДС</t>
  </si>
  <si>
    <t>4.2.1. Внутренний НДС</t>
  </si>
  <si>
    <t>4.2.2. Внешний НДС</t>
  </si>
  <si>
    <t>Внутр. Транспортный налог (4.2.3+4.2.4)</t>
  </si>
  <si>
    <t>5. Акцизы</t>
  </si>
  <si>
    <t>5.1. Внутренние акцизы</t>
  </si>
  <si>
    <t>5.2. Внешние акцизы</t>
  </si>
  <si>
    <t>7. Прочие внутренние налоги на товары и услуги</t>
  </si>
  <si>
    <t>Неналоговый доход</t>
  </si>
  <si>
    <t>налог на природные ресурсы</t>
  </si>
  <si>
    <t>ПРОЧИЕ НАЛОГИ</t>
  </si>
  <si>
    <r>
      <t>CA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,t</t>
    </r>
  </si>
  <si>
    <r>
      <t>TB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,t</t>
    </r>
  </si>
  <si>
    <r>
      <t>TB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Goods,t</t>
    </r>
  </si>
  <si>
    <r>
      <t>TB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Serv,t</t>
    </r>
  </si>
  <si>
    <r>
      <t>BIW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Net,t</t>
    </r>
  </si>
  <si>
    <r>
      <t>CT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Net,t</t>
    </r>
  </si>
  <si>
    <r>
      <t>KA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,t</t>
    </r>
  </si>
  <si>
    <r>
      <t>FDI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Net, t</t>
    </r>
  </si>
  <si>
    <r>
      <t>KT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,t</t>
    </r>
  </si>
  <si>
    <r>
      <t>OI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,t</t>
    </r>
  </si>
  <si>
    <r>
      <t>OINF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t</t>
    </r>
  </si>
  <si>
    <r>
      <t>OIF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t</t>
    </r>
  </si>
  <si>
    <r>
      <t>OIG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t</t>
    </r>
  </si>
  <si>
    <r>
      <t>RA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,t</t>
    </r>
  </si>
  <si>
    <r>
      <t>IR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,t</t>
    </r>
  </si>
  <si>
    <r>
      <t>II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G,t</t>
    </r>
  </si>
  <si>
    <r>
      <t>FI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Pr,t</t>
    </r>
  </si>
  <si>
    <r>
      <t>W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t</t>
    </r>
  </si>
  <si>
    <r>
      <t>CT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A,t</t>
    </r>
  </si>
  <si>
    <r>
      <t>R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t</t>
    </r>
  </si>
  <si>
    <r>
      <t>GR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t</t>
    </r>
  </si>
  <si>
    <r>
      <t>KT</t>
    </r>
    <r>
      <rPr>
        <i/>
        <vertAlign val="superscript"/>
        <sz val="10"/>
        <color indexed="8"/>
        <rFont val="Calibri"/>
        <family val="2"/>
        <charset val="204"/>
      </rPr>
      <t>GDP</t>
    </r>
    <r>
      <rPr>
        <i/>
        <vertAlign val="subscript"/>
        <sz val="10"/>
        <color indexed="8"/>
        <rFont val="Calibri"/>
        <family val="2"/>
        <charset val="204"/>
      </rPr>
      <t>t</t>
    </r>
  </si>
  <si>
    <r>
      <t>OINF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A,t</t>
    </r>
  </si>
  <si>
    <r>
      <t>aOINF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A,t</t>
    </r>
  </si>
  <si>
    <r>
      <t>aOINF</t>
    </r>
    <r>
      <rPr>
        <i/>
        <vertAlign val="superscript"/>
        <sz val="10"/>
        <color indexed="8"/>
        <rFont val="Calibri"/>
        <family val="2"/>
        <charset val="204"/>
      </rPr>
      <t>GDP</t>
    </r>
    <r>
      <rPr>
        <i/>
        <vertAlign val="subscript"/>
        <sz val="10"/>
        <color indexed="8"/>
        <rFont val="Calibri"/>
        <family val="2"/>
        <charset val="204"/>
      </rPr>
      <t>A,t</t>
    </r>
  </si>
  <si>
    <r>
      <t>OINF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L,t</t>
    </r>
  </si>
  <si>
    <r>
      <t>aOINF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L,t</t>
    </r>
  </si>
  <si>
    <r>
      <t>EO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t</t>
    </r>
  </si>
  <si>
    <r>
      <t>EO</t>
    </r>
    <r>
      <rPr>
        <i/>
        <vertAlign val="superscript"/>
        <sz val="10"/>
        <color indexed="8"/>
        <rFont val="Calibri"/>
        <family val="2"/>
        <charset val="204"/>
      </rPr>
      <t>GDP</t>
    </r>
    <r>
      <rPr>
        <i/>
        <vertAlign val="subscript"/>
        <sz val="10"/>
        <color indexed="8"/>
        <rFont val="Calibri"/>
        <family val="2"/>
        <charset val="204"/>
      </rPr>
      <t>t</t>
    </r>
  </si>
  <si>
    <r>
      <t>OIF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A,t</t>
    </r>
  </si>
  <si>
    <r>
      <t>aOIF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A,t</t>
    </r>
  </si>
  <si>
    <r>
      <t>OIF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L,t</t>
    </r>
  </si>
  <si>
    <r>
      <t>aOIF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L,t</t>
    </r>
  </si>
  <si>
    <r>
      <t>PINV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t</t>
    </r>
  </si>
  <si>
    <r>
      <t>OIG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IMF,t</t>
    </r>
  </si>
  <si>
    <r>
      <t>OIG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A,t</t>
    </r>
  </si>
  <si>
    <r>
      <t>OIG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L,t</t>
    </r>
  </si>
  <si>
    <r>
      <t>OIG</t>
    </r>
    <r>
      <rPr>
        <i/>
        <vertAlign val="superscript"/>
        <sz val="10"/>
        <color indexed="8"/>
        <rFont val="Calibri"/>
        <family val="2"/>
        <charset val="204"/>
      </rPr>
      <t>GDP</t>
    </r>
    <r>
      <rPr>
        <i/>
        <vertAlign val="subscript"/>
        <sz val="10"/>
        <color indexed="8"/>
        <rFont val="Calibri"/>
        <family val="2"/>
        <charset val="204"/>
      </rPr>
      <t>L,t</t>
    </r>
  </si>
  <si>
    <r>
      <t>IP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G,t</t>
    </r>
  </si>
  <si>
    <r>
      <t>IR</t>
    </r>
    <r>
      <rPr>
        <i/>
        <vertAlign val="subscript"/>
        <sz val="10"/>
        <color indexed="8"/>
        <rFont val="Calibri"/>
        <family val="2"/>
        <charset val="204"/>
      </rPr>
      <t>G,t</t>
    </r>
  </si>
  <si>
    <r>
      <t>RP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G,t</t>
    </r>
  </si>
  <si>
    <r>
      <t>D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G,t</t>
    </r>
  </si>
  <si>
    <r>
      <t>D</t>
    </r>
    <r>
      <rPr>
        <i/>
        <vertAlign val="superscript"/>
        <sz val="10"/>
        <color indexed="8"/>
        <rFont val="Calibri"/>
        <family val="2"/>
        <charset val="204"/>
      </rPr>
      <t>GDP</t>
    </r>
    <r>
      <rPr>
        <i/>
        <vertAlign val="subscript"/>
        <sz val="10"/>
        <color indexed="8"/>
        <rFont val="Calibri"/>
        <family val="2"/>
        <charset val="204"/>
      </rPr>
      <t>G,t</t>
    </r>
  </si>
  <si>
    <r>
      <t>RP</t>
    </r>
    <r>
      <rPr>
        <i/>
        <vertAlign val="superscript"/>
        <sz val="10"/>
        <color indexed="8"/>
        <rFont val="Calibri"/>
        <family val="2"/>
        <charset val="204"/>
      </rPr>
      <t>GDP</t>
    </r>
    <r>
      <rPr>
        <i/>
        <vertAlign val="subscript"/>
        <sz val="10"/>
        <color indexed="8"/>
        <rFont val="Calibri"/>
        <family val="2"/>
        <charset val="204"/>
      </rPr>
      <t>G,t</t>
    </r>
  </si>
  <si>
    <r>
      <t>D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P,t</t>
    </r>
  </si>
  <si>
    <r>
      <t>IP</t>
    </r>
    <r>
      <rPr>
        <i/>
        <vertAlign val="superscript"/>
        <sz val="10"/>
        <color indexed="8"/>
        <rFont val="Calibri"/>
        <family val="2"/>
        <charset val="204"/>
      </rPr>
      <t>US</t>
    </r>
    <r>
      <rPr>
        <i/>
        <vertAlign val="subscript"/>
        <sz val="10"/>
        <color indexed="8"/>
        <rFont val="Calibri"/>
        <family val="2"/>
        <charset val="204"/>
      </rPr>
      <t>P,t</t>
    </r>
  </si>
  <si>
    <r>
      <t>IR</t>
    </r>
    <r>
      <rPr>
        <i/>
        <vertAlign val="subscript"/>
        <sz val="10"/>
        <color indexed="8"/>
        <rFont val="Calibri"/>
        <family val="2"/>
        <charset val="204"/>
      </rPr>
      <t>P,t</t>
    </r>
  </si>
  <si>
    <t>Платежный баланс, млн. долл.</t>
  </si>
  <si>
    <t>Счет текущих операций</t>
  </si>
  <si>
    <t xml:space="preserve">   Торговое сальдо, в том числе по</t>
  </si>
  <si>
    <t xml:space="preserve">      товарам, в т.ч.</t>
  </si>
  <si>
    <t xml:space="preserve">          экспорт товаров ФОБ</t>
  </si>
  <si>
    <t xml:space="preserve">          импорт товаов ФОБ</t>
  </si>
  <si>
    <t xml:space="preserve">      услугам, в т.ч.</t>
  </si>
  <si>
    <t xml:space="preserve">          экспорт услуг</t>
  </si>
  <si>
    <t xml:space="preserve">          импорт услуг</t>
  </si>
  <si>
    <t>Первичные доходы</t>
  </si>
  <si>
    <t xml:space="preserve">второчные доходы </t>
  </si>
  <si>
    <t xml:space="preserve">Финансовый счет и счет операций с капиталом, включая ошибки и пропуски </t>
  </si>
  <si>
    <t>Чистый приток ПИИ</t>
  </si>
  <si>
    <t>Капитальные трансферты</t>
  </si>
  <si>
    <t>Чистые прочие инвестиции of :</t>
  </si>
  <si>
    <t xml:space="preserve">     Нефинансовго сектора, включая  ошибки и пропуски</t>
  </si>
  <si>
    <t xml:space="preserve">     Банков вкл.портф.инв. и произв.</t>
  </si>
  <si>
    <t xml:space="preserve">      Госсектора (фин. счет) </t>
  </si>
  <si>
    <t>Резервные активы</t>
  </si>
  <si>
    <t>Международные резервы на конец года</t>
  </si>
  <si>
    <t>Достаточность резервов</t>
  </si>
  <si>
    <t>Подробное описание отдельных индикаторов</t>
  </si>
  <si>
    <t>Баланс доходов и оплаты труда, млн.долл.</t>
  </si>
  <si>
    <t>Проценты по госзаймам</t>
  </si>
  <si>
    <t>Факторные доходы частного сектора</t>
  </si>
  <si>
    <t xml:space="preserve">      в т.ч. Баланс оплаты труда</t>
  </si>
  <si>
    <t>Сальдо по текущим трансфертам, млн. долл.</t>
  </si>
  <si>
    <t>Получено</t>
  </si>
  <si>
    <t>Выплачено</t>
  </si>
  <si>
    <t xml:space="preserve">Справочно: </t>
  </si>
  <si>
    <t>Денежные переводы, млн. долл.</t>
  </si>
  <si>
    <t>Гранты, млн.долл.</t>
  </si>
  <si>
    <t>Гранты, тысяч сомони</t>
  </si>
  <si>
    <t>Капитальные трансферты, млн.долл.</t>
  </si>
  <si>
    <t>доля капитальных трансфертов в ВВП, %</t>
  </si>
  <si>
    <t>Сальдо прочих инвестиций нефинансового сектора (вкл. ошибки и пропуски), млн.долл.</t>
  </si>
  <si>
    <t>Активы</t>
  </si>
  <si>
    <t xml:space="preserve">   активы, накопленным итогом</t>
  </si>
  <si>
    <t xml:space="preserve">   активы, накопленным итогом, % ВВП</t>
  </si>
  <si>
    <t>Пассивы</t>
  </si>
  <si>
    <t xml:space="preserve">   пассивы, накопленным итогом</t>
  </si>
  <si>
    <t>ошибки и пропуски</t>
  </si>
  <si>
    <t xml:space="preserve">   ошибки и пропуски, % ВВП</t>
  </si>
  <si>
    <t>Сальдо прочих инвестиций банков, вкл.портф.инв. и произв., млн.долл.</t>
  </si>
  <si>
    <t>Cальдо портфельных инвестиций и производные</t>
  </si>
  <si>
    <t>Сальдо по финансовому счету госсектора, млн.долл.</t>
  </si>
  <si>
    <t>Исключительное финансирование, кредиты МВФ</t>
  </si>
  <si>
    <t xml:space="preserve">  доля пассивов, % ВВП</t>
  </si>
  <si>
    <t>Внешний долг (государственный и частный) и его обслуживание</t>
  </si>
  <si>
    <t>Процентные выплаты по внешнему долгу, млн.долл., в т.ч.</t>
  </si>
  <si>
    <t xml:space="preserve">     Прямой государственный долг</t>
  </si>
  <si>
    <t xml:space="preserve">     НБТ</t>
  </si>
  <si>
    <t xml:space="preserve">     Госпредприятия</t>
  </si>
  <si>
    <t xml:space="preserve">     Частный гарантированый долг</t>
  </si>
  <si>
    <t>Процентная ставка по госдолгу, %</t>
  </si>
  <si>
    <t>Погашения по внешнему долгу, млн.долл., в т.ч.</t>
  </si>
  <si>
    <t xml:space="preserve">      Прямой государственный долг</t>
  </si>
  <si>
    <t xml:space="preserve">      НБТ</t>
  </si>
  <si>
    <t xml:space="preserve">      Госпредприятия</t>
  </si>
  <si>
    <t xml:space="preserve">      Частный гарантированый долг</t>
  </si>
  <si>
    <t>Внешний долг (с учетом госгарантий), млн.долл., в т.ч.</t>
  </si>
  <si>
    <t>Внешний долг, % ВВП</t>
  </si>
  <si>
    <t>Обслуживание внешнего долга, % ВВП</t>
  </si>
  <si>
    <t>Частный негарантированный долг, млн.долл.</t>
  </si>
  <si>
    <t>Финансовое посредничество</t>
  </si>
  <si>
    <t>Транспорт, складское хозяйство и связь</t>
  </si>
  <si>
    <t>Горнодобывающая промышленность</t>
  </si>
  <si>
    <t>Прочие</t>
  </si>
  <si>
    <t>проценты</t>
  </si>
  <si>
    <t>Процентная ставка по НЧД, %</t>
  </si>
  <si>
    <r>
      <t>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>+EX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Serv,t</t>
    </r>
  </si>
  <si>
    <r>
      <t>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Serv,t</t>
    </r>
    <r>
      <rPr>
        <sz val="11"/>
        <color theme="1"/>
        <rFont val="Calibri"/>
        <family val="2"/>
        <scheme val="minor"/>
      </rPr>
      <t xml:space="preserve">  =  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Serv,t-1</t>
    </r>
    <r>
      <rPr>
        <sz val="11"/>
        <color theme="1"/>
        <rFont val="Calibri"/>
        <family val="2"/>
        <scheme val="minor"/>
      </rPr>
      <t>·(0,0701742196128·EX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>+ 0,0271620953584·IM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Goods,t-1</t>
    </r>
    <r>
      <rPr>
        <sz val="11"/>
        <color theme="1"/>
        <rFont val="Calibri"/>
        <family val="2"/>
        <scheme val="minor"/>
      </rPr>
      <t>)/(0,0701742196128·EX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Goods,t-1</t>
    </r>
    <r>
      <rPr>
        <sz val="11"/>
        <color theme="1"/>
        <rFont val="Calibri"/>
        <family val="2"/>
        <scheme val="minor"/>
      </rPr>
      <t>+ 0,0271620953584·IM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Goods,t-2</t>
    </r>
    <r>
      <rPr>
        <sz val="11"/>
        <color theme="1"/>
        <rFont val="Calibri"/>
        <family val="2"/>
        <scheme val="minor"/>
      </rPr>
      <t>)</t>
    </r>
  </si>
  <si>
    <r>
      <t>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 xml:space="preserve">  =  (EX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Al,t</t>
    </r>
    <r>
      <rPr>
        <sz val="11"/>
        <color theme="1"/>
        <rFont val="Calibri"/>
        <family val="2"/>
        <scheme val="minor"/>
      </rPr>
      <t>+EX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Cot,t</t>
    </r>
    <r>
      <rPr>
        <sz val="11"/>
        <color theme="1"/>
        <rFont val="Calibri"/>
        <family val="2"/>
        <scheme val="minor"/>
      </rPr>
      <t>+EX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FV,t</t>
    </r>
    <r>
      <rPr>
        <sz val="11"/>
        <color theme="1"/>
        <rFont val="Calibri"/>
        <family val="2"/>
        <scheme val="minor"/>
      </rPr>
      <t>+EX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El,t</t>
    </r>
    <r>
      <rPr>
        <sz val="11"/>
        <color theme="1"/>
        <rFont val="Calibri"/>
        <family val="2"/>
        <scheme val="minor"/>
      </rPr>
      <t>+EX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oG,t</t>
    </r>
    <r>
      <rPr>
        <sz val="11"/>
        <color theme="1"/>
        <rFont val="Calibri"/>
        <family val="2"/>
        <scheme val="minor"/>
      </rPr>
      <t>)</t>
    </r>
  </si>
  <si>
    <r>
      <t>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Al,t</t>
    </r>
    <r>
      <rPr>
        <sz val="11"/>
        <color theme="1"/>
        <rFont val="Calibri"/>
        <family val="2"/>
        <scheme val="minor"/>
      </rPr>
      <t xml:space="preserve">  =  qEX</t>
    </r>
    <r>
      <rPr>
        <vertAlign val="subscript"/>
        <sz val="11"/>
        <color indexed="8"/>
        <rFont val="Calibri"/>
        <family val="2"/>
      </rPr>
      <t>Al,t</t>
    </r>
    <r>
      <rPr>
        <sz val="11"/>
        <color theme="1"/>
        <rFont val="Calibri"/>
        <family val="2"/>
        <scheme val="minor"/>
      </rPr>
      <t>·pEX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Al,t</t>
    </r>
    <r>
      <rPr>
        <sz val="11"/>
        <color theme="1"/>
        <rFont val="Calibri"/>
        <family val="2"/>
        <scheme val="minor"/>
      </rPr>
      <t>/1000000</t>
    </r>
  </si>
  <si>
    <r>
      <t>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Cot,t</t>
    </r>
    <r>
      <rPr>
        <sz val="11"/>
        <color theme="1"/>
        <rFont val="Calibri"/>
        <family val="2"/>
        <scheme val="minor"/>
      </rPr>
      <t xml:space="preserve">  =  qEX</t>
    </r>
    <r>
      <rPr>
        <vertAlign val="subscript"/>
        <sz val="11"/>
        <color indexed="8"/>
        <rFont val="Calibri"/>
        <family val="2"/>
      </rPr>
      <t>Cot,t</t>
    </r>
    <r>
      <rPr>
        <sz val="11"/>
        <color theme="1"/>
        <rFont val="Calibri"/>
        <family val="2"/>
        <scheme val="minor"/>
      </rPr>
      <t>·pEX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Cot,t</t>
    </r>
    <r>
      <rPr>
        <sz val="11"/>
        <color theme="1"/>
        <rFont val="Calibri"/>
        <family val="2"/>
        <scheme val="minor"/>
      </rPr>
      <t>/1000000</t>
    </r>
  </si>
  <si>
    <r>
      <t>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FV,t</t>
    </r>
    <r>
      <rPr>
        <sz val="11"/>
        <color theme="1"/>
        <rFont val="Calibri"/>
        <family val="2"/>
        <scheme val="minor"/>
      </rPr>
      <t xml:space="preserve">  =  qEX</t>
    </r>
    <r>
      <rPr>
        <vertAlign val="subscript"/>
        <sz val="11"/>
        <color indexed="8"/>
        <rFont val="Calibri"/>
        <family val="2"/>
      </rPr>
      <t>FV,t</t>
    </r>
    <r>
      <rPr>
        <sz val="11"/>
        <color theme="1"/>
        <rFont val="Calibri"/>
        <family val="2"/>
        <scheme val="minor"/>
      </rPr>
      <t>·pEX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FV,t</t>
    </r>
    <r>
      <rPr>
        <sz val="11"/>
        <color theme="1"/>
        <rFont val="Calibri"/>
        <family val="2"/>
        <scheme val="minor"/>
      </rPr>
      <t>/1000</t>
    </r>
  </si>
  <si>
    <r>
      <t>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El,t</t>
    </r>
    <r>
      <rPr>
        <sz val="11"/>
        <color theme="1"/>
        <rFont val="Calibri"/>
        <family val="2"/>
        <scheme val="minor"/>
      </rPr>
      <t xml:space="preserve">  =  qEX</t>
    </r>
    <r>
      <rPr>
        <vertAlign val="subscript"/>
        <sz val="11"/>
        <color indexed="8"/>
        <rFont val="Calibri"/>
        <family val="2"/>
      </rPr>
      <t>El,t</t>
    </r>
    <r>
      <rPr>
        <sz val="11"/>
        <color theme="1"/>
        <rFont val="Calibri"/>
        <family val="2"/>
        <scheme val="minor"/>
      </rPr>
      <t>·pEX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El,t</t>
    </r>
  </si>
  <si>
    <r>
      <t>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oG,t</t>
    </r>
    <r>
      <rPr>
        <sz val="11"/>
        <color theme="1"/>
        <rFont val="Calibri"/>
        <family val="2"/>
        <scheme val="minor"/>
      </rPr>
      <t xml:space="preserve">  =  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oG,t-1</t>
    </r>
    <r>
      <rPr>
        <sz val="11"/>
        <color theme="1"/>
        <rFont val="Calibri"/>
        <family val="2"/>
        <scheme val="minor"/>
      </rPr>
      <t>·(gGDP</t>
    </r>
    <r>
      <rPr>
        <vertAlign val="superscript"/>
        <sz val="11"/>
        <color indexed="8"/>
        <rFont val="Calibri"/>
        <family val="2"/>
      </rPr>
      <t>DE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/100+1)·(1+dCPI</t>
    </r>
    <r>
      <rPr>
        <vertAlign val="superscript"/>
        <sz val="11"/>
        <color indexed="8"/>
        <rFont val="Calibri"/>
        <family val="2"/>
      </rPr>
      <t>W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/100)</t>
    </r>
  </si>
  <si>
    <r>
      <t>qEX</t>
    </r>
    <r>
      <rPr>
        <vertAlign val="subscript"/>
        <sz val="11"/>
        <color indexed="8"/>
        <rFont val="Calibri"/>
        <family val="2"/>
      </rPr>
      <t>Al,t</t>
    </r>
    <r>
      <rPr>
        <sz val="11"/>
        <color theme="1"/>
        <rFont val="Calibri"/>
        <family val="2"/>
        <scheme val="minor"/>
      </rPr>
      <t xml:space="preserve">  =  qEX</t>
    </r>
    <r>
      <rPr>
        <vertAlign val="subscript"/>
        <sz val="11"/>
        <color indexed="8"/>
        <rFont val="Calibri"/>
        <family val="2"/>
      </rPr>
      <t>Al,t-1</t>
    </r>
    <r>
      <rPr>
        <sz val="11"/>
        <color theme="1"/>
        <rFont val="Calibri"/>
        <family val="2"/>
        <scheme val="minor"/>
      </rPr>
      <t>·EXP(0,057291+3,96444·LN((gGDP</t>
    </r>
    <r>
      <rPr>
        <vertAlign val="superscript"/>
        <sz val="11"/>
        <color indexed="8"/>
        <rFont val="Calibri"/>
        <family val="2"/>
      </rPr>
      <t>DE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+100)/(gGDP</t>
    </r>
    <r>
      <rPr>
        <vertAlign val="superscript"/>
        <sz val="11"/>
        <color indexed="8"/>
        <rFont val="Calibri"/>
        <family val="2"/>
      </rPr>
      <t>DE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+100)))</t>
    </r>
  </si>
  <si>
    <r>
      <t>qEX</t>
    </r>
    <r>
      <rPr>
        <vertAlign val="subscript"/>
        <sz val="11"/>
        <color indexed="8"/>
        <rFont val="Calibri"/>
        <family val="2"/>
      </rPr>
      <t>Cot,t</t>
    </r>
    <r>
      <rPr>
        <sz val="11"/>
        <color theme="1"/>
        <rFont val="Calibri"/>
        <family val="2"/>
        <scheme val="minor"/>
      </rPr>
      <t xml:space="preserve">  =  qEX</t>
    </r>
    <r>
      <rPr>
        <vertAlign val="subscript"/>
        <sz val="11"/>
        <color indexed="8"/>
        <rFont val="Calibri"/>
        <family val="2"/>
      </rPr>
      <t>Cot,t</t>
    </r>
  </si>
  <si>
    <r>
      <t>qEX</t>
    </r>
    <r>
      <rPr>
        <vertAlign val="subscript"/>
        <sz val="11"/>
        <color indexed="8"/>
        <rFont val="Calibri"/>
        <family val="2"/>
      </rPr>
      <t>FV,t</t>
    </r>
    <r>
      <rPr>
        <sz val="11"/>
        <color theme="1"/>
        <rFont val="Calibri"/>
        <family val="2"/>
        <scheme val="minor"/>
      </rPr>
      <t xml:space="preserve">  =  qEX</t>
    </r>
    <r>
      <rPr>
        <vertAlign val="subscript"/>
        <sz val="11"/>
        <color indexed="8"/>
        <rFont val="Calibri"/>
        <family val="2"/>
      </rPr>
      <t>FV,t</t>
    </r>
  </si>
  <si>
    <r>
      <t>qEX</t>
    </r>
    <r>
      <rPr>
        <vertAlign val="subscript"/>
        <sz val="11"/>
        <color indexed="8"/>
        <rFont val="Calibri"/>
        <family val="2"/>
      </rPr>
      <t>El,t</t>
    </r>
    <r>
      <rPr>
        <sz val="11"/>
        <color theme="1"/>
        <rFont val="Calibri"/>
        <family val="2"/>
        <scheme val="minor"/>
      </rPr>
      <t xml:space="preserve">  =  qEX</t>
    </r>
    <r>
      <rPr>
        <vertAlign val="subscript"/>
        <sz val="11"/>
        <color indexed="8"/>
        <rFont val="Calibri"/>
        <family val="2"/>
      </rPr>
      <t>El,t</t>
    </r>
  </si>
  <si>
    <r>
      <t>idxqEX</t>
    </r>
    <r>
      <rPr>
        <vertAlign val="superscript"/>
        <sz val="11"/>
        <color indexed="8"/>
        <rFont val="Calibri"/>
        <family val="2"/>
      </rPr>
      <t>2003</t>
    </r>
    <r>
      <rPr>
        <vertAlign val="subscript"/>
        <sz val="11"/>
        <color indexed="8"/>
        <rFont val="Calibri"/>
        <family val="2"/>
      </rPr>
      <t>oG,t</t>
    </r>
    <r>
      <rPr>
        <sz val="11"/>
        <color theme="1"/>
        <rFont val="Calibri"/>
        <family val="2"/>
        <scheme val="minor"/>
      </rPr>
      <t xml:space="preserve">  =  (EX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·gEX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-(EX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Al,t-1</t>
    </r>
    <r>
      <rPr>
        <sz val="11"/>
        <color theme="1"/>
        <rFont val="Calibri"/>
        <family val="2"/>
        <scheme val="minor"/>
      </rPr>
      <t>+EX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Cot,t-1</t>
    </r>
    <r>
      <rPr>
        <sz val="11"/>
        <color theme="1"/>
        <rFont val="Calibri"/>
        <family val="2"/>
        <scheme val="minor"/>
      </rPr>
      <t>+EX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FV,t-1</t>
    </r>
    <r>
      <rPr>
        <sz val="11"/>
        <color theme="1"/>
        <rFont val="Calibri"/>
        <family val="2"/>
        <scheme val="minor"/>
      </rPr>
      <t>+EX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El,t-1</t>
    </r>
    <r>
      <rPr>
        <sz val="11"/>
        <color theme="1"/>
        <rFont val="Calibri"/>
        <family val="2"/>
        <scheme val="minor"/>
      </rPr>
      <t>)·gEX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>)/(EX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-(EX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Al,t-1</t>
    </r>
    <r>
      <rPr>
        <sz val="11"/>
        <color theme="1"/>
        <rFont val="Calibri"/>
        <family val="2"/>
        <scheme val="minor"/>
      </rPr>
      <t>+EX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Cot,t-1</t>
    </r>
    <r>
      <rPr>
        <sz val="11"/>
        <color theme="1"/>
        <rFont val="Calibri"/>
        <family val="2"/>
        <scheme val="minor"/>
      </rPr>
      <t>+EX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FV,t-1</t>
    </r>
    <r>
      <rPr>
        <sz val="11"/>
        <color theme="1"/>
        <rFont val="Calibri"/>
        <family val="2"/>
        <scheme val="minor"/>
      </rPr>
      <t>+EX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El,t-1</t>
    </r>
    <r>
      <rPr>
        <sz val="11"/>
        <color theme="1"/>
        <rFont val="Calibri"/>
        <family val="2"/>
        <scheme val="minor"/>
      </rPr>
      <t>))·idxqEX</t>
    </r>
    <r>
      <rPr>
        <vertAlign val="superscript"/>
        <sz val="11"/>
        <color indexed="8"/>
        <rFont val="Calibri"/>
        <family val="2"/>
      </rPr>
      <t>2003</t>
    </r>
    <r>
      <rPr>
        <vertAlign val="subscript"/>
        <sz val="11"/>
        <color indexed="8"/>
        <rFont val="Calibri"/>
        <family val="2"/>
      </rPr>
      <t>oG,t-1</t>
    </r>
    <r>
      <rPr>
        <sz val="11"/>
        <color theme="1"/>
        <rFont val="Calibri"/>
        <family val="2"/>
        <scheme val="minor"/>
      </rPr>
      <t>/100</t>
    </r>
  </si>
  <si>
    <r>
      <t>pEX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Al,t</t>
    </r>
    <r>
      <rPr>
        <sz val="11"/>
        <color theme="1"/>
        <rFont val="Calibri"/>
        <family val="2"/>
        <scheme val="minor"/>
      </rPr>
      <t xml:space="preserve">  =  pEX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Al,t-1</t>
    </r>
    <r>
      <rPr>
        <sz val="11"/>
        <color theme="1"/>
        <rFont val="Calibri"/>
        <family val="2"/>
        <scheme val="minor"/>
      </rPr>
      <t>·pAL</t>
    </r>
    <r>
      <rPr>
        <vertAlign val="superscript"/>
        <sz val="11"/>
        <color indexed="8"/>
        <rFont val="Calibri"/>
        <family val="2"/>
      </rPr>
      <t>W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/pAL</t>
    </r>
    <r>
      <rPr>
        <vertAlign val="superscript"/>
        <sz val="11"/>
        <color indexed="8"/>
        <rFont val="Calibri"/>
        <family val="2"/>
      </rPr>
      <t>W</t>
    </r>
    <r>
      <rPr>
        <vertAlign val="subscript"/>
        <sz val="11"/>
        <color indexed="8"/>
        <rFont val="Calibri"/>
        <family val="2"/>
      </rPr>
      <t>t-1</t>
    </r>
  </si>
  <si>
    <r>
      <t>pEX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Cot,t</t>
    </r>
    <r>
      <rPr>
        <sz val="11"/>
        <color theme="1"/>
        <rFont val="Calibri"/>
        <family val="2"/>
        <scheme val="minor"/>
      </rPr>
      <t xml:space="preserve">  =  pEX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Cot,t-1</t>
    </r>
    <r>
      <rPr>
        <sz val="11"/>
        <color theme="1"/>
        <rFont val="Calibri"/>
        <family val="2"/>
        <scheme val="minor"/>
      </rPr>
      <t>·pAL</t>
    </r>
    <r>
      <rPr>
        <vertAlign val="superscript"/>
        <sz val="11"/>
        <color indexed="8"/>
        <rFont val="Calibri"/>
        <family val="2"/>
      </rPr>
      <t>W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/pAL</t>
    </r>
    <r>
      <rPr>
        <vertAlign val="superscript"/>
        <sz val="11"/>
        <color indexed="8"/>
        <rFont val="Calibri"/>
        <family val="2"/>
      </rPr>
      <t>W</t>
    </r>
    <r>
      <rPr>
        <vertAlign val="subscript"/>
        <sz val="11"/>
        <color indexed="8"/>
        <rFont val="Calibri"/>
        <family val="2"/>
      </rPr>
      <t>t-1</t>
    </r>
  </si>
  <si>
    <r>
      <t>pEX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FV,t</t>
    </r>
    <r>
      <rPr>
        <sz val="11"/>
        <color theme="1"/>
        <rFont val="Calibri"/>
        <family val="2"/>
        <scheme val="minor"/>
      </rPr>
      <t xml:space="preserve">  =  pEX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FV,t-1</t>
    </r>
    <r>
      <rPr>
        <sz val="11"/>
        <color theme="1"/>
        <rFont val="Calibri"/>
        <family val="2"/>
        <scheme val="minor"/>
      </rPr>
      <t>·pFV</t>
    </r>
    <r>
      <rPr>
        <vertAlign val="superscript"/>
        <sz val="11"/>
        <color indexed="8"/>
        <rFont val="Calibri"/>
        <family val="2"/>
      </rPr>
      <t>RUB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/pFV</t>
    </r>
    <r>
      <rPr>
        <vertAlign val="superscript"/>
        <sz val="11"/>
        <color indexed="8"/>
        <rFont val="Calibri"/>
        <family val="2"/>
      </rPr>
      <t>RUB</t>
    </r>
    <r>
      <rPr>
        <vertAlign val="subscript"/>
        <sz val="11"/>
        <color indexed="8"/>
        <rFont val="Calibri"/>
        <family val="2"/>
      </rPr>
      <t>t-1</t>
    </r>
  </si>
  <si>
    <r>
      <t>pEX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El,t</t>
    </r>
    <r>
      <rPr>
        <sz val="11"/>
        <color theme="1"/>
        <rFont val="Calibri"/>
        <family val="2"/>
        <scheme val="minor"/>
      </rPr>
      <t xml:space="preserve">  =  pEX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El,t</t>
    </r>
  </si>
  <si>
    <r>
      <t>idxdefEX</t>
    </r>
    <r>
      <rPr>
        <vertAlign val="superscript"/>
        <sz val="11"/>
        <color indexed="8"/>
        <rFont val="Calibri"/>
        <family val="2"/>
      </rPr>
      <t>US,2003</t>
    </r>
    <r>
      <rPr>
        <vertAlign val="subscript"/>
        <sz val="11"/>
        <color indexed="8"/>
        <rFont val="Calibri"/>
        <family val="2"/>
      </rPr>
      <t>oG,t</t>
    </r>
    <r>
      <rPr>
        <sz val="11"/>
        <color theme="1"/>
        <rFont val="Calibri"/>
        <family val="2"/>
        <scheme val="minor"/>
      </rPr>
      <t xml:space="preserve">  =  idxdefEX</t>
    </r>
    <r>
      <rPr>
        <vertAlign val="superscript"/>
        <sz val="11"/>
        <color indexed="8"/>
        <rFont val="Calibri"/>
        <family val="2"/>
      </rPr>
      <t>US,2003</t>
    </r>
    <r>
      <rPr>
        <vertAlign val="subscript"/>
        <sz val="11"/>
        <color indexed="8"/>
        <rFont val="Calibri"/>
        <family val="2"/>
      </rPr>
      <t>oG,t-1</t>
    </r>
    <r>
      <rPr>
        <sz val="11"/>
        <color theme="1"/>
        <rFont val="Calibri"/>
        <family val="2"/>
        <scheme val="minor"/>
      </rPr>
      <t>·(EX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-(EX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Al,t</t>
    </r>
    <r>
      <rPr>
        <sz val="11"/>
        <color theme="1"/>
        <rFont val="Calibri"/>
        <family val="2"/>
        <scheme val="minor"/>
      </rPr>
      <t>+EX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Cot,t</t>
    </r>
    <r>
      <rPr>
        <sz val="11"/>
        <color theme="1"/>
        <rFont val="Calibri"/>
        <family val="2"/>
        <scheme val="minor"/>
      </rPr>
      <t>+EX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FV,t</t>
    </r>
    <r>
      <rPr>
        <sz val="11"/>
        <color theme="1"/>
        <rFont val="Calibri"/>
        <family val="2"/>
        <scheme val="minor"/>
      </rPr>
      <t>+EX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El,t</t>
    </r>
    <r>
      <rPr>
        <sz val="11"/>
        <color theme="1"/>
        <rFont val="Calibri"/>
        <family val="2"/>
        <scheme val="minor"/>
      </rPr>
      <t>))/(EX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-(EX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Al,t-1</t>
    </r>
    <r>
      <rPr>
        <sz val="11"/>
        <color theme="1"/>
        <rFont val="Calibri"/>
        <family val="2"/>
        <scheme val="minor"/>
      </rPr>
      <t>+EX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Cot,t-1</t>
    </r>
    <r>
      <rPr>
        <sz val="11"/>
        <color theme="1"/>
        <rFont val="Calibri"/>
        <family val="2"/>
        <scheme val="minor"/>
      </rPr>
      <t>+EX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FV,t-1</t>
    </r>
    <r>
      <rPr>
        <sz val="11"/>
        <color theme="1"/>
        <rFont val="Calibri"/>
        <family val="2"/>
        <scheme val="minor"/>
      </rPr>
      <t>+EX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El,t-1</t>
    </r>
    <r>
      <rPr>
        <sz val="11"/>
        <color theme="1"/>
        <rFont val="Calibri"/>
        <family val="2"/>
        <scheme val="minor"/>
      </rPr>
      <t>))/(idxqEX</t>
    </r>
    <r>
      <rPr>
        <vertAlign val="superscript"/>
        <sz val="11"/>
        <color indexed="8"/>
        <rFont val="Calibri"/>
        <family val="2"/>
      </rPr>
      <t>2003</t>
    </r>
    <r>
      <rPr>
        <vertAlign val="subscript"/>
        <sz val="11"/>
        <color indexed="8"/>
        <rFont val="Calibri"/>
        <family val="2"/>
      </rPr>
      <t>oG,t</t>
    </r>
    <r>
      <rPr>
        <sz val="11"/>
        <color theme="1"/>
        <rFont val="Calibri"/>
        <family val="2"/>
        <scheme val="minor"/>
      </rPr>
      <t>/idxqEX</t>
    </r>
    <r>
      <rPr>
        <vertAlign val="superscript"/>
        <sz val="11"/>
        <color indexed="8"/>
        <rFont val="Calibri"/>
        <family val="2"/>
      </rPr>
      <t>2003</t>
    </r>
    <r>
      <rPr>
        <vertAlign val="subscript"/>
        <sz val="11"/>
        <color indexed="8"/>
        <rFont val="Calibri"/>
        <family val="2"/>
      </rPr>
      <t>oG,t-1</t>
    </r>
    <r>
      <rPr>
        <sz val="11"/>
        <color theme="1"/>
        <rFont val="Calibri"/>
        <family val="2"/>
        <scheme val="minor"/>
      </rPr>
      <t>)</t>
    </r>
  </si>
  <si>
    <r>
      <t>gEX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gEX</t>
    </r>
    <r>
      <rPr>
        <vertAlign val="subscript"/>
        <sz val="11"/>
        <color indexed="8"/>
        <rFont val="Calibri"/>
        <family val="2"/>
      </rPr>
      <t>Goods,t</t>
    </r>
  </si>
  <si>
    <r>
      <t>gEX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 xml:space="preserve">  =  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>/EX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Goods,t-1</t>
    </r>
    <r>
      <rPr>
        <sz val="11"/>
        <color theme="1"/>
        <rFont val="Calibri"/>
        <family val="2"/>
        <scheme val="minor"/>
      </rPr>
      <t>/defEX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>·10000</t>
    </r>
  </si>
  <si>
    <r>
      <t>defEX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(EX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)/(EX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)/gEX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·10000</t>
    </r>
  </si>
  <si>
    <r>
      <t>defEX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 xml:space="preserve">  =  (EX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Al,t</t>
    </r>
    <r>
      <rPr>
        <sz val="11"/>
        <color theme="1"/>
        <rFont val="Calibri"/>
        <family val="2"/>
        <scheme val="minor"/>
      </rPr>
      <t>+EX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Cot,t</t>
    </r>
    <r>
      <rPr>
        <sz val="11"/>
        <color theme="1"/>
        <rFont val="Calibri"/>
        <family val="2"/>
        <scheme val="minor"/>
      </rPr>
      <t>+EX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FV,t</t>
    </r>
    <r>
      <rPr>
        <sz val="11"/>
        <color theme="1"/>
        <rFont val="Calibri"/>
        <family val="2"/>
        <scheme val="minor"/>
      </rPr>
      <t>+EX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El,t</t>
    </r>
    <r>
      <rPr>
        <sz val="11"/>
        <color theme="1"/>
        <rFont val="Calibri"/>
        <family val="2"/>
        <scheme val="minor"/>
      </rPr>
      <t>)/(EX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Al,t</t>
    </r>
    <r>
      <rPr>
        <sz val="11"/>
        <color theme="1"/>
        <rFont val="Calibri"/>
        <family val="2"/>
        <scheme val="minor"/>
      </rPr>
      <t>/(pEX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Al,t</t>
    </r>
    <r>
      <rPr>
        <sz val="11"/>
        <color theme="1"/>
        <rFont val="Calibri"/>
        <family val="2"/>
        <scheme val="minor"/>
      </rPr>
      <t>/pEX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Al,t-1</t>
    </r>
    <r>
      <rPr>
        <sz val="11"/>
        <color theme="1"/>
        <rFont val="Calibri"/>
        <family val="2"/>
        <scheme val="minor"/>
      </rPr>
      <t>·100)+EX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Cot,t</t>
    </r>
    <r>
      <rPr>
        <sz val="11"/>
        <color theme="1"/>
        <rFont val="Calibri"/>
        <family val="2"/>
        <scheme val="minor"/>
      </rPr>
      <t>/(pEX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Cot,t</t>
    </r>
    <r>
      <rPr>
        <sz val="11"/>
        <color theme="1"/>
        <rFont val="Calibri"/>
        <family val="2"/>
        <scheme val="minor"/>
      </rPr>
      <t>/pEX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Cot,t-1</t>
    </r>
    <r>
      <rPr>
        <sz val="11"/>
        <color theme="1"/>
        <rFont val="Calibri"/>
        <family val="2"/>
        <scheme val="minor"/>
      </rPr>
      <t>·100)+EX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FV,t</t>
    </r>
    <r>
      <rPr>
        <sz val="11"/>
        <color theme="1"/>
        <rFont val="Calibri"/>
        <family val="2"/>
        <scheme val="minor"/>
      </rPr>
      <t>/(pEX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FV,t</t>
    </r>
    <r>
      <rPr>
        <sz val="11"/>
        <color theme="1"/>
        <rFont val="Calibri"/>
        <family val="2"/>
        <scheme val="minor"/>
      </rPr>
      <t>/pEX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FV,t-1</t>
    </r>
    <r>
      <rPr>
        <sz val="11"/>
        <color theme="1"/>
        <rFont val="Calibri"/>
        <family val="2"/>
        <scheme val="minor"/>
      </rPr>
      <t>·100)+EX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El,t</t>
    </r>
    <r>
      <rPr>
        <sz val="11"/>
        <color theme="1"/>
        <rFont val="Calibri"/>
        <family val="2"/>
        <scheme val="minor"/>
      </rPr>
      <t>/(pEX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El,t</t>
    </r>
    <r>
      <rPr>
        <sz val="11"/>
        <color theme="1"/>
        <rFont val="Calibri"/>
        <family val="2"/>
        <scheme val="minor"/>
      </rPr>
      <t>/pEX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El,t-1</t>
    </r>
    <r>
      <rPr>
        <sz val="11"/>
        <color theme="1"/>
        <rFont val="Calibri"/>
        <family val="2"/>
        <scheme val="minor"/>
      </rPr>
      <t>·100))</t>
    </r>
  </si>
  <si>
    <r>
      <t>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>+IM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Serv,t</t>
    </r>
  </si>
  <si>
    <r>
      <t>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Serv,t</t>
    </r>
    <r>
      <rPr>
        <sz val="11"/>
        <color theme="1"/>
        <rFont val="Calibri"/>
        <family val="2"/>
        <scheme val="minor"/>
      </rPr>
      <t xml:space="preserve">  =  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Serv,t-1</t>
    </r>
    <r>
      <rPr>
        <sz val="11"/>
        <color theme="1"/>
        <rFont val="Calibri"/>
        <family val="2"/>
        <scheme val="minor"/>
      </rPr>
      <t>·EXP(0,152474485921+0,843221616006·LN(EX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Al,t</t>
    </r>
    <r>
      <rPr>
        <sz val="11"/>
        <color theme="1"/>
        <rFont val="Calibri"/>
        <family val="2"/>
        <scheme val="minor"/>
      </rPr>
      <t>/EX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Al,t-1</t>
    </r>
    <r>
      <rPr>
        <sz val="11"/>
        <color theme="1"/>
        <rFont val="Calibri"/>
        <family val="2"/>
        <scheme val="minor"/>
      </rPr>
      <t>))</t>
    </r>
  </si>
  <si>
    <r>
      <t>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 xml:space="preserve">  =  (IM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Wh,t</t>
    </r>
    <r>
      <rPr>
        <sz val="11"/>
        <color theme="1"/>
        <rFont val="Calibri"/>
        <family val="2"/>
        <scheme val="minor"/>
      </rPr>
      <t>+IM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Oil,t</t>
    </r>
    <r>
      <rPr>
        <sz val="11"/>
        <color theme="1"/>
        <rFont val="Calibri"/>
        <family val="2"/>
        <scheme val="minor"/>
      </rPr>
      <t>+IM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El,t</t>
    </r>
    <r>
      <rPr>
        <sz val="11"/>
        <color theme="1"/>
        <rFont val="Calibri"/>
        <family val="2"/>
        <scheme val="minor"/>
      </rPr>
      <t>+IM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Gas,t</t>
    </r>
    <r>
      <rPr>
        <sz val="11"/>
        <color theme="1"/>
        <rFont val="Calibri"/>
        <family val="2"/>
        <scheme val="minor"/>
      </rPr>
      <t>+IM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Am,t</t>
    </r>
    <r>
      <rPr>
        <sz val="11"/>
        <color theme="1"/>
        <rFont val="Calibri"/>
        <family val="2"/>
        <scheme val="minor"/>
      </rPr>
      <t>+IM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Fl,t</t>
    </r>
    <r>
      <rPr>
        <sz val="11"/>
        <color theme="1"/>
        <rFont val="Calibri"/>
        <family val="2"/>
        <scheme val="minor"/>
      </rPr>
      <t>+IM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oG,t</t>
    </r>
    <r>
      <rPr>
        <sz val="11"/>
        <color theme="1"/>
        <rFont val="Calibri"/>
        <family val="2"/>
        <scheme val="minor"/>
      </rPr>
      <t>)</t>
    </r>
  </si>
  <si>
    <r>
      <t>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Wh,t</t>
    </r>
    <r>
      <rPr>
        <sz val="11"/>
        <color theme="1"/>
        <rFont val="Calibri"/>
        <family val="2"/>
        <scheme val="minor"/>
      </rPr>
      <t xml:space="preserve">  =  qIM</t>
    </r>
    <r>
      <rPr>
        <vertAlign val="subscript"/>
        <sz val="11"/>
        <color indexed="8"/>
        <rFont val="Calibri"/>
        <family val="2"/>
      </rPr>
      <t>Wh,t</t>
    </r>
    <r>
      <rPr>
        <sz val="11"/>
        <color theme="1"/>
        <rFont val="Calibri"/>
        <family val="2"/>
        <scheme val="minor"/>
      </rPr>
      <t>·pIM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Wh,t</t>
    </r>
    <r>
      <rPr>
        <sz val="11"/>
        <color theme="1"/>
        <rFont val="Calibri"/>
        <family val="2"/>
        <scheme val="minor"/>
      </rPr>
      <t>/1000000</t>
    </r>
  </si>
  <si>
    <r>
      <t>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Oil,t</t>
    </r>
    <r>
      <rPr>
        <sz val="11"/>
        <color theme="1"/>
        <rFont val="Calibri"/>
        <family val="2"/>
        <scheme val="minor"/>
      </rPr>
      <t xml:space="preserve">  =  qIM</t>
    </r>
    <r>
      <rPr>
        <vertAlign val="subscript"/>
        <sz val="11"/>
        <color indexed="8"/>
        <rFont val="Calibri"/>
        <family val="2"/>
      </rPr>
      <t>Oil,t</t>
    </r>
    <r>
      <rPr>
        <sz val="11"/>
        <color theme="1"/>
        <rFont val="Calibri"/>
        <family val="2"/>
        <scheme val="minor"/>
      </rPr>
      <t>·pIM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Oil,t</t>
    </r>
    <r>
      <rPr>
        <sz val="11"/>
        <color theme="1"/>
        <rFont val="Calibri"/>
        <family val="2"/>
        <scheme val="minor"/>
      </rPr>
      <t>/1000000</t>
    </r>
  </si>
  <si>
    <r>
      <t>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Gas,t</t>
    </r>
    <r>
      <rPr>
        <sz val="11"/>
        <color theme="1"/>
        <rFont val="Calibri"/>
        <family val="2"/>
        <scheme val="minor"/>
      </rPr>
      <t xml:space="preserve">  =  qIM</t>
    </r>
    <r>
      <rPr>
        <vertAlign val="subscript"/>
        <sz val="11"/>
        <color indexed="8"/>
        <rFont val="Calibri"/>
        <family val="2"/>
      </rPr>
      <t>Gas,t</t>
    </r>
    <r>
      <rPr>
        <sz val="11"/>
        <color theme="1"/>
        <rFont val="Calibri"/>
        <family val="2"/>
        <scheme val="minor"/>
      </rPr>
      <t>·pIM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Gas,t</t>
    </r>
    <r>
      <rPr>
        <sz val="11"/>
        <color theme="1"/>
        <rFont val="Calibri"/>
        <family val="2"/>
        <scheme val="minor"/>
      </rPr>
      <t>/1000</t>
    </r>
  </si>
  <si>
    <r>
      <t>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Am,t</t>
    </r>
    <r>
      <rPr>
        <sz val="11"/>
        <color theme="1"/>
        <rFont val="Calibri"/>
        <family val="2"/>
        <scheme val="minor"/>
      </rPr>
      <t xml:space="preserve">  =  qIM</t>
    </r>
    <r>
      <rPr>
        <vertAlign val="subscript"/>
        <sz val="11"/>
        <color indexed="8"/>
        <rFont val="Calibri"/>
        <family val="2"/>
      </rPr>
      <t>Am,t</t>
    </r>
    <r>
      <rPr>
        <sz val="11"/>
        <color theme="1"/>
        <rFont val="Calibri"/>
        <family val="2"/>
        <scheme val="minor"/>
      </rPr>
      <t>·pIM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Am,t</t>
    </r>
    <r>
      <rPr>
        <sz val="11"/>
        <color theme="1"/>
        <rFont val="Calibri"/>
        <family val="2"/>
        <scheme val="minor"/>
      </rPr>
      <t>/1000000</t>
    </r>
  </si>
  <si>
    <r>
      <t>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Fl,t</t>
    </r>
    <r>
      <rPr>
        <sz val="11"/>
        <color theme="1"/>
        <rFont val="Calibri"/>
        <family val="2"/>
        <scheme val="minor"/>
      </rPr>
      <t xml:space="preserve">  =  qIM</t>
    </r>
    <r>
      <rPr>
        <vertAlign val="subscript"/>
        <sz val="11"/>
        <color indexed="8"/>
        <rFont val="Calibri"/>
        <family val="2"/>
      </rPr>
      <t>Fl,t</t>
    </r>
    <r>
      <rPr>
        <sz val="11"/>
        <color theme="1"/>
        <rFont val="Calibri"/>
        <family val="2"/>
        <scheme val="minor"/>
      </rPr>
      <t>·pIM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Fl,t</t>
    </r>
    <r>
      <rPr>
        <sz val="11"/>
        <color theme="1"/>
        <rFont val="Calibri"/>
        <family val="2"/>
        <scheme val="minor"/>
      </rPr>
      <t>/1000000</t>
    </r>
  </si>
  <si>
    <r>
      <t>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oG,t</t>
    </r>
    <r>
      <rPr>
        <sz val="11"/>
        <color theme="1"/>
        <rFont val="Calibri"/>
        <family val="2"/>
        <scheme val="minor"/>
      </rPr>
      <t xml:space="preserve">  =  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oG,t-1</t>
    </r>
    <r>
      <rPr>
        <sz val="11"/>
        <color theme="1"/>
        <rFont val="Calibri"/>
        <family val="2"/>
        <scheme val="minor"/>
      </rPr>
      <t>·EXP(0,070487206518+0,772700360827·LN(EX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>/EX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Goods,t-1</t>
    </r>
    <r>
      <rPr>
        <sz val="11"/>
        <color theme="1"/>
        <rFont val="Calibri"/>
        <family val="2"/>
        <scheme val="minor"/>
      </rPr>
      <t>)+0,26587256149·LN(C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/C</t>
    </r>
    <r>
      <rPr>
        <vertAlign val="superscript"/>
        <sz val="11"/>
        <color indexed="8"/>
        <rFont val="Calibri"/>
        <family val="2"/>
      </rPr>
      <t>NA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/(er</t>
    </r>
    <r>
      <rPr>
        <vertAlign val="superscript"/>
        <sz val="11"/>
        <color indexed="8"/>
        <rFont val="Calibri"/>
        <family val="2"/>
      </rPr>
      <t>USD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/er</t>
    </r>
    <r>
      <rPr>
        <vertAlign val="superscript"/>
        <sz val="11"/>
        <color indexed="8"/>
        <rFont val="Calibri"/>
        <family val="2"/>
      </rPr>
      <t>USD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)))</t>
    </r>
  </si>
  <si>
    <r>
      <t>qIM</t>
    </r>
    <r>
      <rPr>
        <vertAlign val="subscript"/>
        <sz val="11"/>
        <color indexed="8"/>
        <rFont val="Calibri"/>
        <family val="2"/>
      </rPr>
      <t>Wh,t</t>
    </r>
    <r>
      <rPr>
        <sz val="11"/>
        <color theme="1"/>
        <rFont val="Calibri"/>
        <family val="2"/>
        <scheme val="minor"/>
      </rPr>
      <t xml:space="preserve">  =  qIM</t>
    </r>
    <r>
      <rPr>
        <vertAlign val="subscript"/>
        <sz val="11"/>
        <color indexed="8"/>
        <rFont val="Calibri"/>
        <family val="2"/>
      </rPr>
      <t>Wh,t-1</t>
    </r>
    <r>
      <rPr>
        <sz val="11"/>
        <color theme="1"/>
        <rFont val="Calibri"/>
        <family val="2"/>
        <scheme val="minor"/>
      </rPr>
      <t>·gIND</t>
    </r>
    <r>
      <rPr>
        <vertAlign val="subscript"/>
        <sz val="11"/>
        <color indexed="8"/>
        <rFont val="Calibri"/>
        <family val="2"/>
      </rPr>
      <t>DA, t</t>
    </r>
    <r>
      <rPr>
        <sz val="11"/>
        <color theme="1"/>
        <rFont val="Calibri"/>
        <family val="2"/>
        <scheme val="minor"/>
      </rPr>
      <t>/100</t>
    </r>
  </si>
  <si>
    <r>
      <t>qIM</t>
    </r>
    <r>
      <rPr>
        <vertAlign val="subscript"/>
        <sz val="11"/>
        <color indexed="8"/>
        <rFont val="Calibri"/>
        <family val="2"/>
      </rPr>
      <t>Oil,t</t>
    </r>
    <r>
      <rPr>
        <sz val="11"/>
        <color theme="1"/>
        <rFont val="Calibri"/>
        <family val="2"/>
        <scheme val="minor"/>
      </rPr>
      <t xml:space="preserve">  =  qIM</t>
    </r>
    <r>
      <rPr>
        <vertAlign val="subscript"/>
        <sz val="11"/>
        <color indexed="8"/>
        <rFont val="Calibri"/>
        <family val="2"/>
      </rPr>
      <t>Oil,t-1</t>
    </r>
    <r>
      <rPr>
        <sz val="11"/>
        <color theme="1"/>
        <rFont val="Calibri"/>
        <family val="2"/>
        <scheme val="minor"/>
      </rPr>
      <t>·(TRAN</t>
    </r>
    <r>
      <rPr>
        <vertAlign val="superscript"/>
        <sz val="11"/>
        <color indexed="8"/>
        <rFont val="Calibri"/>
        <family val="2"/>
      </rPr>
      <t>C</t>
    </r>
    <r>
      <rPr>
        <vertAlign val="subscript"/>
        <sz val="11"/>
        <color indexed="8"/>
        <rFont val="Calibri"/>
        <family val="2"/>
      </rPr>
      <t>M, t</t>
    </r>
    <r>
      <rPr>
        <sz val="11"/>
        <color theme="1"/>
        <rFont val="Calibri"/>
        <family val="2"/>
        <scheme val="minor"/>
      </rPr>
      <t>+TRAN</t>
    </r>
    <r>
      <rPr>
        <vertAlign val="superscript"/>
        <sz val="11"/>
        <color indexed="8"/>
        <rFont val="Calibri"/>
        <family val="2"/>
      </rPr>
      <t>P</t>
    </r>
    <r>
      <rPr>
        <vertAlign val="subscript"/>
        <sz val="11"/>
        <color indexed="8"/>
        <rFont val="Calibri"/>
        <family val="2"/>
      </rPr>
      <t>M, t</t>
    </r>
    <r>
      <rPr>
        <sz val="11"/>
        <color theme="1"/>
        <rFont val="Calibri"/>
        <family val="2"/>
        <scheme val="minor"/>
      </rPr>
      <t>)/(TRAN</t>
    </r>
    <r>
      <rPr>
        <vertAlign val="superscript"/>
        <sz val="11"/>
        <color indexed="8"/>
        <rFont val="Calibri"/>
        <family val="2"/>
      </rPr>
      <t>C</t>
    </r>
    <r>
      <rPr>
        <vertAlign val="subscript"/>
        <sz val="11"/>
        <color indexed="8"/>
        <rFont val="Calibri"/>
        <family val="2"/>
      </rPr>
      <t>M, t-1</t>
    </r>
    <r>
      <rPr>
        <sz val="11"/>
        <color theme="1"/>
        <rFont val="Calibri"/>
        <family val="2"/>
        <scheme val="minor"/>
      </rPr>
      <t>+TRAN</t>
    </r>
    <r>
      <rPr>
        <vertAlign val="superscript"/>
        <sz val="11"/>
        <color indexed="8"/>
        <rFont val="Calibri"/>
        <family val="2"/>
      </rPr>
      <t>P</t>
    </r>
    <r>
      <rPr>
        <vertAlign val="subscript"/>
        <sz val="11"/>
        <color indexed="8"/>
        <rFont val="Calibri"/>
        <family val="2"/>
      </rPr>
      <t>M, t-1</t>
    </r>
    <r>
      <rPr>
        <sz val="11"/>
        <color theme="1"/>
        <rFont val="Calibri"/>
        <family val="2"/>
        <scheme val="minor"/>
      </rPr>
      <t>)</t>
    </r>
  </si>
  <si>
    <r>
      <t>qIM</t>
    </r>
    <r>
      <rPr>
        <vertAlign val="subscript"/>
        <sz val="11"/>
        <color indexed="8"/>
        <rFont val="Calibri"/>
        <family val="2"/>
      </rPr>
      <t>Gas,t</t>
    </r>
    <r>
      <rPr>
        <sz val="11"/>
        <color theme="1"/>
        <rFont val="Calibri"/>
        <family val="2"/>
        <scheme val="minor"/>
      </rPr>
      <t xml:space="preserve">  =  qIM</t>
    </r>
    <r>
      <rPr>
        <vertAlign val="subscript"/>
        <sz val="11"/>
        <color indexed="8"/>
        <rFont val="Calibri"/>
        <family val="2"/>
      </rPr>
      <t>Gas,t-1</t>
    </r>
    <r>
      <rPr>
        <sz val="11"/>
        <color theme="1"/>
        <rFont val="Calibri"/>
        <family val="2"/>
        <scheme val="minor"/>
      </rPr>
      <t>·gGDP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/100</t>
    </r>
  </si>
  <si>
    <r>
      <t>qIM</t>
    </r>
    <r>
      <rPr>
        <vertAlign val="subscript"/>
        <sz val="11"/>
        <color indexed="8"/>
        <rFont val="Calibri"/>
        <family val="2"/>
      </rPr>
      <t>Am,t</t>
    </r>
    <r>
      <rPr>
        <sz val="11"/>
        <color theme="1"/>
        <rFont val="Calibri"/>
        <family val="2"/>
        <scheme val="minor"/>
      </rPr>
      <t xml:space="preserve">  =  qIM</t>
    </r>
    <r>
      <rPr>
        <vertAlign val="subscript"/>
        <sz val="11"/>
        <color indexed="8"/>
        <rFont val="Calibri"/>
        <family val="2"/>
      </rPr>
      <t>Am,t-1</t>
    </r>
    <r>
      <rPr>
        <sz val="11"/>
        <color theme="1"/>
        <rFont val="Calibri"/>
        <family val="2"/>
        <scheme val="minor"/>
      </rPr>
      <t>·qEX</t>
    </r>
    <r>
      <rPr>
        <vertAlign val="subscript"/>
        <sz val="11"/>
        <color indexed="8"/>
        <rFont val="Calibri"/>
        <family val="2"/>
      </rPr>
      <t>Al,t</t>
    </r>
    <r>
      <rPr>
        <sz val="11"/>
        <color theme="1"/>
        <rFont val="Calibri"/>
        <family val="2"/>
        <scheme val="minor"/>
      </rPr>
      <t>/qEX</t>
    </r>
    <r>
      <rPr>
        <vertAlign val="subscript"/>
        <sz val="11"/>
        <color indexed="8"/>
        <rFont val="Calibri"/>
        <family val="2"/>
      </rPr>
      <t>Al,t-1</t>
    </r>
  </si>
  <si>
    <r>
      <t>qIM</t>
    </r>
    <r>
      <rPr>
        <vertAlign val="subscript"/>
        <sz val="11"/>
        <color indexed="8"/>
        <rFont val="Calibri"/>
        <family val="2"/>
      </rPr>
      <t>Fl,t</t>
    </r>
    <r>
      <rPr>
        <sz val="11"/>
        <color theme="1"/>
        <rFont val="Calibri"/>
        <family val="2"/>
        <scheme val="minor"/>
      </rPr>
      <t xml:space="preserve">  =  qIM</t>
    </r>
    <r>
      <rPr>
        <vertAlign val="subscript"/>
        <sz val="11"/>
        <color indexed="8"/>
        <rFont val="Calibri"/>
        <family val="2"/>
      </rPr>
      <t>Fl,t-1</t>
    </r>
    <r>
      <rPr>
        <sz val="11"/>
        <color theme="1"/>
        <rFont val="Calibri"/>
        <family val="2"/>
        <scheme val="minor"/>
      </rPr>
      <t>·gIND</t>
    </r>
    <r>
      <rPr>
        <vertAlign val="subscript"/>
        <sz val="11"/>
        <color indexed="8"/>
        <rFont val="Calibri"/>
        <family val="2"/>
      </rPr>
      <t>DA, t</t>
    </r>
    <r>
      <rPr>
        <sz val="11"/>
        <color theme="1"/>
        <rFont val="Calibri"/>
        <family val="2"/>
        <scheme val="minor"/>
      </rPr>
      <t>/100</t>
    </r>
  </si>
  <si>
    <r>
      <t>idxqIM</t>
    </r>
    <r>
      <rPr>
        <vertAlign val="superscript"/>
        <sz val="11"/>
        <color indexed="8"/>
        <rFont val="Calibri"/>
        <family val="2"/>
      </rPr>
      <t>2003</t>
    </r>
    <r>
      <rPr>
        <vertAlign val="subscript"/>
        <sz val="11"/>
        <color indexed="8"/>
        <rFont val="Calibri"/>
        <family val="2"/>
      </rPr>
      <t>oG,t</t>
    </r>
    <r>
      <rPr>
        <sz val="11"/>
        <color theme="1"/>
        <rFont val="Calibri"/>
        <family val="2"/>
        <scheme val="minor"/>
      </rPr>
      <t xml:space="preserve">  =  idxqIM</t>
    </r>
    <r>
      <rPr>
        <vertAlign val="superscript"/>
        <sz val="11"/>
        <color indexed="8"/>
        <rFont val="Calibri"/>
        <family val="2"/>
      </rPr>
      <t>2003</t>
    </r>
    <r>
      <rPr>
        <vertAlign val="subscript"/>
        <sz val="11"/>
        <color indexed="8"/>
        <rFont val="Calibri"/>
        <family val="2"/>
      </rPr>
      <t>oG,t-1</t>
    </r>
    <r>
      <rPr>
        <sz val="11"/>
        <color theme="1"/>
        <rFont val="Calibri"/>
        <family val="2"/>
        <scheme val="minor"/>
      </rPr>
      <t>·(IM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Serv,t</t>
    </r>
    <r>
      <rPr>
        <sz val="11"/>
        <color theme="1"/>
        <rFont val="Calibri"/>
        <family val="2"/>
        <scheme val="minor"/>
      </rPr>
      <t>+IM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oG,t</t>
    </r>
    <r>
      <rPr>
        <sz val="11"/>
        <color theme="1"/>
        <rFont val="Calibri"/>
        <family val="2"/>
        <scheme val="minor"/>
      </rPr>
      <t>)/(IM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Serv,t-1</t>
    </r>
    <r>
      <rPr>
        <sz val="11"/>
        <color theme="1"/>
        <rFont val="Calibri"/>
        <family val="2"/>
        <scheme val="minor"/>
      </rPr>
      <t>+IM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oG,t-1</t>
    </r>
    <r>
      <rPr>
        <sz val="11"/>
        <color theme="1"/>
        <rFont val="Calibri"/>
        <family val="2"/>
        <scheme val="minor"/>
      </rPr>
      <t>)/(idxdefIM</t>
    </r>
    <r>
      <rPr>
        <vertAlign val="superscript"/>
        <sz val="11"/>
        <color indexed="8"/>
        <rFont val="Calibri"/>
        <family val="2"/>
      </rPr>
      <t>US,2003</t>
    </r>
    <r>
      <rPr>
        <vertAlign val="subscript"/>
        <sz val="11"/>
        <color indexed="8"/>
        <rFont val="Calibri"/>
        <family val="2"/>
      </rPr>
      <t>oG,t</t>
    </r>
    <r>
      <rPr>
        <sz val="11"/>
        <color theme="1"/>
        <rFont val="Calibri"/>
        <family val="2"/>
        <scheme val="minor"/>
      </rPr>
      <t>/idxdefIM</t>
    </r>
    <r>
      <rPr>
        <vertAlign val="superscript"/>
        <sz val="11"/>
        <color indexed="8"/>
        <rFont val="Calibri"/>
        <family val="2"/>
      </rPr>
      <t>US,2003</t>
    </r>
    <r>
      <rPr>
        <vertAlign val="subscript"/>
        <sz val="11"/>
        <color indexed="8"/>
        <rFont val="Calibri"/>
        <family val="2"/>
      </rPr>
      <t>oG,t-1</t>
    </r>
    <r>
      <rPr>
        <sz val="11"/>
        <color theme="1"/>
        <rFont val="Calibri"/>
        <family val="2"/>
        <scheme val="minor"/>
      </rPr>
      <t>)</t>
    </r>
  </si>
  <si>
    <r>
      <t>pIM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Wh,t</t>
    </r>
    <r>
      <rPr>
        <sz val="11"/>
        <color theme="1"/>
        <rFont val="Calibri"/>
        <family val="2"/>
        <scheme val="minor"/>
      </rPr>
      <t xml:space="preserve">  =  pIM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Wh,t-1</t>
    </r>
    <r>
      <rPr>
        <sz val="11"/>
        <color theme="1"/>
        <rFont val="Calibri"/>
        <family val="2"/>
        <scheme val="minor"/>
      </rPr>
      <t>·EXP(0,674921·LN(pWH</t>
    </r>
    <r>
      <rPr>
        <vertAlign val="superscript"/>
        <sz val="11"/>
        <color indexed="8"/>
        <rFont val="Calibri"/>
        <family val="2"/>
      </rPr>
      <t>W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/pWH</t>
    </r>
    <r>
      <rPr>
        <vertAlign val="superscript"/>
        <sz val="11"/>
        <color indexed="8"/>
        <rFont val="Calibri"/>
        <family val="2"/>
      </rPr>
      <t>W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))</t>
    </r>
  </si>
  <si>
    <r>
      <t>pIM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Oil,t</t>
    </r>
    <r>
      <rPr>
        <sz val="11"/>
        <color theme="1"/>
        <rFont val="Calibri"/>
        <family val="2"/>
        <scheme val="minor"/>
      </rPr>
      <t xml:space="preserve">  =  pIM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Oil,t-1</t>
    </r>
    <r>
      <rPr>
        <sz val="11"/>
        <color theme="1"/>
        <rFont val="Calibri"/>
        <family val="2"/>
        <scheme val="minor"/>
      </rPr>
      <t>·EXP(0,926309·LN(pOIL</t>
    </r>
    <r>
      <rPr>
        <vertAlign val="superscript"/>
        <sz val="11"/>
        <color indexed="8"/>
        <rFont val="Calibri"/>
        <family val="2"/>
      </rPr>
      <t>W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/pOIL</t>
    </r>
    <r>
      <rPr>
        <vertAlign val="superscript"/>
        <sz val="11"/>
        <color indexed="8"/>
        <rFont val="Calibri"/>
        <family val="2"/>
      </rPr>
      <t>W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))</t>
    </r>
  </si>
  <si>
    <r>
      <t>pIM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El,t</t>
    </r>
    <r>
      <rPr>
        <sz val="11"/>
        <color theme="1"/>
        <rFont val="Calibri"/>
        <family val="2"/>
        <scheme val="minor"/>
      </rPr>
      <t xml:space="preserve">  =  pIM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El,t-1</t>
    </r>
    <r>
      <rPr>
        <sz val="11"/>
        <color theme="1"/>
        <rFont val="Calibri"/>
        <family val="2"/>
        <scheme val="minor"/>
      </rPr>
      <t>·pEX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El,t</t>
    </r>
    <r>
      <rPr>
        <sz val="11"/>
        <color theme="1"/>
        <rFont val="Calibri"/>
        <family val="2"/>
        <scheme val="minor"/>
      </rPr>
      <t>/pEX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El,t-1</t>
    </r>
  </si>
  <si>
    <r>
      <t>pIM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Gas,t</t>
    </r>
    <r>
      <rPr>
        <sz val="11"/>
        <color theme="1"/>
        <rFont val="Calibri"/>
        <family val="2"/>
        <scheme val="minor"/>
      </rPr>
      <t xml:space="preserve">  =  pIM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Gas,t-1</t>
    </r>
    <r>
      <rPr>
        <sz val="11"/>
        <color theme="1"/>
        <rFont val="Calibri"/>
        <family val="2"/>
        <scheme val="minor"/>
      </rPr>
      <t>·pOIL</t>
    </r>
    <r>
      <rPr>
        <vertAlign val="superscript"/>
        <sz val="11"/>
        <color indexed="8"/>
        <rFont val="Calibri"/>
        <family val="2"/>
      </rPr>
      <t>W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/pOIL</t>
    </r>
    <r>
      <rPr>
        <vertAlign val="superscript"/>
        <sz val="11"/>
        <color indexed="8"/>
        <rFont val="Calibri"/>
        <family val="2"/>
      </rPr>
      <t>W</t>
    </r>
    <r>
      <rPr>
        <vertAlign val="subscript"/>
        <sz val="11"/>
        <color indexed="8"/>
        <rFont val="Calibri"/>
        <family val="2"/>
      </rPr>
      <t>t-1</t>
    </r>
  </si>
  <si>
    <r>
      <t>pIM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Am,t</t>
    </r>
    <r>
      <rPr>
        <sz val="11"/>
        <color theme="1"/>
        <rFont val="Calibri"/>
        <family val="2"/>
        <scheme val="minor"/>
      </rPr>
      <t xml:space="preserve">  =  pIM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Am,t-1</t>
    </r>
    <r>
      <rPr>
        <sz val="11"/>
        <color theme="1"/>
        <rFont val="Calibri"/>
        <family val="2"/>
        <scheme val="minor"/>
      </rPr>
      <t>·EXP(0,209042·LN(pOIL</t>
    </r>
    <r>
      <rPr>
        <vertAlign val="superscript"/>
        <sz val="11"/>
        <color indexed="8"/>
        <rFont val="Calibri"/>
        <family val="2"/>
      </rPr>
      <t>W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/pOIL</t>
    </r>
    <r>
      <rPr>
        <vertAlign val="superscript"/>
        <sz val="11"/>
        <color indexed="8"/>
        <rFont val="Calibri"/>
        <family val="2"/>
      </rPr>
      <t>W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))</t>
    </r>
  </si>
  <si>
    <r>
      <t>pIM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Fl,t</t>
    </r>
    <r>
      <rPr>
        <sz val="11"/>
        <color theme="1"/>
        <rFont val="Calibri"/>
        <family val="2"/>
        <scheme val="minor"/>
      </rPr>
      <t xml:space="preserve">  =  pIM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Fl,t-1</t>
    </r>
    <r>
      <rPr>
        <sz val="11"/>
        <color theme="1"/>
        <rFont val="Calibri"/>
        <family val="2"/>
        <scheme val="minor"/>
      </rPr>
      <t>·EXP(0,924745·LN(pIM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Wh,t</t>
    </r>
    <r>
      <rPr>
        <sz val="11"/>
        <color theme="1"/>
        <rFont val="Calibri"/>
        <family val="2"/>
        <scheme val="minor"/>
      </rPr>
      <t>/pIM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Wh,t-1</t>
    </r>
    <r>
      <rPr>
        <sz val="11"/>
        <color theme="1"/>
        <rFont val="Calibri"/>
        <family val="2"/>
        <scheme val="minor"/>
      </rPr>
      <t>))</t>
    </r>
  </si>
  <si>
    <r>
      <t>idxdefIM</t>
    </r>
    <r>
      <rPr>
        <vertAlign val="superscript"/>
        <sz val="11"/>
        <color indexed="8"/>
        <rFont val="Calibri"/>
        <family val="2"/>
      </rPr>
      <t>US,2003</t>
    </r>
    <r>
      <rPr>
        <vertAlign val="subscript"/>
        <sz val="11"/>
        <color indexed="8"/>
        <rFont val="Calibri"/>
        <family val="2"/>
      </rPr>
      <t>oG,t</t>
    </r>
    <r>
      <rPr>
        <sz val="11"/>
        <color theme="1"/>
        <rFont val="Calibri"/>
        <family val="2"/>
        <scheme val="minor"/>
      </rPr>
      <t xml:space="preserve">  =  idxdefIM</t>
    </r>
    <r>
      <rPr>
        <vertAlign val="superscript"/>
        <sz val="11"/>
        <color indexed="8"/>
        <rFont val="Calibri"/>
        <family val="2"/>
      </rPr>
      <t>US,2003</t>
    </r>
    <r>
      <rPr>
        <vertAlign val="subscript"/>
        <sz val="11"/>
        <color indexed="8"/>
        <rFont val="Calibri"/>
        <family val="2"/>
      </rPr>
      <t>oG,t-1</t>
    </r>
    <r>
      <rPr>
        <sz val="11"/>
        <color theme="1"/>
        <rFont val="Calibri"/>
        <family val="2"/>
        <scheme val="minor"/>
      </rPr>
      <t>·((defIM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>·102)^(1/2))/100</t>
    </r>
  </si>
  <si>
    <r>
      <t>gIM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(gIM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>·(IM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Wh,t-1</t>
    </r>
    <r>
      <rPr>
        <sz val="11"/>
        <color theme="1"/>
        <rFont val="Calibri"/>
        <family val="2"/>
        <scheme val="minor"/>
      </rPr>
      <t>+IM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Oil,t-1</t>
    </r>
    <r>
      <rPr>
        <sz val="11"/>
        <color theme="1"/>
        <rFont val="Calibri"/>
        <family val="2"/>
        <scheme val="minor"/>
      </rPr>
      <t>+IM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El,t-1</t>
    </r>
    <r>
      <rPr>
        <sz val="11"/>
        <color theme="1"/>
        <rFont val="Calibri"/>
        <family val="2"/>
        <scheme val="minor"/>
      </rPr>
      <t>+IM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Gas,t-1</t>
    </r>
    <r>
      <rPr>
        <sz val="11"/>
        <color theme="1"/>
        <rFont val="Calibri"/>
        <family val="2"/>
        <scheme val="minor"/>
      </rPr>
      <t>+IM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Am,t-1</t>
    </r>
    <r>
      <rPr>
        <sz val="11"/>
        <color theme="1"/>
        <rFont val="Calibri"/>
        <family val="2"/>
        <scheme val="minor"/>
      </rPr>
      <t>+IM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Fl,t-1</t>
    </r>
    <r>
      <rPr>
        <sz val="11"/>
        <color theme="1"/>
        <rFont val="Calibri"/>
        <family val="2"/>
        <scheme val="minor"/>
      </rPr>
      <t>)+idxqIM</t>
    </r>
    <r>
      <rPr>
        <vertAlign val="superscript"/>
        <sz val="11"/>
        <color indexed="8"/>
        <rFont val="Calibri"/>
        <family val="2"/>
      </rPr>
      <t>2003</t>
    </r>
    <r>
      <rPr>
        <vertAlign val="subscript"/>
        <sz val="11"/>
        <color indexed="8"/>
        <rFont val="Calibri"/>
        <family val="2"/>
      </rPr>
      <t>oG,t</t>
    </r>
    <r>
      <rPr>
        <sz val="11"/>
        <color theme="1"/>
        <rFont val="Calibri"/>
        <family val="2"/>
        <scheme val="minor"/>
      </rPr>
      <t>/idxqIM</t>
    </r>
    <r>
      <rPr>
        <vertAlign val="superscript"/>
        <sz val="11"/>
        <color indexed="8"/>
        <rFont val="Calibri"/>
        <family val="2"/>
      </rPr>
      <t>2003</t>
    </r>
    <r>
      <rPr>
        <vertAlign val="subscript"/>
        <sz val="11"/>
        <color indexed="8"/>
        <rFont val="Calibri"/>
        <family val="2"/>
      </rPr>
      <t>oG,t-1</t>
    </r>
    <r>
      <rPr>
        <sz val="11"/>
        <color theme="1"/>
        <rFont val="Calibri"/>
        <family val="2"/>
        <scheme val="minor"/>
      </rPr>
      <t>·100·(IM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Serv,t-1</t>
    </r>
    <r>
      <rPr>
        <sz val="11"/>
        <color theme="1"/>
        <rFont val="Calibri"/>
        <family val="2"/>
        <scheme val="minor"/>
      </rPr>
      <t>+IM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oG,t-1</t>
    </r>
    <r>
      <rPr>
        <sz val="11"/>
        <color theme="1"/>
        <rFont val="Calibri"/>
        <family val="2"/>
        <scheme val="minor"/>
      </rPr>
      <t>))/IM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t-1</t>
    </r>
  </si>
  <si>
    <r>
      <t>gIM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 xml:space="preserve">  =  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>/IM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Goods,t-1</t>
    </r>
    <r>
      <rPr>
        <sz val="11"/>
        <color theme="1"/>
        <rFont val="Calibri"/>
        <family val="2"/>
        <scheme val="minor"/>
      </rPr>
      <t>/defIM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>·10000</t>
    </r>
  </si>
  <si>
    <r>
      <t>defIM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(IM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)/(IM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)/gIM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·10000</t>
    </r>
  </si>
  <si>
    <r>
      <t>defIM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 xml:space="preserve">  =  (IM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Wh,t</t>
    </r>
    <r>
      <rPr>
        <sz val="11"/>
        <color theme="1"/>
        <rFont val="Calibri"/>
        <family val="2"/>
        <scheme val="minor"/>
      </rPr>
      <t>+IM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Oil,t</t>
    </r>
    <r>
      <rPr>
        <sz val="11"/>
        <color theme="1"/>
        <rFont val="Calibri"/>
        <family val="2"/>
        <scheme val="minor"/>
      </rPr>
      <t>+IM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El,t</t>
    </r>
    <r>
      <rPr>
        <sz val="11"/>
        <color theme="1"/>
        <rFont val="Calibri"/>
        <family val="2"/>
        <scheme val="minor"/>
      </rPr>
      <t>+IM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Gas,t</t>
    </r>
    <r>
      <rPr>
        <sz val="11"/>
        <color theme="1"/>
        <rFont val="Calibri"/>
        <family val="2"/>
        <scheme val="minor"/>
      </rPr>
      <t>+IM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Am,t</t>
    </r>
    <r>
      <rPr>
        <sz val="11"/>
        <color theme="1"/>
        <rFont val="Calibri"/>
        <family val="2"/>
        <scheme val="minor"/>
      </rPr>
      <t>+IM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Fl,t</t>
    </r>
    <r>
      <rPr>
        <sz val="11"/>
        <color theme="1"/>
        <rFont val="Calibri"/>
        <family val="2"/>
        <scheme val="minor"/>
      </rPr>
      <t>)/(IM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Wh,t</t>
    </r>
    <r>
      <rPr>
        <sz val="11"/>
        <color theme="1"/>
        <rFont val="Calibri"/>
        <family val="2"/>
        <scheme val="minor"/>
      </rPr>
      <t>/(pIM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Wh,t</t>
    </r>
    <r>
      <rPr>
        <sz val="11"/>
        <color theme="1"/>
        <rFont val="Calibri"/>
        <family val="2"/>
        <scheme val="minor"/>
      </rPr>
      <t>/pIM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Wh,t-1</t>
    </r>
    <r>
      <rPr>
        <sz val="11"/>
        <color theme="1"/>
        <rFont val="Calibri"/>
        <family val="2"/>
        <scheme val="minor"/>
      </rPr>
      <t>·100)+IM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Oil,t</t>
    </r>
    <r>
      <rPr>
        <sz val="11"/>
        <color theme="1"/>
        <rFont val="Calibri"/>
        <family val="2"/>
        <scheme val="minor"/>
      </rPr>
      <t>/(pIM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Oil,t</t>
    </r>
    <r>
      <rPr>
        <sz val="11"/>
        <color theme="1"/>
        <rFont val="Calibri"/>
        <family val="2"/>
        <scheme val="minor"/>
      </rPr>
      <t>/pIM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Oil,t-1</t>
    </r>
    <r>
      <rPr>
        <sz val="11"/>
        <color theme="1"/>
        <rFont val="Calibri"/>
        <family val="2"/>
        <scheme val="minor"/>
      </rPr>
      <t>·100)+IM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El,t</t>
    </r>
    <r>
      <rPr>
        <sz val="11"/>
        <color theme="1"/>
        <rFont val="Calibri"/>
        <family val="2"/>
        <scheme val="minor"/>
      </rPr>
      <t>/(pIM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El,t</t>
    </r>
    <r>
      <rPr>
        <sz val="11"/>
        <color theme="1"/>
        <rFont val="Calibri"/>
        <family val="2"/>
        <scheme val="minor"/>
      </rPr>
      <t>/pIM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El,t-1</t>
    </r>
    <r>
      <rPr>
        <sz val="11"/>
        <color theme="1"/>
        <rFont val="Calibri"/>
        <family val="2"/>
        <scheme val="minor"/>
      </rPr>
      <t>·100)+IM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Gas,t</t>
    </r>
    <r>
      <rPr>
        <sz val="11"/>
        <color theme="1"/>
        <rFont val="Calibri"/>
        <family val="2"/>
        <scheme val="minor"/>
      </rPr>
      <t>/(pIM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Gas,t</t>
    </r>
    <r>
      <rPr>
        <sz val="11"/>
        <color theme="1"/>
        <rFont val="Calibri"/>
        <family val="2"/>
        <scheme val="minor"/>
      </rPr>
      <t>/pIM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Gas,t-1</t>
    </r>
    <r>
      <rPr>
        <sz val="11"/>
        <color theme="1"/>
        <rFont val="Calibri"/>
        <family val="2"/>
        <scheme val="minor"/>
      </rPr>
      <t>·100)+IM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Am,t</t>
    </r>
    <r>
      <rPr>
        <sz val="11"/>
        <color theme="1"/>
        <rFont val="Calibri"/>
        <family val="2"/>
        <scheme val="minor"/>
      </rPr>
      <t>/(pIM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Am,t</t>
    </r>
    <r>
      <rPr>
        <sz val="11"/>
        <color theme="1"/>
        <rFont val="Calibri"/>
        <family val="2"/>
        <scheme val="minor"/>
      </rPr>
      <t>/pIM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Am,t-1</t>
    </r>
    <r>
      <rPr>
        <sz val="11"/>
        <color theme="1"/>
        <rFont val="Calibri"/>
        <family val="2"/>
        <scheme val="minor"/>
      </rPr>
      <t>·100)+IM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Fl,t</t>
    </r>
    <r>
      <rPr>
        <sz val="11"/>
        <color theme="1"/>
        <rFont val="Calibri"/>
        <family val="2"/>
        <scheme val="minor"/>
      </rPr>
      <t>/(pIM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Fl,t</t>
    </r>
    <r>
      <rPr>
        <sz val="11"/>
        <color theme="1"/>
        <rFont val="Calibri"/>
        <family val="2"/>
        <scheme val="minor"/>
      </rPr>
      <t>/pIM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Fl,t-1</t>
    </r>
    <r>
      <rPr>
        <sz val="11"/>
        <color theme="1"/>
        <rFont val="Calibri"/>
        <family val="2"/>
        <scheme val="minor"/>
      </rPr>
      <t>·100))</t>
    </r>
  </si>
  <si>
    <r>
      <t>dCPI</t>
    </r>
    <r>
      <rPr>
        <vertAlign val="superscript"/>
        <sz val="11"/>
        <color indexed="8"/>
        <rFont val="Calibri"/>
        <family val="2"/>
      </rPr>
      <t>AV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(dCPI</t>
    </r>
    <r>
      <rPr>
        <vertAlign val="superscript"/>
        <sz val="11"/>
        <color indexed="8"/>
        <rFont val="Calibri"/>
        <family val="2"/>
      </rPr>
      <t>AV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>·(w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>Food w/o Agr ,t-1</t>
    </r>
    <r>
      <rPr>
        <sz val="11"/>
        <color theme="1"/>
        <rFont val="Calibri"/>
        <family val="2"/>
        <scheme val="minor"/>
      </rPr>
      <t>+w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>Agr ,t-1</t>
    </r>
    <r>
      <rPr>
        <sz val="11"/>
        <color theme="1"/>
        <rFont val="Calibri"/>
        <family val="2"/>
        <scheme val="minor"/>
      </rPr>
      <t>+w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 xml:space="preserve"> nonFood w/o gas, t-1</t>
    </r>
    <r>
      <rPr>
        <sz val="11"/>
        <color theme="1"/>
        <rFont val="Calibri"/>
        <family val="2"/>
        <scheme val="minor"/>
      </rPr>
      <t>+w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 xml:space="preserve"> gas, t-1</t>
    </r>
    <r>
      <rPr>
        <sz val="11"/>
        <color theme="1"/>
        <rFont val="Calibri"/>
        <family val="2"/>
        <scheme val="minor"/>
      </rPr>
      <t>)+dCPI</t>
    </r>
    <r>
      <rPr>
        <vertAlign val="superscript"/>
        <sz val="11"/>
        <color indexed="8"/>
        <rFont val="Calibri"/>
        <family val="2"/>
      </rPr>
      <t>AV</t>
    </r>
    <r>
      <rPr>
        <vertAlign val="subscript"/>
        <sz val="11"/>
        <color indexed="8"/>
        <rFont val="Calibri"/>
        <family val="2"/>
      </rPr>
      <t>Services,t</t>
    </r>
    <r>
      <rPr>
        <sz val="11"/>
        <color theme="1"/>
        <rFont val="Calibri"/>
        <family val="2"/>
        <scheme val="minor"/>
      </rPr>
      <t>·w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>Services, t-1</t>
    </r>
    <r>
      <rPr>
        <sz val="11"/>
        <color theme="1"/>
        <rFont val="Calibri"/>
        <family val="2"/>
        <scheme val="minor"/>
      </rPr>
      <t>)/100</t>
    </r>
  </si>
  <si>
    <r>
      <t>dCPI</t>
    </r>
    <r>
      <rPr>
        <vertAlign val="superscript"/>
        <sz val="11"/>
        <color indexed="8"/>
        <rFont val="Calibri"/>
        <family val="2"/>
      </rPr>
      <t>AV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 xml:space="preserve">  =  (dCPI</t>
    </r>
    <r>
      <rPr>
        <vertAlign val="superscript"/>
        <sz val="11"/>
        <color indexed="8"/>
        <rFont val="Calibri"/>
        <family val="2"/>
      </rPr>
      <t>AV</t>
    </r>
    <r>
      <rPr>
        <vertAlign val="subscript"/>
        <sz val="11"/>
        <color indexed="8"/>
        <rFont val="Calibri"/>
        <family val="2"/>
      </rPr>
      <t>Food,t</t>
    </r>
    <r>
      <rPr>
        <sz val="11"/>
        <color theme="1"/>
        <rFont val="Calibri"/>
        <family val="2"/>
        <scheme val="minor"/>
      </rPr>
      <t>·(w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>Food w/o Agr ,t-1</t>
    </r>
    <r>
      <rPr>
        <sz val="11"/>
        <color theme="1"/>
        <rFont val="Calibri"/>
        <family val="2"/>
        <scheme val="minor"/>
      </rPr>
      <t>+w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>Agr ,t-1</t>
    </r>
    <r>
      <rPr>
        <sz val="11"/>
        <color theme="1"/>
        <rFont val="Calibri"/>
        <family val="2"/>
        <scheme val="minor"/>
      </rPr>
      <t>)+dCPI</t>
    </r>
    <r>
      <rPr>
        <vertAlign val="superscript"/>
        <sz val="11"/>
        <color indexed="8"/>
        <rFont val="Calibri"/>
        <family val="2"/>
      </rPr>
      <t>AV</t>
    </r>
    <r>
      <rPr>
        <vertAlign val="subscript"/>
        <sz val="11"/>
        <color indexed="8"/>
        <rFont val="Calibri"/>
        <family val="2"/>
      </rPr>
      <t>nonFood,t</t>
    </r>
    <r>
      <rPr>
        <sz val="11"/>
        <color theme="1"/>
        <rFont val="Calibri"/>
        <family val="2"/>
        <scheme val="minor"/>
      </rPr>
      <t>·(w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 xml:space="preserve"> nonFood w/o gas, t-1</t>
    </r>
    <r>
      <rPr>
        <sz val="11"/>
        <color theme="1"/>
        <rFont val="Calibri"/>
        <family val="2"/>
        <scheme val="minor"/>
      </rPr>
      <t>+w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 xml:space="preserve"> gas, t-1</t>
    </r>
    <r>
      <rPr>
        <sz val="11"/>
        <color theme="1"/>
        <rFont val="Calibri"/>
        <family val="2"/>
        <scheme val="minor"/>
      </rPr>
      <t>))/(w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>Food w/o Agr ,t-1</t>
    </r>
    <r>
      <rPr>
        <sz val="11"/>
        <color theme="1"/>
        <rFont val="Calibri"/>
        <family val="2"/>
        <scheme val="minor"/>
      </rPr>
      <t>+w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>Agr ,t-1</t>
    </r>
    <r>
      <rPr>
        <sz val="11"/>
        <color theme="1"/>
        <rFont val="Calibri"/>
        <family val="2"/>
        <scheme val="minor"/>
      </rPr>
      <t>+w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 xml:space="preserve"> nonFood w/o gas, t-1</t>
    </r>
    <r>
      <rPr>
        <sz val="11"/>
        <color theme="1"/>
        <rFont val="Calibri"/>
        <family val="2"/>
        <scheme val="minor"/>
      </rPr>
      <t>+w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 xml:space="preserve"> gas, t-1</t>
    </r>
    <r>
      <rPr>
        <sz val="11"/>
        <color theme="1"/>
        <rFont val="Calibri"/>
        <family val="2"/>
        <scheme val="minor"/>
      </rPr>
      <t>)</t>
    </r>
  </si>
  <si>
    <r>
      <t>dCPI</t>
    </r>
    <r>
      <rPr>
        <vertAlign val="superscript"/>
        <sz val="11"/>
        <color indexed="8"/>
        <rFont val="Calibri"/>
        <family val="2"/>
      </rPr>
      <t>AV</t>
    </r>
    <r>
      <rPr>
        <vertAlign val="subscript"/>
        <sz val="11"/>
        <color indexed="8"/>
        <rFont val="Calibri"/>
        <family val="2"/>
      </rPr>
      <t>Food,t</t>
    </r>
    <r>
      <rPr>
        <sz val="11"/>
        <color theme="1"/>
        <rFont val="Calibri"/>
        <family val="2"/>
        <scheme val="minor"/>
      </rPr>
      <t xml:space="preserve">  =  (dCPI</t>
    </r>
    <r>
      <rPr>
        <vertAlign val="superscript"/>
        <sz val="11"/>
        <color indexed="8"/>
        <rFont val="Calibri"/>
        <family val="2"/>
      </rPr>
      <t>AV</t>
    </r>
    <r>
      <rPr>
        <vertAlign val="subscript"/>
        <sz val="11"/>
        <color indexed="8"/>
        <rFont val="Calibri"/>
        <family val="2"/>
      </rPr>
      <t>Foods w/o Agr ,t</t>
    </r>
    <r>
      <rPr>
        <sz val="11"/>
        <color theme="1"/>
        <rFont val="Calibri"/>
        <family val="2"/>
        <scheme val="minor"/>
      </rPr>
      <t>·w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>Food w/o Agr ,t-1</t>
    </r>
    <r>
      <rPr>
        <sz val="11"/>
        <color theme="1"/>
        <rFont val="Calibri"/>
        <family val="2"/>
        <scheme val="minor"/>
      </rPr>
      <t>+w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>Agr ,t-1</t>
    </r>
    <r>
      <rPr>
        <sz val="11"/>
        <color theme="1"/>
        <rFont val="Calibri"/>
        <family val="2"/>
        <scheme val="minor"/>
      </rPr>
      <t>·dCPI</t>
    </r>
    <r>
      <rPr>
        <vertAlign val="superscript"/>
        <sz val="11"/>
        <color indexed="8"/>
        <rFont val="Calibri"/>
        <family val="2"/>
      </rPr>
      <t>AV</t>
    </r>
    <r>
      <rPr>
        <vertAlign val="subscript"/>
        <sz val="11"/>
        <color indexed="8"/>
        <rFont val="Calibri"/>
        <family val="2"/>
      </rPr>
      <t>Agr ,t</t>
    </r>
    <r>
      <rPr>
        <sz val="11"/>
        <color theme="1"/>
        <rFont val="Calibri"/>
        <family val="2"/>
        <scheme val="minor"/>
      </rPr>
      <t>)/(w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>Food w/o Agr ,t-1</t>
    </r>
    <r>
      <rPr>
        <sz val="11"/>
        <color theme="1"/>
        <rFont val="Calibri"/>
        <family val="2"/>
        <scheme val="minor"/>
      </rPr>
      <t>+w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>Agr ,t-1</t>
    </r>
    <r>
      <rPr>
        <sz val="11"/>
        <color theme="1"/>
        <rFont val="Calibri"/>
        <family val="2"/>
        <scheme val="minor"/>
      </rPr>
      <t>)</t>
    </r>
  </si>
  <si>
    <r>
      <t>dCPI</t>
    </r>
    <r>
      <rPr>
        <vertAlign val="superscript"/>
        <sz val="11"/>
        <color indexed="8"/>
        <rFont val="Calibri"/>
        <family val="2"/>
      </rPr>
      <t>AV</t>
    </r>
    <r>
      <rPr>
        <vertAlign val="subscript"/>
        <sz val="11"/>
        <color indexed="8"/>
        <rFont val="Calibri"/>
        <family val="2"/>
      </rPr>
      <t>nonFood,t</t>
    </r>
    <r>
      <rPr>
        <sz val="11"/>
        <color theme="1"/>
        <rFont val="Calibri"/>
        <family val="2"/>
        <scheme val="minor"/>
      </rPr>
      <t xml:space="preserve">  =  (EXP(0,184·LN(W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/W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)+0,388·LN(er</t>
    </r>
    <r>
      <rPr>
        <vertAlign val="superscript"/>
        <sz val="11"/>
        <color indexed="8"/>
        <rFont val="Calibri"/>
        <family val="2"/>
      </rPr>
      <t>USD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/er</t>
    </r>
    <r>
      <rPr>
        <vertAlign val="superscript"/>
        <sz val="11"/>
        <color indexed="8"/>
        <rFont val="Calibri"/>
        <family val="2"/>
      </rPr>
      <t>USD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))·100·w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 xml:space="preserve"> nonFood w/o gas, t-1</t>
    </r>
    <r>
      <rPr>
        <sz val="11"/>
        <color theme="1"/>
        <rFont val="Calibri"/>
        <family val="2"/>
        <scheme val="minor"/>
      </rPr>
      <t>+w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 xml:space="preserve"> gas, t-1</t>
    </r>
    <r>
      <rPr>
        <sz val="11"/>
        <color theme="1"/>
        <rFont val="Calibri"/>
        <family val="2"/>
        <scheme val="minor"/>
      </rPr>
      <t>·dCPI</t>
    </r>
    <r>
      <rPr>
        <vertAlign val="superscript"/>
        <sz val="11"/>
        <color indexed="8"/>
        <rFont val="Calibri"/>
        <family val="2"/>
      </rPr>
      <t>AV</t>
    </r>
    <r>
      <rPr>
        <vertAlign val="subscript"/>
        <sz val="11"/>
        <color indexed="8"/>
        <rFont val="Calibri"/>
        <family val="2"/>
      </rPr>
      <t>Gas ,t</t>
    </r>
    <r>
      <rPr>
        <sz val="11"/>
        <color theme="1"/>
        <rFont val="Calibri"/>
        <family val="2"/>
        <scheme val="minor"/>
      </rPr>
      <t>)/(w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 xml:space="preserve"> nonFood w/o gas, t-1</t>
    </r>
    <r>
      <rPr>
        <sz val="11"/>
        <color theme="1"/>
        <rFont val="Calibri"/>
        <family val="2"/>
        <scheme val="minor"/>
      </rPr>
      <t>+w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 xml:space="preserve"> gas, t-1</t>
    </r>
    <r>
      <rPr>
        <sz val="11"/>
        <color theme="1"/>
        <rFont val="Calibri"/>
        <family val="2"/>
        <scheme val="minor"/>
      </rPr>
      <t>)</t>
    </r>
  </si>
  <si>
    <r>
      <t>dCPI</t>
    </r>
    <r>
      <rPr>
        <vertAlign val="superscript"/>
        <sz val="11"/>
        <color indexed="8"/>
        <rFont val="Calibri"/>
        <family val="2"/>
      </rPr>
      <t>AV</t>
    </r>
    <r>
      <rPr>
        <vertAlign val="subscript"/>
        <sz val="11"/>
        <color indexed="8"/>
        <rFont val="Calibri"/>
        <family val="2"/>
      </rPr>
      <t>Services,t</t>
    </r>
    <r>
      <rPr>
        <sz val="11"/>
        <color theme="1"/>
        <rFont val="Calibri"/>
        <family val="2"/>
        <scheme val="minor"/>
      </rPr>
      <t xml:space="preserve">  =  dCPI</t>
    </r>
    <r>
      <rPr>
        <vertAlign val="superscript"/>
        <sz val="11"/>
        <color indexed="8"/>
        <rFont val="Calibri"/>
        <family val="2"/>
      </rPr>
      <t>AV</t>
    </r>
    <r>
      <rPr>
        <vertAlign val="subscript"/>
        <sz val="11"/>
        <color indexed="8"/>
        <rFont val="Calibri"/>
        <family val="2"/>
      </rPr>
      <t>Services,t</t>
    </r>
  </si>
  <si>
    <r>
      <t>dCPI</t>
    </r>
    <r>
      <rPr>
        <vertAlign val="superscript"/>
        <sz val="11"/>
        <color indexed="8"/>
        <rFont val="Calibri"/>
        <family val="2"/>
      </rPr>
      <t>AV</t>
    </r>
    <r>
      <rPr>
        <vertAlign val="subscript"/>
        <sz val="11"/>
        <color indexed="8"/>
        <rFont val="Calibri"/>
        <family val="2"/>
      </rPr>
      <t>Foods w/o Agr ,t</t>
    </r>
    <r>
      <rPr>
        <sz val="11"/>
        <color theme="1"/>
        <rFont val="Calibri"/>
        <family val="2"/>
        <scheme val="minor"/>
      </rPr>
      <t xml:space="preserve">  =  EXP(0,483·LN((W</t>
    </r>
    <r>
      <rPr>
        <vertAlign val="subscript"/>
        <sz val="11"/>
        <color indexed="8"/>
        <rFont val="Calibri"/>
        <family val="2"/>
      </rPr>
      <t>F,t</t>
    </r>
    <r>
      <rPr>
        <sz val="11"/>
        <color theme="1"/>
        <rFont val="Calibri"/>
        <family val="2"/>
        <scheme val="minor"/>
      </rPr>
      <t>)/(W</t>
    </r>
    <r>
      <rPr>
        <vertAlign val="subscript"/>
        <sz val="11"/>
        <color indexed="8"/>
        <rFont val="Calibri"/>
        <family val="2"/>
      </rPr>
      <t>F,t-1</t>
    </r>
    <r>
      <rPr>
        <sz val="11"/>
        <color theme="1"/>
        <rFont val="Calibri"/>
        <family val="2"/>
        <scheme val="minor"/>
      </rPr>
      <t>)))·100</t>
    </r>
  </si>
  <si>
    <r>
      <t>dCPI</t>
    </r>
    <r>
      <rPr>
        <vertAlign val="superscript"/>
        <sz val="11"/>
        <color indexed="8"/>
        <rFont val="Calibri"/>
        <family val="2"/>
      </rPr>
      <t>AV</t>
    </r>
    <r>
      <rPr>
        <vertAlign val="subscript"/>
        <sz val="11"/>
        <color indexed="8"/>
        <rFont val="Calibri"/>
        <family val="2"/>
      </rPr>
      <t>Agr ,t</t>
    </r>
    <r>
      <rPr>
        <sz val="11"/>
        <color theme="1"/>
        <rFont val="Calibri"/>
        <family val="2"/>
        <scheme val="minor"/>
      </rPr>
      <t xml:space="preserve">  =  EXP(0,84·LN(er</t>
    </r>
    <r>
      <rPr>
        <vertAlign val="superscript"/>
        <sz val="11"/>
        <color indexed="8"/>
        <rFont val="Calibri"/>
        <family val="2"/>
      </rPr>
      <t>USD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/er</t>
    </r>
    <r>
      <rPr>
        <vertAlign val="superscript"/>
        <sz val="11"/>
        <color indexed="8"/>
        <rFont val="Calibri"/>
        <family val="2"/>
      </rPr>
      <t>USD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)+0,36·LN(pFV</t>
    </r>
    <r>
      <rPr>
        <vertAlign val="superscript"/>
        <sz val="11"/>
        <color indexed="8"/>
        <rFont val="Calibri"/>
        <family val="2"/>
      </rPr>
      <t>RUB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/100·er</t>
    </r>
    <r>
      <rPr>
        <vertAlign val="superscript"/>
        <sz val="11"/>
        <color indexed="8"/>
        <rFont val="Calibri"/>
        <family val="2"/>
      </rPr>
      <t>RUR/USD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/er</t>
    </r>
    <r>
      <rPr>
        <vertAlign val="superscript"/>
        <sz val="11"/>
        <color indexed="8"/>
        <rFont val="Calibri"/>
        <family val="2"/>
      </rPr>
      <t>RUR/USD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))·100</t>
    </r>
  </si>
  <si>
    <r>
      <t>dCPI</t>
    </r>
    <r>
      <rPr>
        <vertAlign val="superscript"/>
        <sz val="11"/>
        <color indexed="8"/>
        <rFont val="Calibri"/>
        <family val="2"/>
      </rPr>
      <t>AV</t>
    </r>
    <r>
      <rPr>
        <vertAlign val="subscript"/>
        <sz val="11"/>
        <color indexed="8"/>
        <rFont val="Calibri"/>
        <family val="2"/>
      </rPr>
      <t>Gas ,t</t>
    </r>
    <r>
      <rPr>
        <sz val="11"/>
        <color theme="1"/>
        <rFont val="Calibri"/>
        <family val="2"/>
        <scheme val="minor"/>
      </rPr>
      <t xml:space="preserve">  =  (pOIL</t>
    </r>
    <r>
      <rPr>
        <vertAlign val="superscript"/>
        <sz val="11"/>
        <color indexed="8"/>
        <rFont val="Calibri"/>
        <family val="2"/>
      </rPr>
      <t>W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/pOIL</t>
    </r>
    <r>
      <rPr>
        <vertAlign val="superscript"/>
        <sz val="11"/>
        <color indexed="8"/>
        <rFont val="Calibri"/>
        <family val="2"/>
      </rPr>
      <t>W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)·er</t>
    </r>
    <r>
      <rPr>
        <vertAlign val="superscript"/>
        <sz val="11"/>
        <color indexed="8"/>
        <rFont val="Calibri"/>
        <family val="2"/>
      </rPr>
      <t>USD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/er</t>
    </r>
    <r>
      <rPr>
        <vertAlign val="superscript"/>
        <sz val="11"/>
        <color indexed="8"/>
        <rFont val="Calibri"/>
        <family val="2"/>
      </rPr>
      <t>USD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·100</t>
    </r>
  </si>
  <si>
    <r>
      <t>dCPI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(dCPI</t>
    </r>
    <r>
      <rPr>
        <vertAlign val="subscript"/>
        <sz val="11"/>
        <color indexed="8"/>
        <rFont val="Calibri"/>
        <family val="2"/>
      </rPr>
      <t>Food,t</t>
    </r>
    <r>
      <rPr>
        <sz val="11"/>
        <color theme="1"/>
        <rFont val="Calibri"/>
        <family val="2"/>
        <scheme val="minor"/>
      </rPr>
      <t>·(w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>Food w/o Agr ,t-1</t>
    </r>
    <r>
      <rPr>
        <sz val="11"/>
        <color theme="1"/>
        <rFont val="Calibri"/>
        <family val="2"/>
        <scheme val="minor"/>
      </rPr>
      <t>+w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>Agr ,t-1</t>
    </r>
    <r>
      <rPr>
        <sz val="11"/>
        <color theme="1"/>
        <rFont val="Calibri"/>
        <family val="2"/>
        <scheme val="minor"/>
      </rPr>
      <t>)+dCPI</t>
    </r>
    <r>
      <rPr>
        <vertAlign val="subscript"/>
        <sz val="11"/>
        <color indexed="8"/>
        <rFont val="Calibri"/>
        <family val="2"/>
      </rPr>
      <t>nonFood,t</t>
    </r>
    <r>
      <rPr>
        <sz val="11"/>
        <color theme="1"/>
        <rFont val="Calibri"/>
        <family val="2"/>
        <scheme val="minor"/>
      </rPr>
      <t>·(w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 xml:space="preserve"> nonFood w/o gas, t-1</t>
    </r>
    <r>
      <rPr>
        <sz val="11"/>
        <color theme="1"/>
        <rFont val="Calibri"/>
        <family val="2"/>
        <scheme val="minor"/>
      </rPr>
      <t>+w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 xml:space="preserve"> gas, t-1</t>
    </r>
    <r>
      <rPr>
        <sz val="11"/>
        <color theme="1"/>
        <rFont val="Calibri"/>
        <family val="2"/>
        <scheme val="minor"/>
      </rPr>
      <t>)+dCPI</t>
    </r>
    <r>
      <rPr>
        <vertAlign val="subscript"/>
        <sz val="11"/>
        <color indexed="8"/>
        <rFont val="Calibri"/>
        <family val="2"/>
      </rPr>
      <t>Services,t</t>
    </r>
    <r>
      <rPr>
        <sz val="11"/>
        <color theme="1"/>
        <rFont val="Calibri"/>
        <family val="2"/>
        <scheme val="minor"/>
      </rPr>
      <t>·w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>Services, t-1</t>
    </r>
    <r>
      <rPr>
        <sz val="11"/>
        <color theme="1"/>
        <rFont val="Calibri"/>
        <family val="2"/>
        <scheme val="minor"/>
      </rPr>
      <t>)/100</t>
    </r>
  </si>
  <si>
    <r>
      <t>dCPI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 xml:space="preserve">  =  ((w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>Food w/o Agr ,t-1</t>
    </r>
    <r>
      <rPr>
        <sz val="11"/>
        <color theme="1"/>
        <rFont val="Calibri"/>
        <family val="2"/>
        <scheme val="minor"/>
      </rPr>
      <t>+w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>Agr ,t-1</t>
    </r>
    <r>
      <rPr>
        <sz val="11"/>
        <color theme="1"/>
        <rFont val="Calibri"/>
        <family val="2"/>
        <scheme val="minor"/>
      </rPr>
      <t>)·dCPI</t>
    </r>
    <r>
      <rPr>
        <vertAlign val="subscript"/>
        <sz val="11"/>
        <color indexed="8"/>
        <rFont val="Calibri"/>
        <family val="2"/>
      </rPr>
      <t>Food,t</t>
    </r>
    <r>
      <rPr>
        <sz val="11"/>
        <color theme="1"/>
        <rFont val="Calibri"/>
        <family val="2"/>
        <scheme val="minor"/>
      </rPr>
      <t>+(w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 xml:space="preserve"> nonFood w/o gas, t-1</t>
    </r>
    <r>
      <rPr>
        <sz val="11"/>
        <color theme="1"/>
        <rFont val="Calibri"/>
        <family val="2"/>
        <scheme val="minor"/>
      </rPr>
      <t>+w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 xml:space="preserve"> gas, t-1</t>
    </r>
    <r>
      <rPr>
        <sz val="11"/>
        <color theme="1"/>
        <rFont val="Calibri"/>
        <family val="2"/>
        <scheme val="minor"/>
      </rPr>
      <t>)·dCPI</t>
    </r>
    <r>
      <rPr>
        <vertAlign val="subscript"/>
        <sz val="11"/>
        <color indexed="8"/>
        <rFont val="Calibri"/>
        <family val="2"/>
      </rPr>
      <t>nonFood,t</t>
    </r>
    <r>
      <rPr>
        <sz val="11"/>
        <color theme="1"/>
        <rFont val="Calibri"/>
        <family val="2"/>
        <scheme val="minor"/>
      </rPr>
      <t>)/(w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>Food w/o Agr ,t-1</t>
    </r>
    <r>
      <rPr>
        <sz val="11"/>
        <color theme="1"/>
        <rFont val="Calibri"/>
        <family val="2"/>
        <scheme val="minor"/>
      </rPr>
      <t>+w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>Agr ,t-1</t>
    </r>
    <r>
      <rPr>
        <sz val="11"/>
        <color theme="1"/>
        <rFont val="Calibri"/>
        <family val="2"/>
        <scheme val="minor"/>
      </rPr>
      <t>+w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 xml:space="preserve"> nonFood w/o gas, t-1</t>
    </r>
    <r>
      <rPr>
        <sz val="11"/>
        <color theme="1"/>
        <rFont val="Calibri"/>
        <family val="2"/>
        <scheme val="minor"/>
      </rPr>
      <t>+w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 xml:space="preserve"> gas, t-1</t>
    </r>
    <r>
      <rPr>
        <sz val="11"/>
        <color theme="1"/>
        <rFont val="Calibri"/>
        <family val="2"/>
        <scheme val="minor"/>
      </rPr>
      <t>)</t>
    </r>
  </si>
  <si>
    <r>
      <t>dCPI</t>
    </r>
    <r>
      <rPr>
        <vertAlign val="subscript"/>
        <sz val="11"/>
        <color indexed="8"/>
        <rFont val="Calibri"/>
        <family val="2"/>
      </rPr>
      <t>nonFood,t</t>
    </r>
    <r>
      <rPr>
        <sz val="11"/>
        <color theme="1"/>
        <rFont val="Calibri"/>
        <family val="2"/>
        <scheme val="minor"/>
      </rPr>
      <t xml:space="preserve">  =  ((er</t>
    </r>
    <r>
      <rPr>
        <vertAlign val="superscript"/>
        <sz val="11"/>
        <color indexed="8"/>
        <rFont val="Calibri"/>
        <family val="2"/>
      </rPr>
      <t>USD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/er</t>
    </r>
    <r>
      <rPr>
        <vertAlign val="superscript"/>
        <sz val="11"/>
        <color indexed="8"/>
        <rFont val="Calibri"/>
        <family val="2"/>
      </rPr>
      <t>USD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)^0,75·w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 xml:space="preserve"> nonFood w/o gas, t-1</t>
    </r>
    <r>
      <rPr>
        <sz val="11"/>
        <color theme="1"/>
        <rFont val="Calibri"/>
        <family val="2"/>
        <scheme val="minor"/>
      </rPr>
      <t>·100+w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 xml:space="preserve"> gas, t-1</t>
    </r>
    <r>
      <rPr>
        <sz val="11"/>
        <color theme="1"/>
        <rFont val="Calibri"/>
        <family val="2"/>
        <scheme val="minor"/>
      </rPr>
      <t>·dCPI</t>
    </r>
    <r>
      <rPr>
        <vertAlign val="superscript"/>
        <sz val="11"/>
        <color indexed="8"/>
        <rFont val="Calibri"/>
        <family val="2"/>
      </rPr>
      <t>AV</t>
    </r>
    <r>
      <rPr>
        <vertAlign val="subscript"/>
        <sz val="11"/>
        <color indexed="8"/>
        <rFont val="Calibri"/>
        <family val="2"/>
      </rPr>
      <t>Gas ,t</t>
    </r>
    <r>
      <rPr>
        <sz val="11"/>
        <color theme="1"/>
        <rFont val="Calibri"/>
        <family val="2"/>
        <scheme val="minor"/>
      </rPr>
      <t>)/(w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 xml:space="preserve"> nonFood w/o gas, t-1</t>
    </r>
    <r>
      <rPr>
        <sz val="11"/>
        <color theme="1"/>
        <rFont val="Calibri"/>
        <family val="2"/>
        <scheme val="minor"/>
      </rPr>
      <t>+w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 xml:space="preserve"> gas, t-1</t>
    </r>
    <r>
      <rPr>
        <sz val="11"/>
        <color theme="1"/>
        <rFont val="Calibri"/>
        <family val="2"/>
        <scheme val="minor"/>
      </rPr>
      <t>)</t>
    </r>
  </si>
  <si>
    <r>
      <t>dCPI</t>
    </r>
    <r>
      <rPr>
        <vertAlign val="subscript"/>
        <sz val="11"/>
        <color indexed="8"/>
        <rFont val="Calibri"/>
        <family val="2"/>
      </rPr>
      <t>Services,t</t>
    </r>
    <r>
      <rPr>
        <sz val="11"/>
        <color theme="1"/>
        <rFont val="Calibri"/>
        <family val="2"/>
        <scheme val="minor"/>
      </rPr>
      <t xml:space="preserve">  =  dCPI</t>
    </r>
    <r>
      <rPr>
        <vertAlign val="superscript"/>
        <sz val="11"/>
        <color indexed="8"/>
        <rFont val="Calibri"/>
        <family val="2"/>
      </rPr>
      <t>AV</t>
    </r>
    <r>
      <rPr>
        <vertAlign val="subscript"/>
        <sz val="11"/>
        <color indexed="8"/>
        <rFont val="Calibri"/>
        <family val="2"/>
      </rPr>
      <t>Services,t</t>
    </r>
  </si>
  <si>
    <r>
      <t>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>Food w/o Agr ,t</t>
    </r>
    <r>
      <rPr>
        <sz val="11"/>
        <color theme="1"/>
        <rFont val="Calibri"/>
        <family val="2"/>
        <scheme val="minor"/>
      </rPr>
      <t xml:space="preserve">  =  (w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>Food w/o Agr ,t-1</t>
    </r>
    <r>
      <rPr>
        <sz val="11"/>
        <color theme="1"/>
        <rFont val="Calibri"/>
        <family val="2"/>
        <scheme val="minor"/>
      </rPr>
      <t>·dCPI</t>
    </r>
    <r>
      <rPr>
        <vertAlign val="superscript"/>
        <sz val="11"/>
        <color indexed="8"/>
        <rFont val="Calibri"/>
        <family val="2"/>
      </rPr>
      <t>AV</t>
    </r>
    <r>
      <rPr>
        <vertAlign val="subscript"/>
        <sz val="11"/>
        <color indexed="8"/>
        <rFont val="Calibri"/>
        <family val="2"/>
      </rPr>
      <t>Foods w/o Agr ,t</t>
    </r>
    <r>
      <rPr>
        <sz val="11"/>
        <color theme="1"/>
        <rFont val="Calibri"/>
        <family val="2"/>
        <scheme val="minor"/>
      </rPr>
      <t>/100)/(dCPI</t>
    </r>
    <r>
      <rPr>
        <vertAlign val="superscript"/>
        <sz val="11"/>
        <color indexed="8"/>
        <rFont val="Calibri"/>
        <family val="2"/>
      </rPr>
      <t>AV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/100)</t>
    </r>
  </si>
  <si>
    <r>
      <t>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>Agr ,t</t>
    </r>
    <r>
      <rPr>
        <sz val="11"/>
        <color theme="1"/>
        <rFont val="Calibri"/>
        <family val="2"/>
        <scheme val="minor"/>
      </rPr>
      <t xml:space="preserve">  =  (w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>Agr ,t-1</t>
    </r>
    <r>
      <rPr>
        <sz val="11"/>
        <color theme="1"/>
        <rFont val="Calibri"/>
        <family val="2"/>
        <scheme val="minor"/>
      </rPr>
      <t>·dCPI</t>
    </r>
    <r>
      <rPr>
        <vertAlign val="superscript"/>
        <sz val="11"/>
        <color indexed="8"/>
        <rFont val="Calibri"/>
        <family val="2"/>
      </rPr>
      <t>AV</t>
    </r>
    <r>
      <rPr>
        <vertAlign val="subscript"/>
        <sz val="11"/>
        <color indexed="8"/>
        <rFont val="Calibri"/>
        <family val="2"/>
      </rPr>
      <t>Agr ,t</t>
    </r>
    <r>
      <rPr>
        <sz val="11"/>
        <color theme="1"/>
        <rFont val="Calibri"/>
        <family val="2"/>
        <scheme val="minor"/>
      </rPr>
      <t>/100)/(dCPI</t>
    </r>
    <r>
      <rPr>
        <vertAlign val="superscript"/>
        <sz val="11"/>
        <color indexed="8"/>
        <rFont val="Calibri"/>
        <family val="2"/>
      </rPr>
      <t>AV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/100)</t>
    </r>
  </si>
  <si>
    <r>
      <t>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 xml:space="preserve"> nonFood w/o gas, t</t>
    </r>
    <r>
      <rPr>
        <sz val="11"/>
        <color theme="1"/>
        <rFont val="Calibri"/>
        <family val="2"/>
        <scheme val="minor"/>
      </rPr>
      <t xml:space="preserve">  =  (w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 xml:space="preserve"> nonFood w/o gas, t-1</t>
    </r>
    <r>
      <rPr>
        <sz val="11"/>
        <color theme="1"/>
        <rFont val="Calibri"/>
        <family val="2"/>
        <scheme val="minor"/>
      </rPr>
      <t>+w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 xml:space="preserve"> gas, t-1</t>
    </r>
    <r>
      <rPr>
        <sz val="11"/>
        <color theme="1"/>
        <rFont val="Calibri"/>
        <family val="2"/>
        <scheme val="minor"/>
      </rPr>
      <t>)·dCPI</t>
    </r>
    <r>
      <rPr>
        <vertAlign val="superscript"/>
        <sz val="11"/>
        <color indexed="8"/>
        <rFont val="Calibri"/>
        <family val="2"/>
      </rPr>
      <t>AV</t>
    </r>
    <r>
      <rPr>
        <vertAlign val="subscript"/>
        <sz val="11"/>
        <color indexed="8"/>
        <rFont val="Calibri"/>
        <family val="2"/>
      </rPr>
      <t>nonFood,t</t>
    </r>
    <r>
      <rPr>
        <sz val="11"/>
        <color theme="1"/>
        <rFont val="Calibri"/>
        <family val="2"/>
        <scheme val="minor"/>
      </rPr>
      <t>/dCPI</t>
    </r>
    <r>
      <rPr>
        <vertAlign val="superscript"/>
        <sz val="11"/>
        <color indexed="8"/>
        <rFont val="Calibri"/>
        <family val="2"/>
      </rPr>
      <t>AV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-w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 xml:space="preserve"> gas, t</t>
    </r>
  </si>
  <si>
    <r>
      <t>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 xml:space="preserve"> gas, t</t>
    </r>
    <r>
      <rPr>
        <sz val="11"/>
        <color theme="1"/>
        <rFont val="Calibri"/>
        <family val="2"/>
        <scheme val="minor"/>
      </rPr>
      <t xml:space="preserve">  =  (w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 xml:space="preserve"> gas, t-1</t>
    </r>
    <r>
      <rPr>
        <sz val="11"/>
        <color theme="1"/>
        <rFont val="Calibri"/>
        <family val="2"/>
        <scheme val="minor"/>
      </rPr>
      <t>·dCPI</t>
    </r>
    <r>
      <rPr>
        <vertAlign val="superscript"/>
        <sz val="11"/>
        <color indexed="8"/>
        <rFont val="Calibri"/>
        <family val="2"/>
      </rPr>
      <t>AV</t>
    </r>
    <r>
      <rPr>
        <vertAlign val="subscript"/>
        <sz val="11"/>
        <color indexed="8"/>
        <rFont val="Calibri"/>
        <family val="2"/>
      </rPr>
      <t>Gas ,t</t>
    </r>
    <r>
      <rPr>
        <sz val="11"/>
        <color theme="1"/>
        <rFont val="Calibri"/>
        <family val="2"/>
        <scheme val="minor"/>
      </rPr>
      <t>/100)/(dCPI</t>
    </r>
    <r>
      <rPr>
        <vertAlign val="superscript"/>
        <sz val="11"/>
        <color indexed="8"/>
        <rFont val="Calibri"/>
        <family val="2"/>
      </rPr>
      <t>AV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/100)</t>
    </r>
  </si>
  <si>
    <r>
      <t>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>Services, t</t>
    </r>
    <r>
      <rPr>
        <sz val="11"/>
        <color theme="1"/>
        <rFont val="Calibri"/>
        <family val="2"/>
        <scheme val="minor"/>
      </rPr>
      <t xml:space="preserve">  =  (w</t>
    </r>
    <r>
      <rPr>
        <vertAlign val="superscript"/>
        <sz val="11"/>
        <color indexed="8"/>
        <rFont val="Calibri"/>
        <family val="2"/>
      </rPr>
      <t>CPI</t>
    </r>
    <r>
      <rPr>
        <vertAlign val="subscript"/>
        <sz val="11"/>
        <color indexed="8"/>
        <rFont val="Calibri"/>
        <family val="2"/>
      </rPr>
      <t>Services, t-1</t>
    </r>
    <r>
      <rPr>
        <sz val="11"/>
        <color theme="1"/>
        <rFont val="Calibri"/>
        <family val="2"/>
        <scheme val="minor"/>
      </rPr>
      <t>·dCPI</t>
    </r>
    <r>
      <rPr>
        <vertAlign val="superscript"/>
        <sz val="11"/>
        <color indexed="8"/>
        <rFont val="Calibri"/>
        <family val="2"/>
      </rPr>
      <t>AV</t>
    </r>
    <r>
      <rPr>
        <vertAlign val="subscript"/>
        <sz val="11"/>
        <color indexed="8"/>
        <rFont val="Calibri"/>
        <family val="2"/>
      </rPr>
      <t>Services,t</t>
    </r>
    <r>
      <rPr>
        <sz val="11"/>
        <color theme="1"/>
        <rFont val="Calibri"/>
        <family val="2"/>
        <scheme val="minor"/>
      </rPr>
      <t>/100)/(dCPI</t>
    </r>
    <r>
      <rPr>
        <vertAlign val="superscript"/>
        <sz val="11"/>
        <color indexed="8"/>
        <rFont val="Calibri"/>
        <family val="2"/>
      </rPr>
      <t>AV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/100)</t>
    </r>
  </si>
  <si>
    <r>
      <t>dCPI</t>
    </r>
    <r>
      <rPr>
        <i/>
        <vertAlign val="subscript"/>
        <sz val="11"/>
        <color rgb="FFFF0000"/>
        <rFont val="Calibri"/>
        <family val="2"/>
      </rPr>
      <t>nonFood,t</t>
    </r>
  </si>
  <si>
    <r>
      <t>w</t>
    </r>
    <r>
      <rPr>
        <i/>
        <vertAlign val="superscript"/>
        <sz val="11"/>
        <color rgb="FFED0000"/>
        <rFont val="Calibri"/>
        <family val="2"/>
      </rPr>
      <t>CPI</t>
    </r>
    <r>
      <rPr>
        <i/>
        <vertAlign val="subscript"/>
        <sz val="11"/>
        <color rgb="FFED0000"/>
        <rFont val="Calibri"/>
        <family val="2"/>
      </rPr>
      <t xml:space="preserve"> gas, t</t>
    </r>
  </si>
  <si>
    <t>(K34*L12/100)/(L3/100)</t>
  </si>
  <si>
    <r>
      <t>GDP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 xml:space="preserve">  =  GDP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,t</t>
    </r>
  </si>
  <si>
    <r>
      <t>CA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 xml:space="preserve">  =  TB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>+BIW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Net,t</t>
    </r>
    <r>
      <rPr>
        <sz val="11"/>
        <color theme="1"/>
        <rFont val="Calibri"/>
        <family val="2"/>
        <scheme val="minor"/>
      </rPr>
      <t>+CT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Net,t</t>
    </r>
  </si>
  <si>
    <r>
      <t>TB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 xml:space="preserve">  =  TB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>+TB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Serv,t</t>
    </r>
  </si>
  <si>
    <r>
      <t>TB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 xml:space="preserve">  =  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>-IM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</t>
    </r>
  </si>
  <si>
    <r>
      <t>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 xml:space="preserve">  =  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</t>
    </r>
  </si>
  <si>
    <r>
      <t>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 xml:space="preserve">  =  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</t>
    </r>
  </si>
  <si>
    <r>
      <t>TB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Serv,t</t>
    </r>
    <r>
      <rPr>
        <sz val="11"/>
        <color theme="1"/>
        <rFont val="Calibri"/>
        <family val="2"/>
        <scheme val="minor"/>
      </rPr>
      <t xml:space="preserve">  =  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Serv,t</t>
    </r>
    <r>
      <rPr>
        <sz val="11"/>
        <color theme="1"/>
        <rFont val="Calibri"/>
        <family val="2"/>
        <scheme val="minor"/>
      </rPr>
      <t>-IM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Serv,t</t>
    </r>
  </si>
  <si>
    <r>
      <t>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Serv,t</t>
    </r>
    <r>
      <rPr>
        <sz val="11"/>
        <color theme="1"/>
        <rFont val="Calibri"/>
        <family val="2"/>
        <scheme val="minor"/>
      </rPr>
      <t xml:space="preserve">  =  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Serv,t</t>
    </r>
  </si>
  <si>
    <r>
      <t>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Serv,t</t>
    </r>
    <r>
      <rPr>
        <sz val="11"/>
        <color theme="1"/>
        <rFont val="Calibri"/>
        <family val="2"/>
        <scheme val="minor"/>
      </rPr>
      <t xml:space="preserve">  =  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Serv,t</t>
    </r>
  </si>
  <si>
    <r>
      <t>BIW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Net,t</t>
    </r>
    <r>
      <rPr>
        <sz val="11"/>
        <color theme="1"/>
        <rFont val="Calibri"/>
        <family val="2"/>
        <scheme val="minor"/>
      </rPr>
      <t xml:space="preserve">  =  BIW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Net,t</t>
    </r>
  </si>
  <si>
    <r>
      <t>CT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Net,t</t>
    </r>
    <r>
      <rPr>
        <sz val="11"/>
        <color theme="1"/>
        <rFont val="Calibri"/>
        <family val="2"/>
        <scheme val="minor"/>
      </rPr>
      <t xml:space="preserve">  =  CT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Net,t</t>
    </r>
  </si>
  <si>
    <r>
      <t>KA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 xml:space="preserve">  =  (FDI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Net, t</t>
    </r>
    <r>
      <rPr>
        <sz val="11"/>
        <color theme="1"/>
        <rFont val="Calibri"/>
        <family val="2"/>
        <scheme val="minor"/>
      </rPr>
      <t>+KT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>+OI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>)</t>
    </r>
  </si>
  <si>
    <r>
      <t>FDI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Net, t</t>
    </r>
    <r>
      <rPr>
        <sz val="11"/>
        <color theme="1"/>
        <rFont val="Calibri"/>
        <family val="2"/>
        <scheme val="minor"/>
      </rPr>
      <t xml:space="preserve">  =  FDI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Net, t-1</t>
    </r>
    <r>
      <rPr>
        <sz val="11"/>
        <color theme="1"/>
        <rFont val="Calibri"/>
        <family val="2"/>
        <scheme val="minor"/>
      </rPr>
      <t>·EXP(-0,273272835762+7,30100938285·LN(EX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>/EX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Goods,t-1</t>
    </r>
    <r>
      <rPr>
        <sz val="11"/>
        <color theme="1"/>
        <rFont val="Calibri"/>
        <family val="2"/>
        <scheme val="minor"/>
      </rPr>
      <t>))</t>
    </r>
  </si>
  <si>
    <r>
      <t>KT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 xml:space="preserve">  =  KT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,t</t>
    </r>
  </si>
  <si>
    <r>
      <t>OI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 xml:space="preserve">  =  (OINF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+OIF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+OIG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)</t>
    </r>
  </si>
  <si>
    <r>
      <t>OINF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OINF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</t>
    </r>
  </si>
  <si>
    <r>
      <t>OIF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OIF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</t>
    </r>
  </si>
  <si>
    <r>
      <t>OIG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OIG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</t>
    </r>
  </si>
  <si>
    <r>
      <t>RA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 xml:space="preserve">  =  -(KA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>+CA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>)</t>
    </r>
  </si>
  <si>
    <r>
      <t>IR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 xml:space="preserve">  =  IR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,t-1</t>
    </r>
    <r>
      <rPr>
        <sz val="11"/>
        <color theme="1"/>
        <rFont val="Calibri"/>
        <family val="2"/>
        <scheme val="minor"/>
      </rPr>
      <t>-RA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,t</t>
    </r>
  </si>
  <si>
    <r>
      <t>BIW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Net,t</t>
    </r>
    <r>
      <rPr>
        <sz val="11"/>
        <color theme="1"/>
        <rFont val="Calibri"/>
        <family val="2"/>
        <scheme val="minor"/>
      </rPr>
      <t xml:space="preserve">  =  II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G,t</t>
    </r>
    <r>
      <rPr>
        <sz val="11"/>
        <color theme="1"/>
        <rFont val="Calibri"/>
        <family val="2"/>
        <scheme val="minor"/>
      </rPr>
      <t>+FI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Pr,t</t>
    </r>
  </si>
  <si>
    <r>
      <t>II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G,t</t>
    </r>
    <r>
      <rPr>
        <sz val="11"/>
        <color theme="1"/>
        <rFont val="Calibri"/>
        <family val="2"/>
        <scheme val="minor"/>
      </rPr>
      <t xml:space="preserve">  =  -IP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G,t</t>
    </r>
  </si>
  <si>
    <r>
      <t>FI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Pr,t</t>
    </r>
    <r>
      <rPr>
        <sz val="11"/>
        <color theme="1"/>
        <rFont val="Calibri"/>
        <family val="2"/>
        <scheme val="minor"/>
      </rPr>
      <t xml:space="preserve">  =  (FI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Pr,t-1</t>
    </r>
    <r>
      <rPr>
        <sz val="11"/>
        <color theme="1"/>
        <rFont val="Calibri"/>
        <family val="2"/>
        <scheme val="minor"/>
      </rPr>
      <t>-W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)·(IP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P,t</t>
    </r>
    <r>
      <rPr>
        <sz val="11"/>
        <color theme="1"/>
        <rFont val="Calibri"/>
        <family val="2"/>
        <scheme val="minor"/>
      </rPr>
      <t>/IP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P,t-1</t>
    </r>
    <r>
      <rPr>
        <sz val="11"/>
        <color theme="1"/>
        <rFont val="Calibri"/>
        <family val="2"/>
        <scheme val="minor"/>
      </rPr>
      <t>)^0,4·(FDI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Net, t</t>
    </r>
    <r>
      <rPr>
        <sz val="11"/>
        <color theme="1"/>
        <rFont val="Calibri"/>
        <family val="2"/>
        <scheme val="minor"/>
      </rPr>
      <t>/FDI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Net, t-1</t>
    </r>
    <r>
      <rPr>
        <sz val="11"/>
        <color theme="1"/>
        <rFont val="Calibri"/>
        <family val="2"/>
        <scheme val="minor"/>
      </rPr>
      <t>)^0,4+W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</t>
    </r>
  </si>
  <si>
    <r>
      <t>W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W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·((IM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>+IM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Serv,t</t>
    </r>
    <r>
      <rPr>
        <sz val="11"/>
        <color theme="1"/>
        <rFont val="Calibri"/>
        <family val="2"/>
        <scheme val="minor"/>
      </rPr>
      <t>)/(IM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Goods,t-1</t>
    </r>
    <r>
      <rPr>
        <sz val="11"/>
        <color theme="1"/>
        <rFont val="Calibri"/>
        <family val="2"/>
        <scheme val="minor"/>
      </rPr>
      <t>+IM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Serv,t-1</t>
    </r>
    <r>
      <rPr>
        <sz val="11"/>
        <color theme="1"/>
        <rFont val="Calibri"/>
        <family val="2"/>
        <scheme val="minor"/>
      </rPr>
      <t>))/((EX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>+EX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Serv,t</t>
    </r>
    <r>
      <rPr>
        <sz val="11"/>
        <color theme="1"/>
        <rFont val="Calibri"/>
        <family val="2"/>
        <scheme val="minor"/>
      </rPr>
      <t>)/(EX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Goods,t-1</t>
    </r>
    <r>
      <rPr>
        <sz val="11"/>
        <color theme="1"/>
        <rFont val="Calibri"/>
        <family val="2"/>
        <scheme val="minor"/>
      </rPr>
      <t>+EX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Serv,t-1</t>
    </r>
    <r>
      <rPr>
        <sz val="11"/>
        <color theme="1"/>
        <rFont val="Calibri"/>
        <family val="2"/>
        <scheme val="minor"/>
      </rPr>
      <t>))</t>
    </r>
  </si>
  <si>
    <r>
      <t>CT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Net,t</t>
    </r>
    <r>
      <rPr>
        <sz val="11"/>
        <color theme="1"/>
        <rFont val="Calibri"/>
        <family val="2"/>
        <scheme val="minor"/>
      </rPr>
      <t xml:space="preserve">  =  CT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L,t</t>
    </r>
    <r>
      <rPr>
        <sz val="11"/>
        <color theme="1"/>
        <rFont val="Calibri"/>
        <family val="2"/>
        <scheme val="minor"/>
      </rPr>
      <t>+CT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A,t</t>
    </r>
  </si>
  <si>
    <r>
      <t>CT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L,t</t>
    </r>
    <r>
      <rPr>
        <sz val="11"/>
        <color theme="1"/>
        <rFont val="Calibri"/>
        <family val="2"/>
        <scheme val="minor"/>
      </rPr>
      <t xml:space="preserve">  =  CT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L,t-1</t>
    </r>
    <r>
      <rPr>
        <sz val="11"/>
        <color theme="1"/>
        <rFont val="Calibri"/>
        <family val="2"/>
        <scheme val="minor"/>
      </rPr>
      <t>·(R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+GR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)/(R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+GR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)</t>
    </r>
  </si>
  <si>
    <r>
      <t>CT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A,t</t>
    </r>
    <r>
      <rPr>
        <sz val="11"/>
        <color theme="1"/>
        <rFont val="Calibri"/>
        <family val="2"/>
        <scheme val="minor"/>
      </rPr>
      <t xml:space="preserve">  =  CT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A,t-1</t>
    </r>
    <r>
      <rPr>
        <sz val="11"/>
        <color theme="1"/>
        <rFont val="Calibri"/>
        <family val="2"/>
        <scheme val="minor"/>
      </rPr>
      <t>·GDP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>/GDP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,t-1</t>
    </r>
  </si>
  <si>
    <r>
      <t>R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R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·(W</t>
    </r>
    <r>
      <rPr>
        <vertAlign val="superscript"/>
        <sz val="11"/>
        <color indexed="8"/>
        <rFont val="Calibri"/>
        <family val="2"/>
      </rPr>
      <t>RUS, US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/W</t>
    </r>
    <r>
      <rPr>
        <vertAlign val="superscript"/>
        <sz val="11"/>
        <color indexed="8"/>
        <rFont val="Calibri"/>
        <family val="2"/>
      </rPr>
      <t>RUS, US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·MIG</t>
    </r>
    <r>
      <rPr>
        <vertAlign val="superscript"/>
        <sz val="11"/>
        <color indexed="8"/>
        <rFont val="Calibri"/>
        <family val="2"/>
      </rPr>
      <t>RUS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/MIG</t>
    </r>
    <r>
      <rPr>
        <vertAlign val="superscript"/>
        <sz val="11"/>
        <color indexed="8"/>
        <rFont val="Calibri"/>
        <family val="2"/>
      </rPr>
      <t>RUS</t>
    </r>
    <r>
      <rPr>
        <vertAlign val="subscript"/>
        <sz val="11"/>
        <color indexed="8"/>
        <rFont val="Calibri"/>
        <family val="2"/>
      </rPr>
      <t>t-1</t>
    </r>
    <r>
      <rPr>
        <sz val="11"/>
        <color theme="1"/>
        <rFont val="Calibri"/>
        <family val="2"/>
        <scheme val="minor"/>
      </rPr>
      <t>)</t>
    </r>
  </si>
  <si>
    <r>
      <t>GR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GDP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>·0,015</t>
    </r>
  </si>
  <si>
    <r>
      <t>KT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 xml:space="preserve">  =  KT</t>
    </r>
    <r>
      <rPr>
        <vertAlign val="superscript"/>
        <sz val="11"/>
        <color indexed="8"/>
        <rFont val="Calibri"/>
        <family val="2"/>
      </rPr>
      <t>GDP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/100·GDP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,t</t>
    </r>
  </si>
  <si>
    <r>
      <t>KT</t>
    </r>
    <r>
      <rPr>
        <vertAlign val="superscript"/>
        <sz val="11"/>
        <color indexed="8"/>
        <rFont val="Calibri"/>
        <family val="2"/>
      </rPr>
      <t>GDP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KT</t>
    </r>
    <r>
      <rPr>
        <vertAlign val="superscript"/>
        <sz val="11"/>
        <color indexed="8"/>
        <rFont val="Calibri"/>
        <family val="2"/>
      </rPr>
      <t>GDP</t>
    </r>
    <r>
      <rPr>
        <vertAlign val="subscript"/>
        <sz val="11"/>
        <color indexed="8"/>
        <rFont val="Calibri"/>
        <family val="2"/>
      </rPr>
      <t>t-1</t>
    </r>
  </si>
  <si>
    <r>
      <t>OINF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OINF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A,t</t>
    </r>
    <r>
      <rPr>
        <sz val="11"/>
        <color theme="1"/>
        <rFont val="Calibri"/>
        <family val="2"/>
        <scheme val="minor"/>
      </rPr>
      <t>+OINF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L,t</t>
    </r>
    <r>
      <rPr>
        <sz val="11"/>
        <color theme="1"/>
        <rFont val="Calibri"/>
        <family val="2"/>
        <scheme val="minor"/>
      </rPr>
      <t>+EO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</t>
    </r>
  </si>
  <si>
    <r>
      <t>OINF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A,t</t>
    </r>
    <r>
      <rPr>
        <sz val="11"/>
        <color theme="1"/>
        <rFont val="Calibri"/>
        <family val="2"/>
        <scheme val="minor"/>
      </rPr>
      <t xml:space="preserve">  =  aOINF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A,t</t>
    </r>
    <r>
      <rPr>
        <sz val="11"/>
        <color theme="1"/>
        <rFont val="Calibri"/>
        <family val="2"/>
        <scheme val="minor"/>
      </rPr>
      <t>-aOINF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A,t-1</t>
    </r>
  </si>
  <si>
    <r>
      <t>aOINF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A,t</t>
    </r>
    <r>
      <rPr>
        <sz val="11"/>
        <color theme="1"/>
        <rFont val="Calibri"/>
        <family val="2"/>
        <scheme val="minor"/>
      </rPr>
      <t xml:space="preserve">  =  aOINF</t>
    </r>
    <r>
      <rPr>
        <vertAlign val="superscript"/>
        <sz val="11"/>
        <color indexed="8"/>
        <rFont val="Calibri"/>
        <family val="2"/>
      </rPr>
      <t>GDP</t>
    </r>
    <r>
      <rPr>
        <vertAlign val="subscript"/>
        <sz val="11"/>
        <color indexed="8"/>
        <rFont val="Calibri"/>
        <family val="2"/>
      </rPr>
      <t>A,t</t>
    </r>
    <r>
      <rPr>
        <sz val="11"/>
        <color theme="1"/>
        <rFont val="Calibri"/>
        <family val="2"/>
        <scheme val="minor"/>
      </rPr>
      <t>/100·GDP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,t</t>
    </r>
  </si>
  <si>
    <r>
      <t>aOINF</t>
    </r>
    <r>
      <rPr>
        <vertAlign val="superscript"/>
        <sz val="11"/>
        <color indexed="8"/>
        <rFont val="Calibri"/>
        <family val="2"/>
      </rPr>
      <t>GDP</t>
    </r>
    <r>
      <rPr>
        <vertAlign val="subscript"/>
        <sz val="11"/>
        <color indexed="8"/>
        <rFont val="Calibri"/>
        <family val="2"/>
      </rPr>
      <t>A,t</t>
    </r>
    <r>
      <rPr>
        <sz val="11"/>
        <color theme="1"/>
        <rFont val="Calibri"/>
        <family val="2"/>
        <scheme val="minor"/>
      </rPr>
      <t xml:space="preserve">  =  aOINF</t>
    </r>
    <r>
      <rPr>
        <vertAlign val="superscript"/>
        <sz val="11"/>
        <color indexed="8"/>
        <rFont val="Calibri"/>
        <family val="2"/>
      </rPr>
      <t>GDP</t>
    </r>
    <r>
      <rPr>
        <vertAlign val="subscript"/>
        <sz val="11"/>
        <color indexed="8"/>
        <rFont val="Calibri"/>
        <family val="2"/>
      </rPr>
      <t>A,t-1</t>
    </r>
    <r>
      <rPr>
        <sz val="11"/>
        <color theme="1"/>
        <rFont val="Calibri"/>
        <family val="2"/>
        <scheme val="minor"/>
      </rPr>
      <t>-2</t>
    </r>
  </si>
  <si>
    <r>
      <t>OINF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L,t</t>
    </r>
    <r>
      <rPr>
        <sz val="11"/>
        <color theme="1"/>
        <rFont val="Calibri"/>
        <family val="2"/>
        <scheme val="minor"/>
      </rPr>
      <t xml:space="preserve">  =  aOINF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L,t</t>
    </r>
    <r>
      <rPr>
        <sz val="11"/>
        <color theme="1"/>
        <rFont val="Calibri"/>
        <family val="2"/>
        <scheme val="minor"/>
      </rPr>
      <t>-aOINF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L,t-1</t>
    </r>
  </si>
  <si>
    <r>
      <t>aOINF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L,t</t>
    </r>
    <r>
      <rPr>
        <sz val="11"/>
        <color theme="1"/>
        <rFont val="Calibri"/>
        <family val="2"/>
        <scheme val="minor"/>
      </rPr>
      <t xml:space="preserve">  =  aOINF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L,t-1</t>
    </r>
    <r>
      <rPr>
        <sz val="11"/>
        <color theme="1"/>
        <rFont val="Calibri"/>
        <family val="2"/>
        <scheme val="minor"/>
      </rPr>
      <t>·EXP(1,4912567232·LN(IM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>/IM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Goods,t-1</t>
    </r>
    <r>
      <rPr>
        <sz val="11"/>
        <color theme="1"/>
        <rFont val="Calibri"/>
        <family val="2"/>
        <scheme val="minor"/>
      </rPr>
      <t>))</t>
    </r>
  </si>
  <si>
    <r>
      <t>EO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EO</t>
    </r>
    <r>
      <rPr>
        <vertAlign val="superscript"/>
        <sz val="11"/>
        <color indexed="8"/>
        <rFont val="Calibri"/>
        <family val="2"/>
      </rPr>
      <t>GDP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>·GDP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>/100</t>
    </r>
  </si>
  <si>
    <r>
      <t>EO</t>
    </r>
    <r>
      <rPr>
        <vertAlign val="superscript"/>
        <sz val="11"/>
        <color indexed="8"/>
        <rFont val="Calibri"/>
        <family val="2"/>
      </rPr>
      <t>GDP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EO</t>
    </r>
    <r>
      <rPr>
        <vertAlign val="superscript"/>
        <sz val="11"/>
        <color indexed="8"/>
        <rFont val="Calibri"/>
        <family val="2"/>
      </rPr>
      <t>GDP</t>
    </r>
    <r>
      <rPr>
        <vertAlign val="subscript"/>
        <sz val="11"/>
        <color indexed="8"/>
        <rFont val="Calibri"/>
        <family val="2"/>
      </rPr>
      <t>t-1</t>
    </r>
  </si>
  <si>
    <r>
      <t>OIF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OIF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A,t</t>
    </r>
    <r>
      <rPr>
        <sz val="11"/>
        <color theme="1"/>
        <rFont val="Calibri"/>
        <family val="2"/>
        <scheme val="minor"/>
      </rPr>
      <t>+OIF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L,t</t>
    </r>
    <r>
      <rPr>
        <sz val="11"/>
        <color theme="1"/>
        <rFont val="Calibri"/>
        <family val="2"/>
        <scheme val="minor"/>
      </rPr>
      <t>+PINV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</t>
    </r>
  </si>
  <si>
    <r>
      <t>OIF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A,t</t>
    </r>
    <r>
      <rPr>
        <sz val="11"/>
        <color theme="1"/>
        <rFont val="Calibri"/>
        <family val="2"/>
        <scheme val="minor"/>
      </rPr>
      <t xml:space="preserve">  =  aOIF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A,t</t>
    </r>
    <r>
      <rPr>
        <sz val="11"/>
        <color theme="1"/>
        <rFont val="Calibri"/>
        <family val="2"/>
        <scheme val="minor"/>
      </rPr>
      <t>-aOIF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A,t-1</t>
    </r>
  </si>
  <si>
    <r>
      <t>aOIF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A,t</t>
    </r>
    <r>
      <rPr>
        <sz val="11"/>
        <color theme="1"/>
        <rFont val="Calibri"/>
        <family val="2"/>
        <scheme val="minor"/>
      </rPr>
      <t xml:space="preserve">  =  aOIF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A,t-1</t>
    </r>
    <r>
      <rPr>
        <sz val="11"/>
        <color theme="1"/>
        <rFont val="Calibri"/>
        <family val="2"/>
        <scheme val="minor"/>
      </rPr>
      <t>·EXP(2,74297520242·LN((EX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>+IM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>)/(EX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Goods,t-1</t>
    </r>
    <r>
      <rPr>
        <sz val="11"/>
        <color theme="1"/>
        <rFont val="Calibri"/>
        <family val="2"/>
        <scheme val="minor"/>
      </rPr>
      <t>+IM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Goods,t-1</t>
    </r>
    <r>
      <rPr>
        <sz val="11"/>
        <color theme="1"/>
        <rFont val="Calibri"/>
        <family val="2"/>
        <scheme val="minor"/>
      </rPr>
      <t>)))</t>
    </r>
  </si>
  <si>
    <r>
      <t>OIF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L,t</t>
    </r>
    <r>
      <rPr>
        <sz val="11"/>
        <color theme="1"/>
        <rFont val="Calibri"/>
        <family val="2"/>
        <scheme val="minor"/>
      </rPr>
      <t xml:space="preserve">  =  aOIF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L,t</t>
    </r>
    <r>
      <rPr>
        <sz val="11"/>
        <color theme="1"/>
        <rFont val="Calibri"/>
        <family val="2"/>
        <scheme val="minor"/>
      </rPr>
      <t>-aOIF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L,t-1</t>
    </r>
  </si>
  <si>
    <r>
      <t>aOIF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L,t</t>
    </r>
    <r>
      <rPr>
        <sz val="11"/>
        <color theme="1"/>
        <rFont val="Calibri"/>
        <family val="2"/>
        <scheme val="minor"/>
      </rPr>
      <t xml:space="preserve">  =  aOIF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L,t-1</t>
    </r>
    <r>
      <rPr>
        <sz val="11"/>
        <color theme="1"/>
        <rFont val="Calibri"/>
        <family val="2"/>
        <scheme val="minor"/>
      </rPr>
      <t>·EXP(2,64617276621·LN(EX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</t>
    </r>
    <r>
      <rPr>
        <sz val="11"/>
        <color theme="1"/>
        <rFont val="Calibri"/>
        <family val="2"/>
        <scheme val="minor"/>
      </rPr>
      <t>/EX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Goods,t-1</t>
    </r>
    <r>
      <rPr>
        <sz val="11"/>
        <color theme="1"/>
        <rFont val="Calibri"/>
        <family val="2"/>
        <scheme val="minor"/>
      </rPr>
      <t>))</t>
    </r>
  </si>
  <si>
    <r>
      <t>PINV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PINV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t-1</t>
    </r>
  </si>
  <si>
    <r>
      <t>OIG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t</t>
    </r>
    <r>
      <rPr>
        <sz val="11"/>
        <color theme="1"/>
        <rFont val="Calibri"/>
        <family val="2"/>
        <scheme val="minor"/>
      </rPr>
      <t xml:space="preserve">  =  (OIG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IMF,t</t>
    </r>
    <r>
      <rPr>
        <sz val="11"/>
        <color theme="1"/>
        <rFont val="Calibri"/>
        <family val="2"/>
        <scheme val="minor"/>
      </rPr>
      <t>+OIG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A,t</t>
    </r>
    <r>
      <rPr>
        <sz val="11"/>
        <color theme="1"/>
        <rFont val="Calibri"/>
        <family val="2"/>
        <scheme val="minor"/>
      </rPr>
      <t>+OIG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L,t</t>
    </r>
    <r>
      <rPr>
        <sz val="11"/>
        <color theme="1"/>
        <rFont val="Calibri"/>
        <family val="2"/>
        <scheme val="minor"/>
      </rPr>
      <t>)</t>
    </r>
  </si>
  <si>
    <r>
      <t>OIG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IMF,t</t>
    </r>
    <r>
      <rPr>
        <sz val="11"/>
        <color theme="1"/>
        <rFont val="Calibri"/>
        <family val="2"/>
        <scheme val="minor"/>
      </rPr>
      <t xml:space="preserve">  =  OIG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IMF,t-1</t>
    </r>
  </si>
  <si>
    <r>
      <t>OIG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L,t</t>
    </r>
    <r>
      <rPr>
        <sz val="11"/>
        <color theme="1"/>
        <rFont val="Calibri"/>
        <family val="2"/>
        <scheme val="minor"/>
      </rPr>
      <t xml:space="preserve">  =  OIG</t>
    </r>
    <r>
      <rPr>
        <vertAlign val="superscript"/>
        <sz val="11"/>
        <color indexed="8"/>
        <rFont val="Calibri"/>
        <family val="2"/>
      </rPr>
      <t>GDP</t>
    </r>
    <r>
      <rPr>
        <vertAlign val="subscript"/>
        <sz val="11"/>
        <color indexed="8"/>
        <rFont val="Calibri"/>
        <family val="2"/>
      </rPr>
      <t>L,t</t>
    </r>
    <r>
      <rPr>
        <sz val="11"/>
        <color theme="1"/>
        <rFont val="Calibri"/>
        <family val="2"/>
        <scheme val="minor"/>
      </rPr>
      <t>/100·GDP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,t</t>
    </r>
  </si>
  <si>
    <r>
      <t>OIG</t>
    </r>
    <r>
      <rPr>
        <vertAlign val="superscript"/>
        <sz val="11"/>
        <color indexed="8"/>
        <rFont val="Calibri"/>
        <family val="2"/>
      </rPr>
      <t>GDP</t>
    </r>
    <r>
      <rPr>
        <vertAlign val="subscript"/>
        <sz val="11"/>
        <color indexed="8"/>
        <rFont val="Calibri"/>
        <family val="2"/>
      </rPr>
      <t>L,t</t>
    </r>
    <r>
      <rPr>
        <sz val="11"/>
        <color theme="1"/>
        <rFont val="Calibri"/>
        <family val="2"/>
        <scheme val="minor"/>
      </rPr>
      <t xml:space="preserve">  =  OIG</t>
    </r>
    <r>
      <rPr>
        <vertAlign val="superscript"/>
        <sz val="11"/>
        <color indexed="8"/>
        <rFont val="Calibri"/>
        <family val="2"/>
      </rPr>
      <t>GDP</t>
    </r>
    <r>
      <rPr>
        <vertAlign val="subscript"/>
        <sz val="11"/>
        <color indexed="8"/>
        <rFont val="Calibri"/>
        <family val="2"/>
      </rPr>
      <t>L,t-1</t>
    </r>
    <r>
      <rPr>
        <sz val="11"/>
        <color theme="1"/>
        <rFont val="Calibri"/>
        <family val="2"/>
        <scheme val="minor"/>
      </rPr>
      <t>-0,5</t>
    </r>
  </si>
  <si>
    <r>
      <t>IP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G,t</t>
    </r>
    <r>
      <rPr>
        <sz val="11"/>
        <color theme="1"/>
        <rFont val="Calibri"/>
        <family val="2"/>
        <scheme val="minor"/>
      </rPr>
      <t xml:space="preserve">  =  ((D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G,t-1</t>
    </r>
    <r>
      <rPr>
        <sz val="11"/>
        <color theme="1"/>
        <rFont val="Calibri"/>
        <family val="2"/>
        <scheme val="minor"/>
      </rPr>
      <t>+D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G,t</t>
    </r>
    <r>
      <rPr>
        <sz val="11"/>
        <color theme="1"/>
        <rFont val="Calibri"/>
        <family val="2"/>
        <scheme val="minor"/>
      </rPr>
      <t>)/2)·IR</t>
    </r>
    <r>
      <rPr>
        <vertAlign val="subscript"/>
        <sz val="11"/>
        <color indexed="8"/>
        <rFont val="Calibri"/>
        <family val="2"/>
      </rPr>
      <t>G,t</t>
    </r>
    <r>
      <rPr>
        <sz val="11"/>
        <color theme="1"/>
        <rFont val="Calibri"/>
        <family val="2"/>
        <scheme val="minor"/>
      </rPr>
      <t>/100</t>
    </r>
  </si>
  <si>
    <r>
      <t>IR</t>
    </r>
    <r>
      <rPr>
        <vertAlign val="subscript"/>
        <sz val="11"/>
        <color indexed="8"/>
        <rFont val="Calibri"/>
        <family val="2"/>
      </rPr>
      <t>G,t</t>
    </r>
    <r>
      <rPr>
        <sz val="11"/>
        <color theme="1"/>
        <rFont val="Calibri"/>
        <family val="2"/>
        <scheme val="minor"/>
      </rPr>
      <t xml:space="preserve">  =  IR</t>
    </r>
    <r>
      <rPr>
        <vertAlign val="subscript"/>
        <sz val="11"/>
        <color indexed="8"/>
        <rFont val="Calibri"/>
        <family val="2"/>
      </rPr>
      <t>G,t-1</t>
    </r>
    <r>
      <rPr>
        <sz val="11"/>
        <color theme="1"/>
        <rFont val="Calibri"/>
        <family val="2"/>
        <scheme val="minor"/>
      </rPr>
      <t>+0,1</t>
    </r>
  </si>
  <si>
    <r>
      <t>D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G,t</t>
    </r>
    <r>
      <rPr>
        <sz val="11"/>
        <color theme="1"/>
        <rFont val="Calibri"/>
        <family val="2"/>
        <scheme val="minor"/>
      </rPr>
      <t xml:space="preserve">  =  D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G,t-1</t>
    </r>
    <r>
      <rPr>
        <sz val="11"/>
        <color theme="1"/>
        <rFont val="Calibri"/>
        <family val="2"/>
        <scheme val="minor"/>
      </rPr>
      <t>+OIG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L,t</t>
    </r>
  </si>
  <si>
    <r>
      <t>D</t>
    </r>
    <r>
      <rPr>
        <vertAlign val="superscript"/>
        <sz val="11"/>
        <color indexed="8"/>
        <rFont val="Calibri"/>
        <family val="2"/>
      </rPr>
      <t>GDP</t>
    </r>
    <r>
      <rPr>
        <vertAlign val="subscript"/>
        <sz val="11"/>
        <color indexed="8"/>
        <rFont val="Calibri"/>
        <family val="2"/>
      </rPr>
      <t>G,t</t>
    </r>
    <r>
      <rPr>
        <sz val="11"/>
        <color theme="1"/>
        <rFont val="Calibri"/>
        <family val="2"/>
        <scheme val="minor"/>
      </rPr>
      <t xml:space="preserve">  =  D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G,t</t>
    </r>
    <r>
      <rPr>
        <sz val="11"/>
        <color theme="1"/>
        <rFont val="Calibri"/>
        <family val="2"/>
        <scheme val="minor"/>
      </rPr>
      <t>/GDP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>·100</t>
    </r>
  </si>
  <si>
    <r>
      <t>RP</t>
    </r>
    <r>
      <rPr>
        <vertAlign val="superscript"/>
        <sz val="11"/>
        <color indexed="8"/>
        <rFont val="Calibri"/>
        <family val="2"/>
      </rPr>
      <t>GDP</t>
    </r>
    <r>
      <rPr>
        <vertAlign val="subscript"/>
        <sz val="11"/>
        <color indexed="8"/>
        <rFont val="Calibri"/>
        <family val="2"/>
      </rPr>
      <t>G,t</t>
    </r>
    <r>
      <rPr>
        <sz val="11"/>
        <color theme="1"/>
        <rFont val="Calibri"/>
        <family val="2"/>
        <scheme val="minor"/>
      </rPr>
      <t xml:space="preserve">  =  (IP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G,t</t>
    </r>
    <r>
      <rPr>
        <sz val="11"/>
        <color theme="1"/>
        <rFont val="Calibri"/>
        <family val="2"/>
        <scheme val="minor"/>
      </rPr>
      <t>+RP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G,t</t>
    </r>
    <r>
      <rPr>
        <sz val="11"/>
        <color theme="1"/>
        <rFont val="Calibri"/>
        <family val="2"/>
        <scheme val="minor"/>
      </rPr>
      <t>)/GDP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,t</t>
    </r>
    <r>
      <rPr>
        <sz val="11"/>
        <color theme="1"/>
        <rFont val="Calibri"/>
        <family val="2"/>
        <scheme val="minor"/>
      </rPr>
      <t>·100</t>
    </r>
  </si>
  <si>
    <r>
      <t>D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P,t</t>
    </r>
    <r>
      <rPr>
        <sz val="11"/>
        <color theme="1"/>
        <rFont val="Calibri"/>
        <family val="2"/>
        <scheme val="minor"/>
      </rPr>
      <t xml:space="preserve">  =  D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P,t-1</t>
    </r>
    <r>
      <rPr>
        <sz val="11"/>
        <color theme="1"/>
        <rFont val="Calibri"/>
        <family val="2"/>
        <scheme val="minor"/>
      </rPr>
      <t>+OINF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L,t</t>
    </r>
    <r>
      <rPr>
        <sz val="11"/>
        <color theme="1"/>
        <rFont val="Calibri"/>
        <family val="2"/>
        <scheme val="minor"/>
      </rPr>
      <t>+OIG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L,t</t>
    </r>
  </si>
  <si>
    <r>
      <t>IP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P,t</t>
    </r>
    <r>
      <rPr>
        <sz val="11"/>
        <color theme="1"/>
        <rFont val="Calibri"/>
        <family val="2"/>
        <scheme val="minor"/>
      </rPr>
      <t xml:space="preserve">  =  ((D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P,t-1</t>
    </r>
    <r>
      <rPr>
        <sz val="11"/>
        <color theme="1"/>
        <rFont val="Calibri"/>
        <family val="2"/>
        <scheme val="minor"/>
      </rPr>
      <t>+D</t>
    </r>
    <r>
      <rPr>
        <vertAlign val="superscript"/>
        <sz val="11"/>
        <color indexed="8"/>
        <rFont val="Calibri"/>
        <family val="2"/>
      </rPr>
      <t>US</t>
    </r>
    <r>
      <rPr>
        <vertAlign val="subscript"/>
        <sz val="11"/>
        <color indexed="8"/>
        <rFont val="Calibri"/>
        <family val="2"/>
      </rPr>
      <t>P,t</t>
    </r>
    <r>
      <rPr>
        <sz val="11"/>
        <color theme="1"/>
        <rFont val="Calibri"/>
        <family val="2"/>
        <scheme val="minor"/>
      </rPr>
      <t>)/2)·IR</t>
    </r>
    <r>
      <rPr>
        <vertAlign val="subscript"/>
        <sz val="11"/>
        <color indexed="8"/>
        <rFont val="Calibri"/>
        <family val="2"/>
      </rPr>
      <t>P,t</t>
    </r>
    <r>
      <rPr>
        <sz val="11"/>
        <color theme="1"/>
        <rFont val="Calibri"/>
        <family val="2"/>
        <scheme val="minor"/>
      </rPr>
      <t>/100</t>
    </r>
  </si>
  <si>
    <r>
      <t>IR</t>
    </r>
    <r>
      <rPr>
        <vertAlign val="subscript"/>
        <sz val="11"/>
        <color indexed="8"/>
        <rFont val="Calibri"/>
        <family val="2"/>
      </rPr>
      <t>P,t</t>
    </r>
    <r>
      <rPr>
        <sz val="11"/>
        <color theme="1"/>
        <rFont val="Calibri"/>
        <family val="2"/>
        <scheme val="minor"/>
      </rPr>
      <t xml:space="preserve">  =  IR</t>
    </r>
    <r>
      <rPr>
        <vertAlign val="subscript"/>
        <sz val="11"/>
        <color indexed="8"/>
        <rFont val="Calibri"/>
        <family val="2"/>
      </rPr>
      <t>P,t-1</t>
    </r>
    <r>
      <rPr>
        <sz val="11"/>
        <color theme="1"/>
        <rFont val="Calibri"/>
        <family val="2"/>
        <scheme val="minor"/>
      </rPr>
      <t>+IR</t>
    </r>
    <r>
      <rPr>
        <vertAlign val="subscript"/>
        <sz val="11"/>
        <color indexed="8"/>
        <rFont val="Calibri"/>
        <family val="2"/>
      </rPr>
      <t>P,t-1</t>
    </r>
    <r>
      <rPr>
        <sz val="11"/>
        <color theme="1"/>
        <rFont val="Calibri"/>
        <family val="2"/>
        <scheme val="minor"/>
      </rPr>
      <t>-IR</t>
    </r>
    <r>
      <rPr>
        <vertAlign val="subscript"/>
        <sz val="11"/>
        <color indexed="8"/>
        <rFont val="Calibri"/>
        <family val="2"/>
      </rPr>
      <t>P,t-2</t>
    </r>
  </si>
  <si>
    <r>
      <t>FI</t>
    </r>
    <r>
      <rPr>
        <i/>
        <vertAlign val="superscript"/>
        <sz val="10"/>
        <color rgb="FFED0000"/>
        <rFont val="Calibri"/>
        <family val="2"/>
      </rPr>
      <t>US</t>
    </r>
    <r>
      <rPr>
        <i/>
        <vertAlign val="subscript"/>
        <sz val="10"/>
        <color rgb="FFED0000"/>
        <rFont val="Calibri"/>
        <family val="2"/>
      </rPr>
      <t>Pr,t</t>
    </r>
  </si>
  <si>
    <r>
      <t>EO</t>
    </r>
    <r>
      <rPr>
        <i/>
        <vertAlign val="superscript"/>
        <sz val="10"/>
        <color rgb="FFED0000"/>
        <rFont val="Calibri"/>
        <family val="2"/>
      </rPr>
      <t>GDP</t>
    </r>
    <r>
      <rPr>
        <i/>
        <vertAlign val="subscript"/>
        <sz val="10"/>
        <color rgb="FFED0000"/>
        <rFont val="Calibri"/>
        <family val="2"/>
      </rPr>
      <t>t</t>
    </r>
  </si>
  <si>
    <r>
      <t>OIG</t>
    </r>
    <r>
      <rPr>
        <i/>
        <vertAlign val="superscript"/>
        <sz val="10"/>
        <color rgb="FFED0000"/>
        <rFont val="Calibri"/>
        <family val="2"/>
      </rPr>
      <t>GDP</t>
    </r>
    <r>
      <rPr>
        <i/>
        <vertAlign val="subscript"/>
        <sz val="10"/>
        <color rgb="FFED0000"/>
        <rFont val="Calibri"/>
        <family val="2"/>
      </rPr>
      <t>L,t</t>
    </r>
  </si>
  <si>
    <t>Базовый сценарий развития</t>
  </si>
  <si>
    <t>Сельское хозяйство, млн. сомони</t>
  </si>
  <si>
    <t>Темп роста к предыдущему году в %</t>
  </si>
  <si>
    <t>Растениеводство</t>
  </si>
  <si>
    <t>Животноводство</t>
  </si>
  <si>
    <t>Промышленность, млн. сомони</t>
  </si>
  <si>
    <t>Инвестиции в основной капитал, млн. сомони</t>
  </si>
  <si>
    <t>Внутренная торговля, млн. сомони</t>
  </si>
  <si>
    <t xml:space="preserve">Инфляция, % </t>
  </si>
  <si>
    <t>Внешнеторговый оборот</t>
  </si>
  <si>
    <t>Экспорт товаров, млн. долл. США</t>
  </si>
  <si>
    <t>Импорт товаров, млн.долл. США</t>
  </si>
  <si>
    <t>Курс доллара к сомони</t>
  </si>
  <si>
    <t>Средняя цена нефти</t>
  </si>
  <si>
    <t>Курс доллара к рос. Рублю</t>
  </si>
  <si>
    <t>Денежные переводы, млн. долл. США</t>
  </si>
  <si>
    <t>Денежные переводы, %</t>
  </si>
  <si>
    <t>Денежные переводы % к ВВП</t>
  </si>
  <si>
    <t xml:space="preserve"> экспорт товаров иэкспорт услуг</t>
  </si>
  <si>
    <t xml:space="preserve"> импорт товаров и импорт услуг</t>
  </si>
  <si>
    <t>Т/Р</t>
  </si>
  <si>
    <t>Секция Е (36-39)</t>
  </si>
  <si>
    <t>Водоснабжение, очистка, обработка отходов и получение вторичного сырья</t>
  </si>
  <si>
    <t>1.01.04. Налог с продаж</t>
  </si>
  <si>
    <r>
      <rPr>
        <sz val="14"/>
        <color theme="8" tint="-0.249977111117893"/>
        <rFont val="Times New Roman"/>
        <family val="1"/>
        <charset val="204"/>
      </rPr>
      <t>Налог на материалы для переработки алюминия</t>
    </r>
    <r>
      <rPr>
        <sz val="14"/>
        <color indexed="8"/>
        <rFont val="Times New Roman"/>
        <family val="1"/>
        <charset val="204"/>
      </rPr>
      <t xml:space="preserve"> (Хлопок и алюминий 1.01.04.03.)</t>
    </r>
  </si>
  <si>
    <r>
      <t xml:space="preserve">1.01.04.02. </t>
    </r>
    <r>
      <rPr>
        <sz val="14"/>
        <color theme="8" tint="-0.249977111117893"/>
        <rFont val="Times New Roman"/>
        <family val="1"/>
        <charset val="204"/>
      </rPr>
      <t>Налог с продаж первичного алюминия</t>
    </r>
  </si>
  <si>
    <t>1.01.06.  Специальные системы налогообложения</t>
  </si>
  <si>
    <t>Налоговое поступление</t>
  </si>
  <si>
    <t xml:space="preserve">январь - декабрь 2024           </t>
  </si>
  <si>
    <t>Субсидии на продукты</t>
  </si>
  <si>
    <t>Перевозка грузов, млн.тонна</t>
  </si>
  <si>
    <t xml:space="preserve"> - в т.ч. авто, млн.тонна</t>
  </si>
  <si>
    <r>
      <t>1.01.09. Прочие внешние налоги по торговле и транзакциям 1.01.09.01.</t>
    </r>
    <r>
      <rPr>
        <sz val="14"/>
        <color theme="8" tint="-0.249977111117893"/>
        <rFont val="Times New Roman"/>
        <family val="1"/>
        <charset val="204"/>
      </rPr>
      <t>Таможенные пошлины, Пошлина на экспорт хлопока (1.01.09.03)</t>
    </r>
  </si>
  <si>
    <t>Industry</t>
  </si>
  <si>
    <t>Mining (XP_mi)</t>
  </si>
  <si>
    <t>Manufacturing (XP_m)</t>
  </si>
  <si>
    <t>Energy and Water (XP_e)</t>
  </si>
  <si>
    <t>Energy</t>
  </si>
  <si>
    <t xml:space="preserve"> Water</t>
  </si>
  <si>
    <t>х</t>
  </si>
  <si>
    <t>-</t>
  </si>
  <si>
    <t>* по внутреннему потреблению есть ограничение по мощности</t>
  </si>
  <si>
    <t xml:space="preserve">Nat. Accounts </t>
  </si>
  <si>
    <t>NBT</t>
  </si>
  <si>
    <t>расчет/calc</t>
  </si>
  <si>
    <t>Курс доллара, сомони за 1 доллар</t>
  </si>
  <si>
    <t>ВНД (Валовой Национальный доход) в рыночных ценах, млн. сомони</t>
  </si>
  <si>
    <t>Потребление основного капитала-амортизация</t>
  </si>
  <si>
    <t>Валовой располагаемый доход</t>
  </si>
  <si>
    <t>Валовой региональный продукт (в текущих ценах - млн. сомони)</t>
  </si>
  <si>
    <t>г.Душанбе</t>
  </si>
  <si>
    <t>Производство товаров</t>
  </si>
  <si>
    <t>Производство услуг</t>
  </si>
  <si>
    <t>Налоги на продукты</t>
  </si>
  <si>
    <t>Согдийская область</t>
  </si>
  <si>
    <t>Хатлонская область</t>
  </si>
  <si>
    <t>ГБАО</t>
  </si>
  <si>
    <t>РРП</t>
  </si>
  <si>
    <t>Трудовые ресурсы - всего -в среднем за год, тыс. человек</t>
  </si>
  <si>
    <t>Рабочая сила</t>
  </si>
  <si>
    <t>занятое население</t>
  </si>
  <si>
    <t xml:space="preserve">официально признанные безработные </t>
  </si>
  <si>
    <t xml:space="preserve">Недоиспользование рабочей силы в экономике </t>
  </si>
  <si>
    <t>в том числе учащиеся</t>
  </si>
  <si>
    <t>Уровень безрабо-тицы (число офи циально приз-нанных безрабо-тных в % к эко-номически активному населению)</t>
  </si>
  <si>
    <t>Среднегодовая  численность 
населения ,
тысяч человек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</si>
</sst>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0.0"/>
    <numFmt numFmtId="165" formatCode="#,##0.0"/>
    <numFmt numFmtId="166" formatCode="0.000"/>
    <numFmt numFmtId="167" formatCode="0.0%"/>
    <numFmt numFmtId="168" formatCode="_-* #,##0.0_-;\-* #,##0.0_-;_-* &quot;-&quot;??_-;_-@_-"/>
    <numFmt numFmtId="169" formatCode="0.0000"/>
    <numFmt numFmtId="170" formatCode="_-* #,##0.00_р_._-;\-* #,##0.00_р_._-;_-* &quot;-&quot;??_р_._-;_-@_-"/>
    <numFmt numFmtId="171" formatCode="#,##0.000"/>
    <numFmt numFmtId="172" formatCode="#,##0.0000"/>
  </numFmts>
  <fonts count="243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b/>
      <i/>
      <sz val="10"/>
      <color indexed="8"/>
      <name val="Calibri"/>
      <family val="2"/>
      <charset val="204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indexed="8"/>
      <name val="Calibri"/>
      <family val="2"/>
    </font>
    <font>
      <i/>
      <vertAlign val="subscript"/>
      <sz val="10"/>
      <color indexed="8"/>
      <name val="Calibri"/>
      <family val="2"/>
    </font>
    <font>
      <b/>
      <i/>
      <sz val="10"/>
      <color indexed="8"/>
      <name val="Calibri"/>
      <family val="2"/>
      <charset val="204"/>
    </font>
    <font>
      <b/>
      <i/>
      <vertAlign val="subscript"/>
      <sz val="10"/>
      <color indexed="8"/>
      <name val="Calibri"/>
      <family val="2"/>
      <charset val="204"/>
    </font>
    <font>
      <b/>
      <sz val="10"/>
      <color theme="1"/>
      <name val="Calibri"/>
      <family val="2"/>
      <charset val="204"/>
      <scheme val="minor"/>
    </font>
    <font>
      <i/>
      <vertAlign val="superscript"/>
      <sz val="10"/>
      <color indexed="8"/>
      <name val="Calibri"/>
      <family val="2"/>
    </font>
    <font>
      <sz val="10"/>
      <color theme="0"/>
      <name val="Calibri"/>
      <family val="2"/>
      <scheme val="minor"/>
    </font>
    <font>
      <vertAlign val="subscript"/>
      <sz val="10"/>
      <color indexed="8"/>
      <name val="Calibri"/>
      <family val="2"/>
    </font>
    <font>
      <i/>
      <sz val="10"/>
      <color theme="1"/>
      <name val="Calibri"/>
      <family val="2"/>
      <scheme val="minor"/>
    </font>
    <font>
      <i/>
      <vertAlign val="subscript"/>
      <sz val="10"/>
      <color indexed="8"/>
      <name val="Calibri"/>
      <family val="2"/>
      <charset val="204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</font>
    <font>
      <i/>
      <vertAlign val="superscript"/>
      <sz val="10"/>
      <color indexed="8"/>
      <name val="Calibri"/>
      <family val="2"/>
      <charset val="204"/>
    </font>
    <font>
      <i/>
      <sz val="10"/>
      <name val="Calibri"/>
      <family val="2"/>
      <scheme val="minor"/>
    </font>
    <font>
      <i/>
      <sz val="10"/>
      <color indexed="8"/>
      <name val="Calibri"/>
      <family val="2"/>
      <charset val="204"/>
    </font>
    <font>
      <i/>
      <vertAlign val="subscript"/>
      <sz val="10"/>
      <name val="Calibri"/>
      <family val="2"/>
    </font>
    <font>
      <sz val="10"/>
      <name val="Calibri"/>
      <family val="2"/>
      <charset val="204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i/>
      <sz val="10"/>
      <color indexed="8"/>
      <name val="Calibri"/>
      <family val="2"/>
      <charset val="204"/>
      <scheme val="minor"/>
    </font>
    <font>
      <sz val="10"/>
      <color indexed="8"/>
      <name val="Calibri"/>
      <family val="2"/>
      <charset val="204"/>
      <scheme val="minor"/>
    </font>
    <font>
      <i/>
      <sz val="10"/>
      <color theme="0"/>
      <name val="Calibri"/>
      <family val="2"/>
      <charset val="204"/>
      <scheme val="minor"/>
    </font>
    <font>
      <sz val="10"/>
      <color theme="0"/>
      <name val="Calibri"/>
      <family val="2"/>
      <charset val="204"/>
      <scheme val="minor"/>
    </font>
    <font>
      <vertAlign val="superscript"/>
      <sz val="10"/>
      <color indexed="8"/>
      <name val="Calibri"/>
      <family val="2"/>
      <charset val="204"/>
    </font>
    <font>
      <vertAlign val="subscript"/>
      <sz val="10"/>
      <color indexed="8"/>
      <name val="Calibri"/>
      <family val="2"/>
      <charset val="204"/>
    </font>
    <font>
      <i/>
      <sz val="10"/>
      <name val="Calibri"/>
      <family val="2"/>
      <charset val="204"/>
      <scheme val="minor"/>
    </font>
    <font>
      <i/>
      <vertAlign val="subscript"/>
      <sz val="10"/>
      <color indexed="9"/>
      <name val="Calibri"/>
      <family val="2"/>
      <charset val="204"/>
    </font>
    <font>
      <b/>
      <sz val="10"/>
      <color theme="0"/>
      <name val="Calibri"/>
      <family val="2"/>
      <charset val="204"/>
      <scheme val="minor"/>
    </font>
    <font>
      <sz val="10"/>
      <name val="Times New Roman"/>
      <family val="1"/>
    </font>
    <font>
      <sz val="11"/>
      <color rgb="FFFF0000"/>
      <name val="Calibri"/>
      <family val="2"/>
      <scheme val="minor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9"/>
      <color indexed="81"/>
      <name val="Tahoma"/>
      <family val="2"/>
      <charset val="204"/>
    </font>
    <font>
      <b/>
      <sz val="10"/>
      <color rgb="FF0070C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i/>
      <sz val="10"/>
      <color theme="1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10"/>
      <color rgb="FF00B050"/>
      <name val="Calibri"/>
      <family val="2"/>
      <charset val="204"/>
      <scheme val="minor"/>
    </font>
    <font>
      <sz val="11"/>
      <color rgb="FF00B050"/>
      <name val="Times New Roman"/>
      <family val="1"/>
      <charset val="204"/>
    </font>
    <font>
      <sz val="11"/>
      <name val="Calibri"/>
      <family val="2"/>
      <scheme val="minor"/>
    </font>
    <font>
      <sz val="10"/>
      <color rgb="FF00B050"/>
      <name val="Calibri"/>
      <family val="2"/>
      <scheme val="minor"/>
    </font>
    <font>
      <b/>
      <sz val="10"/>
      <color rgb="FF00B050"/>
      <name val="Calibri"/>
      <family val="2"/>
      <charset val="204"/>
      <scheme val="minor"/>
    </font>
    <font>
      <sz val="10"/>
      <color rgb="FFED0000"/>
      <name val="Calibri"/>
      <family val="2"/>
      <scheme val="minor"/>
    </font>
    <font>
      <sz val="11"/>
      <color rgb="FFED0000"/>
      <name val="Calibri"/>
      <family val="2"/>
      <scheme val="minor"/>
    </font>
    <font>
      <b/>
      <i/>
      <sz val="14"/>
      <color theme="0"/>
      <name val="Calibri"/>
      <family val="2"/>
      <charset val="204"/>
    </font>
    <font>
      <i/>
      <sz val="11"/>
      <color indexed="8"/>
      <name val="Calibri"/>
      <family val="2"/>
    </font>
    <font>
      <i/>
      <vertAlign val="superscript"/>
      <sz val="11"/>
      <color indexed="8"/>
      <name val="Calibri"/>
      <family val="2"/>
      <charset val="204"/>
    </font>
    <font>
      <i/>
      <vertAlign val="subscript"/>
      <sz val="11"/>
      <color indexed="8"/>
      <name val="Calibri"/>
      <family val="2"/>
    </font>
    <font>
      <b/>
      <sz val="12"/>
      <color indexed="8"/>
      <name val="Calibri"/>
      <family val="2"/>
      <charset val="204"/>
    </font>
    <font>
      <sz val="12"/>
      <color indexed="8"/>
      <name val="Calibri"/>
      <family val="2"/>
    </font>
    <font>
      <i/>
      <sz val="12"/>
      <color indexed="8"/>
      <name val="Calibri"/>
      <family val="2"/>
      <charset val="204"/>
    </font>
    <font>
      <sz val="11"/>
      <color rgb="FF00B050"/>
      <name val="Calibri"/>
      <family val="2"/>
      <scheme val="minor"/>
    </font>
    <font>
      <sz val="11"/>
      <color rgb="FF00B050"/>
      <name val="Calibri"/>
      <family val="2"/>
      <charset val="204"/>
      <scheme val="minor"/>
    </font>
    <font>
      <b/>
      <sz val="11"/>
      <color rgb="FF00B050"/>
      <name val="Calibri"/>
      <family val="2"/>
      <scheme val="minor"/>
    </font>
    <font>
      <b/>
      <sz val="11"/>
      <color rgb="FF00B050"/>
      <name val="Calibri"/>
      <family val="2"/>
      <charset val="204"/>
      <scheme val="minor"/>
    </font>
    <font>
      <sz val="10"/>
      <color indexed="8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color indexed="8"/>
      <name val="Calibri"/>
      <family val="2"/>
    </font>
    <font>
      <i/>
      <sz val="10"/>
      <color theme="1"/>
      <name val="Calibri"/>
      <family val="2"/>
    </font>
    <font>
      <sz val="10"/>
      <color rgb="FFFF0000"/>
      <name val="Calibri"/>
      <family val="2"/>
    </font>
    <font>
      <b/>
      <i/>
      <sz val="10"/>
      <color indexed="8"/>
      <name val="Calibri"/>
      <family val="2"/>
    </font>
    <font>
      <b/>
      <sz val="10"/>
      <color theme="1"/>
      <name val="Calibri"/>
      <family val="2"/>
    </font>
    <font>
      <sz val="10"/>
      <color theme="0"/>
      <name val="Calibri"/>
      <family val="2"/>
    </font>
    <font>
      <sz val="10"/>
      <color rgb="FF00B050"/>
      <name val="Calibri"/>
      <family val="2"/>
    </font>
    <font>
      <sz val="11"/>
      <color theme="8"/>
      <name val="Calibri"/>
      <family val="2"/>
      <scheme val="minor"/>
    </font>
    <font>
      <sz val="10"/>
      <color rgb="FF0070C0"/>
      <name val="Calibri"/>
      <family val="2"/>
      <scheme val="minor"/>
    </font>
    <font>
      <b/>
      <i/>
      <sz val="10"/>
      <color rgb="FF00B050"/>
      <name val="Calibri"/>
      <family val="2"/>
      <scheme val="minor"/>
    </font>
    <font>
      <b/>
      <i/>
      <sz val="10"/>
      <color rgb="FF0070C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i/>
      <sz val="10"/>
      <color rgb="FF00B050"/>
      <name val="Calibri"/>
      <family val="2"/>
    </font>
    <font>
      <sz val="10"/>
      <color theme="3"/>
      <name val="Calibri"/>
      <family val="2"/>
    </font>
    <font>
      <sz val="10"/>
      <color rgb="FF0070C0"/>
      <name val="Calibri"/>
      <family val="2"/>
      <charset val="204"/>
      <scheme val="minor"/>
    </font>
    <font>
      <vertAlign val="subscript"/>
      <sz val="11"/>
      <color indexed="8"/>
      <name val="Calibri"/>
      <family val="2"/>
    </font>
    <font>
      <vertAlign val="superscript"/>
      <sz val="11"/>
      <color indexed="8"/>
      <name val="Calibri"/>
      <family val="2"/>
    </font>
    <font>
      <vertAlign val="superscript"/>
      <sz val="11"/>
      <color indexed="8"/>
      <name val="Calibri"/>
      <family val="2"/>
      <charset val="204"/>
    </font>
    <font>
      <vertAlign val="subscript"/>
      <sz val="11"/>
      <color indexed="8"/>
      <name val="Calibri"/>
      <family val="2"/>
      <charset val="204"/>
    </font>
    <font>
      <sz val="12"/>
      <color theme="1"/>
      <name val="Calibri"/>
      <family val="2"/>
      <scheme val="minor"/>
    </font>
    <font>
      <sz val="10"/>
      <color rgb="FF0070C0"/>
      <name val="Calibri"/>
      <family val="2"/>
    </font>
    <font>
      <b/>
      <i/>
      <sz val="10"/>
      <color rgb="FF0070C0"/>
      <name val="Calibri"/>
      <family val="2"/>
    </font>
    <font>
      <b/>
      <i/>
      <sz val="10"/>
      <color rgb="FFFF0000"/>
      <name val="Calibri"/>
      <family val="2"/>
    </font>
    <font>
      <i/>
      <sz val="10"/>
      <color rgb="FF00B050"/>
      <name val="Calibri"/>
      <family val="2"/>
    </font>
    <font>
      <i/>
      <sz val="10"/>
      <color rgb="FFED0000"/>
      <name val="Calibri"/>
      <family val="2"/>
    </font>
    <font>
      <i/>
      <sz val="10"/>
      <color rgb="FFED0000"/>
      <name val="Calibri"/>
      <family val="2"/>
      <scheme val="minor"/>
    </font>
    <font>
      <b/>
      <i/>
      <sz val="1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rgb="FF0070C0"/>
      <name val="Calibri"/>
      <family val="2"/>
      <scheme val="minor"/>
    </font>
    <font>
      <sz val="10"/>
      <color rgb="FFE40000"/>
      <name val="Calibri"/>
      <family val="2"/>
      <scheme val="minor"/>
    </font>
    <font>
      <sz val="10"/>
      <color theme="3" tint="0.39997558519241921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rgb="FFC00000"/>
      <name val="Calibri"/>
      <family val="2"/>
      <scheme val="minor"/>
    </font>
    <font>
      <b/>
      <i/>
      <sz val="10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4" tint="-0.249977111117893"/>
      <name val="Calibri"/>
      <family val="2"/>
      <charset val="204"/>
      <scheme val="minor"/>
    </font>
    <font>
      <b/>
      <sz val="10"/>
      <color rgb="FFFF0000"/>
      <name val="Calibri"/>
      <family val="2"/>
      <charset val="204"/>
      <scheme val="minor"/>
    </font>
    <font>
      <sz val="10"/>
      <color theme="4" tint="-0.249977111117893"/>
      <name val="Calibri"/>
      <family val="2"/>
      <scheme val="minor"/>
    </font>
    <font>
      <b/>
      <sz val="10"/>
      <color rgb="FF0070C0"/>
      <name val="Calibri"/>
      <family val="2"/>
      <charset val="204"/>
      <scheme val="minor"/>
    </font>
    <font>
      <sz val="10"/>
      <color theme="4"/>
      <name val="Calibri"/>
      <family val="2"/>
      <scheme val="minor"/>
    </font>
    <font>
      <b/>
      <sz val="10"/>
      <name val="Calibri"/>
      <family val="2"/>
      <charset val="204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charset val="204"/>
      <scheme val="minor"/>
    </font>
    <font>
      <sz val="10"/>
      <color theme="3"/>
      <name val="Calibri"/>
      <family val="2"/>
      <charset val="204"/>
      <scheme val="minor"/>
    </font>
    <font>
      <b/>
      <sz val="14"/>
      <name val="Arial"/>
      <family val="2"/>
    </font>
    <font>
      <b/>
      <sz val="12"/>
      <name val="Arial"/>
      <family val="2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i/>
      <sz val="14"/>
      <color indexed="8"/>
      <name val="Times New Roman"/>
      <family val="1"/>
      <charset val="204"/>
    </font>
    <font>
      <sz val="14"/>
      <color indexed="8"/>
      <name val="Times New Roman"/>
      <family val="1"/>
      <charset val="204"/>
    </font>
    <font>
      <sz val="10"/>
      <name val="Arial Cy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9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i/>
      <sz val="9"/>
      <color rgb="FF000000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i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scheme val="minor"/>
    </font>
    <font>
      <sz val="10"/>
      <color theme="8"/>
      <name val="Calibri"/>
      <family val="2"/>
      <charset val="204"/>
      <scheme val="minor"/>
    </font>
    <font>
      <sz val="10"/>
      <color rgb="FF00B0F0"/>
      <name val="Calibri"/>
      <family val="2"/>
      <charset val="204"/>
      <scheme val="minor"/>
    </font>
    <font>
      <i/>
      <sz val="10"/>
      <color rgb="FF00B050"/>
      <name val="Calibri"/>
      <family val="2"/>
      <scheme val="minor"/>
    </font>
    <font>
      <b/>
      <i/>
      <sz val="10"/>
      <color rgb="FF00B050"/>
      <name val="Calibri"/>
      <family val="2"/>
      <charset val="204"/>
      <scheme val="minor"/>
    </font>
    <font>
      <sz val="12"/>
      <color rgb="FF00B050"/>
      <name val="Calibri"/>
      <family val="2"/>
    </font>
    <font>
      <b/>
      <sz val="12"/>
      <color rgb="FF00B050"/>
      <name val="Calibri"/>
      <family val="2"/>
      <charset val="204"/>
    </font>
    <font>
      <b/>
      <sz val="12"/>
      <color rgb="FF0070C0"/>
      <name val="Calibri"/>
      <family val="2"/>
      <charset val="204"/>
    </font>
    <font>
      <sz val="11"/>
      <color rgb="FF0070C0"/>
      <name val="Calibri"/>
      <family val="2"/>
      <charset val="204"/>
      <scheme val="minor"/>
    </font>
    <font>
      <sz val="12"/>
      <color rgb="FF0070C0"/>
      <name val="Calibri"/>
      <family val="2"/>
      <charset val="204"/>
    </font>
    <font>
      <i/>
      <sz val="11"/>
      <color rgb="FFFF0000"/>
      <name val="Calibri"/>
      <family val="2"/>
    </font>
    <font>
      <i/>
      <vertAlign val="subscript"/>
      <sz val="11"/>
      <color rgb="FFFF0000"/>
      <name val="Calibri"/>
      <family val="2"/>
    </font>
    <font>
      <i/>
      <sz val="11"/>
      <color rgb="FFED0000"/>
      <name val="Calibri"/>
      <family val="2"/>
    </font>
    <font>
      <i/>
      <vertAlign val="superscript"/>
      <sz val="11"/>
      <color rgb="FFED0000"/>
      <name val="Calibri"/>
      <family val="2"/>
    </font>
    <font>
      <i/>
      <vertAlign val="subscript"/>
      <sz val="11"/>
      <color rgb="FFED0000"/>
      <name val="Calibri"/>
      <family val="2"/>
    </font>
    <font>
      <sz val="11"/>
      <color rgb="FFED0000"/>
      <name val="Calibri"/>
      <family val="2"/>
      <charset val="204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ED0000"/>
      <name val="Calibri"/>
      <family val="2"/>
      <scheme val="minor"/>
    </font>
    <font>
      <b/>
      <i/>
      <sz val="11"/>
      <color rgb="FF0070C0"/>
      <name val="Calibri"/>
      <family val="2"/>
      <charset val="204"/>
      <scheme val="minor"/>
    </font>
    <font>
      <b/>
      <i/>
      <sz val="11"/>
      <color rgb="FF00B050"/>
      <name val="Calibri"/>
      <family val="2"/>
      <scheme val="minor"/>
    </font>
    <font>
      <i/>
      <vertAlign val="superscript"/>
      <sz val="10"/>
      <color rgb="FFED0000"/>
      <name val="Calibri"/>
      <family val="2"/>
    </font>
    <font>
      <i/>
      <vertAlign val="subscript"/>
      <sz val="10"/>
      <color rgb="FFED0000"/>
      <name val="Calibri"/>
      <family val="2"/>
    </font>
    <font>
      <b/>
      <i/>
      <sz val="12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4"/>
      <color rgb="FF0070C0"/>
      <name val="Calibri"/>
      <family val="2"/>
      <charset val="204"/>
      <scheme val="minor"/>
    </font>
    <font>
      <b/>
      <sz val="14"/>
      <color rgb="FFED0000"/>
      <name val="Calibri"/>
      <family val="2"/>
      <charset val="204"/>
      <scheme val="minor"/>
    </font>
    <font>
      <b/>
      <sz val="14"/>
      <color rgb="FF00B050"/>
      <name val="Calibri"/>
      <family val="2"/>
      <charset val="204"/>
      <scheme val="minor"/>
    </font>
    <font>
      <b/>
      <i/>
      <sz val="14"/>
      <color rgb="FF00B050"/>
      <name val="Calibri"/>
      <family val="2"/>
      <charset val="204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charset val="204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sz val="10"/>
      <color rgb="FF00B050"/>
      <name val="Calibri"/>
      <family val="2"/>
    </font>
    <font>
      <sz val="10"/>
      <color rgb="FF7030A0"/>
      <name val="Calibri"/>
      <family val="2"/>
      <charset val="204"/>
      <scheme val="minor"/>
    </font>
    <font>
      <sz val="10"/>
      <color theme="8"/>
      <name val="Calibri"/>
      <family val="2"/>
      <scheme val="minor"/>
    </font>
    <font>
      <b/>
      <sz val="10"/>
      <color theme="8"/>
      <name val="Calibri"/>
      <family val="2"/>
      <charset val="204"/>
      <scheme val="minor"/>
    </font>
    <font>
      <b/>
      <sz val="10"/>
      <color theme="8"/>
      <name val="Calibri"/>
      <family val="2"/>
      <scheme val="minor"/>
    </font>
    <font>
      <b/>
      <sz val="11"/>
      <color theme="8"/>
      <name val="Calibri"/>
      <family val="2"/>
      <charset val="204"/>
      <scheme val="minor"/>
    </font>
    <font>
      <sz val="8"/>
      <name val="Academy"/>
    </font>
    <font>
      <b/>
      <u/>
      <sz val="8"/>
      <name val="Arial"/>
      <family val="2"/>
      <charset val="204"/>
    </font>
    <font>
      <b/>
      <i/>
      <sz val="11"/>
      <color theme="8"/>
      <name val="Calibri"/>
      <family val="2"/>
      <scheme val="minor"/>
    </font>
    <font>
      <i/>
      <sz val="10"/>
      <color theme="8" tint="-0.249977111117893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sz val="10"/>
      <color theme="8" tint="-0.249977111117893"/>
      <name val="Calibri"/>
      <family val="2"/>
      <charset val="204"/>
      <scheme val="minor"/>
    </font>
    <font>
      <sz val="10"/>
      <color theme="8" tint="-0.249977111117893"/>
      <name val="Calibri"/>
      <family val="2"/>
      <scheme val="minor"/>
    </font>
    <font>
      <sz val="10"/>
      <color theme="8" tint="-0.249977111117893"/>
      <name val="Calibri"/>
      <family val="2"/>
      <charset val="204"/>
      <scheme val="minor"/>
    </font>
    <font>
      <sz val="14"/>
      <color theme="8" tint="-0.249977111117893"/>
      <name val="Times New Roman"/>
      <family val="1"/>
      <charset val="204"/>
    </font>
    <font>
      <b/>
      <sz val="14"/>
      <color theme="8" tint="-0.249977111117893"/>
      <name val="Calibri"/>
      <family val="2"/>
      <charset val="204"/>
      <scheme val="minor"/>
    </font>
    <font>
      <b/>
      <sz val="14"/>
      <color theme="8" tint="-0.249977111117893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color theme="4" tint="-0.249977111117893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  <font>
      <b/>
      <i/>
      <sz val="12"/>
      <color rgb="FFED0000"/>
      <name val="Calibri"/>
      <family val="2"/>
      <scheme val="minor"/>
    </font>
    <font>
      <b/>
      <i/>
      <sz val="11"/>
      <color rgb="FFED0000"/>
      <name val="Calibri"/>
      <family val="2"/>
      <charset val="204"/>
      <scheme val="minor"/>
    </font>
    <font>
      <sz val="11"/>
      <color rgb="FFD20000"/>
      <name val="Calibri"/>
      <family val="2"/>
      <scheme val="minor"/>
    </font>
    <font>
      <sz val="10"/>
      <color theme="4" tint="-0.249977111117893"/>
      <name val="Calibri"/>
      <family val="2"/>
    </font>
    <font>
      <sz val="10"/>
      <color theme="4" tint="-0.249977111117893"/>
      <name val="Calibri"/>
      <family val="2"/>
      <charset val="204"/>
      <scheme val="minor"/>
    </font>
    <font>
      <b/>
      <sz val="11"/>
      <color theme="4" tint="-0.249977111117893"/>
      <name val="Calibri"/>
      <family val="2"/>
      <charset val="204"/>
      <scheme val="minor"/>
    </font>
    <font>
      <sz val="11"/>
      <color theme="4" tint="-0.249977111117893"/>
      <name val="Calibri"/>
      <family val="2"/>
      <charset val="204"/>
      <scheme val="minor"/>
    </font>
    <font>
      <sz val="11"/>
      <color rgb="FF692798"/>
      <name val="Calibri"/>
      <family val="2"/>
      <scheme val="minor"/>
    </font>
    <font>
      <b/>
      <i/>
      <sz val="10"/>
      <color theme="4" tint="-0.249977111117893"/>
      <name val="Calibri"/>
      <family val="2"/>
      <scheme val="minor"/>
    </font>
    <font>
      <i/>
      <sz val="10"/>
      <color theme="4" tint="-0.249977111117893"/>
      <name val="Calibri"/>
      <family val="2"/>
    </font>
    <font>
      <sz val="11"/>
      <color rgb="FFAB0000"/>
      <name val="Calibri"/>
      <family val="2"/>
      <scheme val="minor"/>
    </font>
    <font>
      <sz val="8"/>
      <name val="NTHarmonica"/>
      <charset val="204"/>
    </font>
    <font>
      <sz val="1"/>
      <color indexed="8"/>
      <name val="Courier"/>
      <family val="1"/>
      <charset val="204"/>
    </font>
    <font>
      <b/>
      <sz val="1"/>
      <color indexed="8"/>
      <name val="Courier"/>
      <family val="1"/>
      <charset val="204"/>
    </font>
    <font>
      <i/>
      <sz val="1"/>
      <color indexed="8"/>
      <name val="Courier"/>
      <family val="1"/>
      <charset val="204"/>
    </font>
    <font>
      <u/>
      <sz val="11"/>
      <color theme="10"/>
      <name val="Calibri"/>
      <family val="2"/>
    </font>
    <font>
      <i/>
      <sz val="10"/>
      <color rgb="FFFF0000"/>
      <name val="Calibri"/>
      <family val="2"/>
    </font>
    <font>
      <sz val="10"/>
      <name val="Helv"/>
    </font>
    <font>
      <i/>
      <sz val="10"/>
      <color theme="3" tint="0.39997558519241921"/>
      <name val="Calibri"/>
      <family val="2"/>
    </font>
    <font>
      <b/>
      <sz val="10"/>
      <name val="Calibri"/>
      <family val="2"/>
    </font>
    <font>
      <sz val="10"/>
      <name val="Arial"/>
      <family val="2"/>
      <charset val="204"/>
    </font>
    <font>
      <sz val="11"/>
      <color indexed="8"/>
      <name val="Calibri"/>
      <family val="2"/>
    </font>
    <font>
      <sz val="12"/>
      <color rgb="FFFF0000"/>
      <name val="Calibri"/>
      <family val="2"/>
    </font>
    <font>
      <sz val="10"/>
      <color indexed="63"/>
      <name val="Calibri"/>
      <family val="2"/>
      <charset val="204"/>
      <scheme val="minor"/>
    </font>
    <font>
      <sz val="12"/>
      <color rgb="FF00B050"/>
      <name val="Calibri"/>
      <family val="2"/>
      <charset val="204"/>
    </font>
    <font>
      <b/>
      <i/>
      <sz val="10"/>
      <color rgb="FFFF0000"/>
      <name val="Calibri"/>
      <family val="2"/>
      <charset val="204"/>
      <scheme val="minor"/>
    </font>
    <font>
      <sz val="10"/>
      <color rgb="FF00B050"/>
      <name val="BundesSerif Office"/>
      <family val="1"/>
    </font>
    <font>
      <i/>
      <sz val="9"/>
      <color rgb="FF00B050"/>
      <name val="Calibri"/>
      <family val="2"/>
      <charset val="204"/>
      <scheme val="minor"/>
    </font>
    <font>
      <b/>
      <i/>
      <sz val="11"/>
      <color rgb="FF00B050"/>
      <name val="Calibri"/>
      <family val="2"/>
      <charset val="204"/>
      <scheme val="minor"/>
    </font>
    <font>
      <sz val="10"/>
      <color rgb="FF00B050"/>
      <name val="Times New Roman"/>
      <family val="1"/>
    </font>
    <font>
      <b/>
      <i/>
      <sz val="9"/>
      <color rgb="FF00B050"/>
      <name val="Calibri"/>
      <family val="2"/>
      <charset val="204"/>
      <scheme val="minor"/>
    </font>
    <font>
      <b/>
      <sz val="10"/>
      <color rgb="FF00B0F0"/>
      <name val="Calibri"/>
      <family val="2"/>
      <charset val="204"/>
      <scheme val="minor"/>
    </font>
    <font>
      <i/>
      <sz val="11"/>
      <color rgb="FF00B050"/>
      <name val="Calibri"/>
      <family val="2"/>
      <charset val="204"/>
      <scheme val="minor"/>
    </font>
    <font>
      <b/>
      <i/>
      <sz val="9"/>
      <color theme="1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2"/>
      <color rgb="FF00B050"/>
      <name val="Calibri"/>
      <family val="2"/>
    </font>
    <font>
      <sz val="10"/>
      <color rgb="FF00B0F0"/>
      <name val="Calibri"/>
      <family val="2"/>
      <scheme val="minor"/>
    </font>
    <font>
      <b/>
      <i/>
      <sz val="10"/>
      <color rgb="FF0070C0"/>
      <name val="Calibri"/>
      <family val="2"/>
      <charset val="204"/>
      <scheme val="minor"/>
    </font>
    <font>
      <b/>
      <sz val="11"/>
      <color rgb="FF0070C0"/>
      <name val="Calibri"/>
      <family val="2"/>
      <charset val="204"/>
      <scheme val="minor"/>
    </font>
    <font>
      <b/>
      <i/>
      <sz val="9"/>
      <color rgb="FF00B050"/>
      <name val="Calibri"/>
      <family val="2"/>
      <scheme val="minor"/>
    </font>
    <font>
      <i/>
      <sz val="10"/>
      <color rgb="FF00B050"/>
      <name val="Calibri"/>
      <family val="2"/>
      <charset val="204"/>
      <scheme val="minor"/>
    </font>
    <font>
      <i/>
      <sz val="9"/>
      <color rgb="FF00B050"/>
      <name val="Calibri"/>
      <family val="2"/>
      <scheme val="minor"/>
    </font>
    <font>
      <i/>
      <sz val="10"/>
      <color indexed="63"/>
      <name val="Calibri"/>
      <family val="2"/>
      <charset val="204"/>
      <scheme val="minor"/>
    </font>
    <font>
      <b/>
      <sz val="10"/>
      <color theme="1"/>
      <name val="Calibri"/>
      <family val="2"/>
      <charset val="204"/>
    </font>
    <font>
      <b/>
      <sz val="10"/>
      <name val="Calibri"/>
      <family val="2"/>
      <charset val="204"/>
    </font>
  </fonts>
  <fills count="31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EA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3114D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8FF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8">
    <xf numFmtId="0" fontId="0" fillId="0" borderId="0"/>
    <xf numFmtId="0" fontId="7" fillId="0" borderId="0"/>
    <xf numFmtId="0" fontId="25" fillId="0" borderId="0"/>
    <xf numFmtId="164" fontId="47" fillId="0" borderId="0"/>
    <xf numFmtId="0" fontId="25" fillId="0" borderId="0"/>
    <xf numFmtId="43" fontId="7" fillId="0" borderId="0" applyFont="0" applyFill="0" applyBorder="0" applyAlignment="0" applyProtection="0"/>
    <xf numFmtId="0" fontId="135" fillId="0" borderId="0"/>
    <xf numFmtId="0" fontId="4" fillId="0" borderId="0"/>
    <xf numFmtId="0" fontId="182" fillId="0" borderId="0"/>
    <xf numFmtId="4" fontId="209" fillId="0" borderId="0">
      <protection locked="0"/>
    </xf>
    <xf numFmtId="4" fontId="209" fillId="0" borderId="0">
      <protection locked="0"/>
    </xf>
    <xf numFmtId="4" fontId="209" fillId="0" borderId="0">
      <protection locked="0"/>
    </xf>
    <xf numFmtId="0" fontId="210" fillId="0" borderId="0">
      <alignment horizontal="center"/>
      <protection locked="0"/>
    </xf>
    <xf numFmtId="0" fontId="210" fillId="0" borderId="0">
      <protection locked="0"/>
    </xf>
    <xf numFmtId="0" fontId="210" fillId="0" borderId="0">
      <protection locked="0"/>
    </xf>
    <xf numFmtId="0" fontId="209" fillId="0" borderId="19">
      <protection locked="0"/>
    </xf>
    <xf numFmtId="170" fontId="7" fillId="0" borderId="0" applyFont="0" applyFill="0" applyBorder="0" applyAlignment="0" applyProtection="0"/>
    <xf numFmtId="0" fontId="209" fillId="0" borderId="0">
      <protection locked="0"/>
    </xf>
    <xf numFmtId="0" fontId="209" fillId="0" borderId="0">
      <protection locked="0"/>
    </xf>
    <xf numFmtId="0" fontId="210" fillId="0" borderId="0">
      <protection locked="0"/>
    </xf>
    <xf numFmtId="0" fontId="210" fillId="0" borderId="0">
      <protection locked="0"/>
    </xf>
    <xf numFmtId="0" fontId="212" fillId="0" borderId="0" applyNumberFormat="0" applyFill="0" applyBorder="0" applyAlignment="0" applyProtection="0">
      <alignment vertical="top"/>
      <protection locked="0"/>
    </xf>
    <xf numFmtId="164" fontId="47" fillId="0" borderId="0"/>
    <xf numFmtId="164" fontId="47" fillId="0" borderId="0"/>
    <xf numFmtId="0" fontId="7" fillId="0" borderId="0"/>
    <xf numFmtId="0" fontId="208" fillId="0" borderId="0">
      <alignment vertical="center" wrapText="1"/>
    </xf>
    <xf numFmtId="0" fontId="209" fillId="0" borderId="0">
      <protection locked="0"/>
    </xf>
    <xf numFmtId="0" fontId="7" fillId="0" borderId="0"/>
    <xf numFmtId="4" fontId="211" fillId="0" borderId="0">
      <protection locked="0"/>
    </xf>
    <xf numFmtId="43" fontId="7" fillId="0" borderId="0" applyFont="0" applyFill="0" applyBorder="0" applyAlignment="0" applyProtection="0"/>
    <xf numFmtId="0" fontId="214" fillId="0" borderId="0"/>
    <xf numFmtId="0" fontId="135" fillId="0" borderId="0"/>
    <xf numFmtId="43" fontId="217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2" fillId="0" borderId="0"/>
    <xf numFmtId="43" fontId="7" fillId="0" borderId="0" applyFont="0" applyFill="0" applyBorder="0" applyAlignment="0" applyProtection="0"/>
    <xf numFmtId="0" fontId="1" fillId="0" borderId="0"/>
  </cellStyleXfs>
  <cellXfs count="1126">
    <xf numFmtId="0" fontId="0" fillId="0" borderId="0" xfId="0"/>
    <xf numFmtId="0" fontId="10" fillId="0" borderId="0" xfId="0" applyFont="1"/>
    <xf numFmtId="0" fontId="11" fillId="0" borderId="0" xfId="0" applyFont="1"/>
    <xf numFmtId="0" fontId="12" fillId="2" borderId="0" xfId="1" applyFont="1" applyFill="1"/>
    <xf numFmtId="0" fontId="12" fillId="2" borderId="0" xfId="1" applyFont="1" applyFill="1" applyAlignment="1">
      <alignment horizontal="left"/>
    </xf>
    <xf numFmtId="0" fontId="13" fillId="0" borderId="0" xfId="1" applyFont="1"/>
    <xf numFmtId="0" fontId="14" fillId="0" borderId="0" xfId="1" applyFont="1" applyAlignment="1">
      <alignment horizontal="left"/>
    </xf>
    <xf numFmtId="0" fontId="15" fillId="0" borderId="0" xfId="0" applyFont="1" applyAlignment="1">
      <alignment horizontal="left"/>
    </xf>
    <xf numFmtId="0" fontId="14" fillId="0" borderId="0" xfId="1" applyFont="1" applyAlignment="1">
      <alignment horizontal="left" vertical="center"/>
    </xf>
    <xf numFmtId="0" fontId="17" fillId="0" borderId="0" xfId="0" applyFont="1" applyAlignment="1">
      <alignment horizontal="left"/>
    </xf>
    <xf numFmtId="0" fontId="19" fillId="0" borderId="0" xfId="1" applyFont="1" applyAlignment="1">
      <alignment horizontal="left" vertical="center"/>
    </xf>
    <xf numFmtId="0" fontId="13" fillId="0" borderId="0" xfId="1" applyFont="1" applyAlignment="1">
      <alignment horizontal="left" vertical="center"/>
    </xf>
    <xf numFmtId="0" fontId="19" fillId="0" borderId="0" xfId="1" applyFont="1" applyAlignment="1">
      <alignment horizontal="left"/>
    </xf>
    <xf numFmtId="0" fontId="13" fillId="0" borderId="0" xfId="1" applyFont="1" applyAlignment="1">
      <alignment horizontal="left"/>
    </xf>
    <xf numFmtId="0" fontId="15" fillId="3" borderId="0" xfId="0" applyFont="1" applyFill="1" applyAlignment="1">
      <alignment horizontal="left"/>
    </xf>
    <xf numFmtId="0" fontId="13" fillId="3" borderId="0" xfId="1" applyFont="1" applyFill="1" applyAlignment="1">
      <alignment horizontal="left"/>
    </xf>
    <xf numFmtId="0" fontId="14" fillId="0" borderId="0" xfId="1" applyFont="1" applyAlignment="1">
      <alignment horizontal="left" wrapText="1"/>
    </xf>
    <xf numFmtId="0" fontId="21" fillId="4" borderId="0" xfId="1" applyFont="1" applyFill="1"/>
    <xf numFmtId="0" fontId="12" fillId="4" borderId="0" xfId="1" applyFont="1" applyFill="1" applyAlignment="1">
      <alignment horizontal="left"/>
    </xf>
    <xf numFmtId="0" fontId="14" fillId="0" borderId="0" xfId="0" applyFont="1" applyAlignment="1">
      <alignment horizontal="left"/>
    </xf>
    <xf numFmtId="0" fontId="13" fillId="0" borderId="0" xfId="0" quotePrefix="1" applyFont="1" applyAlignment="1">
      <alignment horizontal="left"/>
    </xf>
    <xf numFmtId="0" fontId="23" fillId="0" borderId="0" xfId="1" applyFont="1" applyAlignment="1">
      <alignment horizontal="left"/>
    </xf>
    <xf numFmtId="0" fontId="13" fillId="4" borderId="0" xfId="1" applyFont="1" applyFill="1"/>
    <xf numFmtId="0" fontId="21" fillId="4" borderId="0" xfId="1" applyFont="1" applyFill="1" applyAlignment="1">
      <alignment horizontal="left"/>
    </xf>
    <xf numFmtId="0" fontId="21" fillId="5" borderId="0" xfId="0" applyFont="1" applyFill="1" applyAlignment="1">
      <alignment horizontal="left"/>
    </xf>
    <xf numFmtId="0" fontId="12" fillId="5" borderId="0" xfId="0" applyFont="1" applyFill="1" applyAlignment="1">
      <alignment horizontal="left"/>
    </xf>
    <xf numFmtId="0" fontId="26" fillId="0" borderId="0" xfId="2" applyFont="1"/>
    <xf numFmtId="0" fontId="27" fillId="0" borderId="0" xfId="2" applyFont="1"/>
    <xf numFmtId="0" fontId="15" fillId="6" borderId="0" xfId="0" applyFont="1" applyFill="1" applyAlignment="1">
      <alignment horizontal="left"/>
    </xf>
    <xf numFmtId="0" fontId="13" fillId="0" borderId="0" xfId="0" applyFont="1"/>
    <xf numFmtId="164" fontId="27" fillId="0" borderId="0" xfId="2" applyNumberFormat="1" applyFont="1"/>
    <xf numFmtId="164" fontId="30" fillId="0" borderId="0" xfId="2" applyNumberFormat="1" applyFont="1"/>
    <xf numFmtId="0" fontId="13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15" fillId="7" borderId="0" xfId="0" applyFont="1" applyFill="1" applyAlignment="1">
      <alignment horizontal="left"/>
    </xf>
    <xf numFmtId="0" fontId="12" fillId="5" borderId="0" xfId="0" quotePrefix="1" applyFont="1" applyFill="1" applyAlignment="1">
      <alignment horizontal="left"/>
    </xf>
    <xf numFmtId="0" fontId="19" fillId="0" borderId="0" xfId="0" applyFont="1" applyAlignment="1">
      <alignment horizontal="left"/>
    </xf>
    <xf numFmtId="0" fontId="13" fillId="6" borderId="0" xfId="0" applyFont="1" applyFill="1" applyAlignment="1">
      <alignment horizontal="left"/>
    </xf>
    <xf numFmtId="0" fontId="12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33" fillId="0" borderId="0" xfId="0" applyFont="1" applyAlignment="1">
      <alignment horizontal="left"/>
    </xf>
    <xf numFmtId="0" fontId="26" fillId="0" borderId="0" xfId="0" quotePrefix="1" applyFont="1" applyAlignment="1">
      <alignment horizontal="left"/>
    </xf>
    <xf numFmtId="0" fontId="33" fillId="7" borderId="0" xfId="0" applyFont="1" applyFill="1" applyAlignment="1">
      <alignment horizontal="left"/>
    </xf>
    <xf numFmtId="0" fontId="33" fillId="6" borderId="0" xfId="0" applyFont="1" applyFill="1" applyAlignment="1">
      <alignment horizontal="left"/>
    </xf>
    <xf numFmtId="0" fontId="0" fillId="6" borderId="0" xfId="0" applyFill="1"/>
    <xf numFmtId="0" fontId="37" fillId="7" borderId="0" xfId="0" applyFont="1" applyFill="1"/>
    <xf numFmtId="0" fontId="38" fillId="7" borderId="0" xfId="0" applyFont="1" applyFill="1" applyAlignment="1">
      <alignment horizontal="center"/>
    </xf>
    <xf numFmtId="0" fontId="39" fillId="7" borderId="0" xfId="0" applyFont="1" applyFill="1" applyAlignment="1">
      <alignment horizontal="left"/>
    </xf>
    <xf numFmtId="0" fontId="40" fillId="8" borderId="0" xfId="0" applyFont="1" applyFill="1"/>
    <xf numFmtId="0" fontId="40" fillId="8" borderId="0" xfId="0" applyFont="1" applyFill="1" applyAlignment="1">
      <alignment wrapText="1"/>
    </xf>
    <xf numFmtId="0" fontId="41" fillId="8" borderId="0" xfId="0" applyFont="1" applyFill="1" applyAlignment="1">
      <alignment horizontal="left"/>
    </xf>
    <xf numFmtId="0" fontId="37" fillId="0" borderId="0" xfId="0" applyFont="1"/>
    <xf numFmtId="0" fontId="37" fillId="0" borderId="0" xfId="0" applyFont="1" applyAlignment="1">
      <alignment horizontal="left"/>
    </xf>
    <xf numFmtId="0" fontId="38" fillId="0" borderId="0" xfId="0" applyFont="1" applyAlignment="1">
      <alignment horizontal="center"/>
    </xf>
    <xf numFmtId="0" fontId="37" fillId="0" borderId="0" xfId="0" quotePrefix="1" applyFont="1" applyAlignment="1">
      <alignment horizontal="left"/>
    </xf>
    <xf numFmtId="0" fontId="37" fillId="6" borderId="0" xfId="0" applyFont="1" applyFill="1"/>
    <xf numFmtId="0" fontId="41" fillId="8" borderId="0" xfId="0" applyFont="1" applyFill="1"/>
    <xf numFmtId="0" fontId="38" fillId="0" borderId="0" xfId="0" applyFont="1" applyAlignment="1">
      <alignment horizontal="left"/>
    </xf>
    <xf numFmtId="0" fontId="37" fillId="0" borderId="0" xfId="1" applyFont="1" applyAlignment="1">
      <alignment horizontal="left"/>
    </xf>
    <xf numFmtId="0" fontId="33" fillId="0" borderId="0" xfId="1" applyFont="1" applyAlignment="1">
      <alignment horizontal="left"/>
    </xf>
    <xf numFmtId="0" fontId="33" fillId="0" borderId="0" xfId="2" applyFont="1"/>
    <xf numFmtId="164" fontId="44" fillId="0" borderId="0" xfId="2" applyNumberFormat="1" applyFont="1"/>
    <xf numFmtId="164" fontId="33" fillId="0" borderId="0" xfId="2" applyNumberFormat="1" applyFont="1"/>
    <xf numFmtId="0" fontId="10" fillId="0" borderId="0" xfId="0" applyFont="1" applyAlignment="1">
      <alignment horizontal="left"/>
    </xf>
    <xf numFmtId="0" fontId="39" fillId="7" borderId="0" xfId="0" applyFont="1" applyFill="1"/>
    <xf numFmtId="0" fontId="33" fillId="0" borderId="0" xfId="0" applyFont="1"/>
    <xf numFmtId="0" fontId="41" fillId="9" borderId="0" xfId="0" applyFont="1" applyFill="1"/>
    <xf numFmtId="0" fontId="41" fillId="9" borderId="0" xfId="0" applyFont="1" applyFill="1" applyAlignment="1">
      <alignment horizontal="left"/>
    </xf>
    <xf numFmtId="0" fontId="40" fillId="10" borderId="0" xfId="0" applyFont="1" applyFill="1" applyAlignment="1">
      <alignment horizontal="left"/>
    </xf>
    <xf numFmtId="0" fontId="41" fillId="10" borderId="0" xfId="0" applyFont="1" applyFill="1" applyAlignment="1">
      <alignment horizontal="left"/>
    </xf>
    <xf numFmtId="0" fontId="44" fillId="0" borderId="0" xfId="0" applyFont="1" applyAlignment="1">
      <alignment horizontal="left"/>
    </xf>
    <xf numFmtId="0" fontId="10" fillId="7" borderId="0" xfId="0" applyFont="1" applyFill="1" applyAlignment="1">
      <alignment horizontal="left"/>
    </xf>
    <xf numFmtId="0" fontId="37" fillId="8" borderId="0" xfId="0" applyFont="1" applyFill="1"/>
    <xf numFmtId="0" fontId="39" fillId="0" borderId="0" xfId="0" applyFont="1"/>
    <xf numFmtId="0" fontId="38" fillId="0" borderId="0" xfId="0" applyFont="1" applyAlignment="1">
      <alignment horizontal="left" vertical="center"/>
    </xf>
    <xf numFmtId="0" fontId="37" fillId="7" borderId="0" xfId="0" applyFont="1" applyFill="1" applyAlignment="1">
      <alignment horizontal="left"/>
    </xf>
    <xf numFmtId="0" fontId="38" fillId="7" borderId="0" xfId="0" applyFont="1" applyFill="1" applyAlignment="1">
      <alignment horizontal="left"/>
    </xf>
    <xf numFmtId="0" fontId="46" fillId="8" borderId="0" xfId="0" applyFont="1" applyFill="1"/>
    <xf numFmtId="0" fontId="39" fillId="8" borderId="0" xfId="0" applyFont="1" applyFill="1"/>
    <xf numFmtId="0" fontId="37" fillId="8" borderId="0" xfId="0" applyFont="1" applyFill="1" applyAlignment="1">
      <alignment horizontal="left"/>
    </xf>
    <xf numFmtId="0" fontId="38" fillId="7" borderId="0" xfId="0" applyFont="1" applyFill="1"/>
    <xf numFmtId="164" fontId="33" fillId="7" borderId="0" xfId="3" applyFont="1" applyFill="1"/>
    <xf numFmtId="0" fontId="37" fillId="7" borderId="0" xfId="0" applyFont="1" applyFill="1" applyAlignment="1">
      <alignment wrapText="1"/>
    </xf>
    <xf numFmtId="0" fontId="48" fillId="0" borderId="0" xfId="0" applyFont="1"/>
    <xf numFmtId="0" fontId="49" fillId="8" borderId="0" xfId="0" applyFont="1" applyFill="1" applyAlignment="1">
      <alignment horizontal="left"/>
    </xf>
    <xf numFmtId="0" fontId="25" fillId="0" borderId="0" xfId="0" applyFont="1" applyAlignment="1">
      <alignment horizontal="left"/>
    </xf>
    <xf numFmtId="0" fontId="50" fillId="0" borderId="0" xfId="0" applyFont="1" applyAlignment="1">
      <alignment horizontal="left"/>
    </xf>
    <xf numFmtId="0" fontId="51" fillId="0" borderId="0" xfId="0" applyFont="1" applyAlignment="1">
      <alignment horizontal="left"/>
    </xf>
    <xf numFmtId="0" fontId="0" fillId="11" borderId="0" xfId="0" applyFill="1"/>
    <xf numFmtId="0" fontId="0" fillId="12" borderId="0" xfId="0" applyFill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64" fontId="48" fillId="0" borderId="0" xfId="0" applyNumberFormat="1" applyFont="1"/>
    <xf numFmtId="1" fontId="53" fillId="0" borderId="0" xfId="0" applyNumberFormat="1" applyFont="1" applyAlignment="1">
      <alignment horizontal="center"/>
    </xf>
    <xf numFmtId="1" fontId="54" fillId="0" borderId="0" xfId="0" applyNumberFormat="1" applyFont="1" applyAlignment="1">
      <alignment horizontal="center"/>
    </xf>
    <xf numFmtId="1" fontId="54" fillId="7" borderId="0" xfId="0" applyNumberFormat="1" applyFont="1" applyFill="1" applyAlignment="1">
      <alignment horizontal="center"/>
    </xf>
    <xf numFmtId="1" fontId="55" fillId="7" borderId="0" xfId="0" applyNumberFormat="1" applyFont="1" applyFill="1" applyAlignment="1">
      <alignment horizontal="center"/>
    </xf>
    <xf numFmtId="0" fontId="41" fillId="13" borderId="0" xfId="0" applyFont="1" applyFill="1"/>
    <xf numFmtId="0" fontId="46" fillId="13" borderId="0" xfId="0" applyFont="1" applyFill="1"/>
    <xf numFmtId="0" fontId="19" fillId="0" borderId="0" xfId="0" applyFont="1"/>
    <xf numFmtId="0" fontId="56" fillId="0" borderId="0" xfId="0" applyFont="1"/>
    <xf numFmtId="0" fontId="56" fillId="6" borderId="0" xfId="0" applyFont="1" applyFill="1"/>
    <xf numFmtId="1" fontId="37" fillId="0" borderId="0" xfId="0" applyNumberFormat="1" applyFont="1"/>
    <xf numFmtId="0" fontId="57" fillId="0" borderId="0" xfId="0" applyFont="1"/>
    <xf numFmtId="0" fontId="0" fillId="14" borderId="0" xfId="0" applyFill="1"/>
    <xf numFmtId="164" fontId="0" fillId="14" borderId="0" xfId="0" applyNumberFormat="1" applyFill="1"/>
    <xf numFmtId="0" fontId="0" fillId="15" borderId="0" xfId="0" applyFill="1"/>
    <xf numFmtId="2" fontId="48" fillId="0" borderId="0" xfId="0" applyNumberFormat="1" applyFont="1"/>
    <xf numFmtId="164" fontId="59" fillId="0" borderId="0" xfId="0" applyNumberFormat="1" applyFont="1" applyAlignment="1">
      <alignment horizontal="right"/>
    </xf>
    <xf numFmtId="164" fontId="60" fillId="0" borderId="0" xfId="0" applyNumberFormat="1" applyFont="1" applyAlignment="1" applyProtection="1">
      <alignment horizontal="right"/>
      <protection locked="0"/>
    </xf>
    <xf numFmtId="1" fontId="60" fillId="0" borderId="0" xfId="0" applyNumberFormat="1" applyFont="1" applyAlignment="1" applyProtection="1">
      <alignment horizontal="right"/>
      <protection locked="0"/>
    </xf>
    <xf numFmtId="164" fontId="0" fillId="6" borderId="0" xfId="0" applyNumberFormat="1" applyFill="1"/>
    <xf numFmtId="1" fontId="48" fillId="0" borderId="0" xfId="0" applyNumberFormat="1" applyFont="1" applyAlignment="1">
      <alignment horizontal="center"/>
    </xf>
    <xf numFmtId="0" fontId="61" fillId="0" borderId="0" xfId="0" applyFont="1"/>
    <xf numFmtId="0" fontId="62" fillId="0" borderId="0" xfId="0" applyFont="1" applyAlignment="1">
      <alignment horizontal="center"/>
    </xf>
    <xf numFmtId="164" fontId="63" fillId="0" borderId="0" xfId="1" applyNumberFormat="1" applyFont="1"/>
    <xf numFmtId="164" fontId="54" fillId="0" borderId="0" xfId="1" applyNumberFormat="1" applyFont="1"/>
    <xf numFmtId="164" fontId="62" fillId="0" borderId="0" xfId="1" applyNumberFormat="1" applyFont="1"/>
    <xf numFmtId="164" fontId="59" fillId="0" borderId="0" xfId="1" applyNumberFormat="1" applyFont="1"/>
    <xf numFmtId="164" fontId="62" fillId="7" borderId="0" xfId="1" applyNumberFormat="1" applyFont="1" applyFill="1"/>
    <xf numFmtId="0" fontId="65" fillId="0" borderId="0" xfId="0" applyFont="1"/>
    <xf numFmtId="2" fontId="0" fillId="15" borderId="0" xfId="0" applyNumberFormat="1" applyFill="1"/>
    <xf numFmtId="2" fontId="0" fillId="16" borderId="0" xfId="0" applyNumberFormat="1" applyFill="1"/>
    <xf numFmtId="0" fontId="66" fillId="18" borderId="0" xfId="0" applyFont="1" applyFill="1" applyAlignment="1">
      <alignment horizontal="left"/>
    </xf>
    <xf numFmtId="0" fontId="0" fillId="18" borderId="0" xfId="0" applyFill="1"/>
    <xf numFmtId="0" fontId="67" fillId="0" borderId="0" xfId="0" applyFont="1" applyAlignment="1">
      <alignment horizontal="left"/>
    </xf>
    <xf numFmtId="0" fontId="70" fillId="0" borderId="0" xfId="0" applyFont="1" applyAlignment="1">
      <alignment horizontal="left"/>
    </xf>
    <xf numFmtId="0" fontId="71" fillId="0" borderId="0" xfId="0" applyFont="1"/>
    <xf numFmtId="0" fontId="72" fillId="0" borderId="0" xfId="0" applyFont="1"/>
    <xf numFmtId="0" fontId="70" fillId="0" borderId="0" xfId="0" applyFont="1"/>
    <xf numFmtId="0" fontId="9" fillId="0" borderId="0" xfId="0" applyFont="1"/>
    <xf numFmtId="0" fontId="71" fillId="0" borderId="1" xfId="0" applyFont="1" applyBorder="1"/>
    <xf numFmtId="164" fontId="73" fillId="0" borderId="0" xfId="0" applyNumberFormat="1" applyFont="1"/>
    <xf numFmtId="164" fontId="74" fillId="0" borderId="0" xfId="0" applyNumberFormat="1" applyFont="1"/>
    <xf numFmtId="0" fontId="75" fillId="7" borderId="0" xfId="0" applyFont="1" applyFill="1"/>
    <xf numFmtId="0" fontId="76" fillId="7" borderId="0" xfId="0" applyFont="1" applyFill="1"/>
    <xf numFmtId="0" fontId="77" fillId="0" borderId="0" xfId="0" applyFont="1" applyAlignment="1">
      <alignment horizontal="left"/>
    </xf>
    <xf numFmtId="0" fontId="78" fillId="0" borderId="0" xfId="0" applyFont="1"/>
    <xf numFmtId="0" fontId="77" fillId="0" borderId="0" xfId="0" applyFont="1"/>
    <xf numFmtId="0" fontId="78" fillId="18" borderId="0" xfId="0" applyFont="1" applyFill="1"/>
    <xf numFmtId="0" fontId="78" fillId="7" borderId="0" xfId="0" applyFont="1" applyFill="1"/>
    <xf numFmtId="0" fontId="79" fillId="0" borderId="0" xfId="0" applyFont="1"/>
    <xf numFmtId="0" fontId="80" fillId="0" borderId="0" xfId="0" applyFont="1"/>
    <xf numFmtId="0" fontId="81" fillId="0" borderId="0" xfId="0" applyFont="1"/>
    <xf numFmtId="0" fontId="82" fillId="0" borderId="0" xfId="0" applyFont="1"/>
    <xf numFmtId="0" fontId="77" fillId="0" borderId="0" xfId="0" applyFont="1" applyAlignment="1">
      <alignment vertical="center" wrapText="1"/>
    </xf>
    <xf numFmtId="0" fontId="83" fillId="0" borderId="0" xfId="0" applyFont="1" applyAlignment="1">
      <alignment horizontal="left"/>
    </xf>
    <xf numFmtId="0" fontId="80" fillId="0" borderId="0" xfId="0" applyFont="1" applyAlignment="1">
      <alignment vertical="center" wrapText="1"/>
    </xf>
    <xf numFmtId="0" fontId="84" fillId="0" borderId="0" xfId="0" applyFont="1"/>
    <xf numFmtId="0" fontId="81" fillId="0" borderId="0" xfId="0" applyFont="1" applyAlignment="1">
      <alignment horizontal="left"/>
    </xf>
    <xf numFmtId="0" fontId="15" fillId="0" borderId="0" xfId="0" applyFont="1" applyAlignment="1">
      <alignment vertical="center" wrapText="1"/>
    </xf>
    <xf numFmtId="0" fontId="78" fillId="0" borderId="0" xfId="0" applyFont="1" applyAlignment="1">
      <alignment horizontal="left"/>
    </xf>
    <xf numFmtId="0" fontId="84" fillId="0" borderId="0" xfId="0" applyFont="1" applyAlignment="1">
      <alignment horizontal="left"/>
    </xf>
    <xf numFmtId="0" fontId="85" fillId="0" borderId="0" xfId="0" applyFont="1"/>
    <xf numFmtId="1" fontId="86" fillId="7" borderId="0" xfId="0" applyNumberFormat="1" applyFont="1" applyFill="1" applyAlignment="1">
      <alignment horizontal="left"/>
    </xf>
    <xf numFmtId="1" fontId="86" fillId="0" borderId="0" xfId="0" applyNumberFormat="1" applyFont="1" applyAlignment="1">
      <alignment horizontal="left"/>
    </xf>
    <xf numFmtId="0" fontId="87" fillId="0" borderId="0" xfId="0" applyFont="1"/>
    <xf numFmtId="2" fontId="88" fillId="6" borderId="0" xfId="1" applyNumberFormat="1" applyFont="1" applyFill="1"/>
    <xf numFmtId="1" fontId="62" fillId="0" borderId="0" xfId="0" applyNumberFormat="1" applyFont="1"/>
    <xf numFmtId="1" fontId="89" fillId="0" borderId="0" xfId="0" applyNumberFormat="1" applyFont="1"/>
    <xf numFmtId="164" fontId="89" fillId="0" borderId="0" xfId="0" applyNumberFormat="1" applyFont="1"/>
    <xf numFmtId="3" fontId="63" fillId="0" borderId="0" xfId="0" applyNumberFormat="1" applyFont="1"/>
    <xf numFmtId="165" fontId="63" fillId="0" borderId="0" xfId="0" applyNumberFormat="1" applyFont="1"/>
    <xf numFmtId="165" fontId="62" fillId="0" borderId="0" xfId="0" applyNumberFormat="1" applyFont="1"/>
    <xf numFmtId="3" fontId="0" fillId="0" borderId="0" xfId="0" applyNumberFormat="1"/>
    <xf numFmtId="164" fontId="91" fillId="0" borderId="0" xfId="0" applyNumberFormat="1" applyFont="1" applyAlignment="1">
      <alignment horizontal="center"/>
    </xf>
    <xf numFmtId="2" fontId="92" fillId="0" borderId="0" xfId="0" applyNumberFormat="1" applyFont="1" applyAlignment="1">
      <alignment horizontal="center"/>
    </xf>
    <xf numFmtId="2" fontId="91" fillId="0" borderId="0" xfId="0" applyNumberFormat="1" applyFont="1" applyAlignment="1">
      <alignment horizontal="center"/>
    </xf>
    <xf numFmtId="164" fontId="65" fillId="0" borderId="0" xfId="0" applyNumberFormat="1" applyFont="1"/>
    <xf numFmtId="164" fontId="62" fillId="0" borderId="0" xfId="0" applyNumberFormat="1" applyFont="1" applyAlignment="1">
      <alignment horizontal="center"/>
    </xf>
    <xf numFmtId="164" fontId="59" fillId="0" borderId="0" xfId="0" applyNumberFormat="1" applyFont="1" applyAlignment="1">
      <alignment horizont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164" fontId="86" fillId="7" borderId="0" xfId="0" applyNumberFormat="1" applyFont="1" applyFill="1" applyAlignment="1">
      <alignment horizontal="left"/>
    </xf>
    <xf numFmtId="164" fontId="86" fillId="0" borderId="0" xfId="0" applyNumberFormat="1" applyFont="1" applyAlignment="1">
      <alignment horizontal="left"/>
    </xf>
    <xf numFmtId="164" fontId="93" fillId="0" borderId="0" xfId="0" applyNumberFormat="1" applyFont="1" applyAlignment="1">
      <alignment horizontal="center"/>
    </xf>
    <xf numFmtId="164" fontId="86" fillId="0" borderId="0" xfId="0" applyNumberFormat="1" applyFont="1" applyAlignment="1">
      <alignment horizontal="center"/>
    </xf>
    <xf numFmtId="164" fontId="78" fillId="0" borderId="0" xfId="0" applyNumberFormat="1" applyFont="1" applyAlignment="1">
      <alignment horizontal="center"/>
    </xf>
    <xf numFmtId="1" fontId="94" fillId="0" borderId="0" xfId="0" applyNumberFormat="1" applyFont="1" applyAlignment="1">
      <alignment horizontal="center"/>
    </xf>
    <xf numFmtId="2" fontId="59" fillId="7" borderId="0" xfId="0" applyNumberFormat="1" applyFont="1" applyFill="1" applyAlignment="1">
      <alignment horizontal="right"/>
    </xf>
    <xf numFmtId="164" fontId="78" fillId="0" borderId="0" xfId="0" applyNumberFormat="1" applyFont="1"/>
    <xf numFmtId="164" fontId="78" fillId="18" borderId="0" xfId="0" applyNumberFormat="1" applyFont="1" applyFill="1"/>
    <xf numFmtId="164" fontId="78" fillId="7" borderId="0" xfId="0" applyNumberFormat="1" applyFont="1" applyFill="1"/>
    <xf numFmtId="164" fontId="79" fillId="0" borderId="0" xfId="0" applyNumberFormat="1" applyFont="1" applyAlignment="1">
      <alignment horizontal="left"/>
    </xf>
    <xf numFmtId="1" fontId="79" fillId="0" borderId="0" xfId="0" applyNumberFormat="1" applyFont="1" applyAlignment="1">
      <alignment horizontal="left"/>
    </xf>
    <xf numFmtId="0" fontId="8" fillId="19" borderId="0" xfId="0" applyFont="1" applyFill="1"/>
    <xf numFmtId="0" fontId="0" fillId="19" borderId="0" xfId="0" applyFill="1"/>
    <xf numFmtId="0" fontId="6" fillId="0" borderId="0" xfId="0" applyFont="1"/>
    <xf numFmtId="1" fontId="86" fillId="0" borderId="0" xfId="0" applyNumberFormat="1" applyFont="1" applyAlignment="1">
      <alignment horizontal="left" vertical="top" wrapText="1"/>
    </xf>
    <xf numFmtId="1" fontId="86" fillId="7" borderId="0" xfId="0" applyNumberFormat="1" applyFont="1" applyFill="1" applyAlignment="1">
      <alignment horizontal="left" vertical="top" wrapText="1"/>
    </xf>
    <xf numFmtId="0" fontId="86" fillId="0" borderId="0" xfId="0" applyFont="1"/>
    <xf numFmtId="1" fontId="78" fillId="0" borderId="0" xfId="0" applyNumberFormat="1" applyFont="1"/>
    <xf numFmtId="1" fontId="77" fillId="0" borderId="0" xfId="0" applyNumberFormat="1" applyFont="1" applyAlignment="1">
      <alignment horizontal="left" vertical="top" wrapText="1"/>
    </xf>
    <xf numFmtId="164" fontId="77" fillId="0" borderId="0" xfId="0" applyNumberFormat="1" applyFont="1" applyAlignment="1">
      <alignment horizontal="left" vertical="top" wrapText="1"/>
    </xf>
    <xf numFmtId="1" fontId="82" fillId="0" borderId="0" xfId="0" applyNumberFormat="1" applyFont="1" applyAlignment="1">
      <alignment horizontal="left"/>
    </xf>
    <xf numFmtId="164" fontId="86" fillId="0" borderId="0" xfId="0" applyNumberFormat="1" applyFont="1" applyAlignment="1">
      <alignment horizontal="center" vertical="center"/>
    </xf>
    <xf numFmtId="164" fontId="86" fillId="0" borderId="0" xfId="0" applyNumberFormat="1" applyFont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0" fontId="14" fillId="0" borderId="2" xfId="0" applyFont="1" applyBorder="1"/>
    <xf numFmtId="0" fontId="13" fillId="0" borderId="2" xfId="0" applyFont="1" applyBorder="1"/>
    <xf numFmtId="0" fontId="13" fillId="0" borderId="3" xfId="0" applyFont="1" applyBorder="1"/>
    <xf numFmtId="0" fontId="13" fillId="0" borderId="3" xfId="0" applyFont="1" applyBorder="1" applyAlignment="1">
      <alignment horizontal="center"/>
    </xf>
    <xf numFmtId="0" fontId="100" fillId="0" borderId="3" xfId="0" applyFont="1" applyBorder="1" applyAlignment="1">
      <alignment horizontal="center"/>
    </xf>
    <xf numFmtId="0" fontId="100" fillId="0" borderId="2" xfId="0" applyFont="1" applyBorder="1" applyAlignment="1">
      <alignment horizontal="center"/>
    </xf>
    <xf numFmtId="0" fontId="100" fillId="0" borderId="4" xfId="0" applyFont="1" applyBorder="1" applyAlignment="1">
      <alignment horizontal="center"/>
    </xf>
    <xf numFmtId="0" fontId="14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6" xfId="0" applyFont="1" applyBorder="1"/>
    <xf numFmtId="0" fontId="14" fillId="20" borderId="4" xfId="0" applyFont="1" applyFill="1" applyBorder="1" applyAlignment="1">
      <alignment horizontal="center" vertical="center"/>
    </xf>
    <xf numFmtId="0" fontId="13" fillId="0" borderId="8" xfId="0" applyFont="1" applyBorder="1" applyAlignment="1">
      <alignment wrapText="1"/>
    </xf>
    <xf numFmtId="0" fontId="13" fillId="0" borderId="4" xfId="0" applyFont="1" applyBorder="1" applyAlignment="1">
      <alignment horizontal="center" vertical="center"/>
    </xf>
    <xf numFmtId="0" fontId="13" fillId="0" borderId="9" xfId="0" applyFont="1" applyBorder="1" applyAlignment="1">
      <alignment wrapText="1"/>
    </xf>
    <xf numFmtId="0" fontId="13" fillId="0" borderId="2" xfId="0" applyFont="1" applyBorder="1" applyAlignment="1">
      <alignment wrapText="1"/>
    </xf>
    <xf numFmtId="0" fontId="13" fillId="0" borderId="4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3" xfId="0" applyFont="1" applyBorder="1" applyAlignment="1">
      <alignment wrapText="1"/>
    </xf>
    <xf numFmtId="0" fontId="13" fillId="0" borderId="3" xfId="0" applyFont="1" applyBorder="1" applyAlignment="1">
      <alignment vertical="center" wrapText="1"/>
    </xf>
    <xf numFmtId="0" fontId="13" fillId="0" borderId="9" xfId="0" applyFont="1" applyBorder="1" applyAlignment="1">
      <alignment horizontal="center" vertical="center"/>
    </xf>
    <xf numFmtId="0" fontId="13" fillId="0" borderId="4" xfId="0" applyFont="1" applyBorder="1" applyAlignment="1">
      <alignment wrapText="1"/>
    </xf>
    <xf numFmtId="0" fontId="13" fillId="0" borderId="6" xfId="0" applyFont="1" applyBorder="1" applyAlignment="1">
      <alignment wrapText="1"/>
    </xf>
    <xf numFmtId="0" fontId="14" fillId="7" borderId="4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wrapText="1"/>
    </xf>
    <xf numFmtId="0" fontId="14" fillId="0" borderId="9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36" fillId="0" borderId="2" xfId="0" applyFont="1" applyBorder="1" applyAlignment="1">
      <alignment wrapText="1"/>
    </xf>
    <xf numFmtId="0" fontId="36" fillId="0" borderId="2" xfId="0" applyFont="1" applyBorder="1"/>
    <xf numFmtId="0" fontId="13" fillId="0" borderId="6" xfId="0" applyFont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13" fillId="0" borderId="7" xfId="0" applyFont="1" applyBorder="1" applyAlignment="1">
      <alignment vertical="center" wrapText="1"/>
    </xf>
    <xf numFmtId="0" fontId="13" fillId="0" borderId="9" xfId="0" applyFont="1" applyBorder="1" applyAlignment="1">
      <alignment vertical="center" wrapText="1"/>
    </xf>
    <xf numFmtId="0" fontId="13" fillId="0" borderId="9" xfId="0" applyFont="1" applyBorder="1"/>
    <xf numFmtId="164" fontId="54" fillId="7" borderId="2" xfId="0" applyNumberFormat="1" applyFont="1" applyFill="1" applyBorder="1" applyAlignment="1">
      <alignment vertical="center"/>
    </xf>
    <xf numFmtId="164" fontId="54" fillId="7" borderId="2" xfId="0" applyNumberFormat="1" applyFont="1" applyFill="1" applyBorder="1" applyAlignment="1">
      <alignment horizontal="right" vertical="center"/>
    </xf>
    <xf numFmtId="164" fontId="54" fillId="0" borderId="2" xfId="0" applyNumberFormat="1" applyFont="1" applyBorder="1" applyAlignment="1">
      <alignment vertical="center"/>
    </xf>
    <xf numFmtId="164" fontId="101" fillId="0" borderId="0" xfId="0" applyNumberFormat="1" applyFont="1" applyAlignment="1">
      <alignment horizontal="center" vertical="center"/>
    </xf>
    <xf numFmtId="1" fontId="102" fillId="0" borderId="0" xfId="0" applyNumberFormat="1" applyFont="1" applyAlignment="1">
      <alignment horizontal="center"/>
    </xf>
    <xf numFmtId="1" fontId="93" fillId="0" borderId="0" xfId="0" applyNumberFormat="1" applyFont="1" applyAlignment="1">
      <alignment horizontal="center"/>
    </xf>
    <xf numFmtId="1" fontId="103" fillId="0" borderId="0" xfId="0" applyNumberFormat="1" applyFont="1" applyAlignment="1">
      <alignment horizontal="center"/>
    </xf>
    <xf numFmtId="166" fontId="0" fillId="0" borderId="0" xfId="0" applyNumberFormat="1"/>
    <xf numFmtId="164" fontId="94" fillId="0" borderId="0" xfId="0" applyNumberFormat="1" applyFont="1"/>
    <xf numFmtId="164" fontId="86" fillId="0" borderId="0" xfId="0" applyNumberFormat="1" applyFont="1"/>
    <xf numFmtId="1" fontId="86" fillId="0" borderId="0" xfId="0" applyNumberFormat="1" applyFont="1" applyAlignment="1">
      <alignment horizontal="right"/>
    </xf>
    <xf numFmtId="1" fontId="104" fillId="0" borderId="0" xfId="0" applyNumberFormat="1" applyFont="1" applyAlignment="1">
      <alignment horizontal="right"/>
    </xf>
    <xf numFmtId="1" fontId="86" fillId="0" borderId="0" xfId="0" applyNumberFormat="1" applyFont="1" applyAlignment="1">
      <alignment horizontal="right" vertical="top"/>
    </xf>
    <xf numFmtId="1" fontId="86" fillId="7" borderId="0" xfId="0" applyNumberFormat="1" applyFont="1" applyFill="1" applyAlignment="1">
      <alignment horizontal="right" vertical="top"/>
    </xf>
    <xf numFmtId="164" fontId="86" fillId="0" borderId="0" xfId="0" applyNumberFormat="1" applyFont="1" applyAlignment="1">
      <alignment horizontal="right" vertical="top"/>
    </xf>
    <xf numFmtId="1" fontId="78" fillId="0" borderId="0" xfId="0" applyNumberFormat="1" applyFont="1" applyAlignment="1">
      <alignment horizontal="right" vertical="top"/>
    </xf>
    <xf numFmtId="164" fontId="86" fillId="0" borderId="0" xfId="0" applyNumberFormat="1" applyFont="1" applyAlignment="1">
      <alignment horizontal="right"/>
    </xf>
    <xf numFmtId="164" fontId="101" fillId="7" borderId="0" xfId="0" applyNumberFormat="1" applyFont="1" applyFill="1" applyAlignment="1">
      <alignment horizontal="right"/>
    </xf>
    <xf numFmtId="164" fontId="78" fillId="7" borderId="0" xfId="0" applyNumberFormat="1" applyFont="1" applyFill="1" applyAlignment="1">
      <alignment horizontal="right"/>
    </xf>
    <xf numFmtId="164" fontId="86" fillId="7" borderId="0" xfId="0" applyNumberFormat="1" applyFont="1" applyFill="1" applyAlignment="1">
      <alignment horizontal="right"/>
    </xf>
    <xf numFmtId="2" fontId="86" fillId="0" borderId="0" xfId="0" applyNumberFormat="1" applyFont="1" applyAlignment="1">
      <alignment horizontal="right"/>
    </xf>
    <xf numFmtId="1" fontId="86" fillId="0" borderId="0" xfId="0" applyNumberFormat="1" applyFont="1" applyAlignment="1">
      <alignment horizontal="center" vertical="center"/>
    </xf>
    <xf numFmtId="1" fontId="86" fillId="7" borderId="0" xfId="0" applyNumberFormat="1" applyFont="1" applyFill="1" applyAlignment="1">
      <alignment horizontal="center" vertical="center"/>
    </xf>
    <xf numFmtId="0" fontId="86" fillId="0" borderId="0" xfId="0" applyFont="1" applyAlignment="1">
      <alignment horizontal="center"/>
    </xf>
    <xf numFmtId="9" fontId="79" fillId="0" borderId="0" xfId="0" applyNumberFormat="1" applyFont="1"/>
    <xf numFmtId="9" fontId="82" fillId="0" borderId="0" xfId="0" applyNumberFormat="1" applyFont="1"/>
    <xf numFmtId="0" fontId="64" fillId="0" borderId="0" xfId="0" applyFont="1"/>
    <xf numFmtId="164" fontId="106" fillId="0" borderId="0" xfId="2" applyNumberFormat="1" applyFont="1"/>
    <xf numFmtId="0" fontId="0" fillId="16" borderId="0" xfId="0" applyFill="1"/>
    <xf numFmtId="1" fontId="88" fillId="0" borderId="0" xfId="0" applyNumberFormat="1" applyFont="1" applyAlignment="1">
      <alignment horizontal="center" vertical="center"/>
    </xf>
    <xf numFmtId="164" fontId="62" fillId="0" borderId="0" xfId="0" applyNumberFormat="1" applyFont="1"/>
    <xf numFmtId="1" fontId="54" fillId="0" borderId="0" xfId="0" applyNumberFormat="1" applyFont="1" applyAlignment="1">
      <alignment horizontal="center" vertical="center"/>
    </xf>
    <xf numFmtId="1" fontId="55" fillId="0" borderId="0" xfId="0" applyNumberFormat="1" applyFont="1" applyAlignment="1">
      <alignment horizontal="center" vertical="center"/>
    </xf>
    <xf numFmtId="2" fontId="87" fillId="0" borderId="0" xfId="0" applyNumberFormat="1" applyFont="1"/>
    <xf numFmtId="164" fontId="13" fillId="0" borderId="0" xfId="0" applyNumberFormat="1" applyFont="1" applyAlignment="1">
      <alignment horizontal="left"/>
    </xf>
    <xf numFmtId="164" fontId="13" fillId="0" borderId="0" xfId="0" applyNumberFormat="1" applyFont="1" applyAlignment="1">
      <alignment horizontal="center"/>
    </xf>
    <xf numFmtId="164" fontId="107" fillId="0" borderId="0" xfId="4" applyNumberFormat="1" applyFont="1" applyAlignment="1">
      <alignment horizontal="center" wrapText="1"/>
    </xf>
    <xf numFmtId="164" fontId="89" fillId="0" borderId="0" xfId="4" applyNumberFormat="1" applyFont="1" applyAlignment="1">
      <alignment horizontal="center" wrapText="1"/>
    </xf>
    <xf numFmtId="164" fontId="88" fillId="0" borderId="0" xfId="4" applyNumberFormat="1" applyFont="1" applyAlignment="1">
      <alignment horizontal="center" wrapText="1"/>
    </xf>
    <xf numFmtId="164" fontId="23" fillId="0" borderId="0" xfId="0" applyNumberFormat="1" applyFont="1" applyAlignment="1">
      <alignment horizontal="center"/>
    </xf>
    <xf numFmtId="164" fontId="89" fillId="0" borderId="0" xfId="0" applyNumberFormat="1" applyFont="1" applyAlignment="1">
      <alignment horizontal="center"/>
    </xf>
    <xf numFmtId="164" fontId="108" fillId="0" borderId="0" xfId="0" applyNumberFormat="1" applyFont="1" applyAlignment="1">
      <alignment horizontal="center"/>
    </xf>
    <xf numFmtId="164" fontId="109" fillId="0" borderId="0" xfId="0" applyNumberFormat="1" applyFont="1" applyAlignment="1">
      <alignment horizontal="center"/>
    </xf>
    <xf numFmtId="2" fontId="108" fillId="0" borderId="0" xfId="0" applyNumberFormat="1" applyFont="1" applyAlignment="1">
      <alignment horizontal="center"/>
    </xf>
    <xf numFmtId="2" fontId="61" fillId="0" borderId="0" xfId="0" applyNumberFormat="1" applyFont="1"/>
    <xf numFmtId="164" fontId="62" fillId="0" borderId="0" xfId="0" applyNumberFormat="1" applyFont="1" applyAlignment="1">
      <alignment horizontal="right"/>
    </xf>
    <xf numFmtId="166" fontId="59" fillId="0" borderId="0" xfId="0" applyNumberFormat="1" applyFont="1"/>
    <xf numFmtId="166" fontId="62" fillId="0" borderId="0" xfId="0" applyNumberFormat="1" applyFont="1"/>
    <xf numFmtId="0" fontId="110" fillId="6" borderId="0" xfId="0" applyFont="1" applyFill="1" applyAlignment="1">
      <alignment horizontal="left"/>
    </xf>
    <xf numFmtId="164" fontId="111" fillId="0" borderId="0" xfId="0" applyNumberFormat="1" applyFont="1" applyAlignment="1">
      <alignment horizontal="right"/>
    </xf>
    <xf numFmtId="164" fontId="110" fillId="0" borderId="0" xfId="0" applyNumberFormat="1" applyFont="1" applyAlignment="1">
      <alignment horizontal="right"/>
    </xf>
    <xf numFmtId="0" fontId="36" fillId="6" borderId="0" xfId="0" applyFont="1" applyFill="1" applyAlignment="1">
      <alignment horizontal="left"/>
    </xf>
    <xf numFmtId="164" fontId="9" fillId="0" borderId="0" xfId="0" applyNumberFormat="1" applyFont="1"/>
    <xf numFmtId="164" fontId="53" fillId="0" borderId="0" xfId="0" applyNumberFormat="1" applyFont="1" applyAlignment="1">
      <alignment horizontal="right" vertical="center"/>
    </xf>
    <xf numFmtId="164" fontId="53" fillId="0" borderId="0" xfId="0" applyNumberFormat="1" applyFont="1" applyAlignment="1">
      <alignment horizontal="center"/>
    </xf>
    <xf numFmtId="164" fontId="54" fillId="0" borderId="0" xfId="0" applyNumberFormat="1" applyFont="1" applyAlignment="1">
      <alignment horizontal="center" vertical="center"/>
    </xf>
    <xf numFmtId="1" fontId="88" fillId="0" borderId="0" xfId="0" applyNumberFormat="1" applyFont="1" applyAlignment="1">
      <alignment horizontal="right"/>
    </xf>
    <xf numFmtId="164" fontId="19" fillId="0" borderId="0" xfId="1" applyNumberFormat="1" applyFont="1"/>
    <xf numFmtId="0" fontId="19" fillId="0" borderId="0" xfId="1" applyFont="1"/>
    <xf numFmtId="164" fontId="112" fillId="7" borderId="2" xfId="0" applyNumberFormat="1" applyFont="1" applyFill="1" applyBorder="1" applyAlignment="1">
      <alignment horizontal="right" vertical="center"/>
    </xf>
    <xf numFmtId="164" fontId="88" fillId="7" borderId="2" xfId="0" applyNumberFormat="1" applyFont="1" applyFill="1" applyBorder="1" applyAlignment="1">
      <alignment vertical="center"/>
    </xf>
    <xf numFmtId="164" fontId="62" fillId="7" borderId="2" xfId="0" applyNumberFormat="1" applyFont="1" applyFill="1" applyBorder="1" applyAlignment="1">
      <alignment vertical="center"/>
    </xf>
    <xf numFmtId="164" fontId="36" fillId="7" borderId="2" xfId="0" applyNumberFormat="1" applyFont="1" applyFill="1" applyBorder="1" applyAlignment="1">
      <alignment vertical="center"/>
    </xf>
    <xf numFmtId="164" fontId="113" fillId="7" borderId="2" xfId="0" applyNumberFormat="1" applyFont="1" applyFill="1" applyBorder="1" applyAlignment="1">
      <alignment vertical="center"/>
    </xf>
    <xf numFmtId="164" fontId="62" fillId="6" borderId="2" xfId="0" applyNumberFormat="1" applyFont="1" applyFill="1" applyBorder="1" applyAlignment="1">
      <alignment vertical="center"/>
    </xf>
    <xf numFmtId="0" fontId="54" fillId="7" borderId="2" xfId="0" applyFont="1" applyFill="1" applyBorder="1" applyAlignment="1">
      <alignment horizontal="center" vertical="center"/>
    </xf>
    <xf numFmtId="0" fontId="62" fillId="7" borderId="2" xfId="0" applyFont="1" applyFill="1" applyBorder="1" applyAlignment="1">
      <alignment horizontal="center" vertical="center"/>
    </xf>
    <xf numFmtId="164" fontId="62" fillId="7" borderId="2" xfId="0" applyNumberFormat="1" applyFont="1" applyFill="1" applyBorder="1" applyAlignment="1">
      <alignment horizontal="center" vertical="center"/>
    </xf>
    <xf numFmtId="164" fontId="113" fillId="7" borderId="2" xfId="0" applyNumberFormat="1" applyFont="1" applyFill="1" applyBorder="1" applyAlignment="1">
      <alignment horizontal="center" vertical="center"/>
    </xf>
    <xf numFmtId="164" fontId="114" fillId="7" borderId="2" xfId="0" applyNumberFormat="1" applyFont="1" applyFill="1" applyBorder="1" applyAlignment="1">
      <alignment vertical="center"/>
    </xf>
    <xf numFmtId="0" fontId="54" fillId="7" borderId="2" xfId="0" applyFont="1" applyFill="1" applyBorder="1" applyAlignment="1">
      <alignment vertical="center"/>
    </xf>
    <xf numFmtId="0" fontId="59" fillId="7" borderId="2" xfId="0" applyFont="1" applyFill="1" applyBorder="1" applyAlignment="1">
      <alignment horizontal="center" vertical="center"/>
    </xf>
    <xf numFmtId="0" fontId="55" fillId="7" borderId="2" xfId="0" applyFont="1" applyFill="1" applyBorder="1" applyAlignment="1">
      <alignment vertical="center"/>
    </xf>
    <xf numFmtId="0" fontId="62" fillId="7" borderId="2" xfId="0" applyFont="1" applyFill="1" applyBorder="1" applyAlignment="1">
      <alignment vertical="center"/>
    </xf>
    <xf numFmtId="164" fontId="88" fillId="7" borderId="2" xfId="0" applyNumberFormat="1" applyFont="1" applyFill="1" applyBorder="1" applyAlignment="1">
      <alignment horizontal="center" vertical="center"/>
    </xf>
    <xf numFmtId="164" fontId="112" fillId="7" borderId="2" xfId="0" applyNumberFormat="1" applyFont="1" applyFill="1" applyBorder="1" applyAlignment="1">
      <alignment vertical="center"/>
    </xf>
    <xf numFmtId="164" fontId="89" fillId="7" borderId="2" xfId="0" applyNumberFormat="1" applyFont="1" applyFill="1" applyBorder="1" applyAlignment="1">
      <alignment horizontal="center" vertical="center"/>
    </xf>
    <xf numFmtId="164" fontId="89" fillId="7" borderId="2" xfId="0" applyNumberFormat="1" applyFont="1" applyFill="1" applyBorder="1" applyAlignment="1">
      <alignment vertical="center"/>
    </xf>
    <xf numFmtId="164" fontId="115" fillId="7" borderId="2" xfId="0" applyNumberFormat="1" applyFont="1" applyFill="1" applyBorder="1" applyAlignment="1">
      <alignment vertical="center"/>
    </xf>
    <xf numFmtId="164" fontId="54" fillId="7" borderId="2" xfId="0" applyNumberFormat="1" applyFont="1" applyFill="1" applyBorder="1" applyAlignment="1">
      <alignment horizontal="center" vertical="center"/>
    </xf>
    <xf numFmtId="1" fontId="54" fillId="7" borderId="2" xfId="0" applyNumberFormat="1" applyFont="1" applyFill="1" applyBorder="1" applyAlignment="1">
      <alignment vertical="center"/>
    </xf>
    <xf numFmtId="1" fontId="55" fillId="7" borderId="2" xfId="0" applyNumberFormat="1" applyFont="1" applyFill="1" applyBorder="1" applyAlignment="1">
      <alignment vertical="center"/>
    </xf>
    <xf numFmtId="1" fontId="54" fillId="7" borderId="2" xfId="0" applyNumberFormat="1" applyFont="1" applyFill="1" applyBorder="1" applyAlignment="1">
      <alignment horizontal="center" vertical="center"/>
    </xf>
    <xf numFmtId="164" fontId="13" fillId="7" borderId="2" xfId="0" applyNumberFormat="1" applyFont="1" applyFill="1" applyBorder="1" applyAlignment="1">
      <alignment horizontal="center" vertical="center"/>
    </xf>
    <xf numFmtId="0" fontId="88" fillId="7" borderId="2" xfId="0" applyFont="1" applyFill="1" applyBorder="1" applyAlignment="1">
      <alignment vertical="center"/>
    </xf>
    <xf numFmtId="0" fontId="13" fillId="7" borderId="2" xfId="0" applyFont="1" applyFill="1" applyBorder="1" applyAlignment="1">
      <alignment horizontal="center" vertical="center"/>
    </xf>
    <xf numFmtId="0" fontId="113" fillId="7" borderId="2" xfId="0" applyFont="1" applyFill="1" applyBorder="1" applyAlignment="1">
      <alignment horizontal="center" vertical="center"/>
    </xf>
    <xf numFmtId="0" fontId="88" fillId="7" borderId="2" xfId="0" applyFont="1" applyFill="1" applyBorder="1" applyAlignment="1">
      <alignment horizontal="center" vertical="center"/>
    </xf>
    <xf numFmtId="164" fontId="113" fillId="7" borderId="2" xfId="0" applyNumberFormat="1" applyFont="1" applyFill="1" applyBorder="1" applyAlignment="1">
      <alignment horizontal="right" vertical="center"/>
    </xf>
    <xf numFmtId="0" fontId="14" fillId="7" borderId="2" xfId="0" applyFont="1" applyFill="1" applyBorder="1" applyAlignment="1">
      <alignment horizontal="center" vertical="center"/>
    </xf>
    <xf numFmtId="0" fontId="112" fillId="7" borderId="2" xfId="0" applyFont="1" applyFill="1" applyBorder="1" applyAlignment="1">
      <alignment horizontal="center" vertical="center"/>
    </xf>
    <xf numFmtId="164" fontId="53" fillId="7" borderId="2" xfId="0" applyNumberFormat="1" applyFont="1" applyFill="1" applyBorder="1" applyAlignment="1">
      <alignment horizontal="center" vertical="center"/>
    </xf>
    <xf numFmtId="164" fontId="112" fillId="7" borderId="2" xfId="0" applyNumberFormat="1" applyFont="1" applyFill="1" applyBorder="1" applyAlignment="1">
      <alignment horizontal="center" vertical="center"/>
    </xf>
    <xf numFmtId="164" fontId="62" fillId="7" borderId="2" xfId="0" applyNumberFormat="1" applyFont="1" applyFill="1" applyBorder="1" applyAlignment="1">
      <alignment horizontal="right" vertical="center"/>
    </xf>
    <xf numFmtId="164" fontId="113" fillId="17" borderId="2" xfId="0" applyNumberFormat="1" applyFont="1" applyFill="1" applyBorder="1" applyAlignment="1">
      <alignment horizontal="right" vertical="center"/>
    </xf>
    <xf numFmtId="0" fontId="53" fillId="7" borderId="2" xfId="0" applyFont="1" applyFill="1" applyBorder="1" applyAlignment="1">
      <alignment horizontal="center" vertical="center"/>
    </xf>
    <xf numFmtId="0" fontId="75" fillId="7" borderId="2" xfId="0" applyFont="1" applyFill="1" applyBorder="1" applyAlignment="1">
      <alignment horizontal="center"/>
    </xf>
    <xf numFmtId="0" fontId="116" fillId="7" borderId="2" xfId="0" applyFont="1" applyFill="1" applyBorder="1" applyAlignment="1">
      <alignment horizontal="center"/>
    </xf>
    <xf numFmtId="1" fontId="113" fillId="7" borderId="2" xfId="0" applyNumberFormat="1" applyFont="1" applyFill="1" applyBorder="1" applyAlignment="1">
      <alignment horizontal="center" vertical="center"/>
    </xf>
    <xf numFmtId="164" fontId="36" fillId="7" borderId="2" xfId="0" applyNumberFormat="1" applyFont="1" applyFill="1" applyBorder="1" applyAlignment="1">
      <alignment horizontal="right" vertical="center"/>
    </xf>
    <xf numFmtId="164" fontId="36" fillId="17" borderId="2" xfId="0" applyNumberFormat="1" applyFont="1" applyFill="1" applyBorder="1" applyAlignment="1">
      <alignment horizontal="right" vertical="center"/>
    </xf>
    <xf numFmtId="0" fontId="117" fillId="7" borderId="2" xfId="0" applyFont="1" applyFill="1" applyBorder="1" applyAlignment="1">
      <alignment horizontal="center"/>
    </xf>
    <xf numFmtId="164" fontId="55" fillId="17" borderId="2" xfId="0" applyNumberFormat="1" applyFont="1" applyFill="1" applyBorder="1" applyAlignment="1">
      <alignment horizontal="right" vertical="center"/>
    </xf>
    <xf numFmtId="164" fontId="88" fillId="0" borderId="0" xfId="0" applyNumberFormat="1" applyFont="1" applyAlignment="1">
      <alignment horizontal="center"/>
    </xf>
    <xf numFmtId="164" fontId="62" fillId="0" borderId="0" xfId="0" applyNumberFormat="1" applyFont="1" applyAlignment="1">
      <alignment horizontal="center" vertical="center"/>
    </xf>
    <xf numFmtId="164" fontId="88" fillId="0" borderId="0" xfId="0" applyNumberFormat="1" applyFont="1" applyAlignment="1">
      <alignment horizontal="center" vertical="center"/>
    </xf>
    <xf numFmtId="164" fontId="95" fillId="7" borderId="0" xfId="0" applyNumberFormat="1" applyFont="1" applyFill="1" applyAlignment="1">
      <alignment horizontal="center" vertical="center" wrapText="1"/>
    </xf>
    <xf numFmtId="164" fontId="59" fillId="7" borderId="0" xfId="0" applyNumberFormat="1" applyFont="1" applyFill="1" applyAlignment="1">
      <alignment horizontal="center"/>
    </xf>
    <xf numFmtId="1" fontId="59" fillId="7" borderId="0" xfId="0" applyNumberFormat="1" applyFont="1" applyFill="1" applyAlignment="1">
      <alignment horizontal="center" vertical="center" wrapText="1"/>
    </xf>
    <xf numFmtId="164" fontId="59" fillId="7" borderId="0" xfId="0" applyNumberFormat="1" applyFont="1" applyFill="1" applyAlignment="1">
      <alignment horizontal="center" vertical="center" wrapText="1"/>
    </xf>
    <xf numFmtId="164" fontId="62" fillId="7" borderId="0" xfId="0" applyNumberFormat="1" applyFont="1" applyFill="1" applyAlignment="1">
      <alignment horizontal="center"/>
    </xf>
    <xf numFmtId="164" fontId="59" fillId="6" borderId="0" xfId="0" applyNumberFormat="1" applyFont="1" applyFill="1" applyAlignment="1">
      <alignment horizontal="center"/>
    </xf>
    <xf numFmtId="1" fontId="63" fillId="0" borderId="0" xfId="0" applyNumberFormat="1" applyFont="1" applyAlignment="1">
      <alignment horizontal="center"/>
    </xf>
    <xf numFmtId="167" fontId="88" fillId="0" borderId="0" xfId="0" applyNumberFormat="1" applyFont="1" applyAlignment="1">
      <alignment horizontal="center"/>
    </xf>
    <xf numFmtId="167" fontId="95" fillId="0" borderId="0" xfId="0" applyNumberFormat="1" applyFont="1" applyAlignment="1">
      <alignment horizontal="center"/>
    </xf>
    <xf numFmtId="1" fontId="0" fillId="15" borderId="0" xfId="0" applyNumberFormat="1" applyFill="1"/>
    <xf numFmtId="1" fontId="88" fillId="0" borderId="0" xfId="0" applyNumberFormat="1" applyFont="1" applyAlignment="1">
      <alignment horizontal="center" vertical="center" wrapText="1"/>
    </xf>
    <xf numFmtId="164" fontId="88" fillId="0" borderId="0" xfId="0" applyNumberFormat="1" applyFont="1" applyAlignment="1">
      <alignment horizontal="center" vertical="center" wrapText="1"/>
    </xf>
    <xf numFmtId="2" fontId="13" fillId="0" borderId="0" xfId="0" applyNumberFormat="1" applyFont="1" applyAlignment="1">
      <alignment horizontal="center"/>
    </xf>
    <xf numFmtId="2" fontId="95" fillId="0" borderId="0" xfId="0" applyNumberFormat="1" applyFont="1" applyAlignment="1">
      <alignment horizontal="center"/>
    </xf>
    <xf numFmtId="164" fontId="62" fillId="6" borderId="0" xfId="0" applyNumberFormat="1" applyFont="1" applyFill="1" applyAlignment="1">
      <alignment horizontal="right"/>
    </xf>
    <xf numFmtId="164" fontId="120" fillId="7" borderId="0" xfId="0" applyNumberFormat="1" applyFont="1" applyFill="1" applyAlignment="1">
      <alignment horizontal="right"/>
    </xf>
    <xf numFmtId="164" fontId="62" fillId="7" borderId="0" xfId="0" applyNumberFormat="1" applyFont="1" applyFill="1" applyAlignment="1">
      <alignment horizontal="right"/>
    </xf>
    <xf numFmtId="164" fontId="122" fillId="7" borderId="0" xfId="0" applyNumberFormat="1" applyFont="1" applyFill="1" applyAlignment="1">
      <alignment horizontal="right"/>
    </xf>
    <xf numFmtId="164" fontId="63" fillId="7" borderId="0" xfId="0" applyNumberFormat="1" applyFont="1" applyFill="1" applyAlignment="1">
      <alignment horizontal="right"/>
    </xf>
    <xf numFmtId="164" fontId="63" fillId="0" borderId="0" xfId="0" applyNumberFormat="1" applyFont="1" applyAlignment="1">
      <alignment horizontal="right"/>
    </xf>
    <xf numFmtId="164" fontId="54" fillId="0" borderId="0" xfId="0" applyNumberFormat="1" applyFont="1" applyAlignment="1">
      <alignment horizontal="right"/>
    </xf>
    <xf numFmtId="164" fontId="119" fillId="0" borderId="0" xfId="0" applyNumberFormat="1" applyFont="1" applyAlignment="1">
      <alignment horizontal="right"/>
    </xf>
    <xf numFmtId="164" fontId="62" fillId="7" borderId="0" xfId="0" applyNumberFormat="1" applyFont="1" applyFill="1" applyAlignment="1">
      <alignment horizontal="right" vertical="center"/>
    </xf>
    <xf numFmtId="164" fontId="63" fillId="7" borderId="0" xfId="0" applyNumberFormat="1" applyFont="1" applyFill="1" applyAlignment="1">
      <alignment horizontal="right" vertical="center"/>
    </xf>
    <xf numFmtId="164" fontId="27" fillId="7" borderId="0" xfId="0" applyNumberFormat="1" applyFont="1" applyFill="1" applyAlignment="1">
      <alignment horizontal="right"/>
    </xf>
    <xf numFmtId="164" fontId="88" fillId="7" borderId="0" xfId="0" applyNumberFormat="1" applyFont="1" applyFill="1" applyAlignment="1">
      <alignment horizontal="right"/>
    </xf>
    <xf numFmtId="164" fontId="88" fillId="0" borderId="0" xfId="0" applyNumberFormat="1" applyFont="1" applyAlignment="1">
      <alignment horizontal="right"/>
    </xf>
    <xf numFmtId="1" fontId="62" fillId="0" borderId="0" xfId="0" applyNumberFormat="1" applyFont="1" applyAlignment="1">
      <alignment horizontal="center"/>
    </xf>
    <xf numFmtId="1" fontId="62" fillId="7" borderId="0" xfId="0" applyNumberFormat="1" applyFont="1" applyFill="1" applyAlignment="1">
      <alignment horizontal="center"/>
    </xf>
    <xf numFmtId="164" fontId="54" fillId="0" borderId="0" xfId="0" applyNumberFormat="1" applyFont="1" applyAlignment="1">
      <alignment horizontal="center"/>
    </xf>
    <xf numFmtId="164" fontId="14" fillId="0" borderId="0" xfId="0" applyNumberFormat="1" applyFont="1" applyAlignment="1">
      <alignment horizontal="center"/>
    </xf>
    <xf numFmtId="164" fontId="119" fillId="12" borderId="0" xfId="0" applyNumberFormat="1" applyFont="1" applyFill="1" applyAlignment="1">
      <alignment horizontal="center"/>
    </xf>
    <xf numFmtId="164" fontId="54" fillId="7" borderId="0" xfId="0" applyNumberFormat="1" applyFont="1" applyFill="1" applyAlignment="1">
      <alignment horizontal="center"/>
    </xf>
    <xf numFmtId="164" fontId="62" fillId="6" borderId="0" xfId="0" applyNumberFormat="1" applyFont="1" applyFill="1" applyAlignment="1">
      <alignment horizontal="center"/>
    </xf>
    <xf numFmtId="0" fontId="62" fillId="7" borderId="0" xfId="0" applyFont="1" applyFill="1" applyAlignment="1">
      <alignment horizontal="left"/>
    </xf>
    <xf numFmtId="0" fontId="62" fillId="0" borderId="0" xfId="0" applyFont="1" applyAlignment="1">
      <alignment horizontal="left"/>
    </xf>
    <xf numFmtId="164" fontId="62" fillId="0" borderId="0" xfId="0" applyNumberFormat="1" applyFont="1" applyAlignment="1">
      <alignment horizontal="left"/>
    </xf>
    <xf numFmtId="1" fontId="13" fillId="0" borderId="0" xfId="0" applyNumberFormat="1" applyFont="1" applyAlignment="1">
      <alignment horizontal="center"/>
    </xf>
    <xf numFmtId="2" fontId="88" fillId="0" borderId="0" xfId="0" applyNumberFormat="1" applyFont="1" applyAlignment="1">
      <alignment horizontal="center"/>
    </xf>
    <xf numFmtId="166" fontId="88" fillId="0" borderId="0" xfId="0" applyNumberFormat="1" applyFont="1" applyAlignment="1">
      <alignment horizontal="center"/>
    </xf>
    <xf numFmtId="0" fontId="125" fillId="11" borderId="0" xfId="0" applyFont="1" applyFill="1" applyAlignment="1">
      <alignment horizontal="left"/>
    </xf>
    <xf numFmtId="0" fontId="25" fillId="11" borderId="0" xfId="0" applyFont="1" applyFill="1" applyAlignment="1">
      <alignment horizontal="left"/>
    </xf>
    <xf numFmtId="166" fontId="62" fillId="0" borderId="0" xfId="0" applyNumberFormat="1" applyFont="1" applyAlignment="1">
      <alignment horizontal="center"/>
    </xf>
    <xf numFmtId="168" fontId="59" fillId="0" borderId="0" xfId="5" applyNumberFormat="1" applyFont="1" applyFill="1" applyBorder="1" applyAlignment="1">
      <alignment horizontal="right"/>
    </xf>
    <xf numFmtId="164" fontId="59" fillId="0" borderId="0" xfId="0" applyNumberFormat="1" applyFont="1"/>
    <xf numFmtId="164" fontId="95" fillId="0" borderId="0" xfId="0" applyNumberFormat="1" applyFont="1" applyAlignment="1">
      <alignment horizontal="right"/>
    </xf>
    <xf numFmtId="1" fontId="59" fillId="0" borderId="0" xfId="0" applyNumberFormat="1" applyFont="1" applyAlignment="1">
      <alignment horizontal="right"/>
    </xf>
    <xf numFmtId="1" fontId="95" fillId="0" borderId="0" xfId="0" applyNumberFormat="1" applyFont="1" applyAlignment="1">
      <alignment horizontal="right"/>
    </xf>
    <xf numFmtId="1" fontId="57" fillId="0" borderId="0" xfId="0" applyNumberFormat="1" applyFont="1" applyAlignment="1">
      <alignment horizontal="right"/>
    </xf>
    <xf numFmtId="1" fontId="59" fillId="7" borderId="0" xfId="0" applyNumberFormat="1" applyFont="1" applyFill="1" applyAlignment="1">
      <alignment horizontal="right"/>
    </xf>
    <xf numFmtId="1" fontId="127" fillId="0" borderId="0" xfId="0" applyNumberFormat="1" applyFont="1" applyAlignment="1">
      <alignment horizontal="right"/>
    </xf>
    <xf numFmtId="164" fontId="95" fillId="0" borderId="0" xfId="0" applyNumberFormat="1" applyFont="1"/>
    <xf numFmtId="2" fontId="57" fillId="0" borderId="0" xfId="1" applyNumberFormat="1" applyFont="1" applyAlignment="1">
      <alignment horizontal="right"/>
    </xf>
    <xf numFmtId="2" fontId="95" fillId="0" borderId="0" xfId="0" applyNumberFormat="1" applyFont="1" applyAlignment="1">
      <alignment horizontal="right"/>
    </xf>
    <xf numFmtId="2" fontId="57" fillId="7" borderId="0" xfId="0" applyNumberFormat="1" applyFont="1" applyFill="1" applyAlignment="1">
      <alignment horizontal="right"/>
    </xf>
    <xf numFmtId="166" fontId="95" fillId="7" borderId="0" xfId="0" applyNumberFormat="1" applyFont="1" applyFill="1" applyAlignment="1">
      <alignment horizontal="right"/>
    </xf>
    <xf numFmtId="164" fontId="57" fillId="7" borderId="0" xfId="0" applyNumberFormat="1" applyFont="1" applyFill="1" applyAlignment="1">
      <alignment horizontal="right"/>
    </xf>
    <xf numFmtId="166" fontId="57" fillId="7" borderId="0" xfId="0" applyNumberFormat="1" applyFont="1" applyFill="1" applyAlignment="1">
      <alignment horizontal="right"/>
    </xf>
    <xf numFmtId="165" fontId="95" fillId="7" borderId="0" xfId="0" applyNumberFormat="1" applyFont="1" applyFill="1" applyAlignment="1">
      <alignment horizontal="right"/>
    </xf>
    <xf numFmtId="164" fontId="41" fillId="10" borderId="0" xfId="0" applyNumberFormat="1" applyFont="1" applyFill="1" applyAlignment="1">
      <alignment horizontal="right"/>
    </xf>
    <xf numFmtId="1" fontId="57" fillId="7" borderId="0" xfId="0" applyNumberFormat="1" applyFont="1" applyFill="1" applyAlignment="1">
      <alignment horizontal="right"/>
    </xf>
    <xf numFmtId="0" fontId="128" fillId="21" borderId="12" xfId="0" applyFont="1" applyFill="1" applyBorder="1"/>
    <xf numFmtId="0" fontId="25" fillId="21" borderId="13" xfId="0" applyFont="1" applyFill="1" applyBorder="1" applyAlignment="1">
      <alignment horizontal="right"/>
    </xf>
    <xf numFmtId="0" fontId="129" fillId="21" borderId="13" xfId="0" applyFont="1" applyFill="1" applyBorder="1"/>
    <xf numFmtId="0" fontId="25" fillId="21" borderId="12" xfId="0" applyFont="1" applyFill="1" applyBorder="1"/>
    <xf numFmtId="0" fontId="130" fillId="21" borderId="12" xfId="0" applyFont="1" applyFill="1" applyBorder="1"/>
    <xf numFmtId="0" fontId="131" fillId="21" borderId="12" xfId="0" applyFont="1" applyFill="1" applyBorder="1"/>
    <xf numFmtId="0" fontId="130" fillId="21" borderId="13" xfId="0" applyFont="1" applyFill="1" applyBorder="1"/>
    <xf numFmtId="0" fontId="132" fillId="21" borderId="12" xfId="0" applyFont="1" applyFill="1" applyBorder="1" applyAlignment="1">
      <alignment horizontal="left" wrapText="1"/>
    </xf>
    <xf numFmtId="0" fontId="133" fillId="21" borderId="12" xfId="0" applyFont="1" applyFill="1" applyBorder="1" applyAlignment="1">
      <alignment horizontal="left" wrapText="1"/>
    </xf>
    <xf numFmtId="0" fontId="134" fillId="21" borderId="12" xfId="0" applyFont="1" applyFill="1" applyBorder="1" applyAlignment="1">
      <alignment horizontal="left" wrapText="1"/>
    </xf>
    <xf numFmtId="0" fontId="130" fillId="21" borderId="14" xfId="0" applyFont="1" applyFill="1" applyBorder="1"/>
    <xf numFmtId="0" fontId="33" fillId="0" borderId="0" xfId="6" applyFont="1"/>
    <xf numFmtId="165" fontId="33" fillId="7" borderId="0" xfId="0" applyNumberFormat="1" applyFont="1" applyFill="1"/>
    <xf numFmtId="165" fontId="39" fillId="7" borderId="0" xfId="0" applyNumberFormat="1" applyFont="1" applyFill="1"/>
    <xf numFmtId="165" fontId="57" fillId="7" borderId="0" xfId="0" applyNumberFormat="1" applyFont="1" applyFill="1"/>
    <xf numFmtId="0" fontId="136" fillId="13" borderId="0" xfId="0" applyFont="1" applyFill="1"/>
    <xf numFmtId="0" fontId="5" fillId="0" borderId="0" xfId="0" applyFont="1"/>
    <xf numFmtId="0" fontId="137" fillId="13" borderId="0" xfId="0" applyFont="1" applyFill="1"/>
    <xf numFmtId="164" fontId="9" fillId="0" borderId="0" xfId="0" applyNumberFormat="1" applyFont="1" applyAlignment="1">
      <alignment horizontal="left"/>
    </xf>
    <xf numFmtId="0" fontId="138" fillId="0" borderId="0" xfId="0" applyFont="1"/>
    <xf numFmtId="0" fontId="139" fillId="0" borderId="0" xfId="0" applyFont="1"/>
    <xf numFmtId="0" fontId="5" fillId="0" borderId="0" xfId="0" applyFont="1" applyAlignment="1">
      <alignment horizontal="left"/>
    </xf>
    <xf numFmtId="0" fontId="138" fillId="0" borderId="0" xfId="0" applyFont="1" applyAlignment="1">
      <alignment horizontal="left"/>
    </xf>
    <xf numFmtId="0" fontId="140" fillId="0" borderId="0" xfId="0" applyFont="1" applyAlignment="1">
      <alignment horizontal="left"/>
    </xf>
    <xf numFmtId="0" fontId="141" fillId="0" borderId="0" xfId="0" applyFont="1" applyAlignment="1">
      <alignment horizontal="left"/>
    </xf>
    <xf numFmtId="0" fontId="0" fillId="0" borderId="0" xfId="0" applyAlignment="1">
      <alignment horizontal="left"/>
    </xf>
    <xf numFmtId="0" fontId="141" fillId="0" borderId="0" xfId="0" applyFont="1"/>
    <xf numFmtId="0" fontId="0" fillId="0" borderId="0" xfId="0" applyAlignment="1">
      <alignment horizontal="left" indent="1"/>
    </xf>
    <xf numFmtId="0" fontId="139" fillId="0" borderId="0" xfId="0" applyFont="1" applyAlignment="1">
      <alignment horizontal="left" indent="1"/>
    </xf>
    <xf numFmtId="0" fontId="143" fillId="0" borderId="0" xfId="0" applyFont="1" applyAlignment="1">
      <alignment horizontal="left"/>
    </xf>
    <xf numFmtId="0" fontId="116" fillId="0" borderId="0" xfId="0" applyFont="1"/>
    <xf numFmtId="0" fontId="9" fillId="0" borderId="0" xfId="0" applyFont="1" applyAlignment="1">
      <alignment horizontal="left"/>
    </xf>
    <xf numFmtId="164" fontId="62" fillId="6" borderId="0" xfId="0" applyNumberFormat="1" applyFont="1" applyFill="1"/>
    <xf numFmtId="164" fontId="88" fillId="6" borderId="0" xfId="0" applyNumberFormat="1" applyFont="1" applyFill="1"/>
    <xf numFmtId="1" fontId="88" fillId="0" borderId="0" xfId="0" applyNumberFormat="1" applyFont="1"/>
    <xf numFmtId="3" fontId="95" fillId="0" borderId="0" xfId="0" applyNumberFormat="1" applyFont="1"/>
    <xf numFmtId="164" fontId="19" fillId="0" borderId="0" xfId="0" applyNumberFormat="1" applyFont="1"/>
    <xf numFmtId="1" fontId="59" fillId="0" borderId="0" xfId="0" applyNumberFormat="1" applyFont="1"/>
    <xf numFmtId="164" fontId="37" fillId="0" borderId="0" xfId="0" applyNumberFormat="1" applyFont="1"/>
    <xf numFmtId="164" fontId="57" fillId="0" borderId="0" xfId="0" applyNumberFormat="1" applyFont="1"/>
    <xf numFmtId="164" fontId="56" fillId="0" borderId="0" xfId="0" applyNumberFormat="1" applyFont="1"/>
    <xf numFmtId="1" fontId="144" fillId="7" borderId="0" xfId="0" applyNumberFormat="1" applyFont="1" applyFill="1"/>
    <xf numFmtId="1" fontId="95" fillId="0" borderId="0" xfId="0" applyNumberFormat="1" applyFont="1"/>
    <xf numFmtId="169" fontId="95" fillId="0" borderId="0" xfId="0" applyNumberFormat="1" applyFont="1"/>
    <xf numFmtId="164" fontId="13" fillId="0" borderId="0" xfId="0" applyNumberFormat="1" applyFont="1"/>
    <xf numFmtId="2" fontId="9" fillId="0" borderId="0" xfId="0" applyNumberFormat="1" applyFont="1"/>
    <xf numFmtId="164" fontId="145" fillId="0" borderId="0" xfId="0" applyNumberFormat="1" applyFont="1"/>
    <xf numFmtId="1" fontId="146" fillId="0" borderId="0" xfId="0" applyNumberFormat="1" applyFont="1"/>
    <xf numFmtId="164" fontId="147" fillId="0" borderId="0" xfId="0" applyNumberFormat="1" applyFont="1"/>
    <xf numFmtId="164" fontId="146" fillId="0" borderId="0" xfId="0" applyNumberFormat="1" applyFont="1"/>
    <xf numFmtId="1" fontId="62" fillId="6" borderId="0" xfId="0" applyNumberFormat="1" applyFont="1" applyFill="1"/>
    <xf numFmtId="1" fontId="108" fillId="6" borderId="0" xfId="0" applyNumberFormat="1" applyFont="1" applyFill="1"/>
    <xf numFmtId="1" fontId="89" fillId="7" borderId="0" xfId="0" applyNumberFormat="1" applyFont="1" applyFill="1"/>
    <xf numFmtId="1" fontId="147" fillId="7" borderId="0" xfId="0" applyNumberFormat="1" applyFont="1" applyFill="1"/>
    <xf numFmtId="0" fontId="59" fillId="0" borderId="0" xfId="0" applyFont="1"/>
    <xf numFmtId="164" fontId="36" fillId="0" borderId="0" xfId="0" applyNumberFormat="1" applyFont="1"/>
    <xf numFmtId="1" fontId="147" fillId="0" borderId="0" xfId="0" applyNumberFormat="1" applyFont="1"/>
    <xf numFmtId="1" fontId="59" fillId="6" borderId="0" xfId="0" applyNumberFormat="1" applyFont="1" applyFill="1"/>
    <xf numFmtId="2" fontId="95" fillId="0" borderId="0" xfId="0" applyNumberFormat="1" applyFont="1"/>
    <xf numFmtId="3" fontId="88" fillId="0" borderId="0" xfId="0" applyNumberFormat="1" applyFont="1"/>
    <xf numFmtId="165" fontId="19" fillId="7" borderId="0" xfId="0" applyNumberFormat="1" applyFont="1" applyFill="1"/>
    <xf numFmtId="0" fontId="126" fillId="7" borderId="0" xfId="0" applyFont="1" applyFill="1"/>
    <xf numFmtId="164" fontId="0" fillId="18" borderId="0" xfId="0" applyNumberFormat="1" applyFill="1"/>
    <xf numFmtId="164" fontId="148" fillId="7" borderId="0" xfId="0" applyNumberFormat="1" applyFont="1" applyFill="1"/>
    <xf numFmtId="164" fontId="148" fillId="0" borderId="0" xfId="0" applyNumberFormat="1" applyFont="1"/>
    <xf numFmtId="164" fontId="149" fillId="0" borderId="0" xfId="0" applyNumberFormat="1" applyFont="1"/>
    <xf numFmtId="164" fontId="150" fillId="0" borderId="0" xfId="0" applyNumberFormat="1" applyFont="1"/>
    <xf numFmtId="164" fontId="73" fillId="7" borderId="0" xfId="0" applyNumberFormat="1" applyFont="1" applyFill="1"/>
    <xf numFmtId="164" fontId="151" fillId="0" borderId="0" xfId="0" applyNumberFormat="1" applyFont="1"/>
    <xf numFmtId="0" fontId="153" fillId="0" borderId="0" xfId="0" applyFont="1" applyAlignment="1">
      <alignment horizontal="left"/>
    </xf>
    <xf numFmtId="164" fontId="74" fillId="7" borderId="0" xfId="0" applyNumberFormat="1" applyFont="1" applyFill="1"/>
    <xf numFmtId="0" fontId="155" fillId="0" borderId="0" xfId="0" applyFont="1" applyAlignment="1">
      <alignment horizontal="left"/>
    </xf>
    <xf numFmtId="164" fontId="158" fillId="6" borderId="0" xfId="0" applyNumberFormat="1" applyFont="1" applyFill="1"/>
    <xf numFmtId="164" fontId="158" fillId="0" borderId="0" xfId="0" applyNumberFormat="1" applyFont="1"/>
    <xf numFmtId="1" fontId="159" fillId="0" borderId="0" xfId="0" applyNumberFormat="1" applyFont="1"/>
    <xf numFmtId="1" fontId="160" fillId="0" borderId="0" xfId="0" applyNumberFormat="1" applyFont="1"/>
    <xf numFmtId="0" fontId="4" fillId="0" borderId="0" xfId="0" applyFont="1"/>
    <xf numFmtId="1" fontId="4" fillId="0" borderId="0" xfId="0" applyNumberFormat="1" applyFont="1"/>
    <xf numFmtId="164" fontId="9" fillId="0" borderId="0" xfId="0" applyNumberFormat="1" applyFont="1" applyAlignment="1">
      <alignment horizontal="left" wrapText="1"/>
    </xf>
    <xf numFmtId="164" fontId="161" fillId="0" borderId="0" xfId="0" applyNumberFormat="1" applyFont="1"/>
    <xf numFmtId="164" fontId="162" fillId="0" borderId="0" xfId="0" applyNumberFormat="1" applyFont="1"/>
    <xf numFmtId="164" fontId="159" fillId="0" borderId="0" xfId="0" applyNumberFormat="1" applyFont="1"/>
    <xf numFmtId="164" fontId="4" fillId="0" borderId="0" xfId="0" applyNumberFormat="1" applyFont="1"/>
    <xf numFmtId="0" fontId="141" fillId="0" borderId="0" xfId="0" applyFont="1" applyAlignment="1">
      <alignment horizontal="left" wrapText="1"/>
    </xf>
    <xf numFmtId="0" fontId="142" fillId="0" borderId="0" xfId="0" applyFont="1" applyAlignment="1">
      <alignment horizontal="left" wrapText="1"/>
    </xf>
    <xf numFmtId="0" fontId="65" fillId="6" borderId="0" xfId="0" applyFont="1" applyFill="1"/>
    <xf numFmtId="0" fontId="105" fillId="0" borderId="0" xfId="0" applyFont="1" applyAlignment="1">
      <alignment horizontal="left"/>
    </xf>
    <xf numFmtId="0" fontId="105" fillId="6" borderId="0" xfId="0" applyFont="1" applyFill="1" applyAlignment="1">
      <alignment horizontal="left"/>
    </xf>
    <xf numFmtId="1" fontId="165" fillId="7" borderId="0" xfId="0" applyNumberFormat="1" applyFont="1" applyFill="1"/>
    <xf numFmtId="1" fontId="141" fillId="0" borderId="0" xfId="0" applyNumberFormat="1" applyFont="1"/>
    <xf numFmtId="164" fontId="166" fillId="0" borderId="0" xfId="0" applyNumberFormat="1" applyFont="1"/>
    <xf numFmtId="164" fontId="65" fillId="6" borderId="0" xfId="0" applyNumberFormat="1" applyFont="1" applyFill="1"/>
    <xf numFmtId="0" fontId="65" fillId="6" borderId="0" xfId="0" applyFont="1" applyFill="1" applyAlignment="1">
      <alignment horizontal="left"/>
    </xf>
    <xf numFmtId="164" fontId="141" fillId="0" borderId="0" xfId="0" applyNumberFormat="1" applyFont="1"/>
    <xf numFmtId="0" fontId="141" fillId="0" borderId="0" xfId="0" applyFont="1" applyAlignment="1">
      <alignment wrapText="1"/>
    </xf>
    <xf numFmtId="0" fontId="116" fillId="0" borderId="0" xfId="0" applyFont="1" applyAlignment="1">
      <alignment wrapText="1"/>
    </xf>
    <xf numFmtId="0" fontId="116" fillId="0" borderId="0" xfId="0" applyFont="1" applyAlignment="1">
      <alignment horizontal="left" wrapText="1"/>
    </xf>
    <xf numFmtId="164" fontId="126" fillId="0" borderId="0" xfId="0" applyNumberFormat="1" applyFont="1"/>
    <xf numFmtId="0" fontId="128" fillId="21" borderId="11" xfId="0" applyFont="1" applyFill="1" applyBorder="1" applyAlignment="1">
      <alignment wrapText="1"/>
    </xf>
    <xf numFmtId="164" fontId="168" fillId="21" borderId="0" xfId="6" applyNumberFormat="1" applyFont="1" applyFill="1"/>
    <xf numFmtId="164" fontId="170" fillId="0" borderId="0" xfId="6" applyNumberFormat="1" applyFont="1"/>
    <xf numFmtId="164" fontId="169" fillId="0" borderId="0" xfId="6" applyNumberFormat="1" applyFont="1"/>
    <xf numFmtId="164" fontId="168" fillId="0" borderId="0" xfId="6" applyNumberFormat="1" applyFont="1"/>
    <xf numFmtId="164" fontId="171" fillId="0" borderId="0" xfId="6" applyNumberFormat="1" applyFont="1"/>
    <xf numFmtId="0" fontId="172" fillId="0" borderId="0" xfId="6" applyFont="1"/>
    <xf numFmtId="164" fontId="172" fillId="0" borderId="0" xfId="6" applyNumberFormat="1" applyFont="1"/>
    <xf numFmtId="0" fontId="173" fillId="0" borderId="0" xfId="6" applyFont="1"/>
    <xf numFmtId="164" fontId="170" fillId="0" borderId="15" xfId="6" applyNumberFormat="1" applyFont="1" applyBorder="1"/>
    <xf numFmtId="164" fontId="173" fillId="0" borderId="0" xfId="6" applyNumberFormat="1" applyFont="1"/>
    <xf numFmtId="0" fontId="9" fillId="0" borderId="2" xfId="0" applyFont="1" applyBorder="1"/>
    <xf numFmtId="0" fontId="9" fillId="0" borderId="2" xfId="0" applyFont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wrapText="1"/>
    </xf>
    <xf numFmtId="164" fontId="9" fillId="0" borderId="2" xfId="0" applyNumberFormat="1" applyFont="1" applyBorder="1" applyAlignment="1">
      <alignment horizontal="center" vertical="center"/>
    </xf>
    <xf numFmtId="164" fontId="9" fillId="7" borderId="2" xfId="0" applyNumberFormat="1" applyFont="1" applyFill="1" applyBorder="1" applyAlignment="1">
      <alignment horizontal="center" vertical="center"/>
    </xf>
    <xf numFmtId="164" fontId="9" fillId="0" borderId="16" xfId="0" applyNumberFormat="1" applyFont="1" applyBorder="1" applyAlignment="1">
      <alignment horizontal="center"/>
    </xf>
    <xf numFmtId="164" fontId="9" fillId="0" borderId="2" xfId="0" applyNumberFormat="1" applyFont="1" applyBorder="1" applyAlignment="1">
      <alignment wrapText="1"/>
    </xf>
    <xf numFmtId="0" fontId="9" fillId="0" borderId="2" xfId="0" applyFont="1" applyBorder="1" applyAlignment="1">
      <alignment horizontal="left" wrapText="1"/>
    </xf>
    <xf numFmtId="164" fontId="9" fillId="0" borderId="2" xfId="0" applyNumberFormat="1" applyFont="1" applyBorder="1" applyAlignment="1">
      <alignment horizontal="center"/>
    </xf>
    <xf numFmtId="164" fontId="9" fillId="6" borderId="2" xfId="0" applyNumberFormat="1" applyFont="1" applyFill="1" applyBorder="1" applyAlignment="1">
      <alignment horizontal="center" vertical="center"/>
    </xf>
    <xf numFmtId="164" fontId="116" fillId="0" borderId="2" xfId="0" applyNumberFormat="1" applyFont="1" applyBorder="1" applyAlignment="1">
      <alignment wrapText="1"/>
    </xf>
    <xf numFmtId="1" fontId="0" fillId="0" borderId="2" xfId="0" applyNumberFormat="1" applyBorder="1" applyAlignment="1">
      <alignment horizontal="center" vertical="center"/>
    </xf>
    <xf numFmtId="164" fontId="0" fillId="6" borderId="2" xfId="0" applyNumberFormat="1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7" borderId="2" xfId="0" applyNumberFormat="1" applyFill="1" applyBorder="1" applyAlignment="1">
      <alignment horizontal="center" vertical="center"/>
    </xf>
    <xf numFmtId="164" fontId="116" fillId="0" borderId="0" xfId="0" applyNumberFormat="1" applyFont="1"/>
    <xf numFmtId="164" fontId="0" fillId="7" borderId="0" xfId="0" applyNumberFormat="1" applyFill="1"/>
    <xf numFmtId="9" fontId="0" fillId="0" borderId="0" xfId="0" applyNumberFormat="1" applyAlignment="1">
      <alignment horizontal="center" vertical="center"/>
    </xf>
    <xf numFmtId="9" fontId="0" fillId="7" borderId="0" xfId="0" applyNumberFormat="1" applyFill="1" applyAlignment="1">
      <alignment horizontal="center" vertical="center"/>
    </xf>
    <xf numFmtId="9" fontId="0" fillId="6" borderId="0" xfId="0" applyNumberFormat="1" applyFill="1" applyAlignment="1">
      <alignment horizontal="center" vertical="center"/>
    </xf>
    <xf numFmtId="0" fontId="0" fillId="7" borderId="0" xfId="0" applyFill="1"/>
    <xf numFmtId="1" fontId="0" fillId="0" borderId="0" xfId="0" applyNumberFormat="1" applyAlignment="1">
      <alignment horizontal="center" vertical="center"/>
    </xf>
    <xf numFmtId="1" fontId="0" fillId="6" borderId="0" xfId="0" applyNumberFormat="1" applyFill="1" applyAlignment="1">
      <alignment horizontal="center" vertical="center"/>
    </xf>
    <xf numFmtId="0" fontId="175" fillId="0" borderId="0" xfId="0" applyFont="1" applyAlignment="1">
      <alignment wrapText="1"/>
    </xf>
    <xf numFmtId="0" fontId="126" fillId="0" borderId="0" xfId="0" applyFont="1"/>
    <xf numFmtId="164" fontId="152" fillId="0" borderId="0" xfId="0" applyNumberFormat="1" applyFont="1"/>
    <xf numFmtId="164" fontId="61" fillId="0" borderId="0" xfId="0" applyNumberFormat="1" applyFont="1"/>
    <xf numFmtId="0" fontId="64" fillId="0" borderId="0" xfId="0" applyFont="1" applyAlignment="1">
      <alignment vertical="center"/>
    </xf>
    <xf numFmtId="2" fontId="0" fillId="22" borderId="0" xfId="0" applyNumberFormat="1" applyFill="1"/>
    <xf numFmtId="164" fontId="61" fillId="22" borderId="0" xfId="0" applyNumberFormat="1" applyFont="1" applyFill="1"/>
    <xf numFmtId="164" fontId="176" fillId="7" borderId="0" xfId="0" applyNumberFormat="1" applyFont="1" applyFill="1"/>
    <xf numFmtId="164" fontId="101" fillId="0" borderId="0" xfId="0" applyNumberFormat="1" applyFont="1"/>
    <xf numFmtId="0" fontId="14" fillId="23" borderId="2" xfId="0" applyFont="1" applyFill="1" applyBorder="1"/>
    <xf numFmtId="0" fontId="13" fillId="23" borderId="2" xfId="0" applyFont="1" applyFill="1" applyBorder="1" applyAlignment="1">
      <alignment horizontal="center"/>
    </xf>
    <xf numFmtId="164" fontId="62" fillId="23" borderId="2" xfId="0" applyNumberFormat="1" applyFont="1" applyFill="1" applyBorder="1" applyAlignment="1">
      <alignment vertical="center"/>
    </xf>
    <xf numFmtId="164" fontId="36" fillId="23" borderId="2" xfId="0" applyNumberFormat="1" applyFont="1" applyFill="1" applyBorder="1" applyAlignment="1">
      <alignment vertical="center"/>
    </xf>
    <xf numFmtId="0" fontId="0" fillId="23" borderId="0" xfId="0" applyFill="1"/>
    <xf numFmtId="0" fontId="13" fillId="23" borderId="2" xfId="0" applyFont="1" applyFill="1" applyBorder="1"/>
    <xf numFmtId="164" fontId="62" fillId="23" borderId="2" xfId="0" applyNumberFormat="1" applyFont="1" applyFill="1" applyBorder="1" applyAlignment="1">
      <alignment horizontal="center" vertical="center"/>
    </xf>
    <xf numFmtId="164" fontId="54" fillId="23" borderId="2" xfId="0" applyNumberFormat="1" applyFont="1" applyFill="1" applyBorder="1" applyAlignment="1">
      <alignment vertical="center"/>
    </xf>
    <xf numFmtId="164" fontId="55" fillId="23" borderId="2" xfId="0" applyNumberFormat="1" applyFont="1" applyFill="1" applyBorder="1" applyAlignment="1">
      <alignment vertical="center"/>
    </xf>
    <xf numFmtId="0" fontId="13" fillId="23" borderId="2" xfId="0" applyFont="1" applyFill="1" applyBorder="1" applyAlignment="1">
      <alignment wrapText="1"/>
    </xf>
    <xf numFmtId="0" fontId="14" fillId="23" borderId="4" xfId="0" applyFont="1" applyFill="1" applyBorder="1" applyAlignment="1">
      <alignment horizontal="center" vertical="center"/>
    </xf>
    <xf numFmtId="0" fontId="13" fillId="23" borderId="4" xfId="0" applyFont="1" applyFill="1" applyBorder="1" applyAlignment="1">
      <alignment wrapText="1"/>
    </xf>
    <xf numFmtId="164" fontId="177" fillId="7" borderId="0" xfId="0" applyNumberFormat="1" applyFont="1" applyFill="1" applyAlignment="1">
      <alignment horizontal="center" vertical="center" wrapText="1"/>
    </xf>
    <xf numFmtId="0" fontId="139" fillId="15" borderId="0" xfId="0" applyFont="1" applyFill="1"/>
    <xf numFmtId="164" fontId="179" fillId="0" borderId="0" xfId="0" applyNumberFormat="1" applyFont="1" applyAlignment="1">
      <alignment horizontal="right"/>
    </xf>
    <xf numFmtId="164" fontId="178" fillId="7" borderId="0" xfId="0" applyNumberFormat="1" applyFont="1" applyFill="1" applyAlignment="1">
      <alignment horizontal="right" vertical="center"/>
    </xf>
    <xf numFmtId="164" fontId="180" fillId="0" borderId="2" xfId="0" applyNumberFormat="1" applyFont="1" applyBorder="1" applyAlignment="1">
      <alignment vertical="center"/>
    </xf>
    <xf numFmtId="164" fontId="178" fillId="23" borderId="2" xfId="0" applyNumberFormat="1" applyFont="1" applyFill="1" applyBorder="1" applyAlignment="1">
      <alignment vertical="center"/>
    </xf>
    <xf numFmtId="164" fontId="178" fillId="7" borderId="2" xfId="0" applyNumberFormat="1" applyFont="1" applyFill="1" applyBorder="1" applyAlignment="1">
      <alignment vertical="center"/>
    </xf>
    <xf numFmtId="0" fontId="181" fillId="0" borderId="0" xfId="0" applyFont="1"/>
    <xf numFmtId="164" fontId="87" fillId="0" borderId="0" xfId="0" applyNumberFormat="1" applyFont="1"/>
    <xf numFmtId="0" fontId="9" fillId="0" borderId="0" xfId="0" applyFont="1" applyAlignment="1">
      <alignment horizontal="center"/>
    </xf>
    <xf numFmtId="49" fontId="183" fillId="24" borderId="2" xfId="8" applyNumberFormat="1" applyFont="1" applyFill="1" applyBorder="1" applyAlignment="1">
      <alignment vertical="top" wrapText="1" shrinkToFit="1"/>
    </xf>
    <xf numFmtId="164" fontId="183" fillId="24" borderId="2" xfId="8" applyNumberFormat="1" applyFont="1" applyFill="1" applyBorder="1" applyAlignment="1">
      <alignment vertical="top" wrapText="1"/>
    </xf>
    <xf numFmtId="164" fontId="180" fillId="0" borderId="0" xfId="1" applyNumberFormat="1" applyFont="1"/>
    <xf numFmtId="164" fontId="178" fillId="0" borderId="0" xfId="1" applyNumberFormat="1" applyFont="1"/>
    <xf numFmtId="164" fontId="144" fillId="7" borderId="0" xfId="0" applyNumberFormat="1" applyFont="1" applyFill="1" applyAlignment="1">
      <alignment horizontal="center" vertical="center" wrapText="1"/>
    </xf>
    <xf numFmtId="1" fontId="179" fillId="0" borderId="0" xfId="0" applyNumberFormat="1" applyFont="1" applyAlignment="1">
      <alignment horizontal="center"/>
    </xf>
    <xf numFmtId="164" fontId="144" fillId="7" borderId="0" xfId="0" applyNumberFormat="1" applyFont="1" applyFill="1" applyAlignment="1">
      <alignment horizontal="center"/>
    </xf>
    <xf numFmtId="164" fontId="179" fillId="7" borderId="0" xfId="0" applyNumberFormat="1" applyFont="1" applyFill="1" applyAlignment="1">
      <alignment horizontal="right"/>
    </xf>
    <xf numFmtId="164" fontId="178" fillId="0" borderId="0" xfId="0" applyNumberFormat="1" applyFont="1" applyAlignment="1">
      <alignment horizontal="right"/>
    </xf>
    <xf numFmtId="164" fontId="178" fillId="12" borderId="0" xfId="0" applyNumberFormat="1" applyFont="1" applyFill="1" applyAlignment="1">
      <alignment horizontal="center"/>
    </xf>
    <xf numFmtId="1" fontId="184" fillId="0" borderId="0" xfId="0" applyNumberFormat="1" applyFont="1"/>
    <xf numFmtId="0" fontId="87" fillId="6" borderId="0" xfId="0" applyFont="1" applyFill="1"/>
    <xf numFmtId="164" fontId="185" fillId="0" borderId="0" xfId="0" applyNumberFormat="1" applyFont="1"/>
    <xf numFmtId="164" fontId="178" fillId="0" borderId="0" xfId="0" applyNumberFormat="1" applyFont="1"/>
    <xf numFmtId="1" fontId="178" fillId="0" borderId="0" xfId="0" applyNumberFormat="1" applyFont="1"/>
    <xf numFmtId="0" fontId="186" fillId="0" borderId="0" xfId="0" applyFont="1"/>
    <xf numFmtId="164" fontId="187" fillId="7" borderId="0" xfId="0" applyNumberFormat="1" applyFont="1" applyFill="1" applyAlignment="1">
      <alignment horizontal="right" vertical="center"/>
    </xf>
    <xf numFmtId="164" fontId="188" fillId="7" borderId="0" xfId="0" applyNumberFormat="1" applyFont="1" applyFill="1" applyAlignment="1">
      <alignment horizontal="right" vertical="center"/>
    </xf>
    <xf numFmtId="164" fontId="188" fillId="6" borderId="0" xfId="0" applyNumberFormat="1" applyFont="1" applyFill="1"/>
    <xf numFmtId="165" fontId="178" fillId="0" borderId="0" xfId="0" applyNumberFormat="1" applyFont="1"/>
    <xf numFmtId="164" fontId="186" fillId="0" borderId="0" xfId="0" applyNumberFormat="1" applyFont="1"/>
    <xf numFmtId="1" fontId="189" fillId="0" borderId="0" xfId="0" applyNumberFormat="1" applyFont="1"/>
    <xf numFmtId="164" fontId="191" fillId="0" borderId="0" xfId="6" applyNumberFormat="1" applyFont="1"/>
    <xf numFmtId="164" fontId="192" fillId="0" borderId="0" xfId="6" applyNumberFormat="1" applyFont="1"/>
    <xf numFmtId="14" fontId="9" fillId="0" borderId="0" xfId="0" applyNumberFormat="1" applyFont="1"/>
    <xf numFmtId="164" fontId="188" fillId="0" borderId="0" xfId="0" applyNumberFormat="1" applyFont="1" applyAlignment="1">
      <alignment horizontal="center"/>
    </xf>
    <xf numFmtId="164" fontId="188" fillId="0" borderId="0" xfId="0" applyNumberFormat="1" applyFont="1" applyAlignment="1">
      <alignment horizontal="center" vertical="center"/>
    </xf>
    <xf numFmtId="164" fontId="120" fillId="7" borderId="2" xfId="0" applyNumberFormat="1" applyFont="1" applyFill="1" applyBorder="1" applyAlignment="1">
      <alignment vertical="center"/>
    </xf>
    <xf numFmtId="164" fontId="195" fillId="0" borderId="0" xfId="0" applyNumberFormat="1" applyFont="1"/>
    <xf numFmtId="164" fontId="120" fillId="7" borderId="2" xfId="0" applyNumberFormat="1" applyFont="1" applyFill="1" applyBorder="1" applyAlignment="1">
      <alignment horizontal="right" vertical="center"/>
    </xf>
    <xf numFmtId="0" fontId="167" fillId="7" borderId="2" xfId="0" applyFont="1" applyFill="1" applyBorder="1" applyAlignment="1">
      <alignment horizontal="center"/>
    </xf>
    <xf numFmtId="164" fontId="196" fillId="7" borderId="2" xfId="0" applyNumberFormat="1" applyFont="1" applyFill="1" applyBorder="1" applyAlignment="1">
      <alignment horizontal="right" vertical="center"/>
    </xf>
    <xf numFmtId="1" fontId="158" fillId="0" borderId="0" xfId="0" applyNumberFormat="1" applyFont="1"/>
    <xf numFmtId="1" fontId="197" fillId="7" borderId="0" xfId="0" applyNumberFormat="1" applyFont="1" applyFill="1"/>
    <xf numFmtId="1" fontId="198" fillId="0" borderId="0" xfId="0" applyNumberFormat="1" applyFont="1"/>
    <xf numFmtId="164" fontId="113" fillId="0" borderId="2" xfId="0" applyNumberFormat="1" applyFont="1" applyBorder="1" applyAlignment="1">
      <alignment horizontal="right" vertical="center"/>
    </xf>
    <xf numFmtId="2" fontId="87" fillId="6" borderId="0" xfId="0" applyNumberFormat="1" applyFont="1" applyFill="1"/>
    <xf numFmtId="164" fontId="0" fillId="25" borderId="0" xfId="0" applyNumberFormat="1" applyFill="1"/>
    <xf numFmtId="0" fontId="195" fillId="0" borderId="0" xfId="0" applyFont="1"/>
    <xf numFmtId="164" fontId="120" fillId="0" borderId="0" xfId="0" applyNumberFormat="1" applyFont="1" applyAlignment="1">
      <alignment horizontal="right"/>
    </xf>
    <xf numFmtId="1" fontId="200" fillId="0" borderId="0" xfId="0" applyNumberFormat="1" applyFont="1" applyAlignment="1">
      <alignment horizontal="left"/>
    </xf>
    <xf numFmtId="164" fontId="200" fillId="0" borderId="0" xfId="0" applyNumberFormat="1" applyFont="1" applyAlignment="1">
      <alignment horizontal="left"/>
    </xf>
    <xf numFmtId="1" fontId="200" fillId="7" borderId="0" xfId="0" applyNumberFormat="1" applyFont="1" applyFill="1" applyAlignment="1">
      <alignment horizontal="left"/>
    </xf>
    <xf numFmtId="1" fontId="200" fillId="0" borderId="0" xfId="0" applyNumberFormat="1" applyFont="1" applyAlignment="1">
      <alignment horizontal="left" vertical="top" wrapText="1"/>
    </xf>
    <xf numFmtId="2" fontId="195" fillId="0" borderId="0" xfId="0" applyNumberFormat="1" applyFont="1"/>
    <xf numFmtId="1" fontId="201" fillId="0" borderId="0" xfId="0" applyNumberFormat="1" applyFont="1" applyAlignment="1">
      <alignment horizontal="right"/>
    </xf>
    <xf numFmtId="164" fontId="201" fillId="0" borderId="0" xfId="0" applyNumberFormat="1" applyFont="1" applyAlignment="1">
      <alignment horizontal="right"/>
    </xf>
    <xf numFmtId="166" fontId="118" fillId="0" borderId="0" xfId="0" applyNumberFormat="1" applyFont="1" applyAlignment="1">
      <alignment horizontal="right"/>
    </xf>
    <xf numFmtId="164" fontId="195" fillId="7" borderId="0" xfId="0" applyNumberFormat="1" applyFont="1" applyFill="1"/>
    <xf numFmtId="0" fontId="202" fillId="7" borderId="0" xfId="0" applyFont="1" applyFill="1"/>
    <xf numFmtId="164" fontId="203" fillId="0" borderId="0" xfId="0" applyNumberFormat="1" applyFont="1"/>
    <xf numFmtId="164" fontId="203" fillId="7" borderId="0" xfId="0" applyNumberFormat="1" applyFont="1" applyFill="1"/>
    <xf numFmtId="164" fontId="204" fillId="26" borderId="0" xfId="0" applyNumberFormat="1" applyFont="1" applyFill="1"/>
    <xf numFmtId="164" fontId="192" fillId="14" borderId="0" xfId="6" applyNumberFormat="1" applyFont="1" applyFill="1"/>
    <xf numFmtId="164" fontId="191" fillId="14" borderId="0" xfId="6" applyNumberFormat="1" applyFont="1" applyFill="1"/>
    <xf numFmtId="164" fontId="191" fillId="27" borderId="0" xfId="6" applyNumberFormat="1" applyFont="1" applyFill="1"/>
    <xf numFmtId="0" fontId="130" fillId="27" borderId="14" xfId="0" applyFont="1" applyFill="1" applyBorder="1"/>
    <xf numFmtId="0" fontId="9" fillId="27" borderId="0" xfId="0" applyFont="1" applyFill="1"/>
    <xf numFmtId="164" fontId="0" fillId="28" borderId="0" xfId="0" applyNumberFormat="1" applyFill="1"/>
    <xf numFmtId="0" fontId="0" fillId="28" borderId="0" xfId="0" applyFill="1"/>
    <xf numFmtId="164" fontId="9" fillId="28" borderId="0" xfId="0" applyNumberFormat="1" applyFont="1" applyFill="1"/>
    <xf numFmtId="1" fontId="0" fillId="28" borderId="0" xfId="0" applyNumberFormat="1" applyFill="1"/>
    <xf numFmtId="166" fontId="120" fillId="0" borderId="0" xfId="0" applyNumberFormat="1" applyFont="1"/>
    <xf numFmtId="166" fontId="90" fillId="7" borderId="0" xfId="0" applyNumberFormat="1" applyFont="1" applyFill="1"/>
    <xf numFmtId="164" fontId="205" fillId="0" borderId="0" xfId="0" applyNumberFormat="1" applyFont="1"/>
    <xf numFmtId="1" fontId="87" fillId="0" borderId="0" xfId="0" applyNumberFormat="1" applyFont="1"/>
    <xf numFmtId="1" fontId="200" fillId="0" borderId="0" xfId="0" applyNumberFormat="1" applyFont="1" applyAlignment="1">
      <alignment horizontal="right"/>
    </xf>
    <xf numFmtId="1" fontId="206" fillId="0" borderId="0" xfId="0" applyNumberFormat="1" applyFont="1" applyAlignment="1">
      <alignment horizontal="right"/>
    </xf>
    <xf numFmtId="1" fontId="200" fillId="0" borderId="0" xfId="0" applyNumberFormat="1" applyFont="1" applyAlignment="1">
      <alignment horizontal="right" vertical="top"/>
    </xf>
    <xf numFmtId="1" fontId="200" fillId="7" borderId="0" xfId="0" applyNumberFormat="1" applyFont="1" applyFill="1" applyAlignment="1">
      <alignment horizontal="right" vertical="top"/>
    </xf>
    <xf numFmtId="164" fontId="200" fillId="0" borderId="0" xfId="0" applyNumberFormat="1" applyFont="1" applyAlignment="1">
      <alignment horizontal="right"/>
    </xf>
    <xf numFmtId="164" fontId="200" fillId="7" borderId="0" xfId="0" applyNumberFormat="1" applyFont="1" applyFill="1" applyAlignment="1">
      <alignment horizontal="right"/>
    </xf>
    <xf numFmtId="1" fontId="200" fillId="7" borderId="0" xfId="0" applyNumberFormat="1" applyFont="1" applyFill="1" applyAlignment="1">
      <alignment horizontal="center" vertical="center"/>
    </xf>
    <xf numFmtId="0" fontId="200" fillId="0" borderId="0" xfId="0" applyFont="1"/>
    <xf numFmtId="1" fontId="95" fillId="0" borderId="0" xfId="0" applyNumberFormat="1" applyFont="1" applyAlignment="1">
      <alignment horizontal="center" vertical="center" wrapText="1"/>
    </xf>
    <xf numFmtId="1" fontId="120" fillId="0" borderId="0" xfId="0" applyNumberFormat="1" applyFont="1" applyAlignment="1">
      <alignment horizontal="center"/>
    </xf>
    <xf numFmtId="164" fontId="120" fillId="0" borderId="0" xfId="0" applyNumberFormat="1" applyFont="1" applyAlignment="1">
      <alignment horizontal="center"/>
    </xf>
    <xf numFmtId="164" fontId="120" fillId="7" borderId="0" xfId="0" applyNumberFormat="1" applyFont="1" applyFill="1" applyAlignment="1">
      <alignment horizontal="center"/>
    </xf>
    <xf numFmtId="164" fontId="196" fillId="0" borderId="0" xfId="0" applyNumberFormat="1" applyFont="1" applyAlignment="1">
      <alignment horizontal="center"/>
    </xf>
    <xf numFmtId="0" fontId="207" fillId="11" borderId="0" xfId="0" applyFont="1" applyFill="1"/>
    <xf numFmtId="164" fontId="120" fillId="6" borderId="0" xfId="0" applyNumberFormat="1" applyFont="1" applyFill="1" applyAlignment="1">
      <alignment horizontal="center"/>
    </xf>
    <xf numFmtId="0" fontId="195" fillId="11" borderId="0" xfId="0" applyFont="1" applyFill="1"/>
    <xf numFmtId="164" fontId="120" fillId="0" borderId="0" xfId="0" applyNumberFormat="1" applyFont="1" applyAlignment="1">
      <alignment horizontal="left"/>
    </xf>
    <xf numFmtId="166" fontId="120" fillId="0" borderId="0" xfId="0" applyNumberFormat="1" applyFont="1" applyAlignment="1">
      <alignment horizontal="center"/>
    </xf>
    <xf numFmtId="2" fontId="120" fillId="0" borderId="0" xfId="0" applyNumberFormat="1" applyFont="1" applyAlignment="1">
      <alignment horizontal="center"/>
    </xf>
    <xf numFmtId="164" fontId="120" fillId="0" borderId="2" xfId="0" applyNumberFormat="1" applyFont="1" applyBorder="1" applyAlignment="1">
      <alignment horizontal="right" vertical="center"/>
    </xf>
    <xf numFmtId="0" fontId="166" fillId="0" borderId="0" xfId="0" applyFont="1"/>
    <xf numFmtId="2" fontId="13" fillId="0" borderId="0" xfId="0" applyNumberFormat="1" applyFont="1" applyAlignment="1">
      <alignment horizontal="right"/>
    </xf>
    <xf numFmtId="0" fontId="0" fillId="0" borderId="18" xfId="0" applyBorder="1"/>
    <xf numFmtId="3" fontId="9" fillId="0" borderId="0" xfId="0" applyNumberFormat="1" applyFont="1"/>
    <xf numFmtId="0" fontId="48" fillId="15" borderId="0" xfId="0" applyFont="1" applyFill="1"/>
    <xf numFmtId="0" fontId="0" fillId="15" borderId="18" xfId="0" applyFill="1" applyBorder="1"/>
    <xf numFmtId="0" fontId="0" fillId="14" borderId="18" xfId="0" applyFill="1" applyBorder="1"/>
    <xf numFmtId="0" fontId="13" fillId="16" borderId="0" xfId="0" applyFont="1" applyFill="1" applyAlignment="1">
      <alignment horizontal="left"/>
    </xf>
    <xf numFmtId="0" fontId="124" fillId="16" borderId="0" xfId="0" applyFont="1" applyFill="1" applyAlignment="1">
      <alignment horizontal="left"/>
    </xf>
    <xf numFmtId="0" fontId="50" fillId="16" borderId="0" xfId="0" applyFont="1" applyFill="1" applyAlignment="1">
      <alignment horizontal="left"/>
    </xf>
    <xf numFmtId="1" fontId="48" fillId="16" borderId="0" xfId="0" applyNumberFormat="1" applyFont="1" applyFill="1"/>
    <xf numFmtId="0" fontId="67" fillId="16" borderId="0" xfId="0" applyFont="1" applyFill="1" applyAlignment="1">
      <alignment horizontal="left"/>
    </xf>
    <xf numFmtId="0" fontId="87" fillId="16" borderId="0" xfId="0" applyFont="1" applyFill="1"/>
    <xf numFmtId="0" fontId="14" fillId="0" borderId="0" xfId="0" applyFont="1" applyAlignment="1">
      <alignment horizontal="center"/>
    </xf>
    <xf numFmtId="0" fontId="199" fillId="0" borderId="0" xfId="0" applyFont="1"/>
    <xf numFmtId="1" fontId="9" fillId="0" borderId="0" xfId="0" applyNumberFormat="1" applyFont="1"/>
    <xf numFmtId="0" fontId="13" fillId="0" borderId="3" xfId="0" applyFont="1" applyBorder="1" applyAlignment="1">
      <alignment horizontal="center" vertical="center" wrapText="1"/>
    </xf>
    <xf numFmtId="1" fontId="83" fillId="0" borderId="0" xfId="0" applyNumberFormat="1" applyFont="1" applyAlignment="1">
      <alignment horizontal="center"/>
    </xf>
    <xf numFmtId="1" fontId="78" fillId="0" borderId="0" xfId="0" applyNumberFormat="1" applyFont="1" applyAlignment="1">
      <alignment horizontal="center"/>
    </xf>
    <xf numFmtId="164" fontId="15" fillId="0" borderId="0" xfId="0" applyNumberFormat="1" applyFont="1" applyAlignment="1">
      <alignment horizontal="center"/>
    </xf>
    <xf numFmtId="1" fontId="103" fillId="7" borderId="0" xfId="0" applyNumberFormat="1" applyFont="1" applyFill="1" applyAlignment="1">
      <alignment horizontal="center"/>
    </xf>
    <xf numFmtId="1" fontId="93" fillId="7" borderId="0" xfId="0" applyNumberFormat="1" applyFont="1" applyFill="1" applyAlignment="1">
      <alignment horizontal="center"/>
    </xf>
    <xf numFmtId="164" fontId="104" fillId="0" borderId="0" xfId="0" applyNumberFormat="1" applyFont="1" applyAlignment="1">
      <alignment horizontal="center"/>
    </xf>
    <xf numFmtId="1" fontId="82" fillId="0" borderId="0" xfId="0" applyNumberFormat="1" applyFont="1" applyAlignment="1">
      <alignment horizontal="center"/>
    </xf>
    <xf numFmtId="1" fontId="86" fillId="0" borderId="0" xfId="0" applyNumberFormat="1" applyFont="1" applyAlignment="1">
      <alignment horizontal="center"/>
    </xf>
    <xf numFmtId="164" fontId="183" fillId="24" borderId="0" xfId="8" applyNumberFormat="1" applyFont="1" applyFill="1" applyAlignment="1">
      <alignment vertical="top" wrapText="1"/>
    </xf>
    <xf numFmtId="0" fontId="13" fillId="0" borderId="4" xfId="0" applyFont="1" applyBorder="1" applyAlignment="1">
      <alignment vertical="center" wrapText="1"/>
    </xf>
    <xf numFmtId="0" fontId="36" fillId="0" borderId="0" xfId="0" applyFont="1"/>
    <xf numFmtId="0" fontId="36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00" fillId="0" borderId="0" xfId="0" applyFont="1" applyAlignment="1">
      <alignment horizontal="center"/>
    </xf>
    <xf numFmtId="1" fontId="77" fillId="0" borderId="0" xfId="0" applyNumberFormat="1" applyFont="1"/>
    <xf numFmtId="0" fontId="77" fillId="0" borderId="0" xfId="0" applyFont="1" applyAlignment="1">
      <alignment vertical="center"/>
    </xf>
    <xf numFmtId="1" fontId="77" fillId="0" borderId="0" xfId="0" applyNumberFormat="1" applyFont="1" applyAlignment="1">
      <alignment vertical="center"/>
    </xf>
    <xf numFmtId="1" fontId="77" fillId="0" borderId="0" xfId="0" applyNumberFormat="1" applyFont="1" applyAlignment="1">
      <alignment horizontal="left" vertical="center" wrapText="1"/>
    </xf>
    <xf numFmtId="1" fontId="77" fillId="0" borderId="0" xfId="0" applyNumberFormat="1" applyFont="1" applyAlignment="1">
      <alignment horizontal="left"/>
    </xf>
    <xf numFmtId="1" fontId="79" fillId="0" borderId="0" xfId="0" applyNumberFormat="1" applyFont="1" applyAlignment="1">
      <alignment horizontal="left" vertical="top" wrapText="1"/>
    </xf>
    <xf numFmtId="2" fontId="77" fillId="0" borderId="0" xfId="0" applyNumberFormat="1" applyFont="1" applyAlignment="1">
      <alignment horizontal="left" vertical="top" wrapText="1"/>
    </xf>
    <xf numFmtId="1" fontId="77" fillId="0" borderId="0" xfId="0" applyNumberFormat="1" applyFont="1" applyAlignment="1">
      <alignment horizontal="center" vertical="center" wrapText="1"/>
    </xf>
    <xf numFmtId="1" fontId="78" fillId="0" borderId="0" xfId="0" applyNumberFormat="1" applyFont="1" applyAlignment="1">
      <alignment horizontal="left"/>
    </xf>
    <xf numFmtId="0" fontId="79" fillId="0" borderId="0" xfId="0" applyFont="1" applyAlignment="1">
      <alignment vertical="center"/>
    </xf>
    <xf numFmtId="0" fontId="81" fillId="0" borderId="0" xfId="0" applyFont="1" applyAlignment="1">
      <alignment vertical="center"/>
    </xf>
    <xf numFmtId="166" fontId="86" fillId="0" borderId="0" xfId="0" applyNumberFormat="1" applyFont="1" applyAlignment="1">
      <alignment horizontal="left"/>
    </xf>
    <xf numFmtId="164" fontId="86" fillId="0" borderId="0" xfId="0" applyNumberFormat="1" applyFont="1" applyAlignment="1">
      <alignment horizontal="left" vertical="top" wrapText="1"/>
    </xf>
    <xf numFmtId="0" fontId="77" fillId="0" borderId="0" xfId="0" applyFont="1" applyAlignment="1">
      <alignment horizontal="center" vertical="center" wrapText="1"/>
    </xf>
    <xf numFmtId="164" fontId="77" fillId="0" borderId="0" xfId="0" applyNumberFormat="1" applyFont="1" applyAlignment="1">
      <alignment horizontal="center" vertical="center" wrapText="1"/>
    </xf>
    <xf numFmtId="0" fontId="80" fillId="0" borderId="0" xfId="0" applyFont="1" applyAlignment="1">
      <alignment horizontal="center" vertical="center" wrapText="1"/>
    </xf>
    <xf numFmtId="1" fontId="15" fillId="0" borderId="0" xfId="0" applyNumberFormat="1" applyFont="1" applyAlignment="1">
      <alignment horizontal="center" vertical="top" wrapText="1"/>
    </xf>
    <xf numFmtId="164" fontId="79" fillId="0" borderId="0" xfId="0" applyNumberFormat="1" applyFont="1" applyAlignment="1">
      <alignment horizontal="center" vertical="center" wrapText="1"/>
    </xf>
    <xf numFmtId="164" fontId="78" fillId="0" borderId="0" xfId="0" applyNumberFormat="1" applyFont="1" applyAlignment="1">
      <alignment horizontal="center" vertical="center"/>
    </xf>
    <xf numFmtId="164" fontId="78" fillId="0" borderId="0" xfId="0" applyNumberFormat="1" applyFont="1" applyAlignment="1">
      <alignment vertical="center"/>
    </xf>
    <xf numFmtId="1" fontId="213" fillId="0" borderId="0" xfId="0" applyNumberFormat="1" applyFont="1" applyAlignment="1">
      <alignment horizontal="center"/>
    </xf>
    <xf numFmtId="0" fontId="86" fillId="0" borderId="0" xfId="0" applyFont="1" applyAlignment="1">
      <alignment horizontal="center" vertical="center" wrapText="1"/>
    </xf>
    <xf numFmtId="164" fontId="176" fillId="0" borderId="0" xfId="0" applyNumberFormat="1" applyFont="1" applyAlignment="1">
      <alignment horizontal="center" vertical="center"/>
    </xf>
    <xf numFmtId="0" fontId="176" fillId="0" borderId="0" xfId="0" applyFont="1" applyAlignment="1">
      <alignment horizontal="center" vertical="center" wrapText="1"/>
    </xf>
    <xf numFmtId="0" fontId="80" fillId="0" borderId="0" xfId="0" applyFont="1" applyAlignment="1">
      <alignment vertical="center"/>
    </xf>
    <xf numFmtId="164" fontId="77" fillId="0" borderId="0" xfId="0" applyNumberFormat="1" applyFont="1"/>
    <xf numFmtId="2" fontId="77" fillId="0" borderId="0" xfId="0" applyNumberFormat="1" applyFont="1"/>
    <xf numFmtId="1" fontId="82" fillId="0" borderId="0" xfId="0" applyNumberFormat="1" applyFont="1"/>
    <xf numFmtId="1" fontId="94" fillId="0" borderId="0" xfId="0" applyNumberFormat="1" applyFont="1"/>
    <xf numFmtId="0" fontId="94" fillId="0" borderId="0" xfId="0" applyFont="1"/>
    <xf numFmtId="1" fontId="77" fillId="0" borderId="0" xfId="0" applyNumberFormat="1" applyFont="1" applyAlignment="1">
      <alignment horizontal="right" vertical="top" wrapText="1"/>
    </xf>
    <xf numFmtId="1" fontId="79" fillId="7" borderId="0" xfId="0" applyNumberFormat="1" applyFont="1" applyFill="1" applyAlignment="1">
      <alignment horizontal="right" vertical="top"/>
    </xf>
    <xf numFmtId="1" fontId="78" fillId="0" borderId="0" xfId="0" applyNumberFormat="1" applyFont="1" applyAlignment="1">
      <alignment horizontal="right"/>
    </xf>
    <xf numFmtId="1" fontId="81" fillId="0" borderId="0" xfId="0" applyNumberFormat="1" applyFont="1" applyAlignment="1">
      <alignment horizontal="right"/>
    </xf>
    <xf numFmtId="0" fontId="78" fillId="0" borderId="0" xfId="0" applyFont="1" applyAlignment="1">
      <alignment horizontal="center" vertical="center" wrapText="1"/>
    </xf>
    <xf numFmtId="1" fontId="86" fillId="0" borderId="0" xfId="0" applyNumberFormat="1" applyFont="1" applyAlignment="1">
      <alignment horizontal="right" vertical="top" wrapText="1"/>
    </xf>
    <xf numFmtId="1" fontId="86" fillId="7" borderId="0" xfId="0" applyNumberFormat="1" applyFont="1" applyFill="1" applyAlignment="1">
      <alignment horizontal="center"/>
    </xf>
    <xf numFmtId="1" fontId="101" fillId="0" borderId="0" xfId="0" applyNumberFormat="1" applyFont="1" applyAlignment="1">
      <alignment horizontal="right" vertical="top"/>
    </xf>
    <xf numFmtId="1" fontId="215" fillId="0" borderId="0" xfId="0" applyNumberFormat="1" applyFont="1" applyAlignment="1">
      <alignment horizontal="right"/>
    </xf>
    <xf numFmtId="1" fontId="101" fillId="0" borderId="0" xfId="0" applyNumberFormat="1" applyFont="1" applyAlignment="1">
      <alignment horizontal="right"/>
    </xf>
    <xf numFmtId="164" fontId="82" fillId="7" borderId="0" xfId="0" applyNumberFormat="1" applyFont="1" applyFill="1" applyAlignment="1">
      <alignment horizontal="right"/>
    </xf>
    <xf numFmtId="2" fontId="82" fillId="0" borderId="0" xfId="0" applyNumberFormat="1" applyFont="1" applyAlignment="1">
      <alignment horizontal="center"/>
    </xf>
    <xf numFmtId="164" fontId="82" fillId="0" borderId="0" xfId="0" applyNumberFormat="1" applyFont="1" applyAlignment="1">
      <alignment horizontal="right"/>
    </xf>
    <xf numFmtId="0" fontId="82" fillId="0" borderId="0" xfId="0" applyFont="1" applyAlignment="1">
      <alignment horizontal="center"/>
    </xf>
    <xf numFmtId="164" fontId="84" fillId="7" borderId="0" xfId="0" applyNumberFormat="1" applyFont="1" applyFill="1" applyAlignment="1">
      <alignment horizontal="right"/>
    </xf>
    <xf numFmtId="164" fontId="79" fillId="0" borderId="0" xfId="0" applyNumberFormat="1" applyFont="1" applyAlignment="1">
      <alignment horizontal="right"/>
    </xf>
    <xf numFmtId="164" fontId="216" fillId="7" borderId="0" xfId="0" applyNumberFormat="1" applyFont="1" applyFill="1"/>
    <xf numFmtId="164" fontId="79" fillId="7" borderId="0" xfId="0" applyNumberFormat="1" applyFont="1" applyFill="1" applyAlignment="1">
      <alignment horizontal="right"/>
    </xf>
    <xf numFmtId="164" fontId="216" fillId="7" borderId="0" xfId="0" applyNumberFormat="1" applyFont="1" applyFill="1" applyAlignment="1">
      <alignment horizontal="center"/>
    </xf>
    <xf numFmtId="0" fontId="78" fillId="0" borderId="0" xfId="0" applyFont="1" applyAlignment="1">
      <alignment horizontal="center"/>
    </xf>
    <xf numFmtId="1" fontId="78" fillId="0" borderId="0" xfId="0" applyNumberFormat="1" applyFont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86" fillId="0" borderId="0" xfId="0" applyFont="1" applyAlignment="1">
      <alignment horizontal="center" vertical="center"/>
    </xf>
    <xf numFmtId="0" fontId="62" fillId="0" borderId="2" xfId="0" applyFont="1" applyBorder="1" applyAlignment="1">
      <alignment horizontal="center" vertical="center"/>
    </xf>
    <xf numFmtId="164" fontId="54" fillId="0" borderId="17" xfId="0" applyNumberFormat="1" applyFont="1" applyBorder="1" applyAlignment="1">
      <alignment horizontal="center" vertical="center"/>
    </xf>
    <xf numFmtId="0" fontId="62" fillId="0" borderId="17" xfId="0" applyFont="1" applyBorder="1" applyAlignment="1">
      <alignment horizontal="center" vertical="center"/>
    </xf>
    <xf numFmtId="0" fontId="54" fillId="0" borderId="17" xfId="0" applyFont="1" applyBorder="1" applyAlignment="1">
      <alignment horizontal="center" vertical="center"/>
    </xf>
    <xf numFmtId="164" fontId="62" fillId="0" borderId="17" xfId="0" applyNumberFormat="1" applyFont="1" applyBorder="1" applyAlignment="1">
      <alignment horizontal="center" vertical="center"/>
    </xf>
    <xf numFmtId="0" fontId="62" fillId="0" borderId="9" xfId="0" applyFont="1" applyBorder="1" applyAlignment="1">
      <alignment horizontal="center" vertical="center"/>
    </xf>
    <xf numFmtId="164" fontId="88" fillId="0" borderId="20" xfId="0" applyNumberFormat="1" applyFont="1" applyBorder="1" applyAlignment="1">
      <alignment horizontal="center" vertical="center"/>
    </xf>
    <xf numFmtId="164" fontId="88" fillId="0" borderId="2" xfId="0" applyNumberFormat="1" applyFont="1" applyBorder="1" applyAlignment="1">
      <alignment horizontal="center" vertical="center"/>
    </xf>
    <xf numFmtId="164" fontId="88" fillId="0" borderId="3" xfId="0" applyNumberFormat="1" applyFont="1" applyBorder="1" applyAlignment="1">
      <alignment horizontal="center" vertical="center"/>
    </xf>
    <xf numFmtId="164" fontId="88" fillId="0" borderId="17" xfId="0" applyNumberFormat="1" applyFont="1" applyBorder="1" applyAlignment="1">
      <alignment horizontal="center" vertical="center"/>
    </xf>
    <xf numFmtId="0" fontId="62" fillId="0" borderId="3" xfId="0" applyFont="1" applyBorder="1" applyAlignment="1">
      <alignment horizontal="center" vertical="center"/>
    </xf>
    <xf numFmtId="0" fontId="62" fillId="0" borderId="20" xfId="0" applyFont="1" applyBorder="1" applyAlignment="1">
      <alignment horizontal="center" vertical="center"/>
    </xf>
    <xf numFmtId="0" fontId="62" fillId="0" borderId="4" xfId="0" applyFont="1" applyBorder="1" applyAlignment="1">
      <alignment horizontal="center" vertical="center"/>
    </xf>
    <xf numFmtId="0" fontId="62" fillId="0" borderId="18" xfId="0" applyFont="1" applyBorder="1" applyAlignment="1">
      <alignment horizontal="center" vertical="center"/>
    </xf>
    <xf numFmtId="0" fontId="54" fillId="0" borderId="3" xfId="0" applyFont="1" applyBorder="1" applyAlignment="1">
      <alignment horizontal="center" vertical="center"/>
    </xf>
    <xf numFmtId="0" fontId="54" fillId="0" borderId="20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64" fontId="62" fillId="0" borderId="22" xfId="0" applyNumberFormat="1" applyFont="1" applyBorder="1" applyAlignment="1">
      <alignment horizontal="center" vertical="center"/>
    </xf>
    <xf numFmtId="0" fontId="62" fillId="0" borderId="8" xfId="0" applyFont="1" applyBorder="1" applyAlignment="1">
      <alignment horizontal="center" vertical="center"/>
    </xf>
    <xf numFmtId="0" fontId="62" fillId="0" borderId="6" xfId="0" applyFont="1" applyBorder="1" applyAlignment="1">
      <alignment horizontal="center" vertical="center"/>
    </xf>
    <xf numFmtId="0" fontId="62" fillId="0" borderId="23" xfId="0" applyFont="1" applyBorder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62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164" fontId="62" fillId="0" borderId="8" xfId="0" applyNumberFormat="1" applyFont="1" applyBorder="1" applyAlignment="1">
      <alignment horizontal="center" vertical="center" wrapText="1"/>
    </xf>
    <xf numFmtId="0" fontId="62" fillId="0" borderId="8" xfId="0" applyFont="1" applyBorder="1" applyAlignment="1">
      <alignment horizontal="center" vertical="center" wrapText="1"/>
    </xf>
    <xf numFmtId="0" fontId="62" fillId="0" borderId="22" xfId="0" applyFont="1" applyBorder="1" applyAlignment="1">
      <alignment horizontal="center" vertical="center"/>
    </xf>
    <xf numFmtId="0" fontId="62" fillId="0" borderId="4" xfId="0" applyFont="1" applyBorder="1" applyAlignment="1">
      <alignment horizontal="center" vertical="center" wrapText="1"/>
    </xf>
    <xf numFmtId="0" fontId="62" fillId="0" borderId="6" xfId="0" applyFont="1" applyBorder="1" applyAlignment="1">
      <alignment horizontal="center" vertical="center" wrapText="1"/>
    </xf>
    <xf numFmtId="164" fontId="62" fillId="0" borderId="18" xfId="0" applyNumberFormat="1" applyFont="1" applyBorder="1" applyAlignment="1">
      <alignment horizontal="center" vertical="center"/>
    </xf>
    <xf numFmtId="164" fontId="62" fillId="0" borderId="4" xfId="0" applyNumberFormat="1" applyFont="1" applyBorder="1" applyAlignment="1">
      <alignment horizontal="center" vertical="center" wrapText="1"/>
    </xf>
    <xf numFmtId="0" fontId="62" fillId="0" borderId="3" xfId="0" applyFont="1" applyBorder="1" applyAlignment="1">
      <alignment horizontal="center" vertical="center" wrapText="1"/>
    </xf>
    <xf numFmtId="164" fontId="62" fillId="0" borderId="2" xfId="0" applyNumberFormat="1" applyFont="1" applyBorder="1" applyAlignment="1">
      <alignment horizontal="center" vertical="center"/>
    </xf>
    <xf numFmtId="0" fontId="36" fillId="0" borderId="2" xfId="0" applyFont="1" applyBorder="1" applyAlignment="1">
      <alignment horizontal="center" vertical="center"/>
    </xf>
    <xf numFmtId="0" fontId="36" fillId="0" borderId="2" xfId="0" applyFont="1" applyBorder="1" applyAlignment="1">
      <alignment horizontal="center" vertical="center" wrapText="1"/>
    </xf>
    <xf numFmtId="0" fontId="54" fillId="0" borderId="21" xfId="0" applyFont="1" applyBorder="1" applyAlignment="1">
      <alignment horizontal="center" vertical="center"/>
    </xf>
    <xf numFmtId="164" fontId="62" fillId="0" borderId="20" xfId="0" applyNumberFormat="1" applyFont="1" applyBorder="1" applyAlignment="1">
      <alignment horizontal="center" vertical="center"/>
    </xf>
    <xf numFmtId="0" fontId="62" fillId="0" borderId="21" xfId="0" applyFont="1" applyBorder="1" applyAlignment="1">
      <alignment horizontal="center" vertical="center"/>
    </xf>
    <xf numFmtId="0" fontId="62" fillId="0" borderId="7" xfId="0" applyFont="1" applyBorder="1" applyAlignment="1">
      <alignment horizontal="center" vertical="center" wrapText="1"/>
    </xf>
    <xf numFmtId="0" fontId="62" fillId="0" borderId="9" xfId="0" applyFont="1" applyBorder="1" applyAlignment="1">
      <alignment horizontal="center" vertical="center" wrapText="1"/>
    </xf>
    <xf numFmtId="164" fontId="62" fillId="0" borderId="7" xfId="0" applyNumberFormat="1" applyFont="1" applyBorder="1" applyAlignment="1">
      <alignment horizontal="center" vertical="center" wrapText="1"/>
    </xf>
    <xf numFmtId="164" fontId="62" fillId="0" borderId="3" xfId="0" applyNumberFormat="1" applyFont="1" applyBorder="1" applyAlignment="1">
      <alignment horizontal="center" vertical="center" wrapText="1"/>
    </xf>
    <xf numFmtId="164" fontId="62" fillId="0" borderId="24" xfId="0" applyNumberFormat="1" applyFont="1" applyBorder="1" applyAlignment="1">
      <alignment horizontal="center" vertical="center"/>
    </xf>
    <xf numFmtId="164" fontId="62" fillId="0" borderId="8" xfId="0" applyNumberFormat="1" applyFont="1" applyBorder="1" applyAlignment="1">
      <alignment horizontal="center" vertical="center"/>
    </xf>
    <xf numFmtId="1" fontId="62" fillId="7" borderId="2" xfId="0" applyNumberFormat="1" applyFont="1" applyFill="1" applyBorder="1" applyAlignment="1">
      <alignment horizontal="center" vertical="center"/>
    </xf>
    <xf numFmtId="1" fontId="13" fillId="0" borderId="0" xfId="1" applyNumberFormat="1" applyFont="1"/>
    <xf numFmtId="1" fontId="13" fillId="7" borderId="0" xfId="1" applyNumberFormat="1" applyFont="1" applyFill="1"/>
    <xf numFmtId="1" fontId="36" fillId="0" borderId="0" xfId="1" applyNumberFormat="1" applyFont="1"/>
    <xf numFmtId="1" fontId="59" fillId="0" borderId="0" xfId="1" applyNumberFormat="1" applyFont="1"/>
    <xf numFmtId="0" fontId="62" fillId="0" borderId="0" xfId="1" applyFont="1"/>
    <xf numFmtId="1" fontId="62" fillId="0" borderId="0" xfId="1" applyNumberFormat="1" applyFont="1"/>
    <xf numFmtId="1" fontId="62" fillId="7" borderId="0" xfId="1" applyNumberFormat="1" applyFont="1" applyFill="1"/>
    <xf numFmtId="1" fontId="54" fillId="0" borderId="0" xfId="1" applyNumberFormat="1" applyFont="1"/>
    <xf numFmtId="1" fontId="19" fillId="0" borderId="0" xfId="1" applyNumberFormat="1" applyFont="1"/>
    <xf numFmtId="0" fontId="63" fillId="0" borderId="0" xfId="1" applyFont="1"/>
    <xf numFmtId="1" fontId="63" fillId="0" borderId="0" xfId="1" applyNumberFormat="1" applyFont="1"/>
    <xf numFmtId="0" fontId="9" fillId="0" borderId="0" xfId="0" applyFont="1" applyAlignment="1">
      <alignment horizontal="left" wrapText="1"/>
    </xf>
    <xf numFmtId="0" fontId="130" fillId="0" borderId="15" xfId="0" applyFont="1" applyBorder="1"/>
    <xf numFmtId="0" fontId="134" fillId="0" borderId="0" xfId="0" applyFont="1" applyAlignment="1">
      <alignment horizontal="left" wrapText="1"/>
    </xf>
    <xf numFmtId="0" fontId="133" fillId="0" borderId="0" xfId="0" applyFont="1" applyAlignment="1">
      <alignment horizontal="left" wrapText="1"/>
    </xf>
    <xf numFmtId="0" fontId="132" fillId="0" borderId="0" xfId="0" applyFont="1" applyAlignment="1">
      <alignment horizontal="left" wrapText="1"/>
    </xf>
    <xf numFmtId="0" fontId="131" fillId="0" borderId="0" xfId="0" applyFont="1"/>
    <xf numFmtId="0" fontId="130" fillId="0" borderId="0" xfId="0" applyFont="1"/>
    <xf numFmtId="0" fontId="25" fillId="0" borderId="0" xfId="0" applyFont="1"/>
    <xf numFmtId="0" fontId="129" fillId="0" borderId="0" xfId="0" applyFont="1"/>
    <xf numFmtId="0" fontId="25" fillId="0" borderId="0" xfId="0" applyFont="1" applyAlignment="1">
      <alignment horizontal="right"/>
    </xf>
    <xf numFmtId="0" fontId="128" fillId="0" borderId="0" xfId="0" applyFont="1"/>
    <xf numFmtId="164" fontId="13" fillId="0" borderId="0" xfId="1" applyNumberFormat="1" applyFont="1"/>
    <xf numFmtId="0" fontId="13" fillId="30" borderId="0" xfId="1" applyFont="1" applyFill="1"/>
    <xf numFmtId="164" fontId="234" fillId="0" borderId="0" xfId="1" applyNumberFormat="1" applyFont="1"/>
    <xf numFmtId="164" fontId="88" fillId="0" borderId="0" xfId="1" applyNumberFormat="1" applyFont="1"/>
    <xf numFmtId="164" fontId="36" fillId="0" borderId="0" xfId="1" applyNumberFormat="1" applyFont="1"/>
    <xf numFmtId="164" fontId="13" fillId="0" borderId="0" xfId="1" applyNumberFormat="1" applyFont="1" applyAlignment="1">
      <alignment horizontal="right"/>
    </xf>
    <xf numFmtId="164" fontId="113" fillId="0" borderId="0" xfId="1" applyNumberFormat="1" applyFont="1" applyAlignment="1">
      <alignment horizontal="right"/>
    </xf>
    <xf numFmtId="164" fontId="36" fillId="0" borderId="0" xfId="1" applyNumberFormat="1" applyFont="1" applyAlignment="1">
      <alignment horizontal="right"/>
    </xf>
    <xf numFmtId="164" fontId="113" fillId="0" borderId="0" xfId="1" applyNumberFormat="1" applyFont="1"/>
    <xf numFmtId="0" fontId="23" fillId="0" borderId="0" xfId="0" applyFont="1" applyAlignment="1">
      <alignment horizontal="center" vertical="center" wrapText="1"/>
    </xf>
    <xf numFmtId="1" fontId="13" fillId="0" borderId="0" xfId="0" applyNumberFormat="1" applyFont="1" applyAlignment="1">
      <alignment horizontal="center" vertical="center" wrapText="1"/>
    </xf>
    <xf numFmtId="2" fontId="13" fillId="0" borderId="0" xfId="1" applyNumberFormat="1" applyFont="1"/>
    <xf numFmtId="2" fontId="88" fillId="0" borderId="0" xfId="1" applyNumberFormat="1" applyFont="1"/>
    <xf numFmtId="1" fontId="62" fillId="0" borderId="0" xfId="0" applyNumberFormat="1" applyFont="1" applyAlignment="1">
      <alignment horizontal="center" vertical="center" wrapText="1"/>
    </xf>
    <xf numFmtId="2" fontId="113" fillId="0" borderId="0" xfId="1" applyNumberFormat="1" applyFont="1"/>
    <xf numFmtId="164" fontId="113" fillId="0" borderId="0" xfId="0" applyNumberFormat="1" applyFont="1" applyAlignment="1">
      <alignment horizontal="center"/>
    </xf>
    <xf numFmtId="166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 vertical="center" wrapText="1"/>
    </xf>
    <xf numFmtId="1" fontId="23" fillId="0" borderId="0" xfId="0" applyNumberFormat="1" applyFont="1" applyAlignment="1">
      <alignment horizontal="center" vertical="center" wrapText="1"/>
    </xf>
    <xf numFmtId="2" fontId="55" fillId="0" borderId="0" xfId="0" applyNumberFormat="1" applyFont="1" applyAlignment="1">
      <alignment horizontal="center"/>
    </xf>
    <xf numFmtId="2" fontId="56" fillId="0" borderId="0" xfId="0" applyNumberFormat="1" applyFont="1" applyAlignment="1">
      <alignment horizontal="center"/>
    </xf>
    <xf numFmtId="1" fontId="146" fillId="0" borderId="0" xfId="0" applyNumberFormat="1" applyFont="1" applyAlignment="1">
      <alignment horizontal="center"/>
    </xf>
    <xf numFmtId="1" fontId="54" fillId="0" borderId="0" xfId="0" applyNumberFormat="1" applyFont="1" applyAlignment="1">
      <alignment horizontal="center" vertical="center" wrapText="1"/>
    </xf>
    <xf numFmtId="1" fontId="222" fillId="0" borderId="0" xfId="0" applyNumberFormat="1" applyFont="1" applyAlignment="1">
      <alignment horizontal="center" vertical="center"/>
    </xf>
    <xf numFmtId="1" fontId="222" fillId="0" borderId="0" xfId="0" applyNumberFormat="1" applyFont="1" applyAlignment="1">
      <alignment horizontal="center"/>
    </xf>
    <xf numFmtId="2" fontId="222" fillId="0" borderId="0" xfId="0" applyNumberFormat="1" applyFont="1" applyAlignment="1">
      <alignment horizontal="center"/>
    </xf>
    <xf numFmtId="1" fontId="62" fillId="0" borderId="0" xfId="0" applyNumberFormat="1" applyFont="1" applyAlignment="1">
      <alignment horizontal="center" vertical="center"/>
    </xf>
    <xf numFmtId="164" fontId="30" fillId="0" borderId="0" xfId="4" applyNumberFormat="1" applyFont="1" applyAlignment="1">
      <alignment horizontal="center" wrapText="1"/>
    </xf>
    <xf numFmtId="1" fontId="13" fillId="0" borderId="0" xfId="0" applyNumberFormat="1" applyFont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164" fontId="55" fillId="0" borderId="0" xfId="0" applyNumberFormat="1" applyFont="1" applyAlignment="1">
      <alignment horizontal="center"/>
    </xf>
    <xf numFmtId="164" fontId="27" fillId="0" borderId="0" xfId="4" applyNumberFormat="1" applyFont="1" applyAlignment="1">
      <alignment horizontal="center" wrapText="1"/>
    </xf>
    <xf numFmtId="1" fontId="59" fillId="0" borderId="0" xfId="0" applyNumberFormat="1" applyFont="1" applyAlignment="1">
      <alignment horizontal="center" vertical="center"/>
    </xf>
    <xf numFmtId="164" fontId="119" fillId="0" borderId="0" xfId="0" applyNumberFormat="1" applyFont="1" applyAlignment="1">
      <alignment horizontal="center"/>
    </xf>
    <xf numFmtId="0" fontId="23" fillId="0" borderId="0" xfId="0" applyFont="1" applyAlignment="1">
      <alignment horizontal="center"/>
    </xf>
    <xf numFmtId="2" fontId="23" fillId="0" borderId="0" xfId="0" applyNumberFormat="1" applyFont="1" applyAlignment="1">
      <alignment horizontal="center"/>
    </xf>
    <xf numFmtId="164" fontId="13" fillId="0" borderId="0" xfId="0" applyNumberFormat="1" applyFont="1" applyAlignment="1">
      <alignment horizontal="center" vertical="center" wrapText="1"/>
    </xf>
    <xf numFmtId="1" fontId="23" fillId="0" borderId="0" xfId="0" applyNumberFormat="1" applyFont="1" applyAlignment="1">
      <alignment horizontal="center"/>
    </xf>
    <xf numFmtId="0" fontId="39" fillId="7" borderId="0" xfId="0" applyFont="1" applyFill="1" applyAlignment="1">
      <alignment horizontal="center"/>
    </xf>
    <xf numFmtId="165" fontId="39" fillId="0" borderId="0" xfId="0" applyNumberFormat="1" applyFont="1" applyAlignment="1">
      <alignment horizontal="center"/>
    </xf>
    <xf numFmtId="165" fontId="62" fillId="7" borderId="0" xfId="0" applyNumberFormat="1" applyFont="1" applyFill="1" applyAlignment="1">
      <alignment horizontal="center"/>
    </xf>
    <xf numFmtId="1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right"/>
    </xf>
    <xf numFmtId="164" fontId="13" fillId="0" borderId="0" xfId="0" applyNumberFormat="1" applyFont="1" applyAlignment="1">
      <alignment horizontal="right"/>
    </xf>
    <xf numFmtId="164" fontId="36" fillId="0" borderId="0" xfId="0" applyNumberFormat="1" applyFont="1" applyAlignment="1">
      <alignment horizontal="right"/>
    </xf>
    <xf numFmtId="164" fontId="13" fillId="0" borderId="0" xfId="0" applyNumberFormat="1" applyFont="1" applyAlignment="1">
      <alignment horizontal="right" vertical="center"/>
    </xf>
    <xf numFmtId="164" fontId="36" fillId="0" borderId="0" xfId="0" applyNumberFormat="1" applyFont="1" applyAlignment="1">
      <alignment horizontal="right" vertical="center"/>
    </xf>
    <xf numFmtId="164" fontId="119" fillId="0" borderId="0" xfId="0" applyNumberFormat="1" applyFont="1" applyAlignment="1">
      <alignment horizontal="right" vertical="center"/>
    </xf>
    <xf numFmtId="164" fontId="27" fillId="0" borderId="0" xfId="0" applyNumberFormat="1" applyFont="1" applyAlignment="1">
      <alignment horizontal="right"/>
    </xf>
    <xf numFmtId="164" fontId="27" fillId="0" borderId="0" xfId="0" applyNumberFormat="1" applyFont="1" applyAlignment="1">
      <alignment horizontal="right" vertical="center"/>
    </xf>
    <xf numFmtId="164" fontId="62" fillId="0" borderId="0" xfId="0" applyNumberFormat="1" applyFont="1" applyAlignment="1">
      <alignment horizontal="right" vertical="center"/>
    </xf>
    <xf numFmtId="1" fontId="62" fillId="0" borderId="0" xfId="0" applyNumberFormat="1" applyFont="1" applyAlignment="1">
      <alignment horizontal="right"/>
    </xf>
    <xf numFmtId="1" fontId="19" fillId="0" borderId="0" xfId="0" applyNumberFormat="1" applyFont="1" applyAlignment="1">
      <alignment horizontal="right"/>
    </xf>
    <xf numFmtId="1" fontId="13" fillId="0" borderId="0" xfId="0" applyNumberFormat="1" applyFont="1" applyAlignment="1">
      <alignment horizontal="right" vertical="center"/>
    </xf>
    <xf numFmtId="164" fontId="59" fillId="0" borderId="0" xfId="0" applyNumberFormat="1" applyFont="1" applyAlignment="1">
      <alignment horizontal="right" vertical="center"/>
    </xf>
    <xf numFmtId="1" fontId="62" fillId="0" borderId="0" xfId="0" applyNumberFormat="1" applyFont="1" applyAlignment="1">
      <alignment horizontal="right" vertical="center"/>
    </xf>
    <xf numFmtId="2" fontId="88" fillId="0" borderId="0" xfId="0" applyNumberFormat="1" applyFont="1" applyAlignment="1">
      <alignment horizontal="right"/>
    </xf>
    <xf numFmtId="2" fontId="62" fillId="0" borderId="0" xfId="0" applyNumberFormat="1" applyFont="1" applyAlignment="1">
      <alignment horizontal="right"/>
    </xf>
    <xf numFmtId="164" fontId="19" fillId="7" borderId="0" xfId="0" applyNumberFormat="1" applyFont="1" applyFill="1" applyAlignment="1">
      <alignment horizontal="right"/>
    </xf>
    <xf numFmtId="164" fontId="13" fillId="7" borderId="0" xfId="0" applyNumberFormat="1" applyFont="1" applyFill="1" applyAlignment="1">
      <alignment horizontal="right"/>
    </xf>
    <xf numFmtId="0" fontId="26" fillId="0" borderId="0" xfId="0" applyFont="1" applyAlignment="1">
      <alignment horizontal="center"/>
    </xf>
    <xf numFmtId="164" fontId="26" fillId="0" borderId="0" xfId="0" applyNumberFormat="1" applyFont="1" applyAlignment="1">
      <alignment horizontal="center"/>
    </xf>
    <xf numFmtId="1" fontId="26" fillId="0" borderId="0" xfId="0" applyNumberFormat="1" applyFont="1" applyAlignment="1">
      <alignment horizontal="center"/>
    </xf>
    <xf numFmtId="3" fontId="27" fillId="0" borderId="0" xfId="0" applyNumberFormat="1" applyFont="1" applyAlignment="1">
      <alignment horizontal="right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right" vertical="center"/>
    </xf>
    <xf numFmtId="0" fontId="26" fillId="0" borderId="0" xfId="0" applyFont="1" applyAlignment="1">
      <alignment horizontal="left" vertical="center"/>
    </xf>
    <xf numFmtId="164" fontId="26" fillId="0" borderId="0" xfId="0" applyNumberFormat="1" applyFont="1" applyAlignment="1">
      <alignment horizontal="right" vertical="center"/>
    </xf>
    <xf numFmtId="164" fontId="26" fillId="0" borderId="0" xfId="0" applyNumberFormat="1" applyFont="1" applyAlignment="1">
      <alignment horizontal="center" vertical="center"/>
    </xf>
    <xf numFmtId="2" fontId="26" fillId="0" borderId="0" xfId="0" applyNumberFormat="1" applyFont="1" applyAlignment="1">
      <alignment horizontal="center"/>
    </xf>
    <xf numFmtId="164" fontId="123" fillId="0" borderId="0" xfId="0" applyNumberFormat="1" applyFont="1" applyAlignment="1">
      <alignment horizontal="center"/>
    </xf>
    <xf numFmtId="1" fontId="123" fillId="0" borderId="0" xfId="0" applyNumberFormat="1" applyFont="1" applyAlignment="1">
      <alignment horizontal="right" vertical="center"/>
    </xf>
    <xf numFmtId="166" fontId="26" fillId="0" borderId="0" xfId="0" applyNumberFormat="1" applyFont="1" applyAlignment="1">
      <alignment horizontal="center" vertical="center"/>
    </xf>
    <xf numFmtId="164" fontId="55" fillId="0" borderId="0" xfId="0" applyNumberFormat="1" applyFont="1" applyAlignment="1">
      <alignment horizontal="center" vertical="center"/>
    </xf>
    <xf numFmtId="3" fontId="62" fillId="0" borderId="0" xfId="0" applyNumberFormat="1" applyFont="1" applyAlignment="1">
      <alignment horizontal="right"/>
    </xf>
    <xf numFmtId="1" fontId="27" fillId="0" borderId="0" xfId="0" applyNumberFormat="1" applyFont="1" applyAlignment="1">
      <alignment horizontal="right"/>
    </xf>
    <xf numFmtId="0" fontId="54" fillId="0" borderId="0" xfId="0" applyFont="1" applyAlignment="1">
      <alignment horizontal="left"/>
    </xf>
    <xf numFmtId="0" fontId="26" fillId="7" borderId="0" xfId="0" applyFont="1" applyFill="1" applyAlignment="1">
      <alignment horizontal="center"/>
    </xf>
    <xf numFmtId="1" fontId="26" fillId="7" borderId="0" xfId="0" applyNumberFormat="1" applyFont="1" applyFill="1" applyAlignment="1">
      <alignment horizontal="center" vertical="center"/>
    </xf>
    <xf numFmtId="1" fontId="53" fillId="7" borderId="0" xfId="0" applyNumberFormat="1" applyFont="1" applyFill="1" applyAlignment="1">
      <alignment horizontal="center" vertical="center"/>
    </xf>
    <xf numFmtId="164" fontId="53" fillId="0" borderId="0" xfId="0" applyNumberFormat="1" applyFont="1" applyAlignment="1">
      <alignment horizontal="center" vertical="center"/>
    </xf>
    <xf numFmtId="164" fontId="121" fillId="0" borderId="0" xfId="0" applyNumberFormat="1" applyFont="1" applyAlignment="1">
      <alignment horizontal="center"/>
    </xf>
    <xf numFmtId="0" fontId="53" fillId="0" borderId="0" xfId="0" applyFont="1" applyAlignment="1">
      <alignment horizontal="left"/>
    </xf>
    <xf numFmtId="1" fontId="196" fillId="0" borderId="0" xfId="0" applyNumberFormat="1" applyFont="1" applyAlignment="1">
      <alignment horizontal="center" vertical="center"/>
    </xf>
    <xf numFmtId="164" fontId="196" fillId="0" borderId="0" xfId="0" applyNumberFormat="1" applyFont="1" applyAlignment="1">
      <alignment horizontal="center" vertical="center"/>
    </xf>
    <xf numFmtId="164" fontId="47" fillId="0" borderId="0" xfId="4" applyNumberFormat="1" applyFont="1" applyAlignment="1">
      <alignment horizontal="center" wrapText="1"/>
    </xf>
    <xf numFmtId="164" fontId="47" fillId="0" borderId="0" xfId="4" applyNumberFormat="1" applyFont="1" applyAlignment="1">
      <alignment horizontal="center"/>
    </xf>
    <xf numFmtId="164" fontId="47" fillId="0" borderId="0" xfId="4" applyNumberFormat="1" applyFont="1" applyAlignment="1">
      <alignment horizontal="center" vertical="center" wrapText="1"/>
    </xf>
    <xf numFmtId="164" fontId="226" fillId="0" borderId="0" xfId="4" applyNumberFormat="1" applyFont="1" applyAlignment="1">
      <alignment horizontal="center"/>
    </xf>
    <xf numFmtId="164" fontId="226" fillId="0" borderId="0" xfId="4" applyNumberFormat="1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1" fontId="27" fillId="0" borderId="0" xfId="0" applyNumberFormat="1" applyFont="1" applyAlignment="1">
      <alignment horizontal="center"/>
    </xf>
    <xf numFmtId="0" fontId="14" fillId="0" borderId="0" xfId="0" applyFont="1" applyAlignment="1">
      <alignment horizontal="center" vertical="center" wrapText="1"/>
    </xf>
    <xf numFmtId="1" fontId="37" fillId="7" borderId="0" xfId="0" applyNumberFormat="1" applyFont="1" applyFill="1" applyAlignment="1">
      <alignment horizontal="center"/>
    </xf>
    <xf numFmtId="1" fontId="37" fillId="7" borderId="0" xfId="0" applyNumberFormat="1" applyFont="1" applyFill="1" applyAlignment="1">
      <alignment horizontal="center" vertical="center" wrapText="1"/>
    </xf>
    <xf numFmtId="164" fontId="55" fillId="0" borderId="0" xfId="0" applyNumberFormat="1" applyFont="1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 wrapText="1"/>
    </xf>
    <xf numFmtId="1" fontId="19" fillId="0" borderId="0" xfId="0" applyNumberFormat="1" applyFont="1" applyAlignment="1">
      <alignment horizontal="center"/>
    </xf>
    <xf numFmtId="164" fontId="63" fillId="0" borderId="0" xfId="0" applyNumberFormat="1" applyFont="1" applyAlignment="1">
      <alignment horizontal="center"/>
    </xf>
    <xf numFmtId="164" fontId="62" fillId="7" borderId="0" xfId="0" applyNumberFormat="1" applyFont="1" applyFill="1" applyAlignment="1">
      <alignment horizontal="center" vertical="center" wrapText="1"/>
    </xf>
    <xf numFmtId="10" fontId="27" fillId="0" borderId="0" xfId="0" applyNumberFormat="1" applyFont="1" applyAlignment="1">
      <alignment horizontal="center"/>
    </xf>
    <xf numFmtId="167" fontId="27" fillId="0" borderId="0" xfId="0" applyNumberFormat="1" applyFont="1" applyAlignment="1">
      <alignment horizontal="center"/>
    </xf>
    <xf numFmtId="164" fontId="27" fillId="7" borderId="0" xfId="0" applyNumberFormat="1" applyFont="1" applyFill="1" applyAlignment="1">
      <alignment horizontal="right" vertical="center"/>
    </xf>
    <xf numFmtId="166" fontId="27" fillId="7" borderId="0" xfId="0" applyNumberFormat="1" applyFont="1" applyFill="1" applyAlignment="1">
      <alignment horizontal="right" vertical="center"/>
    </xf>
    <xf numFmtId="166" fontId="27" fillId="7" borderId="0" xfId="0" applyNumberFormat="1" applyFont="1" applyFill="1" applyAlignment="1">
      <alignment horizontal="right"/>
    </xf>
    <xf numFmtId="1" fontId="62" fillId="7" borderId="0" xfId="0" applyNumberFormat="1" applyFont="1" applyFill="1" applyAlignment="1">
      <alignment horizontal="right"/>
    </xf>
    <xf numFmtId="1" fontId="62" fillId="7" borderId="0" xfId="0" applyNumberFormat="1" applyFont="1" applyFill="1" applyAlignment="1">
      <alignment horizontal="right" vertical="center"/>
    </xf>
    <xf numFmtId="1" fontId="63" fillId="7" borderId="0" xfId="0" applyNumberFormat="1" applyFont="1" applyFill="1" applyAlignment="1">
      <alignment horizontal="right" vertical="center"/>
    </xf>
    <xf numFmtId="0" fontId="13" fillId="7" borderId="0" xfId="0" applyFont="1" applyFill="1" applyAlignment="1">
      <alignment horizontal="center"/>
    </xf>
    <xf numFmtId="1" fontId="14" fillId="7" borderId="0" xfId="0" applyNumberFormat="1" applyFont="1" applyFill="1" applyAlignment="1">
      <alignment horizontal="center"/>
    </xf>
    <xf numFmtId="0" fontId="27" fillId="0" borderId="0" xfId="0" applyFont="1" applyAlignment="1">
      <alignment horizontal="center"/>
    </xf>
    <xf numFmtId="1" fontId="26" fillId="7" borderId="0" xfId="0" applyNumberFormat="1" applyFont="1" applyFill="1" applyAlignment="1">
      <alignment horizontal="center"/>
    </xf>
    <xf numFmtId="0" fontId="54" fillId="0" borderId="0" xfId="0" applyFont="1" applyAlignment="1">
      <alignment horizontal="center"/>
    </xf>
    <xf numFmtId="0" fontId="62" fillId="7" borderId="0" xfId="0" applyFont="1" applyFill="1" applyAlignment="1">
      <alignment horizontal="center"/>
    </xf>
    <xf numFmtId="0" fontId="53" fillId="0" borderId="0" xfId="0" applyFont="1" applyAlignment="1">
      <alignment horizontal="center"/>
    </xf>
    <xf numFmtId="1" fontId="88" fillId="0" borderId="0" xfId="0" applyNumberFormat="1" applyFont="1" applyAlignment="1">
      <alignment horizontal="center"/>
    </xf>
    <xf numFmtId="0" fontId="62" fillId="0" borderId="0" xfId="0" applyFont="1"/>
    <xf numFmtId="0" fontId="37" fillId="0" borderId="0" xfId="0" applyFont="1" applyAlignment="1">
      <alignment horizontal="right"/>
    </xf>
    <xf numFmtId="164" fontId="37" fillId="0" borderId="0" xfId="0" applyNumberFormat="1" applyFont="1" applyAlignment="1">
      <alignment horizontal="right"/>
    </xf>
    <xf numFmtId="1" fontId="37" fillId="0" borderId="0" xfId="0" applyNumberFormat="1" applyFont="1" applyAlignment="1">
      <alignment horizontal="right"/>
    </xf>
    <xf numFmtId="164" fontId="37" fillId="0" borderId="0" xfId="0" applyNumberFormat="1" applyFont="1" applyAlignment="1">
      <alignment horizontal="right" vertical="center" wrapText="1"/>
    </xf>
    <xf numFmtId="4" fontId="223" fillId="0" borderId="0" xfId="0" applyNumberFormat="1" applyFont="1"/>
    <xf numFmtId="4" fontId="223" fillId="0" borderId="0" xfId="0" applyNumberFormat="1" applyFont="1" applyAlignment="1">
      <alignment horizontal="right" vertical="center" wrapText="1"/>
    </xf>
    <xf numFmtId="0" fontId="59" fillId="0" borderId="0" xfId="0" applyFont="1" applyAlignment="1">
      <alignment horizontal="right"/>
    </xf>
    <xf numFmtId="168" fontId="59" fillId="0" borderId="0" xfId="34" applyNumberFormat="1" applyFont="1" applyFill="1" applyBorder="1" applyAlignment="1">
      <alignment horizontal="right"/>
    </xf>
    <xf numFmtId="2" fontId="238" fillId="0" borderId="0" xfId="0" applyNumberFormat="1" applyFont="1" applyAlignment="1">
      <alignment horizontal="right"/>
    </xf>
    <xf numFmtId="2" fontId="95" fillId="0" borderId="0" xfId="1" applyNumberFormat="1" applyFont="1" applyAlignment="1">
      <alignment horizontal="right"/>
    </xf>
    <xf numFmtId="2" fontId="33" fillId="0" borderId="0" xfId="1" applyNumberFormat="1" applyFont="1" applyAlignment="1">
      <alignment horizontal="right"/>
    </xf>
    <xf numFmtId="166" fontId="37" fillId="0" borderId="0" xfId="0" applyNumberFormat="1" applyFont="1" applyAlignment="1">
      <alignment horizontal="right"/>
    </xf>
    <xf numFmtId="164" fontId="57" fillId="8" borderId="0" xfId="0" applyNumberFormat="1" applyFont="1" applyFill="1" applyAlignment="1">
      <alignment horizontal="right"/>
    </xf>
    <xf numFmtId="0" fontId="38" fillId="7" borderId="0" xfId="0" applyFont="1" applyFill="1" applyAlignment="1">
      <alignment horizontal="right"/>
    </xf>
    <xf numFmtId="0" fontId="41" fillId="8" borderId="0" xfId="0" applyFont="1" applyFill="1" applyAlignment="1">
      <alignment horizontal="right"/>
    </xf>
    <xf numFmtId="164" fontId="41" fillId="8" borderId="0" xfId="0" applyNumberFormat="1" applyFont="1" applyFill="1" applyAlignment="1">
      <alignment horizontal="right"/>
    </xf>
    <xf numFmtId="0" fontId="37" fillId="0" borderId="0" xfId="1" applyFont="1" applyAlignment="1">
      <alignment horizontal="right"/>
    </xf>
    <xf numFmtId="2" fontId="37" fillId="0" borderId="0" xfId="1" applyNumberFormat="1" applyFont="1" applyAlignment="1">
      <alignment horizontal="right"/>
    </xf>
    <xf numFmtId="164" fontId="37" fillId="7" borderId="0" xfId="0" applyNumberFormat="1" applyFont="1" applyFill="1" applyAlignment="1">
      <alignment horizontal="right"/>
    </xf>
    <xf numFmtId="2" fontId="37" fillId="7" borderId="0" xfId="0" applyNumberFormat="1" applyFont="1" applyFill="1" applyAlignment="1">
      <alignment horizontal="right"/>
    </xf>
    <xf numFmtId="0" fontId="39" fillId="7" borderId="0" xfId="0" applyFont="1" applyFill="1" applyAlignment="1">
      <alignment horizontal="right"/>
    </xf>
    <xf numFmtId="164" fontId="39" fillId="7" borderId="0" xfId="0" applyNumberFormat="1" applyFont="1" applyFill="1" applyAlignment="1">
      <alignment horizontal="right"/>
    </xf>
    <xf numFmtId="165" fontId="39" fillId="0" borderId="0" xfId="0" applyNumberFormat="1" applyFont="1" applyAlignment="1">
      <alignment horizontal="right"/>
    </xf>
    <xf numFmtId="1" fontId="33" fillId="0" borderId="0" xfId="0" applyNumberFormat="1" applyFont="1" applyAlignment="1">
      <alignment horizontal="right"/>
    </xf>
    <xf numFmtId="166" fontId="59" fillId="0" borderId="0" xfId="0" applyNumberFormat="1" applyFont="1" applyAlignment="1">
      <alignment horizontal="right"/>
    </xf>
    <xf numFmtId="164" fontId="59" fillId="7" borderId="0" xfId="0" applyNumberFormat="1" applyFont="1" applyFill="1" applyAlignment="1">
      <alignment horizontal="right"/>
    </xf>
    <xf numFmtId="165" fontId="59" fillId="7" borderId="0" xfId="0" applyNumberFormat="1" applyFont="1" applyFill="1" applyAlignment="1">
      <alignment horizontal="right"/>
    </xf>
    <xf numFmtId="166" fontId="33" fillId="0" borderId="0" xfId="0" applyNumberFormat="1" applyFont="1" applyAlignment="1">
      <alignment horizontal="right"/>
    </xf>
    <xf numFmtId="0" fontId="33" fillId="0" borderId="0" xfId="0" applyFont="1" applyAlignment="1">
      <alignment horizontal="right"/>
    </xf>
    <xf numFmtId="164" fontId="33" fillId="0" borderId="0" xfId="0" applyNumberFormat="1" applyFont="1" applyAlignment="1">
      <alignment horizontal="right"/>
    </xf>
    <xf numFmtId="2" fontId="37" fillId="0" borderId="0" xfId="0" applyNumberFormat="1" applyFont="1" applyAlignment="1">
      <alignment horizontal="right"/>
    </xf>
    <xf numFmtId="0" fontId="41" fillId="9" borderId="0" xfId="0" applyFont="1" applyFill="1" applyAlignment="1">
      <alignment horizontal="right"/>
    </xf>
    <xf numFmtId="164" fontId="41" fillId="9" borderId="0" xfId="0" applyNumberFormat="1" applyFont="1" applyFill="1" applyAlignment="1">
      <alignment horizontal="right"/>
    </xf>
    <xf numFmtId="164" fontId="57" fillId="9" borderId="0" xfId="0" applyNumberFormat="1" applyFont="1" applyFill="1" applyAlignment="1">
      <alignment horizontal="right"/>
    </xf>
    <xf numFmtId="2" fontId="95" fillId="0" borderId="0" xfId="1" applyNumberFormat="1" applyFont="1"/>
    <xf numFmtId="2" fontId="59" fillId="0" borderId="0" xfId="0" applyNumberFormat="1" applyFont="1" applyAlignment="1">
      <alignment horizontal="right"/>
    </xf>
    <xf numFmtId="2" fontId="62" fillId="0" borderId="0" xfId="1" applyNumberFormat="1" applyFont="1"/>
    <xf numFmtId="166" fontId="57" fillId="8" borderId="0" xfId="0" applyNumberFormat="1" applyFont="1" applyFill="1" applyAlignment="1">
      <alignment horizontal="right"/>
    </xf>
    <xf numFmtId="0" fontId="39" fillId="7" borderId="0" xfId="0" applyFont="1" applyFill="1" applyAlignment="1">
      <alignment horizontal="right" wrapText="1"/>
    </xf>
    <xf numFmtId="166" fontId="37" fillId="8" borderId="0" xfId="0" applyNumberFormat="1" applyFont="1" applyFill="1" applyAlignment="1">
      <alignment horizontal="right"/>
    </xf>
    <xf numFmtId="1" fontId="39" fillId="0" borderId="0" xfId="0" applyNumberFormat="1" applyFont="1" applyAlignment="1">
      <alignment horizontal="left" vertical="top" wrapText="1"/>
    </xf>
    <xf numFmtId="1" fontId="38" fillId="0" borderId="0" xfId="0" applyNumberFormat="1" applyFont="1" applyAlignment="1">
      <alignment horizontal="right" vertical="top" wrapText="1"/>
    </xf>
    <xf numFmtId="0" fontId="39" fillId="0" borderId="0" xfId="0" applyFont="1" applyAlignment="1">
      <alignment horizontal="right" vertical="center"/>
    </xf>
    <xf numFmtId="0" fontId="37" fillId="0" borderId="0" xfId="0" applyFont="1" applyAlignment="1">
      <alignment horizontal="right" vertical="center"/>
    </xf>
    <xf numFmtId="0" fontId="39" fillId="0" borderId="0" xfId="0" applyFont="1" applyAlignment="1">
      <alignment horizontal="right"/>
    </xf>
    <xf numFmtId="0" fontId="33" fillId="7" borderId="0" xfId="0" applyFont="1" applyFill="1" applyAlignment="1">
      <alignment horizontal="right"/>
    </xf>
    <xf numFmtId="0" fontId="39" fillId="8" borderId="0" xfId="0" applyFont="1" applyFill="1" applyAlignment="1">
      <alignment horizontal="right"/>
    </xf>
    <xf numFmtId="0" fontId="37" fillId="8" borderId="0" xfId="0" applyFont="1" applyFill="1" applyAlignment="1">
      <alignment horizontal="right"/>
    </xf>
    <xf numFmtId="0" fontId="57" fillId="8" borderId="0" xfId="0" applyFont="1" applyFill="1" applyAlignment="1">
      <alignment horizontal="right"/>
    </xf>
    <xf numFmtId="165" fontId="41" fillId="8" borderId="0" xfId="0" applyNumberFormat="1" applyFont="1" applyFill="1" applyAlignment="1">
      <alignment horizontal="right"/>
    </xf>
    <xf numFmtId="0" fontId="59" fillId="7" borderId="0" xfId="0" applyFont="1" applyFill="1" applyAlignment="1">
      <alignment horizontal="right"/>
    </xf>
    <xf numFmtId="164" fontId="63" fillId="0" borderId="0" xfId="0" applyNumberFormat="1" applyFont="1"/>
    <xf numFmtId="3" fontId="19" fillId="0" borderId="0" xfId="0" applyNumberFormat="1" applyFont="1"/>
    <xf numFmtId="3" fontId="37" fillId="0" borderId="0" xfId="0" applyNumberFormat="1" applyFont="1"/>
    <xf numFmtId="3" fontId="147" fillId="0" borderId="0" xfId="0" applyNumberFormat="1" applyFont="1"/>
    <xf numFmtId="3" fontId="228" fillId="0" borderId="0" xfId="0" applyNumberFormat="1" applyFont="1"/>
    <xf numFmtId="1" fontId="37" fillId="7" borderId="0" xfId="0" applyNumberFormat="1" applyFont="1" applyFill="1"/>
    <xf numFmtId="1" fontId="57" fillId="7" borderId="0" xfId="0" applyNumberFormat="1" applyFont="1" applyFill="1"/>
    <xf numFmtId="164" fontId="56" fillId="6" borderId="0" xfId="0" applyNumberFormat="1" applyFont="1" applyFill="1"/>
    <xf numFmtId="164" fontId="147" fillId="6" borderId="0" xfId="0" applyNumberFormat="1" applyFont="1" applyFill="1"/>
    <xf numFmtId="164" fontId="89" fillId="6" borderId="0" xfId="0" applyNumberFormat="1" applyFont="1" applyFill="1"/>
    <xf numFmtId="3" fontId="56" fillId="0" borderId="0" xfId="0" applyNumberFormat="1" applyFont="1"/>
    <xf numFmtId="1" fontId="56" fillId="0" borderId="0" xfId="0" applyNumberFormat="1" applyFont="1"/>
    <xf numFmtId="169" fontId="37" fillId="0" borderId="0" xfId="0" applyNumberFormat="1" applyFont="1"/>
    <xf numFmtId="166" fontId="37" fillId="0" borderId="0" xfId="0" applyNumberFormat="1" applyFont="1"/>
    <xf numFmtId="1" fontId="119" fillId="0" borderId="0" xfId="0" applyNumberFormat="1" applyFont="1"/>
    <xf numFmtId="4" fontId="37" fillId="0" borderId="0" xfId="0" applyNumberFormat="1" applyFont="1"/>
    <xf numFmtId="3" fontId="59" fillId="0" borderId="0" xfId="0" applyNumberFormat="1" applyFont="1"/>
    <xf numFmtId="0" fontId="119" fillId="0" borderId="0" xfId="0" applyFont="1"/>
    <xf numFmtId="3" fontId="10" fillId="0" borderId="0" xfId="0" applyNumberFormat="1" applyFont="1"/>
    <xf numFmtId="3" fontId="89" fillId="0" borderId="0" xfId="0" applyNumberFormat="1" applyFont="1"/>
    <xf numFmtId="1" fontId="222" fillId="7" borderId="0" xfId="0" applyNumberFormat="1" applyFont="1" applyFill="1"/>
    <xf numFmtId="3" fontId="235" fillId="0" borderId="0" xfId="0" applyNumberFormat="1" applyFont="1"/>
    <xf numFmtId="165" fontId="56" fillId="0" borderId="0" xfId="0" applyNumberFormat="1" applyFont="1"/>
    <xf numFmtId="165" fontId="19" fillId="0" borderId="0" xfId="0" applyNumberFormat="1" applyFont="1"/>
    <xf numFmtId="1" fontId="19" fillId="0" borderId="0" xfId="0" applyNumberFormat="1" applyFont="1"/>
    <xf numFmtId="169" fontId="59" fillId="0" borderId="0" xfId="0" applyNumberFormat="1" applyFont="1"/>
    <xf numFmtId="1" fontId="91" fillId="0" borderId="0" xfId="0" applyNumberFormat="1" applyFont="1"/>
    <xf numFmtId="2" fontId="37" fillId="0" borderId="0" xfId="0" applyNumberFormat="1" applyFont="1"/>
    <xf numFmtId="171" fontId="19" fillId="0" borderId="0" xfId="0" applyNumberFormat="1" applyFont="1"/>
    <xf numFmtId="172" fontId="19" fillId="0" borderId="0" xfId="0" applyNumberFormat="1" applyFont="1"/>
    <xf numFmtId="166" fontId="95" fillId="0" borderId="0" xfId="0" applyNumberFormat="1" applyFont="1"/>
    <xf numFmtId="165" fontId="19" fillId="6" borderId="0" xfId="0" applyNumberFormat="1" applyFont="1" applyFill="1"/>
    <xf numFmtId="0" fontId="218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164" fontId="218" fillId="0" borderId="0" xfId="0" applyNumberFormat="1" applyFont="1" applyAlignment="1">
      <alignment horizontal="right" vertical="center"/>
    </xf>
    <xf numFmtId="0" fontId="71" fillId="0" borderId="0" xfId="0" applyFont="1" applyAlignment="1">
      <alignment horizontal="left"/>
    </xf>
    <xf numFmtId="164" fontId="0" fillId="0" borderId="0" xfId="0" applyNumberFormat="1" applyAlignment="1">
      <alignment horizontal="right" vertical="center"/>
    </xf>
    <xf numFmtId="164" fontId="48" fillId="7" borderId="0" xfId="0" applyNumberFormat="1" applyFont="1" applyFill="1"/>
    <xf numFmtId="164" fontId="0" fillId="7" borderId="0" xfId="0" applyNumberFormat="1" applyFill="1" applyAlignment="1">
      <alignment horizontal="right" vertical="center"/>
    </xf>
    <xf numFmtId="164" fontId="71" fillId="0" borderId="0" xfId="0" applyNumberFormat="1" applyFont="1"/>
    <xf numFmtId="164" fontId="116" fillId="7" borderId="0" xfId="0" applyNumberFormat="1" applyFont="1" applyFill="1"/>
    <xf numFmtId="164" fontId="233" fillId="7" borderId="0" xfId="0" applyNumberFormat="1" applyFont="1" applyFill="1"/>
    <xf numFmtId="164" fontId="162" fillId="7" borderId="0" xfId="0" applyNumberFormat="1" applyFont="1" applyFill="1"/>
    <xf numFmtId="164" fontId="221" fillId="7" borderId="0" xfId="0" applyNumberFormat="1" applyFont="1" applyFill="1"/>
    <xf numFmtId="164" fontId="166" fillId="7" borderId="0" xfId="0" applyNumberFormat="1" applyFont="1" applyFill="1"/>
    <xf numFmtId="164" fontId="159" fillId="7" borderId="0" xfId="0" applyNumberFormat="1" applyFont="1" applyFill="1"/>
    <xf numFmtId="164" fontId="219" fillId="7" borderId="0" xfId="0" applyNumberFormat="1" applyFont="1" applyFill="1"/>
    <xf numFmtId="0" fontId="73" fillId="0" borderId="0" xfId="0" applyFont="1"/>
    <xf numFmtId="2" fontId="73" fillId="0" borderId="0" xfId="0" applyNumberFormat="1" applyFont="1"/>
    <xf numFmtId="164" fontId="2" fillId="0" borderId="0" xfId="0" applyNumberFormat="1" applyFont="1"/>
    <xf numFmtId="1" fontId="136" fillId="13" borderId="0" xfId="0" applyNumberFormat="1" applyFont="1" applyFill="1"/>
    <xf numFmtId="1" fontId="138" fillId="0" borderId="0" xfId="0" applyNumberFormat="1" applyFont="1"/>
    <xf numFmtId="1" fontId="2" fillId="0" borderId="0" xfId="0" applyNumberFormat="1" applyFont="1"/>
    <xf numFmtId="1" fontId="76" fillId="0" borderId="0" xfId="0" applyNumberFormat="1" applyFont="1"/>
    <xf numFmtId="1" fontId="74" fillId="0" borderId="0" xfId="0" applyNumberFormat="1" applyFont="1"/>
    <xf numFmtId="1" fontId="224" fillId="0" borderId="0" xfId="0" applyNumberFormat="1" applyFont="1"/>
    <xf numFmtId="1" fontId="224" fillId="7" borderId="0" xfId="0" applyNumberFormat="1" applyFont="1" applyFill="1"/>
    <xf numFmtId="1" fontId="74" fillId="7" borderId="0" xfId="0" applyNumberFormat="1" applyFont="1" applyFill="1"/>
    <xf numFmtId="1" fontId="227" fillId="0" borderId="0" xfId="0" applyNumberFormat="1" applyFont="1"/>
    <xf numFmtId="1" fontId="231" fillId="13" borderId="0" xfId="0" applyNumberFormat="1" applyFont="1" applyFill="1"/>
    <xf numFmtId="164" fontId="76" fillId="0" borderId="0" xfId="0" applyNumberFormat="1" applyFont="1"/>
    <xf numFmtId="1" fontId="73" fillId="0" borderId="0" xfId="0" applyNumberFormat="1" applyFont="1"/>
    <xf numFmtId="1" fontId="237" fillId="0" borderId="0" xfId="0" applyNumberFormat="1" applyFont="1"/>
    <xf numFmtId="1" fontId="227" fillId="7" borderId="0" xfId="0" applyNumberFormat="1" applyFont="1" applyFill="1"/>
    <xf numFmtId="1" fontId="239" fillId="0" borderId="0" xfId="0" applyNumberFormat="1" applyFont="1"/>
    <xf numFmtId="2" fontId="141" fillId="0" borderId="0" xfId="0" applyNumberFormat="1" applyFont="1"/>
    <xf numFmtId="164" fontId="139" fillId="0" borderId="0" xfId="0" applyNumberFormat="1" applyFont="1"/>
    <xf numFmtId="164" fontId="138" fillId="0" borderId="0" xfId="0" applyNumberFormat="1" applyFont="1"/>
    <xf numFmtId="164" fontId="139" fillId="6" borderId="0" xfId="0" applyNumberFormat="1" applyFont="1" applyFill="1"/>
    <xf numFmtId="164" fontId="229" fillId="0" borderId="0" xfId="0" applyNumberFormat="1" applyFont="1"/>
    <xf numFmtId="164" fontId="225" fillId="0" borderId="0" xfId="0" applyNumberFormat="1" applyFont="1"/>
    <xf numFmtId="164" fontId="230" fillId="0" borderId="0" xfId="0" applyNumberFormat="1" applyFont="1"/>
    <xf numFmtId="164" fontId="236" fillId="0" borderId="0" xfId="0" applyNumberFormat="1" applyFont="1"/>
    <xf numFmtId="164" fontId="224" fillId="0" borderId="0" xfId="0" applyNumberFormat="1" applyFont="1"/>
    <xf numFmtId="1" fontId="139" fillId="0" borderId="0" xfId="0" applyNumberFormat="1" applyFont="1"/>
    <xf numFmtId="1" fontId="225" fillId="7" borderId="0" xfId="0" applyNumberFormat="1" applyFont="1" applyFill="1"/>
    <xf numFmtId="1" fontId="73" fillId="7" borderId="0" xfId="0" applyNumberFormat="1" applyFont="1" applyFill="1"/>
    <xf numFmtId="1" fontId="225" fillId="0" borderId="0" xfId="0" applyNumberFormat="1" applyFont="1"/>
    <xf numFmtId="167" fontId="139" fillId="0" borderId="0" xfId="0" applyNumberFormat="1" applyFont="1"/>
    <xf numFmtId="1" fontId="229" fillId="0" borderId="0" xfId="0" applyNumberFormat="1" applyFont="1"/>
    <xf numFmtId="164" fontId="225" fillId="7" borderId="0" xfId="0" applyNumberFormat="1" applyFont="1" applyFill="1"/>
    <xf numFmtId="1" fontId="162" fillId="0" borderId="0" xfId="0" applyNumberFormat="1" applyFont="1"/>
    <xf numFmtId="167" fontId="159" fillId="0" borderId="0" xfId="0" applyNumberFormat="1" applyFont="1"/>
    <xf numFmtId="164" fontId="229" fillId="7" borderId="0" xfId="0" applyNumberFormat="1" applyFont="1" applyFill="1"/>
    <xf numFmtId="0" fontId="2" fillId="0" borderId="0" xfId="0" applyFont="1"/>
    <xf numFmtId="165" fontId="9" fillId="0" borderId="0" xfId="0" applyNumberFormat="1" applyFont="1"/>
    <xf numFmtId="0" fontId="159" fillId="0" borderId="0" xfId="0" applyFont="1"/>
    <xf numFmtId="165" fontId="0" fillId="0" borderId="0" xfId="0" applyNumberFormat="1"/>
    <xf numFmtId="0" fontId="161" fillId="0" borderId="0" xfId="0" applyFont="1"/>
    <xf numFmtId="0" fontId="75" fillId="0" borderId="0" xfId="0" applyFont="1"/>
    <xf numFmtId="0" fontId="225" fillId="0" borderId="0" xfId="0" applyFont="1"/>
    <xf numFmtId="0" fontId="162" fillId="0" borderId="0" xfId="0" applyFont="1"/>
    <xf numFmtId="164" fontId="75" fillId="7" borderId="0" xfId="0" applyNumberFormat="1" applyFont="1" applyFill="1"/>
    <xf numFmtId="164" fontId="75" fillId="0" borderId="0" xfId="0" applyNumberFormat="1" applyFont="1"/>
    <xf numFmtId="164" fontId="76" fillId="7" borderId="0" xfId="0" applyNumberFormat="1" applyFont="1" applyFill="1"/>
    <xf numFmtId="164" fontId="232" fillId="0" borderId="0" xfId="0" applyNumberFormat="1" applyFont="1"/>
    <xf numFmtId="0" fontId="220" fillId="29" borderId="25" xfId="6" applyFont="1" applyFill="1" applyBorder="1"/>
    <xf numFmtId="0" fontId="220" fillId="29" borderId="0" xfId="6" applyFont="1" applyFill="1"/>
    <xf numFmtId="0" fontId="220" fillId="29" borderId="26" xfId="6" applyFont="1" applyFill="1" applyBorder="1"/>
    <xf numFmtId="164" fontId="220" fillId="29" borderId="25" xfId="6" applyNumberFormat="1" applyFont="1" applyFill="1" applyBorder="1"/>
    <xf numFmtId="164" fontId="220" fillId="29" borderId="0" xfId="6" applyNumberFormat="1" applyFont="1" applyFill="1"/>
    <xf numFmtId="164" fontId="220" fillId="29" borderId="26" xfId="6" applyNumberFormat="1" applyFont="1" applyFill="1" applyBorder="1"/>
    <xf numFmtId="0" fontId="173" fillId="21" borderId="25" xfId="6" applyFont="1" applyFill="1" applyBorder="1"/>
    <xf numFmtId="0" fontId="173" fillId="21" borderId="0" xfId="6" applyFont="1" applyFill="1"/>
    <xf numFmtId="164" fontId="173" fillId="21" borderId="25" xfId="6" applyNumberFormat="1" applyFont="1" applyFill="1" applyBorder="1"/>
    <xf numFmtId="164" fontId="173" fillId="21" borderId="0" xfId="6" applyNumberFormat="1" applyFont="1" applyFill="1"/>
    <xf numFmtId="164" fontId="240" fillId="29" borderId="25" xfId="6" applyNumberFormat="1" applyFont="1" applyFill="1" applyBorder="1"/>
    <xf numFmtId="164" fontId="240" fillId="29" borderId="0" xfId="6" applyNumberFormat="1" applyFont="1" applyFill="1"/>
    <xf numFmtId="164" fontId="240" fillId="29" borderId="26" xfId="6" applyNumberFormat="1" applyFont="1" applyFill="1" applyBorder="1"/>
    <xf numFmtId="164" fontId="170" fillId="21" borderId="25" xfId="6" applyNumberFormat="1" applyFont="1" applyFill="1" applyBorder="1"/>
    <xf numFmtId="164" fontId="170" fillId="21" borderId="0" xfId="6" applyNumberFormat="1" applyFont="1" applyFill="1"/>
    <xf numFmtId="164" fontId="171" fillId="21" borderId="0" xfId="6" applyNumberFormat="1" applyFont="1" applyFill="1"/>
    <xf numFmtId="0" fontId="168" fillId="21" borderId="0" xfId="6" applyFont="1" applyFill="1"/>
    <xf numFmtId="164" fontId="171" fillId="21" borderId="25" xfId="6" applyNumberFormat="1" applyFont="1" applyFill="1" applyBorder="1"/>
    <xf numFmtId="164" fontId="168" fillId="21" borderId="25" xfId="6" applyNumberFormat="1" applyFont="1" applyFill="1" applyBorder="1"/>
    <xf numFmtId="164" fontId="220" fillId="29" borderId="27" xfId="6" applyNumberFormat="1" applyFont="1" applyFill="1" applyBorder="1"/>
    <xf numFmtId="164" fontId="220" fillId="29" borderId="15" xfId="6" applyNumberFormat="1" applyFont="1" applyFill="1" applyBorder="1"/>
    <xf numFmtId="164" fontId="220" fillId="29" borderId="28" xfId="6" applyNumberFormat="1" applyFont="1" applyFill="1" applyBorder="1"/>
    <xf numFmtId="164" fontId="170" fillId="21" borderId="27" xfId="6" applyNumberFormat="1" applyFont="1" applyFill="1" applyBorder="1"/>
    <xf numFmtId="164" fontId="170" fillId="21" borderId="15" xfId="6" applyNumberFormat="1" applyFont="1" applyFill="1" applyBorder="1"/>
    <xf numFmtId="1" fontId="79" fillId="0" borderId="0" xfId="0" applyNumberFormat="1" applyFont="1"/>
    <xf numFmtId="164" fontId="79" fillId="0" borderId="0" xfId="0" applyNumberFormat="1" applyFont="1"/>
    <xf numFmtId="0" fontId="77" fillId="0" borderId="0" xfId="0" applyFont="1" applyAlignment="1">
      <alignment horizontal="left" wrapText="1"/>
    </xf>
    <xf numFmtId="0" fontId="241" fillId="0" borderId="0" xfId="0" applyFont="1"/>
    <xf numFmtId="0" fontId="242" fillId="0" borderId="0" xfId="0" applyFont="1"/>
    <xf numFmtId="164" fontId="0" fillId="0" borderId="2" xfId="0" applyNumberFormat="1" applyBorder="1"/>
    <xf numFmtId="0" fontId="241" fillId="0" borderId="0" xfId="0" applyFont="1" applyAlignment="1">
      <alignment wrapText="1"/>
    </xf>
    <xf numFmtId="0" fontId="14" fillId="20" borderId="4" xfId="0" applyFont="1" applyFill="1" applyBorder="1" applyAlignment="1">
      <alignment horizontal="center" vertical="center"/>
    </xf>
    <xf numFmtId="0" fontId="14" fillId="20" borderId="5" xfId="0" applyFont="1" applyFill="1" applyBorder="1" applyAlignment="1">
      <alignment horizontal="center" vertical="center"/>
    </xf>
    <xf numFmtId="0" fontId="14" fillId="20" borderId="7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20" borderId="3" xfId="0" applyFont="1" applyFill="1" applyBorder="1" applyAlignment="1">
      <alignment horizontal="center" vertical="center"/>
    </xf>
    <xf numFmtId="0" fontId="14" fillId="20" borderId="10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93" fillId="0" borderId="0" xfId="0" applyFont="1" applyAlignment="1">
      <alignment horizontal="center"/>
    </xf>
    <xf numFmtId="14" fontId="194" fillId="0" borderId="0" xfId="0" applyNumberFormat="1" applyFont="1" applyAlignment="1">
      <alignment horizontal="center"/>
    </xf>
    <xf numFmtId="0" fontId="194" fillId="0" borderId="0" xfId="0" applyFont="1" applyAlignment="1">
      <alignment horizontal="center"/>
    </xf>
    <xf numFmtId="0" fontId="174" fillId="0" borderId="1" xfId="0" applyFont="1" applyBorder="1" applyAlignment="1">
      <alignment horizontal="center" vertical="center"/>
    </xf>
  </cellXfs>
  <cellStyles count="38">
    <cellStyle name="”ќђќ‘ћ‚›‰" xfId="9" xr:uid="{056F3B4F-5D15-4A58-B13D-D312C0AEF32D}"/>
    <cellStyle name="”љ‘ђћ‚ђќќ›‰" xfId="10" xr:uid="{7A9FEF3A-68FB-47AD-9932-E0E07601DE7A}"/>
    <cellStyle name="„…ќ…†ќ›‰" xfId="11" xr:uid="{962A8A68-A992-44CD-B106-3AE3610801DB}"/>
    <cellStyle name="‡ђѓћ‹ћ‚ћљ" xfId="12" xr:uid="{5C3D5654-A674-421C-9222-8B71CBACA38A}"/>
    <cellStyle name="‡ђѓћ‹ћ‚ћљ1" xfId="13" xr:uid="{FA9DC7DE-A30F-4A60-94F6-18B1462FDFE2}"/>
    <cellStyle name="‡ђѓћ‹ћ‚ћљ2" xfId="14" xr:uid="{6EC8E505-2DD4-45CC-B617-9F86DBE443D8}"/>
    <cellStyle name="’ћѓћ‚›‰" xfId="15" xr:uid="{36EB5091-818F-42DF-B166-059D3B7E6AFA}"/>
    <cellStyle name="Comma 2" xfId="16" xr:uid="{CF17FF25-464F-4896-B4F4-A7EC41308A2A}"/>
    <cellStyle name="Date" xfId="17" xr:uid="{F992D4A7-A69C-4905-8B1F-B5C45429C39C}"/>
    <cellStyle name="Fixed" xfId="18" xr:uid="{4109CF50-015F-40CF-9F7B-4492E2304165}"/>
    <cellStyle name="Heading1" xfId="19" xr:uid="{DED1594A-0C59-4A80-8231-DC0B1458CFC1}"/>
    <cellStyle name="Heading2" xfId="20" xr:uid="{BDAFBC20-BDFD-46D8-B268-9A3D1A2A8065}"/>
    <cellStyle name="Hyperlink 2" xfId="21" xr:uid="{6CF56D3C-BE9B-497F-9D63-538C2EA9B1E9}"/>
    <cellStyle name="Normal 2" xfId="3" xr:uid="{BC9DEE0D-9DA9-411A-9D5D-145390B20603}"/>
    <cellStyle name="Normal 3" xfId="4" xr:uid="{ADFE7BC1-2A58-458C-8CD9-6AC91DF92711}"/>
    <cellStyle name="Normal 4" xfId="22" xr:uid="{216173ED-D008-4677-987E-877D0F7C615D}"/>
    <cellStyle name="Normal 5" xfId="23" xr:uid="{86F649A4-7272-4B94-BDF3-6076D47CEEFF}"/>
    <cellStyle name="Normal 6" xfId="24" xr:uid="{26B6C985-E09E-483A-9DFD-B712F1E6180E}"/>
    <cellStyle name="Normal 7" xfId="25" xr:uid="{0F1CB047-3897-40A0-94C0-7B86C2B6CA18}"/>
    <cellStyle name="Normal 8" xfId="1" xr:uid="{37A199B1-E528-49C8-8F76-343CD8785A56}"/>
    <cellStyle name="Normal 9" xfId="6" xr:uid="{8E1B0F00-5C6A-4668-8A7C-B3F5DC0C8CF6}"/>
    <cellStyle name="Normal_Table11" xfId="2" xr:uid="{D02B26E5-8666-417A-B41F-1D574DC68B73}"/>
    <cellStyle name="Percent 2" xfId="26" xr:uid="{EE12B356-E481-4C81-9018-963BC18BA882}"/>
    <cellStyle name="Обычный" xfId="0" builtinId="0"/>
    <cellStyle name="Обычный 2" xfId="27" xr:uid="{89E33114-4A7F-48D6-80BA-06D8A9FB6DBE}"/>
    <cellStyle name="Обычный 2 3" xfId="31" xr:uid="{03A1EE8C-4928-453E-A151-85B4483EC165}"/>
    <cellStyle name="Обычный 3" xfId="7" xr:uid="{526E7475-1115-4D3F-BF8A-71CFE8803C46}"/>
    <cellStyle name="Обычный 3 2" xfId="33" xr:uid="{3D029347-9291-4D99-AA6C-870D9BCEFAA7}"/>
    <cellStyle name="Обычный 3 3" xfId="35" xr:uid="{711872D2-C7CC-4FB9-B0A4-B22AD87F5CC4}"/>
    <cellStyle name="Обычный 3 4" xfId="37" xr:uid="{9EAAFEBB-9F99-40B1-B142-101F67817897}"/>
    <cellStyle name="Обычный_Лист17" xfId="8" xr:uid="{316DD8FC-E747-46B2-84EB-3791559158D3}"/>
    <cellStyle name="Стиль 1" xfId="30" xr:uid="{F0A911D7-57AE-4DDB-A9E0-B681C2D654B6}"/>
    <cellStyle name="Финансовый" xfId="5" builtinId="3"/>
    <cellStyle name="Финансовый 2" xfId="29" xr:uid="{20740206-A017-45B5-B67F-42307C9E01BE}"/>
    <cellStyle name="Финансовый 3" xfId="34" xr:uid="{8A52BFAC-4496-4B2D-B5BC-4CD982558C25}"/>
    <cellStyle name="Финансовый 4" xfId="36" xr:uid="{58FA2D34-089C-44FE-A880-8AE878AB41E6}"/>
    <cellStyle name="Финансовый 5" xfId="32" xr:uid="{57854AD2-0265-4150-8F5F-D15B46D59DD5}"/>
    <cellStyle name="Џђћ–…ќ’ќ›‰" xfId="28" xr:uid="{EEE6F8E5-65CC-42C5-ACB1-127376DC9B49}"/>
  </cellStyles>
  <dxfs count="0"/>
  <tableStyles count="0" defaultTableStyle="TableStyleMedium2" defaultPivotStyle="PivotStyleLight16"/>
  <colors>
    <mruColors>
      <color rgb="FF66FFFF"/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OLOV~1\AppData\Local\Temp\Rar$DIa1948.37460\&#1050;&#1086;&#1087;&#1080;&#1103;%20&#1052;&#1086;&#1076;&#1077;&#1083;&#1100;%20&#1052;&#1069;&#1056;&#1058;%20%202017-21%20&#1085;&#1072;%20%2013.02.2018.xlsx" TargetMode="External"/><Relationship Id="rId1" Type="http://schemas.openxmlformats.org/officeDocument/2006/relationships/externalLinkPath" Target="/Users/JAOLOV~1/AppData/Local/Temp/Rar$DIa1948.37460/&#1050;&#1086;&#1087;&#1080;&#1103;%20&#1052;&#1086;&#1076;&#1077;&#1083;&#1100;%20&#1052;&#1069;&#1056;&#1058;%20%202017-21%20&#1085;&#1072;%20%2013.02.2018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olov%20Muhammad\Desktop\&#1044;&#1091;&#1088;&#1085;&#1072;&#1084;&#1086;\&#1044;&#1091;&#1088;&#1085;&#1072;&#1084;&#1086;%202026-2028\&#1052;&#1086;&#1076;&#1077;&#1083;&#1100;%202025-2028%20-2024.xlsx" TargetMode="External"/><Relationship Id="rId1" Type="http://schemas.openxmlformats.org/officeDocument/2006/relationships/externalLinkPath" Target="/Users/Jaolov%20Muhammad/Desktop/&#1044;&#1091;&#1088;&#1085;&#1072;&#1084;&#1086;/&#1044;&#1091;&#1088;&#1085;&#1072;&#1084;&#1086;%202026-2028/&#1052;&#1086;&#1076;&#1077;&#1083;&#1100;%202025-2028%20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DP"/>
      <sheetName val="Industry"/>
      <sheetName val="OEA"/>
      <sheetName val="Household"/>
      <sheetName val="Assumptions"/>
      <sheetName val="Trade"/>
      <sheetName val="Monetary"/>
      <sheetName val="BoP"/>
      <sheetName val="Revenue Model"/>
      <sheetName val="gateway"/>
      <sheetName val="Results"/>
      <sheetName val="Agriculture"/>
      <sheetName val="Промышленность"/>
    </sheetNames>
    <sheetDataSet>
      <sheetData sheetId="0"/>
      <sheetData sheetId="1"/>
      <sheetData sheetId="2"/>
      <sheetData sheetId="3"/>
      <sheetData sheetId="4"/>
      <sheetData sheetId="5"/>
      <sheetData sheetId="6">
        <row r="15">
          <cell r="B15" t="str">
            <v>ИПЦ, в том числе: (дек/дек), факт</v>
          </cell>
          <cell r="C15" t="str">
            <v>Inflation (dec/dec), fact, incl.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барои молия 2025 (2)"/>
      <sheetName val="Results (2)"/>
      <sheetName val="GDP"/>
      <sheetName val="Industry"/>
      <sheetName val="Industry-2"/>
      <sheetName val="OEA"/>
      <sheetName val="Household"/>
      <sheetName val="Assumptions"/>
      <sheetName val="Trade"/>
      <sheetName val="Monetary"/>
      <sheetName val="BoP"/>
      <sheetName val="Revenue Model"/>
      <sheetName val="gateway"/>
      <sheetName val="Results"/>
      <sheetName val="Agriculture"/>
    </sheetNames>
    <sheetDataSet>
      <sheetData sheetId="0"/>
      <sheetData sheetId="1"/>
      <sheetData sheetId="2">
        <row r="1">
          <cell r="AA1">
            <v>2013</v>
          </cell>
          <cell r="AB1">
            <v>2014</v>
          </cell>
          <cell r="AC1">
            <v>2015</v>
          </cell>
        </row>
        <row r="6">
          <cell r="AA6">
            <v>1053.5032114520802</v>
          </cell>
          <cell r="AB6">
            <v>1119.3134612656791</v>
          </cell>
          <cell r="AC6">
            <v>978.45729580663465</v>
          </cell>
          <cell r="AD6">
            <v>808.65536780846389</v>
          </cell>
          <cell r="AE6">
            <v>852.82524533024548</v>
          </cell>
          <cell r="AF6">
            <v>860.01835824809871</v>
          </cell>
        </row>
      </sheetData>
      <sheetData sheetId="3">
        <row r="4">
          <cell r="AA4">
            <v>9952</v>
          </cell>
        </row>
      </sheetData>
      <sheetData sheetId="4"/>
      <sheetData sheetId="5">
        <row r="22">
          <cell r="AA22">
            <v>5796.7999999999993</v>
          </cell>
        </row>
      </sheetData>
      <sheetData sheetId="6">
        <row r="3">
          <cell r="AA3">
            <v>11586.3</v>
          </cell>
        </row>
      </sheetData>
      <sheetData sheetId="7">
        <row r="6">
          <cell r="AB6">
            <v>97.387119094673437</v>
          </cell>
          <cell r="AC6">
            <v>50.793041982976774</v>
          </cell>
          <cell r="AD6">
            <v>42.7</v>
          </cell>
          <cell r="AE6">
            <v>54.4</v>
          </cell>
          <cell r="AF6">
            <v>71.069999999999993</v>
          </cell>
          <cell r="AG6">
            <v>64.03</v>
          </cell>
          <cell r="AH6">
            <v>42.8</v>
          </cell>
          <cell r="AI6">
            <v>71</v>
          </cell>
        </row>
        <row r="12">
          <cell r="AA12">
            <v>4.7641999999999998</v>
          </cell>
          <cell r="AB12">
            <v>4.9348999999999998</v>
          </cell>
          <cell r="AC12">
            <v>6.1645000000000003</v>
          </cell>
          <cell r="AD12">
            <v>7.8356000000000003</v>
          </cell>
          <cell r="AE12">
            <v>8.5496999999999996</v>
          </cell>
          <cell r="AF12">
            <v>9.1511999999999993</v>
          </cell>
        </row>
        <row r="19">
          <cell r="AB19">
            <v>44.45</v>
          </cell>
          <cell r="AC19">
            <v>61</v>
          </cell>
          <cell r="AD19">
            <v>67.03</v>
          </cell>
          <cell r="AE19">
            <v>61</v>
          </cell>
          <cell r="AF19">
            <v>63</v>
          </cell>
          <cell r="AG19">
            <v>65.400000000000006</v>
          </cell>
          <cell r="AH19">
            <v>71.900000000000006</v>
          </cell>
          <cell r="AI19">
            <v>73.599999999999994</v>
          </cell>
        </row>
      </sheetData>
      <sheetData sheetId="8">
        <row r="5">
          <cell r="AA5">
            <v>943.4</v>
          </cell>
        </row>
      </sheetData>
      <sheetData sheetId="9">
        <row r="15">
          <cell r="AA15">
            <v>103.7</v>
          </cell>
        </row>
      </sheetData>
      <sheetData sheetId="10">
        <row r="43">
          <cell r="AZ43">
            <v>0</v>
          </cell>
          <cell r="BA43">
            <v>3900</v>
          </cell>
          <cell r="BB43">
            <v>2629.2</v>
          </cell>
          <cell r="BC43">
            <v>2185.6999999999998</v>
          </cell>
          <cell r="BD43">
            <v>2632</v>
          </cell>
          <cell r="BE43">
            <v>2568.6</v>
          </cell>
          <cell r="BF43">
            <v>2731.6</v>
          </cell>
          <cell r="BG43">
            <v>2559.8000000000002</v>
          </cell>
        </row>
      </sheetData>
      <sheetData sheetId="11"/>
      <sheetData sheetId="12"/>
      <sheetData sheetId="13"/>
      <sheetData sheetId="14">
        <row r="2">
          <cell r="K2">
            <v>16756.599999999999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Z171"/>
  <sheetViews>
    <sheetView zoomScaleNormal="100" workbookViewId="0">
      <pane xSplit="3" ySplit="10" topLeftCell="H47" activePane="bottomRight" state="frozen"/>
      <selection pane="topRight" activeCell="D1" sqref="D1"/>
      <selection pane="bottomLeft" activeCell="A11" sqref="A11"/>
      <selection pane="bottomRight" activeCell="Y3" sqref="Y3"/>
    </sheetView>
  </sheetViews>
  <sheetFormatPr defaultRowHeight="15"/>
  <cols>
    <col min="1" max="1" width="4.140625" customWidth="1"/>
    <col min="2" max="2" width="4.85546875" customWidth="1"/>
    <col min="3" max="3" width="31.42578125" style="140" customWidth="1"/>
    <col min="4" max="20" width="8.85546875" style="140" customWidth="1"/>
    <col min="21" max="21" width="9.140625" style="140" customWidth="1"/>
    <col min="33" max="33" width="9.140625" style="184"/>
    <col min="34" max="52" width="9.140625" style="140"/>
  </cols>
  <sheetData>
    <row r="1" spans="2:52">
      <c r="B1" s="1" t="s">
        <v>0</v>
      </c>
      <c r="C1" s="2" t="s">
        <v>1</v>
      </c>
      <c r="D1" s="5">
        <v>1997</v>
      </c>
      <c r="E1" s="5">
        <v>1998</v>
      </c>
      <c r="F1" s="5">
        <v>1999</v>
      </c>
      <c r="G1" s="5">
        <v>2000</v>
      </c>
      <c r="H1" s="5">
        <v>2001</v>
      </c>
      <c r="I1" s="5">
        <v>2002</v>
      </c>
      <c r="J1" s="5">
        <v>2003</v>
      </c>
      <c r="K1" s="5">
        <v>2004</v>
      </c>
      <c r="L1" s="5">
        <v>2005</v>
      </c>
      <c r="M1" s="5">
        <v>2006</v>
      </c>
      <c r="N1" s="5">
        <v>2007</v>
      </c>
      <c r="O1" s="5">
        <v>2008</v>
      </c>
      <c r="P1" s="5">
        <v>2009</v>
      </c>
      <c r="Q1" s="5">
        <v>2010</v>
      </c>
      <c r="R1" s="5">
        <v>2011</v>
      </c>
      <c r="S1" s="5">
        <v>2012</v>
      </c>
      <c r="T1" s="5">
        <v>2013</v>
      </c>
      <c r="U1" s="5">
        <v>2014</v>
      </c>
      <c r="V1" s="5">
        <v>2015</v>
      </c>
      <c r="W1" s="5">
        <v>2016</v>
      </c>
      <c r="X1" s="5">
        <v>2017</v>
      </c>
      <c r="Y1" s="5">
        <v>2018</v>
      </c>
      <c r="Z1" s="5">
        <v>2019</v>
      </c>
      <c r="AA1" s="5">
        <v>2020</v>
      </c>
      <c r="AB1" s="5">
        <v>2021</v>
      </c>
      <c r="AC1" s="5">
        <v>2022</v>
      </c>
      <c r="AD1" s="5">
        <v>2023</v>
      </c>
      <c r="AE1" s="5">
        <v>2024</v>
      </c>
    </row>
    <row r="2" spans="2:52" ht="18">
      <c r="B2" s="7" t="s">
        <v>621</v>
      </c>
      <c r="C2" s="139" t="s">
        <v>542</v>
      </c>
      <c r="D2" s="141">
        <v>518.4</v>
      </c>
      <c r="E2" s="141">
        <v>1025.2</v>
      </c>
      <c r="F2" s="686">
        <v>1345</v>
      </c>
      <c r="G2" s="669">
        <v>1786.8</v>
      </c>
      <c r="H2" s="669">
        <v>2563.8000000000002</v>
      </c>
      <c r="I2" s="669">
        <v>3375.3</v>
      </c>
      <c r="J2" s="669">
        <v>4761.5</v>
      </c>
      <c r="K2" s="669">
        <v>6167.2</v>
      </c>
      <c r="L2" s="241">
        <v>7206.5999999999995</v>
      </c>
      <c r="M2" s="241">
        <v>9335.3000000000011</v>
      </c>
      <c r="N2" s="241">
        <v>12804.3</v>
      </c>
      <c r="O2" s="241">
        <v>17706.900000000001</v>
      </c>
      <c r="P2" s="672">
        <v>20629</v>
      </c>
      <c r="Q2" s="673">
        <v>24707.100000000002</v>
      </c>
      <c r="R2" s="673">
        <v>30071.1</v>
      </c>
      <c r="S2" s="240">
        <v>36163.1</v>
      </c>
      <c r="T2" s="240">
        <v>40525.199999999997</v>
      </c>
      <c r="U2" s="240">
        <v>45606.6</v>
      </c>
      <c r="V2" s="179">
        <f t="shared" ref="V2:AE2" si="0">V13</f>
        <v>50977.399999999994</v>
      </c>
      <c r="W2" s="179">
        <f t="shared" si="0"/>
        <v>54790.299999999996</v>
      </c>
      <c r="X2" s="179">
        <f t="shared" si="0"/>
        <v>64434.3</v>
      </c>
      <c r="Y2" s="179">
        <f t="shared" si="0"/>
        <v>71059.199999999997</v>
      </c>
      <c r="Z2" s="179">
        <f t="shared" si="0"/>
        <v>79109.799999999988</v>
      </c>
      <c r="AA2" s="179">
        <f t="shared" si="0"/>
        <v>83958.3</v>
      </c>
      <c r="AB2" s="179">
        <f t="shared" si="0"/>
        <v>101076.30000000002</v>
      </c>
      <c r="AC2" s="179">
        <f t="shared" si="0"/>
        <v>118181.70000000001</v>
      </c>
      <c r="AD2" s="179">
        <f t="shared" si="0"/>
        <v>132781.90000000002</v>
      </c>
      <c r="AE2" s="179">
        <f t="shared" si="0"/>
        <v>153402.19999999998</v>
      </c>
      <c r="AG2" t="s">
        <v>626</v>
      </c>
    </row>
    <row r="3" spans="2:52" ht="18">
      <c r="B3" s="7" t="s">
        <v>622</v>
      </c>
      <c r="C3" s="140" t="s">
        <v>543</v>
      </c>
      <c r="D3" s="141">
        <v>101.7</v>
      </c>
      <c r="E3" s="141">
        <v>105.3</v>
      </c>
      <c r="F3" s="686">
        <v>103.7</v>
      </c>
      <c r="G3" s="181">
        <v>108.3</v>
      </c>
      <c r="H3" s="181">
        <v>109.6</v>
      </c>
      <c r="I3" s="181">
        <v>110.8</v>
      </c>
      <c r="J3" s="181">
        <v>111.1</v>
      </c>
      <c r="K3" s="181">
        <v>110.3</v>
      </c>
      <c r="L3" s="180">
        <v>106.7</v>
      </c>
      <c r="M3" s="180">
        <v>107</v>
      </c>
      <c r="N3" s="180">
        <v>107.8</v>
      </c>
      <c r="O3" s="180">
        <v>107.9</v>
      </c>
      <c r="P3" s="180">
        <v>103.9</v>
      </c>
      <c r="Q3" s="180">
        <v>106.5</v>
      </c>
      <c r="R3" s="180">
        <v>107.4</v>
      </c>
      <c r="S3" s="180">
        <v>107.5</v>
      </c>
      <c r="T3" s="180">
        <v>107.4</v>
      </c>
      <c r="U3" s="180">
        <v>106.7</v>
      </c>
      <c r="V3" s="180">
        <f>V30</f>
        <v>106</v>
      </c>
      <c r="W3" s="180">
        <f t="shared" ref="W3:AE3" si="1">W30</f>
        <v>106.89999999999999</v>
      </c>
      <c r="X3" s="180">
        <f t="shared" si="1"/>
        <v>107.1</v>
      </c>
      <c r="Y3" s="180">
        <f t="shared" si="1"/>
        <v>107.56588649213229</v>
      </c>
      <c r="Z3" s="180">
        <f t="shared" si="1"/>
        <v>107.42265829055211</v>
      </c>
      <c r="AA3" s="180">
        <f t="shared" si="1"/>
        <v>104.44609011778569</v>
      </c>
      <c r="AB3" s="180">
        <f t="shared" si="1"/>
        <v>109.41560608063764</v>
      </c>
      <c r="AC3" s="180">
        <f t="shared" si="1"/>
        <v>108.03592118033602</v>
      </c>
      <c r="AD3" s="180">
        <f t="shared" si="1"/>
        <v>108.31976837361451</v>
      </c>
      <c r="AE3" s="180">
        <f t="shared" si="1"/>
        <v>108.35354052046063</v>
      </c>
      <c r="AG3" t="s">
        <v>627</v>
      </c>
      <c r="AH3" s="184"/>
    </row>
    <row r="4" spans="2:52" ht="18">
      <c r="B4" s="7" t="s">
        <v>623</v>
      </c>
      <c r="C4" s="140" t="s">
        <v>544</v>
      </c>
      <c r="D4" s="141">
        <v>165.2</v>
      </c>
      <c r="E4" s="141">
        <v>187.8</v>
      </c>
      <c r="F4" s="686">
        <v>123.5</v>
      </c>
      <c r="G4" s="181">
        <v>124.3</v>
      </c>
      <c r="H4" s="181">
        <v>130.9</v>
      </c>
      <c r="I4" s="181">
        <v>118.8</v>
      </c>
      <c r="J4" s="181">
        <v>127.1</v>
      </c>
      <c r="K4" s="181">
        <v>117.5</v>
      </c>
      <c r="L4" s="180">
        <v>109.51609889389134</v>
      </c>
      <c r="M4" s="180">
        <v>121.06373933966556</v>
      </c>
      <c r="N4" s="180">
        <v>127.23564656244146</v>
      </c>
      <c r="O4" s="180">
        <v>128.16376264122408</v>
      </c>
      <c r="P4" s="180">
        <v>112.12955373301864</v>
      </c>
      <c r="Q4" s="180">
        <v>112.4480169104208</v>
      </c>
      <c r="R4" s="180">
        <v>113.32435620195481</v>
      </c>
      <c r="S4" s="180">
        <v>111.86851503023107</v>
      </c>
      <c r="T4" s="180">
        <v>104.34105730386703</v>
      </c>
      <c r="U4" s="180">
        <v>105.47222559175718</v>
      </c>
      <c r="V4" s="180">
        <f t="shared" ref="V4:AE4" si="2">V64</f>
        <v>105.44940160514669</v>
      </c>
      <c r="W4" s="180">
        <f t="shared" si="2"/>
        <v>100.54217866635985</v>
      </c>
      <c r="X4" s="180">
        <f t="shared" si="2"/>
        <v>109.80546757006118</v>
      </c>
      <c r="Y4" s="180">
        <f t="shared" si="2"/>
        <v>102.52473094313454</v>
      </c>
      <c r="Z4" s="180">
        <f t="shared" si="2"/>
        <v>103.63681973908618</v>
      </c>
      <c r="AA4" s="180">
        <f t="shared" si="2"/>
        <v>101.61110230514826</v>
      </c>
      <c r="AB4" s="180">
        <f t="shared" si="2"/>
        <v>110.02881332080305</v>
      </c>
      <c r="AC4" s="180">
        <f t="shared" si="2"/>
        <v>108.22627671327531</v>
      </c>
      <c r="AD4" s="180">
        <f t="shared" si="2"/>
        <v>103.72439807211711</v>
      </c>
      <c r="AE4" s="180">
        <f t="shared" si="2"/>
        <v>106.62268198320136</v>
      </c>
      <c r="AG4" t="s">
        <v>628</v>
      </c>
      <c r="AH4" s="184"/>
    </row>
    <row r="5" spans="2:52" ht="18.75">
      <c r="B5" s="7" t="s">
        <v>624</v>
      </c>
      <c r="C5" s="141" t="s">
        <v>545</v>
      </c>
      <c r="D5" s="685">
        <v>8495.6919273727799</v>
      </c>
      <c r="E5" s="685">
        <v>8945.9635995235367</v>
      </c>
      <c r="F5" s="687">
        <v>9276.9642527059077</v>
      </c>
      <c r="G5" s="670">
        <v>10046.952285680498</v>
      </c>
      <c r="H5" s="670">
        <v>11011.459705105824</v>
      </c>
      <c r="I5" s="670">
        <v>12200.697353257252</v>
      </c>
      <c r="J5" s="670">
        <v>13554.974759468805</v>
      </c>
      <c r="K5" s="670">
        <v>14951.137159694093</v>
      </c>
      <c r="L5" s="670">
        <v>15952.863349393598</v>
      </c>
      <c r="M5" s="670">
        <v>17069.56378385115</v>
      </c>
      <c r="N5" s="670">
        <v>18400.989758991542</v>
      </c>
      <c r="O5" s="670">
        <v>19854.667949951876</v>
      </c>
      <c r="P5" s="675">
        <v>20629</v>
      </c>
      <c r="Q5" s="676">
        <v>21969.884999999998</v>
      </c>
      <c r="R5" s="182">
        <v>23595.656489999998</v>
      </c>
      <c r="S5" s="182">
        <v>25365.330726749999</v>
      </c>
      <c r="T5" s="182">
        <v>27242.365200529501</v>
      </c>
      <c r="U5" s="182">
        <v>29067.603668964981</v>
      </c>
      <c r="V5" s="182">
        <f t="shared" ref="V5:AE5" si="3">V47</f>
        <v>30811.659889102881</v>
      </c>
      <c r="W5" s="182">
        <f t="shared" si="3"/>
        <v>32937.664421450972</v>
      </c>
      <c r="X5" s="182">
        <f t="shared" si="3"/>
        <v>35276.238595373987</v>
      </c>
      <c r="Y5" s="182">
        <f t="shared" si="3"/>
        <v>37945.198766193746</v>
      </c>
      <c r="Z5" s="182">
        <f t="shared" si="3"/>
        <v>40761.741208279098</v>
      </c>
      <c r="AA5" s="182">
        <f t="shared" si="3"/>
        <v>42574.04495597777</v>
      </c>
      <c r="AB5" s="182">
        <f t="shared" si="3"/>
        <v>46582.649321626217</v>
      </c>
      <c r="AC5" s="182">
        <f t="shared" si="3"/>
        <v>50325.994304824431</v>
      </c>
      <c r="AD5" s="182">
        <f t="shared" si="3"/>
        <v>54513.000462704251</v>
      </c>
      <c r="AE5" s="182">
        <f t="shared" si="3"/>
        <v>59066.766045275137</v>
      </c>
      <c r="AG5" t="s">
        <v>629</v>
      </c>
      <c r="AH5" s="184"/>
    </row>
    <row r="6" spans="2:52" ht="18.75">
      <c r="B6" s="7" t="s">
        <v>625</v>
      </c>
      <c r="C6" s="141" t="s">
        <v>546</v>
      </c>
      <c r="D6" s="141">
        <v>158.69999999999999</v>
      </c>
      <c r="E6" s="141">
        <v>221.8</v>
      </c>
      <c r="F6" s="686">
        <v>178.2</v>
      </c>
      <c r="G6" s="670">
        <v>158</v>
      </c>
      <c r="H6" s="670">
        <v>171.2</v>
      </c>
      <c r="I6" s="670">
        <v>190</v>
      </c>
      <c r="J6" s="670">
        <v>236.7</v>
      </c>
      <c r="K6" s="670">
        <v>309.7</v>
      </c>
      <c r="L6" s="670">
        <v>337.5</v>
      </c>
      <c r="M6" s="670">
        <v>410</v>
      </c>
      <c r="N6" s="670">
        <v>529</v>
      </c>
      <c r="O6" s="670">
        <v>719.8</v>
      </c>
      <c r="P6" s="670">
        <v>678.8</v>
      </c>
      <c r="Q6" s="180">
        <v>750.4</v>
      </c>
      <c r="R6" s="180">
        <v>845.64821242624078</v>
      </c>
      <c r="S6" s="180">
        <v>961.47143427047683</v>
      </c>
      <c r="T6" s="180">
        <v>1053.5032114520802</v>
      </c>
      <c r="U6" s="180">
        <v>1119.3134612656791</v>
      </c>
      <c r="V6">
        <f>V7/Assumptions!V12</f>
        <v>978.45729580663465</v>
      </c>
      <c r="W6">
        <f>W7/Assumptions!W12</f>
        <v>808.65536780846389</v>
      </c>
      <c r="X6">
        <f>X7/Assumptions!X12</f>
        <v>852.82524533024548</v>
      </c>
      <c r="Y6">
        <f>Y7/Assumptions!Y12</f>
        <v>860.01835824809871</v>
      </c>
      <c r="Z6">
        <f>Z7/Assumptions!Z12</f>
        <v>900.31584138676419</v>
      </c>
      <c r="AA6">
        <f>AA7/Assumptions!AA12</f>
        <v>864.39921869330192</v>
      </c>
      <c r="AB6">
        <f>AB7/Assumptions!AB12</f>
        <v>911.84819036334216</v>
      </c>
      <c r="AC6">
        <f>AC7/Assumptions!AC12</f>
        <v>1073.7361461299859</v>
      </c>
      <c r="AD6" s="604">
        <f>AD7/Assumptions!AD12</f>
        <v>1202.4128307657093</v>
      </c>
      <c r="AE6" s="604">
        <f>AE7/Assumptions!AE12</f>
        <v>1368.3056148502278</v>
      </c>
      <c r="AG6" t="s">
        <v>630</v>
      </c>
      <c r="AH6" s="184"/>
    </row>
    <row r="7" spans="2:52">
      <c r="B7" s="7"/>
      <c r="C7" s="141" t="s">
        <v>547</v>
      </c>
      <c r="D7" s="141">
        <v>89.2</v>
      </c>
      <c r="E7" s="141">
        <v>172.9</v>
      </c>
      <c r="F7" s="686">
        <v>222.1</v>
      </c>
      <c r="G7" s="670">
        <v>288.39999999999998</v>
      </c>
      <c r="H7" s="670">
        <v>405.8</v>
      </c>
      <c r="I7" s="670">
        <v>525</v>
      </c>
      <c r="J7" s="670">
        <v>727.7</v>
      </c>
      <c r="K7" s="670">
        <v>926.2</v>
      </c>
      <c r="L7" s="670">
        <v>1062.8</v>
      </c>
      <c r="M7" s="670">
        <v>1352.2</v>
      </c>
      <c r="N7" s="670">
        <v>1821.1</v>
      </c>
      <c r="O7" s="180">
        <v>2468.3000000000002</v>
      </c>
      <c r="P7" s="180">
        <v>2812.7</v>
      </c>
      <c r="Q7" s="180">
        <v>3285.8</v>
      </c>
      <c r="R7" s="180">
        <v>3898.1</v>
      </c>
      <c r="S7" s="180">
        <v>4579.2</v>
      </c>
      <c r="T7" s="180">
        <v>5019.1000000000004</v>
      </c>
      <c r="U7" s="180">
        <v>5523.7</v>
      </c>
      <c r="V7" s="180">
        <v>6031.7</v>
      </c>
      <c r="W7" s="180">
        <v>6336.3</v>
      </c>
      <c r="X7" s="180">
        <v>7291.4</v>
      </c>
      <c r="Y7" s="180">
        <v>7870.2</v>
      </c>
      <c r="Z7" s="180">
        <v>8580.1</v>
      </c>
      <c r="AA7" s="180">
        <v>8922.2422954303929</v>
      </c>
      <c r="AB7" s="180">
        <v>10312</v>
      </c>
      <c r="AC7" s="180">
        <v>11838.8</v>
      </c>
      <c r="AD7" s="604">
        <f>AD2/Assumptions!AD63</f>
        <v>13039.565943238733</v>
      </c>
      <c r="AE7" s="604">
        <f>AE2/Assumptions!AE63</f>
        <v>14775.78501252167</v>
      </c>
      <c r="AG7"/>
      <c r="AH7" s="184"/>
    </row>
    <row r="8" spans="2:52">
      <c r="B8" s="7" t="str">
        <f>[1]Monetary!B15</f>
        <v>ИПЦ, в том числе: (дек/дек), факт</v>
      </c>
      <c r="C8" s="7" t="str">
        <f>[1]Monetary!C15</f>
        <v>Inflation (dec/dec), fact, incl.</v>
      </c>
      <c r="D8" s="7"/>
      <c r="E8" s="7"/>
      <c r="F8" s="7"/>
      <c r="G8" s="671">
        <v>160.62781434678166</v>
      </c>
      <c r="H8" s="671">
        <v>112.47905011763029</v>
      </c>
      <c r="I8" s="671">
        <v>114.50566951061211</v>
      </c>
      <c r="J8" s="671">
        <v>113.6526454751114</v>
      </c>
      <c r="K8" s="671">
        <v>105.62006340585056</v>
      </c>
      <c r="L8" s="671">
        <v>106.89378796987587</v>
      </c>
      <c r="M8" s="671">
        <v>111.9</v>
      </c>
      <c r="N8" s="671">
        <v>121.5</v>
      </c>
      <c r="O8" s="671">
        <v>120.4</v>
      </c>
      <c r="P8" s="671">
        <v>106.4</v>
      </c>
      <c r="Q8" s="671">
        <v>106.5</v>
      </c>
      <c r="R8" s="674">
        <v>112.5</v>
      </c>
      <c r="S8" s="674">
        <v>105.8</v>
      </c>
      <c r="T8" s="674">
        <v>103.7</v>
      </c>
      <c r="U8" s="674">
        <v>107.4</v>
      </c>
      <c r="V8">
        <f>Monetary!V15</f>
        <v>105.1</v>
      </c>
      <c r="W8">
        <f>Monetary!W15</f>
        <v>106.1</v>
      </c>
      <c r="X8">
        <f>Monetary!X15</f>
        <v>106.7411</v>
      </c>
      <c r="Y8">
        <f>Monetary!Y15</f>
        <v>105.37888685927308</v>
      </c>
      <c r="Z8">
        <f>Monetary!Z15</f>
        <v>108</v>
      </c>
      <c r="AA8">
        <f>Monetary!AA15</f>
        <v>109.4</v>
      </c>
      <c r="AB8">
        <f>Monetary!AB15</f>
        <v>108</v>
      </c>
      <c r="AC8">
        <f>Monetary!AC15</f>
        <v>104.2</v>
      </c>
      <c r="AD8">
        <f>Monetary!AD15</f>
        <v>103.8</v>
      </c>
      <c r="AE8">
        <f>Monetary!AE15</f>
        <v>103.6</v>
      </c>
      <c r="AH8" s="184"/>
    </row>
    <row r="9" spans="2:52">
      <c r="W9" s="618"/>
      <c r="X9" s="618"/>
      <c r="Y9" s="618"/>
      <c r="Z9" s="618"/>
      <c r="AA9" s="618"/>
      <c r="AB9" s="618"/>
      <c r="AC9" s="618"/>
      <c r="AD9" s="618"/>
      <c r="AE9" s="618"/>
      <c r="AH9" s="184"/>
    </row>
    <row r="10" spans="2:52" ht="39">
      <c r="C10" s="1101" t="s">
        <v>1133</v>
      </c>
      <c r="D10" s="140">
        <v>5814.4</v>
      </c>
      <c r="E10" s="140">
        <v>5930.5</v>
      </c>
      <c r="F10" s="140">
        <v>6056</v>
      </c>
      <c r="G10" s="140">
        <v>6196.5</v>
      </c>
      <c r="H10" s="140">
        <v>6317.9</v>
      </c>
      <c r="I10" s="140">
        <v>6429.2</v>
      </c>
      <c r="J10" s="140">
        <v>6543</v>
      </c>
      <c r="K10" s="140">
        <v>6658.9</v>
      </c>
      <c r="L10" s="140">
        <v>6780.6</v>
      </c>
      <c r="M10" s="140">
        <v>6903.9</v>
      </c>
      <c r="N10" s="140">
        <v>7031.2</v>
      </c>
      <c r="O10" s="195">
        <v>7173.8</v>
      </c>
      <c r="P10" s="140">
        <v>7334.1</v>
      </c>
      <c r="Q10" s="140">
        <v>7519.3</v>
      </c>
      <c r="R10" s="140">
        <v>7714.2</v>
      </c>
      <c r="S10" s="140">
        <v>7897.3</v>
      </c>
      <c r="T10" s="140">
        <v>8074.3</v>
      </c>
      <c r="U10" s="140">
        <v>8256.6</v>
      </c>
      <c r="V10">
        <v>8451.6</v>
      </c>
      <c r="W10">
        <v>8647</v>
      </c>
      <c r="X10">
        <v>8837</v>
      </c>
      <c r="Y10">
        <v>9028.9</v>
      </c>
      <c r="Z10">
        <v>9220.2000000000007</v>
      </c>
      <c r="AA10">
        <v>9410</v>
      </c>
      <c r="AB10">
        <v>9801.8119999999999</v>
      </c>
      <c r="AC10">
        <v>9982.6</v>
      </c>
      <c r="AD10">
        <v>10183.299999999999</v>
      </c>
      <c r="AE10">
        <v>10382.1</v>
      </c>
      <c r="AH10" s="184"/>
    </row>
    <row r="11" spans="2:52">
      <c r="C11" s="142"/>
      <c r="D11" s="142"/>
      <c r="E11" s="142"/>
      <c r="F11" s="142"/>
      <c r="G11" s="142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85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AZ11" s="142"/>
    </row>
    <row r="12" spans="2:52"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AG12" s="186"/>
      <c r="AH12" s="143"/>
      <c r="AI12" s="143"/>
      <c r="AJ12" s="143"/>
      <c r="AK12" s="143"/>
      <c r="AL12" s="143"/>
      <c r="AM12" s="143"/>
      <c r="AN12" s="143"/>
      <c r="AO12" s="143"/>
      <c r="AP12" s="143"/>
      <c r="AQ12" s="143"/>
      <c r="AR12" s="143"/>
      <c r="AS12" s="143"/>
      <c r="AT12" s="143"/>
      <c r="AU12" s="143"/>
      <c r="AV12" s="143"/>
      <c r="AW12" s="143"/>
      <c r="AX12" s="143"/>
      <c r="AY12" s="143"/>
      <c r="AZ12" s="143"/>
    </row>
    <row r="13" spans="2:52" ht="18">
      <c r="C13" s="141" t="s">
        <v>542</v>
      </c>
      <c r="D13" s="141">
        <v>518.4</v>
      </c>
      <c r="E13" s="141">
        <v>1025.2</v>
      </c>
      <c r="F13" s="686">
        <v>1345</v>
      </c>
      <c r="G13" s="689">
        <v>1786.8</v>
      </c>
      <c r="H13" s="689">
        <v>2563.8000000000002</v>
      </c>
      <c r="I13" s="689">
        <v>3375.3</v>
      </c>
      <c r="J13" s="689">
        <v>4761.5</v>
      </c>
      <c r="K13" s="689">
        <v>6167.2</v>
      </c>
      <c r="L13" s="198">
        <v>7206.5999999999995</v>
      </c>
      <c r="M13" s="198">
        <v>9335.3000000000011</v>
      </c>
      <c r="N13" s="198">
        <v>12804.3</v>
      </c>
      <c r="O13" s="198">
        <v>17706.900000000001</v>
      </c>
      <c r="P13" s="198">
        <v>20629</v>
      </c>
      <c r="Q13" s="178">
        <v>24707.100000000002</v>
      </c>
      <c r="R13" s="178">
        <v>30071.1</v>
      </c>
      <c r="S13" s="178">
        <v>36163.1</v>
      </c>
      <c r="T13" s="178">
        <v>40525.199999999997</v>
      </c>
      <c r="U13" s="178">
        <v>45606.6</v>
      </c>
      <c r="V13" s="178">
        <f t="shared" ref="V13:AD13" si="4">V14+V15</f>
        <v>50977.399999999994</v>
      </c>
      <c r="W13" s="178">
        <f t="shared" si="4"/>
        <v>54790.299999999996</v>
      </c>
      <c r="X13" s="178">
        <f t="shared" si="4"/>
        <v>64434.3</v>
      </c>
      <c r="Y13" s="178">
        <f t="shared" si="4"/>
        <v>71059.199999999997</v>
      </c>
      <c r="Z13" s="178">
        <f t="shared" si="4"/>
        <v>79109.799999999988</v>
      </c>
      <c r="AA13" s="178">
        <f t="shared" si="4"/>
        <v>83958.3</v>
      </c>
      <c r="AB13" s="178">
        <f t="shared" si="4"/>
        <v>101076.30000000002</v>
      </c>
      <c r="AC13" s="178">
        <f t="shared" si="4"/>
        <v>118181.70000000001</v>
      </c>
      <c r="AD13" s="607">
        <f t="shared" si="4"/>
        <v>132781.90000000002</v>
      </c>
      <c r="AE13" s="187">
        <f>AE14+AE15</f>
        <v>153402.19999999998</v>
      </c>
      <c r="AG13" t="s">
        <v>631</v>
      </c>
    </row>
    <row r="14" spans="2:52" ht="18">
      <c r="C14" s="144" t="s">
        <v>548</v>
      </c>
      <c r="D14" s="144">
        <v>49.8</v>
      </c>
      <c r="E14" s="144">
        <v>77.8</v>
      </c>
      <c r="F14" s="694">
        <v>98</v>
      </c>
      <c r="G14" s="188">
        <v>149.69999999999999</v>
      </c>
      <c r="H14" s="188">
        <v>230.3</v>
      </c>
      <c r="I14" s="188">
        <v>332.8</v>
      </c>
      <c r="J14" s="188">
        <v>508.4</v>
      </c>
      <c r="K14" s="188">
        <v>679.7</v>
      </c>
      <c r="L14" s="188">
        <v>831.2</v>
      </c>
      <c r="M14" s="188">
        <v>1059.7</v>
      </c>
      <c r="N14" s="188">
        <v>1603.5</v>
      </c>
      <c r="O14" s="188">
        <v>2235.8999999999996</v>
      </c>
      <c r="P14" s="158">
        <v>2286.6</v>
      </c>
      <c r="Q14" s="158">
        <v>2781.7</v>
      </c>
      <c r="R14" s="158">
        <v>3727.5</v>
      </c>
      <c r="S14" s="158">
        <v>4455.8</v>
      </c>
      <c r="T14" s="158">
        <v>5159.5</v>
      </c>
      <c r="U14" s="158">
        <v>6361.6</v>
      </c>
      <c r="V14" s="158">
        <f>5453.6-83.4</f>
        <v>5370.2000000000007</v>
      </c>
      <c r="W14" s="158">
        <f>5755.1-95</f>
        <v>5660.1</v>
      </c>
      <c r="X14" s="158">
        <f>6467.9-130.8</f>
        <v>6337.0999999999995</v>
      </c>
      <c r="Y14" s="158">
        <f>7131.5-112.4</f>
        <v>7019.1</v>
      </c>
      <c r="Z14" s="158">
        <f>7827.1-134.4</f>
        <v>7692.7000000000007</v>
      </c>
      <c r="AA14" s="158">
        <f>7718-175.3</f>
        <v>7542.7</v>
      </c>
      <c r="AB14" s="158">
        <f>9880.8-184.3</f>
        <v>9696.5</v>
      </c>
      <c r="AC14" s="158">
        <v>10687.4</v>
      </c>
      <c r="AD14" s="607">
        <f>13443.4-246.2</f>
        <v>13197.199999999999</v>
      </c>
      <c r="AE14" s="607">
        <v>14425.9</v>
      </c>
      <c r="AG14" t="s">
        <v>632</v>
      </c>
    </row>
    <row r="15" spans="2:52" ht="18">
      <c r="C15" s="145" t="s">
        <v>549</v>
      </c>
      <c r="D15" s="141">
        <v>468.59999999999997</v>
      </c>
      <c r="E15" s="141">
        <v>947.40000000000009</v>
      </c>
      <c r="F15" s="686">
        <v>1247</v>
      </c>
      <c r="G15" s="689">
        <v>1637.1</v>
      </c>
      <c r="H15" s="689">
        <v>2333.5</v>
      </c>
      <c r="I15" s="689">
        <v>3042.5</v>
      </c>
      <c r="J15" s="689">
        <v>4253.1000000000004</v>
      </c>
      <c r="K15" s="689">
        <v>5487.5</v>
      </c>
      <c r="L15" s="689">
        <v>6375.4</v>
      </c>
      <c r="M15" s="689">
        <v>8275.6</v>
      </c>
      <c r="N15" s="689">
        <v>11200.8</v>
      </c>
      <c r="O15" s="689">
        <v>15471.000000000002</v>
      </c>
      <c r="P15" s="158">
        <v>18342</v>
      </c>
      <c r="Q15" s="158">
        <v>21925.4</v>
      </c>
      <c r="R15" s="158">
        <v>26343.599999999999</v>
      </c>
      <c r="S15" s="158">
        <v>31707.3</v>
      </c>
      <c r="T15" s="158">
        <v>35365.699999999997</v>
      </c>
      <c r="U15" s="158">
        <v>39245</v>
      </c>
      <c r="V15" s="158">
        <f>SUM(V16:V22)</f>
        <v>45607.19999999999</v>
      </c>
      <c r="W15" s="158">
        <f t="shared" ref="W15:AE15" si="5">SUM(W16:W22)</f>
        <v>49130.2</v>
      </c>
      <c r="X15" s="158">
        <f t="shared" si="5"/>
        <v>58097.200000000004</v>
      </c>
      <c r="Y15" s="158">
        <f t="shared" si="5"/>
        <v>64040.1</v>
      </c>
      <c r="Z15" s="158">
        <f t="shared" si="5"/>
        <v>71417.099999999991</v>
      </c>
      <c r="AA15" s="158">
        <f t="shared" si="5"/>
        <v>76415.600000000006</v>
      </c>
      <c r="AB15" s="158">
        <f t="shared" si="5"/>
        <v>91379.800000000017</v>
      </c>
      <c r="AC15" s="158">
        <f t="shared" si="5"/>
        <v>107494.30000000002</v>
      </c>
      <c r="AD15" s="607">
        <f t="shared" si="5"/>
        <v>119584.70000000001</v>
      </c>
      <c r="AE15" s="158">
        <f t="shared" si="5"/>
        <v>138976.29999999999</v>
      </c>
      <c r="AG15" t="s">
        <v>633</v>
      </c>
    </row>
    <row r="16" spans="2:52" ht="18">
      <c r="C16" s="141" t="s">
        <v>550</v>
      </c>
      <c r="D16" s="141">
        <v>165.9</v>
      </c>
      <c r="E16" s="141">
        <v>257.39999999999998</v>
      </c>
      <c r="F16" s="686">
        <v>341.4</v>
      </c>
      <c r="G16" s="196">
        <v>448.9</v>
      </c>
      <c r="H16" s="196">
        <v>610.4</v>
      </c>
      <c r="I16" s="196">
        <v>750.5</v>
      </c>
      <c r="J16" s="196">
        <v>1151.9000000000001</v>
      </c>
      <c r="K16" s="196">
        <v>1185.5999999999999</v>
      </c>
      <c r="L16" s="196">
        <v>1527.2</v>
      </c>
      <c r="M16" s="196">
        <v>2002.6</v>
      </c>
      <c r="N16" s="196">
        <v>2488.3000000000002</v>
      </c>
      <c r="O16" s="196">
        <v>3517.9</v>
      </c>
      <c r="P16" s="690">
        <v>3827</v>
      </c>
      <c r="Q16" s="158">
        <v>4839.3</v>
      </c>
      <c r="R16" s="158">
        <v>7167.6</v>
      </c>
      <c r="S16" s="158">
        <v>8435.7000000000007</v>
      </c>
      <c r="T16" s="158">
        <v>8279.6</v>
      </c>
      <c r="U16" s="158">
        <v>10692.6</v>
      </c>
      <c r="V16" s="158">
        <v>11006.4</v>
      </c>
      <c r="W16" s="158">
        <f>11399.2+28.4</f>
        <v>11427.6</v>
      </c>
      <c r="X16" s="158">
        <f>13069.4</f>
        <v>13069.4</v>
      </c>
      <c r="Y16" s="158">
        <v>14049.8</v>
      </c>
      <c r="Z16" s="158">
        <v>16507.900000000001</v>
      </c>
      <c r="AA16" s="158">
        <v>19050.5</v>
      </c>
      <c r="AB16" s="158">
        <v>22690.7</v>
      </c>
      <c r="AC16" s="158">
        <v>27104.799999999999</v>
      </c>
      <c r="AD16" s="606">
        <v>30352.5</v>
      </c>
      <c r="AE16" s="606">
        <v>34954.800000000003</v>
      </c>
      <c r="AG16" t="s">
        <v>634</v>
      </c>
    </row>
    <row r="17" spans="3:33" ht="18">
      <c r="C17" s="141" t="s">
        <v>551</v>
      </c>
      <c r="D17" s="141">
        <v>114</v>
      </c>
      <c r="E17" s="141">
        <v>206.1</v>
      </c>
      <c r="F17" s="686">
        <v>291.60000000000002</v>
      </c>
      <c r="G17" s="689">
        <v>592.29999999999995</v>
      </c>
      <c r="H17" s="689">
        <v>858</v>
      </c>
      <c r="I17" s="689">
        <v>1117.2</v>
      </c>
      <c r="J17" s="689">
        <v>1440.2</v>
      </c>
      <c r="K17" s="689">
        <v>1644.4</v>
      </c>
      <c r="L17" s="689">
        <v>1645.1</v>
      </c>
      <c r="M17" s="689">
        <v>1987</v>
      </c>
      <c r="N17" s="689">
        <v>2349.4</v>
      </c>
      <c r="O17" s="689">
        <v>2515.8000000000002</v>
      </c>
      <c r="P17" s="188">
        <v>2957.4</v>
      </c>
      <c r="Q17" s="158">
        <v>3642.7</v>
      </c>
      <c r="R17" s="158">
        <v>4368.8999999999996</v>
      </c>
      <c r="S17" s="157">
        <v>4947.8</v>
      </c>
      <c r="T17" s="157">
        <v>5103.1000000000004</v>
      </c>
      <c r="U17" s="157">
        <v>5510.9</v>
      </c>
      <c r="V17" s="157">
        <f>811.2+5471.4+1443.7</f>
        <v>7726.2999999999993</v>
      </c>
      <c r="W17" s="157">
        <f>1550+6233.9+1483</f>
        <v>9266.9</v>
      </c>
      <c r="X17" s="157">
        <f>2463.1+8251+2074.6+51.2</f>
        <v>12839.900000000001</v>
      </c>
      <c r="Y17" s="158">
        <f>2528.5+9400.4+3025.7+76.9</f>
        <v>15031.499999999998</v>
      </c>
      <c r="Z17" s="158">
        <f>2642.3+10626.3+3505.5+99.7</f>
        <v>16873.8</v>
      </c>
      <c r="AA17" s="158">
        <f>2410.7+13119.2+3890.1+91.3</f>
        <v>19511.3</v>
      </c>
      <c r="AB17" s="158">
        <f>4669.7+15160.3+4189.5+119.5</f>
        <v>24139</v>
      </c>
      <c r="AC17" s="158">
        <f>5027.2+17893.5+4728.3+113</f>
        <v>27762</v>
      </c>
      <c r="AD17" s="607">
        <f>5407.1+19402.9+4817.5+115.2</f>
        <v>29742.7</v>
      </c>
      <c r="AE17" s="606">
        <v>25921</v>
      </c>
      <c r="AG17" t="s">
        <v>635</v>
      </c>
    </row>
    <row r="18" spans="3:33" ht="18.75">
      <c r="C18" s="141" t="s">
        <v>552</v>
      </c>
      <c r="D18" s="141">
        <v>14.3</v>
      </c>
      <c r="E18" s="141">
        <v>39.5</v>
      </c>
      <c r="F18" s="686">
        <v>73</v>
      </c>
      <c r="G18" s="196">
        <v>38</v>
      </c>
      <c r="H18" s="196">
        <v>69.7</v>
      </c>
      <c r="I18" s="196">
        <v>68.900000000000006</v>
      </c>
      <c r="J18" s="196">
        <v>136.6</v>
      </c>
      <c r="K18" s="196">
        <v>262.3</v>
      </c>
      <c r="L18" s="196">
        <v>327.10000000000002</v>
      </c>
      <c r="M18" s="196">
        <v>567.5</v>
      </c>
      <c r="N18" s="196">
        <v>1034.5999999999999</v>
      </c>
      <c r="O18" s="196">
        <v>1832.6</v>
      </c>
      <c r="P18" s="690">
        <v>2098.4</v>
      </c>
      <c r="Q18" s="158">
        <v>2528.1999999999998</v>
      </c>
      <c r="R18" s="158">
        <v>2387.5</v>
      </c>
      <c r="S18" s="157">
        <v>3023.5</v>
      </c>
      <c r="T18" s="157">
        <v>4200.8</v>
      </c>
      <c r="U18" s="157">
        <v>4660</v>
      </c>
      <c r="V18" s="157">
        <v>7679.3</v>
      </c>
      <c r="W18" s="177">
        <v>8382.9</v>
      </c>
      <c r="X18" s="177">
        <v>7680.4</v>
      </c>
      <c r="Y18" s="178">
        <v>9411.7000000000007</v>
      </c>
      <c r="Z18" s="178">
        <v>9281.6</v>
      </c>
      <c r="AA18" s="178">
        <v>8863.7000000000007</v>
      </c>
      <c r="AB18" s="178">
        <v>11417.3</v>
      </c>
      <c r="AC18" s="178">
        <v>13250.1</v>
      </c>
      <c r="AD18" s="607">
        <v>14923.6</v>
      </c>
      <c r="AE18" s="607">
        <v>12451.7</v>
      </c>
      <c r="AG18" t="s">
        <v>636</v>
      </c>
    </row>
    <row r="19" spans="3:33" ht="18">
      <c r="C19" s="141" t="s">
        <v>553</v>
      </c>
      <c r="D19" s="141">
        <v>5.9999999999999822</v>
      </c>
      <c r="E19" s="141">
        <v>10.200000000000074</v>
      </c>
      <c r="F19" s="686">
        <v>4.7999999999999545</v>
      </c>
      <c r="G19" s="196">
        <v>5.8999999999999773</v>
      </c>
      <c r="H19" s="196">
        <v>7.4999999999999289</v>
      </c>
      <c r="I19" s="196">
        <v>13.399999999999949</v>
      </c>
      <c r="J19" s="196">
        <v>14.499999999999687</v>
      </c>
      <c r="K19" s="196">
        <v>24.199999999999989</v>
      </c>
      <c r="L19" s="196">
        <v>20.900000000000205</v>
      </c>
      <c r="M19" s="196">
        <v>20.799999999999727</v>
      </c>
      <c r="N19" s="196">
        <v>29.099999999999454</v>
      </c>
      <c r="O19" s="196">
        <v>34.899999999999181</v>
      </c>
      <c r="P19" s="690">
        <v>29.499999999999091</v>
      </c>
      <c r="Q19" s="158">
        <v>13.8</v>
      </c>
      <c r="R19" s="696"/>
      <c r="S19" s="158"/>
      <c r="T19" s="158"/>
      <c r="U19" s="187"/>
      <c r="AG19" t="s">
        <v>637</v>
      </c>
    </row>
    <row r="20" spans="3:33" ht="18">
      <c r="C20" s="140" t="s">
        <v>554</v>
      </c>
      <c r="D20" s="141">
        <v>108.6</v>
      </c>
      <c r="E20" s="141">
        <v>231.8</v>
      </c>
      <c r="F20" s="686">
        <v>270</v>
      </c>
      <c r="G20" s="196">
        <v>193.9</v>
      </c>
      <c r="H20" s="196">
        <v>274.89999999999998</v>
      </c>
      <c r="I20" s="196">
        <v>394.7</v>
      </c>
      <c r="J20" s="196">
        <v>544.1</v>
      </c>
      <c r="K20" s="196">
        <v>1017.5</v>
      </c>
      <c r="L20" s="196">
        <v>1191.5999999999999</v>
      </c>
      <c r="M20" s="196">
        <v>1593.8</v>
      </c>
      <c r="N20" s="196">
        <v>2119.6999999999998</v>
      </c>
      <c r="O20" s="196">
        <v>3577.3</v>
      </c>
      <c r="P20" s="690">
        <v>4345.8</v>
      </c>
      <c r="Q20" s="158">
        <v>4999.8999999999996</v>
      </c>
      <c r="R20" s="158">
        <v>3949.2</v>
      </c>
      <c r="S20" s="158">
        <v>5032.7</v>
      </c>
      <c r="T20" s="158">
        <v>5823.3</v>
      </c>
      <c r="U20" s="158">
        <v>6419.6</v>
      </c>
      <c r="V20" s="158">
        <f>4102.8+1331.1</f>
        <v>5433.9</v>
      </c>
      <c r="W20" s="158">
        <f>4625.3+1485.7</f>
        <v>6111</v>
      </c>
      <c r="X20" s="158">
        <f>6353.5</f>
        <v>6353.5</v>
      </c>
      <c r="Y20" s="158">
        <f>7359.6+1699.1</f>
        <v>9058.7000000000007</v>
      </c>
      <c r="Z20" s="158">
        <f>8764.1+1938.6</f>
        <v>10702.7</v>
      </c>
      <c r="AA20" s="158">
        <f>8978.4+1744.5</f>
        <v>10722.9</v>
      </c>
      <c r="AB20" s="158">
        <f>10956+2405.8</f>
        <v>13361.8</v>
      </c>
      <c r="AC20" s="158">
        <f>13042+3060.8</f>
        <v>16102.8</v>
      </c>
      <c r="AD20" s="606">
        <f>13851.7+3687.1</f>
        <v>17538.8</v>
      </c>
      <c r="AE20" s="606">
        <v>23332.7</v>
      </c>
      <c r="AG20" s="46" t="s">
        <v>638</v>
      </c>
    </row>
    <row r="21" spans="3:33" ht="18">
      <c r="C21" s="140" t="s">
        <v>555</v>
      </c>
      <c r="D21" s="141">
        <v>15.1</v>
      </c>
      <c r="E21" s="141">
        <v>42.7</v>
      </c>
      <c r="F21" s="686">
        <v>99</v>
      </c>
      <c r="G21" s="196">
        <v>85</v>
      </c>
      <c r="H21" s="196">
        <v>127.6</v>
      </c>
      <c r="I21" s="196">
        <v>185.7</v>
      </c>
      <c r="J21" s="196">
        <v>260.2</v>
      </c>
      <c r="K21" s="196">
        <v>409</v>
      </c>
      <c r="L21" s="196">
        <v>533.29999999999995</v>
      </c>
      <c r="M21" s="196">
        <v>673.1</v>
      </c>
      <c r="N21" s="196">
        <v>1221.9000000000001</v>
      </c>
      <c r="O21" s="196">
        <v>1782.2</v>
      </c>
      <c r="P21" s="690">
        <v>2264.9</v>
      </c>
      <c r="Q21" s="158">
        <v>2758</v>
      </c>
      <c r="R21" s="158">
        <v>4356.3</v>
      </c>
      <c r="S21" s="158">
        <v>5535.2</v>
      </c>
      <c r="T21" s="158">
        <v>6172.2</v>
      </c>
      <c r="U21" s="158">
        <v>6523.8</v>
      </c>
      <c r="V21" s="158">
        <v>4859.2</v>
      </c>
      <c r="W21" s="158">
        <v>4875.2</v>
      </c>
      <c r="X21" s="158">
        <v>4870</v>
      </c>
      <c r="Y21" s="157">
        <v>4277.6000000000004</v>
      </c>
      <c r="Z21" s="157">
        <v>4829.2</v>
      </c>
      <c r="AA21" s="157">
        <v>3818.8</v>
      </c>
      <c r="AB21" s="157">
        <f>3735+1473.6</f>
        <v>5208.6000000000004</v>
      </c>
      <c r="AC21" s="157">
        <f>4401.1+1622.4</f>
        <v>6023.5</v>
      </c>
      <c r="AD21" s="608">
        <f>5272.4+1967.1</f>
        <v>7239.5</v>
      </c>
      <c r="AE21" s="608">
        <v>14321.1</v>
      </c>
      <c r="AG21" t="s">
        <v>639</v>
      </c>
    </row>
    <row r="22" spans="3:33" ht="18">
      <c r="C22" s="139" t="s">
        <v>556</v>
      </c>
      <c r="D22" s="141">
        <v>44.699999999999953</v>
      </c>
      <c r="E22" s="141">
        <v>159.70000000000005</v>
      </c>
      <c r="F22" s="686">
        <v>167.20000000000005</v>
      </c>
      <c r="G22" s="688">
        <v>273.19999999999982</v>
      </c>
      <c r="H22" s="688">
        <v>385.59999999999991</v>
      </c>
      <c r="I22" s="688">
        <v>512.19999999999982</v>
      </c>
      <c r="J22" s="688">
        <v>706.10000000000036</v>
      </c>
      <c r="K22" s="688">
        <v>945</v>
      </c>
      <c r="L22" s="688">
        <v>1130.6999999999998</v>
      </c>
      <c r="M22" s="688">
        <v>1431.2000000000007</v>
      </c>
      <c r="N22" s="688">
        <v>1958.0999999999985</v>
      </c>
      <c r="O22" s="688">
        <v>2214.1999999999989</v>
      </c>
      <c r="P22" s="688">
        <v>2823.7999999999993</v>
      </c>
      <c r="Q22" s="697">
        <v>3143.4</v>
      </c>
      <c r="R22" s="192">
        <v>4114.1000000000004</v>
      </c>
      <c r="S22" s="697">
        <v>4732.3999999999978</v>
      </c>
      <c r="T22" s="697">
        <v>5786.7</v>
      </c>
      <c r="U22" s="192">
        <v>5438.1</v>
      </c>
      <c r="V22" s="192">
        <f>2197.5+694+1492.8+2522.7+1152.2+1619.3-776.4</f>
        <v>8902.1</v>
      </c>
      <c r="W22" s="192">
        <f>1091.7+765.3+1708.6+2871.3+1292.1+1644.1-306.5</f>
        <v>9066.6</v>
      </c>
      <c r="X22" s="193">
        <f>1697.8+1533.8+1994.4+740.6+237.2+57.7+1874.8+3022.7+1359.1+296.7+736.4+275-542.2</f>
        <v>13284</v>
      </c>
      <c r="Y22" s="192">
        <f>1366.8+2078.9+791.4+237.7+60.1+2005.6+3256.3+1440.9+328.2+923.2+286-564.3</f>
        <v>12210.800000000001</v>
      </c>
      <c r="Z22" s="192">
        <f>1424.1+1925.1+852.7+288.9+81.5+2139.9+3752.6+1651.2+366+972.3+347.6-580</f>
        <v>13221.9</v>
      </c>
      <c r="AA22" s="192">
        <f>1492.9+2157.1+1103.3+269.5+97.4+2247.4+4086.8+1842.9+408+888+462.1-607</f>
        <v>14448.400000000001</v>
      </c>
      <c r="AB22" s="192">
        <f>2055.7+1228.9+568.4+207.9+2411.3+4778.7+2072.3+525.4+844.2+471.6-602</f>
        <v>14562.400000000001</v>
      </c>
      <c r="AC22" s="192">
        <f>4066.6+1323+474.1+242.5+2620.7+5058.3+2146.1+571.5+1142.2+541.1-935</f>
        <v>17251.100000000002</v>
      </c>
      <c r="AD22" s="609">
        <f>4831.1+1339.3+464.6+320.1+3473.8+6075.3+2451.3+559.2+1173.7+619.5-1520.3</f>
        <v>19787.600000000002</v>
      </c>
      <c r="AE22" s="609">
        <v>27995</v>
      </c>
      <c r="AG22" t="s">
        <v>640</v>
      </c>
    </row>
    <row r="23" spans="3:33">
      <c r="C23" s="146" t="s">
        <v>429</v>
      </c>
      <c r="D23" s="146"/>
      <c r="E23" s="146"/>
      <c r="F23" s="695"/>
      <c r="G23" s="196"/>
      <c r="H23" s="691"/>
      <c r="I23" s="692"/>
      <c r="J23"/>
      <c r="K23"/>
      <c r="L23"/>
      <c r="M23"/>
      <c r="N23"/>
      <c r="O23"/>
      <c r="P23"/>
      <c r="Q23"/>
      <c r="R23" s="194"/>
      <c r="S23" s="194"/>
      <c r="T23"/>
      <c r="U23"/>
      <c r="V23" s="140"/>
      <c r="W23" s="140"/>
      <c r="X23" s="140"/>
      <c r="Y23" s="140"/>
      <c r="Z23" s="194"/>
      <c r="AA23" s="140"/>
      <c r="AB23" s="194"/>
      <c r="AC23" s="194"/>
      <c r="AD23" s="195"/>
      <c r="AE23" s="140"/>
    </row>
    <row r="24" spans="3:33" ht="18">
      <c r="C24" s="141" t="s">
        <v>557</v>
      </c>
      <c r="D24" s="685">
        <v>300.2</v>
      </c>
      <c r="E24" s="685">
        <v>513.20000000000005</v>
      </c>
      <c r="F24" s="687">
        <v>710.8</v>
      </c>
      <c r="G24" s="693">
        <v>1085.0999999999999</v>
      </c>
      <c r="H24" s="693">
        <v>1545.6000000000001</v>
      </c>
      <c r="I24" s="693">
        <v>1950</v>
      </c>
      <c r="J24" s="693">
        <v>2743.2</v>
      </c>
      <c r="K24" s="693">
        <v>3116.5</v>
      </c>
      <c r="L24" s="693">
        <v>3520.3</v>
      </c>
      <c r="M24" s="693">
        <v>4577.8999999999996</v>
      </c>
      <c r="N24" s="693">
        <v>5901.4000000000005</v>
      </c>
      <c r="O24" s="158">
        <v>7901.2000000000007</v>
      </c>
      <c r="P24" s="158">
        <v>8912.2999999999993</v>
      </c>
      <c r="Q24" s="158">
        <v>11024</v>
      </c>
      <c r="R24" s="178">
        <v>13924</v>
      </c>
      <c r="S24" s="158">
        <v>16407</v>
      </c>
      <c r="T24" s="158">
        <v>17583.5</v>
      </c>
      <c r="U24" s="178">
        <v>20863.5</v>
      </c>
      <c r="V24" s="178">
        <f>V16+V17+V18+V19</f>
        <v>26411.999999999996</v>
      </c>
      <c r="W24" s="178">
        <f>W16+W17+W18+W19</f>
        <v>29077.4</v>
      </c>
      <c r="X24" s="158">
        <f t="shared" ref="X24:AE24" si="6">X16+X17+X18+X19</f>
        <v>33589.700000000004</v>
      </c>
      <c r="Y24" s="158">
        <f t="shared" si="6"/>
        <v>38493</v>
      </c>
      <c r="Z24" s="158">
        <f t="shared" si="6"/>
        <v>42663.299999999996</v>
      </c>
      <c r="AA24" s="158">
        <f t="shared" si="6"/>
        <v>47425.5</v>
      </c>
      <c r="AB24" s="158">
        <f t="shared" si="6"/>
        <v>58247</v>
      </c>
      <c r="AC24" s="158">
        <f t="shared" si="6"/>
        <v>68116.900000000009</v>
      </c>
      <c r="AD24" s="158">
        <f t="shared" si="6"/>
        <v>75018.8</v>
      </c>
      <c r="AE24" s="188">
        <f t="shared" si="6"/>
        <v>73327.5</v>
      </c>
      <c r="AG24" t="s">
        <v>641</v>
      </c>
    </row>
    <row r="25" spans="3:33" ht="18">
      <c r="C25" s="141" t="s">
        <v>558</v>
      </c>
      <c r="D25" s="685">
        <v>168.39999999999998</v>
      </c>
      <c r="E25" s="685">
        <v>434.20000000000005</v>
      </c>
      <c r="F25" s="687">
        <v>536.20000000000005</v>
      </c>
      <c r="G25" s="196">
        <v>552</v>
      </c>
      <c r="H25" s="196">
        <v>787.89999999999986</v>
      </c>
      <c r="I25" s="196">
        <v>1092.5</v>
      </c>
      <c r="J25" s="196">
        <v>1509.9000000000005</v>
      </c>
      <c r="K25" s="196">
        <v>2371</v>
      </c>
      <c r="L25" s="196">
        <v>2855.0999999999995</v>
      </c>
      <c r="M25" s="196">
        <v>3697.7000000000007</v>
      </c>
      <c r="N25" s="196">
        <v>5299.3999999999987</v>
      </c>
      <c r="O25" s="192">
        <v>7744.3</v>
      </c>
      <c r="P25" s="192">
        <v>9429.7000000000007</v>
      </c>
      <c r="Q25" s="192">
        <v>10901.3</v>
      </c>
      <c r="R25" s="697">
        <v>12419.6</v>
      </c>
      <c r="S25" s="192">
        <v>15300.299999999997</v>
      </c>
      <c r="T25" s="192">
        <v>17782.2</v>
      </c>
      <c r="U25" s="192">
        <v>18381.5</v>
      </c>
      <c r="V25" s="192">
        <f t="shared" ref="V25:Y25" si="7">V20+V21+V22</f>
        <v>19195.199999999997</v>
      </c>
      <c r="W25" s="192">
        <f t="shared" si="7"/>
        <v>20052.800000000003</v>
      </c>
      <c r="X25" s="192">
        <f t="shared" si="7"/>
        <v>24507.5</v>
      </c>
      <c r="Y25" s="192">
        <f t="shared" si="7"/>
        <v>25547.100000000002</v>
      </c>
      <c r="Z25" s="192">
        <f t="shared" ref="Z25:AE25" si="8">Z15-Z24</f>
        <v>28753.799999999996</v>
      </c>
      <c r="AA25" s="192">
        <f t="shared" si="8"/>
        <v>28990.100000000006</v>
      </c>
      <c r="AB25" s="192">
        <f t="shared" si="8"/>
        <v>33132.800000000017</v>
      </c>
      <c r="AC25" s="192">
        <f t="shared" si="8"/>
        <v>39377.400000000009</v>
      </c>
      <c r="AD25" s="192">
        <f t="shared" si="8"/>
        <v>44565.900000000009</v>
      </c>
      <c r="AE25" s="196">
        <f t="shared" si="8"/>
        <v>65648.799999999988</v>
      </c>
      <c r="AG25" t="s">
        <v>642</v>
      </c>
    </row>
    <row r="26" spans="3:33"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97"/>
      <c r="W26" s="197"/>
      <c r="X26" s="196"/>
      <c r="Y26" s="196"/>
      <c r="Z26" s="196"/>
      <c r="AA26" s="196"/>
      <c r="AB26" s="196"/>
      <c r="AC26" s="192"/>
      <c r="AD26" s="196"/>
      <c r="AE26" s="196"/>
    </row>
    <row r="27" spans="3:33"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98">
        <v>5370.7999999999956</v>
      </c>
      <c r="W27" s="198">
        <f t="shared" ref="W27:AD27" si="9">W13-V13</f>
        <v>3812.9000000000015</v>
      </c>
      <c r="X27" s="198">
        <f t="shared" si="9"/>
        <v>9644.0000000000073</v>
      </c>
      <c r="Y27" s="198">
        <f t="shared" si="9"/>
        <v>6624.8999999999942</v>
      </c>
      <c r="Z27" s="198">
        <f t="shared" si="9"/>
        <v>8050.5999999999913</v>
      </c>
      <c r="AA27" s="198">
        <f t="shared" si="9"/>
        <v>4848.5000000000146</v>
      </c>
      <c r="AB27" s="198">
        <f t="shared" si="9"/>
        <v>17118.000000000015</v>
      </c>
      <c r="AC27" s="158">
        <f t="shared" si="9"/>
        <v>17105.399999999994</v>
      </c>
      <c r="AD27" s="158">
        <f t="shared" si="9"/>
        <v>14600.200000000012</v>
      </c>
      <c r="AE27" s="606">
        <f>AE13-AD13</f>
        <v>20620.299999999959</v>
      </c>
    </row>
    <row r="30" spans="3:33" ht="18">
      <c r="C30" s="148" t="s">
        <v>559</v>
      </c>
      <c r="D30" s="145">
        <v>101.7</v>
      </c>
      <c r="E30" s="145">
        <v>105.3</v>
      </c>
      <c r="F30" s="709">
        <v>103.7</v>
      </c>
      <c r="G30" s="698">
        <v>108.3</v>
      </c>
      <c r="H30" s="698">
        <v>109.6</v>
      </c>
      <c r="I30" s="698">
        <v>110.8</v>
      </c>
      <c r="J30" s="698">
        <v>111.1</v>
      </c>
      <c r="K30" s="698">
        <v>110.3</v>
      </c>
      <c r="L30" s="698">
        <v>106.7</v>
      </c>
      <c r="M30" s="706">
        <v>107</v>
      </c>
      <c r="N30" s="706">
        <v>107.8</v>
      </c>
      <c r="O30" s="706">
        <v>107.9</v>
      </c>
      <c r="P30" s="706">
        <v>103.9</v>
      </c>
      <c r="Q30" s="199">
        <v>106.5</v>
      </c>
      <c r="R30" s="199">
        <v>107.4</v>
      </c>
      <c r="S30" s="199">
        <v>107.5</v>
      </c>
      <c r="T30" s="199">
        <v>107.4</v>
      </c>
      <c r="U30" s="199">
        <v>106.7</v>
      </c>
      <c r="V30" s="93">
        <v>106</v>
      </c>
      <c r="W30">
        <f t="shared" ref="W30:AC30" si="10">(V14*W31+W32*V15)/(V14+V15)</f>
        <v>106.89999999999999</v>
      </c>
      <c r="X30">
        <f t="shared" si="10"/>
        <v>107.1</v>
      </c>
      <c r="Y30" s="93">
        <f>(X14*Y31+Y32*X15)/(X14+X15)</f>
        <v>107.56588649213229</v>
      </c>
      <c r="Z30" s="93">
        <f t="shared" si="10"/>
        <v>107.42265829055211</v>
      </c>
      <c r="AA30" s="93">
        <f t="shared" si="10"/>
        <v>104.44609011778569</v>
      </c>
      <c r="AB30" s="93">
        <f t="shared" si="10"/>
        <v>109.41560608063764</v>
      </c>
      <c r="AC30" s="93">
        <f t="shared" si="10"/>
        <v>108.03592118033602</v>
      </c>
      <c r="AD30" s="93">
        <f>(AC14*AD31+AD32*AC15)/(AC14+AC15)</f>
        <v>108.31976837361451</v>
      </c>
      <c r="AE30" s="93">
        <f>(AD14*AE31+AE32*AD15)/(AD14+AD15)</f>
        <v>108.35354052046063</v>
      </c>
      <c r="AG30" t="s">
        <v>643</v>
      </c>
    </row>
    <row r="31" spans="3:33" ht="18">
      <c r="C31" s="148" t="s">
        <v>548</v>
      </c>
      <c r="D31" s="148"/>
      <c r="E31" s="148"/>
      <c r="F31" s="148"/>
      <c r="G31" s="698"/>
      <c r="H31" s="698">
        <v>110</v>
      </c>
      <c r="I31" s="698">
        <v>111.8</v>
      </c>
      <c r="J31" s="698">
        <v>111.9</v>
      </c>
      <c r="K31" s="698">
        <v>111</v>
      </c>
      <c r="L31" s="698">
        <v>107.3</v>
      </c>
      <c r="M31" s="698">
        <v>107.4</v>
      </c>
      <c r="N31" s="698">
        <v>108.3</v>
      </c>
      <c r="O31" s="698">
        <v>107.9</v>
      </c>
      <c r="P31" s="706">
        <v>102</v>
      </c>
      <c r="Q31" s="199">
        <v>106.5</v>
      </c>
      <c r="R31" s="199">
        <v>107.4</v>
      </c>
      <c r="S31" s="199">
        <v>107.5</v>
      </c>
      <c r="T31" s="199">
        <v>107.4</v>
      </c>
      <c r="U31" s="199">
        <v>106.7</v>
      </c>
      <c r="V31" s="199">
        <v>106</v>
      </c>
      <c r="W31" s="199">
        <v>106.9</v>
      </c>
      <c r="X31" s="199">
        <v>107.1</v>
      </c>
      <c r="Y31" s="199">
        <v>104.8</v>
      </c>
      <c r="Z31" s="199">
        <v>103</v>
      </c>
      <c r="AA31" s="199">
        <v>100</v>
      </c>
      <c r="AB31" s="93">
        <v>100</v>
      </c>
      <c r="AC31" s="93">
        <v>100</v>
      </c>
      <c r="AD31" s="93">
        <v>100</v>
      </c>
      <c r="AE31" s="93">
        <f>(AE32/100)^1*100</f>
        <v>108.35354052046064</v>
      </c>
      <c r="AG31" s="46" t="s">
        <v>644</v>
      </c>
    </row>
    <row r="32" spans="3:33" ht="18">
      <c r="C32" s="148" t="s">
        <v>549</v>
      </c>
      <c r="D32" s="148"/>
      <c r="E32" s="148"/>
      <c r="F32" s="148"/>
      <c r="G32" s="698"/>
      <c r="H32" s="699">
        <v>109.60139270661536</v>
      </c>
      <c r="I32" s="699">
        <v>110.72988215127491</v>
      </c>
      <c r="J32" s="699">
        <v>111.03319638455218</v>
      </c>
      <c r="K32" s="699">
        <v>110.16365944840234</v>
      </c>
      <c r="L32" s="699">
        <v>106.664145785877</v>
      </c>
      <c r="M32" s="699">
        <v>106.90175675251749</v>
      </c>
      <c r="N32" s="699">
        <v>107.66178283145634</v>
      </c>
      <c r="O32" s="699">
        <v>107.89470573530463</v>
      </c>
      <c r="P32" s="200">
        <v>103.9</v>
      </c>
      <c r="Q32" s="200">
        <v>106.5</v>
      </c>
      <c r="R32" s="200">
        <v>107.4</v>
      </c>
      <c r="S32" s="200">
        <v>107.5</v>
      </c>
      <c r="T32" s="200">
        <v>107.4</v>
      </c>
      <c r="U32" s="200">
        <v>106.7</v>
      </c>
      <c r="V32" s="200">
        <v>106</v>
      </c>
      <c r="W32" s="200">
        <v>106.9</v>
      </c>
      <c r="X32" s="200">
        <v>107.1</v>
      </c>
      <c r="Y32" s="200">
        <f t="shared" ref="Y32:AC32" si="11">SUMPRODUCT(Y33:Y39,X16:X22)/SUM(X16:X22)</f>
        <v>107.86758260294816</v>
      </c>
      <c r="Z32" s="200">
        <f t="shared" si="11"/>
        <v>107.90740270549234</v>
      </c>
      <c r="AA32" s="200">
        <f t="shared" si="11"/>
        <v>104.92500115518554</v>
      </c>
      <c r="AB32" s="93">
        <f t="shared" si="11"/>
        <v>110.34498557886084</v>
      </c>
      <c r="AC32" s="93">
        <f t="shared" si="11"/>
        <v>108.88862943451394</v>
      </c>
      <c r="AD32" s="538">
        <f>SUMPRODUCT(AD33:AD39,AC16:AC22)/SUM(AC16:AC22)</f>
        <v>109.14694425657916</v>
      </c>
      <c r="AE32" s="93">
        <f>SUMPRODUCT(AE33:AE39,AD16:AD22)/SUM(AD16:AD22)</f>
        <v>108.35354052046064</v>
      </c>
      <c r="AG32" t="s">
        <v>645</v>
      </c>
    </row>
    <row r="33" spans="3:33" ht="18">
      <c r="C33" s="141" t="s">
        <v>550</v>
      </c>
      <c r="D33" s="141"/>
      <c r="E33" s="141"/>
      <c r="F33" s="141"/>
      <c r="G33" s="698"/>
      <c r="H33" s="698"/>
      <c r="I33" s="698"/>
      <c r="J33" s="698"/>
      <c r="K33" s="698"/>
      <c r="L33" s="698">
        <v>101.4</v>
      </c>
      <c r="M33" s="706">
        <v>105.7</v>
      </c>
      <c r="N33" s="706">
        <v>103.5</v>
      </c>
      <c r="O33" s="706">
        <v>106.1</v>
      </c>
      <c r="P33" s="706">
        <v>110.5</v>
      </c>
      <c r="Q33" s="199">
        <v>106.8</v>
      </c>
      <c r="R33" s="199">
        <v>107.9</v>
      </c>
      <c r="S33" s="199">
        <v>110.4</v>
      </c>
      <c r="T33" s="199">
        <v>107.6</v>
      </c>
      <c r="U33" s="199">
        <v>104.5</v>
      </c>
      <c r="V33" s="200">
        <f>Agriculture!V3</f>
        <v>103.2</v>
      </c>
      <c r="W33" s="200">
        <f>Agriculture!W3</f>
        <v>105.2</v>
      </c>
      <c r="X33" s="200">
        <f>Agriculture!X3</f>
        <v>106.8</v>
      </c>
      <c r="Y33" s="200">
        <f>Agriculture!Y3</f>
        <v>107</v>
      </c>
      <c r="Z33" s="200">
        <f>Agriculture!Z3</f>
        <v>107</v>
      </c>
      <c r="AA33" s="200">
        <f>Agriculture!AA3</f>
        <v>107.9</v>
      </c>
      <c r="AB33" s="93">
        <f>Agriculture!AB3</f>
        <v>99.7</v>
      </c>
      <c r="AC33" s="93">
        <f>Agriculture!AC3</f>
        <v>108</v>
      </c>
      <c r="AD33" s="594">
        <v>112.2</v>
      </c>
      <c r="AE33" s="93">
        <f>Agriculture!AE3</f>
        <v>110.6</v>
      </c>
      <c r="AG33" t="s">
        <v>646</v>
      </c>
    </row>
    <row r="34" spans="3:33" ht="18">
      <c r="C34" s="141" t="s">
        <v>551</v>
      </c>
      <c r="D34" s="141"/>
      <c r="E34" s="141"/>
      <c r="F34" s="141"/>
      <c r="G34" s="698"/>
      <c r="H34" s="698"/>
      <c r="I34" s="698"/>
      <c r="J34" s="698"/>
      <c r="K34" s="698"/>
      <c r="L34" s="698">
        <v>106.4</v>
      </c>
      <c r="M34" s="706">
        <v>105.5</v>
      </c>
      <c r="N34" s="706">
        <v>109.9</v>
      </c>
      <c r="O34" s="706">
        <v>96.5</v>
      </c>
      <c r="P34" s="706">
        <v>93.5</v>
      </c>
      <c r="Q34" s="199">
        <v>109.2</v>
      </c>
      <c r="R34" s="199">
        <v>105.7</v>
      </c>
      <c r="S34" s="199">
        <v>110.8</v>
      </c>
      <c r="T34" s="707">
        <v>103.8</v>
      </c>
      <c r="U34" s="199">
        <v>105</v>
      </c>
      <c r="V34" s="200">
        <f>Industry!V58</f>
        <v>111.3</v>
      </c>
      <c r="W34" s="200">
        <f>Industry!W58</f>
        <v>116</v>
      </c>
      <c r="X34" s="200">
        <f>Industry!X58</f>
        <v>121.3</v>
      </c>
      <c r="Y34" s="200">
        <f>Industry!Y58</f>
        <v>110.6</v>
      </c>
      <c r="Z34" s="200">
        <f>Industry!Z58</f>
        <v>113.2</v>
      </c>
      <c r="AA34" s="200">
        <f>Industry!AA58</f>
        <v>108.8</v>
      </c>
      <c r="AB34" s="93">
        <f>Industry!AB58</f>
        <v>120.8</v>
      </c>
      <c r="AC34" s="93">
        <f>Industry!AC58</f>
        <v>115.4</v>
      </c>
      <c r="AD34" s="594">
        <v>109.7</v>
      </c>
      <c r="AE34" s="93">
        <f>Industry!AE58</f>
        <v>120</v>
      </c>
      <c r="AG34" t="s">
        <v>647</v>
      </c>
    </row>
    <row r="35" spans="3:33" ht="18">
      <c r="C35" s="141" t="s">
        <v>552</v>
      </c>
      <c r="D35" s="141"/>
      <c r="E35" s="141"/>
      <c r="F35" s="141"/>
      <c r="G35" s="698"/>
      <c r="H35" s="700"/>
      <c r="I35" s="700"/>
      <c r="J35" s="700"/>
      <c r="K35" s="700"/>
      <c r="L35" s="700">
        <v>116.4</v>
      </c>
      <c r="M35" s="700">
        <v>107.2</v>
      </c>
      <c r="N35" s="700">
        <v>110.4</v>
      </c>
      <c r="O35" s="700">
        <v>121.2</v>
      </c>
      <c r="P35" s="700">
        <v>84.5</v>
      </c>
      <c r="Q35" s="199">
        <v>109.52933837036008</v>
      </c>
      <c r="R35" s="199">
        <v>105.5</v>
      </c>
      <c r="S35" s="199">
        <v>75.599999999999994</v>
      </c>
      <c r="T35" s="199">
        <v>117.2</v>
      </c>
      <c r="U35" s="199">
        <v>125.3</v>
      </c>
      <c r="V35" s="200">
        <f>OEA!V39</f>
        <v>121.2</v>
      </c>
      <c r="W35" s="200">
        <f>OEA!W39</f>
        <v>120.3</v>
      </c>
      <c r="X35" s="200">
        <f>OEA!X39</f>
        <v>104.1</v>
      </c>
      <c r="Y35" s="200">
        <f>OEA!Y39</f>
        <v>110.2</v>
      </c>
      <c r="Z35" s="200">
        <f>OEA!Z39</f>
        <v>104.6</v>
      </c>
      <c r="AA35" s="200">
        <f>OEA!AA39</f>
        <v>104</v>
      </c>
      <c r="AB35" s="171">
        <v>132.1</v>
      </c>
      <c r="AC35" s="93">
        <f>OEA!AC39</f>
        <v>111.4</v>
      </c>
      <c r="AD35" s="594">
        <f>OEA!AD39</f>
        <v>112.3</v>
      </c>
      <c r="AE35" s="93">
        <f>OEA!AE39</f>
        <v>79.690833078037485</v>
      </c>
      <c r="AG35" t="s">
        <v>648</v>
      </c>
    </row>
    <row r="36" spans="3:33" ht="18">
      <c r="C36" s="141" t="s">
        <v>553</v>
      </c>
      <c r="D36" s="141"/>
      <c r="E36" s="141"/>
      <c r="F36" s="141"/>
      <c r="G36" s="698"/>
      <c r="H36" s="698"/>
      <c r="I36" s="698"/>
      <c r="J36" s="698"/>
      <c r="K36" s="698"/>
      <c r="L36" s="698">
        <v>100</v>
      </c>
      <c r="M36" s="698">
        <v>100</v>
      </c>
      <c r="N36" s="698">
        <v>110.2</v>
      </c>
      <c r="O36" s="698">
        <v>100</v>
      </c>
      <c r="P36" s="698">
        <v>100</v>
      </c>
      <c r="Q36" s="199">
        <v>109.2</v>
      </c>
      <c r="R36" s="199">
        <v>105.7</v>
      </c>
      <c r="S36" s="199">
        <v>110.8</v>
      </c>
      <c r="T36" s="199">
        <v>103.8</v>
      </c>
      <c r="U36" s="199">
        <v>105</v>
      </c>
      <c r="V36" s="200">
        <f>V34</f>
        <v>111.3</v>
      </c>
      <c r="W36" s="200">
        <f t="shared" ref="W36:AE36" si="12">W34</f>
        <v>116</v>
      </c>
      <c r="X36" s="200">
        <f t="shared" si="12"/>
        <v>121.3</v>
      </c>
      <c r="Y36" s="200">
        <f t="shared" si="12"/>
        <v>110.6</v>
      </c>
      <c r="Z36" s="200">
        <f t="shared" si="12"/>
        <v>113.2</v>
      </c>
      <c r="AA36" s="200">
        <f t="shared" si="12"/>
        <v>108.8</v>
      </c>
      <c r="AB36" s="93">
        <f t="shared" si="12"/>
        <v>120.8</v>
      </c>
      <c r="AC36" s="93">
        <f t="shared" si="12"/>
        <v>115.4</v>
      </c>
      <c r="AD36" s="93">
        <f t="shared" si="12"/>
        <v>109.7</v>
      </c>
      <c r="AE36" s="93">
        <f t="shared" si="12"/>
        <v>120</v>
      </c>
      <c r="AG36" t="s">
        <v>649</v>
      </c>
    </row>
    <row r="37" spans="3:33" ht="18">
      <c r="C37" s="140" t="s">
        <v>554</v>
      </c>
      <c r="G37" s="698"/>
      <c r="H37" s="698"/>
      <c r="I37" s="698"/>
      <c r="J37" s="698"/>
      <c r="K37" s="698"/>
      <c r="L37" s="700">
        <v>108.9</v>
      </c>
      <c r="M37" s="708">
        <v>110.8</v>
      </c>
      <c r="N37" s="708">
        <v>105.3</v>
      </c>
      <c r="O37" s="708">
        <v>112.4</v>
      </c>
      <c r="P37" s="708">
        <v>112.5</v>
      </c>
      <c r="Q37" s="199">
        <v>107.5</v>
      </c>
      <c r="R37" s="199">
        <v>109.1</v>
      </c>
      <c r="S37" s="199">
        <v>115.9</v>
      </c>
      <c r="T37" s="199">
        <v>118.8</v>
      </c>
      <c r="U37" s="199">
        <v>106.7</v>
      </c>
      <c r="V37" s="200">
        <v>105.6</v>
      </c>
      <c r="W37" s="200">
        <v>106</v>
      </c>
      <c r="X37" s="200">
        <v>106.6</v>
      </c>
      <c r="Y37" s="200">
        <v>112.2</v>
      </c>
      <c r="Z37" s="199">
        <v>109.6</v>
      </c>
      <c r="AA37" s="200">
        <v>94.1</v>
      </c>
      <c r="AB37" s="171">
        <v>110.2</v>
      </c>
      <c r="AC37" s="93">
        <f>Household!AC4</f>
        <v>111.2</v>
      </c>
      <c r="AD37" s="594">
        <v>98.6</v>
      </c>
      <c r="AE37" s="93">
        <f>Household!AE4</f>
        <v>113.6</v>
      </c>
      <c r="AG37" t="s">
        <v>650</v>
      </c>
    </row>
    <row r="38" spans="3:33" ht="18">
      <c r="C38" s="140" t="s">
        <v>555</v>
      </c>
      <c r="G38" s="698"/>
      <c r="H38" s="698"/>
      <c r="I38" s="698"/>
      <c r="J38" s="698"/>
      <c r="K38" s="698"/>
      <c r="L38" s="700">
        <v>130</v>
      </c>
      <c r="M38" s="700">
        <v>118.1</v>
      </c>
      <c r="N38" s="700">
        <v>183.8</v>
      </c>
      <c r="O38" s="700">
        <v>143.30000000000001</v>
      </c>
      <c r="P38" s="700">
        <v>153.5</v>
      </c>
      <c r="Q38" s="703">
        <v>119.39625560290752</v>
      </c>
      <c r="R38" s="238">
        <v>150.89372037898082</v>
      </c>
      <c r="S38" s="238">
        <v>124.05491734420137</v>
      </c>
      <c r="T38" s="238">
        <v>110.30012518958152</v>
      </c>
      <c r="U38" s="238">
        <v>105.11255273591338</v>
      </c>
      <c r="V38" s="238">
        <v>102.1</v>
      </c>
      <c r="W38" s="238">
        <f>(W21/V21)^0.4*100</f>
        <v>100.13157904696681</v>
      </c>
      <c r="X38" s="238">
        <f>(X21/W21)^3*100</f>
        <v>99.680354311646752</v>
      </c>
      <c r="Y38" s="199">
        <v>93.3</v>
      </c>
      <c r="Z38" s="199">
        <v>115.7</v>
      </c>
      <c r="AA38" s="199">
        <v>79.400000000000006</v>
      </c>
      <c r="AB38" s="199">
        <v>95.3</v>
      </c>
      <c r="AC38" s="199">
        <v>96</v>
      </c>
      <c r="AD38" s="594">
        <v>121.7</v>
      </c>
      <c r="AE38" s="171">
        <f>(AE21/AD21)^0.82*100</f>
        <v>174.96033435371646</v>
      </c>
      <c r="AG38" s="46" t="s">
        <v>651</v>
      </c>
    </row>
    <row r="39" spans="3:33" ht="18">
      <c r="C39" s="139" t="s">
        <v>556</v>
      </c>
      <c r="D39" s="139"/>
      <c r="E39" s="139"/>
      <c r="F39" s="139"/>
      <c r="G39"/>
      <c r="H39"/>
      <c r="I39"/>
      <c r="J39"/>
      <c r="K39"/>
      <c r="L39" s="701">
        <v>97.001641079936462</v>
      </c>
      <c r="M39" s="701">
        <v>96.376862502212006</v>
      </c>
      <c r="N39" s="701">
        <v>78.004340229242416</v>
      </c>
      <c r="O39" s="701">
        <v>92.627551333129034</v>
      </c>
      <c r="P39" s="701">
        <v>73.250436592317783</v>
      </c>
      <c r="Q39" s="705">
        <v>93</v>
      </c>
      <c r="R39" s="239">
        <v>97</v>
      </c>
      <c r="S39" s="239">
        <v>95</v>
      </c>
      <c r="T39" s="239">
        <v>95</v>
      </c>
      <c r="U39" s="239">
        <v>102</v>
      </c>
      <c r="V39" s="239">
        <v>97</v>
      </c>
      <c r="W39" s="239">
        <v>97</v>
      </c>
      <c r="X39" s="239">
        <v>101</v>
      </c>
      <c r="Y39" s="240">
        <v>108</v>
      </c>
      <c r="Z39" s="240">
        <v>101</v>
      </c>
      <c r="AA39" s="240">
        <v>115</v>
      </c>
      <c r="AB39" s="240">
        <v>101</v>
      </c>
      <c r="AC39" s="240">
        <v>100</v>
      </c>
      <c r="AD39" s="241">
        <v>106.5</v>
      </c>
      <c r="AE39" s="241">
        <v>80</v>
      </c>
      <c r="AG39" t="s">
        <v>652</v>
      </c>
    </row>
    <row r="40" spans="3:33">
      <c r="C40" s="146" t="s">
        <v>429</v>
      </c>
      <c r="D40" s="146"/>
      <c r="E40" s="146"/>
      <c r="F40" s="146"/>
      <c r="G40" s="698"/>
      <c r="H40" s="698"/>
      <c r="I40" s="698"/>
      <c r="J40" s="698"/>
      <c r="K40" s="698"/>
      <c r="L40" s="704"/>
      <c r="M40" s="704"/>
      <c r="N40" s="704"/>
      <c r="O40" s="704"/>
      <c r="P40" s="704"/>
      <c r="Q40" s="704"/>
      <c r="R40" s="704"/>
      <c r="S40" s="704"/>
      <c r="T40" s="184"/>
      <c r="U40" s="184"/>
    </row>
    <row r="41" spans="3:33" ht="18">
      <c r="C41" s="141" t="s">
        <v>557</v>
      </c>
      <c r="D41" s="141"/>
      <c r="E41" s="141"/>
      <c r="F41" s="141"/>
      <c r="G41" s="698"/>
      <c r="H41" s="699">
        <v>112.4</v>
      </c>
      <c r="I41" s="699">
        <v>111</v>
      </c>
      <c r="J41" s="699">
        <v>111.5</v>
      </c>
      <c r="K41" s="699">
        <v>105.3</v>
      </c>
      <c r="L41" s="699">
        <v>105.8</v>
      </c>
      <c r="M41" s="699">
        <v>105.2</v>
      </c>
      <c r="N41" s="699">
        <v>104.4</v>
      </c>
      <c r="O41" s="699">
        <v>103.4</v>
      </c>
      <c r="P41" s="200">
        <v>99</v>
      </c>
      <c r="Q41" s="199">
        <v>106.1</v>
      </c>
      <c r="R41" s="199">
        <v>106.9</v>
      </c>
      <c r="S41" s="199">
        <v>103.6</v>
      </c>
      <c r="T41" s="199">
        <v>105.9</v>
      </c>
      <c r="U41" s="199">
        <v>112.2</v>
      </c>
      <c r="V41" s="199">
        <v>109.7</v>
      </c>
      <c r="W41" s="199">
        <v>114.1</v>
      </c>
      <c r="X41" s="199">
        <v>107.4</v>
      </c>
      <c r="Y41" s="199">
        <f>SUMPRODUCT(Y33:Y36,X16:X19)/SUM(X16:X19)</f>
        <v>109.10781638418919</v>
      </c>
      <c r="Z41" s="199">
        <f t="shared" ref="Z41:AE41" si="13">SUMPRODUCT(Z33:Z36,Y16:Y19)/SUM(Y16:Y19)</f>
        <v>108.83428727301067</v>
      </c>
      <c r="AA41" s="199">
        <f t="shared" si="13"/>
        <v>107.40749660715417</v>
      </c>
      <c r="AB41" s="199">
        <f t="shared" si="13"/>
        <v>114.4362138511982</v>
      </c>
      <c r="AC41" s="199">
        <f t="shared" si="13"/>
        <v>111.73319518601816</v>
      </c>
      <c r="AD41" s="93">
        <f t="shared" si="13"/>
        <v>111.20054186259208</v>
      </c>
      <c r="AE41" s="93">
        <f t="shared" si="13"/>
        <v>108.17801159873791</v>
      </c>
      <c r="AG41" t="s">
        <v>653</v>
      </c>
    </row>
    <row r="42" spans="3:33" ht="18">
      <c r="C42" s="141" t="s">
        <v>558</v>
      </c>
      <c r="D42" s="141"/>
      <c r="E42" s="141"/>
      <c r="F42" s="141"/>
      <c r="G42" s="698"/>
      <c r="H42" s="699">
        <v>104.1</v>
      </c>
      <c r="I42" s="699">
        <v>110.2</v>
      </c>
      <c r="J42" s="699">
        <v>110.2</v>
      </c>
      <c r="K42" s="699">
        <v>119</v>
      </c>
      <c r="L42" s="702">
        <v>107.8</v>
      </c>
      <c r="M42" s="702">
        <v>109</v>
      </c>
      <c r="N42" s="702">
        <v>111.7</v>
      </c>
      <c r="O42" s="702">
        <v>112.9</v>
      </c>
      <c r="P42" s="200">
        <v>109.7</v>
      </c>
      <c r="Q42" s="199">
        <v>106.9</v>
      </c>
      <c r="R42" s="199">
        <v>107.7</v>
      </c>
      <c r="S42" s="199">
        <v>112</v>
      </c>
      <c r="T42" s="199">
        <v>109.1</v>
      </c>
      <c r="U42" s="199">
        <v>101.2</v>
      </c>
      <c r="V42" s="199">
        <v>101.7</v>
      </c>
      <c r="W42" s="199">
        <v>98.9</v>
      </c>
      <c r="X42" s="199">
        <v>106.6</v>
      </c>
      <c r="Y42" s="199">
        <f>(Y37*X20+X21*Y38+Y39*X22)/X25</f>
        <v>106.16773232683873</v>
      </c>
      <c r="Z42" s="199">
        <f t="shared" ref="Z42:AC42" si="14">(Z37*Y20+Y21*Z38+Z39*Y22)/Y25</f>
        <v>106.51082275483323</v>
      </c>
      <c r="AA42" s="199">
        <f t="shared" si="14"/>
        <v>101.24161154351773</v>
      </c>
      <c r="AB42" s="199">
        <f t="shared" si="14"/>
        <v>103.65206122089953</v>
      </c>
      <c r="AC42" s="199">
        <f t="shared" si="14"/>
        <v>103.8879225420127</v>
      </c>
      <c r="AD42" s="93">
        <f t="shared" ref="AD42:AE42" si="15">(AD37*AC20+AC21*AD38+AD39*AC22)/AC25</f>
        <v>105.59453341256656</v>
      </c>
      <c r="AE42" s="93">
        <f t="shared" si="15"/>
        <v>108.64901237389415</v>
      </c>
      <c r="AG42" t="s">
        <v>654</v>
      </c>
    </row>
    <row r="43" spans="3:33"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</row>
    <row r="46" spans="3:33">
      <c r="C46" s="149" t="s">
        <v>560</v>
      </c>
      <c r="D46" s="149"/>
      <c r="E46" s="149"/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</row>
    <row r="47" spans="3:33" ht="18.75">
      <c r="C47" s="141" t="s">
        <v>545</v>
      </c>
      <c r="D47" s="141"/>
      <c r="E47" s="141"/>
      <c r="F47" s="141"/>
      <c r="G47" s="710">
        <v>10046.952285680498</v>
      </c>
      <c r="H47" s="710">
        <v>11011.459705105824</v>
      </c>
      <c r="I47" s="710">
        <v>12200.697353257252</v>
      </c>
      <c r="J47" s="710">
        <v>13554.974759468805</v>
      </c>
      <c r="K47" s="685">
        <v>14951.137159694093</v>
      </c>
      <c r="L47" s="685">
        <v>15952.863349393598</v>
      </c>
      <c r="M47" s="685">
        <v>17069.56378385115</v>
      </c>
      <c r="N47" s="685">
        <v>18400.989758991542</v>
      </c>
      <c r="O47" s="685">
        <v>19854.667949951876</v>
      </c>
      <c r="P47" s="712">
        <v>20629</v>
      </c>
      <c r="Q47" s="713">
        <v>21969.884999999998</v>
      </c>
      <c r="R47" s="713">
        <v>23595.656489999998</v>
      </c>
      <c r="S47" s="713">
        <v>25365.330726749999</v>
      </c>
      <c r="T47" s="713">
        <v>27242.365200529501</v>
      </c>
      <c r="U47" s="713">
        <v>29067.603668964981</v>
      </c>
      <c r="V47" s="93">
        <v>30811.659889102881</v>
      </c>
      <c r="W47" s="93">
        <f t="shared" ref="W47:AE47" si="16">V47*W30/100</f>
        <v>32937.664421450972</v>
      </c>
      <c r="X47" s="93">
        <f t="shared" si="16"/>
        <v>35276.238595373987</v>
      </c>
      <c r="Y47" s="93">
        <f t="shared" si="16"/>
        <v>37945.198766193746</v>
      </c>
      <c r="Z47" s="93">
        <f t="shared" si="16"/>
        <v>40761.741208279098</v>
      </c>
      <c r="AA47" s="93">
        <f t="shared" si="16"/>
        <v>42574.04495597777</v>
      </c>
      <c r="AB47" s="93">
        <f t="shared" si="16"/>
        <v>46582.649321626217</v>
      </c>
      <c r="AC47" s="93">
        <f t="shared" si="16"/>
        <v>50325.994304824431</v>
      </c>
      <c r="AD47" s="93">
        <f>AC47*AD30/100</f>
        <v>54513.000462704251</v>
      </c>
      <c r="AE47" s="93">
        <f t="shared" si="16"/>
        <v>59066.766045275137</v>
      </c>
      <c r="AG47" t="s">
        <v>655</v>
      </c>
    </row>
    <row r="48" spans="3:33" ht="18.75">
      <c r="C48" s="141" t="s">
        <v>548</v>
      </c>
      <c r="D48" s="141"/>
      <c r="E48" s="141"/>
      <c r="F48" s="141"/>
      <c r="G48" s="184"/>
      <c r="H48" s="184">
        <v>1198.9945784724509</v>
      </c>
      <c r="I48" s="184">
        <v>1340.4759387322001</v>
      </c>
      <c r="J48" s="184">
        <v>1499.9925754413321</v>
      </c>
      <c r="K48" s="195">
        <v>1664.9917587398786</v>
      </c>
      <c r="L48" s="195">
        <v>1786.5361571278895</v>
      </c>
      <c r="M48" s="195">
        <v>1918.7398327553537</v>
      </c>
      <c r="N48" s="195">
        <v>2077.995238874048</v>
      </c>
      <c r="O48" s="195">
        <v>2242.1568627450979</v>
      </c>
      <c r="P48" s="712">
        <v>2287</v>
      </c>
      <c r="Q48" s="713">
        <v>2435.6550000000002</v>
      </c>
      <c r="R48" s="713">
        <v>2615.8934700000004</v>
      </c>
      <c r="S48" s="713">
        <v>2812.0854802500003</v>
      </c>
      <c r="T48" s="713">
        <v>3020.1798057885003</v>
      </c>
      <c r="U48" s="713">
        <v>3222.5318527763297</v>
      </c>
      <c r="V48" s="93">
        <v>3415.8837639429094</v>
      </c>
      <c r="W48" s="93">
        <f t="shared" ref="W48:AE48" si="17">V48*W31/100</f>
        <v>3651.5797436549701</v>
      </c>
      <c r="X48" s="93">
        <f t="shared" si="17"/>
        <v>3910.8419054544729</v>
      </c>
      <c r="Y48" s="93">
        <f t="shared" si="17"/>
        <v>4098.5623169162873</v>
      </c>
      <c r="Z48" s="93">
        <f t="shared" si="17"/>
        <v>4221.5191864237759</v>
      </c>
      <c r="AA48" s="93">
        <f t="shared" si="17"/>
        <v>4221.5191864237759</v>
      </c>
      <c r="AB48" s="93">
        <f t="shared" si="17"/>
        <v>4221.5191864237759</v>
      </c>
      <c r="AC48" s="93">
        <f t="shared" si="17"/>
        <v>4221.5191864237759</v>
      </c>
      <c r="AD48" s="93">
        <f t="shared" si="17"/>
        <v>4221.5191864237759</v>
      </c>
      <c r="AE48" s="93">
        <f t="shared" si="17"/>
        <v>4574.1655022407058</v>
      </c>
      <c r="AG48" t="s">
        <v>656</v>
      </c>
    </row>
    <row r="49" spans="3:33" ht="18.75">
      <c r="C49" s="148" t="s">
        <v>549</v>
      </c>
      <c r="D49" s="148"/>
      <c r="E49" s="148"/>
      <c r="F49" s="148"/>
      <c r="G49" s="195"/>
      <c r="H49" s="195"/>
      <c r="I49" s="195"/>
      <c r="J49" s="195"/>
      <c r="K49" s="195">
        <v>13293.539958004505</v>
      </c>
      <c r="L49" s="195">
        <v>14180.584209468001</v>
      </c>
      <c r="M49" s="195">
        <v>15155.604568772746</v>
      </c>
      <c r="N49" s="195">
        <v>16320.035841941259</v>
      </c>
      <c r="O49" s="195">
        <v>17598.221135696069</v>
      </c>
      <c r="P49" s="712">
        <v>18342</v>
      </c>
      <c r="Q49" s="713">
        <v>19534.23</v>
      </c>
      <c r="R49" s="713">
        <v>20979.763020000002</v>
      </c>
      <c r="S49" s="713">
        <v>22553.245246499999</v>
      </c>
      <c r="T49" s="713">
        <v>24222.185394740998</v>
      </c>
      <c r="U49" s="713">
        <v>25845.071816188647</v>
      </c>
      <c r="V49" s="93">
        <v>27395.776125159966</v>
      </c>
      <c r="W49" s="93">
        <f t="shared" ref="W49:AE49" si="18">V49*W32/100</f>
        <v>29286.084677796007</v>
      </c>
      <c r="X49" s="93">
        <f t="shared" si="18"/>
        <v>31365.396689919522</v>
      </c>
      <c r="Y49" s="93">
        <f t="shared" si="18"/>
        <v>33833.095183241305</v>
      </c>
      <c r="Z49" s="93">
        <f t="shared" si="18"/>
        <v>36508.414267112727</v>
      </c>
      <c r="AA49" s="93">
        <f t="shared" si="18"/>
        <v>38306.454091507949</v>
      </c>
      <c r="AB49" s="93">
        <f t="shared" si="18"/>
        <v>42269.251243047394</v>
      </c>
      <c r="AC49" s="93">
        <f t="shared" si="18"/>
        <v>46026.408350785561</v>
      </c>
      <c r="AD49" s="93">
        <f t="shared" si="18"/>
        <v>50236.418265937406</v>
      </c>
      <c r="AE49" s="93">
        <f t="shared" si="18"/>
        <v>54432.937821810578</v>
      </c>
      <c r="AG49" t="s">
        <v>657</v>
      </c>
    </row>
    <row r="50" spans="3:33" ht="18.75">
      <c r="C50" s="141" t="s">
        <v>550</v>
      </c>
      <c r="D50" s="141"/>
      <c r="E50" s="141"/>
      <c r="F50" s="141"/>
      <c r="G50" s="711"/>
      <c r="H50" s="711"/>
      <c r="I50" s="711"/>
      <c r="J50" s="711"/>
      <c r="K50" s="685">
        <v>4438.6239267339033</v>
      </c>
      <c r="L50" s="685">
        <v>4722.6958580448736</v>
      </c>
      <c r="M50" s="685">
        <v>4921.0490840827588</v>
      </c>
      <c r="N50" s="685">
        <v>4492.917813767559</v>
      </c>
      <c r="O50" s="685">
        <v>4093.0481283422459</v>
      </c>
      <c r="P50" s="712">
        <v>3827</v>
      </c>
      <c r="Q50" s="713">
        <v>4087.2359999999999</v>
      </c>
      <c r="R50" s="713">
        <v>4410.1276440000001</v>
      </c>
      <c r="S50" s="713">
        <v>4868.7809189760001</v>
      </c>
      <c r="T50" s="713">
        <v>5238.8082688181757</v>
      </c>
      <c r="U50" s="713">
        <v>5474.5546409149938</v>
      </c>
      <c r="V50" s="93">
        <v>5649.7403894242734</v>
      </c>
      <c r="W50" s="93">
        <f t="shared" ref="W50:AE50" si="19">V50*W33/100</f>
        <v>5943.5268896743355</v>
      </c>
      <c r="X50" s="93">
        <f t="shared" si="19"/>
        <v>6347.68671817219</v>
      </c>
      <c r="Y50" s="93">
        <f t="shared" si="19"/>
        <v>6792.0247884442433</v>
      </c>
      <c r="Z50" s="93">
        <f t="shared" si="19"/>
        <v>7267.4665236353412</v>
      </c>
      <c r="AA50" s="93">
        <f t="shared" si="19"/>
        <v>7841.5963790025344</v>
      </c>
      <c r="AB50" s="93">
        <f t="shared" si="19"/>
        <v>7818.0715898655271</v>
      </c>
      <c r="AC50" s="93">
        <f t="shared" si="19"/>
        <v>8443.5173170547696</v>
      </c>
      <c r="AD50" s="93">
        <f t="shared" si="19"/>
        <v>9473.6264297354519</v>
      </c>
      <c r="AE50" s="93">
        <f t="shared" si="19"/>
        <v>10477.830831287409</v>
      </c>
      <c r="AG50" t="s">
        <v>658</v>
      </c>
    </row>
    <row r="51" spans="3:33" ht="18.75">
      <c r="C51" s="141" t="s">
        <v>551</v>
      </c>
      <c r="D51" s="141"/>
      <c r="E51" s="141"/>
      <c r="F51" s="141"/>
      <c r="G51" s="710"/>
      <c r="H51" s="710"/>
      <c r="I51" s="710"/>
      <c r="J51" s="710"/>
      <c r="K51" s="685">
        <v>2181.2269553956048</v>
      </c>
      <c r="L51" s="685">
        <v>2211.7641327711435</v>
      </c>
      <c r="M51" s="685">
        <v>2331.1993959407855</v>
      </c>
      <c r="N51" s="685">
        <v>2482.7273566769363</v>
      </c>
      <c r="O51" s="685">
        <v>2676.3800904977375</v>
      </c>
      <c r="P51" s="712">
        <v>2957.4</v>
      </c>
      <c r="Q51" s="713">
        <v>3229.4808000000003</v>
      </c>
      <c r="R51" s="713">
        <v>3413.5612056</v>
      </c>
      <c r="S51" s="713">
        <v>3782.2258158047998</v>
      </c>
      <c r="T51" s="713">
        <v>3925.9503968053823</v>
      </c>
      <c r="U51" s="713">
        <v>4122.2479166456515</v>
      </c>
      <c r="V51" s="93">
        <v>4588.0619312266099</v>
      </c>
      <c r="W51" s="93">
        <f t="shared" ref="W51:AE51" si="20">V51*W34/100</f>
        <v>5322.1518402228676</v>
      </c>
      <c r="X51" s="93">
        <f t="shared" si="20"/>
        <v>6455.7701821903383</v>
      </c>
      <c r="Y51" s="93">
        <f t="shared" si="20"/>
        <v>7140.0818215025138</v>
      </c>
      <c r="Z51" s="93">
        <f t="shared" si="20"/>
        <v>8082.5726219408461</v>
      </c>
      <c r="AA51" s="93">
        <f t="shared" si="20"/>
        <v>8793.8390126716404</v>
      </c>
      <c r="AB51" s="93">
        <f t="shared" si="20"/>
        <v>10622.957527307342</v>
      </c>
      <c r="AC51" s="93">
        <f t="shared" si="20"/>
        <v>12258.892986512674</v>
      </c>
      <c r="AD51" s="93">
        <f t="shared" si="20"/>
        <v>13448.005606204404</v>
      </c>
      <c r="AE51" s="93">
        <f t="shared" si="20"/>
        <v>16137.606727445283</v>
      </c>
      <c r="AG51" t="s">
        <v>659</v>
      </c>
    </row>
    <row r="52" spans="3:33" ht="18.75">
      <c r="C52" s="141" t="s">
        <v>552</v>
      </c>
      <c r="D52" s="141"/>
      <c r="E52" s="141"/>
      <c r="F52" s="141"/>
      <c r="G52" s="141"/>
      <c r="H52" s="141"/>
      <c r="I52" s="141"/>
      <c r="J52" s="141"/>
      <c r="K52" s="685">
        <v>1487.3463421926385</v>
      </c>
      <c r="L52" s="685">
        <v>1731.2711423122312</v>
      </c>
      <c r="M52" s="685">
        <v>1855.9226645587121</v>
      </c>
      <c r="N52" s="685">
        <v>2048.938621672818</v>
      </c>
      <c r="O52" s="685">
        <v>2483.3136094674555</v>
      </c>
      <c r="P52" s="712">
        <v>2098.4</v>
      </c>
      <c r="Q52" s="713">
        <v>2298.363636363636</v>
      </c>
      <c r="R52" s="713">
        <v>2424.7736363636359</v>
      </c>
      <c r="S52" s="713">
        <v>1833.1288690909087</v>
      </c>
      <c r="T52" s="713">
        <v>2148.4270345745449</v>
      </c>
      <c r="U52" s="713">
        <v>2691.979074321905</v>
      </c>
      <c r="V52">
        <v>3262.6786380781491</v>
      </c>
      <c r="W52">
        <f t="shared" ref="W52:AE52" si="21">V52*W35/100</f>
        <v>3925.0024016080133</v>
      </c>
      <c r="X52">
        <f t="shared" si="21"/>
        <v>4085.9275000739417</v>
      </c>
      <c r="Y52">
        <f t="shared" si="21"/>
        <v>4502.6921050814835</v>
      </c>
      <c r="Z52">
        <f t="shared" si="21"/>
        <v>4709.8159419152316</v>
      </c>
      <c r="AA52">
        <f t="shared" si="21"/>
        <v>4898.208579591841</v>
      </c>
      <c r="AB52">
        <f t="shared" si="21"/>
        <v>6470.5335336408216</v>
      </c>
      <c r="AC52">
        <f t="shared" si="21"/>
        <v>7208.1743564758754</v>
      </c>
      <c r="AD52">
        <f t="shared" si="21"/>
        <v>8094.7798023224077</v>
      </c>
      <c r="AE52">
        <f t="shared" si="21"/>
        <v>6450.7974603034427</v>
      </c>
      <c r="AG52" t="s">
        <v>660</v>
      </c>
    </row>
    <row r="53" spans="3:33" ht="18.75">
      <c r="C53" s="141" t="s">
        <v>553</v>
      </c>
      <c r="D53" s="141"/>
      <c r="E53" s="141"/>
      <c r="F53" s="141"/>
      <c r="G53" s="141"/>
      <c r="H53" s="141"/>
      <c r="I53" s="141"/>
      <c r="J53" s="141"/>
      <c r="K53" s="685"/>
      <c r="L53" s="685"/>
      <c r="M53" s="685"/>
      <c r="N53" s="685"/>
      <c r="O53" s="685"/>
      <c r="P53" s="712"/>
      <c r="Q53" s="713"/>
      <c r="R53" s="713"/>
      <c r="S53" s="713"/>
      <c r="T53" s="713"/>
      <c r="U53" s="713"/>
      <c r="AG53" t="s">
        <v>661</v>
      </c>
    </row>
    <row r="54" spans="3:33" ht="18.75">
      <c r="C54" s="140" t="s">
        <v>554</v>
      </c>
      <c r="G54"/>
      <c r="H54"/>
      <c r="I54"/>
      <c r="J54" s="710"/>
      <c r="K54" s="685">
        <v>2430.5119431567068</v>
      </c>
      <c r="L54" s="685">
        <v>2646.8275060976539</v>
      </c>
      <c r="M54" s="685">
        <v>3094.1413546281574</v>
      </c>
      <c r="N54" s="685">
        <v>3449.9676104103955</v>
      </c>
      <c r="O54" s="685">
        <v>3936.413043478261</v>
      </c>
      <c r="P54" s="712">
        <v>4345.8</v>
      </c>
      <c r="Q54" s="713">
        <v>4671.7349999999997</v>
      </c>
      <c r="R54" s="713">
        <v>5096.8628849999996</v>
      </c>
      <c r="S54" s="713">
        <v>5907.2640837149993</v>
      </c>
      <c r="T54" s="713">
        <v>7017.8297314534184</v>
      </c>
      <c r="U54" s="713">
        <v>7488.0243234607969</v>
      </c>
      <c r="V54" s="93">
        <v>7907.3536855746015</v>
      </c>
      <c r="W54" s="93">
        <f t="shared" ref="W54:AE54" si="22">V54*W37/100</f>
        <v>8381.7949067090776</v>
      </c>
      <c r="X54" s="93">
        <f t="shared" si="22"/>
        <v>8934.9933705518761</v>
      </c>
      <c r="Y54" s="93">
        <f t="shared" si="22"/>
        <v>10025.062561759205</v>
      </c>
      <c r="Z54" s="93">
        <f t="shared" si="22"/>
        <v>10987.468567688087</v>
      </c>
      <c r="AA54" s="93">
        <f t="shared" si="22"/>
        <v>10339.20792219449</v>
      </c>
      <c r="AB54" s="93">
        <f t="shared" si="22"/>
        <v>11393.807130258328</v>
      </c>
      <c r="AC54" s="93">
        <f t="shared" si="22"/>
        <v>12669.913528847261</v>
      </c>
      <c r="AD54" s="93">
        <f t="shared" si="22"/>
        <v>12492.534739443399</v>
      </c>
      <c r="AE54">
        <f t="shared" si="22"/>
        <v>14191.519464007701</v>
      </c>
      <c r="AG54" t="s">
        <v>662</v>
      </c>
    </row>
    <row r="55" spans="3:33" ht="18.75">
      <c r="C55" s="140" t="s">
        <v>555</v>
      </c>
      <c r="G55"/>
      <c r="H55"/>
      <c r="I55"/>
      <c r="J55" s="710"/>
      <c r="K55" s="685">
        <v>364.88474307940686</v>
      </c>
      <c r="L55" s="685">
        <v>474.35016600322894</v>
      </c>
      <c r="M55" s="685">
        <v>560.20754604981335</v>
      </c>
      <c r="N55" s="685">
        <v>1029.661469639557</v>
      </c>
      <c r="O55" s="685">
        <v>1475.5048859934855</v>
      </c>
      <c r="P55" s="712">
        <v>2264.9</v>
      </c>
      <c r="Q55" s="713">
        <v>2704.2057931502522</v>
      </c>
      <c r="R55" s="713">
        <v>4080.4767279883422</v>
      </c>
      <c r="S55" s="713">
        <v>5062.0320321553108</v>
      </c>
      <c r="T55" s="713">
        <v>5583.4276686040257</v>
      </c>
      <c r="U55" s="713">
        <v>5868.8833526329863</v>
      </c>
      <c r="V55" s="93">
        <v>5992.1299030382788</v>
      </c>
      <c r="W55" s="93">
        <f t="shared" ref="W55:AE55" si="23">V55*W38/100</f>
        <v>6000.0142904577106</v>
      </c>
      <c r="X55" s="93">
        <f t="shared" si="23"/>
        <v>5980.8355034776832</v>
      </c>
      <c r="Y55" s="93">
        <f t="shared" si="23"/>
        <v>5580.1195247446776</v>
      </c>
      <c r="Z55" s="93">
        <f t="shared" si="23"/>
        <v>6456.1982901295924</v>
      </c>
      <c r="AA55" s="93">
        <f t="shared" si="23"/>
        <v>5126.2214423628966</v>
      </c>
      <c r="AB55" s="93">
        <f t="shared" si="23"/>
        <v>4885.2890345718406</v>
      </c>
      <c r="AC55" s="93">
        <f t="shared" si="23"/>
        <v>4689.8774731889671</v>
      </c>
      <c r="AD55" s="93">
        <f t="shared" si="23"/>
        <v>5707.580884870973</v>
      </c>
      <c r="AE55" s="93">
        <f t="shared" si="23"/>
        <v>9986.0025996790628</v>
      </c>
      <c r="AG55" t="s">
        <v>663</v>
      </c>
    </row>
    <row r="56" spans="3:33" ht="18.75">
      <c r="C56" s="139" t="s">
        <v>556</v>
      </c>
      <c r="D56" s="139"/>
      <c r="E56" s="139"/>
      <c r="F56" s="139"/>
      <c r="G56"/>
      <c r="H56"/>
      <c r="I56"/>
      <c r="J56"/>
      <c r="K56" s="685">
        <v>5707.0660572740017</v>
      </c>
      <c r="L56" s="685">
        <v>5535.9477330718082</v>
      </c>
      <c r="M56" s="685">
        <v>5335.3727348969396</v>
      </c>
      <c r="N56" s="685">
        <v>4161.8223006272447</v>
      </c>
      <c r="O56" s="685">
        <v>3854.9940879071128</v>
      </c>
      <c r="P56" s="712">
        <v>2823.7999999999993</v>
      </c>
      <c r="Q56" s="713">
        <v>2626.1339999999991</v>
      </c>
      <c r="R56" s="713">
        <v>2547.3499799999991</v>
      </c>
      <c r="S56" s="713">
        <v>2419.9824809999991</v>
      </c>
      <c r="T56" s="713">
        <v>2298.9833569499988</v>
      </c>
      <c r="U56" s="713">
        <v>2344.9630240889987</v>
      </c>
      <c r="V56" s="93">
        <v>2274.614133366329</v>
      </c>
      <c r="W56" s="93">
        <f t="shared" ref="W56:AE56" si="24">V56*W39/100</f>
        <v>2206.3757093653389</v>
      </c>
      <c r="X56" s="93">
        <f t="shared" si="24"/>
        <v>2228.4394664589922</v>
      </c>
      <c r="Y56" s="93">
        <f t="shared" si="24"/>
        <v>2406.7146237757115</v>
      </c>
      <c r="Z56" s="93">
        <f t="shared" si="24"/>
        <v>2430.7817700134688</v>
      </c>
      <c r="AA56" s="93">
        <f t="shared" si="24"/>
        <v>2795.3990355154888</v>
      </c>
      <c r="AB56" s="93">
        <f t="shared" si="24"/>
        <v>2823.3530258706437</v>
      </c>
      <c r="AC56" s="93">
        <f t="shared" si="24"/>
        <v>2823.3530258706437</v>
      </c>
      <c r="AD56" s="93">
        <f t="shared" si="24"/>
        <v>3006.8709725522353</v>
      </c>
      <c r="AE56" s="93">
        <f t="shared" si="24"/>
        <v>2405.4967780417883</v>
      </c>
      <c r="AG56" t="s">
        <v>664</v>
      </c>
    </row>
    <row r="57" spans="3:33">
      <c r="C57" s="146" t="s">
        <v>429</v>
      </c>
      <c r="D57" s="146"/>
      <c r="E57" s="146"/>
      <c r="F57" s="146"/>
      <c r="G57" s="146"/>
      <c r="H57"/>
      <c r="I57"/>
      <c r="J57"/>
      <c r="K57"/>
      <c r="L57"/>
      <c r="M57"/>
      <c r="N57"/>
      <c r="O57"/>
      <c r="P57" s="147"/>
      <c r="Q57" s="714"/>
      <c r="R57" s="714"/>
      <c r="S57" s="714"/>
      <c r="T57" s="714"/>
      <c r="U57" s="714"/>
    </row>
    <row r="58" spans="3:33" ht="18.75">
      <c r="C58" s="141" t="s">
        <v>557</v>
      </c>
      <c r="D58" s="141"/>
      <c r="E58" s="141"/>
      <c r="F58" s="141"/>
      <c r="G58" s="141"/>
      <c r="H58" s="184">
        <v>5749.1804502696214</v>
      </c>
      <c r="I58" s="184">
        <v>6381.5902997992798</v>
      </c>
      <c r="J58" s="184">
        <v>7115.4731842761976</v>
      </c>
      <c r="K58" s="195">
        <v>7492.5932630428351</v>
      </c>
      <c r="L58" s="195">
        <v>7927.1636722993189</v>
      </c>
      <c r="M58" s="195">
        <v>8339.3761832588843</v>
      </c>
      <c r="N58" s="195">
        <v>8706.3087353222745</v>
      </c>
      <c r="O58" s="195">
        <v>9002.3232323232314</v>
      </c>
      <c r="P58" s="712">
        <v>8912.2999999999993</v>
      </c>
      <c r="Q58" s="713">
        <v>9280.3927130909069</v>
      </c>
      <c r="R58" s="713">
        <v>9920.7398102941788</v>
      </c>
      <c r="S58" s="713">
        <v>10277.886443464769</v>
      </c>
      <c r="T58" s="713">
        <v>10884.28174362919</v>
      </c>
      <c r="U58" s="713">
        <v>12212.164116351951</v>
      </c>
      <c r="V58" s="93">
        <v>13396.74403563809</v>
      </c>
      <c r="W58" s="93">
        <f t="shared" ref="W58:AE58" si="25">V58*W41/100</f>
        <v>15285.684944663059</v>
      </c>
      <c r="X58" s="93">
        <f t="shared" si="25"/>
        <v>16416.825630568128</v>
      </c>
      <c r="Y58" s="93">
        <f t="shared" si="25"/>
        <v>17912.039965112781</v>
      </c>
      <c r="Z58" s="93">
        <f t="shared" si="25"/>
        <v>19494.441032087325</v>
      </c>
      <c r="AA58" s="93">
        <f t="shared" si="25"/>
        <v>20938.491090122865</v>
      </c>
      <c r="AB58" s="93">
        <f t="shared" si="25"/>
        <v>23961.216441107084</v>
      </c>
      <c r="AC58" s="93">
        <f t="shared" si="25"/>
        <v>26772.632735086456</v>
      </c>
      <c r="AD58" s="93">
        <f t="shared" si="25"/>
        <v>29771.312672297841</v>
      </c>
      <c r="AE58" s="93">
        <f t="shared" si="25"/>
        <v>32206.014075734889</v>
      </c>
      <c r="AG58" t="s">
        <v>665</v>
      </c>
    </row>
    <row r="59" spans="3:33" ht="18.75">
      <c r="C59" s="141" t="s">
        <v>558</v>
      </c>
      <c r="D59" s="141"/>
      <c r="E59" s="141"/>
      <c r="F59" s="141"/>
      <c r="G59" s="141"/>
      <c r="H59" s="710">
        <v>4014.1049616244095</v>
      </c>
      <c r="I59" s="710">
        <v>4423.5436677100997</v>
      </c>
      <c r="J59" s="710">
        <v>4874.7451218165306</v>
      </c>
      <c r="K59" s="685">
        <v>5800.9466949616708</v>
      </c>
      <c r="L59" s="685">
        <v>6253.4205371686812</v>
      </c>
      <c r="M59" s="685">
        <v>6816.2283855138621</v>
      </c>
      <c r="N59" s="685">
        <v>7613.7271066189851</v>
      </c>
      <c r="O59" s="685">
        <v>8595.8979033728356</v>
      </c>
      <c r="P59" s="712">
        <v>9429.7000000000007</v>
      </c>
      <c r="Q59" s="713">
        <v>10783.190066409104</v>
      </c>
      <c r="R59" s="713">
        <v>11613.495701522606</v>
      </c>
      <c r="S59" s="713">
        <v>13007.115185705319</v>
      </c>
      <c r="T59" s="713">
        <v>14190.762667604504</v>
      </c>
      <c r="U59" s="713">
        <v>14361.051819615757</v>
      </c>
      <c r="V59" s="93">
        <v>14605.189700549226</v>
      </c>
      <c r="W59" s="93">
        <f t="shared" ref="W59:AE59" si="26">V59*W42/100</f>
        <v>14444.532613843186</v>
      </c>
      <c r="X59" s="93">
        <f t="shared" si="26"/>
        <v>15397.871766356835</v>
      </c>
      <c r="Y59" s="93">
        <f t="shared" si="26"/>
        <v>16347.571280935599</v>
      </c>
      <c r="Z59" s="93">
        <f t="shared" si="26"/>
        <v>17411.932671757335</v>
      </c>
      <c r="AA59" s="93">
        <f t="shared" si="26"/>
        <v>17628.121237759409</v>
      </c>
      <c r="AB59" s="93">
        <f t="shared" si="26"/>
        <v>18271.911017456776</v>
      </c>
      <c r="AC59" s="93">
        <f t="shared" si="26"/>
        <v>18982.308764760979</v>
      </c>
      <c r="AD59" s="93">
        <f t="shared" si="26"/>
        <v>20044.280371082084</v>
      </c>
      <c r="AE59" s="93">
        <f t="shared" si="26"/>
        <v>21777.912660635011</v>
      </c>
      <c r="AG59" t="s">
        <v>666</v>
      </c>
    </row>
    <row r="63" spans="3:33">
      <c r="C63" s="150" t="s">
        <v>561</v>
      </c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/>
      <c r="R63" s="150"/>
      <c r="S63" s="150"/>
      <c r="T63" s="150"/>
      <c r="U63" s="150"/>
    </row>
    <row r="64" spans="3:33" ht="18">
      <c r="C64" s="148" t="s">
        <v>559</v>
      </c>
      <c r="D64" s="148">
        <v>165.2</v>
      </c>
      <c r="E64" s="148">
        <v>187.8</v>
      </c>
      <c r="F64" s="148">
        <v>123.5</v>
      </c>
      <c r="G64" s="148">
        <v>124.3</v>
      </c>
      <c r="H64" s="184">
        <v>130.9</v>
      </c>
      <c r="I64" s="184">
        <v>118.8</v>
      </c>
      <c r="J64" s="184">
        <v>127.1</v>
      </c>
      <c r="K64" s="184">
        <v>117.5</v>
      </c>
      <c r="L64" s="184">
        <v>109.51609889389134</v>
      </c>
      <c r="M64" s="244">
        <v>121.06373933966556</v>
      </c>
      <c r="N64" s="244">
        <v>127.23564656244146</v>
      </c>
      <c r="O64" s="244">
        <v>128.16376264122408</v>
      </c>
      <c r="P64" s="244">
        <v>112.12955373301864</v>
      </c>
      <c r="Q64" s="244">
        <v>112.45894095485707</v>
      </c>
      <c r="R64" s="244">
        <v>113.32435620195481</v>
      </c>
      <c r="S64" s="244">
        <v>111.86851503023107</v>
      </c>
      <c r="T64" s="244">
        <v>104.34105730386703</v>
      </c>
      <c r="U64" s="244">
        <v>105.47222559175718</v>
      </c>
      <c r="V64" s="93">
        <v>105.44940160514669</v>
      </c>
      <c r="W64" s="93">
        <f t="shared" ref="W64:AE64" si="27">W13/V13/W30*10000</f>
        <v>100.54217866635985</v>
      </c>
      <c r="X64" s="93">
        <f t="shared" si="27"/>
        <v>109.80546757006118</v>
      </c>
      <c r="Y64" s="93">
        <f t="shared" si="27"/>
        <v>102.52473094313454</v>
      </c>
      <c r="Z64" s="93">
        <f t="shared" si="27"/>
        <v>103.63681973908618</v>
      </c>
      <c r="AA64" s="93">
        <f t="shared" si="27"/>
        <v>101.61110230514826</v>
      </c>
      <c r="AB64" s="93">
        <f t="shared" si="27"/>
        <v>110.02881332080305</v>
      </c>
      <c r="AC64" s="93">
        <f t="shared" si="27"/>
        <v>108.22627671327531</v>
      </c>
      <c r="AD64" s="93">
        <f>AD13/AC13/AD30*10000</f>
        <v>103.72439807211711</v>
      </c>
      <c r="AE64" s="93">
        <f t="shared" si="27"/>
        <v>106.62268198320136</v>
      </c>
      <c r="AG64" t="s">
        <v>667</v>
      </c>
    </row>
    <row r="65" spans="3:41" ht="18">
      <c r="C65" s="148" t="s">
        <v>548</v>
      </c>
      <c r="D65" s="148"/>
      <c r="E65" s="148"/>
      <c r="F65" s="148"/>
      <c r="G65" s="148"/>
      <c r="H65"/>
      <c r="I65"/>
      <c r="J65" s="184"/>
      <c r="K65" s="184"/>
      <c r="L65" s="543">
        <v>113.96947367684967</v>
      </c>
      <c r="M65" s="543">
        <v>118.70612230998506</v>
      </c>
      <c r="N65" s="543">
        <v>139.7196771050815</v>
      </c>
      <c r="O65" s="543">
        <v>129.22959016031021</v>
      </c>
      <c r="P65" s="543">
        <v>100.26229732467253</v>
      </c>
      <c r="Q65" s="543">
        <v>114.22745047796326</v>
      </c>
      <c r="R65" s="543">
        <v>118.9</v>
      </c>
      <c r="S65" s="543">
        <v>111.19866485736122</v>
      </c>
      <c r="T65" s="543">
        <v>107.81461745129461</v>
      </c>
      <c r="U65" s="543">
        <v>115.55648478030672</v>
      </c>
      <c r="V65" s="93">
        <v>79.637613416347151</v>
      </c>
      <c r="W65" s="93">
        <f t="shared" ref="W65:AE65" si="28">W14/V14/W31*10000</f>
        <v>98.595237780860373</v>
      </c>
      <c r="X65" s="93">
        <f t="shared" si="28"/>
        <v>104.53867359326314</v>
      </c>
      <c r="Y65" s="543">
        <v>105.2</v>
      </c>
      <c r="Z65" s="543">
        <v>106.6</v>
      </c>
      <c r="AA65" s="543">
        <v>98.7</v>
      </c>
      <c r="AB65" s="93">
        <f t="shared" si="28"/>
        <v>128.55476155753246</v>
      </c>
      <c r="AC65" s="93">
        <f t="shared" si="28"/>
        <v>110.21915124013819</v>
      </c>
      <c r="AD65" s="93">
        <f>AD14/AC14/AD31*10000</f>
        <v>123.48372850272283</v>
      </c>
      <c r="AE65" s="93">
        <f t="shared" si="28"/>
        <v>100.88300550415578</v>
      </c>
      <c r="AG65" t="s">
        <v>668</v>
      </c>
    </row>
    <row r="66" spans="3:41" ht="18">
      <c r="C66" s="148" t="s">
        <v>549</v>
      </c>
      <c r="D66" s="148"/>
      <c r="E66" s="148"/>
      <c r="F66" s="148"/>
      <c r="G66" s="148"/>
      <c r="H66"/>
      <c r="I66"/>
      <c r="J66"/>
      <c r="K66"/>
      <c r="L66" s="543">
        <v>108.92170857113079</v>
      </c>
      <c r="M66" s="543">
        <v>121.42474795297122</v>
      </c>
      <c r="N66" s="543">
        <v>125.71525608978165</v>
      </c>
      <c r="O66" s="543">
        <v>128.0174607508693</v>
      </c>
      <c r="P66" s="543">
        <v>114.10712296078307</v>
      </c>
      <c r="Q66" s="543">
        <v>112.24092272897371</v>
      </c>
      <c r="R66" s="543">
        <v>111.87249318193386</v>
      </c>
      <c r="S66" s="543">
        <v>111.96329579365644</v>
      </c>
      <c r="T66" s="543">
        <v>103.85292083986957</v>
      </c>
      <c r="U66" s="543">
        <v>104.00103358132556</v>
      </c>
      <c r="V66" s="93">
        <v>109.63348293377113</v>
      </c>
      <c r="W66" s="93">
        <f t="shared" ref="W66:AE66" si="29">W15/V15/W32*10000</f>
        <v>100.77142891507735</v>
      </c>
      <c r="X66" s="93">
        <f t="shared" si="29"/>
        <v>110.41223449932411</v>
      </c>
      <c r="Y66" s="93">
        <f t="shared" si="29"/>
        <v>102.18940098677275</v>
      </c>
      <c r="Z66" s="93">
        <f t="shared" si="29"/>
        <v>103.3472608128843</v>
      </c>
      <c r="AA66" s="93">
        <f t="shared" si="29"/>
        <v>101.976671780073</v>
      </c>
      <c r="AB66" s="93">
        <f t="shared" si="29"/>
        <v>108.37162199590021</v>
      </c>
      <c r="AC66" s="93">
        <f t="shared" si="29"/>
        <v>108.03207090116163</v>
      </c>
      <c r="AD66" s="93">
        <f t="shared" si="29"/>
        <v>101.92450265710393</v>
      </c>
      <c r="AE66" s="93">
        <f t="shared" si="29"/>
        <v>107.25610464035782</v>
      </c>
      <c r="AG66" t="s">
        <v>669</v>
      </c>
    </row>
    <row r="67" spans="3:41" ht="18">
      <c r="C67" s="141" t="s">
        <v>550</v>
      </c>
      <c r="D67" s="141"/>
      <c r="E67" s="141"/>
      <c r="F67" s="141"/>
      <c r="G67" s="141"/>
      <c r="H67"/>
      <c r="I67"/>
      <c r="J67" s="184"/>
      <c r="K67" s="184"/>
      <c r="L67" s="543">
        <v>127.03394048769322</v>
      </c>
      <c r="M67" s="543">
        <v>124.05758115345674</v>
      </c>
      <c r="N67" s="543">
        <v>120.05166230759917</v>
      </c>
      <c r="O67" s="543">
        <v>133.24943203561185</v>
      </c>
      <c r="P67" s="543">
        <v>98.449313973950154</v>
      </c>
      <c r="Q67" s="543">
        <v>118.40030768959757</v>
      </c>
      <c r="R67" s="543">
        <v>137.26814670593504</v>
      </c>
      <c r="S67" s="543">
        <v>106.60517619141207</v>
      </c>
      <c r="T67" s="543">
        <v>91.217036393345623</v>
      </c>
      <c r="U67" s="543">
        <v>123.58269856089483</v>
      </c>
      <c r="V67" s="93">
        <v>99.74296503254368</v>
      </c>
      <c r="W67" s="93">
        <f t="shared" ref="W67:AD67" si="30">W16/V16/W33*10000</f>
        <v>98.694737994126612</v>
      </c>
      <c r="X67" s="93">
        <f t="shared" si="30"/>
        <v>107.08517901924286</v>
      </c>
      <c r="Y67" s="93">
        <f t="shared" si="30"/>
        <v>100.4686841447004</v>
      </c>
      <c r="Z67" s="93">
        <f t="shared" si="30"/>
        <v>109.80899319017814</v>
      </c>
      <c r="AA67" s="93">
        <f t="shared" si="30"/>
        <v>106.95303292341715</v>
      </c>
      <c r="AB67" s="93">
        <f t="shared" si="30"/>
        <v>119.46655956952509</v>
      </c>
      <c r="AC67" s="93">
        <f t="shared" si="30"/>
        <v>110.60494844600225</v>
      </c>
      <c r="AD67" s="93">
        <f t="shared" si="30"/>
        <v>99.805713517285326</v>
      </c>
      <c r="AE67" s="93">
        <f>AE16/AD16/AE33*10000</f>
        <v>104.12553044225828</v>
      </c>
      <c r="AG67" t="s">
        <v>670</v>
      </c>
    </row>
    <row r="68" spans="3:41" ht="18">
      <c r="C68" s="141" t="s">
        <v>551</v>
      </c>
      <c r="D68" s="141"/>
      <c r="E68" s="141"/>
      <c r="F68" s="141"/>
      <c r="G68" s="141"/>
      <c r="H68"/>
      <c r="I68"/>
      <c r="J68" s="184"/>
      <c r="K68" s="184"/>
      <c r="L68" s="543">
        <v>94.024970599693077</v>
      </c>
      <c r="M68" s="543">
        <v>114.48619064341872</v>
      </c>
      <c r="N68" s="543">
        <v>107.5873981608389</v>
      </c>
      <c r="O68" s="543">
        <v>110.96648642735816</v>
      </c>
      <c r="P68" s="543">
        <v>125.72520281446923</v>
      </c>
      <c r="Q68" s="543">
        <v>112.79522082930481</v>
      </c>
      <c r="R68" s="543">
        <v>113.46808130068926</v>
      </c>
      <c r="S68" s="543">
        <v>102.21161998910418</v>
      </c>
      <c r="T68" s="543">
        <v>99.362975670236196</v>
      </c>
      <c r="U68" s="543">
        <v>102.84878192620543</v>
      </c>
      <c r="V68" s="93">
        <v>125.96615476602548</v>
      </c>
      <c r="W68" s="93">
        <f t="shared" ref="W68:AE68" si="31">W17/V17/W34*10000</f>
        <v>103.39628148728015</v>
      </c>
      <c r="X68" s="93">
        <f t="shared" si="31"/>
        <v>114.22636694774907</v>
      </c>
      <c r="Y68" s="93">
        <f t="shared" si="31"/>
        <v>105.84870593047239</v>
      </c>
      <c r="Z68" s="93">
        <f t="shared" si="31"/>
        <v>99.166309054871704</v>
      </c>
      <c r="AA68" s="93">
        <f t="shared" si="31"/>
        <v>106.27825473253696</v>
      </c>
      <c r="AB68" s="93">
        <f t="shared" si="31"/>
        <v>102.4156047728226</v>
      </c>
      <c r="AC68" s="93">
        <f t="shared" si="31"/>
        <v>99.661097702266389</v>
      </c>
      <c r="AD68" s="93">
        <f t="shared" si="31"/>
        <v>97.661415166038566</v>
      </c>
      <c r="AE68" s="93">
        <f t="shared" si="31"/>
        <v>72.625663888393902</v>
      </c>
      <c r="AG68" t="s">
        <v>671</v>
      </c>
    </row>
    <row r="69" spans="3:41" ht="18">
      <c r="C69" s="141" t="s">
        <v>552</v>
      </c>
      <c r="D69" s="141"/>
      <c r="E69" s="141"/>
      <c r="F69" s="141"/>
      <c r="G69" s="141"/>
      <c r="H69"/>
      <c r="I69"/>
      <c r="J69" s="184"/>
      <c r="K69" s="184"/>
      <c r="L69" s="543">
        <v>107.13448177829483</v>
      </c>
      <c r="M69" s="543">
        <v>161.84173902727267</v>
      </c>
      <c r="N69" s="543">
        <v>165.13439315584498</v>
      </c>
      <c r="O69" s="543">
        <v>146.147903017636</v>
      </c>
      <c r="P69" s="543">
        <v>135.50767267638631</v>
      </c>
      <c r="Q69" s="543">
        <v>110.00000000000001</v>
      </c>
      <c r="R69" s="543">
        <v>89.511635762813469</v>
      </c>
      <c r="S69" s="543">
        <v>167.51156541732456</v>
      </c>
      <c r="T69" s="543">
        <v>118.54805163872757</v>
      </c>
      <c r="U69" s="543">
        <v>88.532522897246182</v>
      </c>
      <c r="V69" s="93">
        <v>135.96686921911075</v>
      </c>
      <c r="W69" s="93">
        <f t="shared" ref="W69:AE69" si="32">W18/V18/W35*10000</f>
        <v>90.741723556279297</v>
      </c>
      <c r="X69" s="93">
        <f t="shared" si="32"/>
        <v>88.011378636870774</v>
      </c>
      <c r="Y69" s="93">
        <f t="shared" si="32"/>
        <v>111.1994507243129</v>
      </c>
      <c r="Z69" s="93">
        <f t="shared" si="32"/>
        <v>94.280762902998319</v>
      </c>
      <c r="AA69" s="93">
        <f t="shared" si="32"/>
        <v>91.824561083632801</v>
      </c>
      <c r="AB69" s="93">
        <f t="shared" si="32"/>
        <v>97.509189489333863</v>
      </c>
      <c r="AC69" s="93">
        <f t="shared" si="32"/>
        <v>104.17668950239158</v>
      </c>
      <c r="AD69">
        <f>AD18/AC18/AD35*10000</f>
        <v>100.29393887603382</v>
      </c>
      <c r="AE69">
        <f t="shared" si="32"/>
        <v>104.7</v>
      </c>
      <c r="AG69" t="s">
        <v>672</v>
      </c>
    </row>
    <row r="70" spans="3:41" ht="18">
      <c r="C70" s="141" t="s">
        <v>553</v>
      </c>
      <c r="D70" s="141"/>
      <c r="E70" s="141"/>
      <c r="F70" s="141"/>
      <c r="G70" s="141"/>
      <c r="H70"/>
      <c r="I70"/>
      <c r="J70"/>
      <c r="K70"/>
      <c r="L70" s="184">
        <v>86.363636363637255</v>
      </c>
      <c r="M70" s="184">
        <v>99.521531100476182</v>
      </c>
      <c r="N70" s="184"/>
      <c r="O70" s="184"/>
      <c r="P70" s="184"/>
      <c r="Q70" s="184"/>
      <c r="R70" s="184"/>
      <c r="S70" s="184"/>
      <c r="T70" s="184"/>
      <c r="U70" s="543"/>
      <c r="AG70" t="s">
        <v>673</v>
      </c>
    </row>
    <row r="71" spans="3:41" ht="18">
      <c r="C71" s="140" t="s">
        <v>554</v>
      </c>
      <c r="H71"/>
      <c r="I71"/>
      <c r="J71" s="184"/>
      <c r="K71" s="184"/>
      <c r="L71" s="543">
        <v>107.57262057265518</v>
      </c>
      <c r="M71" s="543">
        <v>111.11833029245668</v>
      </c>
      <c r="N71" s="543">
        <v>120.71606559941551</v>
      </c>
      <c r="O71" s="543">
        <v>120.39901768188102</v>
      </c>
      <c r="P71" s="543">
        <v>105.22753483447715</v>
      </c>
      <c r="Q71" s="543">
        <v>101.60389822562543</v>
      </c>
      <c r="R71" s="543">
        <v>113.18213393170431</v>
      </c>
      <c r="S71" s="543">
        <v>105.78987746500097</v>
      </c>
      <c r="T71" s="543">
        <v>97.398368207277954</v>
      </c>
      <c r="U71" s="543">
        <v>103.31761793760968</v>
      </c>
      <c r="V71" s="93">
        <v>80.156686341261704</v>
      </c>
      <c r="W71" s="93">
        <f t="shared" ref="W71:AD71" si="33">W20/V20/W37*10000</f>
        <v>106.09496567148166</v>
      </c>
      <c r="X71" s="93">
        <f t="shared" si="33"/>
        <v>97.531195092170705</v>
      </c>
      <c r="Y71" s="93">
        <f t="shared" si="33"/>
        <v>127.07496127935997</v>
      </c>
      <c r="Z71" s="93">
        <f t="shared" si="33"/>
        <v>107.79954327085976</v>
      </c>
      <c r="AA71" s="93">
        <f t="shared" si="33"/>
        <v>106.47049672837231</v>
      </c>
      <c r="AB71" s="93">
        <f t="shared" si="33"/>
        <v>113.07617689291904</v>
      </c>
      <c r="AC71" s="93">
        <f t="shared" si="33"/>
        <v>108.37563241328684</v>
      </c>
      <c r="AD71" s="93">
        <f t="shared" si="33"/>
        <v>110.46420258963946</v>
      </c>
      <c r="AE71" s="93">
        <f>AE20/AD20/AE37*10000</f>
        <v>117.10806093660513</v>
      </c>
      <c r="AG71" t="s">
        <v>674</v>
      </c>
    </row>
    <row r="72" spans="3:41" ht="18">
      <c r="C72" s="140" t="s">
        <v>555</v>
      </c>
      <c r="H72"/>
      <c r="I72"/>
      <c r="J72" s="184"/>
      <c r="K72" s="184"/>
      <c r="L72" s="543">
        <v>100.3009215723152</v>
      </c>
      <c r="M72" s="543">
        <v>106.87056594720489</v>
      </c>
      <c r="N72" s="543">
        <v>98.766705427553376</v>
      </c>
      <c r="O72" s="543">
        <v>101.78284457065166</v>
      </c>
      <c r="P72" s="543">
        <v>82.79120671044133</v>
      </c>
      <c r="Q72" s="543">
        <v>101.98927932874075</v>
      </c>
      <c r="R72" s="543">
        <v>104.67726136744366</v>
      </c>
      <c r="S72" s="543">
        <v>102.4239578466119</v>
      </c>
      <c r="T72" s="543">
        <v>101.09523060674023</v>
      </c>
      <c r="U72" s="543">
        <v>100.55555441033404</v>
      </c>
      <c r="V72" s="93">
        <v>72.952200124675713</v>
      </c>
      <c r="W72" s="93">
        <f t="shared" ref="W72:AE72" si="34">W21/V21/W38*10000</f>
        <v>100.1974334801405</v>
      </c>
      <c r="X72" s="93">
        <f t="shared" si="34"/>
        <v>100.21366637292394</v>
      </c>
      <c r="Y72" s="93">
        <f t="shared" si="34"/>
        <v>94.143332210902557</v>
      </c>
      <c r="Z72" s="93">
        <f t="shared" si="34"/>
        <v>97.575696935203354</v>
      </c>
      <c r="AA72" s="93">
        <f t="shared" si="34"/>
        <v>99.593551487059926</v>
      </c>
      <c r="AB72" s="93">
        <f t="shared" si="34"/>
        <v>143.12028489746041</v>
      </c>
      <c r="AC72" s="93">
        <f t="shared" si="34"/>
        <v>120.46383225178869</v>
      </c>
      <c r="AD72" s="93">
        <f t="shared" si="34"/>
        <v>98.75727080711475</v>
      </c>
      <c r="AE72" s="93">
        <f t="shared" si="34"/>
        <v>113.06500463459264</v>
      </c>
      <c r="AG72" t="s">
        <v>675</v>
      </c>
    </row>
    <row r="73" spans="3:41" ht="18">
      <c r="C73" s="139" t="s">
        <v>556</v>
      </c>
      <c r="D73" s="139"/>
      <c r="E73" s="139"/>
      <c r="F73" s="139"/>
      <c r="G73" s="139"/>
      <c r="H73"/>
      <c r="I73"/>
      <c r="J73" s="184"/>
      <c r="K73" s="184"/>
      <c r="L73" s="543">
        <v>123.3492467948997</v>
      </c>
      <c r="M73" s="543">
        <v>131.33490111186379</v>
      </c>
      <c r="N73" s="543">
        <v>175.39441974595951</v>
      </c>
      <c r="O73" s="543">
        <v>122.07923401902318</v>
      </c>
      <c r="P73" s="543">
        <v>174.1032466763217</v>
      </c>
      <c r="Q73" s="543">
        <v>119.69686238402157</v>
      </c>
      <c r="R73" s="543">
        <v>134.92842801379294</v>
      </c>
      <c r="S73" s="543">
        <v>121.08295092998527</v>
      </c>
      <c r="T73" s="543">
        <v>128.71403849832515</v>
      </c>
      <c r="U73" s="543">
        <v>92.133177600969375</v>
      </c>
      <c r="V73" s="93">
        <v>168.76156526015282</v>
      </c>
      <c r="W73" s="93">
        <f t="shared" ref="W73:AE73" si="35">W22/V22/W39*10000</f>
        <v>104.99781297984016</v>
      </c>
      <c r="X73" s="93">
        <f t="shared" si="35"/>
        <v>145.06513188543394</v>
      </c>
      <c r="Y73" s="93">
        <f t="shared" si="35"/>
        <v>85.112137129601749</v>
      </c>
      <c r="Z73" s="93">
        <f t="shared" si="35"/>
        <v>107.20829183190207</v>
      </c>
      <c r="AA73" s="93">
        <f t="shared" si="35"/>
        <v>95.022849113641172</v>
      </c>
      <c r="AB73" s="93">
        <f t="shared" si="35"/>
        <v>99.791103663950182</v>
      </c>
      <c r="AC73" s="93">
        <f t="shared" si="35"/>
        <v>118.46330275229357</v>
      </c>
      <c r="AD73" s="93">
        <f t="shared" si="35"/>
        <v>107.70273259842203</v>
      </c>
      <c r="AE73" s="93">
        <f t="shared" si="35"/>
        <v>176.84686369241339</v>
      </c>
      <c r="AG73" t="s">
        <v>676</v>
      </c>
    </row>
    <row r="74" spans="3:41">
      <c r="C74" s="146" t="s">
        <v>429</v>
      </c>
      <c r="D74" s="146"/>
      <c r="E74" s="146"/>
      <c r="F74" s="146"/>
      <c r="G74" s="146"/>
      <c r="H74"/>
      <c r="I74"/>
      <c r="J74" s="184"/>
      <c r="K74" s="184"/>
      <c r="L74" s="543"/>
      <c r="M74" s="543"/>
      <c r="N74" s="543"/>
      <c r="O74" s="543"/>
      <c r="P74" s="543"/>
      <c r="Q74" s="543"/>
      <c r="R74" s="543"/>
      <c r="S74" s="543"/>
      <c r="T74" s="543"/>
      <c r="U74" s="543"/>
    </row>
    <row r="75" spans="3:41" ht="18">
      <c r="C75" s="148" t="s">
        <v>562</v>
      </c>
      <c r="D75" s="148"/>
      <c r="E75" s="148"/>
      <c r="F75" s="148"/>
      <c r="G75" s="148"/>
      <c r="H75"/>
      <c r="I75"/>
      <c r="J75" s="184"/>
      <c r="K75" s="184"/>
      <c r="L75" s="543">
        <v>106.76450152353912</v>
      </c>
      <c r="M75" s="543">
        <v>123.61491831894296</v>
      </c>
      <c r="N75" s="543">
        <v>123.47762057574796</v>
      </c>
      <c r="O75" s="543">
        <v>129.48440454643455</v>
      </c>
      <c r="P75" s="543">
        <v>113.93615187975536</v>
      </c>
      <c r="Q75" s="543">
        <v>116.58267704727679</v>
      </c>
      <c r="R75" s="543">
        <v>137.9</v>
      </c>
      <c r="S75" s="543">
        <v>113.73795308009615</v>
      </c>
      <c r="T75" s="543">
        <v>101.19992428207102</v>
      </c>
      <c r="U75" s="543">
        <v>105.75209592001738</v>
      </c>
      <c r="V75" s="93">
        <v>115.40044800907683</v>
      </c>
      <c r="W75" s="93">
        <f t="shared" ref="W75:AE75" si="36">W24/V24/W41*10000</f>
        <v>96.486963206775485</v>
      </c>
      <c r="X75" s="93">
        <f t="shared" si="36"/>
        <v>107.55888038319713</v>
      </c>
      <c r="Y75" s="93">
        <f t="shared" si="36"/>
        <v>105.0315490019449</v>
      </c>
      <c r="Z75" s="93">
        <f t="shared" si="36"/>
        <v>101.83731674299266</v>
      </c>
      <c r="AA75" s="93">
        <f t="shared" si="36"/>
        <v>103.49583645058742</v>
      </c>
      <c r="AB75" s="93">
        <f t="shared" si="36"/>
        <v>107.32432434992114</v>
      </c>
      <c r="AC75" s="93">
        <f t="shared" si="36"/>
        <v>104.66442567863903</v>
      </c>
      <c r="AD75" s="93">
        <f t="shared" si="36"/>
        <v>99.039476112449449</v>
      </c>
      <c r="AE75" s="93">
        <f t="shared" si="36"/>
        <v>90.356161124761599</v>
      </c>
      <c r="AG75" t="s">
        <v>677</v>
      </c>
    </row>
    <row r="76" spans="3:41" ht="18">
      <c r="C76" s="148" t="s">
        <v>525</v>
      </c>
      <c r="D76" s="148"/>
      <c r="E76" s="148"/>
      <c r="F76" s="148"/>
      <c r="G76" s="148"/>
      <c r="H76"/>
      <c r="I76"/>
      <c r="J76" s="184"/>
      <c r="K76" s="184"/>
      <c r="L76" s="543">
        <v>111.70458751346861</v>
      </c>
      <c r="M76" s="543">
        <v>118.81844142415042</v>
      </c>
      <c r="N76" s="543">
        <v>128.30449008334895</v>
      </c>
      <c r="O76" s="543">
        <v>129.43791989019067</v>
      </c>
      <c r="P76" s="543">
        <v>110.99644775348109</v>
      </c>
      <c r="Q76" s="543">
        <v>108.14406996789285</v>
      </c>
      <c r="R76" s="543">
        <v>102.8</v>
      </c>
      <c r="S76" s="543">
        <v>110</v>
      </c>
      <c r="T76" s="543">
        <v>106.52726907764846</v>
      </c>
      <c r="U76" s="543">
        <v>102.14449027345948</v>
      </c>
      <c r="V76" s="93">
        <v>102.68115378606663</v>
      </c>
      <c r="W76" s="93">
        <f t="shared" ref="W76:AE76" si="37">W25/V25/W42*10000</f>
        <v>105.62971042726979</v>
      </c>
      <c r="X76" s="93">
        <f t="shared" si="37"/>
        <v>114.64807953906002</v>
      </c>
      <c r="Y76" s="93">
        <f t="shared" si="37"/>
        <v>98.186110280630075</v>
      </c>
      <c r="Z76" s="93">
        <f t="shared" si="37"/>
        <v>105.67199343851514</v>
      </c>
      <c r="AA76" s="93">
        <f t="shared" si="37"/>
        <v>99.58534132878232</v>
      </c>
      <c r="AB76" s="93">
        <f t="shared" si="37"/>
        <v>110.2631721890115</v>
      </c>
      <c r="AC76" s="93">
        <f t="shared" si="37"/>
        <v>114.39942368167952</v>
      </c>
      <c r="AD76" s="93">
        <f t="shared" si="37"/>
        <v>107.18011252123715</v>
      </c>
      <c r="AE76" s="93">
        <f t="shared" si="37"/>
        <v>135.58084229631839</v>
      </c>
      <c r="AG76" t="s">
        <v>678</v>
      </c>
    </row>
    <row r="77" spans="3:41">
      <c r="C77" s="140" t="s">
        <v>563</v>
      </c>
      <c r="AG77" s="140">
        <v>2021</v>
      </c>
      <c r="AH77" s="140">
        <v>2022</v>
      </c>
      <c r="AI77" s="140">
        <v>2023</v>
      </c>
      <c r="AJ77" s="140">
        <v>2024</v>
      </c>
      <c r="AK77" s="140">
        <v>2025</v>
      </c>
      <c r="AL77" s="140">
        <v>2026</v>
      </c>
    </row>
    <row r="78" spans="3:41">
      <c r="C78" s="148" t="s">
        <v>559</v>
      </c>
      <c r="D78" s="243">
        <v>100.00693808453362</v>
      </c>
      <c r="E78" s="243">
        <v>100.00693808453362</v>
      </c>
      <c r="F78" s="243">
        <v>100.00693808453362</v>
      </c>
      <c r="G78" s="243">
        <v>100.00693808453362</v>
      </c>
      <c r="H78" s="243">
        <v>100.00693808453362</v>
      </c>
      <c r="I78" s="243">
        <v>100.00693808453362</v>
      </c>
      <c r="J78" s="243">
        <v>100.00693808453362</v>
      </c>
      <c r="K78" s="243">
        <v>100.00693808453362</v>
      </c>
      <c r="L78" s="243">
        <v>100.00693808453362</v>
      </c>
      <c r="M78" s="243">
        <v>100.00428481141472</v>
      </c>
      <c r="N78" s="243">
        <v>100.0023429629109</v>
      </c>
      <c r="O78" s="243">
        <v>100.02202531216642</v>
      </c>
      <c r="P78" s="243">
        <v>100.02132919676184</v>
      </c>
      <c r="Q78" s="243">
        <v>99.999595258043229</v>
      </c>
      <c r="R78" s="243">
        <v>100.00000000000001</v>
      </c>
      <c r="S78" s="243">
        <v>100</v>
      </c>
      <c r="T78" s="243">
        <v>100.00000000000001</v>
      </c>
      <c r="U78" s="243">
        <v>100</v>
      </c>
      <c r="V78" s="243">
        <f t="shared" ref="V78:AE78" si="38">V79+V80</f>
        <v>100</v>
      </c>
      <c r="W78" s="244">
        <f t="shared" si="38"/>
        <v>100.00000000000001</v>
      </c>
      <c r="X78" s="244">
        <f t="shared" si="38"/>
        <v>100</v>
      </c>
      <c r="Y78" s="244">
        <f t="shared" si="38"/>
        <v>100.00000000000001</v>
      </c>
      <c r="Z78" s="244">
        <f t="shared" si="38"/>
        <v>100.00000000000001</v>
      </c>
      <c r="AA78" s="244">
        <f>AA79+AA80</f>
        <v>100</v>
      </c>
      <c r="AB78" s="244">
        <f t="shared" si="38"/>
        <v>99.999999999999986</v>
      </c>
      <c r="AC78" s="244">
        <f t="shared" si="38"/>
        <v>99.999999999999986</v>
      </c>
      <c r="AD78" s="244">
        <f t="shared" si="38"/>
        <v>99.999999999999986</v>
      </c>
      <c r="AE78" s="243">
        <f t="shared" si="38"/>
        <v>100.00000000000003</v>
      </c>
      <c r="AG78" s="184">
        <f>AG79+AG81+AG82+AG83+AG85+AG86+AG87</f>
        <v>0</v>
      </c>
      <c r="AH78" s="184">
        <f t="shared" ref="AH78:AL78" si="39">AH79+AH81+AH82+AH83+AH85+AH86+AH87</f>
        <v>0</v>
      </c>
      <c r="AI78" s="184">
        <f t="shared" si="39"/>
        <v>0</v>
      </c>
      <c r="AJ78" s="184">
        <f t="shared" si="39"/>
        <v>0</v>
      </c>
      <c r="AK78" s="184" t="e">
        <f t="shared" si="39"/>
        <v>#REF!</v>
      </c>
      <c r="AL78" s="184" t="e">
        <f t="shared" si="39"/>
        <v>#REF!</v>
      </c>
    </row>
    <row r="79" spans="3:41">
      <c r="C79" s="148" t="s">
        <v>548</v>
      </c>
      <c r="D79" s="148">
        <f>D14/D$13*100</f>
        <v>9.606481481481481</v>
      </c>
      <c r="E79" s="148">
        <f t="shared" ref="E79:K79" si="40">E14/E$13*100</f>
        <v>7.5887631681623091</v>
      </c>
      <c r="F79" s="148">
        <f t="shared" si="40"/>
        <v>7.2862453531598508</v>
      </c>
      <c r="G79" s="148">
        <f t="shared" si="40"/>
        <v>8.3781061114842164</v>
      </c>
      <c r="H79" s="148">
        <f t="shared" si="40"/>
        <v>8.9827599656759496</v>
      </c>
      <c r="I79" s="148">
        <f t="shared" si="40"/>
        <v>9.8598643083577748</v>
      </c>
      <c r="J79" s="148">
        <f t="shared" si="40"/>
        <v>10.677307571143546</v>
      </c>
      <c r="K79" s="148">
        <f t="shared" si="40"/>
        <v>11.021208976520951</v>
      </c>
      <c r="L79" s="243">
        <v>11.533871728693144</v>
      </c>
      <c r="M79" s="243">
        <v>11.35153664049361</v>
      </c>
      <c r="N79" s="243">
        <v>12.52313675874511</v>
      </c>
      <c r="O79" s="243">
        <v>12.627280890500311</v>
      </c>
      <c r="P79" s="243">
        <v>11.084395753550826</v>
      </c>
      <c r="Q79" s="243">
        <v>11.258707011344915</v>
      </c>
      <c r="R79" s="243">
        <v>12.395622374971319</v>
      </c>
      <c r="S79" s="243">
        <v>12.321399437548219</v>
      </c>
      <c r="T79" s="243">
        <v>12.731584298165094</v>
      </c>
      <c r="U79" s="243">
        <v>13.94885827928414</v>
      </c>
      <c r="V79" s="93">
        <f t="shared" ref="V79:AE79" si="41">V14/V13*100</f>
        <v>10.534472138633985</v>
      </c>
      <c r="W79" s="93">
        <f t="shared" si="41"/>
        <v>10.330478205083748</v>
      </c>
      <c r="X79" s="93">
        <f t="shared" si="41"/>
        <v>9.8349791958630721</v>
      </c>
      <c r="Y79" s="93">
        <f t="shared" si="41"/>
        <v>9.8778201837341264</v>
      </c>
      <c r="Z79" s="93">
        <f t="shared" si="41"/>
        <v>9.7240796968264398</v>
      </c>
      <c r="AA79" s="93">
        <f t="shared" si="41"/>
        <v>8.9838646089785055</v>
      </c>
      <c r="AB79" s="93">
        <f t="shared" si="41"/>
        <v>9.5932478731413777</v>
      </c>
      <c r="AC79" s="93">
        <f t="shared" si="41"/>
        <v>9.0431936585782733</v>
      </c>
      <c r="AD79" s="93">
        <f t="shared" si="41"/>
        <v>9.9390052409251535</v>
      </c>
      <c r="AE79" s="93">
        <f t="shared" si="41"/>
        <v>9.4039720421219517</v>
      </c>
      <c r="AG79" s="184">
        <f>$AU$44*AB79/100</f>
        <v>0</v>
      </c>
      <c r="AH79" s="184">
        <f>$AV$44*AC79/100</f>
        <v>0</v>
      </c>
      <c r="AI79" s="184">
        <f>$AW$44*AD79/100</f>
        <v>0</v>
      </c>
      <c r="AJ79" s="184">
        <f>$AX$44*AE79/100</f>
        <v>0</v>
      </c>
      <c r="AK79" s="184" t="e">
        <f>$AY$44*#REF!/100</f>
        <v>#REF!</v>
      </c>
      <c r="AL79" s="184" t="e">
        <f>$AZ$44*#REF!/100</f>
        <v>#REF!</v>
      </c>
      <c r="AM79" s="184"/>
      <c r="AN79" s="184"/>
      <c r="AO79" s="184"/>
    </row>
    <row r="80" spans="3:41">
      <c r="C80" s="148" t="s">
        <v>549</v>
      </c>
      <c r="D80" s="148">
        <f>D15/D$13*100</f>
        <v>90.393518518518505</v>
      </c>
      <c r="E80" s="148">
        <f t="shared" ref="D80:K90" si="42">E15/E$13*100</f>
        <v>92.411236831837698</v>
      </c>
      <c r="F80" s="148">
        <f t="shared" si="42"/>
        <v>92.713754646840158</v>
      </c>
      <c r="G80" s="148">
        <f t="shared" si="42"/>
        <v>91.621893888515785</v>
      </c>
      <c r="H80" s="148">
        <f t="shared" si="42"/>
        <v>91.017240034324047</v>
      </c>
      <c r="I80" s="148">
        <f t="shared" si="42"/>
        <v>90.140135691642215</v>
      </c>
      <c r="J80" s="148">
        <f t="shared" si="42"/>
        <v>89.32269242885647</v>
      </c>
      <c r="K80" s="148">
        <f t="shared" si="42"/>
        <v>88.978791023479047</v>
      </c>
      <c r="L80" s="243">
        <v>88.473066355840473</v>
      </c>
      <c r="M80" s="243">
        <v>88.652748170921114</v>
      </c>
      <c r="N80" s="243">
        <v>87.479206204165791</v>
      </c>
      <c r="O80" s="243">
        <v>87.394744421666104</v>
      </c>
      <c r="P80" s="243">
        <v>88.936933443211018</v>
      </c>
      <c r="Q80" s="243">
        <v>88.740888246698319</v>
      </c>
      <c r="R80" s="243">
        <v>87.60437762502869</v>
      </c>
      <c r="S80" s="243">
        <v>87.678600562451777</v>
      </c>
      <c r="T80" s="243">
        <v>87.268415701834925</v>
      </c>
      <c r="U80" s="243">
        <v>86.051141720715862</v>
      </c>
      <c r="V80" s="93">
        <f t="shared" ref="V80:AE80" si="43">V81+V82+V83+V84+V85+V86+V87</f>
        <v>89.465527861366013</v>
      </c>
      <c r="W80" s="93">
        <f t="shared" si="43"/>
        <v>89.669521794916264</v>
      </c>
      <c r="X80" s="93">
        <f t="shared" si="43"/>
        <v>90.16502080413693</v>
      </c>
      <c r="Y80" s="93">
        <f t="shared" si="43"/>
        <v>90.122179816265884</v>
      </c>
      <c r="Z80" s="93">
        <f t="shared" si="43"/>
        <v>90.275920303173578</v>
      </c>
      <c r="AA80" s="93">
        <f t="shared" si="43"/>
        <v>91.016135391021493</v>
      </c>
      <c r="AB80" s="93">
        <f t="shared" si="43"/>
        <v>90.406752126858606</v>
      </c>
      <c r="AC80" s="93">
        <f t="shared" si="43"/>
        <v>90.956806341421711</v>
      </c>
      <c r="AD80" s="93">
        <f t="shared" si="43"/>
        <v>90.060994759074831</v>
      </c>
      <c r="AE80" s="93">
        <f t="shared" si="43"/>
        <v>90.596027957878078</v>
      </c>
      <c r="AG80" s="184">
        <f t="shared" ref="AG80:AL80" si="44">AG81+AG82+AG83+AG85+AG86+AG87</f>
        <v>0</v>
      </c>
      <c r="AH80" s="184">
        <f t="shared" si="44"/>
        <v>0</v>
      </c>
      <c r="AI80" s="184">
        <f t="shared" si="44"/>
        <v>0</v>
      </c>
      <c r="AJ80" s="184">
        <f t="shared" si="44"/>
        <v>0</v>
      </c>
      <c r="AK80" s="184" t="e">
        <f t="shared" si="44"/>
        <v>#REF!</v>
      </c>
      <c r="AL80" s="184" t="e">
        <f t="shared" si="44"/>
        <v>#REF!</v>
      </c>
      <c r="AM80" s="184"/>
      <c r="AN80" s="184"/>
      <c r="AO80" s="184"/>
    </row>
    <row r="81" spans="3:52">
      <c r="C81" s="141" t="s">
        <v>550</v>
      </c>
      <c r="D81" s="148">
        <f t="shared" si="42"/>
        <v>32.002314814814817</v>
      </c>
      <c r="E81" s="148">
        <f t="shared" si="42"/>
        <v>25.107296137339052</v>
      </c>
      <c r="F81" s="148">
        <f t="shared" si="42"/>
        <v>25.382899628252787</v>
      </c>
      <c r="G81" s="148">
        <f t="shared" si="42"/>
        <v>25.123125139914933</v>
      </c>
      <c r="H81" s="148">
        <f t="shared" si="42"/>
        <v>23.808409392308288</v>
      </c>
      <c r="I81" s="148">
        <f t="shared" si="42"/>
        <v>22.235060587207062</v>
      </c>
      <c r="J81" s="148">
        <f t="shared" si="42"/>
        <v>24.191956316286888</v>
      </c>
      <c r="K81" s="148">
        <f t="shared" si="42"/>
        <v>19.224283305227654</v>
      </c>
      <c r="L81" s="243">
        <v>21.191685399494908</v>
      </c>
      <c r="M81" s="243">
        <v>21.451908347883837</v>
      </c>
      <c r="N81" s="243">
        <v>19.433315370617684</v>
      </c>
      <c r="O81" s="243">
        <v>19.867396325726126</v>
      </c>
      <c r="P81" s="243">
        <v>18.551553638082311</v>
      </c>
      <c r="Q81" s="243">
        <v>19.586677513751109</v>
      </c>
      <c r="R81" s="243">
        <v>23.835509841675233</v>
      </c>
      <c r="S81" s="243">
        <v>23.326816561633272</v>
      </c>
      <c r="T81" s="243">
        <v>20.430744326986666</v>
      </c>
      <c r="U81" s="243">
        <v>23.445290813171781</v>
      </c>
      <c r="V81" s="93">
        <f t="shared" ref="V81:AE81" si="45">V16/V13*100</f>
        <v>21.590744133674924</v>
      </c>
      <c r="W81" s="93">
        <f t="shared" si="45"/>
        <v>20.856976508615581</v>
      </c>
      <c r="X81" s="93">
        <f t="shared" si="45"/>
        <v>20.283296318886059</v>
      </c>
      <c r="Y81" s="93">
        <f t="shared" si="45"/>
        <v>19.771964784292535</v>
      </c>
      <c r="Z81" s="93">
        <f t="shared" si="45"/>
        <v>20.867073358800052</v>
      </c>
      <c r="AA81" s="93">
        <f t="shared" si="45"/>
        <v>22.690430844836065</v>
      </c>
      <c r="AB81" s="93">
        <f t="shared" si="45"/>
        <v>22.449080546082513</v>
      </c>
      <c r="AC81" s="93">
        <f t="shared" si="45"/>
        <v>22.934853704084471</v>
      </c>
      <c r="AD81" s="93">
        <f t="shared" si="45"/>
        <v>22.858913752552112</v>
      </c>
      <c r="AE81" s="93">
        <f t="shared" si="45"/>
        <v>22.786374641302412</v>
      </c>
      <c r="AG81" s="184">
        <f>$AU$44*AB81/100</f>
        <v>0</v>
      </c>
      <c r="AH81" s="184">
        <f>$AV$44*AC81/100</f>
        <v>0</v>
      </c>
      <c r="AI81" s="184">
        <f>$AW$44*AD81/100</f>
        <v>0</v>
      </c>
      <c r="AJ81" s="184">
        <f>$AX$44*AE81/100</f>
        <v>0</v>
      </c>
      <c r="AK81" s="184" t="e">
        <f>$AY$44*#REF!/100</f>
        <v>#REF!</v>
      </c>
      <c r="AL81" s="184" t="e">
        <f>$AZ$44*#REF!/100</f>
        <v>#REF!</v>
      </c>
      <c r="AM81" s="184"/>
      <c r="AN81" s="184"/>
      <c r="AO81" s="184"/>
    </row>
    <row r="82" spans="3:52">
      <c r="C82" s="141" t="s">
        <v>551</v>
      </c>
      <c r="D82" s="148">
        <f t="shared" si="42"/>
        <v>21.99074074074074</v>
      </c>
      <c r="E82" s="148">
        <f t="shared" si="42"/>
        <v>20.103394459617636</v>
      </c>
      <c r="F82" s="148">
        <f t="shared" si="42"/>
        <v>21.680297397769518</v>
      </c>
      <c r="G82" s="148">
        <f t="shared" si="42"/>
        <v>33.148645623460929</v>
      </c>
      <c r="H82" s="148">
        <f t="shared" si="42"/>
        <v>33.465948981979871</v>
      </c>
      <c r="I82" s="148">
        <f t="shared" si="42"/>
        <v>33.099280063994314</v>
      </c>
      <c r="J82" s="148">
        <f t="shared" si="42"/>
        <v>30.246770975532922</v>
      </c>
      <c r="K82" s="148">
        <f t="shared" si="42"/>
        <v>26.663639901413934</v>
      </c>
      <c r="L82" s="243">
        <v>22.827685732522966</v>
      </c>
      <c r="M82" s="243">
        <v>21.28480070270907</v>
      </c>
      <c r="N82" s="243">
        <v>18.348523542872318</v>
      </c>
      <c r="O82" s="243">
        <v>14.208020602138149</v>
      </c>
      <c r="P82" s="243">
        <v>14.336128750787728</v>
      </c>
      <c r="Q82" s="243">
        <v>14.743535259095561</v>
      </c>
      <c r="R82" s="243">
        <v>14.528567295509642</v>
      </c>
      <c r="S82" s="243">
        <v>13.681902270546498</v>
      </c>
      <c r="T82" s="243">
        <v>12.592411635229439</v>
      </c>
      <c r="U82" s="243">
        <v>12.083558081505746</v>
      </c>
      <c r="V82" s="93">
        <f t="shared" ref="V82:AE82" si="46">V17/V13*100</f>
        <v>15.156324175026581</v>
      </c>
      <c r="W82" s="93">
        <f t="shared" si="46"/>
        <v>16.91339525426946</v>
      </c>
      <c r="X82" s="93">
        <f t="shared" si="46"/>
        <v>19.927119562096589</v>
      </c>
      <c r="Y82" s="93">
        <f t="shared" si="46"/>
        <v>21.153488921912995</v>
      </c>
      <c r="Z82" s="93">
        <f t="shared" si="46"/>
        <v>21.329595069131766</v>
      </c>
      <c r="AA82" s="93">
        <f t="shared" si="46"/>
        <v>23.239274735195924</v>
      </c>
      <c r="AB82" s="93">
        <f t="shared" si="46"/>
        <v>23.881958480870388</v>
      </c>
      <c r="AC82" s="93">
        <f t="shared" si="46"/>
        <v>23.490946567869642</v>
      </c>
      <c r="AD82" s="93">
        <f t="shared" si="46"/>
        <v>22.399664412092307</v>
      </c>
      <c r="AE82" s="93">
        <f t="shared" si="46"/>
        <v>16.897410858514416</v>
      </c>
      <c r="AG82" s="184">
        <f>$AU$44*AB82/100</f>
        <v>0</v>
      </c>
      <c r="AH82" s="184">
        <f>$AV$44*AC82/100</f>
        <v>0</v>
      </c>
      <c r="AI82" s="184">
        <f>$AW$44*AD82/100</f>
        <v>0</v>
      </c>
      <c r="AJ82" s="184">
        <f>$AX$44*AE82/100</f>
        <v>0</v>
      </c>
      <c r="AK82" s="184" t="e">
        <f>$AY$44*#REF!/100</f>
        <v>#REF!</v>
      </c>
      <c r="AL82" s="184" t="e">
        <f>$AZ$44*#REF!/100</f>
        <v>#REF!</v>
      </c>
      <c r="AM82" s="184"/>
      <c r="AN82" s="184"/>
      <c r="AO82" s="184"/>
    </row>
    <row r="83" spans="3:52">
      <c r="C83" s="141" t="s">
        <v>552</v>
      </c>
      <c r="D83" s="148">
        <f t="shared" si="42"/>
        <v>2.7584876543209877</v>
      </c>
      <c r="E83" s="148">
        <f t="shared" si="42"/>
        <v>3.8529067499024579</v>
      </c>
      <c r="F83" s="148">
        <f t="shared" si="42"/>
        <v>5.4275092936802976</v>
      </c>
      <c r="G83" s="148">
        <f t="shared" si="42"/>
        <v>2.1267069621670025</v>
      </c>
      <c r="H83" s="148">
        <f t="shared" si="42"/>
        <v>2.7186207972540761</v>
      </c>
      <c r="I83" s="148">
        <f t="shared" si="42"/>
        <v>2.0413000325896959</v>
      </c>
      <c r="J83" s="148">
        <f t="shared" si="42"/>
        <v>2.8688438517273966</v>
      </c>
      <c r="K83" s="148">
        <f t="shared" si="42"/>
        <v>4.2531456738876638</v>
      </c>
      <c r="L83" s="243">
        <v>4.5388949018954854</v>
      </c>
      <c r="M83" s="243">
        <v>6.079076194658982</v>
      </c>
      <c r="N83" s="243">
        <v>8.0800980920472032</v>
      </c>
      <c r="O83" s="243">
        <v>10.34963771185244</v>
      </c>
      <c r="P83" s="243">
        <v>10.172087837510302</v>
      </c>
      <c r="Q83" s="243">
        <v>10.232686150944463</v>
      </c>
      <c r="R83" s="243">
        <v>7.9395166788045675</v>
      </c>
      <c r="S83" s="243">
        <v>8.360732348720104</v>
      </c>
      <c r="T83" s="243">
        <v>10.365895788299627</v>
      </c>
      <c r="U83" s="243">
        <v>10.217819350708011</v>
      </c>
      <c r="V83" s="93">
        <f t="shared" ref="V83:AE83" si="47">V18/V13*100</f>
        <v>15.064126456037382</v>
      </c>
      <c r="W83" s="93">
        <f t="shared" si="47"/>
        <v>15.299970980264755</v>
      </c>
      <c r="X83" s="93">
        <f t="shared" si="47"/>
        <v>11.919738400199892</v>
      </c>
      <c r="Y83" s="93">
        <f t="shared" si="47"/>
        <v>13.244871881473477</v>
      </c>
      <c r="Z83" s="93">
        <f t="shared" si="47"/>
        <v>11.73255399457463</v>
      </c>
      <c r="AA83" s="93">
        <f t="shared" si="47"/>
        <v>10.557264737375577</v>
      </c>
      <c r="AB83" s="93">
        <f t="shared" si="47"/>
        <v>11.295724121282632</v>
      </c>
      <c r="AC83" s="93">
        <f t="shared" si="47"/>
        <v>11.211634288557365</v>
      </c>
      <c r="AD83" s="93">
        <f t="shared" si="47"/>
        <v>11.239182448812675</v>
      </c>
      <c r="AE83" s="93">
        <f t="shared" si="47"/>
        <v>8.1170283085901005</v>
      </c>
      <c r="AG83" s="184">
        <f>$AU$44*AB83/100</f>
        <v>0</v>
      </c>
      <c r="AH83" s="184">
        <f>$AV$44*AC83/100</f>
        <v>0</v>
      </c>
      <c r="AI83" s="184">
        <f>$AW$44*AD83/100</f>
        <v>0</v>
      </c>
      <c r="AJ83" s="184">
        <f>$AX$44*AE83/100</f>
        <v>0</v>
      </c>
      <c r="AK83" s="184" t="e">
        <f>$AY$44*#REF!/100</f>
        <v>#REF!</v>
      </c>
      <c r="AL83" s="184" t="e">
        <f>$AZ$44*#REF!/100</f>
        <v>#REF!</v>
      </c>
    </row>
    <row r="84" spans="3:52">
      <c r="C84" s="141" t="s">
        <v>553</v>
      </c>
      <c r="D84" s="148">
        <f t="shared" si="42"/>
        <v>1.1574074074074041</v>
      </c>
      <c r="E84" s="148">
        <f t="shared" si="42"/>
        <v>0.99492781896216087</v>
      </c>
      <c r="F84" s="148">
        <f t="shared" si="42"/>
        <v>0.35687732342007095</v>
      </c>
      <c r="G84" s="148">
        <f t="shared" si="42"/>
        <v>0.33019923886277019</v>
      </c>
      <c r="H84" s="148">
        <f t="shared" si="42"/>
        <v>0.29253451907324785</v>
      </c>
      <c r="I84" s="148">
        <f t="shared" si="42"/>
        <v>0.39700174799276949</v>
      </c>
      <c r="J84" s="148">
        <f t="shared" si="42"/>
        <v>0.30452588470019293</v>
      </c>
      <c r="K84" s="148">
        <f t="shared" si="42"/>
        <v>0.39239849526527415</v>
      </c>
      <c r="L84" s="243">
        <v>0.29001193350540067</v>
      </c>
      <c r="M84" s="243">
        <v>0.22281019356635273</v>
      </c>
      <c r="N84" s="243">
        <v>0.22726740235701642</v>
      </c>
      <c r="O84" s="243">
        <v>0.19709830630996492</v>
      </c>
      <c r="P84" s="243">
        <v>0.14300256919869644</v>
      </c>
      <c r="Q84" s="243">
        <v>5.5854390033634051E-2</v>
      </c>
      <c r="R84" s="243">
        <v>0</v>
      </c>
      <c r="S84" s="243">
        <v>0</v>
      </c>
      <c r="T84" s="243">
        <v>0</v>
      </c>
      <c r="U84" s="243">
        <v>0</v>
      </c>
      <c r="V84">
        <f t="shared" ref="V84:AE84" si="48">V19/V13*100</f>
        <v>0</v>
      </c>
      <c r="W84">
        <f t="shared" si="48"/>
        <v>0</v>
      </c>
      <c r="X84">
        <f t="shared" si="48"/>
        <v>0</v>
      </c>
      <c r="Y84">
        <f t="shared" si="48"/>
        <v>0</v>
      </c>
      <c r="Z84">
        <f t="shared" si="48"/>
        <v>0</v>
      </c>
      <c r="AA84">
        <f t="shared" si="48"/>
        <v>0</v>
      </c>
      <c r="AB84">
        <f t="shared" si="48"/>
        <v>0</v>
      </c>
      <c r="AC84">
        <f t="shared" si="48"/>
        <v>0</v>
      </c>
      <c r="AD84">
        <f t="shared" si="48"/>
        <v>0</v>
      </c>
      <c r="AE84">
        <f t="shared" si="48"/>
        <v>0</v>
      </c>
      <c r="AH84" s="184"/>
      <c r="AI84" s="184"/>
      <c r="AJ84" s="184"/>
      <c r="AK84" s="184"/>
      <c r="AL84" s="184"/>
    </row>
    <row r="85" spans="3:52">
      <c r="C85" s="140" t="s">
        <v>554</v>
      </c>
      <c r="D85" s="148">
        <f t="shared" si="42"/>
        <v>20.949074074074073</v>
      </c>
      <c r="E85" s="148">
        <f t="shared" si="42"/>
        <v>22.610222395630121</v>
      </c>
      <c r="F85" s="148">
        <f t="shared" si="42"/>
        <v>20.074349442379184</v>
      </c>
      <c r="G85" s="148">
        <f t="shared" si="42"/>
        <v>10.851802104320573</v>
      </c>
      <c r="H85" s="148">
        <f t="shared" si="42"/>
        <v>10.722365239098213</v>
      </c>
      <c r="I85" s="148">
        <f t="shared" si="42"/>
        <v>11.693775368115427</v>
      </c>
      <c r="J85" s="148">
        <f t="shared" si="42"/>
        <v>11.42707130106059</v>
      </c>
      <c r="K85" s="148">
        <f t="shared" si="42"/>
        <v>16.498573096380852</v>
      </c>
      <c r="L85" s="243">
        <v>16.534843060527848</v>
      </c>
      <c r="M85" s="243">
        <v>17.072831082021999</v>
      </c>
      <c r="N85" s="243">
        <v>16.554594940762087</v>
      </c>
      <c r="O85" s="243">
        <v>20.202858772568884</v>
      </c>
      <c r="P85" s="243">
        <v>21.066459838092008</v>
      </c>
      <c r="Q85" s="243">
        <v>20.23669309631644</v>
      </c>
      <c r="R85" s="243">
        <v>13.13287508604607</v>
      </c>
      <c r="S85" s="243">
        <v>13.916671966728517</v>
      </c>
      <c r="T85" s="243">
        <v>14.369577448106366</v>
      </c>
      <c r="U85" s="243">
        <v>14.076032854893811</v>
      </c>
      <c r="V85" s="93">
        <f t="shared" ref="V85:AE85" si="49">V20/V13*100</f>
        <v>10.659429472668281</v>
      </c>
      <c r="W85" s="93">
        <f t="shared" si="49"/>
        <v>11.153434093261035</v>
      </c>
      <c r="X85" s="93">
        <f t="shared" si="49"/>
        <v>9.8604314782654576</v>
      </c>
      <c r="Y85" s="93">
        <f t="shared" si="49"/>
        <v>12.748102990182836</v>
      </c>
      <c r="Z85" s="93">
        <f t="shared" si="49"/>
        <v>13.528918035439355</v>
      </c>
      <c r="AA85" s="93">
        <f t="shared" si="49"/>
        <v>12.77169737834139</v>
      </c>
      <c r="AB85" s="93">
        <f t="shared" si="49"/>
        <v>13.219518324275818</v>
      </c>
      <c r="AC85" s="93">
        <f t="shared" si="49"/>
        <v>13.625459779305931</v>
      </c>
      <c r="AD85" s="93">
        <f t="shared" si="49"/>
        <v>13.208727996812817</v>
      </c>
      <c r="AE85" s="93">
        <f t="shared" si="49"/>
        <v>15.210146920969844</v>
      </c>
      <c r="AG85" s="184">
        <f>$AU$44*AB85/100</f>
        <v>0</v>
      </c>
      <c r="AH85" s="184">
        <f>$AV$44*AC85/100</f>
        <v>0</v>
      </c>
      <c r="AI85" s="184">
        <f>$AW$44*AD85/100</f>
        <v>0</v>
      </c>
      <c r="AJ85" s="184">
        <f>$AX$44*AE85/100</f>
        <v>0</v>
      </c>
      <c r="AK85" s="184" t="e">
        <f>$AY$44*#REF!/100</f>
        <v>#REF!</v>
      </c>
      <c r="AL85" s="184" t="e">
        <f>$AZ$44*#REF!/100</f>
        <v>#REF!</v>
      </c>
    </row>
    <row r="86" spans="3:52">
      <c r="C86" s="140" t="s">
        <v>555</v>
      </c>
      <c r="D86" s="148">
        <f t="shared" si="42"/>
        <v>2.9128086419753085</v>
      </c>
      <c r="E86" s="148">
        <f t="shared" si="42"/>
        <v>4.1650409676160756</v>
      </c>
      <c r="F86" s="148">
        <f t="shared" si="42"/>
        <v>7.3605947955390345</v>
      </c>
      <c r="G86" s="148">
        <f t="shared" si="42"/>
        <v>4.7571076785314537</v>
      </c>
      <c r="H86" s="148">
        <f t="shared" si="42"/>
        <v>4.9769872844995708</v>
      </c>
      <c r="I86" s="148">
        <f t="shared" si="42"/>
        <v>5.5017331792729527</v>
      </c>
      <c r="J86" s="148">
        <f t="shared" si="42"/>
        <v>5.4646644964822011</v>
      </c>
      <c r="K86" s="148">
        <f t="shared" si="42"/>
        <v>6.6318588662602149</v>
      </c>
      <c r="L86" s="243">
        <v>7.4001609635611798</v>
      </c>
      <c r="M86" s="243">
        <v>7.2102664081497112</v>
      </c>
      <c r="N86" s="243">
        <v>9.5428879360839733</v>
      </c>
      <c r="O86" s="243">
        <v>10.065002908470708</v>
      </c>
      <c r="P86" s="243">
        <v>10.979204033157206</v>
      </c>
      <c r="Q86" s="243">
        <v>11.162783167591501</v>
      </c>
      <c r="R86" s="243">
        <v>14.486666600157626</v>
      </c>
      <c r="S86" s="243">
        <v>15.306209921162733</v>
      </c>
      <c r="T86" s="243">
        <v>15.230523229990228</v>
      </c>
      <c r="U86" s="243">
        <v>14.304508557971873</v>
      </c>
      <c r="V86" s="93">
        <f t="shared" ref="V86:AE86" si="50">V21/V13*100</f>
        <v>9.5320671513258812</v>
      </c>
      <c r="W86" s="93">
        <f t="shared" si="50"/>
        <v>8.897925362701061</v>
      </c>
      <c r="X86" s="93">
        <f t="shared" si="50"/>
        <v>7.5580862987570292</v>
      </c>
      <c r="Y86" s="93">
        <f t="shared" si="50"/>
        <v>6.0197694316851313</v>
      </c>
      <c r="Z86" s="93">
        <f t="shared" si="50"/>
        <v>6.1044270115712598</v>
      </c>
      <c r="AA86" s="93">
        <f t="shared" si="50"/>
        <v>4.5484484559596847</v>
      </c>
      <c r="AB86" s="93">
        <f t="shared" si="50"/>
        <v>5.1531367887427608</v>
      </c>
      <c r="AC86" s="93">
        <f t="shared" si="50"/>
        <v>5.0968127891204809</v>
      </c>
      <c r="AD86" s="93">
        <f t="shared" si="50"/>
        <v>5.4521738279087728</v>
      </c>
      <c r="AE86" s="93">
        <f t="shared" si="50"/>
        <v>9.3356548993430355</v>
      </c>
      <c r="AG86" s="184">
        <f>$AU$44*AB86/100</f>
        <v>0</v>
      </c>
      <c r="AH86" s="184">
        <f>$AV$44*AC86/100</f>
        <v>0</v>
      </c>
      <c r="AI86" s="184">
        <f>$AW$44*AD86/100</f>
        <v>0</v>
      </c>
      <c r="AJ86" s="184">
        <f>$AX$44*AE86/100</f>
        <v>0</v>
      </c>
      <c r="AK86" s="184" t="e">
        <f>$AY$44*#REF!/100</f>
        <v>#REF!</v>
      </c>
      <c r="AL86" s="184" t="e">
        <f>$AZ$44*#REF!/100</f>
        <v>#REF!</v>
      </c>
    </row>
    <row r="87" spans="3:52">
      <c r="C87" s="139" t="s">
        <v>556</v>
      </c>
      <c r="D87" s="148">
        <f t="shared" si="42"/>
        <v>8.6226851851851762</v>
      </c>
      <c r="E87" s="148">
        <f t="shared" si="42"/>
        <v>15.577448302770195</v>
      </c>
      <c r="F87" s="148">
        <f t="shared" si="42"/>
        <v>12.431226765799259</v>
      </c>
      <c r="G87" s="148">
        <f t="shared" si="42"/>
        <v>15.289903738526966</v>
      </c>
      <c r="H87" s="148">
        <f t="shared" si="42"/>
        <v>15.040174740619388</v>
      </c>
      <c r="I87" s="148">
        <f t="shared" si="42"/>
        <v>15.174947412081883</v>
      </c>
      <c r="J87" s="148">
        <f t="shared" si="42"/>
        <v>14.829360495642138</v>
      </c>
      <c r="K87" s="148">
        <f t="shared" si="42"/>
        <v>15.322999091970424</v>
      </c>
      <c r="L87" s="243">
        <v>15.689784364332693</v>
      </c>
      <c r="M87" s="243">
        <v>15.331055241931171</v>
      </c>
      <c r="N87" s="243">
        <v>15.292518919425497</v>
      </c>
      <c r="O87" s="243">
        <v>12.504729794599839</v>
      </c>
      <c r="P87" s="243">
        <v>13.688496776382758</v>
      </c>
      <c r="Q87" s="243">
        <v>12.7226586689656</v>
      </c>
      <c r="R87" s="243">
        <v>13.681242122835549</v>
      </c>
      <c r="S87" s="243">
        <v>13.08626749366066</v>
      </c>
      <c r="T87" s="243">
        <v>14.27926327322259</v>
      </c>
      <c r="U87" s="243">
        <v>11.923932062464644</v>
      </c>
      <c r="V87" s="93">
        <f t="shared" ref="V87:AE87" si="51">V22/V13*100</f>
        <v>17.462836472632972</v>
      </c>
      <c r="W87" s="93">
        <f t="shared" si="51"/>
        <v>16.54781959580437</v>
      </c>
      <c r="X87" s="93">
        <f t="shared" si="51"/>
        <v>20.616348745931901</v>
      </c>
      <c r="Y87" s="93">
        <f t="shared" si="51"/>
        <v>17.183981806718908</v>
      </c>
      <c r="Z87" s="93">
        <f t="shared" si="51"/>
        <v>16.713352833656515</v>
      </c>
      <c r="AA87" s="93">
        <f t="shared" si="51"/>
        <v>17.209019239312852</v>
      </c>
      <c r="AB87" s="93">
        <f t="shared" si="51"/>
        <v>14.407333865604496</v>
      </c>
      <c r="AC87" s="93">
        <f t="shared" si="51"/>
        <v>14.597099212483828</v>
      </c>
      <c r="AD87" s="93">
        <f t="shared" si="51"/>
        <v>14.902332320896145</v>
      </c>
      <c r="AE87" s="93">
        <f t="shared" si="51"/>
        <v>18.249412329158254</v>
      </c>
      <c r="AG87" s="184">
        <f>$AU$44*AB87/100</f>
        <v>0</v>
      </c>
      <c r="AH87" s="184">
        <f>$AV$44*AC87/100</f>
        <v>0</v>
      </c>
      <c r="AI87" s="184">
        <f>$AW$44*AD87/100</f>
        <v>0</v>
      </c>
      <c r="AJ87" s="184">
        <f>$AX$44*AE87/100</f>
        <v>0</v>
      </c>
      <c r="AK87" s="184" t="e">
        <f>$AY$44*#REF!/100</f>
        <v>#REF!</v>
      </c>
      <c r="AL87" s="184" t="e">
        <f>$AZ$44*#REF!/100</f>
        <v>#REF!</v>
      </c>
    </row>
    <row r="88" spans="3:52">
      <c r="C88" s="146" t="s">
        <v>429</v>
      </c>
      <c r="D88" s="148">
        <f t="shared" si="42"/>
        <v>0</v>
      </c>
      <c r="E88" s="148">
        <f t="shared" si="42"/>
        <v>0</v>
      </c>
      <c r="F88" s="148">
        <f t="shared" si="42"/>
        <v>0</v>
      </c>
      <c r="G88" s="148">
        <f t="shared" si="42"/>
        <v>0</v>
      </c>
      <c r="H88" s="148">
        <f t="shared" si="42"/>
        <v>0</v>
      </c>
      <c r="I88" s="148">
        <f t="shared" si="42"/>
        <v>0</v>
      </c>
      <c r="J88" s="148">
        <f t="shared" si="42"/>
        <v>0</v>
      </c>
      <c r="K88" s="148">
        <f t="shared" si="42"/>
        <v>0</v>
      </c>
      <c r="L88" s="243"/>
      <c r="M88" s="243"/>
      <c r="N88" s="243"/>
      <c r="O88" s="243"/>
      <c r="P88" s="243"/>
      <c r="Q88" s="243"/>
      <c r="R88" s="243"/>
      <c r="S88" s="243"/>
      <c r="T88" s="243"/>
      <c r="U88" s="243"/>
      <c r="AH88" s="184"/>
      <c r="AI88" s="184"/>
      <c r="AJ88" s="184"/>
      <c r="AK88" s="184"/>
      <c r="AL88" s="184"/>
    </row>
    <row r="89" spans="3:52">
      <c r="C89" s="141" t="s">
        <v>557</v>
      </c>
      <c r="D89" s="148">
        <f t="shared" si="42"/>
        <v>57.908950617283949</v>
      </c>
      <c r="E89" s="148">
        <f t="shared" si="42"/>
        <v>50.058525165821308</v>
      </c>
      <c r="F89" s="148">
        <f t="shared" si="42"/>
        <v>52.847583643122675</v>
      </c>
      <c r="G89" s="148">
        <f t="shared" si="42"/>
        <v>60.728676964405636</v>
      </c>
      <c r="H89" s="148">
        <f t="shared" si="42"/>
        <v>60.285513690615488</v>
      </c>
      <c r="I89" s="148">
        <f t="shared" si="42"/>
        <v>57.772642431783837</v>
      </c>
      <c r="J89" s="148">
        <f t="shared" si="42"/>
        <v>57.612097028247398</v>
      </c>
      <c r="K89" s="148">
        <f t="shared" si="42"/>
        <v>50.53346737579453</v>
      </c>
      <c r="L89" s="243">
        <v>48.848277967418753</v>
      </c>
      <c r="M89" s="243">
        <v>49.038595438818241</v>
      </c>
      <c r="N89" s="243">
        <v>46.089204407894222</v>
      </c>
      <c r="O89" s="243">
        <v>44.622152946026681</v>
      </c>
      <c r="P89" s="243">
        <v>43.202772795579044</v>
      </c>
      <c r="Q89" s="243">
        <v>44.618753313824776</v>
      </c>
      <c r="R89" s="243">
        <v>46.303593815989444</v>
      </c>
      <c r="S89" s="243">
        <v>45.369451180899873</v>
      </c>
      <c r="T89" s="243">
        <v>43.389051750515733</v>
      </c>
      <c r="U89" s="243">
        <v>45.746668245385536</v>
      </c>
      <c r="V89" s="243">
        <f t="shared" ref="V89:AE89" si="52">V81+V82+V83+V84</f>
        <v>51.811194764738886</v>
      </c>
      <c r="W89" s="244">
        <f t="shared" si="52"/>
        <v>53.070342743149794</v>
      </c>
      <c r="X89" s="244">
        <f t="shared" si="52"/>
        <v>52.130154281182541</v>
      </c>
      <c r="Y89" s="244">
        <f t="shared" si="52"/>
        <v>54.17032558767901</v>
      </c>
      <c r="Z89" s="244">
        <f t="shared" si="52"/>
        <v>53.929222422506449</v>
      </c>
      <c r="AA89" s="244">
        <f t="shared" si="52"/>
        <v>56.486970317407568</v>
      </c>
      <c r="AB89" s="244">
        <f t="shared" si="52"/>
        <v>57.626763148235533</v>
      </c>
      <c r="AC89" s="244">
        <f t="shared" si="52"/>
        <v>57.63743456051148</v>
      </c>
      <c r="AD89" s="244">
        <f t="shared" si="52"/>
        <v>56.497760613457096</v>
      </c>
      <c r="AE89" s="243">
        <f t="shared" si="52"/>
        <v>47.800813808406929</v>
      </c>
      <c r="AG89" s="184">
        <f>$AU$44*AB89/100</f>
        <v>0</v>
      </c>
      <c r="AH89" s="184">
        <f>$AV$44*AC89/100</f>
        <v>0</v>
      </c>
      <c r="AI89" s="184">
        <f>$AW$44*AD89/100</f>
        <v>0</v>
      </c>
      <c r="AJ89" s="184">
        <f>$AX$44*AE89/100</f>
        <v>0</v>
      </c>
      <c r="AK89" s="184" t="e">
        <f>$AY$44*#REF!/100</f>
        <v>#REF!</v>
      </c>
      <c r="AL89" s="184" t="e">
        <f>$AZ$44*#REF!/100</f>
        <v>#REF!</v>
      </c>
    </row>
    <row r="90" spans="3:52">
      <c r="C90" s="141" t="s">
        <v>558</v>
      </c>
      <c r="D90" s="148">
        <f t="shared" si="42"/>
        <v>32.484567901234563</v>
      </c>
      <c r="E90" s="148">
        <f t="shared" si="42"/>
        <v>42.35271166601639</v>
      </c>
      <c r="F90" s="148">
        <f t="shared" si="42"/>
        <v>39.866171003717476</v>
      </c>
      <c r="G90" s="148">
        <f t="shared" si="42"/>
        <v>30.893216924110138</v>
      </c>
      <c r="H90" s="148">
        <f t="shared" si="42"/>
        <v>30.731726343708548</v>
      </c>
      <c r="I90" s="148">
        <f t="shared" si="42"/>
        <v>32.367493259858385</v>
      </c>
      <c r="J90" s="148">
        <f t="shared" si="42"/>
        <v>31.710595400609066</v>
      </c>
      <c r="K90" s="148">
        <f t="shared" si="42"/>
        <v>38.445323647684525</v>
      </c>
      <c r="L90" s="243">
        <v>39.62478838842172</v>
      </c>
      <c r="M90" s="243">
        <v>39.61415273210288</v>
      </c>
      <c r="N90" s="243">
        <v>41.390001796271555</v>
      </c>
      <c r="O90" s="243">
        <v>42.77259147563943</v>
      </c>
      <c r="P90" s="243">
        <v>45.734160647631974</v>
      </c>
      <c r="Q90" s="243">
        <v>44.122134932873543</v>
      </c>
      <c r="R90" s="243">
        <v>41.300783809039245</v>
      </c>
      <c r="S90" s="243">
        <v>42.309149381551904</v>
      </c>
      <c r="T90" s="243">
        <v>43.879363951319185</v>
      </c>
      <c r="U90" s="243">
        <v>40.304473475330326</v>
      </c>
      <c r="V90" s="243">
        <f t="shared" ref="V90:AE90" si="53">V85+V86+V87</f>
        <v>37.654333096627134</v>
      </c>
      <c r="W90" s="244">
        <f t="shared" si="53"/>
        <v>36.59917905176647</v>
      </c>
      <c r="X90" s="244">
        <f t="shared" si="53"/>
        <v>38.034866522954388</v>
      </c>
      <c r="Y90" s="244">
        <f t="shared" si="53"/>
        <v>35.951854228586875</v>
      </c>
      <c r="Z90" s="244">
        <f t="shared" si="53"/>
        <v>36.346697880667129</v>
      </c>
      <c r="AA90" s="244">
        <f t="shared" si="53"/>
        <v>34.529165073613925</v>
      </c>
      <c r="AB90" s="244">
        <f t="shared" si="53"/>
        <v>32.779988978623074</v>
      </c>
      <c r="AC90" s="244">
        <f t="shared" si="53"/>
        <v>33.319371780910238</v>
      </c>
      <c r="AD90" s="244">
        <f t="shared" si="53"/>
        <v>33.563234145617734</v>
      </c>
      <c r="AE90" s="243">
        <f t="shared" si="53"/>
        <v>42.795214149471136</v>
      </c>
      <c r="AG90" s="184">
        <f>$AU$44*AB90/100</f>
        <v>0</v>
      </c>
      <c r="AH90" s="184">
        <f>$AV$44*AC90/100</f>
        <v>0</v>
      </c>
      <c r="AI90" s="184">
        <f>$AW$44*AD90/100</f>
        <v>0</v>
      </c>
      <c r="AJ90" s="184">
        <f>$AX$44*AE90/100</f>
        <v>0</v>
      </c>
      <c r="AK90" s="184" t="e">
        <f>$AY$44*#REF!/100</f>
        <v>#REF!</v>
      </c>
      <c r="AL90" s="184" t="e">
        <f>$AZ$44*#REF!/100</f>
        <v>#REF!</v>
      </c>
    </row>
    <row r="91" spans="3:52">
      <c r="C91" s="142"/>
      <c r="D91" s="142"/>
      <c r="E91" s="142"/>
      <c r="F91" s="142"/>
      <c r="G91" s="142"/>
      <c r="H91" s="142"/>
      <c r="I91" s="142"/>
      <c r="J91" s="142"/>
      <c r="K91" s="142"/>
      <c r="L91" s="142"/>
      <c r="M91" s="142"/>
      <c r="N91" s="142"/>
      <c r="O91" s="142"/>
      <c r="P91" s="142"/>
      <c r="Q91" s="142"/>
      <c r="R91" s="142"/>
      <c r="S91" s="142"/>
      <c r="T91" s="142"/>
      <c r="U91" s="142"/>
      <c r="V91" s="142"/>
      <c r="W91" s="142"/>
      <c r="X91" s="142"/>
      <c r="Y91" s="142"/>
      <c r="Z91" s="142"/>
      <c r="AA91" s="142"/>
      <c r="AB91" s="142"/>
      <c r="AC91" s="142"/>
      <c r="AD91" s="142"/>
      <c r="AE91" s="142"/>
      <c r="AF91" s="142"/>
      <c r="AG91" s="185"/>
      <c r="AH91" s="142"/>
      <c r="AI91" s="142"/>
      <c r="AJ91" s="142"/>
      <c r="AK91" s="142"/>
      <c r="AL91" s="142"/>
      <c r="AM91" s="142"/>
      <c r="AN91" s="142"/>
      <c r="AO91" s="142"/>
      <c r="AP91" s="142"/>
      <c r="AQ91" s="142"/>
      <c r="AR91" s="142"/>
      <c r="AS91" s="142"/>
      <c r="AT91" s="142"/>
      <c r="AU91" s="142"/>
      <c r="AV91" s="142"/>
      <c r="AW91" s="142"/>
      <c r="AX91" s="142"/>
      <c r="AY91" s="142"/>
      <c r="AZ91" s="142"/>
    </row>
    <row r="92" spans="3:52">
      <c r="C92" s="151"/>
      <c r="D92" s="151"/>
      <c r="E92" s="151"/>
      <c r="F92" s="151"/>
      <c r="G92" s="151"/>
      <c r="H92" s="151"/>
      <c r="I92" s="151"/>
      <c r="J92" s="151"/>
      <c r="K92" s="151"/>
      <c r="L92" s="151"/>
      <c r="M92" s="151"/>
      <c r="N92" s="151"/>
      <c r="O92" s="151"/>
      <c r="P92" s="151"/>
      <c r="Q92" s="151"/>
      <c r="R92" s="151"/>
      <c r="S92" s="151"/>
      <c r="T92" s="151"/>
      <c r="U92" s="151"/>
    </row>
    <row r="93" spans="3:52" ht="18">
      <c r="C93" s="140" t="s">
        <v>564</v>
      </c>
      <c r="D93" s="140">
        <v>518.4</v>
      </c>
      <c r="E93" s="140">
        <v>1025.2</v>
      </c>
      <c r="F93" s="140">
        <v>1345</v>
      </c>
      <c r="G93" s="140">
        <v>1786.8</v>
      </c>
      <c r="H93" s="140">
        <v>2563.8000000000002</v>
      </c>
      <c r="I93" s="140">
        <v>3375.3</v>
      </c>
      <c r="J93" s="716">
        <v>4761.5</v>
      </c>
      <c r="K93" s="716">
        <v>6167.2</v>
      </c>
      <c r="L93" s="716">
        <v>7206.5999999999995</v>
      </c>
      <c r="M93" s="716">
        <v>9335.3000000000011</v>
      </c>
      <c r="N93" s="716">
        <v>12804.3</v>
      </c>
      <c r="O93" s="248">
        <v>17706.900000000001</v>
      </c>
      <c r="P93" s="248">
        <v>20629</v>
      </c>
      <c r="Q93" s="248">
        <v>24707.100000000002</v>
      </c>
      <c r="R93" s="248">
        <v>30071.1</v>
      </c>
      <c r="S93" s="248">
        <v>36163.1</v>
      </c>
      <c r="T93" s="248">
        <v>40525.199999999997</v>
      </c>
      <c r="U93" s="248">
        <v>45606.6</v>
      </c>
      <c r="V93" s="93">
        <f>V13</f>
        <v>50977.399999999994</v>
      </c>
      <c r="W93" s="93">
        <f t="shared" ref="W93:AD93" si="54">W13</f>
        <v>54790.299999999996</v>
      </c>
      <c r="X93" s="93">
        <f t="shared" si="54"/>
        <v>64434.3</v>
      </c>
      <c r="Y93" s="93">
        <f t="shared" si="54"/>
        <v>71059.199999999997</v>
      </c>
      <c r="Z93" s="93">
        <f t="shared" si="54"/>
        <v>79109.799999999988</v>
      </c>
      <c r="AA93" s="93">
        <f t="shared" si="54"/>
        <v>83958.3</v>
      </c>
      <c r="AB93" s="93">
        <f t="shared" si="54"/>
        <v>101076.30000000002</v>
      </c>
      <c r="AC93" s="93">
        <f t="shared" si="54"/>
        <v>118181.70000000001</v>
      </c>
      <c r="AD93" s="93">
        <f t="shared" si="54"/>
        <v>132781.90000000002</v>
      </c>
      <c r="AE93" s="93">
        <f>AE13</f>
        <v>153402.19999999998</v>
      </c>
      <c r="AG93" t="s">
        <v>626</v>
      </c>
    </row>
    <row r="94" spans="3:52" ht="18">
      <c r="C94" s="140" t="s">
        <v>565</v>
      </c>
      <c r="D94" s="140">
        <v>366.3</v>
      </c>
      <c r="E94" s="140">
        <v>786.3</v>
      </c>
      <c r="F94" s="140">
        <v>1084.3</v>
      </c>
      <c r="G94" s="140">
        <v>1775.5</v>
      </c>
      <c r="H94" s="140">
        <v>2516.3000000000002</v>
      </c>
      <c r="I94" s="140">
        <v>3158.4</v>
      </c>
      <c r="J94" s="717">
        <v>4319.3999999999996</v>
      </c>
      <c r="K94" s="717">
        <v>5292.8</v>
      </c>
      <c r="L94" s="717">
        <v>6899.3</v>
      </c>
      <c r="M94" s="717">
        <v>8773.7999999999993</v>
      </c>
      <c r="N94" s="717">
        <v>11923.9</v>
      </c>
      <c r="O94" s="245">
        <v>17156.5</v>
      </c>
      <c r="P94" s="245">
        <v>20380.2</v>
      </c>
      <c r="Q94" s="245">
        <v>23726.2</v>
      </c>
      <c r="R94" s="245">
        <v>33314.9</v>
      </c>
      <c r="S94" s="245">
        <v>41047.699999999997</v>
      </c>
      <c r="T94" s="245">
        <v>46141.599999999999</v>
      </c>
      <c r="U94" s="245">
        <v>51376.3</v>
      </c>
      <c r="V94">
        <f>V98+V95+V99</f>
        <v>42206.3</v>
      </c>
      <c r="W94">
        <f t="shared" ref="W94:AE94" si="55">W98+W95+W99</f>
        <v>50109.599999999999</v>
      </c>
      <c r="X94">
        <f t="shared" si="55"/>
        <v>59167.4</v>
      </c>
      <c r="Y94">
        <f t="shared" si="55"/>
        <v>62273.399999999994</v>
      </c>
      <c r="Z94">
        <f t="shared" si="55"/>
        <v>69139</v>
      </c>
      <c r="AA94">
        <f t="shared" si="55"/>
        <v>74861.600000000006</v>
      </c>
      <c r="AB94">
        <f t="shared" si="55"/>
        <v>92235.3</v>
      </c>
      <c r="AC94">
        <f t="shared" si="55"/>
        <v>115547</v>
      </c>
      <c r="AD94" s="92">
        <f>AD98+AD95+AD99</f>
        <v>133104.30000000002</v>
      </c>
      <c r="AE94">
        <f t="shared" si="55"/>
        <v>110815.29103372099</v>
      </c>
      <c r="AG94" t="s">
        <v>679</v>
      </c>
    </row>
    <row r="95" spans="3:52" ht="18.75">
      <c r="C95" s="140" t="s">
        <v>566</v>
      </c>
      <c r="D95" s="140">
        <v>301.2</v>
      </c>
      <c r="E95" s="140">
        <v>691.3</v>
      </c>
      <c r="F95" s="140">
        <v>944.8</v>
      </c>
      <c r="G95" s="140">
        <v>1556.5</v>
      </c>
      <c r="H95" s="140">
        <v>2149.5</v>
      </c>
      <c r="I95" s="140">
        <v>2711.8</v>
      </c>
      <c r="J95" s="717">
        <v>3692.9</v>
      </c>
      <c r="K95" s="717">
        <v>4507.2</v>
      </c>
      <c r="L95" s="717">
        <v>5753.4</v>
      </c>
      <c r="M95" s="717">
        <v>7630.5</v>
      </c>
      <c r="N95" s="717">
        <v>10486.7</v>
      </c>
      <c r="O95" s="245">
        <v>15145</v>
      </c>
      <c r="P95" s="245">
        <v>17605.3</v>
      </c>
      <c r="Q95" s="245">
        <v>20717.099999999999</v>
      </c>
      <c r="R95" s="245">
        <v>28935.7</v>
      </c>
      <c r="S95" s="245">
        <v>27407.100000000002</v>
      </c>
      <c r="T95" s="245">
        <v>41354.9</v>
      </c>
      <c r="U95" s="245">
        <v>44082</v>
      </c>
      <c r="V95" s="245">
        <v>36003</v>
      </c>
      <c r="W95" s="245">
        <v>43219.8</v>
      </c>
      <c r="X95" s="245">
        <v>51499.4</v>
      </c>
      <c r="Y95" s="245">
        <v>53938.7</v>
      </c>
      <c r="Z95" s="245">
        <v>59925</v>
      </c>
      <c r="AA95" s="245">
        <v>64584</v>
      </c>
      <c r="AB95" s="245">
        <v>80377.100000000006</v>
      </c>
      <c r="AC95" s="245">
        <v>102715.8</v>
      </c>
      <c r="AD95" s="632">
        <v>118160.2</v>
      </c>
      <c r="AE95">
        <f>AD95*Household!AE43/Household!AD43</f>
        <v>94514.530816654515</v>
      </c>
      <c r="AG95" t="s">
        <v>680</v>
      </c>
    </row>
    <row r="96" spans="3:52" ht="18.75">
      <c r="C96" s="152" t="s">
        <v>567</v>
      </c>
      <c r="D96" s="152"/>
      <c r="E96" s="152"/>
      <c r="F96" s="152"/>
      <c r="G96" s="152"/>
      <c r="H96" s="152"/>
      <c r="I96" s="152"/>
      <c r="J96" s="718">
        <v>2191.3000000000002</v>
      </c>
      <c r="K96" s="718">
        <v>3010.9</v>
      </c>
      <c r="L96" s="718">
        <v>3679.6000000000004</v>
      </c>
      <c r="M96" s="718">
        <v>4597.8999999999996</v>
      </c>
      <c r="N96" s="718">
        <v>5864</v>
      </c>
      <c r="O96" s="723">
        <v>8712.6</v>
      </c>
      <c r="P96" s="723">
        <v>10201</v>
      </c>
      <c r="Q96" s="723">
        <v>6079.2</v>
      </c>
      <c r="R96" s="723">
        <v>7506.7</v>
      </c>
      <c r="S96" s="723">
        <v>9204.7999999999993</v>
      </c>
      <c r="T96" s="723">
        <v>23152.6</v>
      </c>
      <c r="U96" s="723">
        <v>25879.7</v>
      </c>
      <c r="V96">
        <f>Household!V3+Household!V15</f>
        <v>26479.599999999999</v>
      </c>
      <c r="W96">
        <f>Household!W3+Household!W15</f>
        <v>28302.400000000001</v>
      </c>
      <c r="X96">
        <f>Household!X3+Household!X15</f>
        <v>30958.399999999998</v>
      </c>
      <c r="Y96">
        <f>Household!Y3+Household!Y15</f>
        <v>33119.800000000003</v>
      </c>
      <c r="Z96">
        <f>Household!Z3+Household!Z15</f>
        <v>38440.400000000001</v>
      </c>
      <c r="AA96">
        <f>Household!AA3+Household!AA15</f>
        <v>40710.1</v>
      </c>
      <c r="AB96">
        <f>Household!AB3+Household!AB15</f>
        <v>48909.7</v>
      </c>
      <c r="AC96">
        <f>Household!AC3+Household!AC15</f>
        <v>66260.2</v>
      </c>
      <c r="AD96">
        <f>Household!AD3+Household!AD15</f>
        <v>77884.7</v>
      </c>
      <c r="AE96">
        <f>Household!AE3+Household!AE15</f>
        <v>91506.700000000012</v>
      </c>
      <c r="AG96" t="s">
        <v>681</v>
      </c>
    </row>
    <row r="97" spans="3:33" ht="18.75">
      <c r="C97" s="152" t="s">
        <v>568</v>
      </c>
      <c r="D97" s="152"/>
      <c r="E97" s="152"/>
      <c r="F97" s="152"/>
      <c r="G97" s="152"/>
      <c r="H97" s="152"/>
      <c r="I97" s="152"/>
      <c r="J97" s="718">
        <v>1981.5317179999993</v>
      </c>
      <c r="K97" s="718">
        <v>2345.7018778400002</v>
      </c>
      <c r="L97" s="718">
        <v>2969.2369009799977</v>
      </c>
      <c r="M97" s="718">
        <v>4786.8438406400019</v>
      </c>
      <c r="N97" s="718">
        <v>9536.316076000001</v>
      </c>
      <c r="O97" s="723">
        <v>6432.4</v>
      </c>
      <c r="P97" s="723">
        <v>7404.2999999999993</v>
      </c>
      <c r="Q97" s="723">
        <v>14637.899999999998</v>
      </c>
      <c r="R97" s="723">
        <v>21429</v>
      </c>
      <c r="S97" s="723">
        <v>18202.300000000003</v>
      </c>
      <c r="T97" s="723">
        <v>18202.300000000003</v>
      </c>
      <c r="U97" s="723">
        <v>18202.3</v>
      </c>
      <c r="V97" s="92">
        <f>V95-V96</f>
        <v>9523.4000000000015</v>
      </c>
      <c r="W97" s="92">
        <f t="shared" ref="W97:AE97" si="56">W95-W96</f>
        <v>14917.400000000001</v>
      </c>
      <c r="X97" s="92">
        <f t="shared" si="56"/>
        <v>20541.000000000004</v>
      </c>
      <c r="Y97" s="92">
        <f t="shared" si="56"/>
        <v>20818.899999999994</v>
      </c>
      <c r="Z97" s="92">
        <f t="shared" si="56"/>
        <v>21484.6</v>
      </c>
      <c r="AA97" s="92">
        <f t="shared" si="56"/>
        <v>23873.9</v>
      </c>
      <c r="AB97" s="92">
        <f t="shared" si="56"/>
        <v>31467.400000000009</v>
      </c>
      <c r="AC97" s="92">
        <f t="shared" si="56"/>
        <v>36455.600000000006</v>
      </c>
      <c r="AD97" s="92">
        <f t="shared" si="56"/>
        <v>40275.5</v>
      </c>
      <c r="AE97" s="92">
        <f t="shared" si="56"/>
        <v>3007.830816654503</v>
      </c>
      <c r="AG97" t="s">
        <v>682</v>
      </c>
    </row>
    <row r="98" spans="3:33" ht="18.75">
      <c r="C98" s="140" t="s">
        <v>569</v>
      </c>
      <c r="D98" s="140">
        <v>55.2</v>
      </c>
      <c r="E98" s="140">
        <v>80</v>
      </c>
      <c r="F98" s="140">
        <v>116.5</v>
      </c>
      <c r="G98" s="140">
        <v>207.7</v>
      </c>
      <c r="H98" s="140">
        <v>355.4</v>
      </c>
      <c r="I98" s="140">
        <v>431.1</v>
      </c>
      <c r="J98" s="717">
        <v>580.1</v>
      </c>
      <c r="K98" s="717">
        <v>726.8</v>
      </c>
      <c r="L98" s="717">
        <v>1052.3</v>
      </c>
      <c r="M98" s="717">
        <v>1036.5999999999999</v>
      </c>
      <c r="N98" s="717">
        <v>1140.0999999999999</v>
      </c>
      <c r="O98" s="245">
        <v>1652.7</v>
      </c>
      <c r="P98" s="245">
        <v>2570.8000000000002</v>
      </c>
      <c r="Q98" s="246">
        <v>2798.5</v>
      </c>
      <c r="R98" s="246">
        <v>4105.7</v>
      </c>
      <c r="S98" s="246">
        <v>4644</v>
      </c>
      <c r="T98" s="246">
        <v>5352.2</v>
      </c>
      <c r="U98" s="246">
        <v>6317.1</v>
      </c>
      <c r="V98" s="246">
        <v>5892.5</v>
      </c>
      <c r="W98" s="246">
        <v>6441.6</v>
      </c>
      <c r="X98" s="246">
        <v>7336.8</v>
      </c>
      <c r="Y98" s="246">
        <v>7973.6</v>
      </c>
      <c r="Z98" s="246">
        <v>8824.2999999999993</v>
      </c>
      <c r="AA98" s="246">
        <v>9712.2999999999993</v>
      </c>
      <c r="AB98" s="246">
        <v>11001.4</v>
      </c>
      <c r="AC98" s="246">
        <v>11977.8</v>
      </c>
      <c r="AD98" s="633">
        <v>14157.5</v>
      </c>
      <c r="AE98">
        <f>(AD98-AD100)*AE93/AD93+AE100</f>
        <v>16300.76021706648</v>
      </c>
      <c r="AG98" t="s">
        <v>683</v>
      </c>
    </row>
    <row r="99" spans="3:33">
      <c r="C99" s="140" t="s">
        <v>570</v>
      </c>
      <c r="J99" s="717"/>
      <c r="K99" s="717"/>
      <c r="L99" s="717"/>
      <c r="M99" s="717"/>
      <c r="N99" s="717"/>
      <c r="O99" s="245"/>
      <c r="P99" s="245"/>
      <c r="Q99" s="246"/>
      <c r="R99" s="246"/>
      <c r="S99" s="246"/>
      <c r="T99" s="246"/>
      <c r="U99" s="246"/>
      <c r="V99" s="246">
        <v>310.8</v>
      </c>
      <c r="W99" s="246">
        <v>448.2</v>
      </c>
      <c r="X99" s="246">
        <v>331.2</v>
      </c>
      <c r="Y99" s="246">
        <v>361.1</v>
      </c>
      <c r="Z99" s="246">
        <v>389.7</v>
      </c>
      <c r="AA99" s="246">
        <v>565.29999999999995</v>
      </c>
      <c r="AB99" s="246">
        <v>856.8</v>
      </c>
      <c r="AC99" s="246">
        <v>853.4</v>
      </c>
      <c r="AD99" s="633">
        <v>786.6</v>
      </c>
      <c r="AG99"/>
    </row>
    <row r="100" spans="3:33" ht="25.5">
      <c r="C100" s="153" t="s">
        <v>571</v>
      </c>
      <c r="D100" s="153">
        <v>33.200000000000003</v>
      </c>
      <c r="E100" s="153">
        <v>52.2</v>
      </c>
      <c r="F100" s="153">
        <v>76.8</v>
      </c>
      <c r="G100" s="153">
        <v>188.7</v>
      </c>
      <c r="H100" s="153">
        <v>402.3</v>
      </c>
      <c r="I100" s="153">
        <v>439</v>
      </c>
      <c r="J100" s="670">
        <v>523</v>
      </c>
      <c r="K100" s="670">
        <v>631</v>
      </c>
      <c r="L100" s="670">
        <v>768.1</v>
      </c>
      <c r="M100" s="670">
        <v>662.5</v>
      </c>
      <c r="N100" s="670">
        <v>904</v>
      </c>
      <c r="O100" s="670">
        <v>1088.8</v>
      </c>
      <c r="P100" s="670">
        <v>2242</v>
      </c>
      <c r="Q100" s="670">
        <v>2267.4</v>
      </c>
      <c r="R100" s="724">
        <v>2898.8</v>
      </c>
      <c r="S100" s="724">
        <v>3838.8</v>
      </c>
      <c r="T100" s="724">
        <v>4525.3</v>
      </c>
      <c r="U100" s="724">
        <v>5399.5</v>
      </c>
      <c r="V100">
        <f>Household!V40</f>
        <v>4055.1</v>
      </c>
      <c r="W100">
        <f>Household!W40</f>
        <v>4817.8999999999996</v>
      </c>
      <c r="X100">
        <f>Household!X40</f>
        <v>5466.7</v>
      </c>
      <c r="Y100">
        <f>Household!Y40</f>
        <v>5744</v>
      </c>
      <c r="Z100">
        <f>Household!Z40</f>
        <v>6433.2</v>
      </c>
      <c r="AA100">
        <f>Household!AA40</f>
        <v>7283.3</v>
      </c>
      <c r="AB100">
        <f>Household!AB40</f>
        <v>8932.6</v>
      </c>
      <c r="AC100">
        <f>Household!AC40</f>
        <v>10146.4</v>
      </c>
      <c r="AD100">
        <f>Household!AD40</f>
        <v>10448.9</v>
      </c>
      <c r="AE100">
        <f>Household!AE40</f>
        <v>12016.234999999999</v>
      </c>
      <c r="AG100" t="s">
        <v>684</v>
      </c>
    </row>
    <row r="101" spans="3:33" ht="18.75">
      <c r="C101" s="140" t="s">
        <v>572</v>
      </c>
      <c r="D101" s="140">
        <v>102</v>
      </c>
      <c r="E101" s="140">
        <v>158.1</v>
      </c>
      <c r="F101" s="140">
        <v>233.1</v>
      </c>
      <c r="G101" s="140">
        <v>168.2</v>
      </c>
      <c r="H101" s="140">
        <v>249.2</v>
      </c>
      <c r="I101" s="140">
        <v>316.60000000000002</v>
      </c>
      <c r="J101" s="715">
        <v>475.6</v>
      </c>
      <c r="K101" s="715">
        <v>752.6</v>
      </c>
      <c r="L101" s="715">
        <v>839.4</v>
      </c>
      <c r="M101" s="715">
        <v>1490.5</v>
      </c>
      <c r="N101" s="715">
        <v>3154.1</v>
      </c>
      <c r="O101" s="720">
        <v>4693.8999999999996</v>
      </c>
      <c r="P101" s="720">
        <v>5125.1000000000004</v>
      </c>
      <c r="Q101" s="247">
        <v>5891.6</v>
      </c>
      <c r="R101" s="247">
        <v>8783.6</v>
      </c>
      <c r="S101" s="247">
        <v>8414.2000000000007</v>
      </c>
      <c r="T101" s="247">
        <v>10024.700000000001</v>
      </c>
      <c r="U101" s="247">
        <v>11930.5</v>
      </c>
      <c r="V101" s="247">
        <v>22781.7</v>
      </c>
      <c r="W101" s="247">
        <v>22202.3</v>
      </c>
      <c r="X101" s="247">
        <v>19284.900000000001</v>
      </c>
      <c r="Y101" s="247">
        <v>26479.1</v>
      </c>
      <c r="Z101" s="247">
        <v>27995.9</v>
      </c>
      <c r="AA101" s="247">
        <v>28105</v>
      </c>
      <c r="AB101" s="247">
        <v>35249.199999999997</v>
      </c>
      <c r="AC101" s="247">
        <v>41916.1</v>
      </c>
      <c r="AD101" s="634">
        <v>42027.3</v>
      </c>
      <c r="AE101" s="93">
        <f t="shared" ref="AE101" si="57">AE93-AE104-AE105-AE94</f>
        <v>95859.927745982262</v>
      </c>
      <c r="AG101" t="s">
        <v>685</v>
      </c>
    </row>
    <row r="102" spans="3:33" ht="18.75">
      <c r="C102" s="140" t="s">
        <v>573</v>
      </c>
      <c r="D102" s="140">
        <v>91.6</v>
      </c>
      <c r="E102" s="140">
        <v>137.6</v>
      </c>
      <c r="F102" s="140">
        <v>223.6</v>
      </c>
      <c r="G102" s="140">
        <v>132.6</v>
      </c>
      <c r="H102" s="140">
        <v>230.3</v>
      </c>
      <c r="I102" s="140">
        <v>212.5</v>
      </c>
      <c r="J102" s="250">
        <v>382.6</v>
      </c>
      <c r="K102" s="250">
        <v>640</v>
      </c>
      <c r="L102" s="250">
        <v>801.3</v>
      </c>
      <c r="M102" s="250">
        <v>1445.3</v>
      </c>
      <c r="N102" s="250">
        <v>2973.9</v>
      </c>
      <c r="O102" s="247">
        <v>4341.3999999999996</v>
      </c>
      <c r="P102" s="247">
        <v>5423.9</v>
      </c>
      <c r="Q102" s="247">
        <v>6050.6</v>
      </c>
      <c r="R102" s="247">
        <v>8598.2000000000007</v>
      </c>
      <c r="S102" s="247">
        <v>7855.8</v>
      </c>
      <c r="T102" s="247">
        <v>9736.2999999999993</v>
      </c>
      <c r="U102" s="247">
        <v>11781.5</v>
      </c>
      <c r="V102" s="247">
        <v>19736.900000000001</v>
      </c>
      <c r="W102" s="248">
        <v>21954</v>
      </c>
      <c r="X102" s="248">
        <v>20133</v>
      </c>
      <c r="Y102" s="248">
        <v>25146.799999999999</v>
      </c>
      <c r="Z102" s="248">
        <v>24926.6</v>
      </c>
      <c r="AA102" s="248">
        <v>23150.400000000001</v>
      </c>
      <c r="AB102" s="248">
        <v>32314.3</v>
      </c>
      <c r="AC102" s="248">
        <v>37469.9</v>
      </c>
      <c r="AD102" s="635">
        <v>37577.800000000003</v>
      </c>
      <c r="AE102">
        <f t="shared" ref="AE102" si="58">AE101*0.94</f>
        <v>90108.332081223329</v>
      </c>
      <c r="AG102" s="46" t="s">
        <v>686</v>
      </c>
    </row>
    <row r="103" spans="3:33" ht="18.75">
      <c r="C103" s="140" t="s">
        <v>574</v>
      </c>
      <c r="D103" s="140">
        <v>10.4</v>
      </c>
      <c r="E103" s="140">
        <v>20.5</v>
      </c>
      <c r="F103" s="140">
        <v>9.5</v>
      </c>
      <c r="G103" s="140">
        <v>35.6</v>
      </c>
      <c r="H103" s="140">
        <v>18.899999999999999</v>
      </c>
      <c r="I103" s="140">
        <v>104.1</v>
      </c>
      <c r="J103" s="250">
        <v>93</v>
      </c>
      <c r="K103" s="250">
        <v>112.60000000000002</v>
      </c>
      <c r="L103" s="250">
        <v>38.100000000000023</v>
      </c>
      <c r="M103" s="250">
        <v>45.200000000000045</v>
      </c>
      <c r="N103" s="250">
        <v>180.19999999999982</v>
      </c>
      <c r="O103" s="247">
        <v>352.5</v>
      </c>
      <c r="P103" s="247">
        <v>-298.8</v>
      </c>
      <c r="Q103" s="247">
        <v>-158.9</v>
      </c>
      <c r="R103" s="247">
        <v>185.4</v>
      </c>
      <c r="S103" s="247">
        <v>558.4</v>
      </c>
      <c r="T103" s="247">
        <v>288.3</v>
      </c>
      <c r="U103" s="249">
        <v>149</v>
      </c>
      <c r="V103" s="249">
        <v>3044.8</v>
      </c>
      <c r="W103" s="249">
        <v>248.3</v>
      </c>
      <c r="X103" s="249">
        <v>-848.1</v>
      </c>
      <c r="Y103" s="247">
        <v>1332.3</v>
      </c>
      <c r="Z103" s="247">
        <v>3069.3</v>
      </c>
      <c r="AA103" s="247">
        <v>4954.6000000000004</v>
      </c>
      <c r="AB103" s="247">
        <v>2934.9</v>
      </c>
      <c r="AC103" s="247">
        <v>4446.2</v>
      </c>
      <c r="AD103" s="634">
        <v>4449.5</v>
      </c>
      <c r="AE103" s="93">
        <f t="shared" ref="AE103" si="59">AE101-AE102</f>
        <v>5751.5956647589337</v>
      </c>
      <c r="AG103" t="s">
        <v>687</v>
      </c>
    </row>
    <row r="104" spans="3:33" ht="18.75">
      <c r="C104" s="140" t="s">
        <v>575</v>
      </c>
      <c r="D104" s="140">
        <v>424.1</v>
      </c>
      <c r="E104" s="140">
        <v>509.6</v>
      </c>
      <c r="F104" s="140">
        <v>913.6</v>
      </c>
      <c r="G104" s="140">
        <v>1650.9</v>
      </c>
      <c r="H104" s="140">
        <v>1693.5</v>
      </c>
      <c r="I104" s="140">
        <v>2123.6</v>
      </c>
      <c r="J104" s="250">
        <v>3045.5486139899999</v>
      </c>
      <c r="K104" s="250">
        <v>3624.0277065299997</v>
      </c>
      <c r="L104" s="250">
        <v>3909.5708743600007</v>
      </c>
      <c r="M104" s="250">
        <v>5243.2217387199998</v>
      </c>
      <c r="N104" s="250">
        <v>5871.4188727500004</v>
      </c>
      <c r="O104" s="247">
        <v>5782.4</v>
      </c>
      <c r="P104" s="247">
        <v>5048</v>
      </c>
      <c r="Q104" s="247">
        <v>6620.7</v>
      </c>
      <c r="R104" s="247">
        <v>5335</v>
      </c>
      <c r="S104" s="247">
        <v>7829.5</v>
      </c>
      <c r="T104" s="247">
        <v>7582.6</v>
      </c>
      <c r="U104" s="247">
        <v>5143.3999999999996</v>
      </c>
      <c r="V104" s="247">
        <v>4997.2</v>
      </c>
      <c r="W104" s="247">
        <v>7232.5</v>
      </c>
      <c r="X104" s="247">
        <v>9619.1</v>
      </c>
      <c r="Y104" s="247">
        <v>10215.1</v>
      </c>
      <c r="Z104" s="247">
        <v>11850.6</v>
      </c>
      <c r="AA104" s="247">
        <v>14545.2</v>
      </c>
      <c r="AB104" s="247">
        <v>24442.2</v>
      </c>
      <c r="AC104" s="247">
        <v>19326.400000000001</v>
      </c>
      <c r="AD104" s="634">
        <v>22827.7</v>
      </c>
      <c r="AE104">
        <f>(Trade!AE5+Trade!AE4-Trade!AE6)*Assumptions!AE12+Industry!AE12</f>
        <v>28747.75831889674</v>
      </c>
      <c r="AG104" t="s">
        <v>688</v>
      </c>
    </row>
    <row r="105" spans="3:33" ht="18.75">
      <c r="C105" s="140" t="s">
        <v>576</v>
      </c>
      <c r="D105" s="140">
        <v>-442.8</v>
      </c>
      <c r="E105" s="140">
        <v>-589.29999999999995</v>
      </c>
      <c r="F105" s="140">
        <v>-893.6</v>
      </c>
      <c r="G105" s="140">
        <v>-1790</v>
      </c>
      <c r="H105" s="140">
        <v>-1981.7</v>
      </c>
      <c r="I105" s="140">
        <v>-2564.9</v>
      </c>
      <c r="J105" s="250">
        <v>-3512.5803319900001</v>
      </c>
      <c r="K105" s="250">
        <v>-4292.8295843700007</v>
      </c>
      <c r="L105" s="250">
        <v>-5243.5077753400001</v>
      </c>
      <c r="M105" s="250">
        <v>-7819.7655793599997</v>
      </c>
      <c r="N105" s="250">
        <v>-12761.634948750001</v>
      </c>
      <c r="O105" s="247">
        <v>-14004.9</v>
      </c>
      <c r="P105" s="247">
        <v>-12686.7</v>
      </c>
      <c r="Q105" s="247">
        <v>-14577.7</v>
      </c>
      <c r="R105" s="247">
        <v>-22286.1</v>
      </c>
      <c r="S105" s="247">
        <v>-25114</v>
      </c>
      <c r="T105" s="247">
        <v>-26051.9</v>
      </c>
      <c r="U105" s="247">
        <v>-26676.2</v>
      </c>
      <c r="V105" s="247">
        <v>-20460</v>
      </c>
      <c r="W105" s="247">
        <v>-23299.3</v>
      </c>
      <c r="X105" s="247">
        <v>-25037.599999999999</v>
      </c>
      <c r="Y105" s="247">
        <v>-29468.7</v>
      </c>
      <c r="Z105" s="247">
        <v>-32486.5</v>
      </c>
      <c r="AA105" s="247">
        <v>-32260.799999999999</v>
      </c>
      <c r="AB105" s="247">
        <v>-48156.800000000003</v>
      </c>
      <c r="AC105" s="247">
        <v>-58006.400000000001</v>
      </c>
      <c r="AD105" s="634">
        <v>-64323.5</v>
      </c>
      <c r="AE105">
        <f>-(Trade!AE42+Trade!AE43-Trade!AE49)*Assumptions!AE12</f>
        <v>-82020.777098600011</v>
      </c>
      <c r="AG105" t="s">
        <v>689</v>
      </c>
    </row>
    <row r="106" spans="3:33">
      <c r="C106" s="140" t="s">
        <v>577</v>
      </c>
      <c r="D106" s="140">
        <v>-18.7</v>
      </c>
      <c r="E106" s="140">
        <v>-79.7</v>
      </c>
      <c r="F106" s="140">
        <v>20</v>
      </c>
      <c r="G106" s="140">
        <v>-139.1</v>
      </c>
      <c r="H106" s="140">
        <v>-288.2</v>
      </c>
      <c r="I106" s="140">
        <v>-441.3</v>
      </c>
      <c r="J106" s="250">
        <v>-466.9</v>
      </c>
      <c r="K106" s="250">
        <v>-668.8</v>
      </c>
      <c r="L106" s="250">
        <v>-1334.3</v>
      </c>
      <c r="M106" s="250">
        <v>-2318.9</v>
      </c>
      <c r="N106" s="250">
        <v>-4518.6000000000004</v>
      </c>
      <c r="O106" s="722">
        <v>-8222.5</v>
      </c>
      <c r="P106" s="247">
        <v>-7638.6</v>
      </c>
      <c r="Q106" s="247">
        <v>-7957.0000000000009</v>
      </c>
      <c r="R106" s="247">
        <v>-16951.099999999999</v>
      </c>
      <c r="S106" s="247">
        <v>-17284.5</v>
      </c>
      <c r="T106" s="247">
        <v>-18469.300000000003</v>
      </c>
      <c r="U106" s="247">
        <v>-21532.800000000003</v>
      </c>
      <c r="V106" s="247">
        <f t="shared" ref="V106:AB106" si="60">V105+V104</f>
        <v>-15462.8</v>
      </c>
      <c r="W106" s="247">
        <f t="shared" si="60"/>
        <v>-16066.8</v>
      </c>
      <c r="X106" s="247">
        <f>X105+X104</f>
        <v>-15418.499999999998</v>
      </c>
      <c r="Y106" s="247">
        <f>Y105+Y104</f>
        <v>-19253.599999999999</v>
      </c>
      <c r="Z106" s="247">
        <f t="shared" si="60"/>
        <v>-20635.900000000001</v>
      </c>
      <c r="AA106" s="247">
        <f t="shared" si="60"/>
        <v>-17715.599999999999</v>
      </c>
      <c r="AB106" s="247">
        <f t="shared" si="60"/>
        <v>-23714.600000000002</v>
      </c>
      <c r="AC106" s="247">
        <f>AC105+AC104</f>
        <v>-38680</v>
      </c>
      <c r="AD106" s="250">
        <f>AD105+AD104</f>
        <v>-41495.800000000003</v>
      </c>
      <c r="AE106" s="250">
        <f>AE105+AE104</f>
        <v>-53273.01877970327</v>
      </c>
    </row>
    <row r="107" spans="3:33">
      <c r="C107" s="140" t="s">
        <v>578</v>
      </c>
      <c r="D107" s="140">
        <v>68.8</v>
      </c>
      <c r="E107" s="140">
        <v>160.4</v>
      </c>
      <c r="F107" s="140">
        <v>7.6</v>
      </c>
      <c r="G107" s="140">
        <v>-17.899999999999999</v>
      </c>
      <c r="H107" s="140">
        <v>86.5</v>
      </c>
      <c r="I107" s="140">
        <v>341.6</v>
      </c>
      <c r="J107" s="719">
        <v>433.3</v>
      </c>
      <c r="K107" s="719">
        <v>790.6</v>
      </c>
      <c r="L107" s="719">
        <v>802.2</v>
      </c>
      <c r="M107" s="719">
        <v>1389.9</v>
      </c>
      <c r="N107" s="719">
        <v>2245.1</v>
      </c>
      <c r="O107" s="706">
        <v>4079</v>
      </c>
      <c r="P107" s="706">
        <v>2761.9</v>
      </c>
      <c r="Q107" s="721">
        <v>3046.4</v>
      </c>
      <c r="R107" s="247">
        <v>4923.7</v>
      </c>
      <c r="S107" s="247">
        <v>3985.6</v>
      </c>
      <c r="T107" s="247">
        <v>2828.6</v>
      </c>
      <c r="U107" s="247">
        <v>3832.6</v>
      </c>
      <c r="V107" s="247">
        <v>1452.6</v>
      </c>
      <c r="W107" s="247">
        <v>-1454.8</v>
      </c>
      <c r="X107" s="247">
        <v>1400.6</v>
      </c>
      <c r="Y107" s="247">
        <v>1560.3</v>
      </c>
      <c r="Z107" s="247">
        <v>2610.8000000000002</v>
      </c>
      <c r="AA107" s="247">
        <v>-1292.7</v>
      </c>
      <c r="AB107" s="247">
        <v>-2963.6</v>
      </c>
      <c r="AC107" s="247">
        <v>-601.4</v>
      </c>
      <c r="AD107" s="634">
        <f>AD93-AD94-AD101-AD104-AD105</f>
        <v>-853.89999999999418</v>
      </c>
      <c r="AE107" s="634">
        <f>AE93-AE94-AE101-AE104-AE105</f>
        <v>0</v>
      </c>
    </row>
    <row r="108" spans="3:33">
      <c r="AC108" s="92">
        <f>AC94+AC101+AC104+AC105</f>
        <v>118783.1</v>
      </c>
      <c r="AD108" s="92">
        <f>AD94+AD101+AD104+AD105</f>
        <v>133635.80000000005</v>
      </c>
      <c r="AE108" s="92">
        <f>AE94+AE101+AE104+AE105</f>
        <v>153402.20000000001</v>
      </c>
    </row>
    <row r="109" spans="3:33">
      <c r="C109" s="151"/>
      <c r="D109" s="151"/>
      <c r="E109" s="151"/>
      <c r="F109" s="151"/>
      <c r="G109" s="151"/>
      <c r="H109" s="151"/>
      <c r="I109" s="151"/>
      <c r="J109" s="151"/>
      <c r="K109" s="151"/>
      <c r="L109" s="151"/>
      <c r="M109" s="151"/>
      <c r="N109" s="151"/>
      <c r="O109" s="151"/>
      <c r="P109" s="151"/>
      <c r="Q109" s="151"/>
      <c r="R109" s="151"/>
      <c r="S109" s="151"/>
      <c r="T109" s="151"/>
      <c r="U109" s="151"/>
    </row>
    <row r="110" spans="3:33" ht="18.75">
      <c r="C110" s="140" t="s">
        <v>579</v>
      </c>
      <c r="K110" s="184">
        <v>110.3</v>
      </c>
      <c r="L110" s="1096">
        <v>106.7</v>
      </c>
      <c r="M110" s="733">
        <v>107</v>
      </c>
      <c r="N110" s="731">
        <v>110.55184112043024</v>
      </c>
      <c r="O110" s="731">
        <v>116.24527330016349</v>
      </c>
      <c r="P110" s="542">
        <v>105.79427718517209</v>
      </c>
      <c r="Q110" s="542">
        <v>111.8125831564048</v>
      </c>
      <c r="R110" s="542">
        <v>113.43717147183612</v>
      </c>
      <c r="S110" s="542">
        <v>99.965562327968271</v>
      </c>
      <c r="T110" s="542">
        <v>121.399677854996</v>
      </c>
      <c r="U110" s="542">
        <v>111.0709491237149</v>
      </c>
      <c r="V110" s="93">
        <v>109.32499927581014</v>
      </c>
      <c r="W110" s="542">
        <v>111.5</v>
      </c>
      <c r="X110" s="542">
        <v>103.1</v>
      </c>
      <c r="Y110" s="542">
        <v>107.1</v>
      </c>
      <c r="Z110" s="542">
        <v>107.8</v>
      </c>
      <c r="AA110" s="542">
        <v>104.7</v>
      </c>
      <c r="AB110" s="542">
        <v>109.8</v>
      </c>
      <c r="AC110" s="542">
        <v>108.6</v>
      </c>
      <c r="AD110" s="604">
        <v>107.7</v>
      </c>
      <c r="AE110" s="93">
        <f t="shared" ref="AE110" si="61">(AE116*AD104+AE117*AD105+AE115*AD101+AE113*AD97+AD96*AE112+AE114*AD98)/(AD104+AD105+AD101+AD98+AD96+AD97)</f>
        <v>160.59263283476369</v>
      </c>
      <c r="AG110" t="s">
        <v>690</v>
      </c>
    </row>
    <row r="111" spans="3:33" ht="18.75">
      <c r="C111" s="140" t="s">
        <v>580</v>
      </c>
      <c r="K111" s="140">
        <v>111.6</v>
      </c>
      <c r="L111" s="730">
        <v>107.75619762862291</v>
      </c>
      <c r="M111" s="730">
        <v>107.71047666461055</v>
      </c>
      <c r="N111" s="730">
        <v>105.0184957800317</v>
      </c>
      <c r="O111" s="730">
        <v>113.73118093230819</v>
      </c>
      <c r="P111" s="251">
        <v>107.9</v>
      </c>
      <c r="Q111" s="251">
        <v>110.6</v>
      </c>
      <c r="R111" s="251">
        <v>124.4</v>
      </c>
      <c r="S111" s="251">
        <v>115.2</v>
      </c>
      <c r="T111" s="251">
        <v>109.4</v>
      </c>
      <c r="U111" s="251">
        <v>101.8</v>
      </c>
      <c r="V111" s="251">
        <v>85</v>
      </c>
      <c r="W111" s="251">
        <v>113</v>
      </c>
      <c r="X111" s="251">
        <v>105</v>
      </c>
      <c r="Y111" s="251">
        <v>104</v>
      </c>
      <c r="Z111" s="251">
        <v>105</v>
      </c>
      <c r="AA111" s="251">
        <v>103.1</v>
      </c>
      <c r="AB111" s="251">
        <v>104.3</v>
      </c>
      <c r="AC111" s="251">
        <v>115.7</v>
      </c>
      <c r="AD111" s="636">
        <v>109.2</v>
      </c>
      <c r="AE111" s="93">
        <f t="shared" ref="AE111" si="62">SUMPRODUCT(AE112:AE113,AD96:AD97)/SUM(AD96:AD97)</f>
        <v>111.73904435997558</v>
      </c>
      <c r="AG111" t="s">
        <v>691</v>
      </c>
    </row>
    <row r="112" spans="3:33" ht="18.75">
      <c r="C112" s="152" t="s">
        <v>567</v>
      </c>
      <c r="D112" s="152"/>
      <c r="E112" s="152"/>
      <c r="F112" s="152"/>
      <c r="G112" s="152"/>
      <c r="H112" s="152"/>
      <c r="I112" s="152"/>
      <c r="J112" s="152"/>
      <c r="K112" s="152"/>
      <c r="L112" s="732">
        <v>112.70812054648232</v>
      </c>
      <c r="M112" s="732">
        <v>109.57490556215781</v>
      </c>
      <c r="N112" s="732">
        <v>103.47611135448147</v>
      </c>
      <c r="O112" s="732">
        <v>123.37674983995404</v>
      </c>
      <c r="P112" s="725">
        <v>107.16028434655173</v>
      </c>
      <c r="Q112" s="725">
        <v>110.09000490148026</v>
      </c>
      <c r="R112" s="252">
        <v>113.5896985631628</v>
      </c>
      <c r="S112" s="252">
        <v>113.80106981625077</v>
      </c>
      <c r="T112" s="252">
        <v>114.0566337585924</v>
      </c>
      <c r="U112" s="252">
        <v>101.66358987094934</v>
      </c>
      <c r="V112" s="93">
        <v>99.818532518305716</v>
      </c>
      <c r="W112">
        <f>(Household!V9*Household!W11+Household!V18*Household!W20)/(Household!V9+Household!V18)</f>
        <v>103.63470856690356</v>
      </c>
      <c r="X112">
        <f>(Household!W9*Household!X11+Household!W18*Household!X20)/(Household!W9+Household!W18)</f>
        <v>104.76179294972594</v>
      </c>
      <c r="Y112">
        <f>(Household!X9*Household!Y11+Household!X18*Household!Y20)/(Household!X9+Household!X18)</f>
        <v>106.94157275778329</v>
      </c>
      <c r="Z112">
        <f>(Household!Y9*Household!Z11+Household!Y18*Household!Z20)/(Household!Y9+Household!Y18)</f>
        <v>107.10766286932125</v>
      </c>
      <c r="AA112">
        <f>(Household!Z9*Household!AA11+Household!Z18*Household!AA20)/(Household!Z9+Household!Z18)</f>
        <v>96.01941611150508</v>
      </c>
      <c r="AB112">
        <f>(Household!AA9*Household!AB11+Household!AA18*Household!AB20)/(Household!AA9+Household!AA18)</f>
        <v>109.71002819170359</v>
      </c>
      <c r="AC112">
        <f>(Household!AB9*Household!AC11+Household!AB18*Household!AC20)/(Household!AB9+Household!AB18)</f>
        <v>110.35767333190464</v>
      </c>
      <c r="AD112">
        <f>(Household!AC9*Household!AD11+Household!AC18*Household!AD20)/(Household!AC9+Household!AC18)</f>
        <v>116.17826543268771</v>
      </c>
      <c r="AE112" s="93">
        <f>(Household!AD9*Household!AE11+Household!AD18*Household!AE20)/(Household!AD9+Household!AD18)</f>
        <v>112.32806352702886</v>
      </c>
      <c r="AG112" t="s">
        <v>692</v>
      </c>
    </row>
    <row r="113" spans="3:52" ht="18.75">
      <c r="C113" s="152" t="s">
        <v>568</v>
      </c>
      <c r="D113" s="152"/>
      <c r="E113" s="152"/>
      <c r="F113" s="152"/>
      <c r="G113" s="152"/>
      <c r="H113" s="152"/>
      <c r="I113" s="152"/>
      <c r="J113" s="152"/>
      <c r="K113" s="152"/>
      <c r="L113" s="732">
        <v>101.4</v>
      </c>
      <c r="M113" s="732">
        <v>105.4</v>
      </c>
      <c r="N113" s="732">
        <v>106.5</v>
      </c>
      <c r="O113" s="732">
        <v>107.8</v>
      </c>
      <c r="P113" s="725">
        <v>110.5</v>
      </c>
      <c r="Q113" s="725">
        <v>106.8</v>
      </c>
      <c r="R113" s="252">
        <v>107.9</v>
      </c>
      <c r="S113" s="252">
        <v>110.4</v>
      </c>
      <c r="T113" s="252">
        <v>107.6</v>
      </c>
      <c r="U113" s="252">
        <v>104.5</v>
      </c>
      <c r="V113" s="252">
        <f t="shared" ref="V113:AD113" si="63">V33</f>
        <v>103.2</v>
      </c>
      <c r="W113" s="252">
        <f t="shared" si="63"/>
        <v>105.2</v>
      </c>
      <c r="X113" s="252">
        <f t="shared" si="63"/>
        <v>106.8</v>
      </c>
      <c r="Y113" s="252">
        <f t="shared" si="63"/>
        <v>107</v>
      </c>
      <c r="Z113" s="252">
        <f t="shared" si="63"/>
        <v>107</v>
      </c>
      <c r="AA113" s="252">
        <f t="shared" si="63"/>
        <v>107.9</v>
      </c>
      <c r="AB113" s="252">
        <f t="shared" si="63"/>
        <v>99.7</v>
      </c>
      <c r="AC113" s="252">
        <f>AC33</f>
        <v>108</v>
      </c>
      <c r="AD113" s="637">
        <f t="shared" si="63"/>
        <v>112.2</v>
      </c>
      <c r="AE113" s="253">
        <f>AE33</f>
        <v>110.6</v>
      </c>
      <c r="AG113" t="s">
        <v>693</v>
      </c>
    </row>
    <row r="114" spans="3:52" ht="18.75">
      <c r="C114" s="140" t="s">
        <v>581</v>
      </c>
      <c r="K114" s="140">
        <v>102.2</v>
      </c>
      <c r="L114" s="732">
        <v>133.528995228832</v>
      </c>
      <c r="M114" s="732">
        <v>86.3821139196248</v>
      </c>
      <c r="N114" s="732">
        <v>89.235446408639888</v>
      </c>
      <c r="O114" s="732">
        <v>94.240434177279568</v>
      </c>
      <c r="P114" s="254">
        <v>106.9</v>
      </c>
      <c r="Q114" s="254">
        <v>100.9</v>
      </c>
      <c r="R114" s="254">
        <v>107.8</v>
      </c>
      <c r="S114" s="254">
        <v>102.1</v>
      </c>
      <c r="T114" s="254">
        <v>102.3</v>
      </c>
      <c r="U114" s="254">
        <v>104.1</v>
      </c>
      <c r="V114" s="254">
        <v>103.3</v>
      </c>
      <c r="W114" s="254">
        <v>101.7</v>
      </c>
      <c r="X114" s="254">
        <v>105.7</v>
      </c>
      <c r="Y114" s="254">
        <v>104.5</v>
      </c>
      <c r="Z114" s="254">
        <v>100.7</v>
      </c>
      <c r="AA114" s="254">
        <v>102.3</v>
      </c>
      <c r="AB114" s="254">
        <v>104.6</v>
      </c>
      <c r="AC114" s="254">
        <v>99.3</v>
      </c>
      <c r="AD114" s="604">
        <v>90.9</v>
      </c>
      <c r="AE114" s="93">
        <f t="shared" ref="AE114" si="64">AE98/AD98/(AE96/AD96/AE112)</f>
        <v>110.08010075335822</v>
      </c>
      <c r="AG114" t="s">
        <v>694</v>
      </c>
    </row>
    <row r="115" spans="3:52" ht="18.75">
      <c r="C115" s="140" t="s">
        <v>572</v>
      </c>
      <c r="K115" s="140">
        <v>96.8</v>
      </c>
      <c r="L115" s="144">
        <v>102.6</v>
      </c>
      <c r="M115" s="730">
        <v>163.97218156858739</v>
      </c>
      <c r="N115" s="730">
        <v>187.0577357327513</v>
      </c>
      <c r="O115" s="730">
        <v>132.71217165093893</v>
      </c>
      <c r="P115" s="251">
        <v>76.8</v>
      </c>
      <c r="Q115" s="251">
        <v>107.5</v>
      </c>
      <c r="R115" s="251">
        <v>113.3</v>
      </c>
      <c r="S115" s="251">
        <v>78.099999999999994</v>
      </c>
      <c r="T115" s="251">
        <v>115.1</v>
      </c>
      <c r="U115" s="251">
        <v>117.6</v>
      </c>
      <c r="V115" s="251">
        <v>125.2</v>
      </c>
      <c r="W115" s="251">
        <v>93.4</v>
      </c>
      <c r="X115" s="251">
        <v>88</v>
      </c>
      <c r="Y115" s="251">
        <v>125.5</v>
      </c>
      <c r="Z115" s="251">
        <v>108.9</v>
      </c>
      <c r="AA115" s="251">
        <v>95.4</v>
      </c>
      <c r="AB115" s="251">
        <v>112</v>
      </c>
      <c r="AC115" s="254">
        <v>111.9</v>
      </c>
      <c r="AD115" s="637">
        <v>90.1</v>
      </c>
      <c r="AE115" s="93">
        <f t="shared" ref="AE115" si="65">AE102/AD102/0.88*100</f>
        <v>272.49022537370746</v>
      </c>
      <c r="AG115" s="46" t="s">
        <v>695</v>
      </c>
    </row>
    <row r="116" spans="3:52" ht="18.75">
      <c r="C116" s="140" t="s">
        <v>575</v>
      </c>
      <c r="K116" s="140">
        <v>122.6</v>
      </c>
      <c r="L116" s="144">
        <v>102.9</v>
      </c>
      <c r="M116" s="730">
        <v>131.19999999999999</v>
      </c>
      <c r="N116" s="730">
        <v>127.9</v>
      </c>
      <c r="O116" s="730">
        <v>86</v>
      </c>
      <c r="P116" s="251">
        <v>98</v>
      </c>
      <c r="Q116" s="251">
        <v>123</v>
      </c>
      <c r="R116" s="251">
        <v>101.1</v>
      </c>
      <c r="S116" s="251">
        <v>78.099999999999994</v>
      </c>
      <c r="T116" s="251">
        <v>115.1</v>
      </c>
      <c r="U116" s="251">
        <v>117.6</v>
      </c>
      <c r="V116" s="251">
        <v>125.2</v>
      </c>
      <c r="W116" s="251">
        <v>115.1</v>
      </c>
      <c r="X116" s="251">
        <v>106.8</v>
      </c>
      <c r="Y116" s="251">
        <v>94.8</v>
      </c>
      <c r="Z116" s="251">
        <v>121.5</v>
      </c>
      <c r="AA116" s="251">
        <v>121.8</v>
      </c>
      <c r="AB116" s="251">
        <v>155.4</v>
      </c>
      <c r="AC116" s="254">
        <v>76</v>
      </c>
      <c r="AD116" s="637">
        <v>113.4</v>
      </c>
      <c r="AE116" s="93">
        <f>Trade!AE33</f>
        <v>79.318174557420178</v>
      </c>
      <c r="AG116" t="s">
        <v>696</v>
      </c>
    </row>
    <row r="117" spans="3:52" ht="18.75">
      <c r="C117" s="140" t="s">
        <v>576</v>
      </c>
      <c r="K117" s="140">
        <v>125.9</v>
      </c>
      <c r="L117" s="144">
        <v>116.5</v>
      </c>
      <c r="M117" s="730">
        <v>139.6</v>
      </c>
      <c r="N117" s="730">
        <v>127.3</v>
      </c>
      <c r="O117" s="730">
        <v>101.4</v>
      </c>
      <c r="P117" s="251">
        <v>96</v>
      </c>
      <c r="Q117" s="255">
        <v>108</v>
      </c>
      <c r="R117" s="251">
        <v>101.2</v>
      </c>
      <c r="S117" s="251">
        <v>101.2</v>
      </c>
      <c r="T117" s="251">
        <v>101.1</v>
      </c>
      <c r="U117" s="251">
        <v>101.1</v>
      </c>
      <c r="V117" s="251">
        <v>100</v>
      </c>
      <c r="W117" s="251">
        <v>92.5</v>
      </c>
      <c r="X117" s="255">
        <v>93.5</v>
      </c>
      <c r="Y117" s="255">
        <v>109.3</v>
      </c>
      <c r="Z117" s="255">
        <v>106.4</v>
      </c>
      <c r="AA117" s="255">
        <v>99.6</v>
      </c>
      <c r="AB117" s="255">
        <v>120</v>
      </c>
      <c r="AC117" s="254">
        <v>104</v>
      </c>
      <c r="AD117" s="637">
        <v>95.7</v>
      </c>
      <c r="AE117" s="253">
        <v>104</v>
      </c>
      <c r="AG117" t="s">
        <v>697</v>
      </c>
    </row>
    <row r="118" spans="3:52">
      <c r="C118" s="146" t="s">
        <v>429</v>
      </c>
      <c r="D118" s="146"/>
      <c r="E118" s="146"/>
      <c r="F118" s="146"/>
      <c r="G118" s="146"/>
      <c r="H118" s="146"/>
      <c r="I118" s="146"/>
      <c r="J118" s="146"/>
      <c r="K118" s="146"/>
      <c r="L118" s="147"/>
      <c r="M118" s="147"/>
      <c r="N118" s="147"/>
      <c r="O118" s="147"/>
      <c r="P118" s="147"/>
      <c r="Q118" s="726"/>
      <c r="R118" s="727"/>
      <c r="S118" s="727"/>
      <c r="T118" s="727"/>
      <c r="U118" s="727"/>
    </row>
    <row r="119" spans="3:52" ht="18.75">
      <c r="C119" s="140" t="s">
        <v>582</v>
      </c>
      <c r="L119" s="728"/>
      <c r="M119" s="733">
        <v>113.39004724082518</v>
      </c>
      <c r="N119" s="733">
        <v>118.88895877243961</v>
      </c>
      <c r="O119" s="733">
        <v>123.00528052915213</v>
      </c>
      <c r="P119" s="733">
        <v>115.78285633609232</v>
      </c>
      <c r="Q119" s="733">
        <v>106.2865602242654</v>
      </c>
      <c r="R119" s="729">
        <v>112.37709813634901</v>
      </c>
      <c r="S119" s="729">
        <v>96.070877661779249</v>
      </c>
      <c r="T119" s="729">
        <v>111.99856813641878</v>
      </c>
      <c r="U119" s="729">
        <v>106.1484102011742</v>
      </c>
      <c r="V119" s="93">
        <v>107.13765007288394</v>
      </c>
      <c r="W119" s="93">
        <f>(+W115*V101+V96*W112+W114*V98)/(V101+V98+V96)</f>
        <v>99.200484082115452</v>
      </c>
      <c r="X119" s="93">
        <f t="shared" ref="X119:AB119" si="66">(+X115*W101+W96*X112+X114*W98)/(W101+W98+W96)</f>
        <v>98.332809836290039</v>
      </c>
      <c r="Y119" s="93">
        <f t="shared" si="66"/>
        <v>112.84611412735578</v>
      </c>
      <c r="Z119" s="93">
        <f t="shared" si="66"/>
        <v>107.05390332900731</v>
      </c>
      <c r="AA119" s="93">
        <f t="shared" si="66"/>
        <v>96.525399918319792</v>
      </c>
      <c r="AB119" s="93">
        <f t="shared" si="66"/>
        <v>109.89760005663085</v>
      </c>
      <c r="AC119" s="93">
        <f>(+AC115*AB101+AB96*AC112+AC114*AB98)/(AB101+AB98+AB96)</f>
        <v>109.65061265424191</v>
      </c>
      <c r="AD119">
        <f>(+AD115*AC101+AC96*AD112+AD114*AC98)/(AC101+AC98+AC96)</f>
        <v>104.56087418758888</v>
      </c>
      <c r="AE119" s="93">
        <f>(+AE115*AD101+AD96*AE112+AE114*AD98)/(AD101+AD98+AD96)</f>
        <v>162.29735327309845</v>
      </c>
      <c r="AG119" t="s">
        <v>698</v>
      </c>
    </row>
    <row r="121" spans="3:52">
      <c r="C121" s="154"/>
      <c r="D121" s="154"/>
      <c r="E121" s="154"/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Q121" s="154"/>
      <c r="R121" s="154"/>
      <c r="S121" s="154"/>
      <c r="T121" s="154"/>
      <c r="U121" s="154"/>
    </row>
    <row r="122" spans="3:52">
      <c r="C122" s="154"/>
      <c r="D122" s="154"/>
      <c r="E122" s="154"/>
      <c r="F122" s="154"/>
      <c r="G122" s="154"/>
      <c r="H122" s="154"/>
      <c r="I122" s="154"/>
      <c r="J122" s="154"/>
      <c r="K122" s="154"/>
      <c r="L122" s="154"/>
      <c r="M122" s="154"/>
      <c r="N122" s="154"/>
      <c r="O122" s="154"/>
      <c r="P122" s="154"/>
      <c r="Q122" s="154"/>
      <c r="R122" s="154"/>
      <c r="S122" s="154"/>
      <c r="T122" s="154"/>
      <c r="U122" s="154"/>
    </row>
    <row r="124" spans="3:52">
      <c r="C124" s="142"/>
      <c r="D124" s="142"/>
      <c r="E124" s="142"/>
      <c r="F124" s="142"/>
      <c r="G124" s="142"/>
      <c r="H124" s="142"/>
      <c r="I124" s="142"/>
      <c r="J124" s="142"/>
      <c r="K124" s="142"/>
      <c r="L124" s="142"/>
      <c r="M124" s="142"/>
      <c r="N124" s="142"/>
      <c r="O124" s="142"/>
      <c r="P124" s="142"/>
      <c r="Q124" s="142"/>
      <c r="R124" s="142"/>
      <c r="S124" s="142"/>
      <c r="T124" s="142"/>
      <c r="U124" s="142"/>
      <c r="AG124" s="185"/>
      <c r="AH124" s="142"/>
      <c r="AI124" s="142"/>
      <c r="AJ124" s="142"/>
      <c r="AK124" s="142"/>
      <c r="AL124" s="142"/>
      <c r="AM124" s="142"/>
      <c r="AN124" s="142"/>
      <c r="AO124" s="142"/>
      <c r="AP124" s="142"/>
      <c r="AQ124" s="142"/>
      <c r="AR124" s="142"/>
      <c r="AS124" s="142"/>
      <c r="AT124" s="142"/>
      <c r="AU124" s="142"/>
      <c r="AV124" s="142"/>
      <c r="AW124" s="142"/>
      <c r="AX124" s="142"/>
      <c r="AY124" s="142"/>
      <c r="AZ124" s="142"/>
    </row>
    <row r="125" spans="3:52">
      <c r="C125" s="155" t="s">
        <v>583</v>
      </c>
      <c r="D125" s="141">
        <v>518.35239999999999</v>
      </c>
      <c r="E125" s="141">
        <v>1025.2112999999999</v>
      </c>
      <c r="F125" s="686">
        <v>1344.9530999999999</v>
      </c>
      <c r="G125" s="140">
        <v>1806.7670000000001</v>
      </c>
      <c r="H125" s="670">
        <v>2564.1</v>
      </c>
      <c r="I125" s="670">
        <v>3391.9000000000005</v>
      </c>
      <c r="J125" s="670">
        <v>4780.2999999999993</v>
      </c>
      <c r="K125" s="670">
        <v>6192.1</v>
      </c>
      <c r="L125" s="670">
        <v>7241.6</v>
      </c>
      <c r="M125" s="670">
        <v>9395.1999999999989</v>
      </c>
      <c r="N125" s="670">
        <v>12854.499999999996</v>
      </c>
      <c r="O125" s="670">
        <v>17787.599999999999</v>
      </c>
      <c r="P125" s="670">
        <v>19995.294865201722</v>
      </c>
      <c r="Q125" s="670">
        <f>Q126+Q127-Q128+Q129-Q130</f>
        <v>24723</v>
      </c>
      <c r="R125" s="670">
        <f>R126+R127-R128+R129-R130</f>
        <v>30138.900000000005</v>
      </c>
      <c r="S125" s="670">
        <f t="shared" ref="S125:AB125" si="67">S126+S127-S128+S129-S130</f>
        <v>36197.4</v>
      </c>
      <c r="T125" s="670">
        <f>T126+T127-T128+T129-T130</f>
        <v>40641.399999999994</v>
      </c>
      <c r="U125" s="670">
        <f t="shared" si="67"/>
        <v>45606.700000000004</v>
      </c>
      <c r="V125" s="670">
        <f t="shared" si="67"/>
        <v>50977.9</v>
      </c>
      <c r="W125" s="670">
        <f t="shared" si="67"/>
        <v>54790.2</v>
      </c>
      <c r="X125" s="670">
        <f t="shared" si="67"/>
        <v>64434.299999999988</v>
      </c>
      <c r="Y125" s="670">
        <f t="shared" si="67"/>
        <v>71059.200000000012</v>
      </c>
      <c r="Z125" s="670">
        <f t="shared" si="67"/>
        <v>79109.8</v>
      </c>
      <c r="AA125" s="670">
        <f t="shared" si="67"/>
        <v>83958.3</v>
      </c>
      <c r="AB125" s="670">
        <f t="shared" si="67"/>
        <v>101076.29999999999</v>
      </c>
      <c r="AC125" s="670">
        <f>AC126+AC127-AC128+AC129-AC130</f>
        <v>118181.7</v>
      </c>
      <c r="AD125" s="670">
        <f>AD126+AD127-AD128+AD129-AD130</f>
        <v>132579.79999999996</v>
      </c>
      <c r="AE125" s="670"/>
    </row>
    <row r="126" spans="3:52">
      <c r="C126" s="154" t="s">
        <v>584</v>
      </c>
      <c r="D126" s="141">
        <v>333.96069999999997</v>
      </c>
      <c r="E126" s="141">
        <v>648.52970000000005</v>
      </c>
      <c r="F126" s="686">
        <v>855.54700000000003</v>
      </c>
      <c r="G126" s="140">
        <v>1156.3853999999999</v>
      </c>
      <c r="H126" s="735">
        <v>1658.1</v>
      </c>
      <c r="I126" s="735">
        <v>2252.1</v>
      </c>
      <c r="J126" s="735">
        <v>3448.6</v>
      </c>
      <c r="K126" s="735">
        <v>4514.6000000000004</v>
      </c>
      <c r="L126" s="735">
        <v>5251</v>
      </c>
      <c r="M126" s="735">
        <v>6868.4</v>
      </c>
      <c r="N126" s="735">
        <v>9210.9</v>
      </c>
      <c r="O126" s="735">
        <v>12852.8</v>
      </c>
      <c r="P126" s="735">
        <v>15325.9</v>
      </c>
      <c r="Q126" s="734">
        <v>17296.7</v>
      </c>
      <c r="R126" s="734">
        <v>20768.400000000001</v>
      </c>
      <c r="S126" s="734">
        <v>24639.9</v>
      </c>
      <c r="T126" s="734">
        <v>26705.7</v>
      </c>
      <c r="U126" s="154">
        <v>28908.2</v>
      </c>
      <c r="V126">
        <v>34929.9</v>
      </c>
      <c r="W126">
        <v>37383.599999999999</v>
      </c>
      <c r="X126">
        <v>44805.9</v>
      </c>
      <c r="Y126">
        <v>49017.4</v>
      </c>
      <c r="Z126">
        <v>55102.9</v>
      </c>
      <c r="AA126">
        <v>59794.400000000001</v>
      </c>
      <c r="AB126">
        <v>71966.7</v>
      </c>
      <c r="AC126">
        <v>82452.800000000003</v>
      </c>
      <c r="AD126">
        <v>91281.2</v>
      </c>
    </row>
    <row r="127" spans="3:52">
      <c r="C127" s="154" t="s">
        <v>585</v>
      </c>
      <c r="D127" s="141">
        <v>118.83020000000002</v>
      </c>
      <c r="E127" s="141">
        <v>275.4797999999999</v>
      </c>
      <c r="F127" s="686">
        <v>362.31309999999991</v>
      </c>
      <c r="G127" s="140">
        <v>431.79430000000013</v>
      </c>
      <c r="H127" s="736">
        <v>1194.7</v>
      </c>
      <c r="I127" s="736">
        <v>1405.7</v>
      </c>
      <c r="J127" s="736">
        <v>1913.2</v>
      </c>
      <c r="K127" s="736">
        <v>2807.5</v>
      </c>
      <c r="L127" s="736">
        <v>3148.1</v>
      </c>
      <c r="M127" s="736">
        <v>4768.3999999999996</v>
      </c>
      <c r="N127" s="736">
        <v>5980.2</v>
      </c>
      <c r="O127" s="736">
        <v>10129</v>
      </c>
      <c r="P127" s="736">
        <v>8085</v>
      </c>
      <c r="Q127" s="734">
        <v>10452.700000000001</v>
      </c>
      <c r="R127" s="734">
        <v>10841.8</v>
      </c>
      <c r="S127" s="734">
        <v>15027.3</v>
      </c>
      <c r="T127" s="734">
        <v>23449</v>
      </c>
      <c r="U127" s="154">
        <v>23121.200000000001</v>
      </c>
      <c r="V127">
        <v>18383.900000000001</v>
      </c>
      <c r="W127">
        <v>19345.2</v>
      </c>
      <c r="X127">
        <v>23675.8</v>
      </c>
      <c r="Y127">
        <v>25377.599999999999</v>
      </c>
      <c r="Z127">
        <v>27759.9</v>
      </c>
      <c r="AA127">
        <v>28359.8</v>
      </c>
      <c r="AB127">
        <v>37372.199999999997</v>
      </c>
      <c r="AC127">
        <v>57482.6</v>
      </c>
      <c r="AD127">
        <v>53979.6</v>
      </c>
    </row>
    <row r="128" spans="3:52" ht="18.75">
      <c r="C128" s="154" t="s">
        <v>586</v>
      </c>
      <c r="D128" s="141"/>
      <c r="E128" s="141"/>
      <c r="F128" s="686"/>
      <c r="H128" s="736">
        <v>594.29999999999995</v>
      </c>
      <c r="I128" s="736">
        <v>710.7</v>
      </c>
      <c r="J128" s="736">
        <v>1251.3</v>
      </c>
      <c r="K128" s="736">
        <v>1975.4</v>
      </c>
      <c r="L128" s="736">
        <v>2134.6</v>
      </c>
      <c r="M128" s="736">
        <v>3494.6</v>
      </c>
      <c r="N128" s="736">
        <v>4234.5</v>
      </c>
      <c r="O128" s="736">
        <v>7967.4</v>
      </c>
      <c r="P128" s="735">
        <v>5203.8</v>
      </c>
      <c r="Q128" s="256">
        <v>6902.5</v>
      </c>
      <c r="R128" s="256">
        <v>6570.9</v>
      </c>
      <c r="S128" s="256">
        <v>9751.6</v>
      </c>
      <c r="T128" s="256">
        <v>16880.8</v>
      </c>
      <c r="U128" s="256">
        <v>15462.8</v>
      </c>
      <c r="V128" s="256">
        <v>10044.9</v>
      </c>
      <c r="W128" s="257">
        <v>10242.4</v>
      </c>
      <c r="X128" s="257">
        <v>13528.8</v>
      </c>
      <c r="Y128" s="257">
        <v>13957.4</v>
      </c>
      <c r="Z128" s="257">
        <v>15415.3</v>
      </c>
      <c r="AA128" s="257">
        <v>15724.9</v>
      </c>
      <c r="AB128" s="257">
        <v>22981.1</v>
      </c>
      <c r="AC128" s="257">
        <v>41149.9</v>
      </c>
      <c r="AD128" s="638">
        <v>35336.6</v>
      </c>
      <c r="AG128" t="s">
        <v>699</v>
      </c>
    </row>
    <row r="129" spans="3:31">
      <c r="C129" s="154" t="s">
        <v>587</v>
      </c>
      <c r="D129" s="141">
        <v>67.119299999999996</v>
      </c>
      <c r="E129" s="141">
        <v>102.39490000000001</v>
      </c>
      <c r="F129" s="686">
        <v>135.1309</v>
      </c>
      <c r="G129" s="140">
        <v>223.08080000000001</v>
      </c>
      <c r="H129" s="736">
        <v>311.7</v>
      </c>
      <c r="I129" s="736">
        <v>436.9</v>
      </c>
      <c r="J129" s="736">
        <v>660.4</v>
      </c>
      <c r="K129" s="736">
        <v>833.1</v>
      </c>
      <c r="L129" s="736">
        <v>960.1</v>
      </c>
      <c r="M129" s="736">
        <v>1228.7</v>
      </c>
      <c r="N129" s="736">
        <v>1872.8</v>
      </c>
      <c r="O129" s="736">
        <v>2735.9</v>
      </c>
      <c r="P129" s="737">
        <v>3182</v>
      </c>
      <c r="Q129" s="258">
        <v>3925.3</v>
      </c>
      <c r="R129" s="258">
        <v>5161.8999999999996</v>
      </c>
      <c r="S129" s="258">
        <v>6370</v>
      </c>
      <c r="T129" s="258">
        <v>7457.3</v>
      </c>
      <c r="U129" s="258">
        <v>9139.4</v>
      </c>
      <c r="V129" s="258">
        <v>7792.4</v>
      </c>
      <c r="W129" s="258">
        <v>8398.7999999999993</v>
      </c>
      <c r="X129" s="194">
        <v>9612.2000000000007</v>
      </c>
      <c r="Y129" s="194">
        <v>10734</v>
      </c>
      <c r="Z129" s="194">
        <v>11796.7</v>
      </c>
      <c r="AA129" s="194">
        <v>11704.3</v>
      </c>
      <c r="AB129" s="194">
        <v>14902.8</v>
      </c>
      <c r="AC129" s="194">
        <v>19666.8</v>
      </c>
      <c r="AD129" s="639">
        <v>22901.8</v>
      </c>
    </row>
    <row r="130" spans="3:31">
      <c r="C130" s="154" t="s">
        <v>588</v>
      </c>
      <c r="D130" s="141">
        <v>1.5578000000000001</v>
      </c>
      <c r="E130" s="141">
        <v>1.1931</v>
      </c>
      <c r="F130" s="686">
        <v>8.0379000000000005</v>
      </c>
      <c r="G130" s="140">
        <v>4.4935</v>
      </c>
      <c r="H130" s="736">
        <v>6.1</v>
      </c>
      <c r="I130" s="736">
        <v>7.9</v>
      </c>
      <c r="J130" s="736">
        <v>9.4</v>
      </c>
      <c r="K130" s="736">
        <v>12.3</v>
      </c>
      <c r="L130" s="736">
        <v>17</v>
      </c>
      <c r="M130" s="736">
        <v>24.3</v>
      </c>
      <c r="N130" s="736">
        <v>25.1</v>
      </c>
      <c r="O130" s="736">
        <v>37.299999999999997</v>
      </c>
      <c r="P130" s="737">
        <v>51</v>
      </c>
      <c r="Q130" s="258">
        <v>49.2</v>
      </c>
      <c r="R130" s="258">
        <v>62.3</v>
      </c>
      <c r="S130" s="258">
        <v>88.2</v>
      </c>
      <c r="T130" s="258">
        <v>89.8</v>
      </c>
      <c r="U130" s="258">
        <v>99.3</v>
      </c>
      <c r="V130" s="258">
        <v>83.4</v>
      </c>
      <c r="W130" s="258">
        <v>95</v>
      </c>
      <c r="X130" s="194">
        <v>130.80000000000001</v>
      </c>
      <c r="Y130" s="194">
        <v>112.4</v>
      </c>
      <c r="Z130" s="194">
        <v>134.4</v>
      </c>
      <c r="AA130" s="194">
        <v>175.3</v>
      </c>
      <c r="AB130" s="194">
        <v>184.3</v>
      </c>
      <c r="AC130" s="194">
        <v>270.60000000000002</v>
      </c>
      <c r="AD130" s="639">
        <v>246.2</v>
      </c>
    </row>
    <row r="131" spans="3:31">
      <c r="C131" s="156"/>
      <c r="D131" s="156"/>
      <c r="E131" s="156"/>
      <c r="F131" s="156"/>
      <c r="G131" s="156"/>
      <c r="H131" s="156"/>
      <c r="I131" s="156"/>
      <c r="J131" s="156"/>
      <c r="K131" s="156"/>
      <c r="L131" s="156"/>
      <c r="M131" s="156"/>
      <c r="N131" s="156"/>
      <c r="O131" s="1095">
        <f>O125-O126</f>
        <v>4934.7999999999993</v>
      </c>
      <c r="P131" s="1095">
        <f>P125-P126</f>
        <v>4669.3948652017225</v>
      </c>
      <c r="Q131" s="156"/>
      <c r="R131" s="156"/>
      <c r="S131" s="156"/>
      <c r="T131" s="156"/>
      <c r="U131" s="156"/>
    </row>
    <row r="132" spans="3:31">
      <c r="C132" s="156"/>
      <c r="D132" s="156"/>
      <c r="E132" s="156"/>
      <c r="F132" s="156"/>
      <c r="G132" s="156"/>
      <c r="H132" s="156"/>
      <c r="I132" s="156"/>
      <c r="J132" s="156"/>
      <c r="K132" s="156"/>
      <c r="L132" s="156"/>
      <c r="M132" s="156"/>
      <c r="N132" s="156"/>
      <c r="O132" s="156"/>
      <c r="P132" s="156"/>
      <c r="Q132" s="156"/>
      <c r="R132" s="156"/>
      <c r="S132" s="156"/>
      <c r="T132" s="156"/>
      <c r="U132" s="156"/>
    </row>
    <row r="133" spans="3:31">
      <c r="C133" s="144" t="s">
        <v>589</v>
      </c>
      <c r="D133" s="259">
        <f t="shared" ref="D133:U133" si="68">D95/D93</f>
        <v>0.58101851851851849</v>
      </c>
      <c r="E133" s="259">
        <f t="shared" si="68"/>
        <v>0.67430745220444788</v>
      </c>
      <c r="F133" s="259">
        <f t="shared" si="68"/>
        <v>0.70245353159851298</v>
      </c>
      <c r="G133" s="259">
        <f t="shared" si="68"/>
        <v>0.87111036489814198</v>
      </c>
      <c r="H133" s="259">
        <f t="shared" si="68"/>
        <v>0.83840393166393623</v>
      </c>
      <c r="I133" s="259">
        <f>I95/I93</f>
        <v>0.80342488075134066</v>
      </c>
      <c r="J133" s="259">
        <f t="shared" si="68"/>
        <v>0.77557492386852889</v>
      </c>
      <c r="K133" s="259">
        <f t="shared" si="68"/>
        <v>0.7308340900246465</v>
      </c>
      <c r="L133" s="259">
        <f t="shared" si="68"/>
        <v>0.7983515111148114</v>
      </c>
      <c r="M133" s="259">
        <f t="shared" si="68"/>
        <v>0.81738133750388298</v>
      </c>
      <c r="N133" s="259">
        <f t="shared" si="68"/>
        <v>0.81899830525682793</v>
      </c>
      <c r="O133" s="259">
        <f t="shared" si="68"/>
        <v>0.85531628913022595</v>
      </c>
      <c r="P133" s="259">
        <f t="shared" si="68"/>
        <v>0.8534247903436909</v>
      </c>
      <c r="Q133" s="259">
        <f t="shared" si="68"/>
        <v>0.83850795925057964</v>
      </c>
      <c r="R133" s="259">
        <f t="shared" si="68"/>
        <v>0.96224281785501697</v>
      </c>
      <c r="S133" s="259">
        <f t="shared" si="68"/>
        <v>0.75787473972087582</v>
      </c>
      <c r="T133" s="259">
        <f t="shared" si="68"/>
        <v>1.0204736805740626</v>
      </c>
      <c r="U133" s="259">
        <f t="shared" si="68"/>
        <v>0.96657062793543047</v>
      </c>
      <c r="V133" s="259">
        <f>V95/V93</f>
        <v>0.70625414399322062</v>
      </c>
      <c r="W133" s="259">
        <f t="shared" ref="W133:AE133" si="69">W95/W93</f>
        <v>0.78882210902294758</v>
      </c>
      <c r="X133" s="259">
        <f t="shared" si="69"/>
        <v>0.79925443436182275</v>
      </c>
      <c r="Y133" s="259">
        <f t="shared" si="69"/>
        <v>0.75906708772403853</v>
      </c>
      <c r="Z133" s="259">
        <f t="shared" si="69"/>
        <v>0.75749148651620923</v>
      </c>
      <c r="AA133" s="259">
        <f t="shared" si="69"/>
        <v>0.76923901508248738</v>
      </c>
      <c r="AB133" s="259">
        <f t="shared" si="69"/>
        <v>0.7952121318251657</v>
      </c>
      <c r="AC133" s="259">
        <f t="shared" si="69"/>
        <v>0.86913456144225365</v>
      </c>
      <c r="AD133" s="259">
        <f t="shared" si="69"/>
        <v>0.8898818287733492</v>
      </c>
      <c r="AE133" s="259">
        <f t="shared" si="69"/>
        <v>0.61612239470264785</v>
      </c>
    </row>
    <row r="134" spans="3:31">
      <c r="C134" s="144" t="s">
        <v>590</v>
      </c>
      <c r="D134" s="259">
        <f t="shared" ref="D134:U134" si="70">D98/D93</f>
        <v>0.1064814814814815</v>
      </c>
      <c r="E134" s="259">
        <f t="shared" si="70"/>
        <v>7.8033554428404206E-2</v>
      </c>
      <c r="F134" s="259">
        <f t="shared" si="70"/>
        <v>8.6617100371747219E-2</v>
      </c>
      <c r="G134" s="259">
        <f t="shared" si="70"/>
        <v>0.11624132527423327</v>
      </c>
      <c r="H134" s="259">
        <f t="shared" si="70"/>
        <v>0.13862235743817769</v>
      </c>
      <c r="I134" s="259">
        <f t="shared" si="70"/>
        <v>0.12772198026842058</v>
      </c>
      <c r="J134" s="259">
        <f t="shared" si="70"/>
        <v>0.12183135566523155</v>
      </c>
      <c r="K134" s="259">
        <f t="shared" si="70"/>
        <v>0.1178492670904138</v>
      </c>
      <c r="L134" s="259">
        <f t="shared" si="70"/>
        <v>0.14601892709460773</v>
      </c>
      <c r="M134" s="259">
        <f t="shared" si="70"/>
        <v>0.11104088781292511</v>
      </c>
      <c r="N134" s="259">
        <f t="shared" si="70"/>
        <v>8.9040400490460234E-2</v>
      </c>
      <c r="O134" s="259">
        <f t="shared" si="70"/>
        <v>9.333649594225979E-2</v>
      </c>
      <c r="P134" s="259">
        <f t="shared" si="70"/>
        <v>0.12462067962576956</v>
      </c>
      <c r="Q134" s="259">
        <f t="shared" si="70"/>
        <v>0.11326703660081514</v>
      </c>
      <c r="R134" s="259">
        <f t="shared" si="70"/>
        <v>0.13653308325934202</v>
      </c>
      <c r="S134" s="259">
        <f t="shared" si="70"/>
        <v>0.12841819423666667</v>
      </c>
      <c r="T134" s="259">
        <f t="shared" si="70"/>
        <v>0.13207090896528581</v>
      </c>
      <c r="U134" s="259">
        <f t="shared" si="70"/>
        <v>0.13851284682480169</v>
      </c>
      <c r="V134" s="259">
        <f t="shared" ref="V134:AE134" si="71">V98/V93</f>
        <v>0.11559043811571404</v>
      </c>
      <c r="W134" s="259">
        <f t="shared" si="71"/>
        <v>0.11756825569489492</v>
      </c>
      <c r="X134" s="259">
        <f t="shared" si="71"/>
        <v>0.11386482044501142</v>
      </c>
      <c r="Y134" s="259">
        <f t="shared" si="71"/>
        <v>0.11221066378456274</v>
      </c>
      <c r="Z134" s="259">
        <f t="shared" si="71"/>
        <v>0.11154496661601977</v>
      </c>
      <c r="AA134" s="259">
        <f t="shared" si="71"/>
        <v>0.11568004592756165</v>
      </c>
      <c r="AB134" s="259">
        <f t="shared" si="71"/>
        <v>0.10884252787250817</v>
      </c>
      <c r="AC134" s="259">
        <f t="shared" si="71"/>
        <v>0.10135071673533211</v>
      </c>
      <c r="AD134" s="259">
        <f t="shared" si="71"/>
        <v>0.10662221281665647</v>
      </c>
      <c r="AE134" s="259">
        <f t="shared" si="71"/>
        <v>0.10626158045364723</v>
      </c>
    </row>
    <row r="135" spans="3:31">
      <c r="C135" s="144" t="s">
        <v>591</v>
      </c>
      <c r="D135" s="260">
        <f t="shared" ref="D135:U135" si="72">D102/D93</f>
        <v>0.17669753086419754</v>
      </c>
      <c r="E135" s="260">
        <f t="shared" si="72"/>
        <v>0.13421771361685525</v>
      </c>
      <c r="F135" s="260">
        <f t="shared" si="72"/>
        <v>0.16624535315985128</v>
      </c>
      <c r="G135" s="260">
        <f t="shared" si="72"/>
        <v>7.4210879785090667E-2</v>
      </c>
      <c r="H135" s="260">
        <f t="shared" si="72"/>
        <v>8.9827599656759502E-2</v>
      </c>
      <c r="I135" s="260">
        <f t="shared" si="72"/>
        <v>6.2957366752584953E-2</v>
      </c>
      <c r="J135" s="260">
        <f t="shared" si="72"/>
        <v>8.0352829990549199E-2</v>
      </c>
      <c r="K135" s="260">
        <f t="shared" si="72"/>
        <v>0.10377480866519653</v>
      </c>
      <c r="L135" s="260">
        <f t="shared" si="72"/>
        <v>0.11118974273582549</v>
      </c>
      <c r="M135" s="260">
        <f t="shared" si="72"/>
        <v>0.15482094844300662</v>
      </c>
      <c r="N135" s="260">
        <f t="shared" si="72"/>
        <v>0.23225791335723159</v>
      </c>
      <c r="O135" s="260">
        <f t="shared" si="72"/>
        <v>0.2451812570240979</v>
      </c>
      <c r="P135" s="260">
        <f t="shared" si="72"/>
        <v>0.26292597799214695</v>
      </c>
      <c r="Q135" s="260">
        <f t="shared" si="72"/>
        <v>0.24489316836051175</v>
      </c>
      <c r="R135" s="260">
        <f t="shared" si="72"/>
        <v>0.28592901490135053</v>
      </c>
      <c r="S135" s="260">
        <f t="shared" si="72"/>
        <v>0.21723248283471275</v>
      </c>
      <c r="T135" s="260">
        <f t="shared" si="72"/>
        <v>0.24025297839369084</v>
      </c>
      <c r="U135" s="260">
        <f t="shared" si="72"/>
        <v>0.25832883836988507</v>
      </c>
      <c r="V135" s="260">
        <f t="shared" ref="V135:AE135" si="73">V102/V93</f>
        <v>0.3871696084931755</v>
      </c>
      <c r="W135" s="260">
        <f t="shared" si="73"/>
        <v>0.40069136325225452</v>
      </c>
      <c r="X135" s="260">
        <f t="shared" si="73"/>
        <v>0.31245780585806004</v>
      </c>
      <c r="Y135" s="260">
        <f t="shared" si="73"/>
        <v>0.35388521120417904</v>
      </c>
      <c r="Z135" s="260">
        <f t="shared" si="73"/>
        <v>0.31508864894109201</v>
      </c>
      <c r="AA135" s="260">
        <f t="shared" si="73"/>
        <v>0.27573688366724913</v>
      </c>
      <c r="AB135" s="260">
        <f t="shared" si="73"/>
        <v>0.31970204686954307</v>
      </c>
      <c r="AC135" s="260">
        <f t="shared" si="73"/>
        <v>0.31705331705331702</v>
      </c>
      <c r="AD135" s="260">
        <f>AD102/AD93</f>
        <v>0.28300393351804726</v>
      </c>
      <c r="AE135" s="260">
        <f t="shared" si="73"/>
        <v>0.58739921644685233</v>
      </c>
    </row>
    <row r="136" spans="3:31">
      <c r="C136" s="156"/>
      <c r="D136" s="156"/>
      <c r="E136" s="156"/>
      <c r="F136" s="156"/>
      <c r="G136" s="156"/>
      <c r="H136" s="156"/>
      <c r="I136" s="156"/>
      <c r="J136" s="156"/>
      <c r="K136" s="1095"/>
      <c r="L136" s="156"/>
      <c r="M136" s="156"/>
      <c r="N136" s="156"/>
      <c r="O136" s="156"/>
      <c r="P136" s="156"/>
      <c r="Q136" s="156"/>
      <c r="R136" s="156"/>
      <c r="S136" s="156"/>
      <c r="T136" s="156"/>
      <c r="U136" s="156"/>
    </row>
    <row r="137" spans="3:31">
      <c r="C137" s="144" t="s">
        <v>1113</v>
      </c>
      <c r="D137" s="144">
        <v>0.56100000000000005</v>
      </c>
      <c r="E137" s="144">
        <v>0.77800000000000002</v>
      </c>
      <c r="F137" s="144">
        <v>1.2372000000000001</v>
      </c>
      <c r="G137" s="144">
        <v>1.8311999999999999</v>
      </c>
      <c r="H137" s="144">
        <v>2.3725000000000001</v>
      </c>
      <c r="I137" s="144">
        <v>2.7646000000000002</v>
      </c>
      <c r="J137" s="144">
        <v>3.0607000000000002</v>
      </c>
      <c r="K137" s="144">
        <v>2.9710000000000001</v>
      </c>
      <c r="L137" s="144">
        <v>3.1179999999999999</v>
      </c>
      <c r="M137" s="144">
        <v>3.2982999999999998</v>
      </c>
      <c r="N137" s="144">
        <v>3.4426000000000001</v>
      </c>
      <c r="O137" s="144">
        <v>3.4291</v>
      </c>
      <c r="P137" s="144">
        <v>4.1436999999999999</v>
      </c>
      <c r="Q137" s="144">
        <v>4.3789999999999996</v>
      </c>
      <c r="R137" s="144">
        <v>4.6096000000000004</v>
      </c>
      <c r="S137" s="144">
        <v>4.7629999999999999</v>
      </c>
      <c r="T137" s="144">
        <v>4.7641999999999998</v>
      </c>
      <c r="U137" s="144">
        <v>4.9348999999999998</v>
      </c>
      <c r="V137">
        <v>6.1645000000000003</v>
      </c>
      <c r="W137">
        <v>7.8356000000000003</v>
      </c>
      <c r="X137">
        <v>8.5496999999999996</v>
      </c>
      <c r="Y137">
        <v>9.1511999999999993</v>
      </c>
      <c r="Z137">
        <v>9.5300999999999991</v>
      </c>
      <c r="AA137">
        <v>10.321899999999999</v>
      </c>
      <c r="AB137">
        <v>11.3089</v>
      </c>
      <c r="AC137">
        <v>11.0258</v>
      </c>
      <c r="AD137">
        <v>10.8445</v>
      </c>
      <c r="AE137">
        <v>10.7986</v>
      </c>
    </row>
    <row r="138" spans="3:31" ht="26.25">
      <c r="C138" s="1097" t="s">
        <v>1114</v>
      </c>
      <c r="H138" s="140">
        <v>3114.6</v>
      </c>
      <c r="I138" s="140">
        <v>3973.1</v>
      </c>
      <c r="J138" s="140">
        <v>5797.7</v>
      </c>
      <c r="K138" s="144">
        <v>7971.8</v>
      </c>
      <c r="L138" s="144">
        <v>9213.6</v>
      </c>
      <c r="M138" s="144">
        <v>12613.3</v>
      </c>
      <c r="N138" s="144">
        <v>16858.400000000001</v>
      </c>
      <c r="O138" s="144">
        <v>25488.400000000001</v>
      </c>
      <c r="P138" s="144">
        <v>25527.3</v>
      </c>
      <c r="Q138" s="144">
        <v>31249</v>
      </c>
      <c r="R138" s="144">
        <v>36391.699999999997</v>
      </c>
      <c r="S138" s="140">
        <v>45552.2</v>
      </c>
      <c r="T138" s="140">
        <v>57046</v>
      </c>
      <c r="U138" s="140">
        <v>60484.4</v>
      </c>
      <c r="V138">
        <v>60386.2</v>
      </c>
      <c r="W138">
        <v>63326.3</v>
      </c>
      <c r="X138">
        <v>73845.8</v>
      </c>
      <c r="Y138">
        <v>82275.600000000006</v>
      </c>
      <c r="Z138">
        <v>91789.7</v>
      </c>
      <c r="AA138">
        <v>98038.9</v>
      </c>
      <c r="AB138">
        <v>121671</v>
      </c>
      <c r="AC138">
        <v>156743.29999999999</v>
      </c>
      <c r="AD138">
        <v>165640.5</v>
      </c>
    </row>
    <row r="139" spans="3:31">
      <c r="C139" s="140" t="s">
        <v>1115</v>
      </c>
      <c r="K139" s="140">
        <v>1104.7</v>
      </c>
      <c r="L139" s="144">
        <v>1578.6</v>
      </c>
      <c r="M139" s="140">
        <v>1207.8</v>
      </c>
      <c r="N139" s="140">
        <v>1117.0999999999999</v>
      </c>
      <c r="O139" s="144">
        <v>1675</v>
      </c>
      <c r="P139" s="140">
        <v>1573.5</v>
      </c>
      <c r="Q139" s="140">
        <v>4590.8</v>
      </c>
      <c r="R139" s="140">
        <v>6136.9</v>
      </c>
      <c r="S139" s="140">
        <v>6549.3</v>
      </c>
      <c r="T139" s="140">
        <v>8828.9</v>
      </c>
      <c r="U139" s="140">
        <v>6583.8</v>
      </c>
      <c r="V139">
        <v>5880.3</v>
      </c>
      <c r="W139">
        <v>4216.7</v>
      </c>
      <c r="X139">
        <v>3090.5</v>
      </c>
      <c r="Y139">
        <v>6201</v>
      </c>
      <c r="Z139">
        <v>9721.2000000000007</v>
      </c>
      <c r="AA139">
        <v>11907.2</v>
      </c>
      <c r="AB139">
        <v>12884.9</v>
      </c>
      <c r="AC139">
        <v>13151.1</v>
      </c>
    </row>
    <row r="140" spans="3:31">
      <c r="C140" s="140" t="s">
        <v>1116</v>
      </c>
      <c r="K140" s="140">
        <v>8113</v>
      </c>
      <c r="L140" s="140">
        <v>9436.5</v>
      </c>
      <c r="M140" s="140">
        <v>13014.9</v>
      </c>
      <c r="N140" s="140">
        <v>17148.7</v>
      </c>
      <c r="O140" s="140">
        <v>25910.5</v>
      </c>
      <c r="P140" s="140">
        <v>25862.9</v>
      </c>
      <c r="Q140" s="140">
        <v>31616.799999999999</v>
      </c>
      <c r="R140" s="140">
        <v>36754.800000000003</v>
      </c>
      <c r="S140" s="140">
        <v>45856.2</v>
      </c>
      <c r="T140" s="140">
        <v>57533.5</v>
      </c>
      <c r="U140" s="140">
        <v>60892.4</v>
      </c>
      <c r="V140">
        <v>61620.2</v>
      </c>
      <c r="W140">
        <v>64498.7</v>
      </c>
      <c r="X140">
        <v>71220.3</v>
      </c>
    </row>
    <row r="141" spans="3:31">
      <c r="C141" s="140" t="s">
        <v>394</v>
      </c>
      <c r="K141" s="140">
        <v>2820.2</v>
      </c>
      <c r="L141" s="140">
        <v>2537.1</v>
      </c>
      <c r="M141" s="140">
        <v>4241.1000000000004</v>
      </c>
      <c r="N141" s="140">
        <v>5224.8</v>
      </c>
      <c r="O141" s="140">
        <v>8754</v>
      </c>
      <c r="P141" s="140">
        <v>5482.7</v>
      </c>
      <c r="Q141" s="140">
        <v>7890.6</v>
      </c>
      <c r="R141" s="140">
        <v>3439.9</v>
      </c>
      <c r="S141" s="140">
        <v>4808.5</v>
      </c>
      <c r="T141" s="140">
        <v>11391.9</v>
      </c>
      <c r="U141" s="140">
        <v>9516.1</v>
      </c>
      <c r="V141">
        <v>14443.5</v>
      </c>
      <c r="W141">
        <v>13878.8</v>
      </c>
      <c r="X141">
        <v>14775.9</v>
      </c>
    </row>
    <row r="143" spans="3:31">
      <c r="C143" s="1098" t="s">
        <v>1117</v>
      </c>
      <c r="G143" s="1098">
        <v>1773.3</v>
      </c>
      <c r="H143" s="1098">
        <v>2490.1999999999998</v>
      </c>
      <c r="I143" s="1098">
        <v>3286.1</v>
      </c>
      <c r="J143" s="1098">
        <v>4615.8999999999996</v>
      </c>
      <c r="K143" s="1098">
        <v>5967.1</v>
      </c>
      <c r="L143" s="1098">
        <v>6878.2</v>
      </c>
      <c r="M143" s="1098">
        <v>8870.2000000000007</v>
      </c>
      <c r="N143" s="1098">
        <v>11673.6</v>
      </c>
      <c r="O143" s="1098">
        <v>15886.1</v>
      </c>
      <c r="P143" s="1098">
        <v>18112.599999999999</v>
      </c>
      <c r="Q143" s="1098">
        <v>22309.4</v>
      </c>
      <c r="R143" s="1098">
        <v>26446.3</v>
      </c>
      <c r="S143" s="1098">
        <v>31996.1</v>
      </c>
      <c r="T143" s="1098">
        <v>35759.4</v>
      </c>
      <c r="U143" s="1098">
        <v>40836.199999999997</v>
      </c>
      <c r="V143" s="133">
        <v>43745.9</v>
      </c>
      <c r="W143" s="133">
        <v>49921.1</v>
      </c>
      <c r="X143" s="133">
        <v>56001.8</v>
      </c>
      <c r="Y143" s="133">
        <v>61368.4</v>
      </c>
      <c r="Z143" s="133">
        <v>68691.3</v>
      </c>
      <c r="AA143" s="133">
        <v>73870.5</v>
      </c>
      <c r="AB143" s="133">
        <v>91932</v>
      </c>
      <c r="AC143" s="133">
        <v>108831</v>
      </c>
      <c r="AD143" s="133">
        <v>123026.8</v>
      </c>
    </row>
    <row r="144" spans="3:31">
      <c r="C144" s="1098" t="s">
        <v>1118</v>
      </c>
      <c r="G144" s="1098">
        <v>400.8</v>
      </c>
      <c r="H144" s="1098">
        <v>483.4</v>
      </c>
      <c r="I144" s="1098">
        <v>641.1</v>
      </c>
      <c r="J144" s="1098">
        <v>859.4</v>
      </c>
      <c r="K144" s="1098">
        <v>1158.7</v>
      </c>
      <c r="L144" s="1098">
        <v>1479.6</v>
      </c>
      <c r="M144" s="1098">
        <v>1778.7</v>
      </c>
      <c r="N144" s="1098">
        <v>2242.5</v>
      </c>
      <c r="O144" s="1098">
        <v>3295.5</v>
      </c>
      <c r="P144" s="1098">
        <v>3452.1</v>
      </c>
      <c r="Q144" s="1098">
        <v>5201.5</v>
      </c>
      <c r="R144" s="1098">
        <v>6298.7</v>
      </c>
      <c r="S144" s="1098">
        <v>7401.7</v>
      </c>
      <c r="T144" s="1098">
        <v>8657</v>
      </c>
      <c r="U144" s="1098">
        <v>10176.200000000001</v>
      </c>
      <c r="V144" s="133">
        <v>10546.4</v>
      </c>
      <c r="W144" s="133">
        <v>10891.2</v>
      </c>
      <c r="X144" s="133">
        <v>11811</v>
      </c>
      <c r="Y144" s="133">
        <v>13808</v>
      </c>
      <c r="Z144" s="133">
        <v>15139.2</v>
      </c>
      <c r="AA144" s="133">
        <v>15570.5</v>
      </c>
      <c r="AB144" s="133">
        <v>18905.8</v>
      </c>
      <c r="AC144" s="133">
        <v>22520.7</v>
      </c>
      <c r="AD144" s="133">
        <v>26406.3</v>
      </c>
    </row>
    <row r="145" spans="3:30">
      <c r="C145" s="140" t="s">
        <v>1119</v>
      </c>
      <c r="N145" s="140">
        <v>479.7</v>
      </c>
      <c r="O145" s="140">
        <v>692</v>
      </c>
      <c r="P145" s="140">
        <v>675.7</v>
      </c>
      <c r="Q145" s="140">
        <v>816.7</v>
      </c>
      <c r="R145" s="140">
        <v>1141.5999999999999</v>
      </c>
      <c r="S145" s="140">
        <v>1391.9</v>
      </c>
      <c r="T145" s="140">
        <v>1889.4</v>
      </c>
      <c r="U145" s="140">
        <v>2370.6999999999998</v>
      </c>
      <c r="V145">
        <v>2672.2</v>
      </c>
      <c r="W145">
        <v>2589.6</v>
      </c>
      <c r="X145">
        <v>2386</v>
      </c>
      <c r="Y145">
        <v>2471.5</v>
      </c>
      <c r="Z145">
        <v>3220</v>
      </c>
      <c r="AA145">
        <v>3020.5</v>
      </c>
      <c r="AB145">
        <v>4173.6000000000004</v>
      </c>
      <c r="AC145">
        <v>4504.6000000000004</v>
      </c>
      <c r="AD145">
        <v>5052.8</v>
      </c>
    </row>
    <row r="146" spans="3:30">
      <c r="C146" s="140" t="s">
        <v>1120</v>
      </c>
      <c r="N146" s="140">
        <v>1547.8</v>
      </c>
      <c r="O146" s="140">
        <v>2332.8000000000002</v>
      </c>
      <c r="P146" s="140">
        <v>2512.3000000000002</v>
      </c>
      <c r="Q146" s="140">
        <v>4046.1</v>
      </c>
      <c r="R146" s="140">
        <v>4947.6000000000004</v>
      </c>
      <c r="S146" s="140">
        <v>5776.6</v>
      </c>
      <c r="T146" s="140">
        <v>6536.7</v>
      </c>
      <c r="U146" s="140">
        <v>7537.8</v>
      </c>
      <c r="V146">
        <v>7541</v>
      </c>
      <c r="W146">
        <v>7947.7</v>
      </c>
      <c r="X146">
        <v>9030.2999999999993</v>
      </c>
      <c r="Y146">
        <v>10374.5</v>
      </c>
      <c r="Z146">
        <v>11400.5</v>
      </c>
      <c r="AA146">
        <v>12066.8</v>
      </c>
      <c r="AB146">
        <v>14186.6</v>
      </c>
      <c r="AC146">
        <v>17414.7</v>
      </c>
      <c r="AD146">
        <v>20712.599999999999</v>
      </c>
    </row>
    <row r="147" spans="3:30">
      <c r="C147" s="140" t="s">
        <v>1121</v>
      </c>
      <c r="N147" s="140">
        <v>215</v>
      </c>
      <c r="O147" s="140">
        <v>270.7</v>
      </c>
      <c r="P147" s="140">
        <v>264.10000000000002</v>
      </c>
      <c r="Q147" s="140">
        <v>338.7</v>
      </c>
      <c r="R147" s="140">
        <v>209.5</v>
      </c>
      <c r="S147" s="140">
        <v>233.2</v>
      </c>
      <c r="T147" s="140">
        <v>230.9</v>
      </c>
      <c r="U147" s="140">
        <v>267.7</v>
      </c>
      <c r="V147">
        <v>333.2</v>
      </c>
      <c r="W147">
        <v>353.9</v>
      </c>
      <c r="X147">
        <v>394.7</v>
      </c>
      <c r="Y147">
        <v>962</v>
      </c>
      <c r="Z147">
        <v>518.70000000000005</v>
      </c>
      <c r="AA147">
        <v>483.2</v>
      </c>
      <c r="AB147">
        <v>545.6</v>
      </c>
      <c r="AC147">
        <v>601.4</v>
      </c>
      <c r="AD147">
        <v>640.9</v>
      </c>
    </row>
    <row r="148" spans="3:30">
      <c r="C148" s="1098" t="s">
        <v>1122</v>
      </c>
      <c r="G148" s="1098">
        <v>486.8</v>
      </c>
      <c r="H148" s="1098">
        <v>723.9</v>
      </c>
      <c r="I148" s="1098">
        <v>933.1</v>
      </c>
      <c r="J148" s="1098">
        <v>1294.0999999999999</v>
      </c>
      <c r="K148" s="1098">
        <v>1605.2</v>
      </c>
      <c r="L148" s="1098">
        <v>1764.5</v>
      </c>
      <c r="M148" s="1098">
        <v>2299.5</v>
      </c>
      <c r="N148" s="1098">
        <v>2814.3</v>
      </c>
      <c r="O148" s="1098">
        <v>4037.7</v>
      </c>
      <c r="P148" s="1098">
        <v>4988.6000000000004</v>
      </c>
      <c r="Q148" s="1098">
        <v>5716.2</v>
      </c>
      <c r="R148" s="1098">
        <v>7032.7</v>
      </c>
      <c r="S148" s="1098">
        <v>8749.7999999999993</v>
      </c>
      <c r="T148" s="1098">
        <v>10141.200000000001</v>
      </c>
      <c r="U148" s="1098">
        <v>11530.5</v>
      </c>
      <c r="V148" s="133">
        <v>12036.9</v>
      </c>
      <c r="W148" s="133">
        <v>14654.8</v>
      </c>
      <c r="X148" s="133">
        <v>17510.7</v>
      </c>
      <c r="Y148" s="133">
        <v>18343.8</v>
      </c>
      <c r="Z148" s="133">
        <v>20537.099999999999</v>
      </c>
      <c r="AA148" s="133">
        <v>21621.9</v>
      </c>
      <c r="AB148" s="133">
        <v>27465.4</v>
      </c>
      <c r="AC148" s="133">
        <v>31939.200000000001</v>
      </c>
      <c r="AD148" s="133">
        <v>35186.300000000003</v>
      </c>
    </row>
    <row r="149" spans="3:30">
      <c r="C149" s="140" t="s">
        <v>1119</v>
      </c>
      <c r="N149" s="140">
        <v>1372.2</v>
      </c>
      <c r="O149" s="140">
        <v>2017.2</v>
      </c>
      <c r="P149" s="140">
        <v>2137.8000000000002</v>
      </c>
      <c r="Q149" s="140">
        <v>2336.3000000000002</v>
      </c>
      <c r="R149" s="140">
        <v>3770.8</v>
      </c>
      <c r="S149" s="140">
        <v>5005.5</v>
      </c>
      <c r="T149" s="140">
        <v>5630.4</v>
      </c>
      <c r="U149" s="140">
        <v>5965.9</v>
      </c>
      <c r="V149">
        <v>6297.6</v>
      </c>
      <c r="W149">
        <v>8091.3</v>
      </c>
      <c r="X149">
        <v>10310.4</v>
      </c>
      <c r="Y149">
        <v>10541.4</v>
      </c>
      <c r="Z149">
        <v>12005.3</v>
      </c>
      <c r="AA149">
        <v>13431</v>
      </c>
      <c r="AB149">
        <v>17571.5</v>
      </c>
      <c r="AC149">
        <v>20459.7</v>
      </c>
      <c r="AD149">
        <v>23227.3</v>
      </c>
    </row>
    <row r="150" spans="3:30">
      <c r="C150" s="140" t="s">
        <v>1120</v>
      </c>
      <c r="N150" s="140">
        <v>1274.0999999999999</v>
      </c>
      <c r="O150" s="140">
        <v>1839</v>
      </c>
      <c r="P150" s="140">
        <v>2686.1</v>
      </c>
      <c r="Q150" s="140">
        <v>3174.8</v>
      </c>
      <c r="R150" s="140">
        <v>3071.8</v>
      </c>
      <c r="S150" s="140">
        <v>3511.3</v>
      </c>
      <c r="T150" s="140">
        <v>4280.8</v>
      </c>
      <c r="U150" s="140">
        <v>5303.6</v>
      </c>
      <c r="V150">
        <v>5407.1</v>
      </c>
      <c r="W150">
        <v>6219</v>
      </c>
      <c r="X150">
        <v>6798.8</v>
      </c>
      <c r="Y150">
        <v>7497.7</v>
      </c>
      <c r="Z150">
        <v>8213</v>
      </c>
      <c r="AA150">
        <v>7958.7</v>
      </c>
      <c r="AB150">
        <v>9572.7000000000007</v>
      </c>
      <c r="AC150">
        <v>11128.3</v>
      </c>
      <c r="AD150">
        <v>11572.7</v>
      </c>
    </row>
    <row r="151" spans="3:30">
      <c r="C151" s="140" t="s">
        <v>1121</v>
      </c>
      <c r="N151" s="140">
        <v>168</v>
      </c>
      <c r="O151" s="140">
        <v>181.5</v>
      </c>
      <c r="P151" s="140">
        <v>164.7</v>
      </c>
      <c r="Q151" s="140">
        <v>205.1</v>
      </c>
      <c r="R151" s="140">
        <v>190.1</v>
      </c>
      <c r="S151" s="140">
        <v>233</v>
      </c>
      <c r="T151" s="140">
        <v>230</v>
      </c>
      <c r="U151" s="140">
        <v>261</v>
      </c>
      <c r="V151">
        <v>332.2</v>
      </c>
      <c r="W151">
        <v>344.5</v>
      </c>
      <c r="X151">
        <v>401.5</v>
      </c>
      <c r="Y151">
        <v>304.7</v>
      </c>
      <c r="Z151">
        <v>318.8</v>
      </c>
      <c r="AA151">
        <v>232.2</v>
      </c>
      <c r="AB151">
        <v>321.2</v>
      </c>
      <c r="AC151">
        <v>351.2</v>
      </c>
      <c r="AD151">
        <v>386.3</v>
      </c>
    </row>
    <row r="152" spans="3:30">
      <c r="C152" s="1098" t="s">
        <v>1123</v>
      </c>
      <c r="G152" s="1099">
        <v>396.9</v>
      </c>
      <c r="H152" s="1099">
        <v>632.70000000000005</v>
      </c>
      <c r="I152" s="1098">
        <v>839.4</v>
      </c>
      <c r="J152" s="1098">
        <v>1236.5</v>
      </c>
      <c r="K152" s="1098">
        <v>1567.3</v>
      </c>
      <c r="L152" s="1098">
        <v>1805.5</v>
      </c>
      <c r="M152" s="1098">
        <v>2384.9</v>
      </c>
      <c r="N152" s="1098">
        <v>3366</v>
      </c>
      <c r="O152" s="1098">
        <v>4904.2</v>
      </c>
      <c r="P152" s="1098">
        <v>5206.7</v>
      </c>
      <c r="Q152" s="1098">
        <v>6493.2</v>
      </c>
      <c r="R152" s="1098">
        <v>8050.8</v>
      </c>
      <c r="S152" s="1098">
        <v>9799.9</v>
      </c>
      <c r="T152" s="1098">
        <v>10223.700000000001</v>
      </c>
      <c r="U152" s="1098">
        <v>11777.5</v>
      </c>
      <c r="V152" s="133">
        <v>12855.2</v>
      </c>
      <c r="W152" s="133">
        <v>14620.2</v>
      </c>
      <c r="X152" s="133">
        <v>16003.5</v>
      </c>
      <c r="Y152" s="133">
        <v>17107.5</v>
      </c>
      <c r="Z152" s="133">
        <v>19664</v>
      </c>
      <c r="AA152" s="133">
        <v>22080.5</v>
      </c>
      <c r="AB152" s="133">
        <v>26967.8</v>
      </c>
      <c r="AC152" s="133">
        <v>33832.1</v>
      </c>
      <c r="AD152" s="133">
        <v>36064.699999999997</v>
      </c>
    </row>
    <row r="153" spans="3:30">
      <c r="C153" s="140" t="s">
        <v>1119</v>
      </c>
      <c r="N153" s="140">
        <v>2069.3000000000002</v>
      </c>
      <c r="O153" s="140">
        <v>3190</v>
      </c>
      <c r="P153" s="140">
        <v>3040.7</v>
      </c>
      <c r="Q153" s="140">
        <v>3966.9</v>
      </c>
      <c r="R153" s="140">
        <v>5381</v>
      </c>
      <c r="S153" s="140">
        <v>6763.4</v>
      </c>
      <c r="T153" s="140">
        <v>6712.2</v>
      </c>
      <c r="U153" s="140">
        <v>8622.7000000000007</v>
      </c>
      <c r="V153">
        <v>8895</v>
      </c>
      <c r="W153">
        <v>10028.200000000001</v>
      </c>
      <c r="X153">
        <v>10998.8</v>
      </c>
      <c r="Y153">
        <v>11792.8</v>
      </c>
      <c r="Z153">
        <v>13545.7</v>
      </c>
      <c r="AA153">
        <v>15356.2</v>
      </c>
      <c r="AB153">
        <v>19141.3</v>
      </c>
      <c r="AC153">
        <v>23944.5</v>
      </c>
      <c r="AD153">
        <v>24965.7</v>
      </c>
    </row>
    <row r="154" spans="3:30">
      <c r="C154" s="140" t="s">
        <v>1120</v>
      </c>
      <c r="N154" s="140">
        <v>1181.5999999999999</v>
      </c>
      <c r="O154" s="140">
        <v>1583.7</v>
      </c>
      <c r="P154" s="140">
        <v>2087</v>
      </c>
      <c r="Q154" s="140">
        <v>6376.7</v>
      </c>
      <c r="R154" s="140">
        <v>2570.6</v>
      </c>
      <c r="S154" s="140">
        <v>2913.3</v>
      </c>
      <c r="T154" s="140">
        <v>3373.9</v>
      </c>
      <c r="U154" s="140">
        <v>2937.8</v>
      </c>
      <c r="V154">
        <v>3659.3</v>
      </c>
      <c r="W154">
        <v>4291.3</v>
      </c>
      <c r="X154">
        <v>4673.6000000000004</v>
      </c>
      <c r="Y154">
        <v>4986</v>
      </c>
      <c r="Z154">
        <v>5748.7</v>
      </c>
      <c r="AA154">
        <v>6448.7</v>
      </c>
      <c r="AB154">
        <v>7489.6</v>
      </c>
      <c r="AC154">
        <v>9520.7000000000007</v>
      </c>
      <c r="AD154">
        <v>10650.1</v>
      </c>
    </row>
    <row r="155" spans="3:30">
      <c r="C155" s="140" t="s">
        <v>1121</v>
      </c>
      <c r="N155" s="140">
        <v>115.1</v>
      </c>
      <c r="O155" s="140">
        <v>130.5</v>
      </c>
      <c r="P155" s="140">
        <v>79</v>
      </c>
      <c r="Q155" s="140">
        <v>116.6</v>
      </c>
      <c r="R155" s="140">
        <v>99.2</v>
      </c>
      <c r="S155" s="140">
        <v>123.2</v>
      </c>
      <c r="T155" s="140">
        <v>137.6</v>
      </c>
      <c r="U155" s="140">
        <v>217</v>
      </c>
      <c r="V155">
        <v>300.89999999999998</v>
      </c>
      <c r="W155">
        <v>300.7</v>
      </c>
      <c r="X155">
        <v>331.1</v>
      </c>
      <c r="Y155">
        <v>328.7</v>
      </c>
      <c r="Z155">
        <v>369.6</v>
      </c>
      <c r="AA155">
        <v>275.60000000000002</v>
      </c>
      <c r="AB155">
        <v>336.9</v>
      </c>
      <c r="AC155">
        <v>366.9</v>
      </c>
      <c r="AD155">
        <v>448.9</v>
      </c>
    </row>
    <row r="156" spans="3:30">
      <c r="C156" s="1098" t="s">
        <v>1124</v>
      </c>
      <c r="G156" s="1098">
        <v>32.299999999999997</v>
      </c>
      <c r="H156" s="1098">
        <v>54.3</v>
      </c>
      <c r="I156" s="1098">
        <v>70.099999999999994</v>
      </c>
      <c r="J156" s="1098">
        <v>114.4</v>
      </c>
      <c r="K156" s="1098">
        <v>162.19999999999999</v>
      </c>
      <c r="L156" s="1098">
        <v>160</v>
      </c>
      <c r="M156" s="1098">
        <v>173</v>
      </c>
      <c r="N156" s="1098">
        <v>232.3</v>
      </c>
      <c r="O156" s="1098">
        <v>333.9</v>
      </c>
      <c r="P156" s="1098">
        <v>393.3</v>
      </c>
      <c r="Q156" s="1098">
        <v>416.1</v>
      </c>
      <c r="R156" s="1098">
        <v>382.3</v>
      </c>
      <c r="S156" s="1098">
        <v>548.9</v>
      </c>
      <c r="T156" s="1098">
        <v>666</v>
      </c>
      <c r="U156" s="1098">
        <v>721.7</v>
      </c>
      <c r="V156" s="133">
        <v>716.8</v>
      </c>
      <c r="W156" s="133">
        <v>841.2</v>
      </c>
      <c r="X156" s="133">
        <v>956.5</v>
      </c>
      <c r="Y156" s="133">
        <v>1035.5999999999999</v>
      </c>
      <c r="Z156" s="133">
        <v>1063.4000000000001</v>
      </c>
      <c r="AA156" s="133">
        <v>1065</v>
      </c>
      <c r="AB156" s="133">
        <v>1278.8</v>
      </c>
      <c r="AC156" s="133">
        <v>1365.3</v>
      </c>
      <c r="AD156" s="133">
        <v>1736.6</v>
      </c>
    </row>
    <row r="157" spans="3:30">
      <c r="C157" s="140" t="s">
        <v>1119</v>
      </c>
      <c r="N157" s="140">
        <v>141.69999999999999</v>
      </c>
      <c r="O157" s="140">
        <v>209.4</v>
      </c>
      <c r="P157" s="140">
        <v>228.2</v>
      </c>
      <c r="Q157" s="140">
        <v>256</v>
      </c>
      <c r="R157" s="140">
        <v>300.89999999999998</v>
      </c>
      <c r="S157" s="140">
        <v>375.6</v>
      </c>
      <c r="T157" s="140">
        <v>457.3</v>
      </c>
      <c r="U157" s="140">
        <v>492</v>
      </c>
      <c r="V157">
        <v>495.5</v>
      </c>
      <c r="W157">
        <v>569.79999999999995</v>
      </c>
      <c r="X157">
        <v>672.2</v>
      </c>
      <c r="Y157">
        <v>652.1</v>
      </c>
      <c r="Z157">
        <v>593.6</v>
      </c>
      <c r="AA157">
        <v>618.70000000000005</v>
      </c>
      <c r="AB157">
        <v>788.5</v>
      </c>
      <c r="AC157">
        <v>840.5</v>
      </c>
      <c r="AD157">
        <v>1163.8</v>
      </c>
    </row>
    <row r="158" spans="3:30">
      <c r="C158" s="140" t="s">
        <v>1120</v>
      </c>
      <c r="N158" s="140">
        <v>83.6</v>
      </c>
      <c r="O158" s="140">
        <v>115.2</v>
      </c>
      <c r="P158" s="140">
        <v>159.1</v>
      </c>
      <c r="Q158" s="140">
        <v>410</v>
      </c>
      <c r="R158" s="140">
        <v>76.8</v>
      </c>
      <c r="S158" s="140">
        <v>166.6</v>
      </c>
      <c r="T158" s="140">
        <v>204.1</v>
      </c>
      <c r="U158" s="140">
        <v>224.7</v>
      </c>
      <c r="V158">
        <v>214.6</v>
      </c>
      <c r="W158">
        <v>256.89999999999998</v>
      </c>
      <c r="X158">
        <v>270.39999999999998</v>
      </c>
      <c r="Y158">
        <v>368.6</v>
      </c>
      <c r="Z158">
        <v>451.2</v>
      </c>
      <c r="AA158">
        <v>435</v>
      </c>
      <c r="AB158">
        <v>476.1</v>
      </c>
      <c r="AC158">
        <v>509.1</v>
      </c>
      <c r="AD158">
        <v>554.20000000000005</v>
      </c>
    </row>
    <row r="159" spans="3:30">
      <c r="C159" s="140" t="s">
        <v>1121</v>
      </c>
      <c r="N159" s="140">
        <v>7</v>
      </c>
      <c r="O159" s="140">
        <v>9.3000000000000007</v>
      </c>
      <c r="P159" s="140">
        <v>6</v>
      </c>
      <c r="Q159" s="140">
        <v>6.1</v>
      </c>
      <c r="R159" s="140">
        <v>4.5999999999999996</v>
      </c>
      <c r="S159" s="140">
        <v>6.7</v>
      </c>
      <c r="T159" s="140">
        <v>4.5999999999999996</v>
      </c>
      <c r="U159" s="140">
        <v>5</v>
      </c>
      <c r="V159">
        <v>6.7</v>
      </c>
      <c r="W159">
        <v>14.5</v>
      </c>
      <c r="X159">
        <v>13.9</v>
      </c>
      <c r="Y159">
        <v>14.9</v>
      </c>
      <c r="Z159">
        <v>18.5</v>
      </c>
      <c r="AA159">
        <v>11.3</v>
      </c>
      <c r="AB159">
        <v>14.2</v>
      </c>
      <c r="AC159">
        <v>15.7</v>
      </c>
      <c r="AD159">
        <v>18.600000000000001</v>
      </c>
    </row>
    <row r="160" spans="3:30">
      <c r="C160" s="1098" t="s">
        <v>1125</v>
      </c>
      <c r="G160" s="1098">
        <v>460.5</v>
      </c>
      <c r="H160" s="1098">
        <v>595.9</v>
      </c>
      <c r="I160" s="1098">
        <v>802.4</v>
      </c>
      <c r="J160" s="1098">
        <v>1111.5</v>
      </c>
      <c r="K160" s="1100">
        <v>1473.7</v>
      </c>
      <c r="L160" s="1100">
        <v>1668.6</v>
      </c>
      <c r="M160" s="1098">
        <v>2234.1</v>
      </c>
      <c r="N160" s="1098">
        <v>3018.4</v>
      </c>
      <c r="O160" s="1098">
        <v>3314.8</v>
      </c>
      <c r="P160" s="1098">
        <v>4072</v>
      </c>
      <c r="Q160" s="1098">
        <v>4482</v>
      </c>
      <c r="R160" s="1098">
        <v>4681.8</v>
      </c>
      <c r="S160" s="1098">
        <v>5495.8</v>
      </c>
      <c r="T160" s="1098">
        <v>6071.6</v>
      </c>
      <c r="U160" s="1098">
        <v>6630.3</v>
      </c>
      <c r="V160" s="133">
        <v>7590.6</v>
      </c>
      <c r="W160" s="133">
        <v>8913.7000000000007</v>
      </c>
      <c r="X160" s="133">
        <v>9719.7999999999993</v>
      </c>
      <c r="Y160" s="133">
        <v>11073.5</v>
      </c>
      <c r="Z160" s="133">
        <v>12287.6</v>
      </c>
      <c r="AA160" s="133">
        <v>13532.6</v>
      </c>
      <c r="AB160" s="133">
        <v>17314.099999999999</v>
      </c>
      <c r="AC160" s="133">
        <v>19173.7</v>
      </c>
      <c r="AD160" s="133">
        <v>23641.8</v>
      </c>
    </row>
    <row r="161" spans="3:30">
      <c r="C161" s="140" t="s">
        <v>1119</v>
      </c>
      <c r="N161" s="140">
        <v>1520.3</v>
      </c>
      <c r="O161" s="140">
        <v>1986.5</v>
      </c>
      <c r="P161" s="140">
        <v>2250.8000000000002</v>
      </c>
      <c r="Q161" s="140">
        <v>2467.3000000000002</v>
      </c>
      <c r="R161" s="140">
        <v>2475.5</v>
      </c>
      <c r="S161" s="140">
        <v>3014.3</v>
      </c>
      <c r="T161" s="140">
        <v>3286.6</v>
      </c>
      <c r="U161" s="140">
        <v>3412.3</v>
      </c>
      <c r="V161">
        <v>3941.2</v>
      </c>
      <c r="W161">
        <v>4659.5</v>
      </c>
      <c r="X161">
        <v>5143</v>
      </c>
      <c r="Y161">
        <v>5711.8</v>
      </c>
      <c r="Z161">
        <v>6100.4</v>
      </c>
      <c r="AA161">
        <v>6466.6</v>
      </c>
      <c r="AB161">
        <v>9137.2999999999993</v>
      </c>
      <c r="AC161">
        <v>8739.4</v>
      </c>
      <c r="AD161">
        <v>10703.8</v>
      </c>
    </row>
    <row r="162" spans="3:30">
      <c r="C162" s="140" t="s">
        <v>1120</v>
      </c>
      <c r="N162" s="140">
        <v>1124.9000000000001</v>
      </c>
      <c r="O162" s="140">
        <v>1227.3</v>
      </c>
      <c r="P162" s="140">
        <v>1745.4</v>
      </c>
      <c r="Q162" s="140">
        <v>1754.9</v>
      </c>
      <c r="R162" s="140">
        <v>1850.9</v>
      </c>
      <c r="S162" s="140">
        <v>1979.4</v>
      </c>
      <c r="T162" s="140">
        <v>2168.5</v>
      </c>
      <c r="U162" s="140">
        <v>2454.6</v>
      </c>
      <c r="V162">
        <v>2987.5</v>
      </c>
      <c r="W162">
        <v>3590.1</v>
      </c>
      <c r="X162">
        <v>3824.1</v>
      </c>
      <c r="Y162">
        <v>4571.5</v>
      </c>
      <c r="Z162">
        <v>5382.7</v>
      </c>
      <c r="AA162">
        <v>6313.7</v>
      </c>
      <c r="AB162">
        <v>7208.9</v>
      </c>
      <c r="AC162">
        <v>9368.5</v>
      </c>
      <c r="AD162">
        <v>11622.4</v>
      </c>
    </row>
    <row r="163" spans="3:30">
      <c r="C163" s="140" t="s">
        <v>1121</v>
      </c>
      <c r="N163" s="140">
        <v>373.2</v>
      </c>
      <c r="O163" s="140">
        <v>101</v>
      </c>
      <c r="P163" s="140">
        <v>75.8</v>
      </c>
      <c r="Q163" s="140">
        <v>259.8</v>
      </c>
      <c r="R163" s="140">
        <v>355.4</v>
      </c>
      <c r="S163" s="140">
        <v>502.1</v>
      </c>
      <c r="T163" s="140">
        <v>616.5</v>
      </c>
      <c r="U163" s="140">
        <v>763.4</v>
      </c>
      <c r="V163">
        <v>661.9</v>
      </c>
      <c r="W163">
        <v>664.1</v>
      </c>
      <c r="X163">
        <v>752.7</v>
      </c>
      <c r="Y163">
        <v>790.2</v>
      </c>
      <c r="Z163">
        <v>804.5</v>
      </c>
      <c r="AA163">
        <v>752.3</v>
      </c>
      <c r="AB163">
        <v>967.9</v>
      </c>
      <c r="AC163">
        <v>1065.8</v>
      </c>
      <c r="AD163">
        <v>1315.6</v>
      </c>
    </row>
    <row r="165" spans="3:30">
      <c r="C165" s="1098" t="s">
        <v>1126</v>
      </c>
      <c r="D165" s="140">
        <v>2909</v>
      </c>
      <c r="E165" s="140">
        <v>3038</v>
      </c>
      <c r="F165" s="140">
        <v>3125</v>
      </c>
      <c r="G165" s="140">
        <v>3186</v>
      </c>
      <c r="H165" s="140">
        <v>3301</v>
      </c>
      <c r="I165" s="140">
        <v>3463</v>
      </c>
      <c r="J165" s="140">
        <v>3644</v>
      </c>
      <c r="K165" s="140">
        <v>3777</v>
      </c>
      <c r="L165" s="140">
        <v>3893</v>
      </c>
      <c r="M165" s="140">
        <v>4047</v>
      </c>
      <c r="N165" s="140">
        <v>4172</v>
      </c>
      <c r="O165" s="140">
        <v>4310</v>
      </c>
      <c r="P165" s="140">
        <v>4435</v>
      </c>
      <c r="Q165" s="140">
        <v>4530</v>
      </c>
      <c r="R165" s="140">
        <v>4664</v>
      </c>
      <c r="S165" s="140">
        <v>4796</v>
      </c>
      <c r="T165" s="140">
        <v>4859</v>
      </c>
      <c r="U165" s="140">
        <v>4983</v>
      </c>
      <c r="V165">
        <v>5111</v>
      </c>
      <c r="W165">
        <v>5224</v>
      </c>
      <c r="X165">
        <v>5326</v>
      </c>
      <c r="Y165">
        <v>5427</v>
      </c>
      <c r="Z165">
        <v>5521</v>
      </c>
      <c r="AA165">
        <v>5585</v>
      </c>
      <c r="AB165">
        <v>5653</v>
      </c>
      <c r="AC165">
        <v>5754</v>
      </c>
      <c r="AD165">
        <v>5990</v>
      </c>
    </row>
    <row r="166" spans="3:30">
      <c r="C166" s="140" t="s">
        <v>1127</v>
      </c>
      <c r="D166" s="140">
        <v>1842</v>
      </c>
      <c r="E166" s="140">
        <v>1855</v>
      </c>
      <c r="F166" s="140">
        <v>1791</v>
      </c>
      <c r="G166" s="140">
        <v>1794</v>
      </c>
      <c r="H166" s="140">
        <v>1872</v>
      </c>
      <c r="I166" s="140">
        <v>1904</v>
      </c>
      <c r="J166" s="140">
        <v>1932</v>
      </c>
      <c r="K166" s="140">
        <v>2132</v>
      </c>
      <c r="L166" s="140">
        <v>2154</v>
      </c>
      <c r="M166" s="140">
        <v>2185</v>
      </c>
      <c r="N166" s="140">
        <v>2201</v>
      </c>
      <c r="O166" s="140">
        <v>2217</v>
      </c>
      <c r="P166" s="140">
        <v>2264</v>
      </c>
      <c r="Q166" s="140">
        <v>2280</v>
      </c>
      <c r="R166" s="140">
        <v>2303</v>
      </c>
      <c r="S166" s="140">
        <v>2347</v>
      </c>
      <c r="T166" s="140">
        <v>2362</v>
      </c>
      <c r="U166" s="140">
        <v>2382</v>
      </c>
      <c r="V166">
        <v>2437</v>
      </c>
      <c r="W166">
        <v>2438</v>
      </c>
      <c r="X166">
        <v>2460</v>
      </c>
      <c r="Y166">
        <v>2478</v>
      </c>
      <c r="Z166">
        <v>2514</v>
      </c>
      <c r="AA166">
        <v>2557</v>
      </c>
      <c r="AB166">
        <v>2587</v>
      </c>
      <c r="AC166">
        <v>2600</v>
      </c>
      <c r="AD166">
        <v>2675</v>
      </c>
    </row>
    <row r="167" spans="3:30">
      <c r="C167" s="140" t="s">
        <v>1128</v>
      </c>
      <c r="D167" s="140">
        <v>1791</v>
      </c>
      <c r="E167" s="140">
        <v>1796</v>
      </c>
      <c r="F167" s="140">
        <v>1737</v>
      </c>
      <c r="G167" s="140">
        <v>1745</v>
      </c>
      <c r="H167" s="140">
        <v>1829</v>
      </c>
      <c r="I167" s="140">
        <v>1857</v>
      </c>
      <c r="J167" s="140">
        <v>1885</v>
      </c>
      <c r="K167" s="140">
        <v>2090</v>
      </c>
      <c r="L167" s="140">
        <v>2112</v>
      </c>
      <c r="M167" s="140">
        <v>2137</v>
      </c>
      <c r="N167" s="140">
        <v>2150</v>
      </c>
      <c r="O167" s="140">
        <v>2168</v>
      </c>
      <c r="P167" s="140">
        <v>2219</v>
      </c>
      <c r="Q167" s="140">
        <v>2233</v>
      </c>
      <c r="R167" s="140">
        <v>2249</v>
      </c>
      <c r="S167" s="140">
        <v>2291</v>
      </c>
      <c r="T167" s="140">
        <v>2307</v>
      </c>
      <c r="U167" s="140">
        <v>2325</v>
      </c>
      <c r="V167">
        <v>2380</v>
      </c>
      <c r="W167">
        <v>2384</v>
      </c>
      <c r="X167">
        <v>2407</v>
      </c>
      <c r="Y167">
        <v>2426</v>
      </c>
      <c r="Z167">
        <v>2463</v>
      </c>
      <c r="AA167">
        <v>2506</v>
      </c>
      <c r="AB167">
        <v>2534</v>
      </c>
      <c r="AC167">
        <v>2545</v>
      </c>
      <c r="AD167">
        <v>2625</v>
      </c>
    </row>
    <row r="168" spans="3:30">
      <c r="C168" s="140" t="s">
        <v>1129</v>
      </c>
      <c r="D168" s="140">
        <v>51</v>
      </c>
      <c r="E168" s="140">
        <v>59</v>
      </c>
      <c r="F168" s="140">
        <v>54</v>
      </c>
      <c r="G168" s="140">
        <v>49</v>
      </c>
      <c r="H168" s="140">
        <v>43</v>
      </c>
      <c r="I168" s="140">
        <v>47</v>
      </c>
      <c r="J168" s="140">
        <v>47</v>
      </c>
      <c r="K168" s="140">
        <v>42</v>
      </c>
      <c r="L168" s="140">
        <v>42</v>
      </c>
      <c r="M168" s="140">
        <v>48</v>
      </c>
      <c r="N168" s="140">
        <v>51</v>
      </c>
      <c r="O168" s="140">
        <v>49</v>
      </c>
      <c r="P168" s="140">
        <v>45</v>
      </c>
      <c r="Q168" s="140">
        <v>48</v>
      </c>
      <c r="R168" s="140">
        <v>54</v>
      </c>
      <c r="S168" s="140">
        <v>56</v>
      </c>
      <c r="T168" s="140">
        <v>54</v>
      </c>
      <c r="U168" s="140">
        <v>56</v>
      </c>
      <c r="V168">
        <v>57</v>
      </c>
      <c r="W168">
        <v>54</v>
      </c>
      <c r="X168">
        <v>53</v>
      </c>
      <c r="Y168">
        <v>52</v>
      </c>
      <c r="Z168">
        <v>51</v>
      </c>
      <c r="AA168">
        <v>51</v>
      </c>
      <c r="AB168">
        <v>53</v>
      </c>
      <c r="AC168">
        <v>55</v>
      </c>
      <c r="AD168">
        <v>50</v>
      </c>
    </row>
    <row r="169" spans="3:30">
      <c r="C169" s="140" t="s">
        <v>1130</v>
      </c>
      <c r="D169" s="140">
        <v>1067</v>
      </c>
      <c r="E169" s="140">
        <v>1183</v>
      </c>
      <c r="F169" s="140">
        <v>1334</v>
      </c>
      <c r="G169" s="140">
        <v>1392</v>
      </c>
      <c r="H169" s="140">
        <v>1429</v>
      </c>
      <c r="I169" s="140">
        <v>1559</v>
      </c>
      <c r="J169" s="140">
        <v>1712</v>
      </c>
      <c r="K169" s="140">
        <v>1645</v>
      </c>
      <c r="L169" s="140">
        <v>1739</v>
      </c>
      <c r="M169" s="140">
        <v>1862</v>
      </c>
      <c r="N169" s="140">
        <v>1971</v>
      </c>
      <c r="O169" s="140">
        <v>2093</v>
      </c>
      <c r="P169" s="140">
        <v>2171</v>
      </c>
      <c r="Q169" s="140">
        <v>2250</v>
      </c>
      <c r="R169" s="140">
        <v>2361</v>
      </c>
      <c r="S169" s="140">
        <v>2449</v>
      </c>
      <c r="T169" s="140">
        <v>2497</v>
      </c>
      <c r="U169" s="140">
        <v>2601</v>
      </c>
      <c r="V169">
        <v>2674</v>
      </c>
      <c r="W169">
        <v>2786</v>
      </c>
      <c r="X169">
        <v>2866</v>
      </c>
      <c r="Y169">
        <v>2949</v>
      </c>
      <c r="Z169">
        <v>3007</v>
      </c>
      <c r="AA169">
        <v>3028</v>
      </c>
      <c r="AB169">
        <v>3066</v>
      </c>
      <c r="AC169">
        <v>3154</v>
      </c>
      <c r="AD169">
        <v>3315</v>
      </c>
    </row>
    <row r="170" spans="3:30">
      <c r="C170" s="140" t="s">
        <v>1131</v>
      </c>
      <c r="D170" s="140">
        <v>192</v>
      </c>
      <c r="E170" s="140">
        <v>245</v>
      </c>
      <c r="F170" s="140">
        <v>301</v>
      </c>
      <c r="G170" s="140">
        <v>343</v>
      </c>
      <c r="H170" s="140">
        <v>357</v>
      </c>
      <c r="I170" s="140">
        <v>386</v>
      </c>
      <c r="J170" s="140">
        <v>442</v>
      </c>
      <c r="K170" s="140">
        <v>463</v>
      </c>
      <c r="L170" s="140">
        <v>476</v>
      </c>
      <c r="M170" s="140">
        <v>506</v>
      </c>
      <c r="N170" s="140">
        <v>518</v>
      </c>
      <c r="O170" s="140">
        <v>524</v>
      </c>
      <c r="P170" s="140">
        <v>534</v>
      </c>
      <c r="Q170" s="140">
        <v>557</v>
      </c>
      <c r="R170" s="140">
        <v>529</v>
      </c>
      <c r="S170" s="140">
        <v>541</v>
      </c>
      <c r="T170" s="140">
        <v>554</v>
      </c>
      <c r="U170" s="140">
        <v>592</v>
      </c>
      <c r="V170">
        <v>602</v>
      </c>
      <c r="W170">
        <v>615</v>
      </c>
      <c r="X170">
        <v>632</v>
      </c>
      <c r="Y170">
        <v>638</v>
      </c>
      <c r="Z170">
        <v>647</v>
      </c>
      <c r="AA170">
        <v>670</v>
      </c>
      <c r="AB170">
        <v>663</v>
      </c>
      <c r="AC170">
        <v>628</v>
      </c>
      <c r="AD170">
        <v>725</v>
      </c>
    </row>
    <row r="171" spans="3:30">
      <c r="C171" s="140" t="s">
        <v>1132</v>
      </c>
      <c r="D171" s="140">
        <v>2.8</v>
      </c>
      <c r="E171" s="140">
        <v>3.2</v>
      </c>
      <c r="F171" s="140">
        <v>3</v>
      </c>
      <c r="G171" s="140">
        <v>2.7</v>
      </c>
      <c r="H171" s="140">
        <v>2.2999999999999998</v>
      </c>
      <c r="I171" s="140">
        <v>2.5</v>
      </c>
      <c r="J171" s="140">
        <v>2.4</v>
      </c>
      <c r="K171" s="140">
        <v>2</v>
      </c>
      <c r="L171" s="140">
        <v>2</v>
      </c>
      <c r="M171" s="140">
        <v>2.2000000000000002</v>
      </c>
      <c r="N171" s="140">
        <v>2.2999999999999998</v>
      </c>
      <c r="O171" s="140">
        <v>2.2000000000000002</v>
      </c>
      <c r="P171" s="140">
        <v>2</v>
      </c>
      <c r="Q171" s="140">
        <v>2.1</v>
      </c>
      <c r="R171" s="140">
        <v>2.2999999999999998</v>
      </c>
      <c r="S171" s="140">
        <v>2.4</v>
      </c>
      <c r="T171" s="140">
        <v>2.2999999999999998</v>
      </c>
      <c r="U171" s="140">
        <v>2.4</v>
      </c>
      <c r="V171">
        <v>2.2999999999999998</v>
      </c>
      <c r="W171">
        <v>2.2999999999999998</v>
      </c>
      <c r="X171">
        <v>2.2000000000000002</v>
      </c>
      <c r="Y171">
        <v>2.1</v>
      </c>
      <c r="Z171">
        <v>2</v>
      </c>
      <c r="AA171">
        <v>2.1</v>
      </c>
      <c r="AB171">
        <v>2.1</v>
      </c>
      <c r="AC171">
        <v>2.1</v>
      </c>
      <c r="AD171">
        <v>1.8</v>
      </c>
    </row>
  </sheetData>
  <pageMargins left="0.11811023622047245" right="0.11811023622047245" top="0.15748031496062992" bottom="0" header="0.31496062992125984" footer="0.31496062992125984"/>
  <pageSetup paperSize="9" scale="80" orientation="landscape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79123-D471-432A-8A7B-1E50C6F1D959}">
  <dimension ref="B1:AF129"/>
  <sheetViews>
    <sheetView tabSelected="1" workbookViewId="0">
      <pane xSplit="3" ySplit="1" topLeftCell="L2" activePane="bottomRight" state="frozen"/>
      <selection pane="topRight" activeCell="D1" sqref="D1"/>
      <selection pane="bottomLeft" activeCell="A2" sqref="A2"/>
      <selection pane="bottomRight" activeCell="AF12" sqref="AF12"/>
    </sheetView>
  </sheetViews>
  <sheetFormatPr defaultRowHeight="15"/>
  <cols>
    <col min="1" max="1" width="2.28515625" customWidth="1"/>
    <col min="2" max="2" width="19.7109375" style="29" customWidth="1"/>
    <col min="3" max="3" width="15.7109375" style="29" customWidth="1"/>
    <col min="4" max="11" width="8.42578125" style="29" customWidth="1"/>
    <col min="12" max="13" width="9.28515625" style="29" customWidth="1"/>
    <col min="14" max="14" width="9.140625" style="29" customWidth="1"/>
    <col min="15" max="15" width="8.85546875" style="29" customWidth="1"/>
    <col min="16" max="16" width="9.28515625" style="29" customWidth="1"/>
    <col min="17" max="17" width="8.85546875" style="29" customWidth="1"/>
    <col min="18" max="18" width="9.5703125" style="29" customWidth="1"/>
    <col min="19" max="19" width="9.7109375" style="29" customWidth="1"/>
    <col min="20" max="20" width="9.28515625" style="29" customWidth="1"/>
    <col min="21" max="21" width="8.7109375" style="29" customWidth="1"/>
    <col min="26" max="26" width="10.140625" customWidth="1"/>
    <col min="27" max="27" width="10.5703125" customWidth="1"/>
    <col min="28" max="28" width="10.28515625" customWidth="1"/>
    <col min="29" max="29" width="10.42578125" customWidth="1"/>
    <col min="30" max="30" width="10.7109375" customWidth="1"/>
    <col min="31" max="31" width="10.28515625" customWidth="1"/>
  </cols>
  <sheetData>
    <row r="1" spans="2:32">
      <c r="C1" s="201"/>
      <c r="D1" s="5">
        <v>1997</v>
      </c>
      <c r="E1" s="5">
        <v>1998</v>
      </c>
      <c r="F1" s="5">
        <v>1999</v>
      </c>
      <c r="G1" s="5">
        <v>2000</v>
      </c>
      <c r="H1" s="5">
        <v>2001</v>
      </c>
      <c r="I1" s="5">
        <v>2002</v>
      </c>
      <c r="J1" s="5">
        <v>2003</v>
      </c>
      <c r="K1" s="5">
        <v>2004</v>
      </c>
      <c r="L1" s="5">
        <v>2005</v>
      </c>
      <c r="M1" s="5">
        <v>2006</v>
      </c>
      <c r="N1" s="5">
        <v>2007</v>
      </c>
      <c r="O1" s="5">
        <v>2008</v>
      </c>
      <c r="P1" s="5">
        <v>2009</v>
      </c>
      <c r="Q1" s="5">
        <v>2010</v>
      </c>
      <c r="R1" s="5">
        <v>2011</v>
      </c>
      <c r="S1" s="5">
        <v>2012</v>
      </c>
      <c r="T1" s="5">
        <v>2013</v>
      </c>
      <c r="U1" s="5">
        <v>2014</v>
      </c>
      <c r="V1" s="5">
        <v>2015</v>
      </c>
      <c r="W1" s="5">
        <v>2016</v>
      </c>
      <c r="X1" s="5">
        <v>2017</v>
      </c>
      <c r="Y1" s="5">
        <v>2018</v>
      </c>
      <c r="Z1" s="5">
        <v>2019</v>
      </c>
      <c r="AA1" s="5">
        <v>2020</v>
      </c>
      <c r="AB1" s="5">
        <v>2021</v>
      </c>
      <c r="AC1" s="5">
        <v>2022</v>
      </c>
      <c r="AD1" s="5">
        <v>2023</v>
      </c>
      <c r="AE1" s="5">
        <v>2024</v>
      </c>
    </row>
    <row r="2" spans="2:32">
      <c r="B2" s="202" t="s">
        <v>721</v>
      </c>
      <c r="C2" s="201" t="s">
        <v>722</v>
      </c>
      <c r="D2" s="201"/>
      <c r="E2" s="201"/>
      <c r="F2" s="201"/>
      <c r="G2" s="201"/>
      <c r="H2" s="201"/>
      <c r="I2" s="201"/>
      <c r="J2" s="201"/>
      <c r="K2" s="201"/>
      <c r="L2" s="738">
        <v>6855.9</v>
      </c>
      <c r="M2" s="738">
        <v>7246.7</v>
      </c>
      <c r="N2" s="738">
        <v>7500.4</v>
      </c>
      <c r="O2" s="738">
        <v>7957.9</v>
      </c>
      <c r="P2" s="738">
        <v>8793.5</v>
      </c>
      <c r="Q2" s="739">
        <v>9391.4</v>
      </c>
      <c r="R2" s="235">
        <v>14853.3</v>
      </c>
      <c r="S2" s="235">
        <v>16477.5</v>
      </c>
      <c r="T2" s="235">
        <v>16756.599999999999</v>
      </c>
      <c r="U2" s="235">
        <v>21021.9</v>
      </c>
      <c r="V2" s="235">
        <v>21577.8</v>
      </c>
      <c r="W2" s="235">
        <f>W5+W8</f>
        <v>22907.671731113471</v>
      </c>
      <c r="X2" s="235">
        <f t="shared" ref="X2:AA2" si="0">X5+X8</f>
        <v>24576</v>
      </c>
      <c r="Y2" s="236">
        <f t="shared" si="0"/>
        <v>26370.300000000003</v>
      </c>
      <c r="Z2" s="236">
        <f t="shared" si="0"/>
        <v>27750.400000000001</v>
      </c>
      <c r="AA2" s="236">
        <f t="shared" si="0"/>
        <v>37298.400000000001</v>
      </c>
      <c r="AB2" s="236">
        <f>AB5+AB8</f>
        <v>39769.4</v>
      </c>
      <c r="AC2" s="236">
        <f>AC5+AC8</f>
        <v>49272.4</v>
      </c>
      <c r="AD2" s="236">
        <f>AD5+AD8</f>
        <v>63028.399999999994</v>
      </c>
      <c r="AE2" s="294">
        <f t="shared" ref="AE2" si="1">AE5+AE8</f>
        <v>73981.3</v>
      </c>
    </row>
    <row r="3" spans="2:32">
      <c r="B3" s="203" t="s">
        <v>723</v>
      </c>
      <c r="C3" s="201" t="s">
        <v>724</v>
      </c>
      <c r="D3" s="201"/>
      <c r="E3" s="201"/>
      <c r="F3" s="201"/>
      <c r="G3" s="201"/>
      <c r="H3" s="201"/>
      <c r="I3" s="201"/>
      <c r="J3" s="201"/>
      <c r="K3" s="201"/>
      <c r="L3" s="738">
        <v>101.6</v>
      </c>
      <c r="M3" s="738">
        <v>105.7</v>
      </c>
      <c r="N3" s="738">
        <v>103.5</v>
      </c>
      <c r="O3" s="738">
        <v>107.9</v>
      </c>
      <c r="P3" s="738">
        <v>110.5</v>
      </c>
      <c r="Q3" s="740">
        <v>106.8</v>
      </c>
      <c r="R3" s="308">
        <v>107.9</v>
      </c>
      <c r="S3" s="308">
        <v>110.4</v>
      </c>
      <c r="T3" s="308">
        <v>107.6</v>
      </c>
      <c r="U3" s="308">
        <v>104.5</v>
      </c>
      <c r="V3" s="235">
        <v>103.2</v>
      </c>
      <c r="W3" s="235">
        <v>105.2</v>
      </c>
      <c r="X3" s="235">
        <v>106.8</v>
      </c>
      <c r="Y3" s="199">
        <v>107</v>
      </c>
      <c r="Z3" s="235">
        <v>107</v>
      </c>
      <c r="AA3" s="235">
        <v>107.9</v>
      </c>
      <c r="AB3" s="235">
        <v>99.7</v>
      </c>
      <c r="AC3" s="237">
        <v>108</v>
      </c>
      <c r="AD3" s="237">
        <v>109</v>
      </c>
      <c r="AE3" s="560">
        <v>110.6</v>
      </c>
    </row>
    <row r="4" spans="2:32">
      <c r="B4" s="203" t="s">
        <v>725</v>
      </c>
      <c r="C4" s="201" t="s">
        <v>724</v>
      </c>
      <c r="D4" s="682"/>
      <c r="E4" s="682"/>
      <c r="F4" s="682"/>
      <c r="G4" s="682"/>
      <c r="H4" s="682"/>
      <c r="I4" s="682"/>
      <c r="J4" s="682"/>
      <c r="K4" s="682"/>
      <c r="L4" s="738"/>
      <c r="M4" s="745">
        <v>100.00018905192572</v>
      </c>
      <c r="N4" s="745">
        <v>100.00087329438442</v>
      </c>
      <c r="O4" s="745">
        <v>98.331487195567036</v>
      </c>
      <c r="P4" s="745">
        <v>100.00023312728484</v>
      </c>
      <c r="Q4" s="747">
        <v>99.99938241751174</v>
      </c>
      <c r="R4" s="295">
        <v>146.57880260889013</v>
      </c>
      <c r="S4" s="295">
        <v>100.48455049807406</v>
      </c>
      <c r="T4" s="295">
        <v>94.510989695873448</v>
      </c>
      <c r="U4" s="295">
        <v>120.05210315758181</v>
      </c>
      <c r="V4" s="93">
        <v>99.461613508924287</v>
      </c>
      <c r="W4" s="295">
        <f>W2/V2/W3*10000</f>
        <v>100.9155398445242</v>
      </c>
      <c r="X4" s="295">
        <f t="shared" ref="X4:AE4" si="2">X2/W2/X3*10000</f>
        <v>100.45209406332661</v>
      </c>
      <c r="Y4" s="295">
        <f t="shared" si="2"/>
        <v>100.28133214077103</v>
      </c>
      <c r="Z4" s="295">
        <f t="shared" si="2"/>
        <v>98.349102099816974</v>
      </c>
      <c r="AA4" s="295">
        <f t="shared" si="2"/>
        <v>124.56599745561866</v>
      </c>
      <c r="AB4" s="295">
        <f t="shared" si="2"/>
        <v>106.94578641873329</v>
      </c>
      <c r="AC4" s="295">
        <f t="shared" si="2"/>
        <v>114.71782977010615</v>
      </c>
      <c r="AD4" s="295">
        <f t="shared" si="2"/>
        <v>117.35620790439725</v>
      </c>
      <c r="AE4" s="295">
        <f t="shared" si="2"/>
        <v>106.12813904964544</v>
      </c>
    </row>
    <row r="5" spans="2:32" s="548" customFormat="1">
      <c r="B5" s="544" t="s">
        <v>726</v>
      </c>
      <c r="C5" s="545" t="s">
        <v>722</v>
      </c>
      <c r="D5" s="545"/>
      <c r="E5" s="545"/>
      <c r="F5" s="545"/>
      <c r="G5" s="545"/>
      <c r="H5" s="545"/>
      <c r="I5" s="545"/>
      <c r="J5" s="545"/>
      <c r="K5" s="545"/>
      <c r="L5" s="738">
        <v>4724.8999999999996</v>
      </c>
      <c r="M5" s="738">
        <v>5032</v>
      </c>
      <c r="N5" s="738">
        <v>5147.7</v>
      </c>
      <c r="O5" s="738">
        <v>5523.5</v>
      </c>
      <c r="P5" s="738">
        <v>6219.5</v>
      </c>
      <c r="Q5" s="741">
        <v>6617.5</v>
      </c>
      <c r="R5" s="305">
        <v>10894.7</v>
      </c>
      <c r="S5" s="305">
        <v>11836.3</v>
      </c>
      <c r="T5" s="305">
        <v>11502.5</v>
      </c>
      <c r="U5" s="305">
        <v>14532.8</v>
      </c>
      <c r="V5" s="546">
        <v>14623.7</v>
      </c>
      <c r="W5" s="546">
        <v>15066.6</v>
      </c>
      <c r="X5" s="546">
        <v>16977.8</v>
      </c>
      <c r="Y5" s="546">
        <v>18229.2</v>
      </c>
      <c r="Z5" s="546">
        <v>19279.7</v>
      </c>
      <c r="AA5" s="546">
        <v>27130</v>
      </c>
      <c r="AB5" s="546">
        <v>28743.9</v>
      </c>
      <c r="AC5" s="546">
        <v>33902</v>
      </c>
      <c r="AD5" s="546">
        <v>43365.7</v>
      </c>
      <c r="AE5" s="561">
        <v>50984.800000000003</v>
      </c>
    </row>
    <row r="6" spans="2:32">
      <c r="B6" s="203" t="s">
        <v>723</v>
      </c>
      <c r="C6" s="201" t="s">
        <v>724</v>
      </c>
      <c r="D6" s="201"/>
      <c r="E6" s="201"/>
      <c r="F6" s="201"/>
      <c r="G6" s="201"/>
      <c r="H6" s="201"/>
      <c r="I6" s="201"/>
      <c r="J6" s="201"/>
      <c r="K6" s="201"/>
      <c r="L6" s="738">
        <v>98.6</v>
      </c>
      <c r="M6" s="738">
        <v>106.5</v>
      </c>
      <c r="N6" s="738">
        <v>102.3</v>
      </c>
      <c r="O6" s="738">
        <v>108.4</v>
      </c>
      <c r="P6" s="738">
        <v>112.6</v>
      </c>
      <c r="Q6" s="740">
        <v>106.4</v>
      </c>
      <c r="R6" s="308">
        <v>108.2</v>
      </c>
      <c r="S6" s="308">
        <v>110.6</v>
      </c>
      <c r="T6" s="308">
        <v>107.6</v>
      </c>
      <c r="U6" s="308">
        <v>104.5</v>
      </c>
      <c r="V6" s="296">
        <v>101.4</v>
      </c>
      <c r="W6" s="296">
        <v>105.1</v>
      </c>
      <c r="X6" s="296">
        <v>107.4</v>
      </c>
      <c r="Y6" s="296">
        <v>103.4</v>
      </c>
      <c r="Z6" s="296">
        <v>107.8</v>
      </c>
      <c r="AA6" s="296">
        <v>108.1</v>
      </c>
      <c r="AB6" s="296">
        <v>105.9</v>
      </c>
      <c r="AC6" s="296">
        <v>107.7</v>
      </c>
      <c r="AD6" s="296">
        <v>106.8</v>
      </c>
      <c r="AE6" s="562">
        <v>113.4</v>
      </c>
    </row>
    <row r="7" spans="2:32">
      <c r="B7" s="203" t="s">
        <v>725</v>
      </c>
      <c r="C7" s="201" t="s">
        <v>724</v>
      </c>
      <c r="D7" s="682"/>
      <c r="E7" s="682"/>
      <c r="F7" s="682"/>
      <c r="G7" s="682"/>
      <c r="H7" s="682"/>
      <c r="I7" s="682"/>
      <c r="J7" s="682"/>
      <c r="K7" s="682"/>
      <c r="L7" s="738"/>
      <c r="M7" s="747">
        <v>99.999632354292814</v>
      </c>
      <c r="N7" s="747">
        <v>99.999300663437296</v>
      </c>
      <c r="O7" s="747">
        <v>98.98556063478928</v>
      </c>
      <c r="P7" s="747">
        <v>100.00062706398515</v>
      </c>
      <c r="Q7" s="747">
        <v>99.99927465580906</v>
      </c>
      <c r="R7" s="295">
        <v>152.15774562909778</v>
      </c>
      <c r="S7" s="295">
        <v>98.230320561164731</v>
      </c>
      <c r="T7" s="295">
        <v>90.315856830950423</v>
      </c>
      <c r="U7" s="295">
        <v>120.90402648061736</v>
      </c>
      <c r="V7" s="93">
        <v>99.236175216027689</v>
      </c>
      <c r="W7" s="295">
        <f>W5/V5/W6*10000</f>
        <v>98.029158212454789</v>
      </c>
      <c r="X7" s="295">
        <f t="shared" ref="X7:AE7" si="3">X5/W5/X6*10000</f>
        <v>104.92086767279658</v>
      </c>
      <c r="Y7" s="295">
        <f t="shared" si="3"/>
        <v>103.84023391748373</v>
      </c>
      <c r="Z7" s="295">
        <f t="shared" si="3"/>
        <v>98.110141298307227</v>
      </c>
      <c r="AA7" s="295">
        <f t="shared" si="3"/>
        <v>130.17387347791393</v>
      </c>
      <c r="AB7" s="295">
        <f t="shared" si="3"/>
        <v>100.04604835181358</v>
      </c>
      <c r="AC7" s="295">
        <f t="shared" si="3"/>
        <v>109.51255789920891</v>
      </c>
      <c r="AD7" s="295">
        <f t="shared" si="3"/>
        <v>119.77047966191161</v>
      </c>
      <c r="AE7" s="562">
        <f t="shared" si="3"/>
        <v>103.67673320959751</v>
      </c>
    </row>
    <row r="8" spans="2:32">
      <c r="B8" s="202" t="s">
        <v>727</v>
      </c>
      <c r="C8" s="201" t="s">
        <v>722</v>
      </c>
      <c r="D8" s="201"/>
      <c r="E8" s="201"/>
      <c r="F8" s="201"/>
      <c r="G8" s="201"/>
      <c r="H8" s="201"/>
      <c r="I8" s="201"/>
      <c r="J8" s="201"/>
      <c r="K8" s="201"/>
      <c r="L8" s="743">
        <v>2134.1</v>
      </c>
      <c r="M8" s="743">
        <v>2208.8000000000002</v>
      </c>
      <c r="N8" s="743">
        <v>2356.8000000000002</v>
      </c>
      <c r="O8" s="743">
        <v>2429.8000000000002</v>
      </c>
      <c r="P8" s="743">
        <v>2573.1999999999998</v>
      </c>
      <c r="Q8" s="742">
        <v>2773.9</v>
      </c>
      <c r="R8" s="296">
        <v>3958.6</v>
      </c>
      <c r="S8" s="296">
        <v>3958.6</v>
      </c>
      <c r="T8" s="296">
        <v>3958.6</v>
      </c>
      <c r="U8" s="296">
        <v>3958.6</v>
      </c>
      <c r="V8" s="296">
        <v>6954.1</v>
      </c>
      <c r="W8" s="299">
        <v>7841.0717311134686</v>
      </c>
      <c r="X8" s="296">
        <v>7598.2</v>
      </c>
      <c r="Y8" s="296">
        <v>8141.1</v>
      </c>
      <c r="Z8" s="296">
        <v>8470.7000000000007</v>
      </c>
      <c r="AA8" s="296">
        <v>10168.4</v>
      </c>
      <c r="AB8" s="296">
        <v>11025.5</v>
      </c>
      <c r="AC8" s="296">
        <v>15370.4</v>
      </c>
      <c r="AD8" s="296">
        <v>19662.7</v>
      </c>
      <c r="AE8" s="562">
        <v>22996.5</v>
      </c>
    </row>
    <row r="9" spans="2:32">
      <c r="B9" s="203" t="s">
        <v>723</v>
      </c>
      <c r="C9" s="201" t="s">
        <v>724</v>
      </c>
      <c r="D9" s="201"/>
      <c r="E9" s="201"/>
      <c r="F9" s="201"/>
      <c r="G9" s="201"/>
      <c r="H9" s="201"/>
      <c r="I9" s="201"/>
      <c r="J9" s="201"/>
      <c r="K9" s="201"/>
      <c r="L9" s="738">
        <v>110.1</v>
      </c>
      <c r="M9" s="738">
        <v>103.5</v>
      </c>
      <c r="N9" s="738">
        <v>106.7</v>
      </c>
      <c r="O9" s="738">
        <v>106.7</v>
      </c>
      <c r="P9" s="738">
        <v>105.9</v>
      </c>
      <c r="Q9" s="740">
        <v>107.7</v>
      </c>
      <c r="R9" s="308">
        <v>107</v>
      </c>
      <c r="S9" s="308">
        <v>109.7</v>
      </c>
      <c r="T9" s="308">
        <v>107.5</v>
      </c>
      <c r="U9" s="308">
        <v>112.5</v>
      </c>
      <c r="V9" s="296">
        <v>107.2</v>
      </c>
      <c r="W9" s="296">
        <v>105.5</v>
      </c>
      <c r="X9" s="296">
        <v>105.6</v>
      </c>
      <c r="Y9" s="296">
        <v>105.3</v>
      </c>
      <c r="Z9" s="296">
        <v>105.7</v>
      </c>
      <c r="AA9" s="296">
        <v>110.7</v>
      </c>
      <c r="AB9" s="296">
        <v>108.4</v>
      </c>
      <c r="AC9" s="296">
        <v>108.7</v>
      </c>
      <c r="AD9" s="296">
        <v>114.1</v>
      </c>
      <c r="AE9" s="562">
        <v>104.9</v>
      </c>
    </row>
    <row r="10" spans="2:32">
      <c r="B10" s="203" t="s">
        <v>725</v>
      </c>
      <c r="C10" s="201" t="s">
        <v>724</v>
      </c>
      <c r="D10" s="682"/>
      <c r="E10" s="682"/>
      <c r="F10" s="682"/>
      <c r="G10" s="682"/>
      <c r="H10" s="682"/>
      <c r="I10" s="682"/>
      <c r="J10" s="682"/>
      <c r="K10" s="682"/>
      <c r="L10" s="210"/>
      <c r="M10" s="746">
        <v>100.00029427830171</v>
      </c>
      <c r="N10" s="746">
        <v>100.00044127825412</v>
      </c>
      <c r="O10" s="746">
        <v>96.623636579963872</v>
      </c>
      <c r="P10" s="746">
        <v>100.00162446288765</v>
      </c>
      <c r="Q10" s="744">
        <v>100.09250410740465</v>
      </c>
      <c r="R10" s="295">
        <v>133.37273038769598</v>
      </c>
      <c r="S10" s="295">
        <v>91.157702825888776</v>
      </c>
      <c r="T10" s="295">
        <v>93.023255813953483</v>
      </c>
      <c r="U10" s="295">
        <v>88.888888888888886</v>
      </c>
      <c r="V10" s="93">
        <v>163.87191386069702</v>
      </c>
      <c r="W10" s="295">
        <f t="shared" ref="W10" si="4">W8/V8/W9*10000</f>
        <v>106.87645388660511</v>
      </c>
      <c r="X10" s="295">
        <f t="shared" ref="X10" si="5">X8/W8/X9*10000</f>
        <v>91.763797070804131</v>
      </c>
      <c r="Y10" s="295">
        <f t="shared" ref="Y10" si="6">Y8/X8/Y9*10000</f>
        <v>101.75224436496843</v>
      </c>
      <c r="Z10" s="295">
        <f t="shared" ref="Z10" si="7">Z8/Y8/Z9*10000</f>
        <v>98.437647059589153</v>
      </c>
      <c r="AA10" s="295">
        <f t="shared" ref="AA10" si="8">AA8/Z8/AA9*10000</f>
        <v>108.43904898216071</v>
      </c>
      <c r="AB10" s="295">
        <f t="shared" ref="AB10" si="9">AB8/AA8/AB9*10000</f>
        <v>100.0268032458854</v>
      </c>
      <c r="AC10" s="295">
        <f t="shared" ref="AC10" si="10">AC8/AB8/AC9*10000</f>
        <v>128.24998768223048</v>
      </c>
      <c r="AD10" s="295">
        <f>AD8/AC8/AD9*10000</f>
        <v>112.11722471177741</v>
      </c>
      <c r="AE10" s="295">
        <f>AE8/AD8/AE9*10000</f>
        <v>111.49184475686747</v>
      </c>
    </row>
    <row r="11" spans="2:32">
      <c r="B11" s="204"/>
      <c r="C11" s="205"/>
      <c r="D11" s="682"/>
      <c r="E11" s="682"/>
      <c r="F11" s="682"/>
      <c r="G11" s="682"/>
      <c r="H11" s="682"/>
      <c r="I11" s="682"/>
      <c r="J11" s="682"/>
      <c r="K11" s="682"/>
      <c r="L11" s="682"/>
      <c r="M11" s="682"/>
      <c r="N11" s="682"/>
      <c r="O11" s="682"/>
      <c r="P11" s="682"/>
      <c r="Q11" s="682"/>
      <c r="R11" s="682"/>
      <c r="S11" s="682"/>
      <c r="T11" s="682"/>
      <c r="U11" s="682"/>
      <c r="W11" s="603">
        <f t="shared" ref="W11:AA11" si="11">W2-V2</f>
        <v>1329.8717311134715</v>
      </c>
      <c r="X11" s="603">
        <f t="shared" si="11"/>
        <v>1668.3282688865293</v>
      </c>
      <c r="Y11" s="603">
        <f t="shared" si="11"/>
        <v>1794.3000000000029</v>
      </c>
      <c r="Z11" s="603">
        <f t="shared" si="11"/>
        <v>1380.0999999999985</v>
      </c>
      <c r="AA11" s="603">
        <f t="shared" si="11"/>
        <v>9548</v>
      </c>
      <c r="AB11" s="603">
        <f>AB2-AA2</f>
        <v>2471</v>
      </c>
      <c r="AC11" s="603">
        <f t="shared" ref="AC11" si="12">AC2-AB2</f>
        <v>9503</v>
      </c>
      <c r="AD11" s="603">
        <f>AD2-AC2</f>
        <v>13755.999999999993</v>
      </c>
      <c r="AE11" s="603">
        <f>AE2-AD2</f>
        <v>10952.900000000009</v>
      </c>
      <c r="AF11" s="93">
        <f>AE2-U2</f>
        <v>52959.4</v>
      </c>
    </row>
    <row r="12" spans="2:32">
      <c r="B12" s="204"/>
      <c r="C12" s="205"/>
      <c r="D12" s="682"/>
      <c r="E12" s="682"/>
      <c r="F12" s="682"/>
      <c r="G12" s="682"/>
      <c r="H12" s="682"/>
      <c r="I12" s="682"/>
      <c r="J12" s="682"/>
      <c r="K12" s="682"/>
      <c r="L12" s="682"/>
      <c r="M12" s="682"/>
      <c r="N12" s="682"/>
      <c r="O12" s="682"/>
      <c r="P12" s="682"/>
      <c r="Q12" s="682"/>
      <c r="R12" s="682"/>
      <c r="S12" s="682"/>
      <c r="T12" s="682"/>
      <c r="U12" s="682"/>
      <c r="AB12" s="108">
        <f>AB8-AA8</f>
        <v>857.10000000000036</v>
      </c>
      <c r="AC12" s="108">
        <f t="shared" ref="AC12:AE12" si="13">AC8-AB8</f>
        <v>4344.8999999999996</v>
      </c>
      <c r="AD12" s="108">
        <f t="shared" si="13"/>
        <v>4292.3000000000011</v>
      </c>
      <c r="AE12" s="108">
        <f t="shared" si="13"/>
        <v>3333.7999999999993</v>
      </c>
    </row>
    <row r="13" spans="2:32" ht="15.75">
      <c r="B13" s="202" t="s">
        <v>728</v>
      </c>
      <c r="C13" s="206" t="s">
        <v>729</v>
      </c>
      <c r="D13" s="206"/>
      <c r="E13" s="206"/>
      <c r="F13" s="206"/>
      <c r="G13" s="206"/>
      <c r="H13" s="206"/>
      <c r="I13" s="206"/>
      <c r="J13" s="206"/>
      <c r="K13" s="206"/>
      <c r="L13" s="752">
        <v>14255397</v>
      </c>
      <c r="M13" s="752">
        <v>14255397</v>
      </c>
      <c r="N13" s="752">
        <v>14255397</v>
      </c>
      <c r="O13" s="752">
        <v>14255397</v>
      </c>
      <c r="P13" s="752">
        <v>14255397</v>
      </c>
      <c r="Q13" s="753">
        <v>14255397</v>
      </c>
      <c r="R13" s="300">
        <v>14255397</v>
      </c>
      <c r="S13" s="300">
        <v>14255397</v>
      </c>
      <c r="T13" s="300">
        <v>14255397</v>
      </c>
      <c r="U13" s="300">
        <v>14137685</v>
      </c>
      <c r="V13" s="300">
        <v>14137685</v>
      </c>
      <c r="W13" s="300">
        <v>14137685</v>
      </c>
      <c r="X13" s="300">
        <v>14137685</v>
      </c>
      <c r="Y13" s="300">
        <v>14137900</v>
      </c>
      <c r="Z13" s="296">
        <f t="shared" ref="Z13:AE13" si="14">Y13</f>
        <v>14137900</v>
      </c>
      <c r="AA13" s="296">
        <v>14137907</v>
      </c>
      <c r="AB13" s="296">
        <v>14137907</v>
      </c>
      <c r="AC13" s="296">
        <f t="shared" si="14"/>
        <v>14137907</v>
      </c>
      <c r="AD13" s="296">
        <f t="shared" si="14"/>
        <v>14137907</v>
      </c>
      <c r="AE13" s="297">
        <f t="shared" si="14"/>
        <v>14137907</v>
      </c>
    </row>
    <row r="14" spans="2:32" ht="15.75">
      <c r="B14" s="202" t="s">
        <v>730</v>
      </c>
      <c r="C14" s="206" t="s">
        <v>729</v>
      </c>
      <c r="D14" s="206"/>
      <c r="E14" s="206"/>
      <c r="F14" s="206"/>
      <c r="G14" s="206"/>
      <c r="H14" s="206"/>
      <c r="I14" s="206"/>
      <c r="J14" s="206"/>
      <c r="K14" s="206"/>
      <c r="L14" s="748">
        <v>737694</v>
      </c>
      <c r="M14" s="748">
        <v>741539</v>
      </c>
      <c r="N14" s="748">
        <v>742051</v>
      </c>
      <c r="O14" s="748">
        <v>741626</v>
      </c>
      <c r="P14" s="748">
        <v>743621</v>
      </c>
      <c r="Q14" s="749">
        <v>743856</v>
      </c>
      <c r="R14" s="301">
        <v>748256</v>
      </c>
      <c r="S14" s="301">
        <v>749000</v>
      </c>
      <c r="T14" s="301">
        <v>749995</v>
      </c>
      <c r="U14" s="301">
        <v>753000</v>
      </c>
      <c r="V14" s="301">
        <v>753000</v>
      </c>
      <c r="W14" s="301">
        <v>753000</v>
      </c>
      <c r="X14" s="302">
        <f t="shared" ref="X14:AE21" si="15">W14</f>
        <v>753000</v>
      </c>
      <c r="Y14" s="296">
        <v>757842</v>
      </c>
      <c r="Z14" s="296">
        <v>762198</v>
      </c>
      <c r="AA14" s="296">
        <v>762198</v>
      </c>
      <c r="AB14" s="296">
        <v>762851</v>
      </c>
      <c r="AC14" s="296">
        <v>763930</v>
      </c>
      <c r="AD14" s="296">
        <v>763930</v>
      </c>
      <c r="AE14" s="297">
        <v>763930</v>
      </c>
    </row>
    <row r="15" spans="2:32" ht="15.75">
      <c r="B15" s="202" t="s">
        <v>731</v>
      </c>
      <c r="C15" s="206" t="s">
        <v>729</v>
      </c>
      <c r="D15" s="206"/>
      <c r="E15" s="206"/>
      <c r="F15" s="206"/>
      <c r="G15" s="206"/>
      <c r="H15" s="206"/>
      <c r="I15" s="206"/>
      <c r="J15" s="206"/>
      <c r="K15" s="206"/>
      <c r="L15" s="748">
        <v>4668470</v>
      </c>
      <c r="M15" s="748">
        <v>4728417</v>
      </c>
      <c r="N15" s="748">
        <v>4725644</v>
      </c>
      <c r="O15" s="748">
        <v>4719198</v>
      </c>
      <c r="P15" s="748">
        <v>4719486</v>
      </c>
      <c r="Q15" s="749">
        <v>4705044</v>
      </c>
      <c r="R15" s="301">
        <v>3695161</v>
      </c>
      <c r="S15" s="301">
        <v>3614663</v>
      </c>
      <c r="T15" s="301">
        <v>3617515</v>
      </c>
      <c r="U15" s="301">
        <v>3604616</v>
      </c>
      <c r="V15" s="301">
        <v>3611907</v>
      </c>
      <c r="W15" s="301">
        <v>3638485</v>
      </c>
      <c r="X15" s="302">
        <v>3658200</v>
      </c>
      <c r="Y15" s="296">
        <v>4702084</v>
      </c>
      <c r="Z15" s="296">
        <v>4706451</v>
      </c>
      <c r="AA15" s="296">
        <v>4704794</v>
      </c>
      <c r="AB15" s="296">
        <f>AA15</f>
        <v>4704794</v>
      </c>
      <c r="AC15" s="296">
        <v>4704410</v>
      </c>
      <c r="AD15" s="296">
        <v>4704410</v>
      </c>
      <c r="AE15" s="297">
        <v>4704410</v>
      </c>
    </row>
    <row r="16" spans="2:32" ht="15.75">
      <c r="B16" s="202" t="s">
        <v>732</v>
      </c>
      <c r="C16" s="206" t="s">
        <v>729</v>
      </c>
      <c r="D16" s="206"/>
      <c r="E16" s="206"/>
      <c r="F16" s="206"/>
      <c r="G16" s="206"/>
      <c r="H16" s="206"/>
      <c r="I16" s="206"/>
      <c r="J16" s="206"/>
      <c r="K16" s="206"/>
      <c r="L16" s="210"/>
      <c r="M16" s="210"/>
      <c r="N16" s="210"/>
      <c r="O16" s="210"/>
      <c r="P16" s="210"/>
      <c r="Q16" s="749"/>
      <c r="R16" s="301"/>
      <c r="S16" s="301"/>
      <c r="T16" s="301"/>
      <c r="U16" s="301"/>
      <c r="V16" s="301"/>
      <c r="W16" s="301"/>
      <c r="X16" s="303"/>
      <c r="Y16" s="298"/>
      <c r="Z16" s="298"/>
      <c r="AA16" s="298"/>
      <c r="AB16" s="298"/>
      <c r="AC16" s="298"/>
      <c r="AD16" s="298"/>
      <c r="AE16" s="297"/>
    </row>
    <row r="17" spans="2:31" ht="15.75">
      <c r="B17" s="202" t="s">
        <v>733</v>
      </c>
      <c r="C17" s="206" t="s">
        <v>729</v>
      </c>
      <c r="D17" s="206"/>
      <c r="E17" s="206"/>
      <c r="F17" s="206"/>
      <c r="G17" s="206"/>
      <c r="H17" s="206"/>
      <c r="I17" s="206"/>
      <c r="J17" s="206"/>
      <c r="K17" s="206"/>
      <c r="L17" s="752">
        <v>718560</v>
      </c>
      <c r="M17" s="752">
        <v>714162</v>
      </c>
      <c r="N17" s="752">
        <v>710493</v>
      </c>
      <c r="O17" s="752">
        <v>704823</v>
      </c>
      <c r="P17" s="752">
        <v>701856</v>
      </c>
      <c r="Q17" s="753">
        <v>685441</v>
      </c>
      <c r="R17" s="300">
        <v>666077</v>
      </c>
      <c r="S17" s="300">
        <v>662011</v>
      </c>
      <c r="T17" s="300">
        <v>658410</v>
      </c>
      <c r="U17" s="300">
        <v>655643</v>
      </c>
      <c r="V17" s="301">
        <v>653195</v>
      </c>
      <c r="W17" s="301">
        <v>650644</v>
      </c>
      <c r="X17" s="302">
        <v>657300</v>
      </c>
      <c r="Y17" s="296">
        <v>668267</v>
      </c>
      <c r="Z17" s="296">
        <v>674609</v>
      </c>
      <c r="AA17" s="296">
        <v>672404</v>
      </c>
      <c r="AB17" s="296">
        <v>672404</v>
      </c>
      <c r="AC17" s="296">
        <v>672609</v>
      </c>
      <c r="AD17" s="296">
        <v>672609</v>
      </c>
      <c r="AE17" s="297">
        <v>672609</v>
      </c>
    </row>
    <row r="18" spans="2:31" ht="15.75">
      <c r="B18" s="202" t="s">
        <v>734</v>
      </c>
      <c r="C18" s="207" t="s">
        <v>729</v>
      </c>
      <c r="D18" s="207"/>
      <c r="E18" s="207"/>
      <c r="F18" s="207"/>
      <c r="G18" s="207"/>
      <c r="H18" s="207"/>
      <c r="I18" s="207"/>
      <c r="J18" s="207"/>
      <c r="K18" s="207"/>
      <c r="L18" s="738">
        <v>101635</v>
      </c>
      <c r="M18" s="738">
        <v>103135</v>
      </c>
      <c r="N18" s="738">
        <v>105571</v>
      </c>
      <c r="O18" s="738">
        <v>105104</v>
      </c>
      <c r="P18" s="738">
        <v>109671</v>
      </c>
      <c r="Q18" s="740">
        <v>120662</v>
      </c>
      <c r="R18" s="301">
        <v>121000</v>
      </c>
      <c r="S18" s="301">
        <v>126500</v>
      </c>
      <c r="T18" s="301">
        <v>131800</v>
      </c>
      <c r="U18" s="301">
        <v>137000</v>
      </c>
      <c r="V18" s="301">
        <v>140400</v>
      </c>
      <c r="W18" s="301">
        <v>144400</v>
      </c>
      <c r="X18" s="302">
        <v>148200</v>
      </c>
      <c r="Y18" s="296">
        <v>154491</v>
      </c>
      <c r="Z18" s="296">
        <v>159112</v>
      </c>
      <c r="AA18" s="296">
        <v>160330</v>
      </c>
      <c r="AB18" s="296">
        <f t="shared" si="15"/>
        <v>160330</v>
      </c>
      <c r="AC18" s="296">
        <v>161231</v>
      </c>
      <c r="AD18" s="296">
        <v>161231</v>
      </c>
      <c r="AE18" s="297">
        <v>161231</v>
      </c>
    </row>
    <row r="19" spans="2:31" ht="15.75">
      <c r="B19" s="202" t="s">
        <v>735</v>
      </c>
      <c r="C19" s="207" t="s">
        <v>729</v>
      </c>
      <c r="D19" s="207"/>
      <c r="E19" s="207"/>
      <c r="F19" s="207"/>
      <c r="G19" s="207"/>
      <c r="H19" s="207"/>
      <c r="I19" s="207"/>
      <c r="J19" s="207"/>
      <c r="K19" s="207"/>
      <c r="L19" s="738">
        <v>20619</v>
      </c>
      <c r="M19" s="738">
        <v>21259</v>
      </c>
      <c r="N19" s="738">
        <v>21259</v>
      </c>
      <c r="O19" s="738">
        <v>21211</v>
      </c>
      <c r="P19" s="738">
        <v>21264</v>
      </c>
      <c r="Q19" s="740">
        <v>21269</v>
      </c>
      <c r="R19" s="301">
        <v>17200</v>
      </c>
      <c r="S19" s="301">
        <v>17300</v>
      </c>
      <c r="T19" s="301">
        <v>17300</v>
      </c>
      <c r="U19" s="301">
        <v>17500</v>
      </c>
      <c r="V19" s="301">
        <v>17600</v>
      </c>
      <c r="W19" s="301">
        <v>17400</v>
      </c>
      <c r="X19" s="302">
        <v>15800</v>
      </c>
      <c r="Y19" s="296">
        <f t="shared" si="15"/>
        <v>15800</v>
      </c>
      <c r="Z19" s="296">
        <v>18514</v>
      </c>
      <c r="AA19" s="296">
        <v>18824</v>
      </c>
      <c r="AB19" s="296">
        <f t="shared" si="15"/>
        <v>18824</v>
      </c>
      <c r="AC19" s="296">
        <f t="shared" si="15"/>
        <v>18824</v>
      </c>
      <c r="AD19" s="296">
        <f t="shared" si="15"/>
        <v>18824</v>
      </c>
      <c r="AE19" s="297">
        <f t="shared" si="15"/>
        <v>18824</v>
      </c>
    </row>
    <row r="20" spans="2:31" ht="15.75">
      <c r="B20" s="202" t="s">
        <v>736</v>
      </c>
      <c r="C20" s="207" t="s">
        <v>729</v>
      </c>
      <c r="D20" s="207"/>
      <c r="E20" s="207"/>
      <c r="F20" s="207"/>
      <c r="G20" s="207"/>
      <c r="H20" s="207"/>
      <c r="I20" s="207"/>
      <c r="J20" s="207"/>
      <c r="K20" s="207"/>
      <c r="L20" s="738">
        <v>3797566</v>
      </c>
      <c r="M20" s="738">
        <v>3857776</v>
      </c>
      <c r="N20" s="738">
        <v>3856246</v>
      </c>
      <c r="O20" s="738">
        <v>3856236</v>
      </c>
      <c r="P20" s="738">
        <v>3854742</v>
      </c>
      <c r="Q20" s="740">
        <v>3846564</v>
      </c>
      <c r="R20" s="301">
        <v>2857000</v>
      </c>
      <c r="S20" s="301">
        <v>2777900</v>
      </c>
      <c r="T20" s="301">
        <v>2780000</v>
      </c>
      <c r="U20" s="301">
        <v>2764800</v>
      </c>
      <c r="V20" s="301">
        <v>2771500</v>
      </c>
      <c r="W20" s="301">
        <v>2797500</v>
      </c>
      <c r="X20" s="302">
        <v>2809600</v>
      </c>
      <c r="Y20" s="296">
        <f t="shared" si="15"/>
        <v>2809600</v>
      </c>
      <c r="Z20" s="296">
        <v>3832161</v>
      </c>
      <c r="AA20" s="296">
        <v>3831887</v>
      </c>
      <c r="AB20" s="296">
        <f t="shared" si="15"/>
        <v>3831887</v>
      </c>
      <c r="AC20" s="296">
        <v>3830626</v>
      </c>
      <c r="AD20" s="296">
        <v>3830627</v>
      </c>
      <c r="AE20" s="297">
        <v>3830628</v>
      </c>
    </row>
    <row r="21" spans="2:31" ht="15.75">
      <c r="B21" s="202" t="s">
        <v>737</v>
      </c>
      <c r="C21" s="208" t="s">
        <v>729</v>
      </c>
      <c r="D21" s="208"/>
      <c r="E21" s="208"/>
      <c r="F21" s="208"/>
      <c r="G21" s="208"/>
      <c r="H21" s="208"/>
      <c r="I21" s="208"/>
      <c r="J21" s="208"/>
      <c r="K21" s="208"/>
      <c r="L21" s="750">
        <v>30090</v>
      </c>
      <c r="M21" s="750">
        <v>32084</v>
      </c>
      <c r="N21" s="750">
        <v>32075</v>
      </c>
      <c r="O21" s="750">
        <v>31824</v>
      </c>
      <c r="P21" s="750">
        <v>31953</v>
      </c>
      <c r="Q21" s="751">
        <v>31108</v>
      </c>
      <c r="R21" s="301">
        <v>33800</v>
      </c>
      <c r="S21" s="301">
        <v>31000</v>
      </c>
      <c r="T21" s="301">
        <v>30000</v>
      </c>
      <c r="U21" s="301">
        <v>29700</v>
      </c>
      <c r="V21" s="301">
        <v>29300</v>
      </c>
      <c r="W21" s="301">
        <v>28500</v>
      </c>
      <c r="X21" s="302">
        <v>27100</v>
      </c>
      <c r="Y21" s="296">
        <v>28727</v>
      </c>
      <c r="Z21" s="304">
        <v>20686</v>
      </c>
      <c r="AA21" s="304">
        <v>20100</v>
      </c>
      <c r="AB21" s="304">
        <f t="shared" si="15"/>
        <v>20100</v>
      </c>
      <c r="AC21" s="304">
        <f t="shared" si="15"/>
        <v>20100</v>
      </c>
      <c r="AD21" s="304">
        <f t="shared" si="15"/>
        <v>20100</v>
      </c>
      <c r="AE21" s="297">
        <f t="shared" si="15"/>
        <v>20100</v>
      </c>
    </row>
    <row r="22" spans="2:31" ht="15.75">
      <c r="B22" s="202"/>
      <c r="C22" s="208"/>
      <c r="D22" s="684"/>
      <c r="E22" s="684"/>
      <c r="F22" s="684"/>
      <c r="G22" s="684"/>
      <c r="H22" s="684"/>
      <c r="I22" s="684"/>
      <c r="J22" s="684"/>
      <c r="K22" s="684"/>
      <c r="L22" s="684"/>
      <c r="M22" s="684"/>
      <c r="N22" s="684"/>
      <c r="O22" s="684"/>
      <c r="P22" s="684"/>
      <c r="Q22" s="684"/>
      <c r="R22" s="684"/>
      <c r="S22" s="684"/>
      <c r="T22" s="684"/>
      <c r="U22" s="684"/>
    </row>
    <row r="23" spans="2:31" ht="15.75" thickBot="1">
      <c r="B23" s="209" t="s">
        <v>726</v>
      </c>
      <c r="C23" s="210"/>
      <c r="D23" s="683"/>
      <c r="E23" s="683"/>
      <c r="F23" s="683"/>
      <c r="G23" s="683"/>
      <c r="H23" s="683"/>
      <c r="I23" s="683"/>
      <c r="J23" s="683"/>
      <c r="K23" s="683"/>
      <c r="L23" s="683"/>
      <c r="M23" s="683"/>
      <c r="N23" s="683"/>
      <c r="O23" s="683"/>
      <c r="P23" s="683"/>
      <c r="Q23" s="683"/>
      <c r="R23" s="683"/>
      <c r="S23" s="683"/>
      <c r="T23" s="683"/>
      <c r="U23" s="683"/>
      <c r="AE23">
        <f>AE25*AE28/1000</f>
        <v>2920.1</v>
      </c>
    </row>
    <row r="24" spans="2:31">
      <c r="B24" s="1103" t="s">
        <v>738</v>
      </c>
      <c r="C24" s="211" t="s">
        <v>739</v>
      </c>
      <c r="D24" s="234"/>
      <c r="E24" s="234"/>
      <c r="F24" s="234"/>
      <c r="G24" s="234"/>
      <c r="H24" s="234"/>
      <c r="I24" s="234"/>
      <c r="J24" s="234"/>
      <c r="K24" s="234"/>
      <c r="L24" s="757">
        <v>395565</v>
      </c>
      <c r="M24" s="757">
        <v>401912</v>
      </c>
      <c r="N24" s="757">
        <v>396880</v>
      </c>
      <c r="O24" s="757">
        <v>438152</v>
      </c>
      <c r="P24" s="757">
        <v>461741</v>
      </c>
      <c r="Q24" s="758">
        <v>459942</v>
      </c>
      <c r="R24" s="301">
        <v>427178</v>
      </c>
      <c r="S24" s="301">
        <v>424332</v>
      </c>
      <c r="T24" s="301">
        <v>437440</v>
      </c>
      <c r="U24" s="301">
        <v>412626</v>
      </c>
      <c r="V24" s="301">
        <v>422947</v>
      </c>
      <c r="W24" s="301">
        <v>423449</v>
      </c>
      <c r="X24" s="306">
        <v>411581.1</v>
      </c>
      <c r="Y24" s="305">
        <v>374941.2</v>
      </c>
      <c r="Z24" s="305">
        <f t="shared" ref="Z24" si="16">Y24</f>
        <v>374941.2</v>
      </c>
      <c r="AA24" s="305">
        <v>391483.8</v>
      </c>
      <c r="AB24" s="305">
        <v>394442.5</v>
      </c>
      <c r="AC24" s="305">
        <v>390531</v>
      </c>
      <c r="AD24" s="305">
        <v>390922</v>
      </c>
      <c r="AE24" s="307">
        <v>390922</v>
      </c>
    </row>
    <row r="25" spans="2:31">
      <c r="B25" s="1102"/>
      <c r="C25" s="203" t="s">
        <v>740</v>
      </c>
      <c r="D25" s="203"/>
      <c r="E25" s="203"/>
      <c r="F25" s="203"/>
      <c r="G25" s="203"/>
      <c r="H25" s="203"/>
      <c r="I25" s="203"/>
      <c r="J25" s="203"/>
      <c r="K25" s="203"/>
      <c r="L25" s="738">
        <v>934.9</v>
      </c>
      <c r="M25" s="738">
        <v>912.3</v>
      </c>
      <c r="N25" s="738">
        <v>931.2</v>
      </c>
      <c r="O25" s="738">
        <v>942.9</v>
      </c>
      <c r="P25" s="738">
        <v>1294.5</v>
      </c>
      <c r="Q25" s="742">
        <v>1261.0999999999999</v>
      </c>
      <c r="R25" s="301">
        <v>1098.2</v>
      </c>
      <c r="S25" s="301">
        <v>1232.5999999999999</v>
      </c>
      <c r="T25" s="301">
        <v>1392.6</v>
      </c>
      <c r="U25" s="301">
        <v>1317.8</v>
      </c>
      <c r="V25" s="302">
        <v>1392.6</v>
      </c>
      <c r="W25" s="302">
        <v>1435.8</v>
      </c>
      <c r="X25" s="302">
        <v>1447.6</v>
      </c>
      <c r="Y25" s="296">
        <v>1295.5999999999999</v>
      </c>
      <c r="Z25" s="296">
        <v>1414.8</v>
      </c>
      <c r="AA25" s="296">
        <v>1562.1</v>
      </c>
      <c r="AB25" s="296">
        <v>1586.6</v>
      </c>
      <c r="AC25" s="296">
        <v>1756.2</v>
      </c>
      <c r="AD25" s="296">
        <v>1754.9</v>
      </c>
      <c r="AE25" s="593">
        <v>1828.3</v>
      </c>
    </row>
    <row r="26" spans="2:31">
      <c r="B26" s="1102"/>
      <c r="C26" s="203" t="s">
        <v>741</v>
      </c>
      <c r="D26" s="203"/>
      <c r="E26" s="203"/>
      <c r="F26" s="203"/>
      <c r="G26" s="203"/>
      <c r="H26" s="203"/>
      <c r="I26" s="203"/>
      <c r="J26" s="203"/>
      <c r="K26" s="203"/>
      <c r="L26" s="738"/>
      <c r="M26" s="738"/>
      <c r="N26" s="738"/>
      <c r="O26" s="738"/>
      <c r="P26" s="738"/>
      <c r="Q26" s="742"/>
      <c r="R26" s="301"/>
      <c r="S26" s="301"/>
      <c r="T26" s="301"/>
      <c r="U26" s="302">
        <v>94.628751974723542</v>
      </c>
      <c r="V26" s="302">
        <v>105.67612687813022</v>
      </c>
      <c r="W26" s="302">
        <f>W25/V25*100</f>
        <v>103.10211115898321</v>
      </c>
      <c r="X26" s="302">
        <f>X25/W25*100</f>
        <v>100.82184148210057</v>
      </c>
      <c r="Y26" s="296">
        <v>89.5</v>
      </c>
      <c r="Z26" s="296">
        <v>109.2</v>
      </c>
      <c r="AA26" s="296">
        <v>110.4</v>
      </c>
      <c r="AB26" s="296">
        <f t="shared" ref="AB26:AD26" si="17">AB25/AA25*100</f>
        <v>101.56840151078677</v>
      </c>
      <c r="AC26" s="296">
        <f t="shared" si="17"/>
        <v>110.68952476994833</v>
      </c>
      <c r="AD26" s="296">
        <f t="shared" si="17"/>
        <v>99.925976540257381</v>
      </c>
      <c r="AE26" s="296">
        <f>AE25/AD25*100</f>
        <v>104.18257450566983</v>
      </c>
    </row>
    <row r="27" spans="2:31" s="548" customFormat="1">
      <c r="B27" s="1102"/>
      <c r="C27" s="549" t="s">
        <v>742</v>
      </c>
      <c r="D27" s="549"/>
      <c r="E27" s="549"/>
      <c r="F27" s="549"/>
      <c r="G27" s="549"/>
      <c r="H27" s="549"/>
      <c r="I27" s="549"/>
      <c r="J27" s="549"/>
      <c r="K27" s="549"/>
      <c r="L27" s="759" t="s">
        <v>1107</v>
      </c>
      <c r="M27" s="738" t="s">
        <v>1107</v>
      </c>
      <c r="N27" s="738" t="s">
        <v>1107</v>
      </c>
      <c r="O27" s="738" t="s">
        <v>1107</v>
      </c>
      <c r="P27" s="759">
        <v>1344.6</v>
      </c>
      <c r="Q27" s="740">
        <v>1301.7</v>
      </c>
      <c r="R27" s="301">
        <v>2120.5</v>
      </c>
      <c r="S27" s="302">
        <v>2697</v>
      </c>
      <c r="T27" s="301">
        <v>2088.1</v>
      </c>
      <c r="U27" s="302">
        <v>2371.1</v>
      </c>
      <c r="V27" s="550">
        <v>2509.8000000000002</v>
      </c>
      <c r="W27" s="550">
        <v>2541.6999999999998</v>
      </c>
      <c r="X27" s="550">
        <v>2578.3000000000002</v>
      </c>
      <c r="Y27" s="546">
        <v>2307.5749378281298</v>
      </c>
      <c r="Z27" s="546">
        <v>2519.8803813208078</v>
      </c>
      <c r="AA27" s="546">
        <v>2782.2343395965745</v>
      </c>
      <c r="AB27" s="546">
        <v>3527.8521089120891</v>
      </c>
      <c r="AC27" s="546">
        <v>4674.9295035985406</v>
      </c>
      <c r="AD27" s="546">
        <v>3851.8991456953195</v>
      </c>
      <c r="AE27" s="547">
        <v>2920.1</v>
      </c>
    </row>
    <row r="28" spans="2:31">
      <c r="B28" s="1102"/>
      <c r="C28" s="203" t="s">
        <v>743</v>
      </c>
      <c r="D28" s="203"/>
      <c r="E28" s="203"/>
      <c r="F28" s="203"/>
      <c r="G28" s="203"/>
      <c r="H28" s="203"/>
      <c r="I28" s="203"/>
      <c r="J28" s="203"/>
      <c r="K28" s="203"/>
      <c r="L28" s="754"/>
      <c r="M28" s="754"/>
      <c r="N28" s="754"/>
      <c r="O28" s="754"/>
      <c r="P28" s="754"/>
      <c r="Q28" s="740"/>
      <c r="R28" s="302">
        <v>1930.8869058459297</v>
      </c>
      <c r="S28" s="302">
        <v>2188.0577640759375</v>
      </c>
      <c r="T28" s="302">
        <v>1499.4255349705588</v>
      </c>
      <c r="U28" s="302">
        <v>1799.286689937775</v>
      </c>
      <c r="V28" s="302">
        <f t="shared" ref="V28:AE28" si="18">V27/V25*1000</f>
        <v>1802.2404136148214</v>
      </c>
      <c r="W28" s="302">
        <f t="shared" si="18"/>
        <v>1770.2326229279843</v>
      </c>
      <c r="X28" s="302">
        <f t="shared" si="18"/>
        <v>1781.0859353412548</v>
      </c>
      <c r="Y28" s="302">
        <f t="shared" si="18"/>
        <v>1781.085935341255</v>
      </c>
      <c r="Z28" s="302">
        <f t="shared" si="18"/>
        <v>1781.0859353412552</v>
      </c>
      <c r="AA28" s="302">
        <f t="shared" si="18"/>
        <v>1781.0859353412552</v>
      </c>
      <c r="AB28" s="302">
        <f t="shared" si="18"/>
        <v>2223.5296287105066</v>
      </c>
      <c r="AC28" s="302">
        <f t="shared" si="18"/>
        <v>2661.9573531480132</v>
      </c>
      <c r="AD28" s="302">
        <f t="shared" si="18"/>
        <v>2194.9393958033615</v>
      </c>
      <c r="AE28" s="302">
        <f t="shared" si="18"/>
        <v>1597.166766941968</v>
      </c>
    </row>
    <row r="29" spans="2:31" ht="27" thickBot="1">
      <c r="B29" s="1104"/>
      <c r="C29" s="213" t="s">
        <v>744</v>
      </c>
      <c r="D29" s="219"/>
      <c r="E29" s="219"/>
      <c r="F29" s="219"/>
      <c r="G29" s="219"/>
      <c r="H29" s="219"/>
      <c r="I29" s="219"/>
      <c r="J29" s="219"/>
      <c r="K29" s="219"/>
      <c r="L29" s="756">
        <v>19.5</v>
      </c>
      <c r="M29" s="756">
        <v>20.6</v>
      </c>
      <c r="N29" s="756">
        <v>20.5</v>
      </c>
      <c r="O29" s="756">
        <v>20.9</v>
      </c>
      <c r="P29" s="756">
        <v>25.2</v>
      </c>
      <c r="Q29" s="755">
        <v>27.418674528527507</v>
      </c>
      <c r="R29" s="302">
        <v>23.6</v>
      </c>
      <c r="S29" s="302">
        <v>25.3</v>
      </c>
      <c r="T29" s="302">
        <v>27.7</v>
      </c>
      <c r="U29" s="302">
        <v>28.1</v>
      </c>
      <c r="V29" s="302">
        <v>27.7</v>
      </c>
      <c r="W29" s="302">
        <v>28.4</v>
      </c>
      <c r="X29" s="302">
        <f t="shared" ref="X29:AD29" si="19">X25/X24*10000</f>
        <v>35.171683053473544</v>
      </c>
      <c r="Y29" s="296">
        <f t="shared" si="19"/>
        <v>34.554751518371411</v>
      </c>
      <c r="Z29" s="296">
        <f t="shared" si="19"/>
        <v>37.733916678135131</v>
      </c>
      <c r="AA29" s="296">
        <f t="shared" si="19"/>
        <v>39.902034260421509</v>
      </c>
      <c r="AB29" s="296">
        <f>AB25/AB24*10000</f>
        <v>40.223860258466061</v>
      </c>
      <c r="AC29" s="296">
        <f t="shared" si="19"/>
        <v>44.969541470459447</v>
      </c>
      <c r="AD29" s="298">
        <f t="shared" si="19"/>
        <v>44.891308240518569</v>
      </c>
      <c r="AE29" s="298">
        <f t="shared" ref="AE29" si="20">AE25/AE24*10000</f>
        <v>46.768920654248163</v>
      </c>
    </row>
    <row r="30" spans="2:31" ht="26.25">
      <c r="B30" s="214"/>
      <c r="C30" s="215" t="s">
        <v>745</v>
      </c>
      <c r="D30" s="681"/>
      <c r="E30" s="681"/>
      <c r="F30" s="681"/>
      <c r="G30" s="681"/>
      <c r="H30" s="681"/>
      <c r="I30" s="681"/>
      <c r="J30" s="681"/>
      <c r="K30" s="681"/>
      <c r="L30" s="681"/>
      <c r="M30" s="681"/>
      <c r="N30" s="681"/>
      <c r="O30" s="681"/>
      <c r="P30" s="681"/>
      <c r="Q30" s="681"/>
      <c r="R30" s="681"/>
      <c r="S30" s="681"/>
      <c r="T30" s="681"/>
      <c r="U30" s="681"/>
    </row>
    <row r="31" spans="2:31">
      <c r="B31" s="216" t="s">
        <v>732</v>
      </c>
      <c r="C31" s="216"/>
      <c r="D31" s="681"/>
      <c r="E31" s="681"/>
      <c r="F31" s="681"/>
      <c r="G31" s="681"/>
      <c r="H31" s="681"/>
      <c r="I31" s="681"/>
      <c r="J31" s="681"/>
      <c r="K31" s="681"/>
      <c r="L31" s="681"/>
      <c r="M31" s="681"/>
      <c r="N31" s="681"/>
      <c r="O31" s="681"/>
      <c r="P31" s="681"/>
      <c r="Q31" s="681"/>
      <c r="R31" s="681"/>
      <c r="S31" s="681"/>
      <c r="T31" s="681"/>
      <c r="U31" s="681"/>
    </row>
    <row r="32" spans="2:31">
      <c r="B32" s="1119" t="s">
        <v>746</v>
      </c>
      <c r="C32" s="216" t="s">
        <v>739</v>
      </c>
      <c r="D32" s="216"/>
      <c r="E32" s="216"/>
      <c r="F32" s="216"/>
      <c r="G32" s="216"/>
      <c r="H32" s="216"/>
      <c r="I32" s="216"/>
      <c r="J32" s="216"/>
      <c r="K32" s="216"/>
      <c r="L32" s="760">
        <v>317738</v>
      </c>
      <c r="M32" s="760">
        <v>320694</v>
      </c>
      <c r="N32" s="760">
        <v>307961</v>
      </c>
      <c r="O32" s="760">
        <v>331766</v>
      </c>
      <c r="P32" s="760">
        <v>358766</v>
      </c>
      <c r="Q32" s="740">
        <v>342566</v>
      </c>
      <c r="R32" s="301">
        <v>311179</v>
      </c>
      <c r="S32" s="301">
        <v>303677</v>
      </c>
      <c r="T32" s="301">
        <v>318601</v>
      </c>
      <c r="U32" s="301">
        <v>292573</v>
      </c>
      <c r="V32" s="301">
        <v>295632</v>
      </c>
      <c r="W32" s="301">
        <v>297479</v>
      </c>
      <c r="X32" s="301">
        <v>285867</v>
      </c>
      <c r="Y32" s="308">
        <v>255548.79999999999</v>
      </c>
      <c r="Z32" s="296">
        <f t="shared" ref="Z32" si="21">Y32</f>
        <v>255548.79999999999</v>
      </c>
      <c r="AA32" s="296">
        <v>269645.3</v>
      </c>
      <c r="AB32" s="296">
        <v>274747.7</v>
      </c>
      <c r="AC32" s="296">
        <v>271067</v>
      </c>
      <c r="AD32" s="296">
        <v>271338</v>
      </c>
      <c r="AE32" s="297">
        <v>271338</v>
      </c>
    </row>
    <row r="33" spans="2:31">
      <c r="B33" s="1111"/>
      <c r="C33" s="216" t="s">
        <v>740</v>
      </c>
      <c r="D33" s="216"/>
      <c r="E33" s="216"/>
      <c r="F33" s="216"/>
      <c r="G33" s="216"/>
      <c r="H33" s="216"/>
      <c r="I33" s="216"/>
      <c r="J33" s="216"/>
      <c r="K33" s="216"/>
      <c r="L33" s="760">
        <v>618.5</v>
      </c>
      <c r="M33" s="760">
        <v>640.29999999999995</v>
      </c>
      <c r="N33" s="760">
        <v>649.29999999999995</v>
      </c>
      <c r="O33" s="760">
        <v>659.1</v>
      </c>
      <c r="P33" s="760">
        <v>938.4</v>
      </c>
      <c r="Q33" s="740">
        <v>857.5</v>
      </c>
      <c r="R33" s="301">
        <v>726.9</v>
      </c>
      <c r="S33" s="301">
        <v>812.6</v>
      </c>
      <c r="T33" s="301">
        <v>947.4</v>
      </c>
      <c r="U33" s="301">
        <v>868.4</v>
      </c>
      <c r="V33" s="302">
        <v>896.4</v>
      </c>
      <c r="W33" s="302">
        <v>917.1</v>
      </c>
      <c r="X33" s="302">
        <v>900.2</v>
      </c>
      <c r="Y33" s="296">
        <v>779</v>
      </c>
      <c r="Z33" s="296">
        <v>836.2</v>
      </c>
      <c r="AA33" s="296">
        <v>863.7</v>
      </c>
      <c r="AB33" s="296">
        <v>876.1</v>
      </c>
      <c r="AC33" s="296">
        <v>934.3</v>
      </c>
      <c r="AD33" s="296">
        <v>860.8</v>
      </c>
      <c r="AE33" s="593">
        <v>880.7</v>
      </c>
    </row>
    <row r="34" spans="2:31">
      <c r="B34" s="1111"/>
      <c r="C34" s="216" t="s">
        <v>742</v>
      </c>
      <c r="D34" s="681"/>
      <c r="E34" s="681"/>
      <c r="F34" s="681"/>
      <c r="G34" s="681"/>
      <c r="H34" s="681"/>
      <c r="I34" s="681"/>
      <c r="J34" s="681"/>
      <c r="K34" s="681"/>
      <c r="L34" s="760"/>
      <c r="M34" s="760"/>
      <c r="N34" s="760"/>
      <c r="O34" s="760"/>
      <c r="P34" s="760"/>
      <c r="Q34" s="740"/>
      <c r="R34" s="301"/>
      <c r="S34" s="301"/>
      <c r="T34" s="301"/>
      <c r="U34" s="301"/>
      <c r="W34" s="301">
        <v>1336.4</v>
      </c>
      <c r="X34" s="302">
        <v>1295.97</v>
      </c>
    </row>
    <row r="35" spans="2:31" ht="26.25">
      <c r="B35" s="1112"/>
      <c r="C35" s="216" t="s">
        <v>744</v>
      </c>
      <c r="D35" s="216"/>
      <c r="E35" s="216"/>
      <c r="F35" s="216"/>
      <c r="G35" s="216"/>
      <c r="H35" s="216"/>
      <c r="I35" s="216"/>
      <c r="J35" s="216"/>
      <c r="K35" s="216"/>
      <c r="L35" s="760">
        <v>19.600000000000001</v>
      </c>
      <c r="M35" s="760">
        <v>19.899999999999999</v>
      </c>
      <c r="N35" s="760">
        <v>20.6</v>
      </c>
      <c r="O35" s="760">
        <v>20.6</v>
      </c>
      <c r="P35" s="760">
        <v>25.1</v>
      </c>
      <c r="Q35" s="740">
        <v>23.9</v>
      </c>
      <c r="R35" s="302">
        <v>23.359545470613376</v>
      </c>
      <c r="S35" s="302">
        <v>26.758694270557207</v>
      </c>
      <c r="T35" s="302">
        <v>29.736253181879526</v>
      </c>
      <c r="U35" s="302">
        <v>29.681481202981818</v>
      </c>
      <c r="V35" s="302">
        <f t="shared" ref="V35:AA35" si="22">V33/V32*10000</f>
        <v>30.321480759863615</v>
      </c>
      <c r="W35" s="302">
        <f t="shared" si="22"/>
        <v>30.829066925732572</v>
      </c>
      <c r="X35" s="302">
        <f t="shared" si="22"/>
        <v>31.490168504934115</v>
      </c>
      <c r="Y35" s="302">
        <f t="shared" si="22"/>
        <v>30.483414518088129</v>
      </c>
      <c r="Z35" s="302">
        <f t="shared" si="22"/>
        <v>32.721734557156992</v>
      </c>
      <c r="AA35" s="302">
        <f t="shared" si="22"/>
        <v>32.030968090302338</v>
      </c>
      <c r="AB35" s="302">
        <f>AB33/AB32*10000</f>
        <v>31.887437092285033</v>
      </c>
      <c r="AC35" s="302">
        <f>AC33/AC32*10000</f>
        <v>34.467493276569996</v>
      </c>
      <c r="AD35" s="302">
        <f t="shared" ref="AD35" si="23">AD33/AD32*10000</f>
        <v>31.724270098548672</v>
      </c>
      <c r="AE35" s="309">
        <f>AE33/AE32*10000</f>
        <v>32.457672718159642</v>
      </c>
    </row>
    <row r="36" spans="2:31" ht="15.75" thickBot="1">
      <c r="B36" s="217"/>
      <c r="C36" s="219"/>
      <c r="D36" s="681"/>
      <c r="E36" s="681"/>
      <c r="F36" s="681"/>
      <c r="G36" s="681"/>
      <c r="H36" s="681"/>
      <c r="I36" s="681"/>
      <c r="J36" s="681"/>
      <c r="K36" s="681"/>
      <c r="L36" s="681"/>
      <c r="M36" s="681"/>
      <c r="N36" s="681"/>
      <c r="O36" s="681"/>
      <c r="P36" s="681"/>
      <c r="Q36" s="681"/>
      <c r="R36" s="681"/>
      <c r="S36" s="681"/>
      <c r="T36" s="681"/>
      <c r="U36" s="681"/>
      <c r="AE36">
        <f>AE38*AE41/1000</f>
        <v>1289.6999999999998</v>
      </c>
    </row>
    <row r="37" spans="2:31">
      <c r="B37" s="1103" t="s">
        <v>199</v>
      </c>
      <c r="C37" s="211" t="s">
        <v>739</v>
      </c>
      <c r="D37" s="234"/>
      <c r="E37" s="234"/>
      <c r="F37" s="234"/>
      <c r="G37" s="234"/>
      <c r="H37" s="234"/>
      <c r="I37" s="234"/>
      <c r="J37" s="234"/>
      <c r="K37" s="234"/>
      <c r="L37" s="757">
        <v>288655</v>
      </c>
      <c r="M37" s="757">
        <v>262894</v>
      </c>
      <c r="N37" s="757">
        <v>254830</v>
      </c>
      <c r="O37" s="757">
        <v>237130</v>
      </c>
      <c r="P37" s="757">
        <v>168916</v>
      </c>
      <c r="Q37" s="758">
        <v>162428</v>
      </c>
      <c r="R37" s="301">
        <v>204110</v>
      </c>
      <c r="S37" s="301">
        <v>199254</v>
      </c>
      <c r="T37" s="301">
        <v>190925</v>
      </c>
      <c r="U37" s="301">
        <v>177637</v>
      </c>
      <c r="V37" s="300">
        <v>159492</v>
      </c>
      <c r="W37" s="300">
        <v>162558</v>
      </c>
      <c r="X37" s="300">
        <v>173979</v>
      </c>
      <c r="Y37" s="305">
        <v>185816.8</v>
      </c>
      <c r="Z37" s="305">
        <v>185435</v>
      </c>
      <c r="AA37" s="305">
        <v>185435</v>
      </c>
      <c r="AB37" s="305">
        <v>177048</v>
      </c>
      <c r="AC37" s="305">
        <v>181542</v>
      </c>
      <c r="AD37" s="305">
        <v>185540</v>
      </c>
      <c r="AE37" s="307">
        <v>185540</v>
      </c>
    </row>
    <row r="38" spans="2:31">
      <c r="B38" s="1102"/>
      <c r="C38" s="216" t="s">
        <v>740</v>
      </c>
      <c r="D38" s="216"/>
      <c r="E38" s="216"/>
      <c r="F38" s="216"/>
      <c r="G38" s="216"/>
      <c r="H38" s="216"/>
      <c r="I38" s="216"/>
      <c r="J38" s="216"/>
      <c r="K38" s="216"/>
      <c r="L38" s="760">
        <v>447.9</v>
      </c>
      <c r="M38" s="760">
        <v>437.9</v>
      </c>
      <c r="N38" s="760">
        <v>419.7</v>
      </c>
      <c r="O38" s="760">
        <v>353.1</v>
      </c>
      <c r="P38" s="760">
        <v>296</v>
      </c>
      <c r="Q38" s="740">
        <v>310.89999999999998</v>
      </c>
      <c r="R38" s="301">
        <v>416.5</v>
      </c>
      <c r="S38" s="301">
        <v>418</v>
      </c>
      <c r="T38" s="301">
        <v>392.8</v>
      </c>
      <c r="U38" s="302">
        <v>372.7</v>
      </c>
      <c r="V38" s="302">
        <v>270</v>
      </c>
      <c r="W38" s="302">
        <v>284.7</v>
      </c>
      <c r="X38" s="302">
        <v>386.5</v>
      </c>
      <c r="Y38" s="296">
        <v>300.39999999999998</v>
      </c>
      <c r="Z38" s="296">
        <v>403</v>
      </c>
      <c r="AA38" s="296">
        <v>396</v>
      </c>
      <c r="AB38" s="296">
        <v>388.8</v>
      </c>
      <c r="AC38" s="296">
        <v>404.7</v>
      </c>
      <c r="AD38" s="296">
        <v>344.4</v>
      </c>
      <c r="AE38" s="594">
        <v>253.2</v>
      </c>
    </row>
    <row r="39" spans="2:31" s="548" customFormat="1">
      <c r="B39" s="1102"/>
      <c r="C39" s="549" t="s">
        <v>742</v>
      </c>
      <c r="D39" s="549"/>
      <c r="E39" s="549"/>
      <c r="F39" s="549"/>
      <c r="G39" s="549"/>
      <c r="H39" s="549"/>
      <c r="I39" s="549"/>
      <c r="J39" s="549"/>
      <c r="K39" s="549"/>
      <c r="L39" s="738">
        <v>0</v>
      </c>
      <c r="M39" s="738">
        <v>0</v>
      </c>
      <c r="N39" s="738">
        <v>0</v>
      </c>
      <c r="O39" s="738">
        <v>0</v>
      </c>
      <c r="P39" s="738">
        <v>550.79999999999995</v>
      </c>
      <c r="Q39" s="740">
        <v>789.4</v>
      </c>
      <c r="R39" s="301">
        <v>1509.3</v>
      </c>
      <c r="S39" s="301">
        <v>1107.5</v>
      </c>
      <c r="T39" s="301">
        <v>1327.3</v>
      </c>
      <c r="U39" s="302">
        <v>1098.8</v>
      </c>
      <c r="V39" s="550">
        <v>807.5</v>
      </c>
      <c r="W39" s="550">
        <v>1276.2</v>
      </c>
      <c r="X39" s="550">
        <v>1744.98</v>
      </c>
      <c r="Y39" s="546">
        <v>1346.5770284510013</v>
      </c>
      <c r="Z39" s="546">
        <v>1806.4931506849323</v>
      </c>
      <c r="AA39" s="546">
        <v>1775.1148577449956</v>
      </c>
      <c r="AB39" s="546">
        <v>1742.8400421496319</v>
      </c>
      <c r="AC39" s="551">
        <v>1851.5952790671356</v>
      </c>
      <c r="AD39" s="551">
        <v>1922.3223959104421</v>
      </c>
      <c r="AE39" s="552">
        <v>1289.7</v>
      </c>
    </row>
    <row r="40" spans="2:31" ht="26.25">
      <c r="B40" s="1102"/>
      <c r="C40" s="216" t="s">
        <v>744</v>
      </c>
      <c r="D40" s="216"/>
      <c r="E40" s="216"/>
      <c r="F40" s="216"/>
      <c r="G40" s="216"/>
      <c r="H40" s="216"/>
      <c r="I40" s="216"/>
      <c r="J40" s="216"/>
      <c r="K40" s="216"/>
      <c r="L40" s="760">
        <v>15.6</v>
      </c>
      <c r="M40" s="760">
        <v>17</v>
      </c>
      <c r="N40" s="760">
        <v>16.600000000000001</v>
      </c>
      <c r="O40" s="760">
        <v>15.6</v>
      </c>
      <c r="P40" s="760">
        <v>17.8</v>
      </c>
      <c r="Q40" s="740">
        <v>19.3</v>
      </c>
      <c r="R40" s="301">
        <v>20.399999999999999</v>
      </c>
      <c r="S40" s="301">
        <v>21</v>
      </c>
      <c r="T40" s="311">
        <v>20.573523634935185</v>
      </c>
      <c r="U40" s="311">
        <v>20.980989320918503</v>
      </c>
      <c r="V40" s="311">
        <v>17.3</v>
      </c>
      <c r="W40" s="311">
        <f t="shared" ref="W40:AE40" si="24">W38/W37*10000</f>
        <v>17.51374893884029</v>
      </c>
      <c r="X40" s="311">
        <f>22.4</f>
        <v>22.4</v>
      </c>
      <c r="Y40" s="312">
        <f t="shared" si="24"/>
        <v>16.166460729062173</v>
      </c>
      <c r="Z40" s="312">
        <f t="shared" si="24"/>
        <v>21.732682611157546</v>
      </c>
      <c r="AA40" s="312">
        <f t="shared" si="24"/>
        <v>21.355191846199475</v>
      </c>
      <c r="AB40" s="312">
        <f t="shared" si="24"/>
        <v>21.960146400976008</v>
      </c>
      <c r="AC40" s="312">
        <f t="shared" si="24"/>
        <v>22.292362098026903</v>
      </c>
      <c r="AD40" s="312">
        <f t="shared" si="24"/>
        <v>18.562035140670474</v>
      </c>
      <c r="AE40" s="313">
        <f t="shared" si="24"/>
        <v>13.646653012827421</v>
      </c>
    </row>
    <row r="41" spans="2:31" ht="15.75" thickBot="1">
      <c r="B41" s="1104"/>
      <c r="C41" s="213" t="s">
        <v>747</v>
      </c>
      <c r="D41" s="219"/>
      <c r="E41" s="219"/>
      <c r="F41" s="219"/>
      <c r="G41" s="219"/>
      <c r="H41" s="219"/>
      <c r="I41" s="219"/>
      <c r="J41" s="219"/>
      <c r="K41" s="219"/>
      <c r="L41" s="219"/>
      <c r="M41" s="219"/>
      <c r="N41" s="219"/>
      <c r="O41" s="219"/>
      <c r="P41" s="219"/>
      <c r="Q41" s="219"/>
      <c r="R41" s="219"/>
      <c r="S41" s="219"/>
      <c r="T41" s="219"/>
      <c r="U41" s="219"/>
      <c r="V41" s="302">
        <f t="shared" ref="V41:AE41" si="25">V39/V38*1000</f>
        <v>2990.7407407407409</v>
      </c>
      <c r="W41" s="302">
        <f t="shared" si="25"/>
        <v>4482.6132771338262</v>
      </c>
      <c r="X41" s="302">
        <f t="shared" si="25"/>
        <v>4514.8253557567923</v>
      </c>
      <c r="Y41" s="302">
        <f t="shared" si="25"/>
        <v>4482.6132771338262</v>
      </c>
      <c r="Z41" s="302">
        <f t="shared" si="25"/>
        <v>4482.6132771338271</v>
      </c>
      <c r="AA41" s="302">
        <f t="shared" si="25"/>
        <v>4482.6132771338271</v>
      </c>
      <c r="AB41" s="302">
        <f t="shared" si="25"/>
        <v>4482.6132771338271</v>
      </c>
      <c r="AC41" s="302">
        <f t="shared" si="25"/>
        <v>4575.2292539341133</v>
      </c>
      <c r="AD41" s="302">
        <f t="shared" si="25"/>
        <v>5581.6562018305522</v>
      </c>
      <c r="AE41" s="302">
        <f t="shared" si="25"/>
        <v>5093.6018957345968</v>
      </c>
    </row>
    <row r="42" spans="2:31">
      <c r="B42" s="214" t="s">
        <v>732</v>
      </c>
      <c r="C42" s="215"/>
      <c r="D42" s="681"/>
      <c r="E42" s="681"/>
      <c r="F42" s="681"/>
      <c r="G42" s="681"/>
      <c r="H42" s="681"/>
      <c r="I42" s="681"/>
      <c r="J42" s="681"/>
      <c r="K42" s="681"/>
      <c r="L42" s="681"/>
      <c r="M42" s="681"/>
      <c r="N42" s="681"/>
      <c r="O42" s="681"/>
      <c r="P42" s="681"/>
      <c r="Q42" s="681"/>
      <c r="R42" s="681"/>
      <c r="S42" s="681"/>
      <c r="T42" s="681"/>
      <c r="U42" s="681"/>
      <c r="AE42">
        <f>AE48*AE51/1000</f>
        <v>1051.0999999999997</v>
      </c>
    </row>
    <row r="43" spans="2:31">
      <c r="B43" s="1107" t="s">
        <v>748</v>
      </c>
      <c r="C43" s="216" t="s">
        <v>739</v>
      </c>
      <c r="D43" s="681"/>
      <c r="E43" s="681"/>
      <c r="F43" s="681"/>
      <c r="G43" s="681"/>
      <c r="H43" s="681"/>
      <c r="I43" s="681"/>
      <c r="J43" s="681"/>
      <c r="K43" s="681"/>
      <c r="L43" s="760">
        <v>17346</v>
      </c>
      <c r="M43" s="760">
        <v>25442</v>
      </c>
      <c r="N43" s="760">
        <v>14538</v>
      </c>
      <c r="O43" s="760">
        <v>8298</v>
      </c>
      <c r="P43" s="760">
        <v>897</v>
      </c>
      <c r="Q43" s="740">
        <v>775</v>
      </c>
      <c r="R43" s="301">
        <v>1943</v>
      </c>
      <c r="S43" s="301">
        <v>2023</v>
      </c>
      <c r="T43" s="301">
        <v>370</v>
      </c>
      <c r="U43" s="301">
        <v>135</v>
      </c>
      <c r="AC43" s="46"/>
      <c r="AD43" s="46">
        <f>AD44/1000</f>
        <v>5632.9080000000004</v>
      </c>
      <c r="AE43" s="46">
        <f>AE44/1000</f>
        <v>5776.48</v>
      </c>
    </row>
    <row r="44" spans="2:31">
      <c r="B44" s="1107"/>
      <c r="C44" s="216" t="s">
        <v>749</v>
      </c>
      <c r="D44" s="681"/>
      <c r="E44" s="681"/>
      <c r="F44" s="681"/>
      <c r="G44" s="681"/>
      <c r="H44" s="681"/>
      <c r="I44" s="681"/>
      <c r="J44" s="681"/>
      <c r="K44" s="681"/>
      <c r="L44" s="760">
        <v>28463</v>
      </c>
      <c r="M44" s="760">
        <v>37099</v>
      </c>
      <c r="N44" s="760">
        <v>28320</v>
      </c>
      <c r="O44" s="760">
        <v>10753</v>
      </c>
      <c r="P44" s="760">
        <v>1988</v>
      </c>
      <c r="Q44" s="740">
        <v>1717</v>
      </c>
      <c r="R44" s="301">
        <v>4133</v>
      </c>
      <c r="S44" s="301">
        <v>3813</v>
      </c>
      <c r="T44" s="301">
        <v>615</v>
      </c>
      <c r="U44" s="301">
        <v>411</v>
      </c>
      <c r="AC44" s="46"/>
      <c r="AD44" s="46">
        <f>AD46*AD45</f>
        <v>5632908</v>
      </c>
      <c r="AE44" s="46">
        <f>AE46*AE45</f>
        <v>5776480</v>
      </c>
    </row>
    <row r="45" spans="2:31">
      <c r="B45" s="1107"/>
      <c r="C45" s="216" t="s">
        <v>742</v>
      </c>
      <c r="D45" s="681"/>
      <c r="E45" s="681"/>
      <c r="F45" s="681"/>
      <c r="G45" s="681"/>
      <c r="H45" s="681"/>
      <c r="I45" s="681"/>
      <c r="J45" s="681"/>
      <c r="K45" s="681"/>
      <c r="L45" s="761"/>
      <c r="M45" s="761"/>
      <c r="N45" s="761"/>
      <c r="O45" s="761"/>
      <c r="P45" s="761"/>
      <c r="Q45" s="740"/>
      <c r="R45" s="301"/>
      <c r="S45" s="301"/>
      <c r="T45" s="301"/>
      <c r="U45" s="301"/>
      <c r="AC45" s="549">
        <f>AE48*AE43/1000</f>
        <v>7301.4707199999993</v>
      </c>
      <c r="AD45" s="46">
        <v>4.92</v>
      </c>
      <c r="AE45" s="46">
        <v>4.57</v>
      </c>
    </row>
    <row r="46" spans="2:31" ht="26.25" thickBot="1">
      <c r="B46" s="1120"/>
      <c r="C46" s="220" t="s">
        <v>744</v>
      </c>
      <c r="D46" s="175"/>
      <c r="E46" s="175"/>
      <c r="F46" s="175"/>
      <c r="G46" s="175"/>
      <c r="H46" s="175"/>
      <c r="I46" s="175"/>
      <c r="J46" s="175"/>
      <c r="K46" s="175"/>
      <c r="L46" s="668"/>
      <c r="M46" s="668"/>
      <c r="N46" s="668"/>
      <c r="O46" s="668"/>
      <c r="P46" s="668"/>
      <c r="Q46" s="749">
        <v>22.2</v>
      </c>
      <c r="R46" s="301">
        <v>21.3</v>
      </c>
      <c r="S46" s="301">
        <v>18.8</v>
      </c>
      <c r="T46" s="301">
        <v>16.600000000000001</v>
      </c>
      <c r="U46" s="301">
        <v>17.2</v>
      </c>
      <c r="AC46" s="549">
        <f>AD48*AD43/1000</f>
        <v>6449.1163692000009</v>
      </c>
      <c r="AD46" s="46">
        <f>AD48*1000</f>
        <v>1144900</v>
      </c>
      <c r="AE46" s="46">
        <f>AE48*1000</f>
        <v>1264000</v>
      </c>
    </row>
    <row r="47" spans="2:31">
      <c r="B47" s="1103" t="s">
        <v>750</v>
      </c>
      <c r="C47" s="211" t="s">
        <v>739</v>
      </c>
      <c r="D47" s="234"/>
      <c r="E47" s="234"/>
      <c r="F47" s="234"/>
      <c r="G47" s="234"/>
      <c r="H47" s="234"/>
      <c r="I47" s="234"/>
      <c r="J47" s="234"/>
      <c r="K47" s="234"/>
      <c r="L47" s="757">
        <v>27483</v>
      </c>
      <c r="M47" s="757">
        <v>27935</v>
      </c>
      <c r="N47" s="757">
        <v>29752</v>
      </c>
      <c r="O47" s="757">
        <v>28676</v>
      </c>
      <c r="P47" s="757">
        <v>29838</v>
      </c>
      <c r="Q47" s="758">
        <v>31764</v>
      </c>
      <c r="R47" s="301">
        <v>36720</v>
      </c>
      <c r="S47" s="301">
        <v>41738</v>
      </c>
      <c r="T47" s="301">
        <v>44380</v>
      </c>
      <c r="U47" s="301">
        <v>35543</v>
      </c>
      <c r="V47" s="300">
        <v>39782</v>
      </c>
      <c r="W47" s="300">
        <v>41577</v>
      </c>
      <c r="X47" s="300">
        <v>40615.1</v>
      </c>
      <c r="Y47" s="305">
        <v>50302.2</v>
      </c>
      <c r="Z47" s="305">
        <v>52730.8</v>
      </c>
      <c r="AA47" s="305">
        <v>52730.8</v>
      </c>
      <c r="AB47" s="305">
        <v>58238.6</v>
      </c>
      <c r="AC47" s="305">
        <v>56092</v>
      </c>
      <c r="AD47" s="305">
        <v>56148</v>
      </c>
      <c r="AE47" s="307">
        <v>56148</v>
      </c>
    </row>
    <row r="48" spans="2:31">
      <c r="B48" s="1102"/>
      <c r="C48" s="203" t="s">
        <v>740</v>
      </c>
      <c r="D48" s="203"/>
      <c r="E48" s="203"/>
      <c r="F48" s="203"/>
      <c r="G48" s="203"/>
      <c r="H48" s="203"/>
      <c r="I48" s="203"/>
      <c r="J48" s="203"/>
      <c r="K48" s="203"/>
      <c r="L48" s="738">
        <v>555.1</v>
      </c>
      <c r="M48" s="738">
        <v>573.70000000000005</v>
      </c>
      <c r="N48" s="738">
        <v>662.1</v>
      </c>
      <c r="O48" s="738">
        <v>679.8</v>
      </c>
      <c r="P48" s="738">
        <v>690.8</v>
      </c>
      <c r="Q48" s="740">
        <v>760.1</v>
      </c>
      <c r="R48" s="301">
        <v>863.1</v>
      </c>
      <c r="S48" s="301">
        <v>991</v>
      </c>
      <c r="T48" s="301">
        <v>1115.7</v>
      </c>
      <c r="U48" s="301">
        <v>853.7</v>
      </c>
      <c r="V48" s="301">
        <v>887.4</v>
      </c>
      <c r="W48" s="302">
        <v>898.1</v>
      </c>
      <c r="X48" s="302">
        <v>782.9</v>
      </c>
      <c r="Y48" s="296">
        <v>964.6</v>
      </c>
      <c r="Z48" s="296">
        <v>994.4</v>
      </c>
      <c r="AA48" s="296">
        <v>1022.5</v>
      </c>
      <c r="AB48" s="296">
        <v>1041.3</v>
      </c>
      <c r="AC48" s="296">
        <v>1094.4000000000001</v>
      </c>
      <c r="AD48" s="296">
        <v>1144.9000000000001</v>
      </c>
      <c r="AE48" s="593">
        <v>1264</v>
      </c>
    </row>
    <row r="49" spans="2:31" s="548" customFormat="1">
      <c r="B49" s="1102"/>
      <c r="C49" s="549" t="s">
        <v>742</v>
      </c>
      <c r="D49" s="549"/>
      <c r="E49" s="549"/>
      <c r="F49" s="549"/>
      <c r="G49" s="549"/>
      <c r="H49" s="549"/>
      <c r="I49" s="549"/>
      <c r="J49" s="549"/>
      <c r="K49" s="549"/>
      <c r="L49" s="738" t="s">
        <v>1107</v>
      </c>
      <c r="M49" s="738" t="s">
        <v>1107</v>
      </c>
      <c r="N49" s="738" t="s">
        <v>1107</v>
      </c>
      <c r="O49" s="738" t="s">
        <v>1107</v>
      </c>
      <c r="P49" s="738">
        <v>824.7</v>
      </c>
      <c r="Q49" s="740">
        <v>860.9</v>
      </c>
      <c r="R49" s="301">
        <v>1400.6</v>
      </c>
      <c r="S49" s="301">
        <v>1685.7</v>
      </c>
      <c r="T49" s="301">
        <v>1748.9</v>
      </c>
      <c r="U49" s="301">
        <v>1978.1</v>
      </c>
      <c r="V49" s="550">
        <v>2058.6999999999998</v>
      </c>
      <c r="W49" s="550">
        <v>1491</v>
      </c>
      <c r="X49" s="550">
        <v>1318.5</v>
      </c>
      <c r="Y49" s="550">
        <v>1318.5</v>
      </c>
      <c r="Z49" s="550">
        <v>1318.5</v>
      </c>
      <c r="AA49" s="550">
        <v>1318.5</v>
      </c>
      <c r="AB49" s="546">
        <v>1013.1987576121257</v>
      </c>
      <c r="AC49" s="546">
        <v>1035.8011928182889</v>
      </c>
      <c r="AD49" s="546">
        <v>928.85119229195652</v>
      </c>
      <c r="AE49" s="547">
        <v>1051.0999999999999</v>
      </c>
    </row>
    <row r="50" spans="2:31" ht="26.25">
      <c r="B50" s="1102"/>
      <c r="C50" s="216" t="s">
        <v>744</v>
      </c>
      <c r="D50" s="216"/>
      <c r="E50" s="216"/>
      <c r="F50" s="216"/>
      <c r="G50" s="216"/>
      <c r="H50" s="216"/>
      <c r="I50" s="216"/>
      <c r="J50" s="216"/>
      <c r="K50" s="216"/>
      <c r="L50" s="760">
        <v>196.2</v>
      </c>
      <c r="M50" s="760">
        <v>198.5</v>
      </c>
      <c r="N50" s="760">
        <v>218.4</v>
      </c>
      <c r="O50" s="760">
        <v>226.9</v>
      </c>
      <c r="P50" s="760">
        <v>223.1</v>
      </c>
      <c r="Q50" s="740">
        <v>229.7</v>
      </c>
      <c r="R50" s="301">
        <v>228.3</v>
      </c>
      <c r="S50" s="301">
        <v>233.2</v>
      </c>
      <c r="T50" s="302">
        <v>247.3</v>
      </c>
      <c r="U50" s="302">
        <v>231</v>
      </c>
      <c r="V50" s="302">
        <v>221.7</v>
      </c>
      <c r="W50" s="302">
        <v>214.4</v>
      </c>
      <c r="X50" s="314">
        <f t="shared" ref="X50:AE50" si="26">X48/X47*10000</f>
        <v>192.76082048302234</v>
      </c>
      <c r="Y50" s="314">
        <f t="shared" si="26"/>
        <v>191.7609965369308</v>
      </c>
      <c r="Z50" s="314">
        <f t="shared" si="26"/>
        <v>188.58048806390192</v>
      </c>
      <c r="AA50" s="314">
        <f t="shared" si="26"/>
        <v>193.90944192009223</v>
      </c>
      <c r="AB50" s="296">
        <f t="shared" si="26"/>
        <v>178.79894090860702</v>
      </c>
      <c r="AC50" s="296">
        <f t="shared" si="26"/>
        <v>195.10803679669115</v>
      </c>
      <c r="AD50" s="296">
        <f t="shared" si="26"/>
        <v>203.90753009902403</v>
      </c>
      <c r="AE50" s="593">
        <f t="shared" si="26"/>
        <v>225.11932749162929</v>
      </c>
    </row>
    <row r="51" spans="2:31" ht="15.75" thickBot="1">
      <c r="B51" s="1104"/>
      <c r="C51" s="213" t="s">
        <v>747</v>
      </c>
      <c r="D51" s="219"/>
      <c r="E51" s="219"/>
      <c r="F51" s="219"/>
      <c r="G51" s="219"/>
      <c r="H51" s="219"/>
      <c r="I51" s="219"/>
      <c r="J51" s="219"/>
      <c r="K51" s="219"/>
      <c r="L51" s="762"/>
      <c r="M51" s="762"/>
      <c r="N51" s="762"/>
      <c r="O51" s="762"/>
      <c r="P51" s="763">
        <v>1193.8332368268675</v>
      </c>
      <c r="Q51" s="755">
        <v>1132.6141297197737</v>
      </c>
      <c r="R51" s="302">
        <v>1622.7551847989803</v>
      </c>
      <c r="S51" s="302">
        <v>1701.0090817356206</v>
      </c>
      <c r="T51" s="302">
        <v>1567.5360760060948</v>
      </c>
      <c r="U51" s="302">
        <v>2317.0903127562374</v>
      </c>
      <c r="V51" s="302">
        <f>V49/V48*1000</f>
        <v>2319.9233716475096</v>
      </c>
      <c r="W51" s="302">
        <f t="shared" ref="W51:AE51" si="27">W49/W48*1000</f>
        <v>1660.1714731098987</v>
      </c>
      <c r="X51" s="302">
        <f t="shared" si="27"/>
        <v>1684.1231319453316</v>
      </c>
      <c r="Y51" s="302">
        <f t="shared" si="27"/>
        <v>1366.8878291519802</v>
      </c>
      <c r="Z51" s="302">
        <f t="shared" si="27"/>
        <v>1325.9251810136766</v>
      </c>
      <c r="AA51" s="302">
        <f t="shared" si="27"/>
        <v>1289.4865525672371</v>
      </c>
      <c r="AB51" s="302">
        <f t="shared" si="27"/>
        <v>973.01330799205402</v>
      </c>
      <c r="AC51" s="302">
        <f t="shared" si="27"/>
        <v>946.45576829156505</v>
      </c>
      <c r="AD51" s="302">
        <f t="shared" si="27"/>
        <v>811.2946041505428</v>
      </c>
      <c r="AE51" s="302">
        <f t="shared" si="27"/>
        <v>831.56645569620241</v>
      </c>
    </row>
    <row r="52" spans="2:31">
      <c r="B52" s="221"/>
      <c r="C52" s="222"/>
      <c r="D52" s="681"/>
      <c r="E52" s="681"/>
      <c r="F52" s="681"/>
      <c r="G52" s="681"/>
      <c r="H52" s="681"/>
      <c r="I52" s="681"/>
      <c r="J52" s="681"/>
      <c r="K52" s="681"/>
      <c r="L52" s="681"/>
      <c r="M52" s="681"/>
      <c r="N52" s="681"/>
      <c r="O52" s="681"/>
      <c r="P52" s="681"/>
      <c r="Q52" s="681"/>
      <c r="R52" s="681"/>
      <c r="S52" s="681"/>
      <c r="T52" s="681"/>
      <c r="U52" s="681"/>
      <c r="AE52">
        <f>AE54*AE57/1000</f>
        <v>7996.7000000000007</v>
      </c>
    </row>
    <row r="53" spans="2:31">
      <c r="B53" s="1117" t="s">
        <v>751</v>
      </c>
      <c r="C53" s="216" t="s">
        <v>739</v>
      </c>
      <c r="D53" s="216"/>
      <c r="E53" s="216"/>
      <c r="F53" s="216"/>
      <c r="G53" s="216"/>
      <c r="H53" s="216"/>
      <c r="I53" s="216"/>
      <c r="J53" s="216"/>
      <c r="K53" s="216"/>
      <c r="L53" s="760">
        <v>33429</v>
      </c>
      <c r="M53" s="760">
        <v>35768</v>
      </c>
      <c r="N53" s="760">
        <v>39110</v>
      </c>
      <c r="O53" s="760">
        <v>37162</v>
      </c>
      <c r="P53" s="760">
        <v>40803</v>
      </c>
      <c r="Q53" s="740">
        <v>44769</v>
      </c>
      <c r="R53" s="301">
        <v>46885</v>
      </c>
      <c r="S53" s="301">
        <v>48995</v>
      </c>
      <c r="T53" s="301">
        <v>50727</v>
      </c>
      <c r="U53" s="302">
        <v>48532</v>
      </c>
      <c r="V53" s="300">
        <v>55424</v>
      </c>
      <c r="W53" s="300">
        <v>58194</v>
      </c>
      <c r="X53" s="300">
        <v>59538</v>
      </c>
      <c r="Y53" s="305">
        <v>68298.2</v>
      </c>
      <c r="Z53" s="315">
        <v>70439.7</v>
      </c>
      <c r="AA53" s="315">
        <v>70439.7</v>
      </c>
      <c r="AB53" s="315">
        <v>71113.8</v>
      </c>
      <c r="AC53" s="315">
        <v>69992</v>
      </c>
      <c r="AD53" s="315">
        <v>70201</v>
      </c>
      <c r="AE53" s="316">
        <v>70201</v>
      </c>
    </row>
    <row r="54" spans="2:31">
      <c r="B54" s="1102"/>
      <c r="C54" s="216" t="s">
        <v>740</v>
      </c>
      <c r="D54" s="216"/>
      <c r="E54" s="216"/>
      <c r="F54" s="216"/>
      <c r="G54" s="216"/>
      <c r="H54" s="216"/>
      <c r="I54" s="216"/>
      <c r="J54" s="216"/>
      <c r="K54" s="216"/>
      <c r="L54" s="760">
        <v>718.5</v>
      </c>
      <c r="M54" s="760">
        <v>759.7</v>
      </c>
      <c r="N54" s="760">
        <v>835.1</v>
      </c>
      <c r="O54" s="760">
        <v>908.2</v>
      </c>
      <c r="P54" s="760">
        <v>1046.8</v>
      </c>
      <c r="Q54" s="740">
        <v>1142.5999999999999</v>
      </c>
      <c r="R54" s="301">
        <v>1242</v>
      </c>
      <c r="S54" s="301">
        <v>1342.4</v>
      </c>
      <c r="T54" s="301">
        <v>1490.6</v>
      </c>
      <c r="U54" s="302">
        <v>1549.5</v>
      </c>
      <c r="V54" s="302">
        <v>1666.6</v>
      </c>
      <c r="W54" s="302">
        <v>1748.3</v>
      </c>
      <c r="X54" s="302">
        <v>1859.1</v>
      </c>
      <c r="Y54" s="296">
        <v>2119.4</v>
      </c>
      <c r="Z54" s="296">
        <v>2182.5</v>
      </c>
      <c r="AA54" s="296">
        <v>2480.6</v>
      </c>
      <c r="AB54" s="296">
        <v>2597.6</v>
      </c>
      <c r="AC54" s="296">
        <v>2714.8</v>
      </c>
      <c r="AD54" s="296">
        <v>3026.2</v>
      </c>
      <c r="AE54" s="593">
        <v>3289.2</v>
      </c>
    </row>
    <row r="55" spans="2:31" s="548" customFormat="1">
      <c r="B55" s="1102"/>
      <c r="C55" s="553" t="s">
        <v>742</v>
      </c>
      <c r="D55" s="553"/>
      <c r="E55" s="553"/>
      <c r="F55" s="553"/>
      <c r="G55" s="553"/>
      <c r="H55" s="553"/>
      <c r="I55" s="553"/>
      <c r="J55" s="553"/>
      <c r="K55" s="553"/>
      <c r="L55" s="760" t="s">
        <v>1107</v>
      </c>
      <c r="M55" s="760" t="s">
        <v>1107</v>
      </c>
      <c r="N55" s="760" t="s">
        <v>1107</v>
      </c>
      <c r="O55" s="760" t="s">
        <v>1107</v>
      </c>
      <c r="P55" s="760">
        <v>1443.9</v>
      </c>
      <c r="Q55" s="740">
        <v>1736.3</v>
      </c>
      <c r="R55" s="301">
        <v>3218.3</v>
      </c>
      <c r="S55" s="301">
        <v>3275.7</v>
      </c>
      <c r="T55" s="301">
        <v>2869.1</v>
      </c>
      <c r="U55" s="302">
        <v>3812.2</v>
      </c>
      <c r="V55" s="550">
        <v>4002.9</v>
      </c>
      <c r="W55" s="550">
        <v>4752.2</v>
      </c>
      <c r="X55" s="550">
        <v>5012.2</v>
      </c>
      <c r="Y55" s="550">
        <v>5012.2</v>
      </c>
      <c r="Z55" s="550">
        <v>5012.2</v>
      </c>
      <c r="AA55" s="550">
        <v>5012.2</v>
      </c>
      <c r="AB55" s="546">
        <v>5676.6344908113842</v>
      </c>
      <c r="AC55" s="546">
        <v>6157.9160875956568</v>
      </c>
      <c r="AD55" s="546">
        <v>7110.4164105233504</v>
      </c>
      <c r="AE55" s="547">
        <v>7996.7</v>
      </c>
    </row>
    <row r="56" spans="2:31" ht="26.25">
      <c r="B56" s="1102"/>
      <c r="C56" s="216" t="s">
        <v>744</v>
      </c>
      <c r="D56" s="216"/>
      <c r="E56" s="216"/>
      <c r="F56" s="216"/>
      <c r="G56" s="216"/>
      <c r="H56" s="216"/>
      <c r="I56" s="216"/>
      <c r="J56" s="216"/>
      <c r="K56" s="216"/>
      <c r="L56" s="760">
        <v>186.8</v>
      </c>
      <c r="M56" s="760">
        <v>186.9</v>
      </c>
      <c r="N56" s="760">
        <v>190.2</v>
      </c>
      <c r="O56" s="760">
        <v>198.8</v>
      </c>
      <c r="P56" s="760">
        <v>208</v>
      </c>
      <c r="Q56" s="740">
        <v>205.8</v>
      </c>
      <c r="R56" s="302">
        <v>216.5</v>
      </c>
      <c r="S56" s="302">
        <v>225.1</v>
      </c>
      <c r="T56" s="302">
        <v>240.3</v>
      </c>
      <c r="U56" s="302">
        <v>251.1</v>
      </c>
      <c r="V56" s="302">
        <v>247.9</v>
      </c>
      <c r="W56" s="302">
        <v>248.6</v>
      </c>
      <c r="X56" s="302">
        <f>256.8</f>
        <v>256.8</v>
      </c>
      <c r="Y56" s="302">
        <f>256.8</f>
        <v>256.8</v>
      </c>
      <c r="Z56" s="302">
        <f>256.8</f>
        <v>256.8</v>
      </c>
      <c r="AA56" s="302">
        <f>256.8</f>
        <v>256.8</v>
      </c>
      <c r="AB56" s="296">
        <f t="shared" ref="AB56:AE56" si="28">AB54/AB53*10000</f>
        <v>365.27368808866908</v>
      </c>
      <c r="AC56" s="296">
        <f t="shared" si="28"/>
        <v>387.8728997599726</v>
      </c>
      <c r="AD56" s="296">
        <f t="shared" si="28"/>
        <v>431.07648039201717</v>
      </c>
      <c r="AE56" s="298">
        <f t="shared" si="28"/>
        <v>468.54033418327367</v>
      </c>
    </row>
    <row r="57" spans="2:31" ht="15.75" thickBot="1">
      <c r="B57" s="1118"/>
      <c r="C57" s="213" t="s">
        <v>747</v>
      </c>
      <c r="D57" s="219"/>
      <c r="E57" s="219"/>
      <c r="F57" s="219"/>
      <c r="G57" s="219"/>
      <c r="H57" s="219"/>
      <c r="I57" s="219"/>
      <c r="J57" s="219"/>
      <c r="K57" s="219"/>
      <c r="L57" s="764"/>
      <c r="M57" s="764"/>
      <c r="N57" s="764"/>
      <c r="O57" s="764"/>
      <c r="P57" s="763">
        <v>1379.3465800534966</v>
      </c>
      <c r="Q57" s="755">
        <v>1519.6044109924733</v>
      </c>
      <c r="R57" s="302">
        <v>2591.2238325281805</v>
      </c>
      <c r="S57" s="302">
        <v>2440.1817640047675</v>
      </c>
      <c r="T57" s="302">
        <v>1924.7953844089629</v>
      </c>
      <c r="U57" s="302">
        <v>2460.2775088738304</v>
      </c>
      <c r="V57" s="302">
        <f t="shared" ref="V57:AE57" si="29">V55/V54*1000</f>
        <v>2401.836073442938</v>
      </c>
      <c r="W57" s="302">
        <f t="shared" si="29"/>
        <v>2718.1833781387631</v>
      </c>
      <c r="X57" s="302">
        <f t="shared" si="29"/>
        <v>2696.0357162067671</v>
      </c>
      <c r="Y57" s="302">
        <f t="shared" si="29"/>
        <v>2364.914598471265</v>
      </c>
      <c r="Z57" s="302">
        <f t="shared" si="29"/>
        <v>2296.540664375716</v>
      </c>
      <c r="AA57" s="302">
        <f t="shared" si="29"/>
        <v>2020.5595420462789</v>
      </c>
      <c r="AB57" s="302">
        <f t="shared" si="29"/>
        <v>2185.3381932596953</v>
      </c>
      <c r="AC57" s="302">
        <f t="shared" si="29"/>
        <v>2268.2761483702875</v>
      </c>
      <c r="AD57" s="302">
        <f t="shared" si="29"/>
        <v>2349.6187993269946</v>
      </c>
      <c r="AE57" s="302">
        <f t="shared" si="29"/>
        <v>2431.1990757631038</v>
      </c>
    </row>
    <row r="58" spans="2:31" ht="15.75" thickTop="1">
      <c r="B58" s="221" t="s">
        <v>732</v>
      </c>
      <c r="C58" s="215"/>
      <c r="D58" s="681"/>
      <c r="E58" s="681"/>
      <c r="F58" s="681"/>
      <c r="G58" s="681"/>
      <c r="H58" s="681"/>
      <c r="I58" s="681"/>
      <c r="J58" s="681"/>
      <c r="K58" s="681"/>
      <c r="L58" s="681"/>
      <c r="M58" s="681"/>
      <c r="N58" s="681"/>
      <c r="O58" s="681"/>
      <c r="P58" s="681"/>
      <c r="Q58" s="681"/>
      <c r="R58" s="681"/>
      <c r="S58" s="681"/>
      <c r="T58" s="681"/>
      <c r="U58" s="681"/>
    </row>
    <row r="59" spans="2:31">
      <c r="B59" s="1107" t="s">
        <v>752</v>
      </c>
      <c r="C59" s="216" t="s">
        <v>739</v>
      </c>
      <c r="D59" s="681"/>
      <c r="E59" s="681"/>
      <c r="F59" s="681"/>
      <c r="G59" s="681"/>
      <c r="H59" s="681"/>
      <c r="I59" s="681"/>
      <c r="J59" s="681"/>
      <c r="K59" s="681"/>
      <c r="L59" s="761"/>
      <c r="M59" s="761"/>
      <c r="N59" s="761"/>
      <c r="O59" s="761"/>
      <c r="P59" s="760">
        <v>12478</v>
      </c>
      <c r="Q59" s="740">
        <v>14499</v>
      </c>
      <c r="R59" s="301">
        <v>15595</v>
      </c>
      <c r="S59" s="301">
        <v>16215</v>
      </c>
      <c r="T59" s="301">
        <v>17449</v>
      </c>
      <c r="U59" s="301">
        <v>15565</v>
      </c>
    </row>
    <row r="60" spans="2:31">
      <c r="B60" s="1107"/>
      <c r="C60" s="216" t="s">
        <v>740</v>
      </c>
      <c r="D60" s="681"/>
      <c r="E60" s="681"/>
      <c r="F60" s="681"/>
      <c r="G60" s="681"/>
      <c r="H60" s="681"/>
      <c r="I60" s="681"/>
      <c r="J60" s="681"/>
      <c r="K60" s="681"/>
      <c r="L60" s="760">
        <v>201.4</v>
      </c>
      <c r="M60" s="760">
        <v>201.7</v>
      </c>
      <c r="N60" s="760">
        <v>251.6</v>
      </c>
      <c r="O60" s="760">
        <v>227.2</v>
      </c>
      <c r="P60" s="760">
        <v>268.5</v>
      </c>
      <c r="Q60" s="740">
        <v>302.3</v>
      </c>
      <c r="R60" s="301">
        <v>343.4</v>
      </c>
      <c r="S60" s="302">
        <v>368</v>
      </c>
      <c r="T60" s="301">
        <v>435.4</v>
      </c>
      <c r="U60" s="301">
        <v>420.8</v>
      </c>
    </row>
    <row r="61" spans="2:31">
      <c r="B61" s="1107"/>
      <c r="C61" s="216" t="s">
        <v>742</v>
      </c>
      <c r="D61" s="681"/>
      <c r="E61" s="681"/>
      <c r="F61" s="681"/>
      <c r="G61" s="681"/>
      <c r="H61" s="681"/>
      <c r="I61" s="681"/>
      <c r="J61" s="681"/>
      <c r="K61" s="681"/>
      <c r="L61" s="761"/>
      <c r="M61" s="761"/>
      <c r="N61" s="761"/>
      <c r="O61" s="761"/>
      <c r="P61" s="761"/>
      <c r="Q61" s="740"/>
      <c r="R61" s="301"/>
      <c r="S61" s="301"/>
      <c r="T61" s="301"/>
      <c r="U61" s="301"/>
    </row>
    <row r="62" spans="2:31" ht="27" thickBot="1">
      <c r="B62" s="1108"/>
      <c r="C62" s="213" t="s">
        <v>744</v>
      </c>
      <c r="D62" s="681"/>
      <c r="E62" s="681"/>
      <c r="F62" s="681"/>
      <c r="G62" s="681"/>
      <c r="H62" s="681"/>
      <c r="I62" s="681"/>
      <c r="J62" s="681"/>
      <c r="K62" s="681"/>
      <c r="L62" s="764">
        <v>189.5</v>
      </c>
      <c r="M62" s="764">
        <v>194.5</v>
      </c>
      <c r="N62" s="764">
        <v>203.1</v>
      </c>
      <c r="O62" s="764">
        <v>212.2</v>
      </c>
      <c r="P62" s="763">
        <v>215</v>
      </c>
      <c r="Q62" s="765">
        <v>210.4</v>
      </c>
      <c r="R62" s="301">
        <v>221.3</v>
      </c>
      <c r="S62" s="301">
        <v>227.3</v>
      </c>
      <c r="T62" s="301">
        <v>248.7</v>
      </c>
      <c r="U62" s="301">
        <v>269.7</v>
      </c>
      <c r="AE62">
        <f>AE64*AE67/1000</f>
        <v>2129.1999999999998</v>
      </c>
    </row>
    <row r="63" spans="2:31">
      <c r="B63" s="1103" t="s">
        <v>753</v>
      </c>
      <c r="C63" s="223" t="s">
        <v>739</v>
      </c>
      <c r="D63" s="215"/>
      <c r="E63" s="215"/>
      <c r="F63" s="215"/>
      <c r="G63" s="215"/>
      <c r="H63" s="215"/>
      <c r="I63" s="215"/>
      <c r="J63" s="215"/>
      <c r="K63" s="215"/>
      <c r="L63" s="767">
        <v>9193</v>
      </c>
      <c r="M63" s="767">
        <v>9110</v>
      </c>
      <c r="N63" s="767">
        <v>11118</v>
      </c>
      <c r="O63" s="767">
        <v>11570</v>
      </c>
      <c r="P63" s="767">
        <v>19313</v>
      </c>
      <c r="Q63" s="758">
        <v>20951</v>
      </c>
      <c r="R63" s="301">
        <v>17218</v>
      </c>
      <c r="S63" s="301">
        <v>18409</v>
      </c>
      <c r="T63" s="301">
        <v>17353</v>
      </c>
      <c r="U63" s="302">
        <v>19399</v>
      </c>
      <c r="V63" s="300">
        <v>21358</v>
      </c>
      <c r="W63" s="300">
        <v>20069.2</v>
      </c>
      <c r="X63" s="300">
        <v>20296</v>
      </c>
      <c r="Y63" s="315">
        <v>19926.599999999999</v>
      </c>
      <c r="Z63" s="315">
        <v>21900</v>
      </c>
      <c r="AA63" s="315">
        <v>22753.9</v>
      </c>
      <c r="AB63" s="296">
        <v>22270.7</v>
      </c>
      <c r="AC63" s="296">
        <v>20664</v>
      </c>
      <c r="AD63" s="296">
        <v>21490.6</v>
      </c>
      <c r="AE63" s="297">
        <v>21490.6</v>
      </c>
    </row>
    <row r="64" spans="2:31">
      <c r="B64" s="1102"/>
      <c r="C64" s="216" t="s">
        <v>740</v>
      </c>
      <c r="D64" s="216"/>
      <c r="E64" s="216"/>
      <c r="F64" s="216"/>
      <c r="G64" s="216"/>
      <c r="H64" s="216"/>
      <c r="I64" s="216"/>
      <c r="J64" s="216"/>
      <c r="K64" s="216"/>
      <c r="L64" s="760">
        <v>170.2</v>
      </c>
      <c r="M64" s="760">
        <v>218.2</v>
      </c>
      <c r="N64" s="760">
        <v>254.2</v>
      </c>
      <c r="O64" s="760">
        <v>285.2</v>
      </c>
      <c r="P64" s="760">
        <v>424.6</v>
      </c>
      <c r="Q64" s="740">
        <v>482.4</v>
      </c>
      <c r="R64" s="301">
        <v>423.3</v>
      </c>
      <c r="S64" s="301">
        <v>465</v>
      </c>
      <c r="T64" s="301">
        <v>495.2</v>
      </c>
      <c r="U64" s="302">
        <v>545.70000000000005</v>
      </c>
      <c r="V64" s="302">
        <v>592.4</v>
      </c>
      <c r="W64" s="302">
        <v>594.20000000000005</v>
      </c>
      <c r="X64" s="302">
        <v>631.20000000000005</v>
      </c>
      <c r="Y64" s="296">
        <v>641.70000000000005</v>
      </c>
      <c r="Z64" s="296">
        <v>701.3</v>
      </c>
      <c r="AA64" s="296">
        <v>757</v>
      </c>
      <c r="AB64" s="296">
        <v>818.8</v>
      </c>
      <c r="AC64" s="296">
        <v>842.6</v>
      </c>
      <c r="AD64" s="296">
        <v>1009.9</v>
      </c>
      <c r="AE64" s="593">
        <v>1144.8</v>
      </c>
    </row>
    <row r="65" spans="2:31" s="548" customFormat="1">
      <c r="B65" s="1102"/>
      <c r="C65" s="553" t="s">
        <v>742</v>
      </c>
      <c r="D65" s="553"/>
      <c r="E65" s="553"/>
      <c r="F65" s="553"/>
      <c r="G65" s="553"/>
      <c r="H65" s="553"/>
      <c r="I65" s="553"/>
      <c r="J65" s="553"/>
      <c r="K65" s="553"/>
      <c r="L65" s="760" t="s">
        <v>1107</v>
      </c>
      <c r="M65" s="760" t="s">
        <v>1107</v>
      </c>
      <c r="N65" s="760" t="s">
        <v>1107</v>
      </c>
      <c r="O65" s="760" t="s">
        <v>1107</v>
      </c>
      <c r="P65" s="760">
        <v>223.8</v>
      </c>
      <c r="Q65" s="740">
        <v>347.7</v>
      </c>
      <c r="R65" s="301">
        <v>507.7</v>
      </c>
      <c r="S65" s="301">
        <v>373.5</v>
      </c>
      <c r="T65" s="301">
        <v>585.1</v>
      </c>
      <c r="U65" s="302">
        <v>1055.2</v>
      </c>
      <c r="V65" s="550">
        <v>1132.3</v>
      </c>
      <c r="W65" s="550">
        <v>1093.5</v>
      </c>
      <c r="X65" s="550">
        <v>1170.0999999999999</v>
      </c>
      <c r="Y65" s="550">
        <v>1170.0999999999999</v>
      </c>
      <c r="Z65" s="550">
        <v>1170.0999999999999</v>
      </c>
      <c r="AA65" s="550">
        <v>1170.0999999999999</v>
      </c>
      <c r="AB65" s="551">
        <v>1368.8376343353766</v>
      </c>
      <c r="AC65" s="551">
        <v>1462.0856946420286</v>
      </c>
      <c r="AD65" s="551">
        <v>1815.2281906954527</v>
      </c>
      <c r="AE65" s="552">
        <v>2129.1999999999998</v>
      </c>
    </row>
    <row r="66" spans="2:31" ht="26.25">
      <c r="B66" s="1102"/>
      <c r="C66" s="216" t="s">
        <v>744</v>
      </c>
      <c r="D66" s="216"/>
      <c r="E66" s="216"/>
      <c r="F66" s="216"/>
      <c r="G66" s="216"/>
      <c r="H66" s="216"/>
      <c r="I66" s="216"/>
      <c r="J66" s="216"/>
      <c r="K66" s="216"/>
      <c r="L66" s="760">
        <v>1145.7</v>
      </c>
      <c r="M66" s="760">
        <v>185.7</v>
      </c>
      <c r="N66" s="760">
        <v>189</v>
      </c>
      <c r="O66" s="760">
        <v>197.6</v>
      </c>
      <c r="P66" s="760">
        <v>202.9</v>
      </c>
      <c r="Q66" s="742">
        <v>230.25153930599973</v>
      </c>
      <c r="R66" s="302">
        <v>245.84736903240795</v>
      </c>
      <c r="S66" s="302">
        <v>252.5938399695801</v>
      </c>
      <c r="T66" s="302">
        <v>285.36852417449433</v>
      </c>
      <c r="U66" s="302">
        <v>281.30315995669883</v>
      </c>
      <c r="V66" s="302">
        <f t="shared" ref="V66:AE66" si="30">V64/V63*10000</f>
        <v>277.3667946436932</v>
      </c>
      <c r="W66" s="302">
        <f t="shared" si="30"/>
        <v>296.07557849839554</v>
      </c>
      <c r="X66" s="302">
        <f>263.3</f>
        <v>263.3</v>
      </c>
      <c r="Y66" s="302">
        <f>263.3</f>
        <v>263.3</v>
      </c>
      <c r="Z66" s="302">
        <f>263.3</f>
        <v>263.3</v>
      </c>
      <c r="AA66" s="302">
        <f>263.3</f>
        <v>263.3</v>
      </c>
      <c r="AB66" s="235">
        <f t="shared" si="30"/>
        <v>367.65795417297164</v>
      </c>
      <c r="AC66" s="235">
        <f t="shared" si="30"/>
        <v>407.76229190863336</v>
      </c>
      <c r="AD66" s="235">
        <f t="shared" si="30"/>
        <v>469.92638642010928</v>
      </c>
      <c r="AE66" s="310">
        <f t="shared" si="30"/>
        <v>532.69801680734838</v>
      </c>
    </row>
    <row r="67" spans="2:31" ht="15.75" thickBot="1">
      <c r="B67" s="1104"/>
      <c r="C67" s="213" t="s">
        <v>747</v>
      </c>
      <c r="D67" s="219"/>
      <c r="E67" s="219"/>
      <c r="F67" s="219"/>
      <c r="G67" s="219"/>
      <c r="H67" s="219"/>
      <c r="I67" s="219"/>
      <c r="J67" s="219"/>
      <c r="K67" s="219"/>
      <c r="L67" s="764"/>
      <c r="M67" s="764"/>
      <c r="N67" s="764"/>
      <c r="O67" s="764"/>
      <c r="P67" s="763">
        <v>527.08431464908142</v>
      </c>
      <c r="Q67" s="755">
        <v>720.77114427860704</v>
      </c>
      <c r="R67" s="302">
        <v>1199.3857784077486</v>
      </c>
      <c r="S67" s="302">
        <v>803.22580645161293</v>
      </c>
      <c r="T67" s="302">
        <v>1181.5428109854604</v>
      </c>
      <c r="U67" s="302">
        <v>1933.6631849001283</v>
      </c>
      <c r="V67" s="302">
        <f t="shared" ref="V67:AE67" si="31">V65/V64*1000</f>
        <v>1911.377447670493</v>
      </c>
      <c r="W67" s="302">
        <f t="shared" si="31"/>
        <v>1840.2894648266574</v>
      </c>
      <c r="X67" s="302">
        <f t="shared" si="31"/>
        <v>1853.7705956907475</v>
      </c>
      <c r="Y67" s="302">
        <f t="shared" si="31"/>
        <v>1823.4377434938442</v>
      </c>
      <c r="Z67" s="302">
        <f t="shared" si="31"/>
        <v>1668.4728361614145</v>
      </c>
      <c r="AA67" s="302">
        <f t="shared" si="31"/>
        <v>1545.7067371202113</v>
      </c>
      <c r="AB67" s="302">
        <f t="shared" si="31"/>
        <v>1671.7606672391018</v>
      </c>
      <c r="AC67" s="302">
        <f t="shared" si="31"/>
        <v>1735.2073280821605</v>
      </c>
      <c r="AD67" s="302">
        <f t="shared" si="31"/>
        <v>1797.433598074515</v>
      </c>
      <c r="AE67" s="302">
        <f t="shared" si="31"/>
        <v>1859.8881900768693</v>
      </c>
    </row>
    <row r="68" spans="2:31" ht="15.75" thickBot="1">
      <c r="B68" s="212"/>
      <c r="C68" s="222"/>
      <c r="D68" s="681"/>
      <c r="E68" s="681"/>
      <c r="F68" s="681"/>
      <c r="G68" s="681"/>
      <c r="H68" s="681"/>
      <c r="I68" s="681"/>
      <c r="J68" s="681"/>
      <c r="K68" s="681"/>
      <c r="L68" s="766"/>
      <c r="M68" s="766"/>
      <c r="N68" s="770"/>
      <c r="O68" s="766"/>
      <c r="P68" s="769"/>
      <c r="Q68" s="768">
        <v>204.2</v>
      </c>
      <c r="R68" s="302">
        <v>205.9</v>
      </c>
      <c r="S68" s="302">
        <v>209.7</v>
      </c>
      <c r="T68" s="302">
        <v>223.8</v>
      </c>
      <c r="U68" s="302">
        <v>281.28865979381447</v>
      </c>
      <c r="AE68">
        <f>AE70*AE73/1000</f>
        <v>3538.6</v>
      </c>
    </row>
    <row r="69" spans="2:31">
      <c r="B69" s="1103" t="s">
        <v>754</v>
      </c>
      <c r="C69" s="223" t="s">
        <v>739</v>
      </c>
      <c r="D69" s="215"/>
      <c r="E69" s="215"/>
      <c r="F69" s="215"/>
      <c r="G69" s="215"/>
      <c r="H69" s="215"/>
      <c r="I69" s="215"/>
      <c r="J69" s="215"/>
      <c r="K69" s="215"/>
      <c r="L69" s="743">
        <v>60870</v>
      </c>
      <c r="M69" s="743">
        <v>67087</v>
      </c>
      <c r="N69" s="760">
        <v>69850</v>
      </c>
      <c r="O69" s="743">
        <v>73807</v>
      </c>
      <c r="P69" s="743">
        <v>73293</v>
      </c>
      <c r="Q69" s="758">
        <v>73850</v>
      </c>
      <c r="R69" s="302">
        <v>115423</v>
      </c>
      <c r="S69" s="301">
        <v>122009</v>
      </c>
      <c r="T69" s="302">
        <v>130682</v>
      </c>
      <c r="U69" s="302">
        <v>135430</v>
      </c>
      <c r="V69" s="317">
        <v>140344</v>
      </c>
      <c r="W69" s="300">
        <v>146565</v>
      </c>
      <c r="X69" s="317">
        <v>150312.79999999999</v>
      </c>
      <c r="Y69" s="305">
        <v>158940.70000000001</v>
      </c>
      <c r="Z69" s="315">
        <v>173700</v>
      </c>
      <c r="AA69" s="315">
        <v>176936</v>
      </c>
      <c r="AB69" s="296">
        <f t="shared" ref="AB69" si="32">AA69+3000</f>
        <v>179936</v>
      </c>
      <c r="AC69" s="296">
        <v>116506</v>
      </c>
      <c r="AD69" s="296">
        <v>125006</v>
      </c>
      <c r="AE69" s="297">
        <v>125006</v>
      </c>
    </row>
    <row r="70" spans="2:31">
      <c r="B70" s="1102"/>
      <c r="C70" s="216" t="s">
        <v>740</v>
      </c>
      <c r="D70" s="216"/>
      <c r="E70" s="216"/>
      <c r="F70" s="216"/>
      <c r="G70" s="216"/>
      <c r="H70" s="216"/>
      <c r="I70" s="216"/>
      <c r="J70" s="216"/>
      <c r="K70" s="216"/>
      <c r="L70" s="760">
        <v>148.30000000000001</v>
      </c>
      <c r="M70" s="760">
        <v>208.8</v>
      </c>
      <c r="N70" s="760">
        <v>157.19999999999999</v>
      </c>
      <c r="O70" s="760">
        <v>262.39999999999998</v>
      </c>
      <c r="P70" s="760">
        <v>213.9</v>
      </c>
      <c r="Q70" s="740">
        <v>224.7</v>
      </c>
      <c r="R70" s="302">
        <v>263.10000000000002</v>
      </c>
      <c r="S70" s="301">
        <v>313.2</v>
      </c>
      <c r="T70" s="302">
        <v>328.5</v>
      </c>
      <c r="U70" s="302">
        <v>341.3</v>
      </c>
      <c r="V70" s="302">
        <v>299.3</v>
      </c>
      <c r="W70" s="302">
        <v>364.1</v>
      </c>
      <c r="X70" s="302">
        <v>405</v>
      </c>
      <c r="Y70" s="296">
        <v>447.7</v>
      </c>
      <c r="Z70" s="296">
        <v>473.6</v>
      </c>
      <c r="AA70" s="296">
        <v>470.4</v>
      </c>
      <c r="AB70" s="296">
        <v>444.4</v>
      </c>
      <c r="AC70" s="296">
        <v>512.1</v>
      </c>
      <c r="AD70" s="296">
        <v>664.3</v>
      </c>
      <c r="AE70" s="593">
        <v>823</v>
      </c>
    </row>
    <row r="71" spans="2:31" s="548" customFormat="1">
      <c r="B71" s="1102"/>
      <c r="C71" s="553" t="s">
        <v>742</v>
      </c>
      <c r="D71" s="553"/>
      <c r="E71" s="553"/>
      <c r="F71" s="553"/>
      <c r="G71" s="553"/>
      <c r="H71" s="553"/>
      <c r="I71" s="553"/>
      <c r="J71" s="553"/>
      <c r="K71" s="553"/>
      <c r="L71" s="738" t="s">
        <v>1107</v>
      </c>
      <c r="M71" s="738" t="s">
        <v>1107</v>
      </c>
      <c r="N71" s="738" t="s">
        <v>1107</v>
      </c>
      <c r="O71" s="738" t="s">
        <v>1107</v>
      </c>
      <c r="P71" s="738">
        <v>457.9</v>
      </c>
      <c r="Q71" s="740">
        <v>595.4</v>
      </c>
      <c r="R71" s="302">
        <v>1111.7</v>
      </c>
      <c r="S71" s="301">
        <v>1092.2</v>
      </c>
      <c r="T71" s="302">
        <v>1209.0999999999999</v>
      </c>
      <c r="U71" s="302">
        <v>1717.7</v>
      </c>
      <c r="V71" s="550">
        <v>1525.1</v>
      </c>
      <c r="W71" s="550">
        <f>V71*1.02</f>
        <v>1555.6019999999999</v>
      </c>
      <c r="X71" s="550">
        <f t="shared" ref="X71:AB71" si="33">W71*1.02</f>
        <v>1586.7140399999998</v>
      </c>
      <c r="Y71" s="550">
        <f t="shared" si="33"/>
        <v>1618.4483207999999</v>
      </c>
      <c r="Z71" s="550">
        <f t="shared" si="33"/>
        <v>1650.8172872159998</v>
      </c>
      <c r="AA71" s="550">
        <f t="shared" si="33"/>
        <v>1683.8336329603198</v>
      </c>
      <c r="AB71" s="550">
        <f t="shared" si="33"/>
        <v>1717.5103056195262</v>
      </c>
      <c r="AC71" s="546">
        <v>2054.2691646618678</v>
      </c>
      <c r="AD71" s="546">
        <v>2760.3764026832428</v>
      </c>
      <c r="AE71" s="547">
        <v>3538.6</v>
      </c>
    </row>
    <row r="72" spans="2:31" ht="26.25">
      <c r="B72" s="1102"/>
      <c r="C72" s="216" t="s">
        <v>744</v>
      </c>
      <c r="D72" s="216"/>
      <c r="E72" s="216"/>
      <c r="F72" s="216"/>
      <c r="G72" s="216"/>
      <c r="H72" s="216"/>
      <c r="I72" s="216"/>
      <c r="J72" s="216"/>
      <c r="K72" s="216"/>
      <c r="L72" s="760">
        <v>24.3</v>
      </c>
      <c r="M72" s="760">
        <v>31.1</v>
      </c>
      <c r="N72" s="760">
        <v>22.5</v>
      </c>
      <c r="O72" s="760">
        <v>35.5</v>
      </c>
      <c r="P72" s="760">
        <v>29.2</v>
      </c>
      <c r="Q72" s="740">
        <v>30.4</v>
      </c>
      <c r="R72" s="302">
        <v>22.794417057258954</v>
      </c>
      <c r="S72" s="302">
        <v>25.670237441500213</v>
      </c>
      <c r="T72" s="302">
        <v>25.13735633063467</v>
      </c>
      <c r="U72" s="302">
        <v>25.201210957690321</v>
      </c>
      <c r="V72" s="302">
        <f t="shared" ref="V72:AE72" si="34">V70/V69*10000</f>
        <v>21.326169982329134</v>
      </c>
      <c r="W72" s="302">
        <f t="shared" si="34"/>
        <v>24.842220175348825</v>
      </c>
      <c r="X72" s="302">
        <f t="shared" si="34"/>
        <v>26.943813168273095</v>
      </c>
      <c r="Y72" s="302">
        <f t="shared" si="34"/>
        <v>28.167738030598834</v>
      </c>
      <c r="Z72" s="302">
        <f t="shared" si="34"/>
        <v>27.265400115141048</v>
      </c>
      <c r="AA72" s="302">
        <f t="shared" si="34"/>
        <v>26.585884161504726</v>
      </c>
      <c r="AB72" s="302">
        <f t="shared" si="34"/>
        <v>24.697670282767206</v>
      </c>
      <c r="AC72" s="296">
        <f t="shared" si="34"/>
        <v>43.954817777625188</v>
      </c>
      <c r="AD72" s="296">
        <f t="shared" si="34"/>
        <v>53.141449210437898</v>
      </c>
      <c r="AE72" s="298">
        <f t="shared" si="34"/>
        <v>65.836839831688081</v>
      </c>
    </row>
    <row r="73" spans="2:31" ht="15.75" thickBot="1">
      <c r="B73" s="1104"/>
      <c r="C73" s="213" t="s">
        <v>747</v>
      </c>
      <c r="D73" s="219"/>
      <c r="E73" s="219"/>
      <c r="F73" s="219"/>
      <c r="G73" s="219"/>
      <c r="H73" s="219"/>
      <c r="I73" s="219"/>
      <c r="J73" s="219"/>
      <c r="K73" s="219"/>
      <c r="L73" s="764"/>
      <c r="M73" s="764"/>
      <c r="N73" s="764"/>
      <c r="O73" s="764"/>
      <c r="P73" s="763">
        <v>2140.7199625993453</v>
      </c>
      <c r="Q73" s="755">
        <v>2649.7552291944817</v>
      </c>
      <c r="R73" s="302">
        <v>4225.3895857088555</v>
      </c>
      <c r="S73" s="302">
        <v>3487.2286079182632</v>
      </c>
      <c r="T73" s="302">
        <v>3680.6697108066969</v>
      </c>
      <c r="U73" s="302">
        <v>5032.8157046586575</v>
      </c>
      <c r="V73" s="302">
        <f t="shared" ref="V73:AE73" si="35">V71/V70*1000</f>
        <v>5095.5562980287332</v>
      </c>
      <c r="W73" s="302">
        <f t="shared" si="35"/>
        <v>4272.4581159022246</v>
      </c>
      <c r="X73" s="302">
        <f t="shared" si="35"/>
        <v>3917.8124444444438</v>
      </c>
      <c r="Y73" s="302">
        <f t="shared" si="35"/>
        <v>3615.0286370337276</v>
      </c>
      <c r="Z73" s="302">
        <f t="shared" si="35"/>
        <v>3485.6783936148645</v>
      </c>
      <c r="AA73" s="302">
        <f t="shared" si="35"/>
        <v>3579.578301361224</v>
      </c>
      <c r="AB73" s="302">
        <f t="shared" si="35"/>
        <v>3864.784666110545</v>
      </c>
      <c r="AC73" s="302">
        <f t="shared" si="35"/>
        <v>4011.4609737587725</v>
      </c>
      <c r="AD73" s="302">
        <f t="shared" si="35"/>
        <v>4155.3159757387366</v>
      </c>
      <c r="AE73" s="302">
        <f t="shared" si="35"/>
        <v>4299.6354799513974</v>
      </c>
    </row>
    <row r="74" spans="2:31" ht="15.75" thickBot="1">
      <c r="B74" s="224"/>
      <c r="C74" s="222"/>
      <c r="D74" s="681"/>
      <c r="E74" s="681"/>
      <c r="F74" s="681"/>
      <c r="G74" s="681"/>
      <c r="H74" s="681"/>
      <c r="I74" s="681"/>
      <c r="J74" s="681"/>
      <c r="K74" s="681"/>
      <c r="L74" s="681"/>
      <c r="M74" s="681"/>
      <c r="N74" s="681"/>
      <c r="O74" s="681"/>
      <c r="P74" s="681"/>
      <c r="Q74" s="681"/>
      <c r="R74" s="681"/>
      <c r="S74" s="681"/>
      <c r="T74" s="681"/>
      <c r="U74" s="681"/>
      <c r="AE74">
        <f>AE76*AE79/1000</f>
        <v>1908.5999999999997</v>
      </c>
    </row>
    <row r="75" spans="2:31">
      <c r="B75" s="1103" t="s">
        <v>755</v>
      </c>
      <c r="C75" s="223" t="s">
        <v>739</v>
      </c>
      <c r="D75" s="215"/>
      <c r="E75" s="215"/>
      <c r="F75" s="215"/>
      <c r="G75" s="215"/>
      <c r="H75" s="215"/>
      <c r="I75" s="215"/>
      <c r="J75" s="215"/>
      <c r="K75" s="215"/>
      <c r="L75" s="743">
        <v>31452</v>
      </c>
      <c r="M75" s="743">
        <v>31745</v>
      </c>
      <c r="N75" s="743">
        <v>32838</v>
      </c>
      <c r="O75" s="743">
        <v>31944</v>
      </c>
      <c r="P75" s="743">
        <v>31419</v>
      </c>
      <c r="Q75" s="758">
        <v>30470</v>
      </c>
      <c r="R75" s="301">
        <v>36508</v>
      </c>
      <c r="S75" s="301">
        <v>36511</v>
      </c>
      <c r="T75" s="301">
        <v>37812</v>
      </c>
      <c r="U75" s="301">
        <v>36125</v>
      </c>
      <c r="V75" s="300">
        <v>38707</v>
      </c>
      <c r="W75" s="300">
        <v>37061</v>
      </c>
      <c r="X75" s="300">
        <v>33300</v>
      </c>
      <c r="Y75" s="305">
        <v>38106</v>
      </c>
      <c r="Z75" s="315">
        <f>Y75*1.02</f>
        <v>38868.120000000003</v>
      </c>
      <c r="AA75" s="315">
        <f t="shared" ref="AA75:AB75" si="36">Z75*1.02</f>
        <v>39645.482400000001</v>
      </c>
      <c r="AB75" s="315">
        <f t="shared" si="36"/>
        <v>40438.392048000002</v>
      </c>
      <c r="AC75" s="315">
        <v>35549</v>
      </c>
      <c r="AD75" s="315">
        <v>36486</v>
      </c>
      <c r="AE75" s="316">
        <v>36486</v>
      </c>
    </row>
    <row r="76" spans="2:31">
      <c r="B76" s="1102"/>
      <c r="C76" s="216" t="s">
        <v>740</v>
      </c>
      <c r="D76" s="216"/>
      <c r="E76" s="216"/>
      <c r="F76" s="216"/>
      <c r="G76" s="216"/>
      <c r="H76" s="216"/>
      <c r="I76" s="216"/>
      <c r="J76" s="216"/>
      <c r="K76" s="216"/>
      <c r="L76" s="760">
        <v>90.7</v>
      </c>
      <c r="M76" s="760">
        <v>107.2</v>
      </c>
      <c r="N76" s="760">
        <v>116.9</v>
      </c>
      <c r="O76" s="760">
        <v>117.9</v>
      </c>
      <c r="P76" s="760">
        <v>138.69999999999999</v>
      </c>
      <c r="Q76" s="740">
        <v>124.3</v>
      </c>
      <c r="R76" s="301">
        <v>154.69999999999999</v>
      </c>
      <c r="S76" s="301">
        <v>167.1</v>
      </c>
      <c r="T76" s="301">
        <v>175.2</v>
      </c>
      <c r="U76" s="301">
        <v>188.8</v>
      </c>
      <c r="V76" s="302">
        <v>203.8</v>
      </c>
      <c r="W76" s="302">
        <v>214.8</v>
      </c>
      <c r="X76" s="302">
        <v>228.3</v>
      </c>
      <c r="Y76" s="296">
        <v>241.8</v>
      </c>
      <c r="Z76" s="296">
        <v>247.2</v>
      </c>
      <c r="AA76" s="296">
        <v>239.9</v>
      </c>
      <c r="AB76" s="296">
        <v>267.5</v>
      </c>
      <c r="AC76" s="296">
        <v>301.10000000000002</v>
      </c>
      <c r="AD76" s="296">
        <v>190.4</v>
      </c>
      <c r="AE76" s="593">
        <v>290</v>
      </c>
    </row>
    <row r="77" spans="2:31" s="548" customFormat="1">
      <c r="B77" s="1102"/>
      <c r="C77" s="553" t="s">
        <v>742</v>
      </c>
      <c r="D77" s="553"/>
      <c r="E77" s="553"/>
      <c r="F77" s="553"/>
      <c r="G77" s="553"/>
      <c r="H77" s="553"/>
      <c r="I77" s="553"/>
      <c r="J77" s="553"/>
      <c r="K77" s="553"/>
      <c r="L77" s="738" t="s">
        <v>1107</v>
      </c>
      <c r="M77" s="738" t="s">
        <v>1107</v>
      </c>
      <c r="N77" s="738" t="s">
        <v>1107</v>
      </c>
      <c r="O77" s="738" t="s">
        <v>1107</v>
      </c>
      <c r="P77" s="738">
        <v>298.39999999999998</v>
      </c>
      <c r="Q77" s="740">
        <v>490.3</v>
      </c>
      <c r="R77" s="301">
        <v>492.3</v>
      </c>
      <c r="S77" s="301">
        <v>621.1</v>
      </c>
      <c r="T77" s="301">
        <v>793</v>
      </c>
      <c r="U77" s="301">
        <v>1130</v>
      </c>
      <c r="V77" s="550">
        <v>1212.5</v>
      </c>
      <c r="W77" s="550">
        <v>1279.0999999999999</v>
      </c>
      <c r="X77" s="550">
        <v>1419.2</v>
      </c>
      <c r="Y77" s="550">
        <v>1419.2</v>
      </c>
      <c r="Z77" s="550">
        <v>1419.2</v>
      </c>
      <c r="AA77" s="550">
        <v>1419.2</v>
      </c>
      <c r="AB77" s="546">
        <v>1582.4760316798665</v>
      </c>
      <c r="AC77" s="546">
        <v>1848.8487334149236</v>
      </c>
      <c r="AD77" s="546">
        <v>1211.0415699418188</v>
      </c>
      <c r="AE77" s="547">
        <v>1908.6</v>
      </c>
    </row>
    <row r="78" spans="2:31" ht="26.25">
      <c r="B78" s="1102"/>
      <c r="C78" s="216" t="s">
        <v>744</v>
      </c>
      <c r="D78" s="216"/>
      <c r="E78" s="216"/>
      <c r="F78" s="216"/>
      <c r="G78" s="216"/>
      <c r="H78" s="216"/>
      <c r="I78" s="216"/>
      <c r="J78" s="216"/>
      <c r="K78" s="216"/>
      <c r="L78" s="760">
        <v>28.8</v>
      </c>
      <c r="M78" s="760">
        <v>33.1</v>
      </c>
      <c r="N78" s="760">
        <v>35.6</v>
      </c>
      <c r="O78" s="760">
        <v>36.9</v>
      </c>
      <c r="P78" s="760">
        <v>44.1</v>
      </c>
      <c r="Q78" s="740">
        <v>40.799999999999997</v>
      </c>
      <c r="R78" s="309">
        <v>42.374274131697156</v>
      </c>
      <c r="S78" s="309">
        <v>45.767029114513434</v>
      </c>
      <c r="T78" s="309">
        <v>46.334496985084094</v>
      </c>
      <c r="U78" s="309">
        <v>52.262975778546718</v>
      </c>
      <c r="V78" s="309">
        <f t="shared" ref="V78:AE78" si="37">V76/V75*10000</f>
        <v>52.651975094944071</v>
      </c>
      <c r="W78" s="309">
        <f t="shared" si="37"/>
        <v>57.958500849950084</v>
      </c>
      <c r="X78" s="309">
        <f t="shared" si="37"/>
        <v>68.558558558558559</v>
      </c>
      <c r="Y78" s="309">
        <f t="shared" si="37"/>
        <v>63.454574082821601</v>
      </c>
      <c r="Z78" s="309">
        <f t="shared" si="37"/>
        <v>63.599680149181374</v>
      </c>
      <c r="AA78" s="309">
        <f t="shared" si="37"/>
        <v>60.511308092949321</v>
      </c>
      <c r="AB78" s="298">
        <f t="shared" si="37"/>
        <v>66.150009051418252</v>
      </c>
      <c r="AC78" s="296">
        <f t="shared" si="37"/>
        <v>84.699991560944056</v>
      </c>
      <c r="AD78" s="296">
        <f t="shared" si="37"/>
        <v>52.184399495696979</v>
      </c>
      <c r="AE78" s="298">
        <f t="shared" si="37"/>
        <v>79.482541248698126</v>
      </c>
    </row>
    <row r="79" spans="2:31" ht="15.75" thickBot="1">
      <c r="B79" s="1104"/>
      <c r="C79" s="213" t="s">
        <v>747</v>
      </c>
      <c r="D79" s="219"/>
      <c r="E79" s="219"/>
      <c r="F79" s="219"/>
      <c r="G79" s="219"/>
      <c r="H79" s="219"/>
      <c r="I79" s="219"/>
      <c r="J79" s="219"/>
      <c r="K79" s="219"/>
      <c r="L79" s="764"/>
      <c r="M79" s="764"/>
      <c r="N79" s="764"/>
      <c r="O79" s="764"/>
      <c r="P79" s="763">
        <v>2151.4059120403749</v>
      </c>
      <c r="Q79" s="755">
        <v>3944.4891391794049</v>
      </c>
      <c r="R79" s="302">
        <v>3182.2882999353592</v>
      </c>
      <c r="S79" s="302">
        <v>3716.9359664871336</v>
      </c>
      <c r="T79" s="302">
        <v>4526.2557077625579</v>
      </c>
      <c r="U79" s="302">
        <v>5985.1694915254229</v>
      </c>
      <c r="V79" s="302">
        <f t="shared" ref="V79:AE79" si="38">V77/V76*1000</f>
        <v>5949.4602551521093</v>
      </c>
      <c r="W79" s="302">
        <f t="shared" si="38"/>
        <v>5954.8417132216009</v>
      </c>
      <c r="X79" s="302">
        <f t="shared" si="38"/>
        <v>6216.381953569864</v>
      </c>
      <c r="Y79" s="302">
        <f t="shared" si="38"/>
        <v>5869.3134822167085</v>
      </c>
      <c r="Z79" s="302">
        <f t="shared" si="38"/>
        <v>5741.1003236245961</v>
      </c>
      <c r="AA79" s="302">
        <f t="shared" si="38"/>
        <v>5915.7982492705296</v>
      </c>
      <c r="AB79" s="302">
        <f t="shared" si="38"/>
        <v>5915.7982492705296</v>
      </c>
      <c r="AC79" s="302">
        <f t="shared" si="38"/>
        <v>6140.3146244268464</v>
      </c>
      <c r="AD79" s="302">
        <f t="shared" si="38"/>
        <v>6360.512447173418</v>
      </c>
      <c r="AE79" s="302">
        <f t="shared" si="38"/>
        <v>6581.379310344827</v>
      </c>
    </row>
    <row r="80" spans="2:31">
      <c r="B80" s="212"/>
      <c r="C80" s="222"/>
      <c r="D80" s="681"/>
      <c r="E80" s="681"/>
      <c r="F80" s="681"/>
      <c r="G80" s="681"/>
      <c r="H80" s="681"/>
      <c r="I80" s="681"/>
      <c r="J80" s="681"/>
      <c r="K80" s="681"/>
      <c r="L80" s="766"/>
      <c r="M80" s="766"/>
      <c r="N80" s="766"/>
      <c r="O80" s="766"/>
      <c r="P80" s="766"/>
      <c r="Q80" s="768"/>
      <c r="R80" s="302">
        <v>534.30000000000109</v>
      </c>
      <c r="S80" s="302">
        <v>983.59999999999957</v>
      </c>
      <c r="T80" s="302">
        <v>881.89999999999918</v>
      </c>
      <c r="U80" s="302">
        <v>1369.6999999999998</v>
      </c>
    </row>
    <row r="81" spans="2:31" s="548" customFormat="1">
      <c r="B81" s="554" t="s">
        <v>72</v>
      </c>
      <c r="C81" s="555"/>
      <c r="D81" s="555"/>
      <c r="E81" s="555"/>
      <c r="F81" s="555"/>
      <c r="G81" s="555"/>
      <c r="H81" s="555"/>
      <c r="I81" s="555"/>
      <c r="J81" s="555"/>
      <c r="K81" s="555"/>
      <c r="L81" s="760">
        <v>109912</v>
      </c>
      <c r="M81" s="760">
        <v>131368</v>
      </c>
      <c r="N81" s="760">
        <v>130315</v>
      </c>
      <c r="O81" s="760">
        <v>108238</v>
      </c>
      <c r="P81" s="760">
        <v>122587</v>
      </c>
      <c r="Q81" s="740">
        <v>87710</v>
      </c>
      <c r="R81" s="301">
        <v>86042</v>
      </c>
      <c r="S81" s="301">
        <v>94881</v>
      </c>
      <c r="T81" s="301">
        <v>91823</v>
      </c>
      <c r="U81" s="301">
        <v>104620</v>
      </c>
      <c r="V81" s="550">
        <f t="shared" ref="V81:AE81" si="39">V5-V27-V39-V49-V55-V65-V71-V77</f>
        <v>1374.900000000001</v>
      </c>
      <c r="W81" s="550">
        <f t="shared" si="39"/>
        <v>1077.2980000000011</v>
      </c>
      <c r="X81" s="550">
        <f t="shared" si="39"/>
        <v>2147.8059600000015</v>
      </c>
      <c r="Y81" s="550">
        <f t="shared" si="39"/>
        <v>4036.5997129208708</v>
      </c>
      <c r="Z81" s="550">
        <f t="shared" si="39"/>
        <v>4382.5091807782619</v>
      </c>
      <c r="AA81" s="550">
        <f t="shared" si="39"/>
        <v>11968.817169698108</v>
      </c>
      <c r="AB81" s="550">
        <f t="shared" si="39"/>
        <v>12114.550628879999</v>
      </c>
      <c r="AC81" s="550">
        <f t="shared" si="39"/>
        <v>14816.554344201557</v>
      </c>
      <c r="AD81" s="550">
        <f t="shared" si="39"/>
        <v>23765.564692258409</v>
      </c>
      <c r="AE81" s="550">
        <f t="shared" si="39"/>
        <v>30150.800000000017</v>
      </c>
    </row>
    <row r="82" spans="2:31" ht="15.75" thickBot="1">
      <c r="B82" s="1109" t="s">
        <v>756</v>
      </c>
      <c r="C82" s="225" t="s">
        <v>757</v>
      </c>
      <c r="D82" s="225"/>
      <c r="E82" s="225"/>
      <c r="F82" s="225"/>
      <c r="G82" s="225"/>
      <c r="H82" s="225"/>
      <c r="I82" s="225"/>
      <c r="J82" s="225"/>
      <c r="K82" s="225"/>
      <c r="L82" s="762"/>
      <c r="M82" s="762"/>
      <c r="N82" s="762"/>
      <c r="O82" s="762"/>
      <c r="P82" s="762"/>
      <c r="Q82" s="765">
        <v>318.60000000000002</v>
      </c>
      <c r="R82" s="301">
        <v>349.1</v>
      </c>
      <c r="S82" s="301"/>
      <c r="T82" s="301"/>
      <c r="U82" s="301"/>
      <c r="V82" s="318">
        <f>V27+V39+V49+V55+V65+V71+V77</f>
        <v>13248.8</v>
      </c>
      <c r="W82" s="318">
        <f t="shared" ref="W82:AE82" si="40">W27+W39+W49+W55+W65+W71+W77</f>
        <v>13989.301999999998</v>
      </c>
      <c r="X82" s="318">
        <f t="shared" si="40"/>
        <v>14829.994040000001</v>
      </c>
      <c r="Y82" s="318">
        <f t="shared" si="40"/>
        <v>14192.600287079131</v>
      </c>
      <c r="Z82" s="318">
        <f t="shared" si="40"/>
        <v>14897.19081922174</v>
      </c>
      <c r="AA82" s="318">
        <f t="shared" si="40"/>
        <v>15161.182830301892</v>
      </c>
      <c r="AB82" s="318">
        <f t="shared" si="40"/>
        <v>16629.349371120003</v>
      </c>
      <c r="AC82" s="318">
        <f t="shared" si="40"/>
        <v>19085.445655798445</v>
      </c>
      <c r="AD82" s="318">
        <f t="shared" si="40"/>
        <v>19600.135307741581</v>
      </c>
      <c r="AE82" s="318">
        <f t="shared" si="40"/>
        <v>20833.999999999996</v>
      </c>
    </row>
    <row r="83" spans="2:31" ht="15.75" thickBot="1">
      <c r="B83" s="1110"/>
      <c r="C83" s="213" t="s">
        <v>758</v>
      </c>
      <c r="D83" s="219"/>
      <c r="E83" s="219"/>
      <c r="F83" s="219"/>
      <c r="G83" s="219"/>
      <c r="H83" s="219"/>
      <c r="I83" s="219"/>
      <c r="J83" s="219"/>
      <c r="K83" s="219"/>
      <c r="L83" s="219"/>
      <c r="M83" s="219"/>
      <c r="N83" s="219"/>
      <c r="O83" s="219"/>
      <c r="P83" s="219"/>
      <c r="Q83" s="219"/>
      <c r="R83" s="219"/>
      <c r="S83" s="219"/>
      <c r="T83" s="219"/>
      <c r="U83" s="219"/>
      <c r="V83" s="318">
        <f>V5-V82</f>
        <v>1374.9000000000015</v>
      </c>
      <c r="W83" s="318">
        <f t="shared" ref="W83:AE83" si="41">W5-W82</f>
        <v>1077.2980000000025</v>
      </c>
      <c r="X83" s="318">
        <f t="shared" si="41"/>
        <v>2147.8059599999979</v>
      </c>
      <c r="Y83" s="318">
        <f t="shared" si="41"/>
        <v>4036.5997129208699</v>
      </c>
      <c r="Z83" s="318">
        <f t="shared" si="41"/>
        <v>4382.509180778261</v>
      </c>
      <c r="AA83" s="318">
        <f t="shared" si="41"/>
        <v>11968.817169698108</v>
      </c>
      <c r="AB83" s="318">
        <f t="shared" si="41"/>
        <v>12114.550628879999</v>
      </c>
      <c r="AC83" s="318">
        <f t="shared" si="41"/>
        <v>14816.554344201555</v>
      </c>
      <c r="AD83" s="318">
        <f t="shared" si="41"/>
        <v>23765.564692258416</v>
      </c>
      <c r="AE83" s="318">
        <f t="shared" si="41"/>
        <v>30150.800000000007</v>
      </c>
    </row>
    <row r="84" spans="2:31">
      <c r="B84" s="226" t="s">
        <v>759</v>
      </c>
      <c r="C84" s="227"/>
      <c r="D84" s="227"/>
      <c r="E84" s="227"/>
      <c r="F84" s="227"/>
      <c r="G84" s="227"/>
      <c r="H84" s="227"/>
      <c r="I84" s="227"/>
      <c r="J84" s="227"/>
      <c r="K84" s="227"/>
      <c r="L84" s="743"/>
      <c r="M84" s="743"/>
      <c r="N84" s="743"/>
      <c r="O84" s="743"/>
      <c r="P84" s="743"/>
      <c r="Q84" s="774">
        <v>2773.9</v>
      </c>
      <c r="R84" s="314">
        <v>3958.6</v>
      </c>
      <c r="S84" s="314">
        <v>3958.6</v>
      </c>
      <c r="T84" s="314">
        <v>3958.6</v>
      </c>
      <c r="U84" s="314">
        <v>3958.6</v>
      </c>
      <c r="V84" s="314">
        <v>6954.1</v>
      </c>
      <c r="W84" s="314">
        <v>7841.0717311134686</v>
      </c>
      <c r="X84" s="314">
        <v>7598.2</v>
      </c>
      <c r="Y84" s="319"/>
      <c r="Z84" s="298"/>
      <c r="AA84" s="298"/>
      <c r="AB84" s="310"/>
    </row>
    <row r="85" spans="2:31">
      <c r="B85" s="1111" t="s">
        <v>760</v>
      </c>
      <c r="C85" s="203" t="s">
        <v>740</v>
      </c>
      <c r="D85" s="203"/>
      <c r="E85" s="203"/>
      <c r="F85" s="203"/>
      <c r="G85" s="203"/>
      <c r="H85" s="203"/>
      <c r="I85" s="203"/>
      <c r="J85" s="203"/>
      <c r="K85" s="203"/>
      <c r="L85" s="771">
        <v>107</v>
      </c>
      <c r="M85" s="771">
        <v>111.7</v>
      </c>
      <c r="N85" s="771">
        <v>119</v>
      </c>
      <c r="O85" s="771">
        <v>129.80000000000001</v>
      </c>
      <c r="P85" s="771">
        <v>134.30000000000001</v>
      </c>
      <c r="Q85" s="740">
        <v>143.19999999999999</v>
      </c>
      <c r="R85" s="301">
        <v>150.69999999999999</v>
      </c>
      <c r="S85" s="301">
        <v>162</v>
      </c>
      <c r="T85" s="301">
        <v>173</v>
      </c>
      <c r="U85" s="301">
        <v>198.7</v>
      </c>
      <c r="V85" s="301">
        <v>217.7</v>
      </c>
      <c r="W85" s="301">
        <v>233.3</v>
      </c>
      <c r="X85" s="303">
        <f>W85*1.2</f>
        <v>279.95999999999998</v>
      </c>
      <c r="Y85" s="295">
        <f>X85*1.2</f>
        <v>335.95199999999994</v>
      </c>
      <c r="Z85" s="295">
        <f t="shared" ref="Z85:AE85" si="42">Y85*1.2</f>
        <v>403.1423999999999</v>
      </c>
      <c r="AA85" s="295">
        <f t="shared" si="42"/>
        <v>483.77087999999986</v>
      </c>
      <c r="AB85" s="295">
        <f t="shared" si="42"/>
        <v>580.52505599999984</v>
      </c>
      <c r="AC85" s="295">
        <f t="shared" si="42"/>
        <v>696.63006719999976</v>
      </c>
      <c r="AD85" s="295">
        <f t="shared" si="42"/>
        <v>835.95608063999964</v>
      </c>
      <c r="AE85" s="295">
        <f t="shared" si="42"/>
        <v>1003.1472967679995</v>
      </c>
    </row>
    <row r="86" spans="2:31">
      <c r="B86" s="1111"/>
      <c r="C86" s="203" t="s">
        <v>742</v>
      </c>
      <c r="D86" s="203"/>
      <c r="E86" s="203"/>
      <c r="F86" s="203"/>
      <c r="G86" s="203"/>
      <c r="H86" s="203"/>
      <c r="I86" s="203"/>
      <c r="J86" s="203"/>
      <c r="K86" s="203"/>
      <c r="L86" s="738" t="s">
        <v>1107</v>
      </c>
      <c r="M86" s="738" t="s">
        <v>1107</v>
      </c>
      <c r="N86" s="738" t="s">
        <v>1107</v>
      </c>
      <c r="O86" s="738" t="s">
        <v>1107</v>
      </c>
      <c r="P86" s="738">
        <v>1044.2</v>
      </c>
      <c r="Q86" s="740">
        <v>1289.4000000000001</v>
      </c>
      <c r="R86" s="301">
        <v>1906.6</v>
      </c>
      <c r="S86" s="301">
        <v>2197.1</v>
      </c>
      <c r="T86" s="301">
        <v>2457.1</v>
      </c>
      <c r="U86" s="301">
        <v>3457.6</v>
      </c>
      <c r="V86" s="301">
        <v>3819.6</v>
      </c>
      <c r="W86" s="320"/>
      <c r="X86" s="321"/>
      <c r="Y86" s="319"/>
      <c r="Z86" s="298"/>
      <c r="AA86" s="298"/>
      <c r="AB86" s="298"/>
    </row>
    <row r="87" spans="2:31">
      <c r="B87" s="1112"/>
      <c r="C87" s="228" t="s">
        <v>761</v>
      </c>
      <c r="D87" s="680"/>
      <c r="E87" s="680"/>
      <c r="F87" s="680"/>
      <c r="G87" s="680"/>
      <c r="H87" s="680"/>
      <c r="I87" s="680"/>
      <c r="J87" s="680"/>
      <c r="K87" s="680"/>
      <c r="L87" s="773"/>
      <c r="M87" s="773"/>
      <c r="N87" s="773"/>
      <c r="O87" s="773"/>
      <c r="P87" s="773"/>
      <c r="Q87" s="740"/>
      <c r="R87" s="301"/>
      <c r="S87" s="301"/>
      <c r="T87" s="301"/>
      <c r="U87" s="301"/>
    </row>
    <row r="88" spans="2:31">
      <c r="B88" s="203" t="s">
        <v>732</v>
      </c>
      <c r="C88" s="203"/>
      <c r="L88" s="754"/>
      <c r="M88" s="754"/>
      <c r="N88" s="754"/>
      <c r="O88" s="754"/>
      <c r="P88" s="754"/>
      <c r="Q88" s="740"/>
      <c r="R88" s="301"/>
      <c r="S88" s="301"/>
      <c r="T88" s="301"/>
      <c r="U88" s="301"/>
    </row>
    <row r="89" spans="2:31">
      <c r="B89" s="1109" t="s">
        <v>762</v>
      </c>
      <c r="C89" s="229" t="s">
        <v>740</v>
      </c>
      <c r="D89" s="679"/>
      <c r="E89" s="679"/>
      <c r="F89" s="679"/>
      <c r="G89" s="679"/>
      <c r="H89" s="679"/>
      <c r="I89" s="679"/>
      <c r="J89" s="679"/>
      <c r="K89" s="679"/>
      <c r="L89" s="772"/>
      <c r="M89" s="772"/>
      <c r="N89" s="772"/>
      <c r="O89" s="772"/>
      <c r="P89" s="772"/>
      <c r="Q89" s="740"/>
      <c r="R89" s="301"/>
      <c r="S89" s="301"/>
      <c r="T89" s="301"/>
      <c r="U89" s="301"/>
    </row>
    <row r="90" spans="2:31">
      <c r="B90" s="1113"/>
      <c r="C90" s="229" t="s">
        <v>742</v>
      </c>
      <c r="D90" s="679"/>
      <c r="E90" s="679"/>
      <c r="F90" s="679"/>
      <c r="G90" s="679"/>
      <c r="H90" s="679"/>
      <c r="I90" s="679"/>
      <c r="J90" s="679"/>
      <c r="K90" s="679"/>
      <c r="L90" s="772"/>
      <c r="M90" s="772"/>
      <c r="N90" s="772"/>
      <c r="O90" s="772"/>
      <c r="P90" s="772"/>
      <c r="Q90" s="740"/>
      <c r="R90" s="301"/>
      <c r="S90" s="301"/>
      <c r="T90" s="301"/>
      <c r="U90" s="301"/>
    </row>
    <row r="91" spans="2:31">
      <c r="B91" s="1114"/>
      <c r="C91" s="216" t="s">
        <v>761</v>
      </c>
      <c r="D91" s="681"/>
      <c r="E91" s="681"/>
      <c r="F91" s="681"/>
      <c r="G91" s="681"/>
      <c r="H91" s="681"/>
      <c r="I91" s="681"/>
      <c r="J91" s="681"/>
      <c r="K91" s="681"/>
      <c r="L91" s="760">
        <v>1371.9</v>
      </c>
      <c r="M91" s="760">
        <v>1422.6</v>
      </c>
      <c r="N91" s="760">
        <v>1702.5</v>
      </c>
      <c r="O91" s="760">
        <v>1799.5</v>
      </c>
      <c r="P91" s="760">
        <v>1830</v>
      </c>
      <c r="Q91" s="740">
        <v>1896.9</v>
      </c>
      <c r="R91" s="301">
        <v>2010.8</v>
      </c>
      <c r="S91" s="301">
        <v>2043.7</v>
      </c>
      <c r="T91" s="301">
        <v>2099.1</v>
      </c>
      <c r="U91" s="301">
        <v>2128.1999999999998</v>
      </c>
    </row>
    <row r="92" spans="2:31">
      <c r="B92" s="218" t="s">
        <v>732</v>
      </c>
      <c r="C92" s="216"/>
      <c r="D92" s="681"/>
      <c r="E92" s="681"/>
      <c r="F92" s="681"/>
      <c r="G92" s="681"/>
      <c r="H92" s="681"/>
      <c r="I92" s="681"/>
      <c r="J92" s="681"/>
      <c r="K92" s="681"/>
      <c r="L92" s="761"/>
      <c r="M92" s="761"/>
      <c r="N92" s="761"/>
      <c r="O92" s="761"/>
      <c r="P92" s="761"/>
      <c r="Q92" s="740"/>
      <c r="R92" s="301"/>
      <c r="S92" s="301"/>
      <c r="T92" s="301"/>
      <c r="U92" s="301"/>
    </row>
    <row r="93" spans="2:31">
      <c r="B93" s="1115" t="s">
        <v>763</v>
      </c>
      <c r="C93" s="228" t="s">
        <v>740</v>
      </c>
      <c r="D93" s="680"/>
      <c r="E93" s="680"/>
      <c r="F93" s="680"/>
      <c r="G93" s="680"/>
      <c r="H93" s="680"/>
      <c r="I93" s="680"/>
      <c r="J93" s="680"/>
      <c r="K93" s="680"/>
      <c r="L93" s="773"/>
      <c r="M93" s="773"/>
      <c r="N93" s="773"/>
      <c r="O93" s="773"/>
      <c r="P93" s="773"/>
      <c r="Q93" s="740"/>
      <c r="R93" s="301"/>
      <c r="S93" s="301"/>
      <c r="T93" s="301"/>
      <c r="U93" s="301"/>
    </row>
    <row r="94" spans="2:31">
      <c r="B94" s="1115"/>
      <c r="C94" s="228" t="s">
        <v>742</v>
      </c>
      <c r="D94" s="680"/>
      <c r="E94" s="680"/>
      <c r="F94" s="680"/>
      <c r="G94" s="680"/>
      <c r="H94" s="680"/>
      <c r="I94" s="680"/>
      <c r="J94" s="680"/>
      <c r="K94" s="680"/>
      <c r="L94" s="773"/>
      <c r="M94" s="773"/>
      <c r="N94" s="773"/>
      <c r="O94" s="773"/>
      <c r="P94" s="773"/>
      <c r="Q94" s="740" t="s">
        <v>358</v>
      </c>
      <c r="R94" s="301"/>
      <c r="S94" s="301"/>
      <c r="T94" s="301"/>
      <c r="U94" s="301"/>
    </row>
    <row r="95" spans="2:31">
      <c r="B95" s="1115"/>
      <c r="C95" s="216" t="s">
        <v>764</v>
      </c>
      <c r="D95" s="681"/>
      <c r="E95" s="681"/>
      <c r="F95" s="681"/>
      <c r="G95" s="681"/>
      <c r="H95" s="681"/>
      <c r="I95" s="681"/>
      <c r="J95" s="681"/>
      <c r="K95" s="681"/>
      <c r="L95" s="760">
        <v>14.5</v>
      </c>
      <c r="M95" s="760">
        <v>15.1</v>
      </c>
      <c r="N95" s="760">
        <v>15.2</v>
      </c>
      <c r="O95" s="760">
        <v>9.3000000000000007</v>
      </c>
      <c r="P95" s="760">
        <v>19.8</v>
      </c>
      <c r="Q95" s="740">
        <v>21.5</v>
      </c>
      <c r="R95" s="301">
        <v>23.4</v>
      </c>
      <c r="S95" s="301">
        <v>23.1</v>
      </c>
      <c r="T95" s="301">
        <v>25.5</v>
      </c>
      <c r="U95" s="301">
        <v>26.1</v>
      </c>
    </row>
    <row r="96" spans="2:31">
      <c r="B96" s="1105" t="s">
        <v>765</v>
      </c>
      <c r="C96" s="228" t="s">
        <v>740</v>
      </c>
      <c r="D96" s="680"/>
      <c r="E96" s="680"/>
      <c r="F96" s="680"/>
      <c r="G96" s="680"/>
      <c r="H96" s="680"/>
      <c r="I96" s="680"/>
      <c r="J96" s="680"/>
      <c r="K96" s="680"/>
      <c r="L96" s="773"/>
      <c r="M96" s="773"/>
      <c r="N96" s="773"/>
      <c r="O96" s="773"/>
      <c r="P96" s="773"/>
      <c r="Q96" s="740"/>
      <c r="R96" s="301"/>
      <c r="S96" s="301"/>
      <c r="T96" s="301"/>
      <c r="U96" s="301"/>
    </row>
    <row r="97" spans="2:31">
      <c r="B97" s="1105"/>
      <c r="C97" s="228" t="s">
        <v>742</v>
      </c>
      <c r="D97" s="680"/>
      <c r="E97" s="680"/>
      <c r="F97" s="680"/>
      <c r="G97" s="680"/>
      <c r="H97" s="680"/>
      <c r="I97" s="680"/>
      <c r="J97" s="680"/>
      <c r="K97" s="680"/>
      <c r="L97" s="773"/>
      <c r="M97" s="773"/>
      <c r="N97" s="773"/>
      <c r="O97" s="773"/>
      <c r="P97" s="773"/>
      <c r="Q97" s="740"/>
      <c r="R97" s="301"/>
      <c r="S97" s="301"/>
      <c r="T97" s="301"/>
      <c r="U97" s="301"/>
    </row>
    <row r="98" spans="2:31">
      <c r="B98" s="1106"/>
      <c r="C98" s="203" t="s">
        <v>766</v>
      </c>
      <c r="L98" s="754"/>
      <c r="M98" s="754"/>
      <c r="N98" s="754"/>
      <c r="O98" s="754"/>
      <c r="P98" s="754"/>
      <c r="Q98" s="740">
        <v>4394.2</v>
      </c>
      <c r="R98" s="301">
        <v>4618.6000000000004</v>
      </c>
      <c r="S98" s="301">
        <v>4732.5</v>
      </c>
      <c r="T98" s="301">
        <v>4923.6000000000004</v>
      </c>
      <c r="U98" s="301">
        <v>5056.6000000000004</v>
      </c>
    </row>
    <row r="99" spans="2:31">
      <c r="B99" s="1109" t="s">
        <v>767</v>
      </c>
      <c r="C99" s="203" t="s">
        <v>740</v>
      </c>
      <c r="L99" s="754"/>
      <c r="M99" s="754"/>
      <c r="N99" s="754"/>
      <c r="O99" s="754"/>
      <c r="P99" s="754"/>
      <c r="Q99" s="740"/>
      <c r="R99" s="301"/>
      <c r="S99" s="301"/>
      <c r="T99" s="301"/>
      <c r="U99" s="301"/>
    </row>
    <row r="100" spans="2:31">
      <c r="B100" s="1113"/>
      <c r="C100" s="203" t="s">
        <v>742</v>
      </c>
      <c r="L100" s="754"/>
      <c r="M100" s="754"/>
      <c r="N100" s="754"/>
      <c r="O100" s="754"/>
      <c r="P100" s="754"/>
      <c r="Q100" s="740"/>
      <c r="R100" s="301"/>
      <c r="S100" s="301"/>
      <c r="T100" s="301"/>
      <c r="U100" s="301"/>
    </row>
    <row r="101" spans="2:31" ht="15.75" thickBot="1">
      <c r="B101" s="1114"/>
      <c r="C101" s="203" t="s">
        <v>761</v>
      </c>
      <c r="L101" s="756">
        <v>2451.1</v>
      </c>
      <c r="M101" s="756">
        <v>2579.8000000000002</v>
      </c>
      <c r="N101" s="756">
        <v>3280.4</v>
      </c>
      <c r="O101" s="756">
        <v>3682.8</v>
      </c>
      <c r="P101" s="756">
        <v>3938.5</v>
      </c>
      <c r="Q101" s="740">
        <v>4402.7</v>
      </c>
      <c r="R101" s="301">
        <v>4655.8999999999996</v>
      </c>
      <c r="S101" s="301">
        <v>4851.1000000000004</v>
      </c>
      <c r="T101" s="301">
        <v>5020.5</v>
      </c>
      <c r="U101" s="302">
        <v>5248</v>
      </c>
    </row>
    <row r="102" spans="2:31">
      <c r="B102" s="1115" t="s">
        <v>768</v>
      </c>
      <c r="C102" s="228" t="s">
        <v>740</v>
      </c>
      <c r="D102" s="680"/>
      <c r="E102" s="680"/>
      <c r="F102" s="680"/>
      <c r="G102" s="680"/>
      <c r="H102" s="680"/>
      <c r="I102" s="680"/>
      <c r="J102" s="680"/>
      <c r="K102" s="680"/>
      <c r="L102" s="773"/>
      <c r="M102" s="773"/>
      <c r="N102" s="773"/>
      <c r="O102" s="773"/>
      <c r="P102" s="773"/>
      <c r="Q102" s="740"/>
      <c r="R102" s="301"/>
      <c r="S102" s="301"/>
      <c r="T102" s="301"/>
      <c r="U102" s="301"/>
    </row>
    <row r="103" spans="2:31">
      <c r="B103" s="1115"/>
      <c r="C103" s="228" t="s">
        <v>742</v>
      </c>
      <c r="D103" s="680"/>
      <c r="E103" s="680"/>
      <c r="F103" s="680"/>
      <c r="G103" s="680"/>
      <c r="H103" s="680"/>
      <c r="I103" s="680"/>
      <c r="J103" s="680"/>
      <c r="K103" s="680"/>
      <c r="L103" s="773"/>
      <c r="M103" s="773"/>
      <c r="N103" s="773"/>
      <c r="O103" s="773"/>
      <c r="P103" s="773"/>
      <c r="Q103" s="740"/>
      <c r="R103" s="301"/>
      <c r="S103" s="301"/>
      <c r="T103" s="301"/>
      <c r="U103" s="301"/>
    </row>
    <row r="104" spans="2:31" ht="15.75" thickBot="1">
      <c r="B104" s="1116"/>
      <c r="C104" s="213" t="s">
        <v>764</v>
      </c>
      <c r="D104" s="219"/>
      <c r="E104" s="219"/>
      <c r="F104" s="219"/>
      <c r="G104" s="219"/>
      <c r="H104" s="219"/>
      <c r="I104" s="219"/>
      <c r="J104" s="219"/>
      <c r="K104" s="219"/>
      <c r="L104" s="764">
        <v>707.8</v>
      </c>
      <c r="M104" s="764">
        <v>745.5</v>
      </c>
      <c r="N104" s="764">
        <v>864.3</v>
      </c>
      <c r="O104" s="764">
        <v>932.9</v>
      </c>
      <c r="P104" s="764">
        <v>951.5</v>
      </c>
      <c r="Q104" s="765">
        <v>984.9</v>
      </c>
      <c r="R104" s="301">
        <v>1033.0999999999999</v>
      </c>
      <c r="S104" s="301">
        <v>1049.2</v>
      </c>
      <c r="T104" s="301">
        <v>1076.3</v>
      </c>
      <c r="U104" s="301">
        <v>1093.5</v>
      </c>
      <c r="V104" s="320">
        <v>1110</v>
      </c>
      <c r="W104" s="320">
        <v>1131</v>
      </c>
      <c r="X104" s="321">
        <v>1157</v>
      </c>
      <c r="Y104" s="322">
        <v>1180</v>
      </c>
      <c r="Z104" s="303"/>
      <c r="AA104" s="303"/>
      <c r="AB104" s="323"/>
      <c r="AC104" s="323"/>
      <c r="AD104" s="323"/>
    </row>
    <row r="105" spans="2:31">
      <c r="B105" s="1103" t="s">
        <v>769</v>
      </c>
      <c r="C105" s="230" t="s">
        <v>740</v>
      </c>
      <c r="D105" s="233"/>
      <c r="E105" s="233"/>
      <c r="F105" s="233"/>
      <c r="G105" s="233"/>
      <c r="H105" s="233"/>
      <c r="I105" s="233"/>
      <c r="J105" s="233"/>
      <c r="K105" s="233"/>
      <c r="L105" s="767">
        <v>533</v>
      </c>
      <c r="M105" s="767">
        <v>544.70000000000005</v>
      </c>
      <c r="N105" s="767">
        <v>583.6</v>
      </c>
      <c r="O105" s="767">
        <v>601</v>
      </c>
      <c r="P105" s="767">
        <v>629.70000000000005</v>
      </c>
      <c r="Q105" s="758">
        <v>660.8</v>
      </c>
      <c r="R105" s="301">
        <v>695.9</v>
      </c>
      <c r="S105" s="301">
        <v>778.3</v>
      </c>
      <c r="T105" s="301">
        <v>828.2</v>
      </c>
      <c r="U105" s="301">
        <v>854.7</v>
      </c>
      <c r="V105" s="302">
        <v>888.96</v>
      </c>
      <c r="W105" s="324">
        <v>884.2</v>
      </c>
      <c r="X105" s="325">
        <v>890.3</v>
      </c>
      <c r="Y105" s="326">
        <v>897</v>
      </c>
      <c r="Z105" s="327">
        <v>900</v>
      </c>
      <c r="AA105" s="314">
        <v>1021</v>
      </c>
      <c r="AB105" s="328">
        <v>1042.5999999999999</v>
      </c>
      <c r="AC105" s="328">
        <v>952</v>
      </c>
      <c r="AD105" s="328">
        <v>1118.5</v>
      </c>
      <c r="AE105" s="595">
        <v>1177.4000000000001</v>
      </c>
    </row>
    <row r="106" spans="2:31">
      <c r="B106" s="1102"/>
      <c r="C106" s="231" t="s">
        <v>742</v>
      </c>
      <c r="D106" s="231"/>
      <c r="E106" s="231"/>
      <c r="F106" s="231"/>
      <c r="G106" s="231"/>
      <c r="H106" s="231"/>
      <c r="I106" s="231"/>
      <c r="J106" s="231"/>
      <c r="K106" s="231"/>
      <c r="L106" s="760" t="s">
        <v>1107</v>
      </c>
      <c r="M106" s="760" t="s">
        <v>1107</v>
      </c>
      <c r="N106" s="760" t="s">
        <v>1107</v>
      </c>
      <c r="O106" s="760" t="s">
        <v>1107</v>
      </c>
      <c r="P106" s="760">
        <v>1026</v>
      </c>
      <c r="Q106" s="740">
        <v>1198</v>
      </c>
      <c r="R106" s="301">
        <v>1735</v>
      </c>
      <c r="S106" s="301">
        <v>2039.8</v>
      </c>
      <c r="T106" s="301">
        <v>2288.5</v>
      </c>
      <c r="U106" s="301">
        <v>2432.6</v>
      </c>
      <c r="V106" s="302">
        <v>2513.98</v>
      </c>
      <c r="W106" s="302">
        <v>2516.5612729612731</v>
      </c>
      <c r="X106" s="302">
        <v>2533.9227565227561</v>
      </c>
      <c r="Y106" s="309">
        <v>2543.4434999999999</v>
      </c>
      <c r="Z106" s="303">
        <v>2551.9499999999998</v>
      </c>
      <c r="AA106" s="303">
        <v>2895.0455000000002</v>
      </c>
      <c r="AB106" s="323">
        <v>2956.2922999999996</v>
      </c>
      <c r="AC106" s="323">
        <v>2699.3960000000002</v>
      </c>
      <c r="AD106" s="323">
        <f>AD105*AD108/1000</f>
        <v>3171.50675</v>
      </c>
      <c r="AE106" s="595">
        <f>AE105*AE108/1000</f>
        <v>3338.5177000000003</v>
      </c>
    </row>
    <row r="107" spans="2:31" ht="25.5">
      <c r="B107" s="1102"/>
      <c r="C107" s="231" t="s">
        <v>770</v>
      </c>
      <c r="D107" s="231"/>
      <c r="E107" s="231"/>
      <c r="F107" s="231"/>
      <c r="G107" s="231"/>
      <c r="H107" s="231"/>
      <c r="I107" s="231"/>
      <c r="J107" s="231"/>
      <c r="K107" s="231"/>
      <c r="L107" s="760">
        <v>1597</v>
      </c>
      <c r="M107" s="760">
        <v>1492</v>
      </c>
      <c r="N107" s="760">
        <v>1388</v>
      </c>
      <c r="O107" s="760">
        <v>1365</v>
      </c>
      <c r="P107" s="760">
        <v>1367</v>
      </c>
      <c r="Q107" s="740">
        <v>1416</v>
      </c>
      <c r="R107" s="301">
        <v>1437</v>
      </c>
      <c r="S107" s="301">
        <v>1506</v>
      </c>
      <c r="T107" s="301">
        <v>1521</v>
      </c>
      <c r="U107" s="301">
        <v>1520</v>
      </c>
      <c r="V107" s="318">
        <v>1520</v>
      </c>
      <c r="W107" s="320">
        <v>1525</v>
      </c>
      <c r="X107" s="321">
        <v>1793</v>
      </c>
      <c r="Y107" s="322">
        <v>1785</v>
      </c>
      <c r="Z107" s="321">
        <v>1870</v>
      </c>
      <c r="AA107" s="321">
        <v>1889</v>
      </c>
      <c r="AB107" s="323">
        <v>1905</v>
      </c>
      <c r="AC107" s="601">
        <v>1961</v>
      </c>
      <c r="AD107" s="651">
        <v>2012</v>
      </c>
      <c r="AE107" s="335">
        <v>1540</v>
      </c>
    </row>
    <row r="108" spans="2:31" ht="15.75" thickBot="1">
      <c r="B108" s="1104"/>
      <c r="C108" s="232" t="s">
        <v>747</v>
      </c>
      <c r="D108" s="678"/>
      <c r="E108" s="678"/>
      <c r="F108" s="678"/>
      <c r="G108" s="678"/>
      <c r="H108" s="678"/>
      <c r="I108" s="678"/>
      <c r="J108" s="678"/>
      <c r="K108" s="678"/>
      <c r="L108" s="777"/>
      <c r="M108" s="777"/>
      <c r="N108" s="777"/>
      <c r="O108" s="777"/>
      <c r="P108" s="779">
        <v>1629.3473082420198</v>
      </c>
      <c r="Q108" s="781">
        <v>1812.9539951573852</v>
      </c>
      <c r="R108" s="302">
        <v>2493.1743066532549</v>
      </c>
      <c r="S108" s="302">
        <v>2620.8402929461649</v>
      </c>
      <c r="T108" s="302">
        <v>2763.2214440956291</v>
      </c>
      <c r="U108" s="302">
        <v>2846.1448461448458</v>
      </c>
      <c r="V108" s="318">
        <v>2835.5</v>
      </c>
      <c r="W108" s="302">
        <f t="shared" ref="W108:X108" si="43">W106/W105*1000</f>
        <v>2846.1448461448458</v>
      </c>
      <c r="X108" s="302">
        <f t="shared" si="43"/>
        <v>2846.1448461448458</v>
      </c>
      <c r="Y108" s="322">
        <v>2835.5</v>
      </c>
      <c r="Z108" s="321">
        <v>2835.5</v>
      </c>
      <c r="AA108" s="321">
        <v>2835.5</v>
      </c>
      <c r="AB108" s="323">
        <v>2835.5</v>
      </c>
      <c r="AC108" s="323">
        <v>2835.5</v>
      </c>
      <c r="AD108" s="329">
        <v>2835.5</v>
      </c>
      <c r="AE108" s="335">
        <v>2835.5</v>
      </c>
    </row>
    <row r="109" spans="2:31">
      <c r="B109" s="1102" t="s">
        <v>771</v>
      </c>
      <c r="C109" s="233" t="s">
        <v>772</v>
      </c>
      <c r="D109" s="233"/>
      <c r="E109" s="233"/>
      <c r="F109" s="233"/>
      <c r="G109" s="233"/>
      <c r="H109" s="233"/>
      <c r="I109" s="233"/>
      <c r="J109" s="233"/>
      <c r="K109" s="233"/>
      <c r="L109" s="778">
        <v>98.7</v>
      </c>
      <c r="M109" s="778">
        <v>105.3</v>
      </c>
      <c r="N109" s="778">
        <v>111.2</v>
      </c>
      <c r="O109" s="778">
        <v>151</v>
      </c>
      <c r="P109" s="778">
        <v>188.5</v>
      </c>
      <c r="Q109" s="776">
        <v>231.9</v>
      </c>
      <c r="R109" s="301">
        <v>254.7</v>
      </c>
      <c r="S109" s="301">
        <v>291.60000000000002</v>
      </c>
      <c r="T109" s="301">
        <v>343.7</v>
      </c>
      <c r="U109" s="301">
        <v>350</v>
      </c>
      <c r="V109" s="300">
        <v>357.2</v>
      </c>
      <c r="W109" s="324">
        <v>366.2</v>
      </c>
      <c r="X109" s="325">
        <v>367.2</v>
      </c>
      <c r="Y109" s="330">
        <v>371.2</v>
      </c>
      <c r="Z109" s="327">
        <v>375</v>
      </c>
      <c r="AA109" s="314">
        <v>983.1</v>
      </c>
      <c r="AB109" s="331">
        <v>1053.4000000000001</v>
      </c>
      <c r="AC109" s="332">
        <v>375.5</v>
      </c>
      <c r="AD109" s="332">
        <v>1223.7</v>
      </c>
      <c r="AE109" s="596">
        <v>1265.5999999999999</v>
      </c>
    </row>
    <row r="110" spans="2:31">
      <c r="B110" s="1102"/>
      <c r="C110" s="231" t="s">
        <v>742</v>
      </c>
      <c r="D110" s="231"/>
      <c r="E110" s="231"/>
      <c r="F110" s="231"/>
      <c r="G110" s="231"/>
      <c r="H110" s="231"/>
      <c r="I110" s="231"/>
      <c r="J110" s="231"/>
      <c r="K110" s="231"/>
      <c r="L110" s="738" t="s">
        <v>1107</v>
      </c>
      <c r="M110" s="738" t="s">
        <v>1107</v>
      </c>
      <c r="N110" s="738" t="s">
        <v>1107</v>
      </c>
      <c r="O110" s="738" t="s">
        <v>1107</v>
      </c>
      <c r="P110" s="738">
        <v>104.1</v>
      </c>
      <c r="Q110" s="740">
        <v>123.4</v>
      </c>
      <c r="R110" s="301">
        <v>143.69999999999999</v>
      </c>
      <c r="S110" s="301">
        <v>188.9</v>
      </c>
      <c r="T110" s="301">
        <v>210.3</v>
      </c>
      <c r="U110" s="301">
        <v>223</v>
      </c>
      <c r="V110" s="302">
        <v>227.2</v>
      </c>
      <c r="W110" s="318">
        <f t="shared" ref="W110:AB110" si="44">W109*W112/1000</f>
        <v>230.70599999999999</v>
      </c>
      <c r="X110" s="303">
        <f t="shared" si="44"/>
        <v>233.72279999999998</v>
      </c>
      <c r="Y110" s="309">
        <f t="shared" si="44"/>
        <v>233.29919999999998</v>
      </c>
      <c r="Z110" s="303">
        <f t="shared" si="44"/>
        <v>234.9375</v>
      </c>
      <c r="AA110" s="303">
        <f t="shared" si="44"/>
        <v>610.01355000000001</v>
      </c>
      <c r="AB110" s="294">
        <f t="shared" si="44"/>
        <v>653.63470000000007</v>
      </c>
      <c r="AC110" s="294">
        <f>AC109*AC112/1000</f>
        <v>232.99775</v>
      </c>
      <c r="AD110" s="294">
        <f>AD109*AD112/1000</f>
        <v>759.30584999999996</v>
      </c>
      <c r="AE110" s="597">
        <f>AE109*AE112/1000</f>
        <v>785.30479999999989</v>
      </c>
    </row>
    <row r="111" spans="2:31" ht="25.5">
      <c r="B111" s="1102"/>
      <c r="C111" s="231" t="s">
        <v>773</v>
      </c>
      <c r="D111" s="231"/>
      <c r="E111" s="231"/>
      <c r="F111" s="231"/>
      <c r="G111" s="231"/>
      <c r="H111" s="231"/>
      <c r="I111" s="231"/>
      <c r="J111" s="231"/>
      <c r="K111" s="231"/>
      <c r="L111" s="760">
        <v>123</v>
      </c>
      <c r="M111" s="760">
        <v>122</v>
      </c>
      <c r="N111" s="760">
        <v>118</v>
      </c>
      <c r="O111" s="760">
        <v>146</v>
      </c>
      <c r="P111" s="760">
        <v>165</v>
      </c>
      <c r="Q111" s="740">
        <v>163</v>
      </c>
      <c r="R111" s="301">
        <v>168</v>
      </c>
      <c r="S111" s="301">
        <v>191</v>
      </c>
      <c r="T111" s="301">
        <v>222</v>
      </c>
      <c r="U111" s="301">
        <v>232</v>
      </c>
      <c r="V111" s="320">
        <v>235</v>
      </c>
      <c r="W111" s="320">
        <v>240</v>
      </c>
      <c r="X111" s="321">
        <v>228</v>
      </c>
      <c r="Y111" s="322">
        <v>181</v>
      </c>
      <c r="Z111" s="333">
        <v>204</v>
      </c>
      <c r="AA111" s="333">
        <v>231</v>
      </c>
      <c r="AB111" s="294">
        <v>218</v>
      </c>
      <c r="AC111" s="294">
        <v>273</v>
      </c>
      <c r="AD111" s="597">
        <v>272</v>
      </c>
      <c r="AE111" s="337">
        <v>260</v>
      </c>
    </row>
    <row r="112" spans="2:31" ht="15.75" thickBot="1">
      <c r="B112" s="1102"/>
      <c r="C112" s="220" t="s">
        <v>747</v>
      </c>
      <c r="D112" s="220"/>
      <c r="E112" s="220"/>
      <c r="F112" s="220"/>
      <c r="G112" s="220"/>
      <c r="H112" s="220"/>
      <c r="I112" s="220"/>
      <c r="J112" s="220"/>
      <c r="K112" s="220"/>
      <c r="L112" s="668"/>
      <c r="M112" s="668"/>
      <c r="N112" s="668"/>
      <c r="O112" s="668"/>
      <c r="P112" s="780">
        <v>552.25464190981438</v>
      </c>
      <c r="Q112" s="775">
        <v>532.12591634325145</v>
      </c>
      <c r="R112" s="302">
        <v>564.19316843345109</v>
      </c>
      <c r="S112" s="302">
        <v>647.80521262002742</v>
      </c>
      <c r="T112" s="302">
        <v>611.87081757346527</v>
      </c>
      <c r="U112" s="302">
        <v>637.14285714285711</v>
      </c>
      <c r="V112" s="320">
        <v>630.5</v>
      </c>
      <c r="W112" s="318">
        <v>630</v>
      </c>
      <c r="X112" s="303">
        <v>636.5</v>
      </c>
      <c r="Y112" s="303">
        <v>628.5</v>
      </c>
      <c r="Z112" s="303">
        <v>626.5</v>
      </c>
      <c r="AA112" s="303">
        <v>620.5</v>
      </c>
      <c r="AB112" s="323">
        <v>620.5</v>
      </c>
      <c r="AC112" s="323">
        <v>620.5</v>
      </c>
      <c r="AD112" s="329">
        <v>620.5</v>
      </c>
      <c r="AE112" s="335">
        <v>620.5</v>
      </c>
    </row>
    <row r="113" spans="2:31">
      <c r="B113" s="1103" t="s">
        <v>774</v>
      </c>
      <c r="C113" s="230" t="s">
        <v>740</v>
      </c>
      <c r="D113" s="233"/>
      <c r="E113" s="233"/>
      <c r="F113" s="233"/>
      <c r="G113" s="233"/>
      <c r="H113" s="233"/>
      <c r="I113" s="233"/>
      <c r="J113" s="233"/>
      <c r="K113" s="233"/>
      <c r="L113" s="767">
        <v>4.3</v>
      </c>
      <c r="M113" s="767">
        <v>4.7</v>
      </c>
      <c r="N113" s="767">
        <v>5.0999999999999996</v>
      </c>
      <c r="O113" s="767">
        <v>5.2</v>
      </c>
      <c r="P113" s="767">
        <v>5.4</v>
      </c>
      <c r="Q113" s="758">
        <v>5.8</v>
      </c>
      <c r="R113" s="302">
        <v>6</v>
      </c>
      <c r="S113" s="301">
        <v>6.4</v>
      </c>
      <c r="T113" s="301">
        <v>6.6</v>
      </c>
      <c r="U113" s="301">
        <v>6.8</v>
      </c>
      <c r="V113" s="314">
        <v>7</v>
      </c>
      <c r="W113" s="324">
        <v>6.9</v>
      </c>
      <c r="X113" s="325">
        <v>6.9</v>
      </c>
      <c r="Y113" s="327">
        <v>7</v>
      </c>
      <c r="Z113" s="327">
        <v>6.9</v>
      </c>
      <c r="AA113" s="314">
        <v>8</v>
      </c>
      <c r="AB113" s="328">
        <v>8.1</v>
      </c>
      <c r="AC113" s="323">
        <v>7</v>
      </c>
      <c r="AD113" s="323">
        <v>8.8000000000000007</v>
      </c>
      <c r="AE113" s="595">
        <v>9.1</v>
      </c>
    </row>
    <row r="114" spans="2:31">
      <c r="B114" s="1102"/>
      <c r="C114" s="231" t="s">
        <v>742</v>
      </c>
      <c r="D114" s="231"/>
      <c r="E114" s="231"/>
      <c r="F114" s="231"/>
      <c r="G114" s="231"/>
      <c r="H114" s="231"/>
      <c r="I114" s="231"/>
      <c r="J114" s="231"/>
      <c r="K114" s="231"/>
      <c r="L114" s="760" t="s">
        <v>1107</v>
      </c>
      <c r="M114" s="760" t="s">
        <v>1107</v>
      </c>
      <c r="N114" s="760" t="s">
        <v>1107</v>
      </c>
      <c r="O114" s="760" t="s">
        <v>1107</v>
      </c>
      <c r="P114" s="760">
        <v>8.8000000000000007</v>
      </c>
      <c r="Q114" s="740">
        <v>7.9</v>
      </c>
      <c r="R114" s="301">
        <v>14.6</v>
      </c>
      <c r="S114" s="301">
        <v>15.7</v>
      </c>
      <c r="T114" s="301">
        <v>14.3</v>
      </c>
      <c r="U114" s="301">
        <v>15.9</v>
      </c>
      <c r="V114" s="302">
        <v>16.600000000000001</v>
      </c>
      <c r="W114" s="302">
        <v>11.5</v>
      </c>
      <c r="X114" s="302">
        <v>11.8</v>
      </c>
      <c r="Y114" s="303">
        <f t="shared" ref="Y114:AD114" si="45">Y113*Y116/1000</f>
        <v>15.9285</v>
      </c>
      <c r="Z114" s="303">
        <f t="shared" si="45"/>
        <v>15.663</v>
      </c>
      <c r="AA114" s="303">
        <f t="shared" si="45"/>
        <v>18.123999999999999</v>
      </c>
      <c r="AB114" s="323">
        <f t="shared" si="45"/>
        <v>18.350549999999998</v>
      </c>
      <c r="AC114" s="323">
        <f t="shared" si="45"/>
        <v>15.858499999999999</v>
      </c>
      <c r="AD114" s="323">
        <f t="shared" si="45"/>
        <v>19.936400000000003</v>
      </c>
      <c r="AE114" s="595">
        <f t="shared" ref="AE114" si="46">AE113*AE116/1000</f>
        <v>20.616049999999998</v>
      </c>
    </row>
    <row r="115" spans="2:31" ht="25.5">
      <c r="B115" s="1102"/>
      <c r="C115" s="231" t="s">
        <v>775</v>
      </c>
      <c r="D115" s="231"/>
      <c r="E115" s="231"/>
      <c r="F115" s="231"/>
      <c r="G115" s="231"/>
      <c r="H115" s="231"/>
      <c r="I115" s="231"/>
      <c r="J115" s="231"/>
      <c r="K115" s="231"/>
      <c r="L115" s="760">
        <v>1.7</v>
      </c>
      <c r="M115" s="760">
        <v>1.7</v>
      </c>
      <c r="N115" s="760">
        <v>1.8</v>
      </c>
      <c r="O115" s="760">
        <v>1.8</v>
      </c>
      <c r="P115" s="760">
        <v>1.7</v>
      </c>
      <c r="Q115" s="740">
        <v>1.7</v>
      </c>
      <c r="R115" s="301">
        <v>1.8</v>
      </c>
      <c r="S115" s="301">
        <v>1.7</v>
      </c>
      <c r="T115" s="301">
        <v>1.8</v>
      </c>
      <c r="U115" s="301">
        <v>1.2</v>
      </c>
      <c r="V115" s="320">
        <v>1.3</v>
      </c>
      <c r="W115" s="320">
        <v>1.4</v>
      </c>
      <c r="X115" s="321">
        <v>1.8</v>
      </c>
      <c r="Y115" s="321">
        <v>1.8</v>
      </c>
      <c r="Z115" s="303">
        <v>1.8</v>
      </c>
      <c r="AA115" s="303">
        <v>2</v>
      </c>
      <c r="AB115" s="323">
        <v>2</v>
      </c>
      <c r="AC115" s="323">
        <v>2</v>
      </c>
      <c r="AD115" s="595">
        <v>2.1</v>
      </c>
      <c r="AE115" s="335">
        <v>1.6</v>
      </c>
    </row>
    <row r="116" spans="2:31" ht="15.75" thickBot="1">
      <c r="B116" s="1104"/>
      <c r="C116" s="213" t="s">
        <v>747</v>
      </c>
      <c r="D116" s="219"/>
      <c r="E116" s="219"/>
      <c r="F116" s="219"/>
      <c r="G116" s="219"/>
      <c r="H116" s="219"/>
      <c r="I116" s="219"/>
      <c r="J116" s="219"/>
      <c r="K116" s="219"/>
      <c r="L116" s="762"/>
      <c r="M116" s="762"/>
      <c r="N116" s="762"/>
      <c r="O116" s="762"/>
      <c r="P116" s="763">
        <v>1629.6296296296298</v>
      </c>
      <c r="Q116" s="755">
        <v>1362.0689655172416</v>
      </c>
      <c r="R116" s="302">
        <v>2433.333333333333</v>
      </c>
      <c r="S116" s="302">
        <v>2453.1249999999995</v>
      </c>
      <c r="T116" s="302">
        <v>2166.666666666667</v>
      </c>
      <c r="U116" s="302">
        <v>2338.2352941176473</v>
      </c>
      <c r="V116" s="320">
        <v>2335.5</v>
      </c>
      <c r="W116" s="320">
        <v>2330</v>
      </c>
      <c r="X116" s="321">
        <v>2280.5</v>
      </c>
      <c r="Y116" s="321">
        <v>2275.5</v>
      </c>
      <c r="Z116" s="303">
        <v>2270</v>
      </c>
      <c r="AA116" s="303">
        <v>2265.5</v>
      </c>
      <c r="AB116" s="323">
        <v>2265.5</v>
      </c>
      <c r="AC116" s="323">
        <v>2265.5</v>
      </c>
      <c r="AD116" s="329">
        <v>2265.5</v>
      </c>
      <c r="AE116" s="335">
        <v>2265.5</v>
      </c>
    </row>
    <row r="117" spans="2:31">
      <c r="B117" s="1105" t="s">
        <v>776</v>
      </c>
      <c r="C117" s="234" t="s">
        <v>740</v>
      </c>
      <c r="D117" s="234"/>
      <c r="E117" s="234"/>
      <c r="F117" s="234"/>
      <c r="G117" s="234"/>
      <c r="H117" s="234"/>
      <c r="I117" s="234"/>
      <c r="J117" s="234"/>
      <c r="K117" s="234"/>
      <c r="L117" s="743">
        <v>3.2</v>
      </c>
      <c r="M117" s="743">
        <v>3</v>
      </c>
      <c r="N117" s="743">
        <v>2.2999999999999998</v>
      </c>
      <c r="O117" s="743">
        <v>2.7</v>
      </c>
      <c r="P117" s="743">
        <v>1.8</v>
      </c>
      <c r="Q117" s="776">
        <v>1.1000000000000001</v>
      </c>
      <c r="R117" s="301">
        <v>1.3</v>
      </c>
      <c r="S117" s="301">
        <v>1.3</v>
      </c>
      <c r="T117" s="301">
        <v>1.6</v>
      </c>
      <c r="U117" s="301">
        <v>1.1000000000000001</v>
      </c>
      <c r="V117" s="301">
        <v>0.8</v>
      </c>
      <c r="W117" s="320">
        <v>1.2</v>
      </c>
      <c r="X117" s="321">
        <v>1.2</v>
      </c>
      <c r="Y117" s="321">
        <v>1.2</v>
      </c>
      <c r="Z117" s="303"/>
      <c r="AA117" s="302">
        <v>0.4</v>
      </c>
      <c r="AB117" s="328">
        <v>0.5</v>
      </c>
      <c r="AC117" s="323"/>
      <c r="AD117" s="323"/>
      <c r="AE117" s="334"/>
    </row>
    <row r="118" spans="2:31" ht="15.75" thickBot="1">
      <c r="B118" s="1105"/>
      <c r="C118" s="204" t="s">
        <v>742</v>
      </c>
      <c r="D118" s="204"/>
      <c r="E118" s="204"/>
      <c r="F118" s="204"/>
      <c r="G118" s="204"/>
      <c r="H118" s="204"/>
      <c r="I118" s="204"/>
      <c r="J118" s="204"/>
      <c r="K118" s="204"/>
      <c r="L118" s="210"/>
      <c r="M118" s="210"/>
      <c r="N118" s="210"/>
      <c r="O118" s="210"/>
      <c r="P118" s="210"/>
      <c r="Q118" s="749">
        <v>2.1</v>
      </c>
      <c r="R118" s="301">
        <v>3.8</v>
      </c>
      <c r="S118" s="301">
        <v>6.9</v>
      </c>
      <c r="T118" s="301">
        <v>8.8000000000000007</v>
      </c>
      <c r="U118" s="301">
        <v>11.8</v>
      </c>
      <c r="V118" s="301">
        <v>8.6</v>
      </c>
      <c r="W118" s="301">
        <v>8.4</v>
      </c>
      <c r="X118" s="301">
        <v>8.8000000000000007</v>
      </c>
      <c r="Y118" s="321"/>
      <c r="Z118" s="303"/>
      <c r="AA118" s="303"/>
      <c r="AB118" s="332"/>
      <c r="AC118" s="332"/>
      <c r="AD118" s="332"/>
      <c r="AE118" s="336"/>
    </row>
    <row r="119" spans="2:31">
      <c r="B119" s="1103" t="s">
        <v>777</v>
      </c>
      <c r="C119" s="223" t="s">
        <v>740</v>
      </c>
      <c r="D119" s="215"/>
      <c r="E119" s="215"/>
      <c r="F119" s="215"/>
      <c r="G119" s="215"/>
      <c r="H119" s="215"/>
      <c r="I119" s="215"/>
      <c r="J119" s="215"/>
      <c r="K119" s="215"/>
      <c r="L119" s="757">
        <v>1.5</v>
      </c>
      <c r="M119" s="757">
        <v>1.7</v>
      </c>
      <c r="N119" s="757">
        <v>2</v>
      </c>
      <c r="O119" s="757">
        <v>2.1</v>
      </c>
      <c r="P119" s="757">
        <v>2.7</v>
      </c>
      <c r="Q119" s="758">
        <v>3</v>
      </c>
      <c r="R119" s="301">
        <v>2.9</v>
      </c>
      <c r="S119" s="301">
        <v>3.3</v>
      </c>
      <c r="T119" s="301">
        <v>3.5</v>
      </c>
      <c r="U119" s="301">
        <v>3.7</v>
      </c>
      <c r="V119" s="300">
        <v>3.85</v>
      </c>
      <c r="W119" s="324">
        <v>3.8</v>
      </c>
      <c r="X119" s="325">
        <v>3.9</v>
      </c>
      <c r="Y119" s="325">
        <v>3.9</v>
      </c>
      <c r="Z119" s="327">
        <v>4</v>
      </c>
      <c r="AA119" s="314">
        <v>4.2</v>
      </c>
      <c r="AB119" s="236">
        <v>4.4000000000000004</v>
      </c>
      <c r="AC119" s="294">
        <v>4.5</v>
      </c>
      <c r="AD119" s="294">
        <v>4.7</v>
      </c>
      <c r="AE119" s="597">
        <v>4.9000000000000004</v>
      </c>
    </row>
    <row r="120" spans="2:31">
      <c r="B120" s="1102"/>
      <c r="C120" s="216" t="s">
        <v>742</v>
      </c>
      <c r="D120" s="216"/>
      <c r="E120" s="216"/>
      <c r="F120" s="216"/>
      <c r="G120" s="216"/>
      <c r="H120" s="216"/>
      <c r="I120" s="216"/>
      <c r="J120" s="216"/>
      <c r="K120" s="216"/>
      <c r="L120" s="738" t="s">
        <v>1107</v>
      </c>
      <c r="M120" s="738" t="s">
        <v>1107</v>
      </c>
      <c r="N120" s="738" t="s">
        <v>1107</v>
      </c>
      <c r="O120" s="738" t="s">
        <v>1107</v>
      </c>
      <c r="P120" s="738">
        <v>46.1</v>
      </c>
      <c r="Q120" s="740">
        <v>61.2</v>
      </c>
      <c r="R120" s="301">
        <v>66.3</v>
      </c>
      <c r="S120" s="301">
        <v>100.4</v>
      </c>
      <c r="T120" s="301">
        <v>111.4</v>
      </c>
      <c r="U120" s="301">
        <v>130.9</v>
      </c>
      <c r="V120" s="302">
        <v>140.9</v>
      </c>
      <c r="W120" s="302">
        <v>145.9</v>
      </c>
      <c r="X120" s="302">
        <v>150.1</v>
      </c>
      <c r="Y120" s="303">
        <f t="shared" ref="Y120:AD120" si="47">Y119*Y122/1000</f>
        <v>137.86694999999997</v>
      </c>
      <c r="Z120" s="303">
        <f t="shared" si="47"/>
        <v>141.40199999999999</v>
      </c>
      <c r="AA120" s="303">
        <f t="shared" si="47"/>
        <v>148.47210000000001</v>
      </c>
      <c r="AB120" s="294">
        <f t="shared" si="47"/>
        <v>155.54220000000001</v>
      </c>
      <c r="AC120" s="294">
        <f t="shared" si="47"/>
        <v>159.07724999999999</v>
      </c>
      <c r="AD120" s="294">
        <f t="shared" si="47"/>
        <v>166.14735000000002</v>
      </c>
      <c r="AE120" s="597">
        <f t="shared" ref="AE120" si="48">AE119*AE122/1000</f>
        <v>173.21745000000001</v>
      </c>
    </row>
    <row r="121" spans="2:31" ht="26.25">
      <c r="B121" s="1102"/>
      <c r="C121" s="216" t="s">
        <v>778</v>
      </c>
      <c r="D121" s="216"/>
      <c r="E121" s="216"/>
      <c r="F121" s="216"/>
      <c r="G121" s="216"/>
      <c r="H121" s="216"/>
      <c r="I121" s="216"/>
      <c r="J121" s="216"/>
      <c r="K121" s="216"/>
      <c r="L121" s="738">
        <v>23.5</v>
      </c>
      <c r="M121" s="738">
        <v>17.7</v>
      </c>
      <c r="N121" s="738">
        <v>16.600000000000001</v>
      </c>
      <c r="O121" s="738">
        <v>15.3</v>
      </c>
      <c r="P121" s="738">
        <v>19.3</v>
      </c>
      <c r="Q121" s="740">
        <v>16.600000000000001</v>
      </c>
      <c r="R121" s="301">
        <v>15.4</v>
      </c>
      <c r="S121" s="301">
        <v>16.8</v>
      </c>
      <c r="T121" s="301">
        <v>17.399999999999999</v>
      </c>
      <c r="U121" s="301">
        <v>17.5</v>
      </c>
      <c r="V121" s="320">
        <v>17.8</v>
      </c>
      <c r="W121" s="318">
        <v>18</v>
      </c>
      <c r="X121" s="303">
        <v>18.399999999999999</v>
      </c>
      <c r="Y121" s="303">
        <v>18.399999999999999</v>
      </c>
      <c r="Z121" s="303">
        <v>18.2</v>
      </c>
      <c r="AA121" s="303">
        <v>18.2</v>
      </c>
      <c r="AB121" s="323">
        <v>17.100000000000001</v>
      </c>
      <c r="AC121" s="323">
        <v>17.3</v>
      </c>
      <c r="AD121" s="595">
        <v>17.5</v>
      </c>
      <c r="AE121" s="335">
        <v>19</v>
      </c>
    </row>
    <row r="122" spans="2:31" ht="15.75" thickBot="1">
      <c r="B122" s="1104"/>
      <c r="C122" s="213"/>
      <c r="D122" s="219"/>
      <c r="E122" s="219"/>
      <c r="F122" s="219"/>
      <c r="G122" s="219"/>
      <c r="H122" s="219"/>
      <c r="I122" s="219"/>
      <c r="J122" s="219"/>
      <c r="K122" s="219"/>
      <c r="L122" s="756"/>
      <c r="M122" s="756"/>
      <c r="N122" s="756"/>
      <c r="O122" s="756"/>
      <c r="P122" s="782">
        <v>17074.074074074073</v>
      </c>
      <c r="Q122" s="765">
        <v>20400.000000000004</v>
      </c>
      <c r="R122" s="302">
        <v>22862.068965517243</v>
      </c>
      <c r="S122" s="302">
        <v>30424.242424242428</v>
      </c>
      <c r="T122" s="302">
        <v>31828.571428571428</v>
      </c>
      <c r="U122" s="302">
        <v>35378.37837837838</v>
      </c>
      <c r="V122" s="302">
        <f t="shared" ref="V122" si="49">V120/V119*1000</f>
        <v>36597.402597402601</v>
      </c>
      <c r="W122" s="320">
        <v>35350.5</v>
      </c>
      <c r="X122" s="321">
        <v>35350.5</v>
      </c>
      <c r="Y122" s="321">
        <v>35350.5</v>
      </c>
      <c r="Z122" s="321">
        <v>35350.5</v>
      </c>
      <c r="AA122" s="321">
        <v>35350.5</v>
      </c>
      <c r="AB122" s="323">
        <v>35350.5</v>
      </c>
      <c r="AC122" s="323">
        <v>35350.5</v>
      </c>
      <c r="AD122" s="329">
        <v>35350.5</v>
      </c>
      <c r="AE122" s="335">
        <v>35350.5</v>
      </c>
    </row>
    <row r="123" spans="2:31">
      <c r="B123" s="1105" t="s">
        <v>779</v>
      </c>
      <c r="C123" s="234" t="s">
        <v>780</v>
      </c>
      <c r="D123" s="234"/>
      <c r="E123" s="234"/>
      <c r="F123" s="234"/>
      <c r="G123" s="234"/>
      <c r="H123" s="234"/>
      <c r="I123" s="234"/>
      <c r="J123" s="234"/>
      <c r="K123" s="234"/>
      <c r="L123" s="221" t="s">
        <v>1108</v>
      </c>
      <c r="M123" s="221" t="s">
        <v>1108</v>
      </c>
      <c r="N123" s="221" t="s">
        <v>1108</v>
      </c>
      <c r="O123" s="221" t="s">
        <v>1108</v>
      </c>
      <c r="P123" s="221" t="s">
        <v>1108</v>
      </c>
      <c r="Q123" s="776">
        <v>677.5</v>
      </c>
      <c r="R123" s="783">
        <v>843</v>
      </c>
      <c r="S123" s="783">
        <v>1113</v>
      </c>
      <c r="T123" s="783">
        <v>1723</v>
      </c>
      <c r="U123" s="783">
        <v>1884</v>
      </c>
      <c r="V123" s="301">
        <v>2023.3</v>
      </c>
      <c r="W123" s="320"/>
      <c r="X123" s="320"/>
    </row>
    <row r="124" spans="2:31">
      <c r="B124" s="1105"/>
      <c r="C124" s="203" t="s">
        <v>742</v>
      </c>
      <c r="D124" s="203"/>
      <c r="E124" s="203"/>
      <c r="F124" s="203"/>
      <c r="G124" s="203"/>
      <c r="H124" s="203"/>
      <c r="I124" s="203"/>
      <c r="J124" s="203"/>
      <c r="K124" s="203"/>
      <c r="L124" s="754"/>
      <c r="M124" s="754"/>
      <c r="N124" s="754"/>
      <c r="O124" s="754"/>
      <c r="P124" s="754"/>
      <c r="Q124" s="740">
        <v>9.6</v>
      </c>
      <c r="R124" s="301">
        <v>12.9</v>
      </c>
      <c r="S124" s="301">
        <v>17.2</v>
      </c>
      <c r="T124" s="301">
        <v>27.3</v>
      </c>
      <c r="U124" s="301">
        <v>32.9</v>
      </c>
      <c r="V124" s="301">
        <v>34.799999999999997</v>
      </c>
      <c r="W124" s="301">
        <v>37.299999999999997</v>
      </c>
      <c r="X124" s="301">
        <v>37.5</v>
      </c>
    </row>
    <row r="125" spans="2:31" ht="39">
      <c r="B125" s="1106"/>
      <c r="C125" s="216" t="s">
        <v>781</v>
      </c>
      <c r="D125" s="681"/>
      <c r="E125" s="681"/>
      <c r="F125" s="681"/>
      <c r="G125" s="681"/>
      <c r="H125" s="681"/>
      <c r="I125" s="681"/>
      <c r="J125" s="681"/>
      <c r="K125" s="681"/>
      <c r="L125" s="761"/>
      <c r="M125" s="761"/>
      <c r="N125" s="761"/>
      <c r="O125" s="761"/>
      <c r="P125" s="761"/>
      <c r="Q125" s="740">
        <v>63.5</v>
      </c>
      <c r="R125" s="301">
        <v>116.8</v>
      </c>
      <c r="S125" s="301">
        <v>120.1</v>
      </c>
      <c r="T125" s="301">
        <v>75.400000000000006</v>
      </c>
      <c r="U125" s="301">
        <v>75.5</v>
      </c>
    </row>
    <row r="127" spans="2:31">
      <c r="B127" s="29" t="s">
        <v>358</v>
      </c>
    </row>
    <row r="129" spans="3:3">
      <c r="C129" s="29" t="s">
        <v>358</v>
      </c>
    </row>
  </sheetData>
  <mergeCells count="23">
    <mergeCell ref="B53:B57"/>
    <mergeCell ref="B24:B29"/>
    <mergeCell ref="B32:B35"/>
    <mergeCell ref="B37:B41"/>
    <mergeCell ref="B43:B46"/>
    <mergeCell ref="B47:B51"/>
    <mergeCell ref="B105:B108"/>
    <mergeCell ref="B59:B62"/>
    <mergeCell ref="B63:B67"/>
    <mergeCell ref="B69:B73"/>
    <mergeCell ref="B75:B79"/>
    <mergeCell ref="B82:B83"/>
    <mergeCell ref="B85:B87"/>
    <mergeCell ref="B89:B91"/>
    <mergeCell ref="B93:B95"/>
    <mergeCell ref="B96:B98"/>
    <mergeCell ref="B99:B101"/>
    <mergeCell ref="B102:B104"/>
    <mergeCell ref="B109:B112"/>
    <mergeCell ref="B113:B116"/>
    <mergeCell ref="B117:B118"/>
    <mergeCell ref="B119:B122"/>
    <mergeCell ref="B123:B125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8735A-632B-459A-B2ED-565D8A458B05}">
  <dimension ref="A1:AF238"/>
  <sheetViews>
    <sheetView zoomScale="80" zoomScaleNormal="80" workbookViewId="0">
      <pane xSplit="3" ySplit="18" topLeftCell="L19" activePane="bottomRight" state="frozen"/>
      <selection pane="topRight" activeCell="D1" sqref="D1"/>
      <selection pane="bottomLeft" activeCell="A19" sqref="A19"/>
      <selection pane="bottomRight" activeCell="Z17" sqref="Z17"/>
    </sheetView>
  </sheetViews>
  <sheetFormatPr defaultRowHeight="15"/>
  <cols>
    <col min="1" max="1" width="5.85546875" customWidth="1"/>
    <col min="2" max="2" width="7.28515625" style="5" customWidth="1"/>
    <col min="3" max="3" width="37.5703125" style="13" customWidth="1"/>
    <col min="4" max="20" width="11" style="13" customWidth="1"/>
    <col min="21" max="21" width="10.42578125" style="13" customWidth="1"/>
    <col min="23" max="24" width="9.5703125" bestFit="1" customWidth="1"/>
    <col min="25" max="31" width="9.28515625" bestFit="1" customWidth="1"/>
  </cols>
  <sheetData>
    <row r="1" spans="2:31">
      <c r="B1" s="1" t="s">
        <v>0</v>
      </c>
      <c r="C1" s="2" t="s">
        <v>1</v>
      </c>
      <c r="D1" s="5">
        <v>1997</v>
      </c>
      <c r="E1" s="5">
        <v>1998</v>
      </c>
      <c r="F1" s="5">
        <v>1999</v>
      </c>
      <c r="G1" s="5">
        <v>2000</v>
      </c>
      <c r="H1" s="5">
        <v>2001</v>
      </c>
      <c r="I1" s="5">
        <v>2002</v>
      </c>
      <c r="J1" s="5">
        <v>2003</v>
      </c>
      <c r="K1" s="5">
        <v>2004</v>
      </c>
      <c r="L1" s="5">
        <v>2005</v>
      </c>
      <c r="M1" s="5">
        <v>2006</v>
      </c>
      <c r="N1" s="5">
        <v>2007</v>
      </c>
      <c r="O1" s="5">
        <v>2008</v>
      </c>
      <c r="P1" s="5">
        <v>2009</v>
      </c>
      <c r="Q1" s="5">
        <v>2010</v>
      </c>
      <c r="R1" s="5">
        <v>2011</v>
      </c>
      <c r="S1" s="5">
        <v>2012</v>
      </c>
      <c r="T1" s="5">
        <v>2013</v>
      </c>
      <c r="U1" s="5">
        <v>2014</v>
      </c>
      <c r="V1" s="5">
        <v>2015</v>
      </c>
      <c r="W1" s="5">
        <v>2016</v>
      </c>
      <c r="X1" s="5">
        <v>2017</v>
      </c>
      <c r="Y1" s="5">
        <v>2018</v>
      </c>
      <c r="Z1" s="5">
        <v>2019</v>
      </c>
      <c r="AA1" s="5">
        <v>2020</v>
      </c>
      <c r="AB1" s="5">
        <v>2021</v>
      </c>
      <c r="AC1" s="5">
        <v>2022</v>
      </c>
      <c r="AD1" s="5">
        <v>2023</v>
      </c>
      <c r="AE1" s="5">
        <v>2024</v>
      </c>
    </row>
    <row r="2" spans="2:31">
      <c r="B2" s="3"/>
      <c r="C2" s="4" t="s">
        <v>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>
        <f>W4-V4</f>
        <v>2894</v>
      </c>
      <c r="X2" s="4">
        <f t="shared" ref="X2:AD2" si="0">X4-W4</f>
        <v>4938.5119999999988</v>
      </c>
      <c r="Y2" s="4">
        <f t="shared" si="0"/>
        <v>3865.3880000000026</v>
      </c>
      <c r="Z2" s="4">
        <f t="shared" si="0"/>
        <v>3719.3999999999978</v>
      </c>
      <c r="AA2" s="4">
        <f t="shared" si="0"/>
        <v>3276.7000000000007</v>
      </c>
      <c r="AB2" s="4">
        <f t="shared" si="0"/>
        <v>7939</v>
      </c>
      <c r="AC2" s="4">
        <f t="shared" si="0"/>
        <v>3392.4000000000015</v>
      </c>
      <c r="AD2" s="4">
        <f t="shared" si="0"/>
        <v>4594.5999999999985</v>
      </c>
      <c r="AE2" s="4">
        <f>AE4-AD4</f>
        <v>7002.9999999999927</v>
      </c>
    </row>
    <row r="3" spans="2:31">
      <c r="C3" s="6" t="s">
        <v>3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2:31">
      <c r="B4" s="7" t="s">
        <v>4</v>
      </c>
      <c r="C4" s="8" t="s">
        <v>5</v>
      </c>
      <c r="D4" s="8"/>
      <c r="E4" s="8"/>
      <c r="F4" s="8"/>
      <c r="G4" s="8"/>
      <c r="H4" s="8"/>
      <c r="I4" s="5">
        <v>2418</v>
      </c>
      <c r="J4" s="5">
        <v>3205</v>
      </c>
      <c r="K4" s="5">
        <v>3952</v>
      </c>
      <c r="L4" s="5">
        <v>4278</v>
      </c>
      <c r="M4" s="5">
        <v>4663</v>
      </c>
      <c r="N4" s="5">
        <v>5571</v>
      </c>
      <c r="O4" s="5">
        <v>6106</v>
      </c>
      <c r="P4" s="5">
        <v>6501</v>
      </c>
      <c r="Q4" s="787">
        <v>6164.7000000000007</v>
      </c>
      <c r="R4" s="787">
        <v>7862</v>
      </c>
      <c r="S4" s="787">
        <v>9504</v>
      </c>
      <c r="T4" s="787">
        <v>9952</v>
      </c>
      <c r="U4" s="789">
        <v>10534.656999999999</v>
      </c>
      <c r="V4">
        <f t="shared" ref="V4:AD4" si="1">V5+V8+V15</f>
        <v>12196</v>
      </c>
      <c r="W4">
        <f t="shared" si="1"/>
        <v>15090</v>
      </c>
      <c r="X4">
        <f t="shared" si="1"/>
        <v>20028.511999999999</v>
      </c>
      <c r="Y4">
        <f t="shared" si="1"/>
        <v>23893.9</v>
      </c>
      <c r="Z4">
        <f t="shared" si="1"/>
        <v>27613.3</v>
      </c>
      <c r="AA4">
        <f t="shared" si="1"/>
        <v>30890</v>
      </c>
      <c r="AB4">
        <f t="shared" si="1"/>
        <v>38829</v>
      </c>
      <c r="AC4">
        <f t="shared" si="1"/>
        <v>42221.4</v>
      </c>
      <c r="AD4">
        <f t="shared" si="1"/>
        <v>46816</v>
      </c>
      <c r="AE4">
        <f>AE5+AE8+AE15+AE17</f>
        <v>53818.999999999993</v>
      </c>
    </row>
    <row r="5" spans="2:31">
      <c r="B5" s="9" t="s">
        <v>6</v>
      </c>
      <c r="C5" s="10" t="s">
        <v>7</v>
      </c>
      <c r="D5" s="10"/>
      <c r="E5" s="10"/>
      <c r="F5" s="10"/>
      <c r="G5" s="10"/>
      <c r="H5" s="10"/>
      <c r="I5" s="5"/>
      <c r="J5" s="293"/>
      <c r="K5" s="293"/>
      <c r="L5" s="293"/>
      <c r="M5" s="293"/>
      <c r="N5" s="293"/>
      <c r="O5" s="293"/>
      <c r="P5" s="293"/>
      <c r="Q5" s="793">
        <v>755</v>
      </c>
      <c r="R5" s="794">
        <v>975</v>
      </c>
      <c r="S5" s="794">
        <v>1227</v>
      </c>
      <c r="T5" s="794">
        <v>1117</v>
      </c>
      <c r="U5" s="794">
        <v>1402</v>
      </c>
      <c r="V5">
        <f t="shared" ref="V5:AD5" si="2">V6+V7</f>
        <v>1641</v>
      </c>
      <c r="W5">
        <f t="shared" si="2"/>
        <v>3004</v>
      </c>
      <c r="X5">
        <f t="shared" si="2"/>
        <v>4523.5119999999997</v>
      </c>
      <c r="Y5">
        <f t="shared" si="2"/>
        <v>4685.8999999999996</v>
      </c>
      <c r="Z5">
        <f t="shared" si="2"/>
        <v>4853.3</v>
      </c>
      <c r="AA5">
        <f t="shared" si="2"/>
        <v>4309</v>
      </c>
      <c r="AB5">
        <f t="shared" si="2"/>
        <v>8409</v>
      </c>
      <c r="AC5">
        <f t="shared" si="2"/>
        <v>8890.9</v>
      </c>
      <c r="AD5">
        <f t="shared" si="2"/>
        <v>9373</v>
      </c>
      <c r="AE5">
        <f>AE6+AE7</f>
        <v>13363.1</v>
      </c>
    </row>
    <row r="6" spans="2:31">
      <c r="B6" s="7" t="s">
        <v>8</v>
      </c>
      <c r="C6" s="11" t="s">
        <v>9</v>
      </c>
      <c r="D6" s="11"/>
      <c r="E6" s="11"/>
      <c r="F6" s="11"/>
      <c r="G6" s="11"/>
      <c r="H6" s="11"/>
      <c r="I6" s="5"/>
      <c r="J6"/>
      <c r="K6"/>
      <c r="L6"/>
      <c r="M6"/>
      <c r="N6"/>
      <c r="O6"/>
      <c r="P6"/>
      <c r="Q6" s="788">
        <v>677</v>
      </c>
      <c r="R6" s="789">
        <v>900</v>
      </c>
      <c r="S6" s="789">
        <v>1115</v>
      </c>
      <c r="T6" s="789">
        <v>804</v>
      </c>
      <c r="U6" s="789">
        <v>1175</v>
      </c>
      <c r="V6">
        <v>1438</v>
      </c>
      <c r="W6">
        <v>2782</v>
      </c>
      <c r="X6">
        <v>4225.9859999999999</v>
      </c>
      <c r="Y6">
        <v>4355.2</v>
      </c>
      <c r="Z6">
        <v>4476.7</v>
      </c>
      <c r="AA6">
        <v>3880</v>
      </c>
      <c r="AB6">
        <v>7924</v>
      </c>
      <c r="AC6">
        <v>8309</v>
      </c>
      <c r="AD6">
        <v>8795</v>
      </c>
      <c r="AE6" s="159">
        <v>12653.6</v>
      </c>
    </row>
    <row r="7" spans="2:31">
      <c r="B7" s="7" t="s">
        <v>10</v>
      </c>
      <c r="C7" s="11" t="s">
        <v>11</v>
      </c>
      <c r="D7" s="11"/>
      <c r="E7" s="11"/>
      <c r="F7" s="11"/>
      <c r="G7" s="11"/>
      <c r="H7" s="11"/>
      <c r="I7" s="5"/>
      <c r="J7"/>
      <c r="K7"/>
      <c r="L7"/>
      <c r="M7"/>
      <c r="N7"/>
      <c r="O7"/>
      <c r="P7"/>
      <c r="Q7" s="788">
        <v>78</v>
      </c>
      <c r="R7" s="789">
        <v>75</v>
      </c>
      <c r="S7" s="789">
        <v>112</v>
      </c>
      <c r="T7" s="789">
        <v>313</v>
      </c>
      <c r="U7" s="789">
        <v>227</v>
      </c>
      <c r="V7">
        <v>203</v>
      </c>
      <c r="W7">
        <v>222</v>
      </c>
      <c r="X7">
        <v>297.52600000000001</v>
      </c>
      <c r="Y7">
        <v>330.7</v>
      </c>
      <c r="Z7">
        <v>376.6</v>
      </c>
      <c r="AA7">
        <v>429</v>
      </c>
      <c r="AB7">
        <v>485</v>
      </c>
      <c r="AC7">
        <v>581.9</v>
      </c>
      <c r="AD7">
        <v>578</v>
      </c>
      <c r="AE7" s="159">
        <v>709.5</v>
      </c>
    </row>
    <row r="8" spans="2:31">
      <c r="B8" s="9" t="s">
        <v>12</v>
      </c>
      <c r="C8" s="12" t="s">
        <v>13</v>
      </c>
      <c r="D8" s="12"/>
      <c r="E8" s="12"/>
      <c r="F8" s="12"/>
      <c r="G8" s="12"/>
      <c r="H8" s="12"/>
      <c r="I8" s="5"/>
      <c r="J8" s="293"/>
      <c r="K8" s="293"/>
      <c r="L8" s="293"/>
      <c r="M8" s="293"/>
      <c r="N8" s="293"/>
      <c r="O8" s="293"/>
      <c r="P8" s="293"/>
      <c r="Q8" s="794">
        <v>3959.3</v>
      </c>
      <c r="R8" s="794">
        <v>5428</v>
      </c>
      <c r="S8" s="794">
        <v>6536</v>
      </c>
      <c r="T8" s="794">
        <v>6916</v>
      </c>
      <c r="U8" s="794">
        <v>6959</v>
      </c>
      <c r="V8">
        <v>8006</v>
      </c>
      <c r="W8">
        <v>9368</v>
      </c>
      <c r="X8">
        <v>11776</v>
      </c>
      <c r="Y8">
        <v>13520</v>
      </c>
      <c r="Z8">
        <v>15952</v>
      </c>
      <c r="AA8">
        <v>19054</v>
      </c>
      <c r="AB8">
        <v>22313</v>
      </c>
      <c r="AC8">
        <v>25708.7</v>
      </c>
      <c r="AD8">
        <v>28459.8</v>
      </c>
      <c r="AE8" s="563">
        <v>30275.599999999999</v>
      </c>
    </row>
    <row r="9" spans="2:31">
      <c r="B9" s="7" t="s">
        <v>14</v>
      </c>
      <c r="C9" s="13" t="s">
        <v>15</v>
      </c>
      <c r="I9" s="784">
        <v>432.82199999999995</v>
      </c>
      <c r="J9" s="784">
        <v>493.57</v>
      </c>
      <c r="K9" s="784">
        <v>624.41600000000005</v>
      </c>
      <c r="L9" s="784">
        <v>834.21</v>
      </c>
      <c r="M9" s="784">
        <v>918.61099999999988</v>
      </c>
      <c r="N9" s="784">
        <v>1169.9100000000001</v>
      </c>
      <c r="O9" s="784">
        <v>1263.942</v>
      </c>
      <c r="P9" s="784">
        <v>1358.7089999999998</v>
      </c>
      <c r="Q9" s="789">
        <v>3048</v>
      </c>
      <c r="R9" s="789">
        <v>2442</v>
      </c>
      <c r="S9" s="789">
        <v>3318</v>
      </c>
      <c r="T9" s="789">
        <v>3588</v>
      </c>
      <c r="U9" s="789">
        <v>3266</v>
      </c>
      <c r="V9">
        <v>3482</v>
      </c>
      <c r="W9">
        <v>3690</v>
      </c>
      <c r="X9">
        <v>4304</v>
      </c>
      <c r="Y9">
        <v>4900</v>
      </c>
      <c r="Z9">
        <v>5399</v>
      </c>
      <c r="AA9">
        <v>7089</v>
      </c>
      <c r="AB9">
        <v>7608</v>
      </c>
      <c r="AC9">
        <v>10099</v>
      </c>
      <c r="AD9">
        <v>11610</v>
      </c>
      <c r="AE9" s="159">
        <v>11445.7</v>
      </c>
    </row>
    <row r="10" spans="2:31">
      <c r="B10" s="7" t="s">
        <v>16</v>
      </c>
      <c r="C10" s="13" t="s">
        <v>17</v>
      </c>
      <c r="I10" s="5">
        <v>431.7</v>
      </c>
      <c r="J10" s="5">
        <v>696</v>
      </c>
      <c r="K10" s="5">
        <v>708.9</v>
      </c>
      <c r="L10" s="5">
        <v>751.1</v>
      </c>
      <c r="M10" s="5">
        <v>647.29999999999995</v>
      </c>
      <c r="N10" s="5">
        <v>813.2</v>
      </c>
      <c r="O10" s="5">
        <v>732</v>
      </c>
      <c r="P10" s="5">
        <v>705.3</v>
      </c>
      <c r="Q10" s="785">
        <v>534.29999999999995</v>
      </c>
      <c r="R10" s="789">
        <v>1414</v>
      </c>
      <c r="S10" s="789">
        <v>1533</v>
      </c>
      <c r="T10" s="789">
        <v>1361</v>
      </c>
      <c r="U10" s="790">
        <v>1315</v>
      </c>
      <c r="V10">
        <v>1292</v>
      </c>
      <c r="W10">
        <v>1520</v>
      </c>
      <c r="X10">
        <v>2354</v>
      </c>
      <c r="Y10">
        <v>2479</v>
      </c>
      <c r="Z10">
        <v>2636</v>
      </c>
      <c r="AA10">
        <v>2870</v>
      </c>
      <c r="AB10">
        <v>4096</v>
      </c>
      <c r="AC10">
        <v>4438</v>
      </c>
      <c r="AD10">
        <v>4632</v>
      </c>
      <c r="AE10" s="159">
        <v>4062.5</v>
      </c>
    </row>
    <row r="11" spans="2:31">
      <c r="B11" s="7" t="s">
        <v>18</v>
      </c>
      <c r="C11" s="13" t="s">
        <v>19</v>
      </c>
      <c r="I11" s="5">
        <v>1182</v>
      </c>
      <c r="J11" s="5">
        <v>1430</v>
      </c>
      <c r="K11" s="5">
        <v>1817</v>
      </c>
      <c r="L11" s="5">
        <v>1799</v>
      </c>
      <c r="M11" s="5">
        <v>2092</v>
      </c>
      <c r="N11" s="5">
        <v>2273</v>
      </c>
      <c r="O11" s="5">
        <v>2400</v>
      </c>
      <c r="P11" s="5">
        <v>2510</v>
      </c>
      <c r="Q11" s="784">
        <v>886.5</v>
      </c>
      <c r="R11" s="789">
        <v>786</v>
      </c>
      <c r="S11" s="789">
        <v>835</v>
      </c>
      <c r="T11" s="789">
        <v>1034</v>
      </c>
      <c r="U11" s="789">
        <v>915</v>
      </c>
      <c r="V11">
        <v>1450.2</v>
      </c>
      <c r="W11">
        <v>1850</v>
      </c>
      <c r="X11">
        <v>2187.3000000000002</v>
      </c>
      <c r="Y11">
        <v>2708.4</v>
      </c>
      <c r="Z11">
        <v>3873.5</v>
      </c>
      <c r="AA11">
        <v>4978</v>
      </c>
      <c r="AB11">
        <v>5967</v>
      </c>
      <c r="AC11">
        <v>6025</v>
      </c>
      <c r="AD11">
        <v>6442</v>
      </c>
      <c r="AE11" s="159">
        <v>8090.7</v>
      </c>
    </row>
    <row r="12" spans="2:31">
      <c r="B12" s="7" t="s">
        <v>20</v>
      </c>
      <c r="C12" s="13" t="s">
        <v>21</v>
      </c>
      <c r="I12" s="5"/>
      <c r="J12"/>
      <c r="K12"/>
      <c r="L12"/>
      <c r="M12"/>
      <c r="N12"/>
      <c r="O12"/>
      <c r="P12"/>
      <c r="Q12" s="792">
        <v>700</v>
      </c>
      <c r="R12" s="789">
        <v>727</v>
      </c>
      <c r="S12" s="789">
        <v>681.07800674999999</v>
      </c>
      <c r="T12" s="789">
        <v>880.2</v>
      </c>
      <c r="U12" s="789">
        <v>724</v>
      </c>
      <c r="V12" s="93">
        <f t="shared" ref="V12:AC12" si="3">V11-V13</f>
        <v>1202.6249140757773</v>
      </c>
      <c r="W12" s="93">
        <f t="shared" si="3"/>
        <v>1557.4819066634211</v>
      </c>
      <c r="X12" s="93">
        <f t="shared" si="3"/>
        <v>1932.7978281231178</v>
      </c>
      <c r="Y12" s="93">
        <f t="shared" si="3"/>
        <v>2455.2805561440991</v>
      </c>
      <c r="Z12" s="93">
        <f t="shared" si="3"/>
        <v>3768.9348904590897</v>
      </c>
      <c r="AA12" s="93">
        <f t="shared" si="3"/>
        <v>4883.6226583692442</v>
      </c>
      <c r="AB12" s="93">
        <f t="shared" si="3"/>
        <v>5845.5362102106592</v>
      </c>
      <c r="AC12" s="93">
        <f t="shared" si="3"/>
        <v>5903.6407485913023</v>
      </c>
      <c r="AD12" s="93">
        <f>AD11-AD13</f>
        <v>6319.1214691387268</v>
      </c>
      <c r="AE12" s="564">
        <f>AE11-AE13</f>
        <v>7962.5590458967326</v>
      </c>
    </row>
    <row r="13" spans="2:31">
      <c r="B13" s="7" t="s">
        <v>22</v>
      </c>
      <c r="C13" s="13" t="s">
        <v>23</v>
      </c>
      <c r="I13" s="5"/>
      <c r="J13"/>
      <c r="K13"/>
      <c r="L13"/>
      <c r="M13"/>
      <c r="N13"/>
      <c r="O13"/>
      <c r="P13"/>
      <c r="Q13" s="792">
        <v>100</v>
      </c>
      <c r="R13" s="791">
        <v>92.2</v>
      </c>
      <c r="S13" s="789">
        <v>73.318358957484094</v>
      </c>
      <c r="T13" s="789">
        <v>148.6</v>
      </c>
      <c r="U13" s="789">
        <v>179.1</v>
      </c>
      <c r="V13">
        <v>247.57508592422266</v>
      </c>
      <c r="W13">
        <v>292.51809333657883</v>
      </c>
      <c r="X13">
        <v>254.50217187688233</v>
      </c>
      <c r="Y13">
        <v>253.11944385590118</v>
      </c>
      <c r="Z13">
        <v>104.56510954091017</v>
      </c>
      <c r="AA13">
        <v>94.37734163075595</v>
      </c>
      <c r="AB13">
        <v>121.46378978934069</v>
      </c>
      <c r="AC13">
        <v>121.35925140869799</v>
      </c>
      <c r="AD13">
        <v>122.8785308612733</v>
      </c>
      <c r="AE13" s="159">
        <v>128.14095410326686</v>
      </c>
    </row>
    <row r="14" spans="2:31">
      <c r="B14" s="7" t="s">
        <v>24</v>
      </c>
      <c r="C14" s="13" t="s">
        <v>25</v>
      </c>
      <c r="I14" s="784">
        <f t="shared" ref="I14" si="4">I4-I15-I11-I10-I9</f>
        <v>231.23399999999987</v>
      </c>
      <c r="J14" s="784">
        <v>345.05500000000001</v>
      </c>
      <c r="K14" s="784">
        <v>568.51599999999974</v>
      </c>
      <c r="L14" s="784">
        <v>619.89800000000014</v>
      </c>
      <c r="M14" s="784">
        <v>715.9830000000004</v>
      </c>
      <c r="N14" s="784">
        <v>930.49099999999976</v>
      </c>
      <c r="O14" s="784">
        <v>1062.8220000000001</v>
      </c>
      <c r="P14" s="784">
        <v>1029.8530000000001</v>
      </c>
      <c r="Q14" s="786">
        <v>-509.49999999999977</v>
      </c>
      <c r="R14" s="789">
        <v>786</v>
      </c>
      <c r="S14" s="789">
        <v>850</v>
      </c>
      <c r="T14" s="789">
        <v>933</v>
      </c>
      <c r="U14" s="789">
        <v>1463</v>
      </c>
      <c r="V14">
        <v>1781.8</v>
      </c>
      <c r="W14">
        <v>2308</v>
      </c>
      <c r="X14">
        <v>2930.7</v>
      </c>
      <c r="Y14">
        <v>3432.6</v>
      </c>
      <c r="Z14">
        <v>4043.5</v>
      </c>
      <c r="AA14">
        <v>4117</v>
      </c>
      <c r="AB14">
        <v>4642</v>
      </c>
      <c r="AC14">
        <v>5146.7000000000007</v>
      </c>
      <c r="AD14">
        <v>5775.7999999999993</v>
      </c>
      <c r="AE14" s="159">
        <f>AE8-AE9-AE10-AE11-AE13</f>
        <v>6548.5590458967308</v>
      </c>
    </row>
    <row r="15" spans="2:31">
      <c r="B15" s="9" t="s">
        <v>26</v>
      </c>
      <c r="C15" s="12" t="s">
        <v>27</v>
      </c>
      <c r="D15" s="12"/>
      <c r="E15" s="12"/>
      <c r="F15" s="12"/>
      <c r="G15" s="12"/>
      <c r="H15" s="12"/>
      <c r="I15" s="784">
        <v>140.244</v>
      </c>
      <c r="J15" s="792">
        <v>240.375</v>
      </c>
      <c r="K15" s="792">
        <v>233.16800000000003</v>
      </c>
      <c r="L15" s="792">
        <v>273.79200000000003</v>
      </c>
      <c r="M15" s="792">
        <v>289.10599999999999</v>
      </c>
      <c r="N15" s="792">
        <v>384.399</v>
      </c>
      <c r="O15" s="792">
        <v>647.23599999999999</v>
      </c>
      <c r="P15" s="792">
        <v>897.13800000000003</v>
      </c>
      <c r="Q15" s="794">
        <v>1450.4</v>
      </c>
      <c r="R15" s="794">
        <v>1459</v>
      </c>
      <c r="S15" s="794">
        <v>1741</v>
      </c>
      <c r="T15" s="794">
        <v>1919</v>
      </c>
      <c r="U15" s="794">
        <v>2173.6570000000002</v>
      </c>
      <c r="V15">
        <v>2549</v>
      </c>
      <c r="W15">
        <v>2718</v>
      </c>
      <c r="X15">
        <v>3729</v>
      </c>
      <c r="Y15">
        <v>5688</v>
      </c>
      <c r="Z15">
        <v>6808</v>
      </c>
      <c r="AA15">
        <v>7527</v>
      </c>
      <c r="AB15">
        <v>8107</v>
      </c>
      <c r="AC15">
        <v>7621.8</v>
      </c>
      <c r="AD15">
        <v>8983.2000000000007</v>
      </c>
      <c r="AE15" s="159">
        <v>9872.2000000000007</v>
      </c>
    </row>
    <row r="16" spans="2:31">
      <c r="J16"/>
      <c r="K16"/>
      <c r="L16"/>
      <c r="M16"/>
      <c r="N16"/>
      <c r="O16"/>
      <c r="P16"/>
      <c r="Q16"/>
      <c r="R16" s="784"/>
      <c r="S16" s="784"/>
      <c r="T16" s="784"/>
      <c r="U16" s="784"/>
      <c r="Z16">
        <f>Z4-Y4</f>
        <v>3719.3999999999978</v>
      </c>
      <c r="AA16">
        <f t="shared" ref="AA16:AD16" si="5">AA4-Z4</f>
        <v>3276.7000000000007</v>
      </c>
      <c r="AB16">
        <f t="shared" si="5"/>
        <v>7939</v>
      </c>
      <c r="AC16">
        <f t="shared" si="5"/>
        <v>3392.4000000000015</v>
      </c>
      <c r="AD16">
        <f t="shared" si="5"/>
        <v>4594.5999999999985</v>
      </c>
      <c r="AE16">
        <f>AE4-AD4</f>
        <v>7002.9999999999927</v>
      </c>
    </row>
    <row r="17" spans="1:31" ht="33.75">
      <c r="B17" s="566" t="s">
        <v>1089</v>
      </c>
      <c r="C17" s="567" t="s">
        <v>1090</v>
      </c>
      <c r="D17" s="677"/>
      <c r="E17" s="677"/>
      <c r="F17" s="677"/>
      <c r="G17" s="677"/>
      <c r="H17" s="677"/>
      <c r="I17" s="677"/>
      <c r="J17" s="677"/>
      <c r="K17" s="677"/>
      <c r="L17" s="677"/>
      <c r="M17" s="677"/>
      <c r="N17" s="677"/>
      <c r="O17" s="677"/>
      <c r="P17" s="677"/>
      <c r="Q17" s="677"/>
      <c r="R17" s="677"/>
      <c r="S17" s="677"/>
      <c r="T17" s="677"/>
      <c r="U17" s="677"/>
      <c r="X17" s="159">
        <v>87.1</v>
      </c>
      <c r="Y17" s="159">
        <v>132.5</v>
      </c>
      <c r="Z17" s="159">
        <v>181.6</v>
      </c>
      <c r="AA17" s="159">
        <v>168.5</v>
      </c>
      <c r="AB17" s="159">
        <v>184.6</v>
      </c>
      <c r="AC17" s="159">
        <v>188.4</v>
      </c>
      <c r="AD17" s="159">
        <v>228.8</v>
      </c>
      <c r="AE17" s="159">
        <v>308.10000000000002</v>
      </c>
    </row>
    <row r="18" spans="1:31">
      <c r="A18" s="133" t="s">
        <v>28</v>
      </c>
      <c r="B18" s="7" t="s">
        <v>29</v>
      </c>
      <c r="C18" s="8" t="s">
        <v>30</v>
      </c>
      <c r="D18" s="8"/>
      <c r="E18" s="8"/>
      <c r="F18" s="8"/>
      <c r="G18" s="8"/>
      <c r="H18" s="8"/>
      <c r="I18" s="5">
        <v>108.4</v>
      </c>
      <c r="J18" s="5">
        <v>109.9</v>
      </c>
      <c r="K18" s="5">
        <v>115.1</v>
      </c>
      <c r="L18" s="5">
        <v>110.4</v>
      </c>
      <c r="M18" s="788">
        <v>105.5</v>
      </c>
      <c r="N18" s="788">
        <v>109.9</v>
      </c>
      <c r="O18" s="788">
        <v>96.5</v>
      </c>
      <c r="P18" s="788">
        <v>93.5</v>
      </c>
      <c r="Q18" s="788">
        <v>109.2</v>
      </c>
      <c r="R18" s="118">
        <v>105.7</v>
      </c>
      <c r="S18" s="118">
        <v>110.8</v>
      </c>
      <c r="T18" s="118">
        <v>103.8</v>
      </c>
      <c r="U18" s="118">
        <v>105</v>
      </c>
      <c r="V18" s="118">
        <v>111.3</v>
      </c>
      <c r="W18" s="118">
        <v>116</v>
      </c>
      <c r="X18" s="118">
        <v>121.3</v>
      </c>
      <c r="Y18" s="118">
        <v>110.6</v>
      </c>
      <c r="Z18" s="118">
        <v>113.2</v>
      </c>
      <c r="AA18" s="119">
        <v>108.8</v>
      </c>
      <c r="AB18" s="119">
        <v>120.8</v>
      </c>
      <c r="AC18" s="119">
        <v>115.4</v>
      </c>
      <c r="AD18" s="119">
        <v>112</v>
      </c>
      <c r="AE18" s="568">
        <v>120</v>
      </c>
    </row>
    <row r="19" spans="1:31">
      <c r="A19" s="565" t="s">
        <v>1088</v>
      </c>
      <c r="B19" s="7" t="s">
        <v>31</v>
      </c>
      <c r="C19" s="8" t="s">
        <v>7</v>
      </c>
      <c r="D19" s="8"/>
      <c r="E19" s="8"/>
      <c r="F19" s="8"/>
      <c r="G19" s="8"/>
      <c r="H19" s="8"/>
      <c r="I19"/>
      <c r="J19"/>
      <c r="K19"/>
      <c r="L19"/>
      <c r="M19"/>
      <c r="N19"/>
      <c r="O19"/>
      <c r="P19"/>
      <c r="Q19"/>
      <c r="R19" s="118">
        <v>134.30000000000001</v>
      </c>
      <c r="S19" s="118">
        <v>121.2</v>
      </c>
      <c r="T19" s="118">
        <v>143.1</v>
      </c>
      <c r="U19" s="118">
        <v>124.5</v>
      </c>
      <c r="V19" s="118">
        <v>117.9</v>
      </c>
      <c r="W19" s="120">
        <v>153.30000000000001</v>
      </c>
      <c r="X19" s="120">
        <v>121.7</v>
      </c>
      <c r="Y19" s="118">
        <v>112</v>
      </c>
      <c r="Z19" s="118">
        <v>112.6</v>
      </c>
      <c r="AA19" s="119">
        <v>97.4</v>
      </c>
      <c r="AB19" s="119">
        <v>155.19999999999999</v>
      </c>
      <c r="AC19" s="119">
        <v>97.7</v>
      </c>
      <c r="AD19" s="119">
        <v>111.7</v>
      </c>
      <c r="AE19" s="568">
        <v>143</v>
      </c>
    </row>
    <row r="20" spans="1:31">
      <c r="B20" s="7" t="s">
        <v>32</v>
      </c>
      <c r="C20" s="11" t="s">
        <v>9</v>
      </c>
      <c r="D20" s="11"/>
      <c r="E20" s="11"/>
      <c r="F20" s="11"/>
      <c r="G20" s="11"/>
      <c r="H20" s="11"/>
      <c r="I20"/>
      <c r="J20"/>
      <c r="K20"/>
      <c r="L20"/>
      <c r="M20"/>
      <c r="N20"/>
      <c r="O20"/>
      <c r="P20"/>
      <c r="Q20"/>
      <c r="R20" s="121">
        <v>136.4</v>
      </c>
      <c r="S20" s="121">
        <v>120.6</v>
      </c>
      <c r="T20" s="121">
        <v>122.2</v>
      </c>
      <c r="U20" s="120">
        <v>145.69999999999999</v>
      </c>
      <c r="V20" s="118">
        <v>123</v>
      </c>
      <c r="W20" s="120">
        <v>156.69999999999999</v>
      </c>
      <c r="X20" s="118">
        <v>120.3</v>
      </c>
      <c r="Y20" s="120">
        <v>113</v>
      </c>
      <c r="Z20" s="118">
        <v>113.3</v>
      </c>
      <c r="AA20" s="120">
        <v>96.5</v>
      </c>
      <c r="AB20" s="118">
        <v>160.5</v>
      </c>
      <c r="AC20" s="120">
        <v>117.7</v>
      </c>
      <c r="AD20" s="118">
        <v>113.1</v>
      </c>
      <c r="AE20" s="159">
        <v>145.19999999999999</v>
      </c>
    </row>
    <row r="21" spans="1:31">
      <c r="B21" s="7" t="s">
        <v>33</v>
      </c>
      <c r="C21" s="11" t="s">
        <v>11</v>
      </c>
      <c r="D21" s="11"/>
      <c r="E21" s="11"/>
      <c r="F21" s="11"/>
      <c r="G21" s="11"/>
      <c r="H21" s="11"/>
      <c r="I21"/>
      <c r="J21"/>
      <c r="K21"/>
      <c r="L21"/>
      <c r="M21"/>
      <c r="N21"/>
      <c r="O21"/>
      <c r="P21"/>
      <c r="Q21"/>
      <c r="R21" s="121">
        <v>113.5</v>
      </c>
      <c r="S21" s="121">
        <v>126.9</v>
      </c>
      <c r="T21" s="121">
        <v>255.1</v>
      </c>
      <c r="U21" s="120">
        <v>68.5</v>
      </c>
      <c r="V21" s="118">
        <v>90.9</v>
      </c>
      <c r="W21" s="120">
        <v>119</v>
      </c>
      <c r="X21" s="118">
        <v>137.1</v>
      </c>
      <c r="Y21" s="120">
        <v>108.2</v>
      </c>
      <c r="Z21" s="118">
        <v>103.1</v>
      </c>
      <c r="AA21" s="120">
        <v>103.6</v>
      </c>
      <c r="AB21" s="118">
        <v>106.8</v>
      </c>
      <c r="AC21" s="120">
        <v>100.1</v>
      </c>
      <c r="AD21" s="118">
        <v>99.2</v>
      </c>
      <c r="AE21" s="159">
        <v>116.5</v>
      </c>
    </row>
    <row r="22" spans="1:31">
      <c r="B22" s="7" t="s">
        <v>34</v>
      </c>
      <c r="C22" s="6" t="s">
        <v>13</v>
      </c>
      <c r="D22" s="6"/>
      <c r="E22" s="6"/>
      <c r="F22" s="6"/>
      <c r="G22" s="6"/>
      <c r="H22" s="6"/>
      <c r="I22"/>
      <c r="J22"/>
      <c r="K22"/>
      <c r="L22"/>
      <c r="M22"/>
      <c r="N22"/>
      <c r="O22"/>
      <c r="P22"/>
      <c r="Q22"/>
      <c r="R22" s="118">
        <v>103.3</v>
      </c>
      <c r="S22" s="118">
        <v>110.2</v>
      </c>
      <c r="T22" s="118">
        <v>99</v>
      </c>
      <c r="U22" s="118">
        <v>100.9</v>
      </c>
      <c r="V22" s="118">
        <v>110.1</v>
      </c>
      <c r="W22" s="120">
        <v>112.5</v>
      </c>
      <c r="X22" s="120">
        <v>122.9</v>
      </c>
      <c r="Y22" s="118">
        <v>112.1</v>
      </c>
      <c r="Z22" s="118">
        <v>115.3</v>
      </c>
      <c r="AA22" s="119">
        <v>114.1</v>
      </c>
      <c r="AB22" s="119">
        <v>115.3</v>
      </c>
      <c r="AC22" s="119">
        <v>116.4</v>
      </c>
      <c r="AD22" s="119">
        <v>112.4</v>
      </c>
      <c r="AE22" s="568">
        <v>107.6</v>
      </c>
    </row>
    <row r="23" spans="1:31">
      <c r="B23" s="7" t="s">
        <v>35</v>
      </c>
      <c r="C23" s="13" t="s">
        <v>36</v>
      </c>
      <c r="I23" s="5">
        <v>102.7</v>
      </c>
      <c r="J23" s="5">
        <v>102.9</v>
      </c>
      <c r="K23" s="5">
        <v>117.3</v>
      </c>
      <c r="L23" s="5">
        <v>129.1</v>
      </c>
      <c r="M23" s="5">
        <v>107.1</v>
      </c>
      <c r="N23" s="5">
        <v>121.6</v>
      </c>
      <c r="O23" s="5">
        <v>102.4</v>
      </c>
      <c r="P23" s="5">
        <v>94.4</v>
      </c>
      <c r="Q23" s="5">
        <v>116.1</v>
      </c>
      <c r="R23" s="120">
        <v>102.1</v>
      </c>
      <c r="S23" s="120">
        <v>106.6</v>
      </c>
      <c r="T23" s="120">
        <v>100.8</v>
      </c>
      <c r="U23" s="120">
        <v>92.9</v>
      </c>
      <c r="V23" s="120">
        <v>103.5</v>
      </c>
      <c r="W23" s="120">
        <v>105.4</v>
      </c>
      <c r="X23" s="120">
        <v>115.6</v>
      </c>
      <c r="Y23" s="121">
        <v>117.6</v>
      </c>
      <c r="Z23" s="121">
        <v>107.7</v>
      </c>
      <c r="AA23" s="120">
        <v>125.9</v>
      </c>
      <c r="AB23" s="120">
        <v>103.3</v>
      </c>
      <c r="AC23" s="120">
        <v>132</v>
      </c>
      <c r="AD23" s="120">
        <v>127</v>
      </c>
      <c r="AE23" s="569">
        <v>110</v>
      </c>
    </row>
    <row r="24" spans="1:31">
      <c r="B24" s="7" t="s">
        <v>37</v>
      </c>
      <c r="C24" s="13" t="s">
        <v>38</v>
      </c>
      <c r="I24" s="5">
        <v>124.9</v>
      </c>
      <c r="J24" s="5">
        <v>117.8</v>
      </c>
      <c r="K24" s="5">
        <v>113.2</v>
      </c>
      <c r="L24" s="5">
        <v>111.9</v>
      </c>
      <c r="M24" s="5">
        <v>91.7</v>
      </c>
      <c r="N24" s="5">
        <v>115.3</v>
      </c>
      <c r="O24" s="5">
        <v>86</v>
      </c>
      <c r="P24" s="5">
        <v>91.1</v>
      </c>
      <c r="Q24" s="5">
        <v>113</v>
      </c>
      <c r="R24" s="120">
        <v>116.3</v>
      </c>
      <c r="S24" s="120">
        <v>128.19999999999999</v>
      </c>
      <c r="T24" s="120">
        <v>90.1</v>
      </c>
      <c r="U24" s="120">
        <v>92.9</v>
      </c>
      <c r="V24" s="120">
        <v>94.4</v>
      </c>
      <c r="W24" s="120">
        <v>103.8</v>
      </c>
      <c r="X24" s="122">
        <v>130.9</v>
      </c>
      <c r="Y24" s="121">
        <v>92.1</v>
      </c>
      <c r="Z24" s="121">
        <v>118.8</v>
      </c>
      <c r="AA24" s="120">
        <v>113.5</v>
      </c>
      <c r="AB24" s="120">
        <v>109.5</v>
      </c>
      <c r="AC24" s="120">
        <v>107.3</v>
      </c>
      <c r="AD24" s="120">
        <v>110.4</v>
      </c>
      <c r="AE24" s="569">
        <v>93</v>
      </c>
    </row>
    <row r="25" spans="1:31">
      <c r="B25" s="7" t="s">
        <v>39</v>
      </c>
      <c r="C25" s="13" t="s">
        <v>19</v>
      </c>
      <c r="I25" s="5">
        <v>105.3</v>
      </c>
      <c r="J25" s="5">
        <v>104.1</v>
      </c>
      <c r="K25" s="5">
        <v>114.8</v>
      </c>
      <c r="L25" s="5">
        <v>105.1</v>
      </c>
      <c r="M25" s="5">
        <v>108.6</v>
      </c>
      <c r="N25" s="5">
        <v>101.3</v>
      </c>
      <c r="O25" s="5">
        <v>96.3</v>
      </c>
      <c r="P25" s="5">
        <v>92.4</v>
      </c>
      <c r="Q25" s="807">
        <v>103</v>
      </c>
      <c r="R25" s="120">
        <v>83.6</v>
      </c>
      <c r="S25" s="120">
        <v>102.7</v>
      </c>
      <c r="T25" s="120">
        <v>96</v>
      </c>
      <c r="U25" s="120">
        <v>86.8</v>
      </c>
      <c r="V25" s="120">
        <v>130.30000000000001</v>
      </c>
      <c r="W25" s="120">
        <v>104.7</v>
      </c>
      <c r="X25" s="120">
        <v>109.4</v>
      </c>
      <c r="Y25" s="121">
        <v>110.7</v>
      </c>
      <c r="Z25" s="121">
        <v>142.19999999999999</v>
      </c>
      <c r="AA25" s="120">
        <v>109.4</v>
      </c>
      <c r="AB25" s="120">
        <v>109.4</v>
      </c>
      <c r="AC25" s="120">
        <v>103.4</v>
      </c>
      <c r="AD25" s="120">
        <v>102.7</v>
      </c>
      <c r="AE25" s="569">
        <v>113.5</v>
      </c>
    </row>
    <row r="26" spans="1:31">
      <c r="B26" s="14" t="s">
        <v>40</v>
      </c>
      <c r="C26" s="15" t="s">
        <v>41</v>
      </c>
      <c r="D26" s="15"/>
      <c r="E26" s="15"/>
      <c r="F26" s="15"/>
      <c r="G26" s="15"/>
      <c r="H26" s="15"/>
      <c r="I26"/>
      <c r="J26"/>
      <c r="K26"/>
      <c r="L26"/>
      <c r="M26"/>
      <c r="N26"/>
      <c r="O26"/>
      <c r="P26"/>
      <c r="Q26"/>
      <c r="R26" s="808">
        <v>80.7</v>
      </c>
      <c r="S26" s="808">
        <v>158321.31546212279</v>
      </c>
      <c r="T26" s="808">
        <v>70.080396237607417</v>
      </c>
      <c r="U26" s="120">
        <v>80.599999999999994</v>
      </c>
      <c r="V26" s="93">
        <v>139.49313451949948</v>
      </c>
      <c r="W26" s="93">
        <v>81.716386640055887</v>
      </c>
      <c r="X26" s="93">
        <v>81.734833395878894</v>
      </c>
      <c r="Y26" s="93">
        <v>93.476348610345724</v>
      </c>
      <c r="Z26" s="93">
        <v>102.18957337638392</v>
      </c>
      <c r="AA26" s="93">
        <v>89.702999082303634</v>
      </c>
      <c r="AB26" s="93">
        <v>64.107441578170494</v>
      </c>
      <c r="AC26" s="93">
        <v>101.64246097669658</v>
      </c>
      <c r="AD26" s="93">
        <f>(AC156*AD152/AC152+AD159*AD154/AC154)/(AC156+AC159)*100</f>
        <v>104.39340803608302</v>
      </c>
      <c r="AE26" s="93">
        <f>(AD156*AE152/AD152+AE159*AE154/AD154)/(AD156+AD159)*100</f>
        <v>129.33687329360694</v>
      </c>
    </row>
    <row r="27" spans="1:31">
      <c r="B27" s="7" t="s">
        <v>42</v>
      </c>
      <c r="C27" s="13" t="s">
        <v>23</v>
      </c>
      <c r="I27"/>
      <c r="J27"/>
      <c r="K27"/>
      <c r="L27"/>
      <c r="M27"/>
      <c r="N27"/>
      <c r="O27"/>
      <c r="P27"/>
      <c r="Q27"/>
      <c r="R27" s="808">
        <v>127.9</v>
      </c>
      <c r="S27" s="808">
        <v>72.673904765281421</v>
      </c>
      <c r="T27" s="808">
        <v>79.412844036697251</v>
      </c>
      <c r="U27" s="120">
        <v>115.9</v>
      </c>
      <c r="V27" s="93">
        <v>110.66030230708034</v>
      </c>
      <c r="W27" s="93">
        <v>92.954708842559313</v>
      </c>
      <c r="X27" s="93">
        <v>79.737045630317056</v>
      </c>
      <c r="Y27" s="93">
        <v>92.919495635305523</v>
      </c>
      <c r="Z27" s="93">
        <v>105.15921362657505</v>
      </c>
      <c r="AA27" s="93">
        <v>83.333333333333343</v>
      </c>
      <c r="AB27" s="93">
        <v>72.039498371272302</v>
      </c>
      <c r="AC27" s="93">
        <v>102.47933884297522</v>
      </c>
      <c r="AD27" s="93">
        <f>(AC158*AD153/AC153+AC159*AD154/AC154)/(AC158+AC159)*100</f>
        <v>107.41935483870968</v>
      </c>
      <c r="AE27" s="93">
        <f t="shared" ref="AE27" si="6">(AD158*AE153/AD153+AD159*AE154/AD154)/(AD158+AD159)*100</f>
        <v>123.42342342342346</v>
      </c>
    </row>
    <row r="28" spans="1:31">
      <c r="B28" s="7" t="s">
        <v>43</v>
      </c>
      <c r="C28" s="13" t="s">
        <v>44</v>
      </c>
      <c r="I28"/>
      <c r="J28" s="806"/>
      <c r="K28" s="806"/>
      <c r="L28" s="806"/>
      <c r="M28" s="806"/>
      <c r="N28" s="806"/>
      <c r="O28" s="806"/>
      <c r="P28" s="806"/>
      <c r="Q28" s="806"/>
      <c r="R28" s="809">
        <v>75.477134445534944</v>
      </c>
      <c r="S28" s="809">
        <v>96.503053435114452</v>
      </c>
      <c r="T28" s="809">
        <v>110.97211764705888</v>
      </c>
      <c r="U28" s="809">
        <v>158.96152197213289</v>
      </c>
      <c r="V28" s="93">
        <v>126.31196172248798</v>
      </c>
      <c r="W28" s="93">
        <v>139.03168705803117</v>
      </c>
      <c r="X28" s="93">
        <v>140.12357019064123</v>
      </c>
      <c r="Y28" s="93">
        <v>121.13204695124031</v>
      </c>
      <c r="Z28" s="93">
        <v>102.39652741362235</v>
      </c>
      <c r="AA28" s="93">
        <v>103.23783850624457</v>
      </c>
      <c r="AB28" s="93">
        <v>147.13973767306285</v>
      </c>
      <c r="AC28" s="94">
        <f>(AC22*AB8-SUMPRODUCT(AB9:AB11,AC23:AC25))/AB14</f>
        <v>115.57272727272729</v>
      </c>
      <c r="AD28" s="94">
        <f>(AD22*AC8-SUMPRODUCT(AC9:AC11,AD23:AD25))/AC14</f>
        <v>96.83140264635594</v>
      </c>
      <c r="AE28" s="94">
        <f t="shared" ref="AE28" si="7">(AE22*AD8-SUMPRODUCT(AD9:AD11,AE23:AE25))/AD14</f>
        <v>107.90392326604108</v>
      </c>
    </row>
    <row r="29" spans="1:31" ht="26.25">
      <c r="B29" s="7" t="s">
        <v>45</v>
      </c>
      <c r="C29" s="16" t="s">
        <v>27</v>
      </c>
      <c r="D29" s="16"/>
      <c r="E29" s="16"/>
      <c r="F29" s="16"/>
      <c r="G29" s="16"/>
      <c r="H29" s="16"/>
      <c r="I29" s="5">
        <v>107.6</v>
      </c>
      <c r="J29" s="5">
        <v>106.6</v>
      </c>
      <c r="K29" s="5">
        <v>98.1</v>
      </c>
      <c r="L29" s="5">
        <v>104.4</v>
      </c>
      <c r="M29" s="5">
        <v>105.5</v>
      </c>
      <c r="N29" s="5">
        <v>105.6</v>
      </c>
      <c r="O29" s="5">
        <v>93.4</v>
      </c>
      <c r="P29" s="5">
        <v>97.7</v>
      </c>
      <c r="Q29" s="5">
        <v>104.4</v>
      </c>
      <c r="R29" s="120">
        <v>100.5</v>
      </c>
      <c r="S29" s="120">
        <v>106.4</v>
      </c>
      <c r="T29" s="120">
        <v>105.6</v>
      </c>
      <c r="U29" s="120">
        <v>106.8</v>
      </c>
      <c r="V29" s="93">
        <v>111.5</v>
      </c>
      <c r="W29" s="93">
        <v>103.7</v>
      </c>
      <c r="X29" s="93">
        <v>116.5</v>
      </c>
      <c r="Y29" s="93">
        <v>107.5</v>
      </c>
      <c r="Z29" s="93">
        <v>105.6</v>
      </c>
      <c r="AA29" s="93">
        <v>100.1</v>
      </c>
      <c r="AB29" s="93">
        <v>112.7</v>
      </c>
      <c r="AC29" s="93">
        <v>117.5</v>
      </c>
      <c r="AD29">
        <v>107.1</v>
      </c>
      <c r="AE29" s="159">
        <v>105.7</v>
      </c>
    </row>
    <row r="30" spans="1:31">
      <c r="AE30" s="159">
        <v>134.9</v>
      </c>
    </row>
    <row r="31" spans="1:31">
      <c r="B31" s="14" t="s">
        <v>46</v>
      </c>
      <c r="C31" s="15" t="s">
        <v>41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94">
        <v>139.49313451949948</v>
      </c>
      <c r="W31" s="94">
        <v>81.716386640055887</v>
      </c>
      <c r="X31" s="94">
        <v>81.734833395878894</v>
      </c>
      <c r="Y31" s="94">
        <v>93.476348610345724</v>
      </c>
      <c r="Z31" s="94">
        <v>102.18957337638392</v>
      </c>
      <c r="AA31" s="94">
        <v>89.702999082303634</v>
      </c>
      <c r="AB31" s="94">
        <v>64.107441578170494</v>
      </c>
      <c r="AC31" s="94">
        <v>101.64246097669658</v>
      </c>
      <c r="AD31" s="94">
        <v>104.47370213351539</v>
      </c>
      <c r="AE31" s="94">
        <v>129.0637335101367</v>
      </c>
    </row>
    <row r="32" spans="1:31">
      <c r="C32" s="6" t="s">
        <v>47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94"/>
      <c r="W32" s="94"/>
      <c r="X32" s="94"/>
      <c r="Y32" s="94"/>
      <c r="Z32" s="94"/>
      <c r="AA32" s="94"/>
      <c r="AB32" s="94"/>
      <c r="AC32" s="94"/>
      <c r="AD32" s="94"/>
      <c r="AE32" s="94"/>
    </row>
    <row r="33" spans="2:31">
      <c r="B33" s="7" t="s">
        <v>48</v>
      </c>
      <c r="C33" s="11" t="s">
        <v>30</v>
      </c>
      <c r="D33" s="11"/>
      <c r="E33" s="11"/>
      <c r="F33" s="11"/>
      <c r="G33" s="11"/>
      <c r="H33" s="11"/>
      <c r="I33" s="11"/>
      <c r="J33" s="811">
        <v>120.60742490165131</v>
      </c>
      <c r="K33" s="811">
        <v>107.13061015924565</v>
      </c>
      <c r="L33" s="811">
        <v>98.051619433198368</v>
      </c>
      <c r="M33" s="811">
        <v>103.31709240930672</v>
      </c>
      <c r="N33" s="811">
        <v>108.71013888398338</v>
      </c>
      <c r="O33" s="811">
        <v>113.57855214317669</v>
      </c>
      <c r="P33" s="811">
        <v>113.87063833066799</v>
      </c>
      <c r="Q33" s="811">
        <v>86.837866025683297</v>
      </c>
      <c r="R33" s="812">
        <v>120.65521706666971</v>
      </c>
      <c r="S33" s="812">
        <v>109.10223007529707</v>
      </c>
      <c r="T33" s="812">
        <v>100.88035136204694</v>
      </c>
      <c r="U33" s="812">
        <v>100.81397374062163</v>
      </c>
      <c r="V33">
        <v>114.7</v>
      </c>
      <c r="W33">
        <v>101.7</v>
      </c>
      <c r="X33">
        <v>101.8</v>
      </c>
      <c r="Y33">
        <v>101.1</v>
      </c>
      <c r="Z33">
        <v>105.4</v>
      </c>
      <c r="AA33">
        <v>105.9</v>
      </c>
      <c r="AB33" s="94">
        <f t="shared" ref="AB33:AE33" si="8">AB4/AA4/AB18*10000</f>
        <v>104.05701495801165</v>
      </c>
      <c r="AC33" s="94">
        <f t="shared" si="8"/>
        <v>94.225969592578366</v>
      </c>
      <c r="AD33" s="94">
        <f t="shared" si="8"/>
        <v>99.001927932280793</v>
      </c>
      <c r="AE33" s="94">
        <f t="shared" si="8"/>
        <v>95.798800979722017</v>
      </c>
    </row>
    <row r="34" spans="2:31">
      <c r="B34" s="7" t="s">
        <v>49</v>
      </c>
      <c r="C34" s="11" t="s">
        <v>7</v>
      </c>
      <c r="D34" s="11"/>
      <c r="E34" s="11"/>
      <c r="F34" s="11"/>
      <c r="G34" s="11"/>
      <c r="H34" s="11"/>
      <c r="I34" s="11"/>
      <c r="J34" s="811"/>
      <c r="K34" s="811"/>
      <c r="L34" s="811"/>
      <c r="M34" s="811"/>
      <c r="N34" s="811"/>
      <c r="O34" s="811"/>
      <c r="P34" s="811"/>
      <c r="Q34" s="811"/>
      <c r="R34" s="812">
        <v>96.157165188147516</v>
      </c>
      <c r="S34" s="812">
        <v>103.83346026910384</v>
      </c>
      <c r="T34" s="812">
        <v>63.616383525350024</v>
      </c>
      <c r="U34" s="812">
        <v>100.81507767866451</v>
      </c>
      <c r="V34">
        <v>163.9</v>
      </c>
      <c r="W34">
        <v>84.9</v>
      </c>
      <c r="X34">
        <v>90.1</v>
      </c>
      <c r="Y34">
        <v>100.3</v>
      </c>
      <c r="Z34">
        <v>107.7</v>
      </c>
      <c r="AA34">
        <v>116.7</v>
      </c>
      <c r="AB34" s="94">
        <f t="shared" ref="AB34:AE34" si="9">AB5/AA5/AB19*10000</f>
        <v>125.74077751433707</v>
      </c>
      <c r="AC34" s="94">
        <f t="shared" si="9"/>
        <v>108.21982052908413</v>
      </c>
      <c r="AD34" s="94">
        <f t="shared" si="9"/>
        <v>94.379944657485439</v>
      </c>
      <c r="AE34" s="94">
        <f t="shared" si="9"/>
        <v>99.699404404408142</v>
      </c>
    </row>
    <row r="35" spans="2:31">
      <c r="B35" s="7" t="s">
        <v>50</v>
      </c>
      <c r="C35" s="11" t="s">
        <v>9</v>
      </c>
      <c r="D35" s="11"/>
      <c r="E35" s="11"/>
      <c r="F35" s="11"/>
      <c r="G35" s="11"/>
      <c r="H35" s="11"/>
      <c r="I35" s="11"/>
      <c r="J35" s="811"/>
      <c r="K35" s="811"/>
      <c r="L35" s="811"/>
      <c r="M35" s="811"/>
      <c r="N35" s="811"/>
      <c r="O35" s="811"/>
      <c r="P35" s="811"/>
      <c r="Q35" s="811"/>
      <c r="R35" s="812">
        <v>97.46293159834876</v>
      </c>
      <c r="S35" s="812">
        <v>102.7271052146674</v>
      </c>
      <c r="T35" s="812">
        <v>59.007875055962067</v>
      </c>
      <c r="U35" s="812">
        <v>100.30492697801317</v>
      </c>
      <c r="V35">
        <v>96.8</v>
      </c>
      <c r="W35">
        <v>96.6</v>
      </c>
      <c r="X35">
        <v>103.7</v>
      </c>
      <c r="Y35">
        <v>116</v>
      </c>
      <c r="Z35">
        <v>106.4</v>
      </c>
      <c r="AA35">
        <v>112.3</v>
      </c>
      <c r="AB35" s="94">
        <f t="shared" ref="AB35:AD35" si="10">AB6/AA6/AB20*10000</f>
        <v>127.24411471882327</v>
      </c>
      <c r="AC35" s="94">
        <f t="shared" si="10"/>
        <v>89.089768261526117</v>
      </c>
      <c r="AD35" s="94">
        <f t="shared" si="10"/>
        <v>93.588929541635594</v>
      </c>
      <c r="AE35" s="94">
        <f>AE6/AD6/AE20*10000</f>
        <v>99.08585049419203</v>
      </c>
    </row>
    <row r="36" spans="2:31">
      <c r="B36" s="7" t="s">
        <v>51</v>
      </c>
      <c r="C36" s="11" t="s">
        <v>11</v>
      </c>
      <c r="D36" s="11"/>
      <c r="E36" s="11"/>
      <c r="F36" s="11"/>
      <c r="G36" s="11"/>
      <c r="H36" s="11"/>
      <c r="I36" s="11"/>
      <c r="J36" s="811"/>
      <c r="K36" s="811"/>
      <c r="L36" s="811"/>
      <c r="M36" s="811"/>
      <c r="N36" s="811"/>
      <c r="O36" s="811"/>
      <c r="P36" s="811"/>
      <c r="Q36" s="811"/>
      <c r="R36" s="812">
        <v>84.717045069467972</v>
      </c>
      <c r="S36" s="812">
        <v>117.67796164959286</v>
      </c>
      <c r="T36" s="812">
        <v>109.55087640701126</v>
      </c>
      <c r="U36" s="812">
        <v>105.87439658590051</v>
      </c>
      <c r="V36">
        <v>173.6</v>
      </c>
      <c r="W36">
        <v>83.4</v>
      </c>
      <c r="X36">
        <v>89.2</v>
      </c>
      <c r="Y36">
        <v>99.2</v>
      </c>
      <c r="Z36">
        <v>108.3</v>
      </c>
      <c r="AA36">
        <v>117.5</v>
      </c>
      <c r="AB36" s="94">
        <f t="shared" ref="AB36:AC36" si="11">AB7/AA7/AB21*10000</f>
        <v>105.85544293409463</v>
      </c>
      <c r="AC36" s="94">
        <f t="shared" si="11"/>
        <v>119.85952192137758</v>
      </c>
      <c r="AD36" s="94">
        <v>115</v>
      </c>
      <c r="AE36" s="94">
        <f>AE7/AD7/AE21*10000</f>
        <v>105.36554940077521</v>
      </c>
    </row>
    <row r="37" spans="2:31">
      <c r="B37" s="7" t="s">
        <v>52</v>
      </c>
      <c r="C37" s="11" t="s">
        <v>13</v>
      </c>
      <c r="D37" s="11"/>
      <c r="E37" s="11"/>
      <c r="F37" s="11"/>
      <c r="G37" s="11"/>
      <c r="H37" s="11"/>
      <c r="I37" s="11"/>
      <c r="J37" s="811"/>
      <c r="K37" s="811"/>
      <c r="L37" s="811"/>
      <c r="M37" s="811"/>
      <c r="N37" s="811"/>
      <c r="O37" s="811"/>
      <c r="P37" s="811"/>
      <c r="Q37" s="811"/>
      <c r="R37" s="812">
        <v>132.7153349708893</v>
      </c>
      <c r="S37" s="812">
        <v>109.26740019820598</v>
      </c>
      <c r="T37" s="812">
        <v>106.88278130138596</v>
      </c>
      <c r="U37" s="812">
        <v>99.724228616826807</v>
      </c>
      <c r="V37">
        <v>102.7</v>
      </c>
      <c r="W37">
        <v>102</v>
      </c>
      <c r="X37">
        <v>102.8</v>
      </c>
      <c r="Y37">
        <v>101.5</v>
      </c>
      <c r="Z37">
        <v>104.5</v>
      </c>
      <c r="AA37">
        <v>104.8</v>
      </c>
      <c r="AB37" s="94">
        <f t="shared" ref="AB37:AD37" si="12">AB8/AA8/AB22*10000</f>
        <v>101.5646315292703</v>
      </c>
      <c r="AC37" s="94">
        <f t="shared" si="12"/>
        <v>98.984950600508256</v>
      </c>
      <c r="AD37" s="94">
        <f t="shared" si="12"/>
        <v>98.488475736096461</v>
      </c>
      <c r="AE37" s="94">
        <f>AE8/AD8/AE22*10000</f>
        <v>98.866382480514943</v>
      </c>
    </row>
    <row r="38" spans="2:31">
      <c r="B38" s="7" t="s">
        <v>53</v>
      </c>
      <c r="C38" s="13" t="s">
        <v>15</v>
      </c>
      <c r="J38" s="811">
        <v>136.86169064302578</v>
      </c>
      <c r="K38" s="811">
        <v>89.976544413305717</v>
      </c>
      <c r="L38" s="811">
        <v>94.685330429868372</v>
      </c>
      <c r="M38" s="811">
        <v>93.980664055495765</v>
      </c>
      <c r="N38" s="811">
        <v>108.95883615026941</v>
      </c>
      <c r="O38" s="811">
        <v>104.66832153193239</v>
      </c>
      <c r="P38" s="811">
        <v>105.7655971639884</v>
      </c>
      <c r="Q38" s="806">
        <v>67.039821126765858</v>
      </c>
      <c r="R38" s="812">
        <v>78.470235295024949</v>
      </c>
      <c r="S38" s="812">
        <v>127.45988355744454</v>
      </c>
      <c r="T38" s="812">
        <v>107.27919859927094</v>
      </c>
      <c r="U38" s="812">
        <v>97.982390770334788</v>
      </c>
      <c r="V38" s="94">
        <v>101.1</v>
      </c>
      <c r="W38" s="94">
        <v>100.5</v>
      </c>
      <c r="X38" s="94">
        <v>101.7</v>
      </c>
      <c r="Y38" s="94">
        <v>102.6</v>
      </c>
      <c r="Z38" s="94">
        <v>104.1</v>
      </c>
      <c r="AA38" s="94">
        <v>108.4</v>
      </c>
      <c r="AB38" s="94">
        <v>103.89274139597268</v>
      </c>
      <c r="AC38" s="94">
        <v>100.56200809355384</v>
      </c>
      <c r="AD38" s="94">
        <f>Monetary!AD5</f>
        <v>103.6</v>
      </c>
      <c r="AE38" s="94">
        <f>Monetary!AE5</f>
        <v>102.2</v>
      </c>
    </row>
    <row r="39" spans="2:31">
      <c r="B39" s="7" t="s">
        <v>54</v>
      </c>
      <c r="C39" s="13" t="s">
        <v>17</v>
      </c>
      <c r="J39" s="811">
        <v>110.82150721210527</v>
      </c>
      <c r="K39" s="811">
        <v>107.85176482955291</v>
      </c>
      <c r="L39" s="811">
        <v>103.48445730215488</v>
      </c>
      <c r="M39" s="811">
        <v>102.81743829580915</v>
      </c>
      <c r="N39" s="811">
        <v>104.73389056670173</v>
      </c>
      <c r="O39" s="811">
        <v>105.50541147395953</v>
      </c>
      <c r="P39" s="811">
        <v>113.87471745981476</v>
      </c>
      <c r="Q39" s="806">
        <v>193.22187439812507</v>
      </c>
      <c r="R39" s="812">
        <v>227.55402436694845</v>
      </c>
      <c r="S39" s="812">
        <v>84.567739145209387</v>
      </c>
      <c r="T39" s="812">
        <v>98.535149391883934</v>
      </c>
      <c r="U39" s="812">
        <v>104.00444806856225</v>
      </c>
      <c r="V39">
        <v>120.7</v>
      </c>
      <c r="W39">
        <v>111.6</v>
      </c>
      <c r="X39">
        <v>106.3</v>
      </c>
      <c r="Y39">
        <v>94.2</v>
      </c>
      <c r="Z39">
        <v>99.5</v>
      </c>
      <c r="AA39">
        <v>113.4</v>
      </c>
      <c r="AB39" s="94">
        <f t="shared" ref="AB39:AE40" si="13">AB10/AA10/AB24*10000</f>
        <v>130.33586304551889</v>
      </c>
      <c r="AC39" s="94">
        <f t="shared" si="13"/>
        <v>100.978200722274</v>
      </c>
      <c r="AD39" s="94">
        <f t="shared" si="13"/>
        <v>94.539255834002773</v>
      </c>
      <c r="AE39" s="94">
        <f t="shared" si="13"/>
        <v>94.306553754155274</v>
      </c>
    </row>
    <row r="40" spans="2:31">
      <c r="B40" s="7" t="s">
        <v>55</v>
      </c>
      <c r="C40" s="13" t="s">
        <v>19</v>
      </c>
      <c r="J40" s="811">
        <v>116.21651054644516</v>
      </c>
      <c r="K40" s="811">
        <v>110.68200092590337</v>
      </c>
      <c r="L40" s="811">
        <v>94.204905881496629</v>
      </c>
      <c r="M40" s="811">
        <v>107.07810866892495</v>
      </c>
      <c r="N40" s="811">
        <v>107.25765809297488</v>
      </c>
      <c r="O40" s="811">
        <v>109.64416357264544</v>
      </c>
      <c r="P40" s="811">
        <v>113.18542568542568</v>
      </c>
      <c r="Q40" s="806">
        <v>34.290024368545239</v>
      </c>
      <c r="R40" s="812">
        <v>106.05655810037324</v>
      </c>
      <c r="S40" s="812">
        <v>103.44118470507493</v>
      </c>
      <c r="T40" s="812">
        <v>128.99201596806387</v>
      </c>
      <c r="U40" s="812">
        <v>101.9484976245443</v>
      </c>
      <c r="V40">
        <v>111.4</v>
      </c>
      <c r="W40">
        <v>110.7</v>
      </c>
      <c r="X40">
        <v>105.9</v>
      </c>
      <c r="Y40">
        <v>100.4</v>
      </c>
      <c r="Z40">
        <v>131.30000000000001</v>
      </c>
      <c r="AA40" s="94">
        <v>99</v>
      </c>
      <c r="AB40" s="124">
        <f t="shared" si="13"/>
        <v>109.5680225166234</v>
      </c>
      <c r="AC40" s="124">
        <f t="shared" si="13"/>
        <v>97.651849842087628</v>
      </c>
      <c r="AD40" s="124">
        <f t="shared" si="13"/>
        <v>104.11018678259606</v>
      </c>
      <c r="AE40" s="124">
        <f t="shared" si="13"/>
        <v>110.65461105328878</v>
      </c>
    </row>
    <row r="41" spans="2:31">
      <c r="B41" s="7" t="s">
        <v>56</v>
      </c>
      <c r="C41" s="13" t="s">
        <v>41</v>
      </c>
      <c r="J41"/>
      <c r="K41"/>
      <c r="L41"/>
      <c r="M41"/>
      <c r="N41"/>
      <c r="O41"/>
      <c r="P41"/>
      <c r="Q41"/>
      <c r="R41" s="812">
        <v>128.69534430872719</v>
      </c>
      <c r="S41" s="812">
        <v>5.9172927482075657E-2</v>
      </c>
      <c r="T41" s="812">
        <v>184.4114825023378</v>
      </c>
      <c r="U41" s="812">
        <v>102.05215034029601</v>
      </c>
      <c r="V41">
        <v>119.07999208603211</v>
      </c>
      <c r="W41" s="93">
        <f>W12/V12/W31*10000</f>
        <v>158.48335591486835</v>
      </c>
      <c r="X41" s="93">
        <f t="shared" ref="X41:AC41" si="14">X12/W12/X31*10000</f>
        <v>151.8295263042838</v>
      </c>
      <c r="Y41" s="93">
        <f t="shared" si="14"/>
        <v>135.89796582388814</v>
      </c>
      <c r="Z41" s="93">
        <f t="shared" si="14"/>
        <v>150.21417755913629</v>
      </c>
      <c r="AA41" s="93">
        <f t="shared" si="14"/>
        <v>144.44965264757289</v>
      </c>
      <c r="AB41" s="93">
        <f t="shared" si="14"/>
        <v>186.71267875693596</v>
      </c>
      <c r="AC41" s="93">
        <f t="shared" si="14"/>
        <v>99.362016093866629</v>
      </c>
      <c r="AD41" s="93">
        <f>AD12/AC12/AD31*10000</f>
        <v>102.45420725700276</v>
      </c>
      <c r="AE41" s="114">
        <f>(Assumptions!AE7/Assumptions!AD7)*(Assumptions!AE12/Assumptions!AD12)*100</f>
        <v>106.37114314139946</v>
      </c>
    </row>
    <row r="42" spans="2:31">
      <c r="B42" s="7" t="s">
        <v>57</v>
      </c>
      <c r="C42" s="13" t="s">
        <v>23</v>
      </c>
      <c r="J42"/>
      <c r="K42"/>
      <c r="L42"/>
      <c r="M42"/>
      <c r="N42"/>
      <c r="O42"/>
      <c r="P42"/>
      <c r="Q42"/>
      <c r="R42" s="812">
        <v>72.08756841282252</v>
      </c>
      <c r="S42" s="812">
        <v>109.4216651175194</v>
      </c>
      <c r="T42" s="812">
        <v>255.22036401998329</v>
      </c>
      <c r="U42" s="812">
        <v>103.99042196537833</v>
      </c>
      <c r="V42">
        <v>124.9164116800746</v>
      </c>
      <c r="W42" s="114">
        <f>(Assumptions!W7/Assumptions!V7)*(Assumptions!W12/Assumptions!V12)*100</f>
        <v>122.48757565612476</v>
      </c>
      <c r="X42" s="114">
        <f>(Assumptions!X7/Assumptions!W7)*(Assumptions!X12/Assumptions!W12)*100</f>
        <v>133.83937080986442</v>
      </c>
      <c r="Y42" s="114">
        <f>(Assumptions!Y7/Assumptions!X7)*(Assumptions!Y12/Assumptions!X12)*100</f>
        <v>114.69431465542095</v>
      </c>
      <c r="Z42" s="114">
        <f>(Assumptions!Z7/Assumptions!Y7)*(Assumptions!Z12/Assumptions!Y12)*100</f>
        <v>89.004638833077394</v>
      </c>
      <c r="AA42" s="114">
        <f>(Assumptions!AA7/Assumptions!Z7)*(Assumptions!AA12/Assumptions!Z12)*100</f>
        <v>109.65171187735628</v>
      </c>
      <c r="AB42" s="114">
        <f>(Assumptions!AB7/Assumptions!AA7)*(Assumptions!AB12/Assumptions!AA12)*100</f>
        <v>150.43482431637199</v>
      </c>
      <c r="AC42" s="114">
        <f>(Assumptions!AC7/Assumptions!AB7)*(Assumptions!AC12/Assumptions!AB12)*100</f>
        <v>97.068532866797426</v>
      </c>
      <c r="AD42" s="114">
        <f>(Assumptions!AD7/Assumptions!AC7)*(Assumptions!AD12/Assumptions!AC12)*100</f>
        <v>88.9736319478599</v>
      </c>
      <c r="AE42" s="114">
        <f>(Assumptions!AE7/Assumptions!AD7)*(Assumptions!AE12/Assumptions!AD12)*100</f>
        <v>106.37114314139946</v>
      </c>
    </row>
    <row r="43" spans="2:31">
      <c r="B43" s="7" t="s">
        <v>58</v>
      </c>
      <c r="C43" s="13" t="s">
        <v>44</v>
      </c>
      <c r="J43" s="811"/>
      <c r="K43" s="811"/>
      <c r="L43" s="811"/>
      <c r="M43" s="811"/>
      <c r="N43" s="811"/>
      <c r="O43" s="811"/>
      <c r="P43" s="811"/>
      <c r="Q43" s="810">
        <v>100.91109327271228</v>
      </c>
      <c r="R43" s="812">
        <v>-204.39155805656375</v>
      </c>
      <c r="S43" s="812">
        <v>112.06121442715633</v>
      </c>
      <c r="T43" s="812">
        <v>98.911968348170092</v>
      </c>
      <c r="U43" s="812">
        <v>98.643998999400594</v>
      </c>
      <c r="V43" s="94">
        <v>96.420670756256726</v>
      </c>
      <c r="W43" s="93">
        <f>W14/V14/W28*10000</f>
        <v>93.167202916311084</v>
      </c>
      <c r="X43" s="93">
        <f t="shared" ref="X43:AE43" si="15">X14/W14/X28*10000</f>
        <v>90.620064241391304</v>
      </c>
      <c r="Y43" s="93">
        <f t="shared" si="15"/>
        <v>96.692497435716447</v>
      </c>
      <c r="Z43" s="93">
        <f t="shared" si="15"/>
        <v>115.04003911162172</v>
      </c>
      <c r="AA43" s="93">
        <f t="shared" si="15"/>
        <v>98.624432316617757</v>
      </c>
      <c r="AB43" s="93">
        <f t="shared" si="15"/>
        <v>76.629200017234169</v>
      </c>
      <c r="AC43" s="93">
        <f t="shared" si="15"/>
        <v>95.933072948800771</v>
      </c>
      <c r="AD43" s="93">
        <f t="shared" si="15"/>
        <v>115.89563236921384</v>
      </c>
      <c r="AE43" s="93">
        <f t="shared" si="15"/>
        <v>105.07426624047828</v>
      </c>
    </row>
    <row r="44" spans="2:31">
      <c r="B44" s="7" t="s">
        <v>59</v>
      </c>
      <c r="C44" s="13" t="s">
        <v>60</v>
      </c>
      <c r="J44" s="811">
        <v>160.78584132623749</v>
      </c>
      <c r="K44" s="811">
        <v>98.880497523672616</v>
      </c>
      <c r="L44" s="811">
        <v>112.47378438002571</v>
      </c>
      <c r="M44" s="811">
        <v>100.08843327151588</v>
      </c>
      <c r="N44" s="811">
        <v>125.91029053200369</v>
      </c>
      <c r="O44" s="811">
        <v>180.2741845688723</v>
      </c>
      <c r="P44" s="811">
        <v>141.87374194980873</v>
      </c>
      <c r="Q44" s="806">
        <v>154.85600104458186</v>
      </c>
      <c r="R44" s="812">
        <v>100.09247749119817</v>
      </c>
      <c r="S44" s="812">
        <v>112.15066452972734</v>
      </c>
      <c r="T44" s="812">
        <v>104.37879658155364</v>
      </c>
      <c r="U44" s="812">
        <v>106.05833055215635</v>
      </c>
      <c r="V44" s="94">
        <v>116.5</v>
      </c>
      <c r="W44" s="94">
        <v>115</v>
      </c>
      <c r="X44" s="94">
        <v>115</v>
      </c>
      <c r="Y44" s="94">
        <v>102.5</v>
      </c>
      <c r="Z44" s="94">
        <v>105.7</v>
      </c>
      <c r="AA44" s="94">
        <v>100.2</v>
      </c>
      <c r="AB44" s="94">
        <f t="shared" ref="AB44:AC44" si="16">AB15/AA15/AB29*10000</f>
        <v>95.568405676859953</v>
      </c>
      <c r="AC44" s="94">
        <f t="shared" si="16"/>
        <v>80.012807424106825</v>
      </c>
      <c r="AD44" s="94">
        <f t="shared" ref="AD44:AE44" si="17">AD15/AC15/AD29*10000</f>
        <v>110.04848028061629</v>
      </c>
      <c r="AE44">
        <f t="shared" si="17"/>
        <v>103.96996289425955</v>
      </c>
    </row>
    <row r="45" spans="2:31">
      <c r="AE45" s="159">
        <v>100</v>
      </c>
    </row>
    <row r="48" spans="2:31">
      <c r="C48" s="6" t="s">
        <v>61</v>
      </c>
      <c r="D48" s="6"/>
      <c r="E48" s="6"/>
      <c r="F48" s="6"/>
      <c r="G48" s="6"/>
      <c r="H48" s="6"/>
      <c r="I48" s="6"/>
      <c r="J48" s="811">
        <v>100</v>
      </c>
      <c r="K48" s="811">
        <v>115.1</v>
      </c>
      <c r="L48" s="811">
        <v>127.07040000000001</v>
      </c>
      <c r="M48" s="811">
        <v>134.05927199999999</v>
      </c>
      <c r="N48" s="811">
        <v>147.331139928</v>
      </c>
      <c r="O48" s="813">
        <v>142.17455003052001</v>
      </c>
      <c r="P48" s="813">
        <v>132.93320427853621</v>
      </c>
      <c r="Q48" s="813">
        <v>145.16305907216153</v>
      </c>
      <c r="R48" s="814">
        <v>153.43735343927474</v>
      </c>
      <c r="S48" s="814">
        <v>170.00858761071643</v>
      </c>
      <c r="T48" s="814">
        <v>176.46891393992365</v>
      </c>
      <c r="U48" s="814">
        <v>185.29235963691983</v>
      </c>
    </row>
    <row r="49" spans="2:31" ht="15.75">
      <c r="B49" s="7" t="s">
        <v>62</v>
      </c>
      <c r="C49" s="11" t="s">
        <v>30</v>
      </c>
      <c r="D49" s="11"/>
      <c r="E49" s="11"/>
      <c r="F49" s="11"/>
      <c r="G49" s="11"/>
      <c r="H49" s="11"/>
      <c r="I49" s="11"/>
      <c r="J49" s="811">
        <v>100</v>
      </c>
      <c r="K49" s="811">
        <v>98.1</v>
      </c>
      <c r="L49" s="811">
        <v>102.4164</v>
      </c>
      <c r="M49" s="811">
        <v>108.04930199999998</v>
      </c>
      <c r="N49" s="811">
        <v>114.10006291199997</v>
      </c>
      <c r="O49" s="813">
        <v>106.56945875980799</v>
      </c>
      <c r="P49" s="813">
        <v>104.1183612083324</v>
      </c>
      <c r="Q49" s="813">
        <v>108.69956910149904</v>
      </c>
      <c r="R49" s="814">
        <v>107.3966293319222</v>
      </c>
      <c r="S49" s="814">
        <v>112.26446522232094</v>
      </c>
      <c r="T49" s="814">
        <v>113.19702617415004</v>
      </c>
      <c r="U49" s="814">
        <v>108.94428367751092</v>
      </c>
      <c r="V49" s="94">
        <v>206.23039627589176</v>
      </c>
      <c r="W49" s="94">
        <f t="shared" ref="W49:AE49" si="18">V49*W18/100</f>
        <v>239.22725968003445</v>
      </c>
      <c r="X49" s="94">
        <f t="shared" si="18"/>
        <v>290.18266599188178</v>
      </c>
      <c r="Y49" s="94">
        <f t="shared" si="18"/>
        <v>320.94202858702124</v>
      </c>
      <c r="Z49" s="94">
        <f t="shared" si="18"/>
        <v>363.30637636050807</v>
      </c>
      <c r="AA49" s="94">
        <f t="shared" si="18"/>
        <v>395.27733748023275</v>
      </c>
      <c r="AB49" s="94">
        <f t="shared" si="18"/>
        <v>477.49502367612115</v>
      </c>
      <c r="AC49" s="94">
        <f t="shared" si="18"/>
        <v>551.02925732224389</v>
      </c>
      <c r="AD49" s="94">
        <f t="shared" si="18"/>
        <v>617.1527682009131</v>
      </c>
      <c r="AE49" s="94">
        <f t="shared" si="18"/>
        <v>740.58332184109577</v>
      </c>
    </row>
    <row r="50" spans="2:31" ht="15.75">
      <c r="B50" s="7" t="s">
        <v>63</v>
      </c>
      <c r="C50" s="13" t="s">
        <v>64</v>
      </c>
      <c r="J50" s="811">
        <v>100</v>
      </c>
      <c r="K50" s="811">
        <v>114.8</v>
      </c>
      <c r="L50" s="811">
        <v>120.65479999999999</v>
      </c>
      <c r="M50" s="811">
        <v>131.03111279999999</v>
      </c>
      <c r="N50" s="811">
        <v>132.73451726639999</v>
      </c>
      <c r="O50" s="813">
        <v>127.82334012754318</v>
      </c>
      <c r="P50" s="813">
        <v>118.1087662778499</v>
      </c>
      <c r="Q50" s="813">
        <v>121.65202926618539</v>
      </c>
      <c r="R50" s="812">
        <v>101.70109646653098</v>
      </c>
      <c r="S50" s="812">
        <v>104.44702607112733</v>
      </c>
      <c r="T50" s="812">
        <v>100.26914502828224</v>
      </c>
      <c r="U50" s="812">
        <v>87.033617884548988</v>
      </c>
      <c r="V50" s="94">
        <v>113.50787982475975</v>
      </c>
      <c r="W50" s="94">
        <f>V50*W70/V70</f>
        <v>113.97085334694442</v>
      </c>
      <c r="X50" s="94">
        <f t="shared" ref="X50:AE50" si="19">W50*X70/W70</f>
        <v>120.00273695026461</v>
      </c>
      <c r="Y50" s="94">
        <f t="shared" si="19"/>
        <v>130.57176107099446</v>
      </c>
      <c r="Z50" s="94">
        <f t="shared" si="19"/>
        <v>136.7557645458896</v>
      </c>
      <c r="AA50" s="94">
        <f t="shared" si="19"/>
        <v>130.7635643873281</v>
      </c>
      <c r="AB50" s="94">
        <f t="shared" si="19"/>
        <v>136.40390466902923</v>
      </c>
      <c r="AC50" s="94">
        <f t="shared" si="19"/>
        <v>141.53431268558128</v>
      </c>
      <c r="AD50" s="94">
        <f t="shared" si="19"/>
        <v>144.58332402454027</v>
      </c>
      <c r="AE50" s="94">
        <f t="shared" si="19"/>
        <v>148.33473233572801</v>
      </c>
    </row>
    <row r="51" spans="2:31" ht="15.75">
      <c r="B51" s="7" t="s">
        <v>65</v>
      </c>
      <c r="C51" s="13" t="s">
        <v>66</v>
      </c>
      <c r="J51" s="811">
        <v>100</v>
      </c>
      <c r="K51" s="811">
        <v>113.2</v>
      </c>
      <c r="L51" s="811">
        <v>126.67080000000001</v>
      </c>
      <c r="M51" s="811">
        <v>116.15712360000002</v>
      </c>
      <c r="N51" s="811">
        <v>133.92916351080004</v>
      </c>
      <c r="O51" s="813">
        <v>115.17908061928803</v>
      </c>
      <c r="P51" s="813">
        <v>104.92814244417139</v>
      </c>
      <c r="Q51" s="813">
        <v>118.56880096191365</v>
      </c>
      <c r="R51" s="814">
        <v>137.89551551870557</v>
      </c>
      <c r="S51" s="814">
        <v>176.78205089498053</v>
      </c>
      <c r="T51" s="814">
        <v>159.28062785637746</v>
      </c>
      <c r="U51" s="814">
        <v>147.97170327857467</v>
      </c>
      <c r="V51" s="94">
        <v>113.40480410356734</v>
      </c>
      <c r="W51" s="94">
        <f t="shared" ref="W51:AE51" si="20">V51*W25/100</f>
        <v>118.734829896435</v>
      </c>
      <c r="X51" s="94">
        <f t="shared" si="20"/>
        <v>129.89590390669989</v>
      </c>
      <c r="Y51" s="94">
        <f t="shared" si="20"/>
        <v>143.79476562471677</v>
      </c>
      <c r="Z51" s="94">
        <f t="shared" si="20"/>
        <v>204.47615671834723</v>
      </c>
      <c r="AA51" s="94">
        <f t="shared" si="20"/>
        <v>223.69691544987188</v>
      </c>
      <c r="AB51" s="94">
        <f t="shared" si="20"/>
        <v>244.72442550215987</v>
      </c>
      <c r="AC51" s="94">
        <f t="shared" si="20"/>
        <v>253.04505596923332</v>
      </c>
      <c r="AD51" s="94">
        <f t="shared" si="20"/>
        <v>259.87727248040261</v>
      </c>
      <c r="AE51" s="94">
        <f t="shared" si="20"/>
        <v>294.96070426525699</v>
      </c>
    </row>
    <row r="52" spans="2:31" ht="15.75">
      <c r="B52" s="7" t="s">
        <v>67</v>
      </c>
      <c r="C52" s="13" t="s">
        <v>68</v>
      </c>
      <c r="J52" s="811">
        <v>100</v>
      </c>
      <c r="K52" s="811">
        <v>117.3</v>
      </c>
      <c r="L52" s="811">
        <v>151.43429999999998</v>
      </c>
      <c r="M52" s="811">
        <v>162.18613529999996</v>
      </c>
      <c r="N52" s="811">
        <v>197.21834052479994</v>
      </c>
      <c r="O52" s="813">
        <v>201.95158069739514</v>
      </c>
      <c r="P52" s="813">
        <v>190.64229217834102</v>
      </c>
      <c r="Q52" s="813">
        <v>221.33570121905393</v>
      </c>
      <c r="R52" s="814">
        <v>225.98375094465405</v>
      </c>
      <c r="S52" s="814">
        <v>240.89867850700119</v>
      </c>
      <c r="T52" s="814">
        <v>242.8258679350572</v>
      </c>
      <c r="U52" s="814">
        <v>225.58523131166814</v>
      </c>
      <c r="V52" s="94">
        <v>139.68528789497449</v>
      </c>
      <c r="W52" s="94">
        <f t="shared" ref="W52:AE52" si="21">V52*W24/100</f>
        <v>144.99332883498352</v>
      </c>
      <c r="X52" s="94">
        <f t="shared" si="21"/>
        <v>189.79626744499342</v>
      </c>
      <c r="Y52" s="94">
        <f t="shared" si="21"/>
        <v>174.80236231683892</v>
      </c>
      <c r="Z52" s="94">
        <f t="shared" si="21"/>
        <v>207.66520643240463</v>
      </c>
      <c r="AA52" s="94">
        <f t="shared" si="21"/>
        <v>235.70000930077924</v>
      </c>
      <c r="AB52" s="94">
        <f t="shared" si="21"/>
        <v>258.0915101843533</v>
      </c>
      <c r="AC52" s="94">
        <f t="shared" si="21"/>
        <v>276.93219042781107</v>
      </c>
      <c r="AD52" s="94">
        <f t="shared" si="21"/>
        <v>305.73313823230342</v>
      </c>
      <c r="AE52" s="94">
        <f t="shared" si="21"/>
        <v>284.33181855604215</v>
      </c>
    </row>
    <row r="53" spans="2:31" ht="15.75">
      <c r="B53" s="7" t="s">
        <v>69</v>
      </c>
      <c r="C53" s="13" t="s">
        <v>70</v>
      </c>
      <c r="J53" s="811">
        <v>100</v>
      </c>
      <c r="K53" s="811">
        <v>128.87148860326619</v>
      </c>
      <c r="L53" s="811">
        <v>138.39602544401714</v>
      </c>
      <c r="M53" s="811">
        <v>153.71805535683916</v>
      </c>
      <c r="N53" s="811">
        <v>179.65197791892288</v>
      </c>
      <c r="O53" s="813">
        <v>179.70149978901546</v>
      </c>
      <c r="P53" s="813">
        <v>168.93538782219915</v>
      </c>
      <c r="Q53" s="813">
        <v>197.29380956376605</v>
      </c>
      <c r="R53" s="814">
        <v>148.91171389716138</v>
      </c>
      <c r="S53" s="814">
        <v>143.70435083332239</v>
      </c>
      <c r="T53" s="814">
        <v>159.47176127069676</v>
      </c>
      <c r="U53" s="814">
        <v>253.49873883166595</v>
      </c>
      <c r="V53" s="94">
        <v>233.48071440757653</v>
      </c>
      <c r="W53" s="94">
        <f>V53*W23/100</f>
        <v>246.0886729855857</v>
      </c>
      <c r="X53" s="94">
        <f t="shared" ref="X53:AE53" si="22">W53*X23/100</f>
        <v>284.47850597133709</v>
      </c>
      <c r="Y53" s="94">
        <f t="shared" si="22"/>
        <v>334.54672302229244</v>
      </c>
      <c r="Z53" s="94">
        <f t="shared" si="22"/>
        <v>360.30682069500892</v>
      </c>
      <c r="AA53" s="94">
        <f t="shared" si="22"/>
        <v>453.62628725501628</v>
      </c>
      <c r="AB53" s="94">
        <f t="shared" si="22"/>
        <v>468.59595473443181</v>
      </c>
      <c r="AC53" s="94">
        <f t="shared" si="22"/>
        <v>618.54666024945004</v>
      </c>
      <c r="AD53" s="94">
        <f t="shared" si="22"/>
        <v>785.5542585168015</v>
      </c>
      <c r="AE53" s="94">
        <f t="shared" si="22"/>
        <v>864.10968436848168</v>
      </c>
    </row>
    <row r="54" spans="2:31" ht="15.75">
      <c r="B54" s="7" t="s">
        <v>71</v>
      </c>
      <c r="C54" s="13" t="s">
        <v>72</v>
      </c>
      <c r="V54" s="94">
        <v>320.19922996004368</v>
      </c>
      <c r="W54" s="94">
        <f t="shared" ref="W54:AE54" si="23">V54*W28/100</f>
        <v>445.17839136027351</v>
      </c>
      <c r="X54" s="94">
        <f t="shared" si="23"/>
        <v>623.79985569128041</v>
      </c>
      <c r="Y54" s="94">
        <f t="shared" si="23"/>
        <v>755.6215340777311</v>
      </c>
      <c r="Z54" s="94">
        <f t="shared" si="23"/>
        <v>773.73021128513767</v>
      </c>
      <c r="AA54" s="94">
        <f t="shared" si="23"/>
        <v>798.78234600057533</v>
      </c>
      <c r="AB54" s="94">
        <f t="shared" si="23"/>
        <v>1175.3262484839838</v>
      </c>
      <c r="AC54" s="94">
        <f t="shared" si="23"/>
        <v>1358.3565997251717</v>
      </c>
      <c r="AD54" s="94">
        <f t="shared" si="23"/>
        <v>1315.3157484532305</v>
      </c>
      <c r="AE54" s="94">
        <f t="shared" si="23"/>
        <v>1419.2772959171277</v>
      </c>
    </row>
    <row r="56" spans="2:31">
      <c r="B56" s="17"/>
      <c r="C56" s="18" t="s">
        <v>73</v>
      </c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</row>
    <row r="57" spans="2:31">
      <c r="B57" s="7" t="s">
        <v>74</v>
      </c>
      <c r="C57" s="19" t="s">
        <v>75</v>
      </c>
      <c r="D57" s="19"/>
      <c r="E57" s="19"/>
      <c r="F57" s="19"/>
      <c r="G57" s="19"/>
      <c r="H57" s="816">
        <v>858</v>
      </c>
      <c r="I57" s="816">
        <v>1117.2</v>
      </c>
      <c r="J57" s="816">
        <v>1440.2</v>
      </c>
      <c r="K57" s="816">
        <v>1644.4</v>
      </c>
      <c r="L57" s="816">
        <v>1645.1</v>
      </c>
      <c r="M57" s="816">
        <v>1987</v>
      </c>
      <c r="N57" s="816">
        <v>2349.4</v>
      </c>
      <c r="O57" s="816">
        <v>2515.8000000000002</v>
      </c>
      <c r="P57" s="816">
        <v>2957.4</v>
      </c>
      <c r="Q57" s="816">
        <v>3642.7</v>
      </c>
      <c r="R57" s="819">
        <v>4368.8999999999996</v>
      </c>
      <c r="S57" s="819">
        <v>4947.8</v>
      </c>
      <c r="T57" s="819">
        <v>5103.1000000000004</v>
      </c>
      <c r="U57" s="819">
        <v>5510.9</v>
      </c>
      <c r="V57" s="92">
        <f>GDP!V17</f>
        <v>7726.2999999999993</v>
      </c>
      <c r="W57" s="92">
        <f>GDP!W17</f>
        <v>9266.9</v>
      </c>
      <c r="X57" s="92">
        <f>GDP!X17</f>
        <v>12839.900000000001</v>
      </c>
      <c r="Y57" s="92">
        <f>GDP!Y17</f>
        <v>15031.499999999998</v>
      </c>
      <c r="Z57" s="92">
        <f>GDP!Z17</f>
        <v>16873.8</v>
      </c>
      <c r="AA57" s="92">
        <f>GDP!AA17</f>
        <v>19511.3</v>
      </c>
      <c r="AB57" s="92">
        <f>GDP!AB17</f>
        <v>24139</v>
      </c>
      <c r="AC57" s="92">
        <f>GDP!AC17</f>
        <v>27762</v>
      </c>
      <c r="AD57" s="92">
        <f>GDP!AD17</f>
        <v>29742.7</v>
      </c>
      <c r="AE57" s="92">
        <f>GDP!AE17</f>
        <v>25921</v>
      </c>
    </row>
    <row r="58" spans="2:31">
      <c r="B58" s="7" t="s">
        <v>76</v>
      </c>
      <c r="C58" s="20" t="s">
        <v>77</v>
      </c>
      <c r="D58" s="20"/>
      <c r="E58" s="20"/>
      <c r="F58" s="20"/>
      <c r="G58" s="20"/>
      <c r="H58" s="20"/>
      <c r="I58" s="682"/>
      <c r="J58" s="682"/>
      <c r="K58" s="682"/>
      <c r="L58" s="815">
        <v>106.4</v>
      </c>
      <c r="M58" s="815">
        <v>105.5</v>
      </c>
      <c r="N58" s="815">
        <v>109.9</v>
      </c>
      <c r="O58" s="815">
        <v>96.5</v>
      </c>
      <c r="P58" s="815">
        <v>93.5</v>
      </c>
      <c r="Q58" s="682">
        <v>109.2</v>
      </c>
      <c r="R58" s="172">
        <v>105.7</v>
      </c>
      <c r="S58" s="172">
        <v>110.8</v>
      </c>
      <c r="T58" s="172">
        <v>103.8</v>
      </c>
      <c r="U58" s="172">
        <v>105</v>
      </c>
      <c r="V58">
        <f t="shared" ref="V58:AE58" si="24">V18</f>
        <v>111.3</v>
      </c>
      <c r="W58">
        <f t="shared" si="24"/>
        <v>116</v>
      </c>
      <c r="X58">
        <f t="shared" si="24"/>
        <v>121.3</v>
      </c>
      <c r="Y58">
        <f t="shared" si="24"/>
        <v>110.6</v>
      </c>
      <c r="Z58">
        <f t="shared" si="24"/>
        <v>113.2</v>
      </c>
      <c r="AA58">
        <f t="shared" si="24"/>
        <v>108.8</v>
      </c>
      <c r="AB58">
        <f t="shared" si="24"/>
        <v>120.8</v>
      </c>
      <c r="AC58">
        <f t="shared" si="24"/>
        <v>115.4</v>
      </c>
      <c r="AD58">
        <f t="shared" si="24"/>
        <v>112</v>
      </c>
      <c r="AE58">
        <f t="shared" si="24"/>
        <v>120</v>
      </c>
    </row>
    <row r="59" spans="2:31">
      <c r="B59" s="7" t="s">
        <v>78</v>
      </c>
      <c r="C59" s="20" t="s">
        <v>79</v>
      </c>
      <c r="D59" s="20"/>
      <c r="E59" s="20"/>
      <c r="F59" s="20"/>
      <c r="G59" s="20"/>
      <c r="H59" s="20"/>
      <c r="I59" s="682"/>
      <c r="J59" s="682"/>
      <c r="K59" s="682"/>
      <c r="L59" s="821">
        <v>94.024970599693077</v>
      </c>
      <c r="M59" s="821">
        <v>114.48619064341872</v>
      </c>
      <c r="N59" s="821">
        <v>107.5873981608389</v>
      </c>
      <c r="O59" s="821">
        <v>110.96648642735816</v>
      </c>
      <c r="P59" s="821">
        <v>125.72520281446923</v>
      </c>
      <c r="Q59" s="821">
        <v>112.79522082930481</v>
      </c>
      <c r="R59" s="338">
        <v>113.46808130068926</v>
      </c>
      <c r="S59" s="338">
        <v>102.21161998910418</v>
      </c>
      <c r="T59" s="338">
        <v>99.362975670236196</v>
      </c>
      <c r="U59" s="338">
        <v>102.84878192620543</v>
      </c>
      <c r="V59" s="94">
        <v>125.96615476602548</v>
      </c>
      <c r="W59" s="94">
        <f t="shared" ref="W59:AE59" si="25">W57/V57/W58*10000</f>
        <v>103.39628148728015</v>
      </c>
      <c r="X59" s="94">
        <f t="shared" si="25"/>
        <v>114.22636694774907</v>
      </c>
      <c r="Y59" s="94">
        <f t="shared" si="25"/>
        <v>105.84870593047239</v>
      </c>
      <c r="Z59" s="94">
        <f t="shared" si="25"/>
        <v>99.166309054871704</v>
      </c>
      <c r="AA59" s="94">
        <f t="shared" si="25"/>
        <v>106.27825473253696</v>
      </c>
      <c r="AB59" s="94">
        <f t="shared" si="25"/>
        <v>102.4156047728226</v>
      </c>
      <c r="AC59" s="94">
        <f t="shared" si="25"/>
        <v>99.661097702266389</v>
      </c>
      <c r="AD59" s="94">
        <f t="shared" si="25"/>
        <v>95.655868247450272</v>
      </c>
      <c r="AE59" s="94">
        <f t="shared" si="25"/>
        <v>72.625663888393902</v>
      </c>
    </row>
    <row r="60" spans="2:31">
      <c r="I60"/>
      <c r="J60"/>
      <c r="K60"/>
      <c r="L60"/>
      <c r="M60"/>
      <c r="N60"/>
      <c r="O60"/>
      <c r="P60"/>
      <c r="Q60"/>
      <c r="R60"/>
      <c r="S60"/>
      <c r="T60"/>
      <c r="U60"/>
      <c r="V60" s="93">
        <f>V23</f>
        <v>103.5</v>
      </c>
      <c r="W60">
        <f t="shared" ref="W60:Z60" si="26">W23</f>
        <v>105.4</v>
      </c>
      <c r="X60">
        <f t="shared" si="26"/>
        <v>115.6</v>
      </c>
      <c r="Y60">
        <f t="shared" si="26"/>
        <v>117.6</v>
      </c>
      <c r="Z60">
        <f t="shared" si="26"/>
        <v>107.7</v>
      </c>
      <c r="AA60">
        <f t="shared" ref="AA60:AE60" si="27">AA23</f>
        <v>125.9</v>
      </c>
      <c r="AB60">
        <f t="shared" si="27"/>
        <v>103.3</v>
      </c>
      <c r="AC60">
        <f t="shared" si="27"/>
        <v>132</v>
      </c>
      <c r="AD60">
        <f t="shared" si="27"/>
        <v>127</v>
      </c>
      <c r="AE60">
        <f t="shared" si="27"/>
        <v>110</v>
      </c>
    </row>
    <row r="61" spans="2:31">
      <c r="B61" s="7" t="s">
        <v>74</v>
      </c>
      <c r="C61" s="13" t="s">
        <v>80</v>
      </c>
      <c r="I61" s="817">
        <v>0.46203473945409429</v>
      </c>
      <c r="J61" s="818">
        <v>0.44936037441497662</v>
      </c>
      <c r="K61" s="818">
        <v>0.41609311740890692</v>
      </c>
      <c r="L61" s="818">
        <v>0.38454885460495558</v>
      </c>
      <c r="M61" s="818">
        <v>0.4261205232682822</v>
      </c>
      <c r="N61" s="818">
        <v>0.42171961945790704</v>
      </c>
      <c r="O61" s="818">
        <v>0.41202096298722574</v>
      </c>
      <c r="P61" s="818">
        <v>0.45491462851868947</v>
      </c>
      <c r="Q61" s="818">
        <v>0.59089655619900394</v>
      </c>
      <c r="R61" s="818">
        <v>0.55569829559908412</v>
      </c>
      <c r="S61" s="818">
        <v>0.52060185185185182</v>
      </c>
      <c r="T61" s="818">
        <v>0.51277130225080392</v>
      </c>
      <c r="U61" s="818">
        <v>0.52312097109568922</v>
      </c>
      <c r="V61" s="94">
        <v>0.63351098720892085</v>
      </c>
      <c r="W61" s="94">
        <f t="shared" ref="W61:AB61" si="28">W57/W4</f>
        <v>0.61410868124585816</v>
      </c>
      <c r="X61" s="94">
        <f t="shared" si="28"/>
        <v>0.64108107481973708</v>
      </c>
      <c r="Y61" s="94">
        <f t="shared" si="28"/>
        <v>0.62909361803640251</v>
      </c>
      <c r="Z61" s="94">
        <f t="shared" si="28"/>
        <v>0.61107509786950487</v>
      </c>
      <c r="AA61" s="94">
        <f t="shared" si="28"/>
        <v>0.63163807057300092</v>
      </c>
      <c r="AB61" s="94">
        <f t="shared" si="28"/>
        <v>0.62167452162043835</v>
      </c>
      <c r="AC61" s="94">
        <f>AC57/AC4</f>
        <v>0.65753385723827251</v>
      </c>
      <c r="AD61" s="160">
        <v>0.66</v>
      </c>
      <c r="AE61" s="602">
        <v>0.48170720377561832</v>
      </c>
    </row>
    <row r="62" spans="2:31">
      <c r="B62" s="5" t="s">
        <v>81</v>
      </c>
      <c r="C62" s="13" t="s">
        <v>82</v>
      </c>
      <c r="I62" s="806">
        <v>100</v>
      </c>
      <c r="J62" s="806">
        <v>107.09888838091189</v>
      </c>
      <c r="K62" s="806">
        <v>130.07160667731736</v>
      </c>
      <c r="L62" s="806">
        <v>136.02792167343677</v>
      </c>
      <c r="M62" s="806">
        <v>141.62091237397479</v>
      </c>
      <c r="N62" s="806">
        <v>132.88356651683176</v>
      </c>
      <c r="O62" s="806">
        <v>119.74356045098777</v>
      </c>
      <c r="P62" s="806">
        <v>123.7827997328411</v>
      </c>
      <c r="Q62" s="806">
        <v>150.54185598571596</v>
      </c>
      <c r="R62" s="806">
        <v>153.72023843339915</v>
      </c>
      <c r="S62" s="806">
        <v>153.30900444625237</v>
      </c>
      <c r="T62" s="806">
        <v>150.59744283805509</v>
      </c>
      <c r="U62" s="806">
        <v>154.59844201930289</v>
      </c>
      <c r="V62" s="94">
        <v>168.41258636908313</v>
      </c>
      <c r="W62" s="94">
        <f>V62*W163/V163*(Household!W2/Household!V2)/(W33/100)</f>
        <v>209.34672431732358</v>
      </c>
      <c r="X62" s="94">
        <f>W62*X163/W163*(Household!X2/Household!W2)/(X33/100)</f>
        <v>225.41969608709948</v>
      </c>
      <c r="Y62" s="94">
        <f>X62*Y163/X163*(Household!Y2/Household!X2)/(Y33/100)</f>
        <v>244.85867265189793</v>
      </c>
      <c r="Z62" s="94">
        <f>Y62*Z163/Y163*(Household!Z2/Household!Y2)/(Z33/100)</f>
        <v>242.71490396679437</v>
      </c>
      <c r="AA62" s="94">
        <f>Z62*AA163/Z163*(Household!AA2/Household!Z2)/(AA33/100)</f>
        <v>241.10825942606544</v>
      </c>
      <c r="AB62" s="94">
        <f>AA62*AB163/AA163*(Household!AB2/Household!AA2)/(AB33/100)</f>
        <v>253.95128483509038</v>
      </c>
      <c r="AC62" s="94">
        <f>AB62*AC163/AB163*(Household!AC2/Household!AB2)/(AC33/100)</f>
        <v>322.34493962827361</v>
      </c>
      <c r="AD62" s="94">
        <f>AC62*AD163/AC163*(Household!AD2/Household!AC2)/(AD33/100)</f>
        <v>313.587240837629</v>
      </c>
      <c r="AE62" s="94">
        <f>AD62*AE163/AD163*(Household!AE2/Household!AD2)/(AE33/100)</f>
        <v>294.33778590980035</v>
      </c>
    </row>
    <row r="63" spans="2:31">
      <c r="I63" s="806"/>
      <c r="J63" s="806"/>
      <c r="K63" s="806"/>
      <c r="L63" s="806"/>
      <c r="M63" s="806"/>
      <c r="N63" s="806"/>
      <c r="O63" s="806"/>
      <c r="P63" s="806"/>
      <c r="Q63" s="806"/>
      <c r="R63" s="806"/>
      <c r="S63" s="806"/>
      <c r="T63" s="806"/>
      <c r="U63" s="806"/>
      <c r="AD63" s="46">
        <f>AD57/AD4</f>
        <v>0.6353105775803144</v>
      </c>
      <c r="AE63" s="46">
        <f t="shared" ref="AE63" si="29">AE57/AE4</f>
        <v>0.48163288058120746</v>
      </c>
    </row>
    <row r="64" spans="2:31">
      <c r="C64" s="21" t="s">
        <v>83</v>
      </c>
      <c r="D64" s="21"/>
      <c r="E64" s="21"/>
      <c r="F64" s="21"/>
      <c r="G64" s="21"/>
      <c r="H64" s="21"/>
      <c r="I64"/>
      <c r="J64"/>
      <c r="K64"/>
      <c r="L64"/>
      <c r="M64"/>
      <c r="N64"/>
      <c r="O64"/>
      <c r="P64"/>
      <c r="Q64"/>
      <c r="R64"/>
      <c r="S64"/>
      <c r="T64"/>
      <c r="U64"/>
    </row>
    <row r="65" spans="2:31">
      <c r="B65" s="7" t="s">
        <v>84</v>
      </c>
      <c r="C65" s="13" t="s">
        <v>85</v>
      </c>
      <c r="I65"/>
      <c r="J65" s="817">
        <v>0.34399916364650124</v>
      </c>
      <c r="K65" s="817">
        <v>0.33410883407351921</v>
      </c>
      <c r="L65" s="817">
        <v>0.37588879376379936</v>
      </c>
      <c r="M65" s="817">
        <v>0.33616738637195342</v>
      </c>
      <c r="N65" s="817">
        <v>0.33678104669238301</v>
      </c>
      <c r="O65" s="817">
        <v>0.2688323124042879</v>
      </c>
      <c r="P65" s="817">
        <v>0.24411746739013257</v>
      </c>
      <c r="Q65" s="817">
        <v>0.50138176075799445</v>
      </c>
      <c r="R65" s="818">
        <v>0.32886674298027069</v>
      </c>
      <c r="S65" s="818">
        <v>0.36809815950920249</v>
      </c>
      <c r="T65" s="818">
        <v>2.7353815659068386</v>
      </c>
      <c r="U65" s="818">
        <v>0.2546807133555315</v>
      </c>
      <c r="V65">
        <f>V9/Household!V9</f>
        <v>0.24218059912225182</v>
      </c>
      <c r="W65">
        <f>W9/Household!W9</f>
        <v>0.22824695206814005</v>
      </c>
      <c r="X65">
        <f>X9/Household!X9</f>
        <v>0.23346641208123589</v>
      </c>
      <c r="Y65">
        <f>Y9/Household!Y9</f>
        <v>0.23926131730445269</v>
      </c>
      <c r="Z65">
        <f>Z9/Household!Z9</f>
        <v>0.21640753077363989</v>
      </c>
      <c r="AA65">
        <f>AA9/Household!AA9</f>
        <v>0.26231461472425327</v>
      </c>
      <c r="AB65">
        <f>AB9/Household!AB9</f>
        <v>0.22874667388265008</v>
      </c>
      <c r="AC65">
        <f>AC9/Household!AC9</f>
        <v>0.25511415594323278</v>
      </c>
      <c r="AD65">
        <f>AD9/Household!AD9</f>
        <v>0.24421282906153702</v>
      </c>
      <c r="AE65" s="85">
        <f>AE9/Household!AE9</f>
        <v>0.20562492140200853</v>
      </c>
    </row>
    <row r="66" spans="2:31">
      <c r="B66" s="7" t="s">
        <v>86</v>
      </c>
      <c r="C66" s="13" t="s">
        <v>87</v>
      </c>
      <c r="I66"/>
      <c r="J66" s="820">
        <v>0.44554790926910537</v>
      </c>
      <c r="K66" s="820">
        <v>0.44375902167679449</v>
      </c>
      <c r="L66" s="820">
        <v>0.3832512915319618</v>
      </c>
      <c r="M66" s="820">
        <v>0.40775745736480667</v>
      </c>
      <c r="N66" s="820">
        <v>0.40187863064521229</v>
      </c>
      <c r="O66" s="820">
        <v>0.44942061972522945</v>
      </c>
      <c r="P66" s="820">
        <v>0.3654630675215067</v>
      </c>
      <c r="Q66" s="820">
        <v>-0.23084661343985619</v>
      </c>
      <c r="R66" s="820">
        <v>0.2283079540552318</v>
      </c>
      <c r="S66" s="820">
        <v>0.18457947016102619</v>
      </c>
      <c r="T66" s="820">
        <v>0.18642913244281462</v>
      </c>
      <c r="U66" s="820">
        <v>0.26606517145436059</v>
      </c>
      <c r="V66" s="94">
        <f>V14/(V9+V10+V14-(V186+V187+V188)*Assumptions!V11)</f>
        <v>0.29392050880414655</v>
      </c>
      <c r="W66" s="94">
        <f>W14/(W9+W10+W14-(W186+W187+W188)*Assumptions!W11)</f>
        <v>0.32363117544161002</v>
      </c>
      <c r="X66" s="94">
        <f>X14/(X9+X10+X14-(X186+X187+X188)*Assumptions!X11)</f>
        <v>0.32141141582457972</v>
      </c>
      <c r="Y66" s="94">
        <f>Y14/(Y9+Y10+Y14-(Y186+Y187+Y188)*Assumptions!Y11)</f>
        <v>0.34006178690650168</v>
      </c>
      <c r="Z66" s="94">
        <f>Z14/(Z9+Z10+Z14-(Z186+Z187+Z188)*Assumptions!Z11)</f>
        <v>0.35311480706840914</v>
      </c>
      <c r="AA66" s="94">
        <f>AA14/(AA9+AA10+AA14-(AA186+AA187+AA188)*Assumptions!AA11)</f>
        <v>0.30576747115373193</v>
      </c>
      <c r="AB66" s="94">
        <f>AB14/(AB9+AB10+AB14-(AB186+AB187+AB188)*Assumptions!AB11)</f>
        <v>0.30686263038521772</v>
      </c>
      <c r="AC66" s="94">
        <f>AC14/(AC9+AC10+AC14-(AC186+AC187+AC188)*Assumptions!AC11)</f>
        <v>0.29457890561592731</v>
      </c>
      <c r="AD66" s="94">
        <f>AD14/(AD9+AD10+AD14-(AD186+AD187+AD188)*Assumptions!AD11)</f>
        <v>0.28442002847253373</v>
      </c>
      <c r="AE66" s="94">
        <f>AE14/(AE9+AE10+AE14-(AE186+AE187+AE188)*Assumptions!AE11)</f>
        <v>0.3157252936231284</v>
      </c>
    </row>
    <row r="67" spans="2:31">
      <c r="I67"/>
      <c r="J67" s="817"/>
      <c r="K67" s="817"/>
      <c r="L67" s="817"/>
      <c r="M67" s="817"/>
      <c r="N67" s="817"/>
      <c r="O67" s="817"/>
      <c r="P67" s="817"/>
      <c r="Q67"/>
      <c r="R67" s="5">
        <v>3513.7300500000001</v>
      </c>
      <c r="S67" s="5">
        <v>3808.2862779999996</v>
      </c>
      <c r="T67"/>
      <c r="U67"/>
    </row>
    <row r="68" spans="2:31">
      <c r="B68" s="22"/>
      <c r="C68" s="23" t="s">
        <v>88</v>
      </c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</row>
    <row r="69" spans="2:31">
      <c r="B69" s="24"/>
      <c r="C69" s="25" t="s">
        <v>64</v>
      </c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</row>
    <row r="70" spans="2:31">
      <c r="B70" s="7" t="s">
        <v>89</v>
      </c>
      <c r="C70" s="26" t="s">
        <v>90</v>
      </c>
      <c r="D70" s="26"/>
      <c r="E70" s="26"/>
      <c r="F70" s="26"/>
      <c r="G70" s="823">
        <v>14300</v>
      </c>
      <c r="H70" s="823">
        <v>14400</v>
      </c>
      <c r="I70" s="823">
        <v>15300</v>
      </c>
      <c r="J70" s="823">
        <v>16509</v>
      </c>
      <c r="K70" s="823">
        <v>16491</v>
      </c>
      <c r="L70" s="823">
        <v>17090</v>
      </c>
      <c r="M70" s="823">
        <v>16935</v>
      </c>
      <c r="N70" s="823">
        <v>17494</v>
      </c>
      <c r="O70" s="97">
        <v>16147</v>
      </c>
      <c r="P70" s="97">
        <v>16117</v>
      </c>
      <c r="Q70" s="370">
        <v>16435</v>
      </c>
      <c r="R70" s="97">
        <v>16238</v>
      </c>
      <c r="S70" s="97">
        <v>16974</v>
      </c>
      <c r="T70" s="97">
        <v>17115</v>
      </c>
      <c r="U70" s="97">
        <v>16472</v>
      </c>
      <c r="V70">
        <v>17162</v>
      </c>
      <c r="W70">
        <v>17232</v>
      </c>
      <c r="X70">
        <v>18144</v>
      </c>
      <c r="Y70">
        <v>19742</v>
      </c>
      <c r="Z70">
        <v>20677</v>
      </c>
      <c r="AA70">
        <v>19771</v>
      </c>
      <c r="AB70">
        <v>20623.8</v>
      </c>
      <c r="AC70">
        <v>21399.5</v>
      </c>
      <c r="AD70">
        <v>21860.5</v>
      </c>
      <c r="AE70" s="652">
        <v>22427.7</v>
      </c>
    </row>
    <row r="71" spans="2:31">
      <c r="B71" s="7" t="s">
        <v>91</v>
      </c>
      <c r="C71" s="27" t="s">
        <v>92</v>
      </c>
      <c r="D71" s="27"/>
      <c r="E71" s="27"/>
      <c r="F71" s="27"/>
      <c r="G71" s="172">
        <v>5242.3999999999996</v>
      </c>
      <c r="H71" s="172">
        <v>5396.4</v>
      </c>
      <c r="I71" s="172">
        <v>4659.3999999999996</v>
      </c>
      <c r="J71" s="172">
        <v>4617.6000000000004</v>
      </c>
      <c r="K71" s="172">
        <v>4807.3</v>
      </c>
      <c r="L71" s="172">
        <v>4505.5</v>
      </c>
      <c r="M71" s="172">
        <v>4839.6000000000004</v>
      </c>
      <c r="N71" s="172">
        <v>4552</v>
      </c>
      <c r="O71" s="172">
        <v>6404</v>
      </c>
      <c r="P71" s="172">
        <v>6003</v>
      </c>
      <c r="Q71" s="172">
        <v>432</v>
      </c>
      <c r="R71" s="172">
        <v>172</v>
      </c>
      <c r="S71" s="172">
        <v>114</v>
      </c>
      <c r="T71" s="172">
        <v>117</v>
      </c>
      <c r="U71" s="172">
        <v>52</v>
      </c>
      <c r="V71" s="92">
        <f>Trade!V60</f>
        <v>63</v>
      </c>
      <c r="W71" s="92">
        <f>Trade!W60</f>
        <v>103</v>
      </c>
      <c r="X71" s="92">
        <f>Trade!X60</f>
        <v>110</v>
      </c>
      <c r="Y71" s="92">
        <f>Trade!Y60</f>
        <v>559.70000000000005</v>
      </c>
      <c r="Z71" s="92">
        <f>Trade!Z60</f>
        <v>294.39999999999998</v>
      </c>
      <c r="AA71" s="92">
        <f>Trade!AA60</f>
        <v>378.7</v>
      </c>
      <c r="AB71" s="92">
        <f>Trade!AB60</f>
        <v>883.4</v>
      </c>
      <c r="AC71" s="92">
        <f>Trade!AC60</f>
        <v>797.3</v>
      </c>
      <c r="AD71" s="92">
        <f>Trade!AD60</f>
        <v>797.3</v>
      </c>
      <c r="AE71" s="92">
        <f>Trade!AE60</f>
        <v>1617.7919999999999</v>
      </c>
    </row>
    <row r="72" spans="2:31">
      <c r="B72" s="28" t="s">
        <v>93</v>
      </c>
      <c r="C72" s="26" t="s">
        <v>94</v>
      </c>
      <c r="D72" s="26"/>
      <c r="E72" s="26"/>
      <c r="F72" s="26"/>
      <c r="G72" s="665">
        <v>19542.400000000001</v>
      </c>
      <c r="H72" s="665">
        <v>19796.400000000001</v>
      </c>
      <c r="I72" s="665">
        <v>19959.400000000001</v>
      </c>
      <c r="J72" s="665">
        <v>21126.6</v>
      </c>
      <c r="K72" s="665">
        <v>21298.3</v>
      </c>
      <c r="L72" s="665">
        <v>21595.5</v>
      </c>
      <c r="M72" s="665">
        <v>21774.6</v>
      </c>
      <c r="N72" s="665">
        <v>22046</v>
      </c>
      <c r="O72" s="370">
        <v>22551</v>
      </c>
      <c r="P72" s="370">
        <v>22120</v>
      </c>
      <c r="Q72" s="370">
        <v>16867</v>
      </c>
      <c r="R72" s="370">
        <v>16410</v>
      </c>
      <c r="S72" s="370">
        <v>17088</v>
      </c>
      <c r="T72" s="370">
        <v>17232</v>
      </c>
      <c r="U72" s="370">
        <v>16524</v>
      </c>
      <c r="V72" s="92">
        <f t="shared" ref="V72:AE72" si="30">V70+V71</f>
        <v>17225</v>
      </c>
      <c r="W72" s="92">
        <f t="shared" si="30"/>
        <v>17335</v>
      </c>
      <c r="X72" s="92">
        <f t="shared" si="30"/>
        <v>18254</v>
      </c>
      <c r="Y72" s="92">
        <f t="shared" si="30"/>
        <v>20301.7</v>
      </c>
      <c r="Z72" s="92">
        <f t="shared" si="30"/>
        <v>20971.400000000001</v>
      </c>
      <c r="AA72" s="92">
        <f t="shared" si="30"/>
        <v>20149.7</v>
      </c>
      <c r="AB72" s="92">
        <f t="shared" si="30"/>
        <v>21507.200000000001</v>
      </c>
      <c r="AC72" s="92">
        <f t="shared" si="30"/>
        <v>22196.799999999999</v>
      </c>
      <c r="AD72" s="92">
        <f t="shared" si="30"/>
        <v>22657.8</v>
      </c>
      <c r="AE72" s="92">
        <f t="shared" si="30"/>
        <v>24045.492000000002</v>
      </c>
    </row>
    <row r="73" spans="2:31">
      <c r="B73" s="7" t="s">
        <v>95</v>
      </c>
      <c r="C73" s="27" t="s">
        <v>96</v>
      </c>
      <c r="D73" s="27"/>
      <c r="E73" s="27"/>
      <c r="F73" s="27"/>
      <c r="G73" s="828">
        <v>3908.7</v>
      </c>
      <c r="H73" s="828">
        <v>4047</v>
      </c>
      <c r="I73" s="828">
        <v>3831.2</v>
      </c>
      <c r="J73" s="828">
        <v>4597.2</v>
      </c>
      <c r="K73" s="828">
        <v>4451</v>
      </c>
      <c r="L73" s="828">
        <v>4257.8999999999996</v>
      </c>
      <c r="M73" s="828">
        <v>4231.2</v>
      </c>
      <c r="N73" s="828">
        <v>4464</v>
      </c>
      <c r="O73" s="828">
        <v>5539</v>
      </c>
      <c r="P73" s="828">
        <v>5960</v>
      </c>
      <c r="Q73" s="828">
        <v>286</v>
      </c>
      <c r="R73" s="828">
        <v>297</v>
      </c>
      <c r="S73" s="828">
        <v>775</v>
      </c>
      <c r="T73" s="828">
        <v>1061</v>
      </c>
      <c r="U73" s="828">
        <v>1364</v>
      </c>
      <c r="V73" s="167">
        <f>Trade!V19</f>
        <v>1396</v>
      </c>
      <c r="W73" s="167">
        <f>Trade!W19</f>
        <v>1428</v>
      </c>
      <c r="X73" s="167">
        <f>Trade!X19</f>
        <v>1421</v>
      </c>
      <c r="Y73" s="167">
        <f>Trade!Y19</f>
        <v>2945</v>
      </c>
      <c r="Z73" s="167">
        <f>Trade!Z19</f>
        <v>3175</v>
      </c>
      <c r="AA73" s="167">
        <f>Trade!AA19</f>
        <v>1870.3</v>
      </c>
      <c r="AB73" s="167">
        <f>Trade!AB19</f>
        <v>3302.6</v>
      </c>
      <c r="AC73" s="167">
        <f>Trade!AC19</f>
        <v>3341</v>
      </c>
      <c r="AD73" s="167">
        <f>Trade!AD19</f>
        <v>3606.6</v>
      </c>
      <c r="AE73" s="167">
        <f>Trade!AE19</f>
        <v>3901.7</v>
      </c>
    </row>
    <row r="74" spans="2:31">
      <c r="B74" s="7" t="s">
        <v>97</v>
      </c>
      <c r="C74" s="26" t="s">
        <v>98</v>
      </c>
      <c r="D74" s="26"/>
      <c r="E74" s="26"/>
      <c r="F74" s="26"/>
      <c r="G74" s="824">
        <v>15633.7</v>
      </c>
      <c r="H74" s="824">
        <v>15749.400000000001</v>
      </c>
      <c r="I74" s="824">
        <v>16128.2</v>
      </c>
      <c r="J74" s="824">
        <v>16529.399999999998</v>
      </c>
      <c r="K74" s="824">
        <v>16847.3</v>
      </c>
      <c r="L74" s="824">
        <v>17337.599999999999</v>
      </c>
      <c r="M74" s="824">
        <v>17543.399999999998</v>
      </c>
      <c r="N74" s="824">
        <v>17582</v>
      </c>
      <c r="O74" s="829">
        <v>17012</v>
      </c>
      <c r="P74" s="829">
        <v>16160</v>
      </c>
      <c r="Q74" s="829">
        <v>16581</v>
      </c>
      <c r="R74" s="829">
        <v>16113</v>
      </c>
      <c r="S74" s="829">
        <v>16313</v>
      </c>
      <c r="T74" s="829">
        <v>16171</v>
      </c>
      <c r="U74" s="829">
        <v>15160</v>
      </c>
      <c r="V74" s="92">
        <f>V72-V73</f>
        <v>15829</v>
      </c>
      <c r="W74" s="92">
        <f t="shared" ref="W74:AE74" si="31">W72-W73</f>
        <v>15907</v>
      </c>
      <c r="X74" s="92">
        <f t="shared" si="31"/>
        <v>16833</v>
      </c>
      <c r="Y74" s="92">
        <f t="shared" si="31"/>
        <v>17356.7</v>
      </c>
      <c r="Z74" s="92">
        <f t="shared" si="31"/>
        <v>17796.400000000001</v>
      </c>
      <c r="AA74" s="92">
        <f t="shared" si="31"/>
        <v>18279.400000000001</v>
      </c>
      <c r="AB74" s="92">
        <f t="shared" si="31"/>
        <v>18204.600000000002</v>
      </c>
      <c r="AC74" s="92">
        <f t="shared" si="31"/>
        <v>18855.8</v>
      </c>
      <c r="AD74" s="92">
        <f t="shared" si="31"/>
        <v>19051.2</v>
      </c>
      <c r="AE74" s="92">
        <f t="shared" si="31"/>
        <v>20143.792000000001</v>
      </c>
    </row>
    <row r="75" spans="2:31">
      <c r="B75" s="29"/>
      <c r="C75" s="27" t="s">
        <v>99</v>
      </c>
      <c r="D75" s="27"/>
      <c r="E75" s="27"/>
      <c r="F75" s="27"/>
      <c r="G75" s="682"/>
      <c r="H75" s="682"/>
      <c r="I75" s="682"/>
      <c r="J75" s="682"/>
      <c r="K75" s="682"/>
      <c r="L75" s="815"/>
      <c r="M75" s="815"/>
      <c r="N75" s="825"/>
      <c r="O75" s="825"/>
      <c r="P75" s="815"/>
      <c r="Q75" s="825"/>
      <c r="R75" s="827" t="s">
        <v>1109</v>
      </c>
      <c r="S75" s="353"/>
      <c r="T75" s="353"/>
      <c r="U75" s="353"/>
    </row>
    <row r="76" spans="2:31" ht="15.75">
      <c r="B76" s="7" t="s">
        <v>100</v>
      </c>
      <c r="C76" s="27" t="s">
        <v>101</v>
      </c>
      <c r="D76" s="27"/>
      <c r="E76" s="27"/>
      <c r="F76" s="27"/>
      <c r="G76" s="378">
        <v>5800</v>
      </c>
      <c r="H76" s="378">
        <v>6100</v>
      </c>
      <c r="I76" s="378">
        <v>6202</v>
      </c>
      <c r="J76" s="378">
        <v>6675</v>
      </c>
      <c r="K76" s="378">
        <v>7031</v>
      </c>
      <c r="L76" s="378">
        <v>7533</v>
      </c>
      <c r="M76" s="378">
        <v>8080</v>
      </c>
      <c r="N76" s="378">
        <v>8060</v>
      </c>
      <c r="O76" s="368">
        <v>7802</v>
      </c>
      <c r="P76" s="368">
        <v>7007</v>
      </c>
      <c r="Q76" s="368">
        <v>7344</v>
      </c>
      <c r="R76" s="368">
        <v>6335</v>
      </c>
      <c r="S76" s="368">
        <v>6150</v>
      </c>
      <c r="T76" s="368">
        <v>5251</v>
      </c>
      <c r="U76" s="368">
        <v>3935</v>
      </c>
      <c r="V76">
        <v>4242</v>
      </c>
      <c r="W76">
        <v>4114</v>
      </c>
      <c r="X76">
        <v>3790</v>
      </c>
      <c r="Y76">
        <v>3783</v>
      </c>
      <c r="Z76">
        <v>3990</v>
      </c>
      <c r="AA76">
        <v>2744</v>
      </c>
      <c r="AB76">
        <v>3934</v>
      </c>
      <c r="AC76" s="171">
        <f t="shared" ref="AC76:AE76" si="32">AB76*AC102/AB102</f>
        <v>2545.6427858579846</v>
      </c>
      <c r="AD76" s="171">
        <f t="shared" si="32"/>
        <v>2613.1512809831706</v>
      </c>
      <c r="AE76" s="171">
        <f t="shared" si="32"/>
        <v>2959.5910668194024</v>
      </c>
    </row>
    <row r="77" spans="2:31" ht="15.75">
      <c r="B77" s="7" t="s">
        <v>102</v>
      </c>
      <c r="C77" s="27" t="s">
        <v>103</v>
      </c>
      <c r="D77" s="27"/>
      <c r="E77" s="27"/>
      <c r="F77" s="27"/>
      <c r="G77" s="378">
        <v>20</v>
      </c>
      <c r="H77" s="378">
        <v>20</v>
      </c>
      <c r="I77" s="378">
        <v>30</v>
      </c>
      <c r="J77" s="378">
        <v>23</v>
      </c>
      <c r="K77" s="378">
        <v>21</v>
      </c>
      <c r="L77" s="378">
        <v>19</v>
      </c>
      <c r="M77" s="378">
        <v>25</v>
      </c>
      <c r="N77" s="378">
        <v>28</v>
      </c>
      <c r="O77" s="368">
        <v>59</v>
      </c>
      <c r="P77" s="368">
        <v>46</v>
      </c>
      <c r="Q77" s="368">
        <v>90</v>
      </c>
      <c r="R77" s="368">
        <v>115</v>
      </c>
      <c r="S77" s="368">
        <v>194</v>
      </c>
      <c r="T77" s="368">
        <v>245</v>
      </c>
      <c r="U77" s="368">
        <v>122</v>
      </c>
      <c r="V77">
        <v>45</v>
      </c>
      <c r="W77">
        <v>67</v>
      </c>
      <c r="X77">
        <v>227</v>
      </c>
      <c r="Y77">
        <v>39</v>
      </c>
      <c r="Z77">
        <v>46</v>
      </c>
      <c r="AA77">
        <v>57</v>
      </c>
      <c r="AB77">
        <v>43</v>
      </c>
      <c r="AC77">
        <f>AB77*GDP!AC52/GDP!AB52</f>
        <v>47.902000000000001</v>
      </c>
      <c r="AD77">
        <f>AC77*GDP!AD52/GDP!AC52</f>
        <v>53.793946000000005</v>
      </c>
      <c r="AE77">
        <f>AD77*GDP!AE52/GDP!AD52</f>
        <v>42.868843712949626</v>
      </c>
    </row>
    <row r="78" spans="2:31" ht="15.75">
      <c r="B78" s="7" t="s">
        <v>104</v>
      </c>
      <c r="C78" s="27" t="s">
        <v>105</v>
      </c>
      <c r="D78" s="27"/>
      <c r="E78" s="27"/>
      <c r="F78" s="27"/>
      <c r="G78" s="378">
        <v>4300</v>
      </c>
      <c r="H78" s="378">
        <v>4500</v>
      </c>
      <c r="I78" s="378">
        <v>4200</v>
      </c>
      <c r="J78" s="378">
        <v>4257</v>
      </c>
      <c r="K78" s="378">
        <v>4309</v>
      </c>
      <c r="L78" s="378">
        <v>3919</v>
      </c>
      <c r="M78" s="378">
        <v>3908</v>
      </c>
      <c r="N78" s="368">
        <v>3612</v>
      </c>
      <c r="O78" s="368">
        <v>3144</v>
      </c>
      <c r="P78" s="368">
        <v>3722</v>
      </c>
      <c r="Q78" s="368">
        <v>3593</v>
      </c>
      <c r="R78" s="368">
        <v>3742</v>
      </c>
      <c r="S78" s="368">
        <v>3832</v>
      </c>
      <c r="T78" s="368">
        <v>2600</v>
      </c>
      <c r="U78" s="368">
        <v>2328</v>
      </c>
      <c r="V78">
        <v>2496</v>
      </c>
      <c r="W78">
        <v>2807</v>
      </c>
      <c r="X78">
        <v>2754</v>
      </c>
      <c r="Y78">
        <v>2241</v>
      </c>
      <c r="Z78">
        <v>2338</v>
      </c>
      <c r="AA78">
        <v>2619</v>
      </c>
      <c r="AB78">
        <v>2086</v>
      </c>
      <c r="AC78">
        <f t="shared" ref="AC78:AE78" si="33">AC137</f>
        <v>2812.0430553893384</v>
      </c>
      <c r="AD78">
        <f t="shared" si="33"/>
        <v>3155.1123081468377</v>
      </c>
      <c r="AE78">
        <f t="shared" si="33"/>
        <v>3489.554212810403</v>
      </c>
    </row>
    <row r="79" spans="2:31" ht="15.75">
      <c r="B79" s="7" t="s">
        <v>106</v>
      </c>
      <c r="C79" s="27" t="s">
        <v>107</v>
      </c>
      <c r="D79" s="27"/>
      <c r="E79" s="27"/>
      <c r="F79" s="27"/>
      <c r="G79" s="378">
        <v>40</v>
      </c>
      <c r="H79" s="378">
        <v>30</v>
      </c>
      <c r="I79" s="378">
        <v>20</v>
      </c>
      <c r="J79" s="378">
        <v>23</v>
      </c>
      <c r="K79" s="378">
        <v>38</v>
      </c>
      <c r="L79" s="378">
        <v>24</v>
      </c>
      <c r="M79" s="378">
        <v>44</v>
      </c>
      <c r="N79" s="368">
        <v>52</v>
      </c>
      <c r="O79" s="368">
        <v>44</v>
      </c>
      <c r="P79" s="368">
        <v>41</v>
      </c>
      <c r="Q79" s="368">
        <v>30</v>
      </c>
      <c r="R79" s="368">
        <v>161</v>
      </c>
      <c r="S79" s="368">
        <v>37</v>
      </c>
      <c r="T79" s="368">
        <v>38</v>
      </c>
      <c r="U79" s="368">
        <v>41</v>
      </c>
      <c r="V79">
        <v>45</v>
      </c>
      <c r="W79">
        <v>35</v>
      </c>
      <c r="X79">
        <v>30</v>
      </c>
      <c r="Y79">
        <v>7</v>
      </c>
      <c r="Z79">
        <v>8</v>
      </c>
      <c r="AA79">
        <v>8</v>
      </c>
      <c r="AB79">
        <v>9</v>
      </c>
      <c r="AC79" s="93">
        <f>AB79*(GDP!AC55/GDP!AB55)</f>
        <v>8.64</v>
      </c>
      <c r="AD79" s="93">
        <f>AC79*(GDP!AD55/GDP!AC55)</f>
        <v>10.514880000000002</v>
      </c>
      <c r="AE79" s="93">
        <f>AD79*(GDP!AE55/GDP!AD55)</f>
        <v>18.396869204892063</v>
      </c>
    </row>
    <row r="80" spans="2:31" ht="15.75">
      <c r="B80" s="7" t="s">
        <v>108</v>
      </c>
      <c r="C80" s="27" t="s">
        <v>109</v>
      </c>
      <c r="D80" s="27"/>
      <c r="E80" s="27"/>
      <c r="F80" s="27"/>
      <c r="G80" s="378">
        <v>2800</v>
      </c>
      <c r="H80" s="378">
        <v>2500</v>
      </c>
      <c r="I80" s="378">
        <v>2900</v>
      </c>
      <c r="J80" s="378">
        <v>2700</v>
      </c>
      <c r="K80" s="378">
        <v>2600</v>
      </c>
      <c r="L80" s="378">
        <v>2700</v>
      </c>
      <c r="M80" s="378">
        <v>2600</v>
      </c>
      <c r="N80" s="378">
        <v>2400</v>
      </c>
      <c r="O80" s="368">
        <v>2400</v>
      </c>
      <c r="P80" s="368">
        <v>2700</v>
      </c>
      <c r="Q80" s="368">
        <v>3031</v>
      </c>
      <c r="R80" s="368">
        <v>3046</v>
      </c>
      <c r="S80" s="368">
        <v>3061</v>
      </c>
      <c r="T80" s="97">
        <v>4503</v>
      </c>
      <c r="U80" s="97">
        <v>4692</v>
      </c>
      <c r="V80">
        <v>4914</v>
      </c>
      <c r="W80">
        <v>4845</v>
      </c>
      <c r="X80">
        <v>5424</v>
      </c>
      <c r="Y80">
        <v>5579</v>
      </c>
      <c r="Z80">
        <v>6019</v>
      </c>
      <c r="AA80">
        <v>6857</v>
      </c>
      <c r="AB80">
        <v>5410</v>
      </c>
      <c r="AC80" s="171">
        <f t="shared" ref="AC80:AE80" si="34">AB80*1.02</f>
        <v>5518.2</v>
      </c>
      <c r="AD80" s="171">
        <f t="shared" si="34"/>
        <v>5628.5640000000003</v>
      </c>
      <c r="AE80" s="171">
        <f t="shared" si="34"/>
        <v>5741.1352800000004</v>
      </c>
    </row>
    <row r="81" spans="2:31">
      <c r="B81" s="7" t="s">
        <v>110</v>
      </c>
      <c r="C81" s="27" t="s">
        <v>111</v>
      </c>
      <c r="D81" s="27"/>
      <c r="E81" s="27"/>
      <c r="F81" s="27"/>
      <c r="G81" s="378">
        <v>2200</v>
      </c>
      <c r="H81" s="378">
        <v>2200</v>
      </c>
      <c r="I81" s="378">
        <v>2300</v>
      </c>
      <c r="J81" s="378">
        <v>2527</v>
      </c>
      <c r="K81" s="378">
        <v>2455</v>
      </c>
      <c r="L81" s="378">
        <v>2746</v>
      </c>
      <c r="M81" s="378">
        <v>2745</v>
      </c>
      <c r="N81" s="368">
        <v>2954</v>
      </c>
      <c r="O81" s="368">
        <v>2985</v>
      </c>
      <c r="P81" s="369">
        <v>2099</v>
      </c>
      <c r="Q81" s="368">
        <v>2330</v>
      </c>
      <c r="R81" s="368">
        <v>2271</v>
      </c>
      <c r="S81" s="368">
        <v>2445</v>
      </c>
      <c r="T81" s="368">
        <v>2528</v>
      </c>
      <c r="U81" s="368">
        <v>2804</v>
      </c>
      <c r="V81">
        <v>2670</v>
      </c>
      <c r="W81">
        <v>2746</v>
      </c>
      <c r="X81">
        <v>2884</v>
      </c>
      <c r="Y81">
        <v>2878</v>
      </c>
      <c r="Z81">
        <v>2429</v>
      </c>
      <c r="AA81">
        <v>2549</v>
      </c>
      <c r="AB81">
        <v>4897.3</v>
      </c>
      <c r="AC81">
        <v>4760.7</v>
      </c>
      <c r="AD81">
        <v>4642.8</v>
      </c>
      <c r="AE81">
        <v>6196.2191359999997</v>
      </c>
    </row>
    <row r="82" spans="2:31" ht="15.75">
      <c r="B82" s="7" t="s">
        <v>112</v>
      </c>
      <c r="C82" s="30" t="s">
        <v>72</v>
      </c>
      <c r="D82" s="30"/>
      <c r="E82" s="30"/>
      <c r="F82" s="30"/>
      <c r="G82" s="378">
        <v>473.70000000000073</v>
      </c>
      <c r="H82" s="378">
        <v>399.40000000000146</v>
      </c>
      <c r="I82" s="378">
        <v>476.20000000000073</v>
      </c>
      <c r="J82" s="378">
        <v>324.39999999999782</v>
      </c>
      <c r="K82" s="378">
        <v>393.29999999999927</v>
      </c>
      <c r="L82" s="378">
        <v>396.59999999999854</v>
      </c>
      <c r="M82" s="378">
        <v>141.39999999999782</v>
      </c>
      <c r="N82" s="378">
        <v>476</v>
      </c>
      <c r="O82" s="368">
        <v>578</v>
      </c>
      <c r="P82" s="368">
        <v>545</v>
      </c>
      <c r="Q82" s="368">
        <v>163</v>
      </c>
      <c r="R82" s="368">
        <v>443</v>
      </c>
      <c r="S82" s="368">
        <v>594</v>
      </c>
      <c r="T82" s="368">
        <v>1006</v>
      </c>
      <c r="U82" s="368">
        <v>1238</v>
      </c>
      <c r="V82">
        <v>1417</v>
      </c>
      <c r="W82">
        <v>1293</v>
      </c>
      <c r="X82">
        <v>1724</v>
      </c>
      <c r="Y82">
        <v>2625</v>
      </c>
      <c r="Z82">
        <v>2740</v>
      </c>
      <c r="AA82">
        <v>3445.7000000000007</v>
      </c>
      <c r="AB82">
        <v>1820.5</v>
      </c>
      <c r="AC82">
        <f t="shared" ref="AC82:AD82" si="35">AC74-SUM(AC76:AC81)</f>
        <v>3162.6721587526772</v>
      </c>
      <c r="AD82">
        <f t="shared" si="35"/>
        <v>2947.2635848699938</v>
      </c>
      <c r="AE82" s="190">
        <f t="shared" ref="AE82" si="36">AE74-SUM(AE76:AE80)</f>
        <v>7892.2457274523549</v>
      </c>
    </row>
    <row r="83" spans="2:31" ht="15.75">
      <c r="B83" s="7" t="s">
        <v>113</v>
      </c>
      <c r="C83" s="31" t="s">
        <v>114</v>
      </c>
      <c r="D83" s="31"/>
      <c r="E83" s="31"/>
      <c r="F83" s="31"/>
      <c r="G83" s="822">
        <v>0.12685672109973245</v>
      </c>
      <c r="H83" s="822">
        <v>0.12502557341274351</v>
      </c>
      <c r="I83" s="822">
        <v>0.13024225058609012</v>
      </c>
      <c r="J83" s="822">
        <v>0.13586313684165252</v>
      </c>
      <c r="K83" s="822">
        <v>0.13028503499917743</v>
      </c>
      <c r="L83" s="822">
        <v>0.14568025677073662</v>
      </c>
      <c r="M83" s="822">
        <v>0.14424895951570185</v>
      </c>
      <c r="N83" s="822">
        <v>0.15472449193379426</v>
      </c>
      <c r="O83" s="383">
        <v>0.15256056424409689</v>
      </c>
      <c r="P83" s="383">
        <v>0.10483991808600969</v>
      </c>
      <c r="Q83" s="383">
        <v>0.16028066313544748</v>
      </c>
      <c r="R83" s="383">
        <v>0.16061956291109697</v>
      </c>
      <c r="S83" s="383">
        <v>0.16697398074165129</v>
      </c>
      <c r="T83" s="383">
        <v>0.17192600652883569</v>
      </c>
      <c r="U83" s="383">
        <v>0.20437317784256559</v>
      </c>
      <c r="V83" s="242">
        <v>0.18344211611130196</v>
      </c>
      <c r="W83" s="242">
        <v>0.18822400438686682</v>
      </c>
      <c r="X83" s="242">
        <v>0.18763825634352635</v>
      </c>
      <c r="Y83" s="242">
        <v>0.16518395224702978</v>
      </c>
      <c r="Z83" s="242">
        <v>0.13109180204004534</v>
      </c>
      <c r="AA83" s="242">
        <v>0.14482131697062667</v>
      </c>
      <c r="AB83" s="242">
        <v>0.29484933321292034</v>
      </c>
      <c r="AC83" s="383">
        <f t="shared" ref="AC83:AD83" si="37">AC81/(AC72-AC81)</f>
        <v>0.27303697501161384</v>
      </c>
      <c r="AD83" s="383">
        <f t="shared" si="37"/>
        <v>0.2577185678601166</v>
      </c>
      <c r="AE83" s="383">
        <f>AE81/(AE72-AE81)</f>
        <v>0.34714126358038283</v>
      </c>
    </row>
    <row r="84" spans="2:31">
      <c r="B84" s="261" t="s">
        <v>782</v>
      </c>
      <c r="C84" s="262" t="s">
        <v>114</v>
      </c>
      <c r="D84" s="262"/>
      <c r="E84" s="262"/>
      <c r="F84" s="262"/>
      <c r="G84" s="822"/>
      <c r="H84" s="822"/>
      <c r="I84" s="822"/>
      <c r="J84" s="822"/>
      <c r="K84" s="822"/>
      <c r="L84" s="822"/>
      <c r="M84" s="822"/>
      <c r="N84" s="822"/>
      <c r="O84" s="822"/>
      <c r="P84" s="822"/>
      <c r="Q84" s="822"/>
      <c r="R84" s="826"/>
      <c r="S84" s="826"/>
      <c r="T84" s="826"/>
      <c r="U84" s="826"/>
      <c r="AC84" s="125">
        <f>AC81/(AC72-AC81)</f>
        <v>0.27303697501161384</v>
      </c>
      <c r="AD84" s="125">
        <f>AD81/(AD72-AD81)</f>
        <v>0.2577185678601166</v>
      </c>
      <c r="AE84" s="263">
        <f>AE81/(AE72-AE81)</f>
        <v>0.34714126358038283</v>
      </c>
    </row>
    <row r="85" spans="2:31">
      <c r="B85" s="29"/>
      <c r="C85" s="30"/>
      <c r="D85" s="30"/>
      <c r="E85" s="30"/>
      <c r="F85" s="30"/>
      <c r="G85" s="270"/>
      <c r="H85" s="270"/>
      <c r="I85" s="822"/>
      <c r="J85" s="822"/>
      <c r="K85" s="822"/>
      <c r="L85" s="822"/>
      <c r="M85" s="822"/>
      <c r="N85" s="822"/>
      <c r="O85" s="822"/>
      <c r="P85" s="822"/>
      <c r="Q85" s="822"/>
      <c r="R85" s="682"/>
      <c r="S85" s="682"/>
      <c r="T85" s="682"/>
      <c r="U85" s="32"/>
      <c r="AE85" s="85">
        <f>0.256*(SUM(AE76:AE80,AE82,AE73))</f>
        <v>6155.6459520000008</v>
      </c>
    </row>
    <row r="86" spans="2:31">
      <c r="B86" s="29"/>
      <c r="C86" s="30" t="s">
        <v>115</v>
      </c>
      <c r="D86" s="30"/>
      <c r="E86" s="30"/>
      <c r="F86" s="30"/>
      <c r="G86" s="830">
        <v>5242.3999999999996</v>
      </c>
      <c r="H86" s="830">
        <v>5389.4</v>
      </c>
      <c r="I86" s="830">
        <v>4539.1000000000004</v>
      </c>
      <c r="J86" s="830">
        <v>4617.6000000000004</v>
      </c>
      <c r="K86" s="830">
        <v>4810.2</v>
      </c>
      <c r="L86" s="830">
        <v>4505.5</v>
      </c>
      <c r="M86" s="830">
        <v>4839.5</v>
      </c>
      <c r="N86" s="830">
        <v>4360.6000000000004</v>
      </c>
      <c r="O86" s="830">
        <v>5145.5</v>
      </c>
      <c r="P86" s="830">
        <v>4276.0999999999995</v>
      </c>
      <c r="Q86" s="830">
        <v>338.90000000000003</v>
      </c>
      <c r="R86" s="832">
        <v>134.93240740740742</v>
      </c>
      <c r="S86" s="832">
        <v>89.431944444444454</v>
      </c>
      <c r="T86" s="832">
        <v>91.785416666666663</v>
      </c>
      <c r="U86" s="832">
        <v>40.793518518518518</v>
      </c>
      <c r="V86" s="94">
        <v>49.422916666666666</v>
      </c>
      <c r="W86" s="94">
        <f t="shared" ref="W86:AB86" si="38">V86*W71/V71</f>
        <v>80.802546296296285</v>
      </c>
      <c r="X86" s="94">
        <f t="shared" si="38"/>
        <v>86.293981481481467</v>
      </c>
      <c r="Y86" s="94">
        <f t="shared" si="38"/>
        <v>439.07946759259261</v>
      </c>
      <c r="Z86" s="94">
        <f t="shared" si="38"/>
        <v>230.95407407407404</v>
      </c>
      <c r="AA86" s="94">
        <f t="shared" si="38"/>
        <v>297.08664351851849</v>
      </c>
      <c r="AB86" s="94">
        <f t="shared" si="38"/>
        <v>693.01912037037027</v>
      </c>
      <c r="AC86" s="94">
        <f t="shared" ref="AC86:AE86" si="39">AB86*AC71/AB71</f>
        <v>625.47446759259253</v>
      </c>
      <c r="AD86" s="94">
        <f t="shared" si="39"/>
        <v>625.47446759259253</v>
      </c>
      <c r="AE86" s="94">
        <f t="shared" si="39"/>
        <v>1269.1428444444443</v>
      </c>
    </row>
    <row r="87" spans="2:31">
      <c r="B87" s="29"/>
      <c r="C87" s="30" t="s">
        <v>116</v>
      </c>
      <c r="D87" s="30"/>
      <c r="E87" s="30"/>
      <c r="F87" s="30"/>
      <c r="G87" s="830">
        <v>3908.7000000000003</v>
      </c>
      <c r="H87" s="830">
        <v>4040.1</v>
      </c>
      <c r="I87" s="830">
        <v>3675.6</v>
      </c>
      <c r="J87" s="830">
        <v>4713.6000000000004</v>
      </c>
      <c r="K87" s="830">
        <v>4450.8999999999996</v>
      </c>
      <c r="L87" s="830">
        <v>4257.8999999999996</v>
      </c>
      <c r="M87" s="830">
        <v>4231.2</v>
      </c>
      <c r="N87" s="830">
        <v>4259</v>
      </c>
      <c r="O87" s="830">
        <v>4264.8</v>
      </c>
      <c r="P87" s="830">
        <v>4227.3</v>
      </c>
      <c r="Q87" s="264">
        <v>286</v>
      </c>
      <c r="R87" s="264">
        <v>297</v>
      </c>
      <c r="S87" s="264">
        <v>775</v>
      </c>
      <c r="T87" s="264">
        <v>1061</v>
      </c>
      <c r="U87" s="264">
        <v>1364</v>
      </c>
      <c r="V87" s="264">
        <f t="shared" ref="V87:AE87" si="40">V73</f>
        <v>1396</v>
      </c>
      <c r="W87" s="264">
        <f t="shared" si="40"/>
        <v>1428</v>
      </c>
      <c r="X87" s="264">
        <f t="shared" si="40"/>
        <v>1421</v>
      </c>
      <c r="Y87" s="264">
        <f t="shared" si="40"/>
        <v>2945</v>
      </c>
      <c r="Z87" s="264">
        <f t="shared" si="40"/>
        <v>3175</v>
      </c>
      <c r="AA87" s="264">
        <f t="shared" si="40"/>
        <v>1870.3</v>
      </c>
      <c r="AB87" s="264">
        <f t="shared" si="40"/>
        <v>3302.6</v>
      </c>
      <c r="AC87" s="264">
        <f t="shared" si="40"/>
        <v>3341</v>
      </c>
      <c r="AD87" s="264">
        <f t="shared" si="40"/>
        <v>3606.6</v>
      </c>
      <c r="AE87" s="264">
        <f t="shared" si="40"/>
        <v>3901.7</v>
      </c>
    </row>
    <row r="88" spans="2:31">
      <c r="B88" s="29"/>
      <c r="C88" s="30" t="s">
        <v>117</v>
      </c>
      <c r="D88" s="30"/>
      <c r="E88" s="30"/>
      <c r="F88" s="30"/>
      <c r="G88" s="830">
        <v>131.1</v>
      </c>
      <c r="H88" s="830">
        <v>93.899999999999991</v>
      </c>
      <c r="I88" s="830">
        <v>76.900000000000006</v>
      </c>
      <c r="J88" s="830">
        <v>61.400000000000006</v>
      </c>
      <c r="K88" s="830">
        <v>65</v>
      </c>
      <c r="L88" s="830">
        <v>58.1</v>
      </c>
      <c r="M88" s="830">
        <v>66.8</v>
      </c>
      <c r="N88" s="830">
        <v>65.599999999999994</v>
      </c>
      <c r="O88" s="830">
        <v>87.5</v>
      </c>
      <c r="P88" s="830">
        <v>76.100000000000009</v>
      </c>
      <c r="Q88" s="830">
        <v>12.899999999999999</v>
      </c>
      <c r="R88" s="831"/>
      <c r="S88" s="831"/>
      <c r="T88" s="831"/>
      <c r="U88" s="378"/>
    </row>
    <row r="89" spans="2:31" ht="15.75">
      <c r="B89" s="7" t="s">
        <v>118</v>
      </c>
      <c r="C89" s="30" t="s">
        <v>119</v>
      </c>
      <c r="D89" s="30"/>
      <c r="E89" s="30"/>
      <c r="F89" s="30"/>
      <c r="G89" s="830">
        <v>86.8</v>
      </c>
      <c r="H89" s="830">
        <v>80.099999999999994</v>
      </c>
      <c r="I89" s="830">
        <v>64.5</v>
      </c>
      <c r="J89" s="830">
        <v>54.900000000000006</v>
      </c>
      <c r="K89" s="830">
        <v>57.6</v>
      </c>
      <c r="L89" s="830">
        <v>52.5</v>
      </c>
      <c r="M89" s="830">
        <v>49</v>
      </c>
      <c r="N89" s="830">
        <v>59.5</v>
      </c>
      <c r="O89" s="833">
        <v>59.748400000000004</v>
      </c>
      <c r="P89" s="833">
        <v>63.188099999999999</v>
      </c>
      <c r="Q89" s="833">
        <v>3.4600192395368046</v>
      </c>
      <c r="R89" s="833">
        <v>4.2690000000000001</v>
      </c>
      <c r="S89" s="833">
        <v>21.335000000000001</v>
      </c>
      <c r="T89" s="833">
        <v>33.268000000000001</v>
      </c>
      <c r="U89" s="833">
        <v>44.1</v>
      </c>
      <c r="V89" s="93">
        <f>Trade!V10</f>
        <v>48.4</v>
      </c>
      <c r="W89" s="93">
        <f>Trade!W10</f>
        <v>51.7</v>
      </c>
      <c r="X89" s="93">
        <f>Trade!X10</f>
        <v>53.5</v>
      </c>
      <c r="Y89" s="93">
        <f>Trade!Y10</f>
        <v>56.4</v>
      </c>
      <c r="Z89" s="93">
        <f>Trade!Z10</f>
        <v>93.1</v>
      </c>
      <c r="AA89" s="93">
        <f>Trade!AA10</f>
        <v>56.4</v>
      </c>
      <c r="AB89" s="93">
        <f>Trade!AB10</f>
        <v>95.960999999999999</v>
      </c>
      <c r="AC89" s="93">
        <f>Trade!AC10</f>
        <v>106.2</v>
      </c>
      <c r="AD89" s="93">
        <f>Trade!AD10</f>
        <v>110.4</v>
      </c>
      <c r="AE89" s="93">
        <f>Trade!AE10</f>
        <v>113</v>
      </c>
    </row>
    <row r="90" spans="2:31">
      <c r="B90" s="29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</row>
    <row r="91" spans="2:31">
      <c r="B91" s="29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</row>
    <row r="92" spans="2:31">
      <c r="B92" s="29"/>
      <c r="C92" s="30"/>
      <c r="D92" s="30"/>
      <c r="E92" s="30"/>
      <c r="F92" s="30"/>
      <c r="G92" s="835"/>
      <c r="H92" s="835"/>
      <c r="I92" s="835"/>
      <c r="J92" s="835"/>
      <c r="K92" s="835"/>
      <c r="L92" s="835"/>
      <c r="M92" s="835"/>
      <c r="N92" s="835"/>
      <c r="O92" s="835"/>
      <c r="P92" s="835"/>
      <c r="Q92" s="835"/>
      <c r="R92" s="682"/>
      <c r="S92" s="682"/>
      <c r="T92" s="32"/>
      <c r="U92" s="32"/>
    </row>
    <row r="93" spans="2:31">
      <c r="B93" s="7" t="s">
        <v>120</v>
      </c>
      <c r="C93" s="30" t="s">
        <v>121</v>
      </c>
      <c r="D93" s="30"/>
      <c r="E93" s="30"/>
      <c r="F93" s="30"/>
      <c r="G93" s="835"/>
      <c r="H93" s="835"/>
      <c r="I93" s="835"/>
      <c r="J93" s="833">
        <v>4420</v>
      </c>
      <c r="K93" s="833">
        <v>4396</v>
      </c>
      <c r="L93" s="839">
        <v>4404</v>
      </c>
      <c r="M93" s="839">
        <v>4389</v>
      </c>
      <c r="N93" s="839">
        <v>4386</v>
      </c>
      <c r="O93" s="839">
        <v>5069</v>
      </c>
      <c r="P93" s="839">
        <v>5078</v>
      </c>
      <c r="Q93" s="839">
        <v>5105</v>
      </c>
      <c r="R93" s="839">
        <v>5079</v>
      </c>
      <c r="S93" s="839">
        <v>6168</v>
      </c>
      <c r="T93" s="266">
        <v>6180</v>
      </c>
      <c r="U93" s="266">
        <v>6280</v>
      </c>
      <c r="V93" s="266">
        <v>6283</v>
      </c>
      <c r="W93" s="266">
        <v>6577</v>
      </c>
      <c r="X93" s="266">
        <v>5718</v>
      </c>
      <c r="Y93" s="266">
        <v>6197</v>
      </c>
      <c r="Z93" s="266">
        <v>6475</v>
      </c>
      <c r="AA93" s="266">
        <v>6356</v>
      </c>
      <c r="AB93" s="266">
        <v>6476</v>
      </c>
      <c r="AC93" s="267">
        <f t="shared" ref="AC93" si="41">AB93*1.002</f>
        <v>6488.9520000000002</v>
      </c>
      <c r="AD93" s="267">
        <f t="shared" ref="AD93" si="42">AC93*1.002</f>
        <v>6501.9299040000005</v>
      </c>
      <c r="AE93" s="267">
        <f t="shared" ref="AE93" si="43">AD93*1.002</f>
        <v>6514.9337638080005</v>
      </c>
    </row>
    <row r="94" spans="2:31">
      <c r="B94" s="7" t="s">
        <v>122</v>
      </c>
      <c r="C94" s="30" t="s">
        <v>123</v>
      </c>
      <c r="D94" s="30"/>
      <c r="E94" s="30"/>
      <c r="F94" s="30"/>
      <c r="G94" s="835"/>
      <c r="H94" s="835"/>
      <c r="I94" s="835"/>
      <c r="J94" s="836">
        <v>0.42637761110766753</v>
      </c>
      <c r="K94" s="836">
        <v>0.42823799967591958</v>
      </c>
      <c r="L94" s="836">
        <v>0.4429866580402208</v>
      </c>
      <c r="M94" s="836">
        <v>0.44046916793852631</v>
      </c>
      <c r="N94" s="836">
        <v>0.45531964511407197</v>
      </c>
      <c r="O94" s="836">
        <v>0.36363480769040213</v>
      </c>
      <c r="P94" s="836">
        <v>0.36231590835927563</v>
      </c>
      <c r="Q94" s="836">
        <v>0.36751058815110976</v>
      </c>
      <c r="R94" s="836">
        <v>0.36496415988118325</v>
      </c>
      <c r="S94" s="836">
        <v>0.31414903256756038</v>
      </c>
      <c r="T94" s="836">
        <v>0.31614354745755197</v>
      </c>
      <c r="U94" s="836">
        <v>0.29942122560567724</v>
      </c>
      <c r="V94" s="94">
        <f t="shared" ref="V94:AE94" si="44">V70/(V93*24*365)*1000</f>
        <v>0.31181480504397968</v>
      </c>
      <c r="W94" s="94">
        <f t="shared" si="44"/>
        <v>0.29909127074216713</v>
      </c>
      <c r="X94" s="94">
        <f t="shared" si="44"/>
        <v>0.3622303037272348</v>
      </c>
      <c r="Y94" s="94">
        <f t="shared" si="44"/>
        <v>0.36366838277174918</v>
      </c>
      <c r="Z94" s="94">
        <f t="shared" si="44"/>
        <v>0.36453870700446045</v>
      </c>
      <c r="AA94" s="94">
        <f t="shared" si="44"/>
        <v>0.35509179835110677</v>
      </c>
      <c r="AB94" s="94">
        <f t="shared" si="44"/>
        <v>0.36354463688899791</v>
      </c>
      <c r="AC94" s="94">
        <f t="shared" si="44"/>
        <v>0.3764653054612907</v>
      </c>
      <c r="AD94" s="94">
        <f t="shared" si="44"/>
        <v>0.38380771623586368</v>
      </c>
      <c r="AE94" s="94">
        <f t="shared" si="44"/>
        <v>0.39298016201640223</v>
      </c>
    </row>
    <row r="95" spans="2:31">
      <c r="B95" s="7" t="s">
        <v>124</v>
      </c>
      <c r="C95" s="30" t="s">
        <v>125</v>
      </c>
      <c r="D95" s="30"/>
      <c r="E95" s="30"/>
      <c r="F95" s="30"/>
      <c r="G95" s="835"/>
      <c r="H95" s="835"/>
      <c r="I95" s="835"/>
      <c r="J95" s="339">
        <v>1120.6124031007746</v>
      </c>
      <c r="K95" s="339">
        <v>1042.8860009119928</v>
      </c>
      <c r="L95" s="339">
        <v>475.79480164158701</v>
      </c>
      <c r="M95" s="339">
        <v>570.96580027359641</v>
      </c>
      <c r="N95" s="339">
        <v>0</v>
      </c>
      <c r="O95" s="339">
        <v>4071.2138622891025</v>
      </c>
      <c r="P95" s="339">
        <v>4137.1112631098968</v>
      </c>
      <c r="Q95" s="339">
        <v>3926.8034655722777</v>
      </c>
      <c r="R95" s="339">
        <v>4020.0998632010942</v>
      </c>
      <c r="S95" s="339">
        <v>7627.6853625170997</v>
      </c>
      <c r="T95" s="339">
        <v>7534.5485636114927</v>
      </c>
      <c r="U95" s="339">
        <v>8576.4085727314159</v>
      </c>
      <c r="V95" s="93">
        <f>(0.46-V94)*V93*24*365/1000</f>
        <v>8155.9767999999995</v>
      </c>
      <c r="W95" s="93">
        <f t="shared" ref="W95:AE95" si="45">(0.46-W94)*W93*24*365/1000</f>
        <v>9270.6791999999969</v>
      </c>
      <c r="X95" s="93">
        <f t="shared" si="45"/>
        <v>4897.2528000000029</v>
      </c>
      <c r="Y95" s="93">
        <f t="shared" si="45"/>
        <v>5229.4312000000009</v>
      </c>
      <c r="Z95" s="93">
        <f t="shared" si="45"/>
        <v>5414.66</v>
      </c>
      <c r="AA95" s="93">
        <f t="shared" si="45"/>
        <v>5841.1376000000027</v>
      </c>
      <c r="AB95" s="93">
        <f t="shared" si="45"/>
        <v>5471.8896000000032</v>
      </c>
      <c r="AC95" s="93">
        <f t="shared" si="45"/>
        <v>4748.3809792000002</v>
      </c>
      <c r="AD95" s="93">
        <f t="shared" si="45"/>
        <v>4339.6767411584033</v>
      </c>
      <c r="AE95" s="93">
        <f t="shared" si="45"/>
        <v>3824.8770946407199</v>
      </c>
    </row>
    <row r="96" spans="2:31">
      <c r="B96" s="7" t="s">
        <v>126</v>
      </c>
      <c r="C96" s="32" t="s">
        <v>127</v>
      </c>
      <c r="D96" s="32"/>
      <c r="E96" s="32"/>
      <c r="F96" s="32"/>
      <c r="G96" s="270"/>
      <c r="H96" s="270"/>
      <c r="I96" s="270"/>
      <c r="J96" s="270"/>
      <c r="K96" s="270"/>
      <c r="L96" s="270"/>
      <c r="M96" s="270"/>
      <c r="N96" s="270"/>
      <c r="O96" s="837">
        <v>0</v>
      </c>
      <c r="P96" s="837">
        <v>0</v>
      </c>
      <c r="Q96" s="289">
        <v>0</v>
      </c>
      <c r="R96" s="289">
        <v>3.1093754944800291E-2</v>
      </c>
      <c r="S96" s="289">
        <v>8.6658005487246947E-2</v>
      </c>
      <c r="T96" s="289">
        <v>0.12528952358992002</v>
      </c>
      <c r="U96" s="289">
        <v>0.15297778654942906</v>
      </c>
      <c r="V96" s="268">
        <f t="shared" ref="V96:AE96" si="46">MAX(V73-V71,0)/V95</f>
        <v>0.16343842468997705</v>
      </c>
      <c r="W96" s="268">
        <f t="shared" si="46"/>
        <v>0.14292372450985041</v>
      </c>
      <c r="X96" s="268">
        <f t="shared" si="46"/>
        <v>0.26770110785377449</v>
      </c>
      <c r="Y96" s="268">
        <f t="shared" si="46"/>
        <v>0.45612991332594638</v>
      </c>
      <c r="Z96" s="268">
        <f t="shared" si="46"/>
        <v>0.53200016252174653</v>
      </c>
      <c r="AA96" s="268">
        <f t="shared" si="46"/>
        <v>0.25536121593848415</v>
      </c>
      <c r="AB96" s="268">
        <f t="shared" si="46"/>
        <v>0.4421141830054463</v>
      </c>
      <c r="AC96" s="268">
        <f t="shared" si="46"/>
        <v>0.53569838038323503</v>
      </c>
      <c r="AD96" s="268">
        <f t="shared" si="46"/>
        <v>0.64735236460264667</v>
      </c>
      <c r="AE96" s="268">
        <f t="shared" si="46"/>
        <v>0.59711931742855984</v>
      </c>
    </row>
    <row r="97" spans="2:31">
      <c r="B97" s="29"/>
      <c r="C97" s="32"/>
      <c r="D97" s="32"/>
      <c r="E97" s="32"/>
      <c r="F97" s="32"/>
      <c r="G97" s="270"/>
      <c r="H97" s="270"/>
      <c r="I97" s="270"/>
      <c r="J97" s="270"/>
      <c r="K97" s="270"/>
      <c r="L97" s="270"/>
      <c r="M97" s="270"/>
      <c r="N97" s="270"/>
      <c r="O97" s="837"/>
      <c r="P97" s="837"/>
      <c r="Q97" s="837"/>
      <c r="R97" s="837"/>
      <c r="S97" s="826"/>
      <c r="T97" s="826"/>
      <c r="U97" s="826"/>
    </row>
    <row r="98" spans="2:31">
      <c r="B98" s="29"/>
      <c r="C98" s="32"/>
      <c r="D98" s="32"/>
      <c r="E98" s="32"/>
      <c r="F98" s="32"/>
      <c r="G98" s="270"/>
      <c r="H98" s="270"/>
      <c r="I98" s="270"/>
      <c r="J98" s="270"/>
      <c r="K98" s="270"/>
      <c r="L98" s="270"/>
      <c r="M98" s="270"/>
      <c r="N98" s="270"/>
      <c r="O98" s="270"/>
      <c r="P98" s="270"/>
      <c r="Q98" s="270"/>
      <c r="R98" s="682"/>
      <c r="S98" s="682"/>
      <c r="T98" s="682"/>
      <c r="U98" s="32"/>
    </row>
    <row r="99" spans="2:31">
      <c r="B99" s="29"/>
      <c r="C99" s="32" t="s">
        <v>128</v>
      </c>
      <c r="D99" s="32"/>
      <c r="E99" s="32"/>
      <c r="F99" s="32"/>
      <c r="G99" s="270"/>
      <c r="H99" s="270"/>
      <c r="I99" s="270"/>
      <c r="J99" s="270"/>
      <c r="K99" s="270"/>
      <c r="L99" s="270"/>
      <c r="M99" s="270"/>
      <c r="N99" s="270"/>
      <c r="O99" s="270"/>
      <c r="P99" s="270"/>
      <c r="Q99" s="270"/>
      <c r="R99" s="682"/>
      <c r="S99" s="682"/>
      <c r="T99" s="682"/>
      <c r="U99" s="32"/>
    </row>
    <row r="100" spans="2:31">
      <c r="B100" s="29"/>
      <c r="C100" s="32" t="s">
        <v>2</v>
      </c>
      <c r="D100" s="32"/>
      <c r="E100" s="32"/>
      <c r="F100" s="32"/>
      <c r="G100" s="270"/>
      <c r="H100" s="270"/>
      <c r="I100" s="270"/>
      <c r="J100" s="840">
        <v>6445</v>
      </c>
      <c r="K100" s="840">
        <v>6920</v>
      </c>
      <c r="L100" s="840">
        <v>7531</v>
      </c>
      <c r="M100" s="840">
        <v>7595</v>
      </c>
      <c r="N100" s="840">
        <v>7870</v>
      </c>
      <c r="O100" s="840">
        <v>7833</v>
      </c>
      <c r="P100" s="840">
        <v>7774</v>
      </c>
      <c r="Q100" s="270"/>
      <c r="R100" s="682"/>
      <c r="S100" s="682"/>
      <c r="T100" s="682"/>
      <c r="U100" s="32"/>
    </row>
    <row r="101" spans="2:31">
      <c r="B101" s="29"/>
      <c r="C101" s="20" t="s">
        <v>129</v>
      </c>
      <c r="D101" s="20"/>
      <c r="E101" s="20"/>
      <c r="F101" s="20"/>
      <c r="G101" s="838"/>
      <c r="H101" s="270"/>
      <c r="I101" s="270"/>
      <c r="J101" s="270">
        <v>577</v>
      </c>
      <c r="K101" s="270">
        <v>607</v>
      </c>
      <c r="L101" s="270">
        <v>645</v>
      </c>
      <c r="M101" s="270">
        <v>680</v>
      </c>
      <c r="N101" s="270">
        <v>642</v>
      </c>
      <c r="O101" s="270">
        <v>682</v>
      </c>
      <c r="P101" s="270">
        <v>870</v>
      </c>
      <c r="Q101" s="270"/>
      <c r="R101" s="682"/>
      <c r="S101" s="682"/>
      <c r="T101" s="269">
        <v>-251.49785886554582</v>
      </c>
      <c r="U101" s="269">
        <v>-1482.3594985641748</v>
      </c>
      <c r="V101" s="269">
        <v>1741.6613303049589</v>
      </c>
      <c r="W101" s="269">
        <f t="shared" ref="W101:AE101" si="47">W102-V102</f>
        <v>281.18947462121741</v>
      </c>
      <c r="X101" s="269">
        <f t="shared" si="47"/>
        <v>678.28758776180712</v>
      </c>
      <c r="Y101" s="269">
        <f t="shared" si="47"/>
        <v>853.84426281282686</v>
      </c>
      <c r="Z101" s="269">
        <f t="shared" si="47"/>
        <v>3873.7028815854719</v>
      </c>
      <c r="AA101" s="269">
        <f t="shared" si="47"/>
        <v>1219.7413165821235</v>
      </c>
      <c r="AB101" s="269">
        <f t="shared" si="47"/>
        <v>1339.4228230839362</v>
      </c>
      <c r="AC101" s="269">
        <f t="shared" si="47"/>
        <v>-5583.4802493210318</v>
      </c>
      <c r="AD101" s="269">
        <f t="shared" si="47"/>
        <v>271.49522136909218</v>
      </c>
      <c r="AE101" s="269">
        <f t="shared" si="47"/>
        <v>1393.2579325350362</v>
      </c>
    </row>
    <row r="102" spans="2:31" ht="15.75">
      <c r="B102" s="7" t="s">
        <v>130</v>
      </c>
      <c r="C102" s="32" t="s">
        <v>131</v>
      </c>
      <c r="D102" s="32"/>
      <c r="E102" s="32"/>
      <c r="F102" s="32"/>
      <c r="G102" s="838"/>
      <c r="H102" s="838"/>
      <c r="I102" s="838"/>
      <c r="J102" s="838">
        <v>5868</v>
      </c>
      <c r="K102" s="838">
        <v>6313</v>
      </c>
      <c r="L102" s="838">
        <v>6886</v>
      </c>
      <c r="M102" s="838">
        <v>6915</v>
      </c>
      <c r="N102" s="838">
        <v>7228</v>
      </c>
      <c r="O102" s="838">
        <v>7151</v>
      </c>
      <c r="P102" s="838">
        <v>6904</v>
      </c>
      <c r="Q102" s="270">
        <v>8004.7409716839129</v>
      </c>
      <c r="R102" s="378">
        <v>6692.6315274356266</v>
      </c>
      <c r="S102" s="270">
        <v>7567.160246519913</v>
      </c>
      <c r="T102" s="270">
        <v>7315.6623876543672</v>
      </c>
      <c r="U102" s="270">
        <v>5833.3028890901924</v>
      </c>
      <c r="V102" s="270">
        <f t="shared" ref="V102:AE102" si="48">V109+V116+V123+V130</f>
        <v>7574.9642193951513</v>
      </c>
      <c r="W102" s="270">
        <f t="shared" si="48"/>
        <v>7856.1536940163687</v>
      </c>
      <c r="X102" s="270">
        <f t="shared" si="48"/>
        <v>8534.4412817781758</v>
      </c>
      <c r="Y102" s="270">
        <f t="shared" si="48"/>
        <v>9388.2855445910027</v>
      </c>
      <c r="Z102" s="270">
        <f t="shared" si="48"/>
        <v>13261.988426176475</v>
      </c>
      <c r="AA102" s="270">
        <f t="shared" si="48"/>
        <v>14481.729742758598</v>
      </c>
      <c r="AB102" s="270">
        <f t="shared" si="48"/>
        <v>15821.152565842534</v>
      </c>
      <c r="AC102" s="270">
        <f t="shared" si="48"/>
        <v>10237.672316521503</v>
      </c>
      <c r="AD102" s="270">
        <f t="shared" si="48"/>
        <v>10509.167537890595</v>
      </c>
      <c r="AE102" s="270">
        <f t="shared" si="48"/>
        <v>11902.425470425631</v>
      </c>
    </row>
    <row r="103" spans="2:31">
      <c r="B103" s="29"/>
      <c r="C103" s="33" t="s">
        <v>132</v>
      </c>
      <c r="D103" s="33"/>
      <c r="E103" s="33"/>
      <c r="F103" s="33"/>
      <c r="G103" s="834"/>
      <c r="H103" s="834"/>
      <c r="I103" s="834"/>
      <c r="J103" s="834">
        <v>64.45</v>
      </c>
      <c r="K103" s="834">
        <v>60.121633362293657</v>
      </c>
      <c r="L103" s="834">
        <v>59.266359435399586</v>
      </c>
      <c r="M103" s="834">
        <v>56.654044786995414</v>
      </c>
      <c r="N103" s="834">
        <v>53.417084832480292</v>
      </c>
      <c r="O103" s="834">
        <v>55.094248572044172</v>
      </c>
      <c r="P103" s="834">
        <v>58.480498098210766</v>
      </c>
      <c r="Q103" s="270"/>
      <c r="R103" s="682"/>
      <c r="S103" s="682"/>
      <c r="T103" s="682"/>
      <c r="U103" s="32"/>
    </row>
    <row r="104" spans="2:31" ht="15.75">
      <c r="B104" s="7" t="s">
        <v>133</v>
      </c>
      <c r="C104" s="33" t="s">
        <v>134</v>
      </c>
      <c r="D104" s="33"/>
      <c r="E104" s="33"/>
      <c r="F104" s="33"/>
      <c r="G104" s="834"/>
      <c r="H104" s="834"/>
      <c r="I104" s="834"/>
      <c r="J104" s="834">
        <v>58.68</v>
      </c>
      <c r="K104" s="834">
        <v>54.847958297132934</v>
      </c>
      <c r="L104" s="834">
        <v>54.190433019806342</v>
      </c>
      <c r="M104" s="834">
        <v>51.581661580259812</v>
      </c>
      <c r="N104" s="271">
        <v>49.059553896971735</v>
      </c>
      <c r="O104" s="271">
        <v>50.297328167839638</v>
      </c>
      <c r="P104" s="271">
        <v>51.935857842815423</v>
      </c>
      <c r="Q104" s="271">
        <v>55.143099235079518</v>
      </c>
      <c r="R104" s="271">
        <v>43.61800681138795</v>
      </c>
      <c r="S104" s="271">
        <v>44.510458870743065</v>
      </c>
      <c r="T104" s="271">
        <v>41.455813515942424</v>
      </c>
      <c r="U104" s="271">
        <v>31.481615866517881</v>
      </c>
      <c r="V104" s="271">
        <v>25</v>
      </c>
      <c r="W104" s="272">
        <v>26.3</v>
      </c>
      <c r="X104" s="271">
        <v>25</v>
      </c>
      <c r="Y104" s="271">
        <v>26</v>
      </c>
      <c r="Z104" s="271">
        <v>25</v>
      </c>
      <c r="AA104" s="271">
        <v>25</v>
      </c>
      <c r="AB104" s="271">
        <v>26</v>
      </c>
      <c r="AC104" s="271">
        <v>26</v>
      </c>
      <c r="AD104" s="271">
        <v>26</v>
      </c>
      <c r="AE104" s="271">
        <v>26</v>
      </c>
    </row>
    <row r="105" spans="2:31">
      <c r="B105" s="29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</row>
    <row r="106" spans="2:31">
      <c r="B106" s="2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</row>
    <row r="107" spans="2:31">
      <c r="B107" s="29"/>
      <c r="C107" s="32" t="s">
        <v>135</v>
      </c>
      <c r="D107" s="32"/>
      <c r="E107" s="32"/>
      <c r="F107" s="32"/>
      <c r="G107" s="838"/>
      <c r="H107" s="838"/>
      <c r="I107" s="838"/>
      <c r="J107" s="273">
        <v>5709</v>
      </c>
      <c r="K107" s="273">
        <v>6248</v>
      </c>
      <c r="L107" s="273">
        <v>6671</v>
      </c>
      <c r="M107" s="273">
        <v>7195</v>
      </c>
      <c r="N107" s="273">
        <v>7291</v>
      </c>
      <c r="O107" s="273">
        <v>7174</v>
      </c>
      <c r="P107" s="273">
        <v>7422</v>
      </c>
      <c r="Q107" s="273">
        <v>7803.8149720068659</v>
      </c>
      <c r="R107" s="273">
        <v>6523.9893165977401</v>
      </c>
      <c r="S107" s="273">
        <v>6700.1370281458794</v>
      </c>
      <c r="T107" s="273">
        <v>6432.1315470200443</v>
      </c>
      <c r="U107" s="273">
        <v>5583.0901828133992</v>
      </c>
      <c r="V107" s="273">
        <f t="shared" ref="V107:AE107" si="49">V108+V109</f>
        <v>7274.7665082058593</v>
      </c>
      <c r="W107" s="273">
        <f t="shared" si="49"/>
        <v>7616.6805340915344</v>
      </c>
      <c r="X107" s="273">
        <f t="shared" si="49"/>
        <v>8332.6485042961376</v>
      </c>
      <c r="Y107" s="273">
        <f t="shared" si="49"/>
        <v>9224.2418942558252</v>
      </c>
      <c r="Z107" s="273">
        <f t="shared" si="49"/>
        <v>13116.871973631782</v>
      </c>
      <c r="AA107" s="273">
        <f t="shared" si="49"/>
        <v>14349.857939153169</v>
      </c>
      <c r="AB107" s="273">
        <f t="shared" si="49"/>
        <v>15698.744585433571</v>
      </c>
      <c r="AC107" s="273">
        <f t="shared" si="49"/>
        <v>10121.802238769333</v>
      </c>
      <c r="AD107" s="273">
        <f t="shared" si="49"/>
        <v>10395.090899216104</v>
      </c>
      <c r="AE107" s="273">
        <f t="shared" si="49"/>
        <v>11798.428170610279</v>
      </c>
    </row>
    <row r="108" spans="2:31">
      <c r="B108" s="29"/>
      <c r="C108" s="20" t="s">
        <v>129</v>
      </c>
      <c r="D108" s="20"/>
      <c r="E108" s="20"/>
      <c r="F108" s="20"/>
      <c r="G108" s="270"/>
      <c r="H108" s="270"/>
      <c r="I108" s="270"/>
      <c r="J108" s="270">
        <v>249</v>
      </c>
      <c r="K108" s="270">
        <v>284</v>
      </c>
      <c r="L108" s="270">
        <v>287</v>
      </c>
      <c r="M108" s="270">
        <v>428</v>
      </c>
      <c r="N108" s="270">
        <v>419</v>
      </c>
      <c r="O108" s="270">
        <v>413</v>
      </c>
      <c r="P108" s="270">
        <v>691</v>
      </c>
      <c r="Q108" s="33"/>
      <c r="R108" s="841"/>
      <c r="S108" s="841"/>
      <c r="T108" s="841"/>
      <c r="U108" s="33"/>
    </row>
    <row r="109" spans="2:31" ht="15.75">
      <c r="B109" s="7" t="s">
        <v>136</v>
      </c>
      <c r="C109" s="32" t="s">
        <v>131</v>
      </c>
      <c r="D109" s="32"/>
      <c r="E109" s="32"/>
      <c r="F109" s="32"/>
      <c r="G109" s="682"/>
      <c r="H109" s="270"/>
      <c r="I109" s="270"/>
      <c r="J109" s="270">
        <v>5460</v>
      </c>
      <c r="K109" s="270">
        <v>5964</v>
      </c>
      <c r="L109" s="270">
        <v>6384</v>
      </c>
      <c r="M109" s="270">
        <v>6767</v>
      </c>
      <c r="N109" s="270">
        <v>6872</v>
      </c>
      <c r="O109" s="270">
        <v>6761</v>
      </c>
      <c r="P109" s="270">
        <v>6731</v>
      </c>
      <c r="Q109" s="274">
        <v>7803.8149720068659</v>
      </c>
      <c r="R109" s="274">
        <v>6523.9893165977401</v>
      </c>
      <c r="S109" s="274">
        <v>6700.1370281458794</v>
      </c>
      <c r="T109" s="274">
        <v>6432.1315470200443</v>
      </c>
      <c r="U109" s="274">
        <v>5583.0901828133992</v>
      </c>
      <c r="V109" s="94">
        <v>7274.7665082058593</v>
      </c>
      <c r="W109">
        <f t="shared" ref="W109:AE109" si="50">W111*W51</f>
        <v>7616.6805340915344</v>
      </c>
      <c r="X109">
        <f t="shared" si="50"/>
        <v>8332.6485042961376</v>
      </c>
      <c r="Y109">
        <f t="shared" si="50"/>
        <v>9224.2418942558252</v>
      </c>
      <c r="Z109">
        <f t="shared" si="50"/>
        <v>13116.871973631782</v>
      </c>
      <c r="AA109">
        <f t="shared" si="50"/>
        <v>14349.857939153169</v>
      </c>
      <c r="AB109">
        <f t="shared" si="50"/>
        <v>15698.744585433571</v>
      </c>
      <c r="AC109">
        <f t="shared" si="50"/>
        <v>10121.802238769333</v>
      </c>
      <c r="AD109">
        <f t="shared" si="50"/>
        <v>10395.090899216104</v>
      </c>
      <c r="AE109">
        <f t="shared" si="50"/>
        <v>11798.428170610279</v>
      </c>
    </row>
    <row r="110" spans="2:31">
      <c r="B110" s="29"/>
      <c r="C110" s="33" t="s">
        <v>132</v>
      </c>
      <c r="D110" s="33"/>
      <c r="E110" s="33"/>
      <c r="F110" s="33"/>
      <c r="G110" s="841"/>
      <c r="H110" s="274"/>
      <c r="I110" s="274"/>
      <c r="J110" s="274">
        <v>57.09</v>
      </c>
      <c r="K110" s="274">
        <v>55.194346289752652</v>
      </c>
      <c r="L110" s="274">
        <v>52.664070961894922</v>
      </c>
      <c r="M110" s="274">
        <v>61.941960828651226</v>
      </c>
      <c r="N110" s="274">
        <v>54.439225997346384</v>
      </c>
      <c r="O110" s="274">
        <v>62.285616115593768</v>
      </c>
      <c r="P110" s="274">
        <v>70.734121724769764</v>
      </c>
      <c r="Q110" s="274">
        <v>65.816765529353589</v>
      </c>
      <c r="R110" s="274">
        <v>47.311105745949796</v>
      </c>
      <c r="S110" s="274">
        <v>37.900550390866179</v>
      </c>
      <c r="T110" s="274">
        <v>40.38238443421924</v>
      </c>
      <c r="U110" s="274">
        <v>37.730796220562219</v>
      </c>
      <c r="V110" s="274">
        <f t="shared" ref="V110:AE110" si="51">V107/V52</f>
        <v>52.079690122237892</v>
      </c>
      <c r="W110" s="274">
        <f t="shared" si="51"/>
        <v>52.531248129078108</v>
      </c>
      <c r="X110" s="274">
        <f t="shared" si="51"/>
        <v>43.903121049053816</v>
      </c>
      <c r="Y110" s="274">
        <f t="shared" si="51"/>
        <v>52.769549404237331</v>
      </c>
      <c r="Z110" s="274">
        <f t="shared" si="51"/>
        <v>63.163551559617403</v>
      </c>
      <c r="AA110" s="274">
        <f t="shared" si="51"/>
        <v>60.881872604600389</v>
      </c>
      <c r="AB110" s="274">
        <f t="shared" si="51"/>
        <v>60.82627272094323</v>
      </c>
      <c r="AC110" s="274">
        <f t="shared" si="51"/>
        <v>36.549749681078772</v>
      </c>
      <c r="AD110" s="274">
        <f t="shared" si="51"/>
        <v>34.000537067452804</v>
      </c>
      <c r="AE110" s="274">
        <f t="shared" si="51"/>
        <v>41.49527910920316</v>
      </c>
    </row>
    <row r="111" spans="2:31" ht="15.75">
      <c r="B111" s="7" t="s">
        <v>137</v>
      </c>
      <c r="C111" s="33" t="s">
        <v>138</v>
      </c>
      <c r="D111" s="33"/>
      <c r="E111" s="33"/>
      <c r="F111" s="33"/>
      <c r="G111" s="841"/>
      <c r="H111" s="274"/>
      <c r="I111" s="274"/>
      <c r="J111" s="274">
        <v>54.6</v>
      </c>
      <c r="K111" s="274">
        <v>52.685512367491164</v>
      </c>
      <c r="L111" s="274">
        <v>50.398355422086219</v>
      </c>
      <c r="M111" s="274">
        <v>58.257296584778715</v>
      </c>
      <c r="N111" s="274">
        <v>51.310706494824352</v>
      </c>
      <c r="O111" s="274">
        <v>58.699895533527943</v>
      </c>
      <c r="P111" s="274">
        <v>64.148662534279879</v>
      </c>
      <c r="Q111" s="274">
        <v>64.148662534279879</v>
      </c>
      <c r="R111" s="274">
        <v>64.148662534279879</v>
      </c>
      <c r="S111" s="274">
        <v>64.148662534279879</v>
      </c>
      <c r="T111" s="274">
        <v>64.148662534279879</v>
      </c>
      <c r="U111" s="274">
        <v>64.148662534279879</v>
      </c>
      <c r="V111" s="94">
        <v>64.148662534279879</v>
      </c>
      <c r="W111" s="94">
        <f>V111</f>
        <v>64.148662534279879</v>
      </c>
      <c r="X111" s="94">
        <f t="shared" ref="X111:AB111" si="52">W111</f>
        <v>64.148662534279879</v>
      </c>
      <c r="Y111" s="94">
        <f t="shared" si="52"/>
        <v>64.148662534279879</v>
      </c>
      <c r="Z111" s="94">
        <f t="shared" si="52"/>
        <v>64.148662534279879</v>
      </c>
      <c r="AA111" s="94">
        <f t="shared" si="52"/>
        <v>64.148662534279879</v>
      </c>
      <c r="AB111" s="94">
        <f t="shared" si="52"/>
        <v>64.148662534279879</v>
      </c>
      <c r="AC111" s="168">
        <v>40</v>
      </c>
      <c r="AD111" s="168">
        <v>40</v>
      </c>
      <c r="AE111" s="168">
        <v>40</v>
      </c>
    </row>
    <row r="112" spans="2:31">
      <c r="B112" s="7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</row>
    <row r="113" spans="2:31">
      <c r="B113" s="29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</row>
    <row r="114" spans="2:31">
      <c r="B114" s="29"/>
      <c r="C114" s="32" t="s">
        <v>139</v>
      </c>
      <c r="D114" s="32"/>
      <c r="E114" s="32"/>
      <c r="F114" s="32"/>
      <c r="G114" s="682"/>
      <c r="H114" s="682"/>
      <c r="I114" s="682"/>
      <c r="J114" s="682">
        <v>218</v>
      </c>
      <c r="K114" s="682">
        <v>189</v>
      </c>
      <c r="L114" s="682">
        <v>177</v>
      </c>
      <c r="M114" s="682">
        <v>149</v>
      </c>
      <c r="N114" s="682">
        <v>145</v>
      </c>
      <c r="O114" s="682">
        <v>107</v>
      </c>
      <c r="P114" s="682">
        <v>74.5</v>
      </c>
      <c r="Q114" s="841"/>
      <c r="R114" s="841"/>
      <c r="S114" s="841"/>
      <c r="T114" s="841"/>
      <c r="U114" s="33"/>
    </row>
    <row r="115" spans="2:31">
      <c r="B115" s="29"/>
      <c r="C115" s="20" t="s">
        <v>129</v>
      </c>
      <c r="D115" s="20"/>
      <c r="E115" s="20"/>
      <c r="F115" s="20"/>
      <c r="G115" s="682"/>
      <c r="H115" s="682"/>
      <c r="I115" s="682"/>
      <c r="J115" s="682">
        <v>180</v>
      </c>
      <c r="K115" s="682">
        <v>155</v>
      </c>
      <c r="L115" s="682">
        <v>125</v>
      </c>
      <c r="M115" s="682">
        <v>115</v>
      </c>
      <c r="N115" s="682">
        <v>91</v>
      </c>
      <c r="O115" s="682">
        <v>69</v>
      </c>
      <c r="P115" s="682">
        <v>53</v>
      </c>
      <c r="Q115" s="841"/>
      <c r="R115" s="841"/>
      <c r="S115" s="841"/>
      <c r="T115" s="841"/>
      <c r="U115" s="33"/>
    </row>
    <row r="116" spans="2:31" ht="15.75">
      <c r="B116" s="7" t="s">
        <v>140</v>
      </c>
      <c r="C116" s="32" t="s">
        <v>131</v>
      </c>
      <c r="D116" s="32"/>
      <c r="E116" s="32"/>
      <c r="F116" s="32"/>
      <c r="G116" s="682"/>
      <c r="H116" s="682"/>
      <c r="I116" s="682"/>
      <c r="J116" s="682">
        <v>38</v>
      </c>
      <c r="K116" s="682">
        <v>34</v>
      </c>
      <c r="L116" s="682">
        <v>52</v>
      </c>
      <c r="M116" s="682">
        <v>34</v>
      </c>
      <c r="N116" s="682">
        <v>54</v>
      </c>
      <c r="O116" s="682">
        <v>38</v>
      </c>
      <c r="P116" s="682">
        <v>21.5</v>
      </c>
      <c r="Q116" s="274">
        <v>24.294999999999998</v>
      </c>
      <c r="R116" s="274">
        <v>28.255084999999994</v>
      </c>
      <c r="S116" s="274">
        <v>36.223018969999991</v>
      </c>
      <c r="T116" s="274">
        <v>32.636940091969997</v>
      </c>
      <c r="U116" s="274">
        <v>30.319717345440125</v>
      </c>
      <c r="V116" s="94">
        <v>28.621813174095479</v>
      </c>
      <c r="W116" s="94">
        <f t="shared" ref="W116:AE116" si="53">W118*W52</f>
        <v>29.709442074711106</v>
      </c>
      <c r="X116" s="94">
        <f t="shared" si="53"/>
        <v>38.889659675796835</v>
      </c>
      <c r="Y116" s="94">
        <f t="shared" si="53"/>
        <v>35.817376561408885</v>
      </c>
      <c r="Z116" s="94">
        <f t="shared" si="53"/>
        <v>42.551043354953748</v>
      </c>
      <c r="AA116" s="94">
        <f t="shared" si="53"/>
        <v>48.295434207872503</v>
      </c>
      <c r="AB116" s="94">
        <f t="shared" si="53"/>
        <v>52.8835004576204</v>
      </c>
      <c r="AC116" s="94">
        <f t="shared" si="53"/>
        <v>56.743995991026686</v>
      </c>
      <c r="AD116" s="94">
        <f t="shared" si="53"/>
        <v>62.64537157409346</v>
      </c>
      <c r="AE116" s="94">
        <f t="shared" si="53"/>
        <v>58.260195563906912</v>
      </c>
    </row>
    <row r="117" spans="2:31">
      <c r="B117" s="29"/>
      <c r="C117" s="33" t="s">
        <v>132</v>
      </c>
      <c r="D117" s="33"/>
      <c r="E117" s="33"/>
      <c r="F117" s="33"/>
      <c r="G117" s="682"/>
      <c r="H117" s="682"/>
      <c r="I117" s="682"/>
      <c r="J117" s="842">
        <v>2.1800000000000002</v>
      </c>
      <c r="K117" s="842">
        <v>1.6696113074204946</v>
      </c>
      <c r="L117" s="842">
        <v>1.3973228242025786</v>
      </c>
      <c r="M117" s="842">
        <v>1.2827452624696363</v>
      </c>
      <c r="N117" s="842">
        <v>1.0826618803477199</v>
      </c>
      <c r="O117" s="842">
        <v>0.92898814111632744</v>
      </c>
      <c r="P117" s="842">
        <v>0.71000971011793956</v>
      </c>
      <c r="Q117" s="841"/>
      <c r="R117" s="841"/>
      <c r="S117" s="841"/>
      <c r="T117" s="841"/>
      <c r="U117" s="33"/>
    </row>
    <row r="118" spans="2:31" ht="15.75">
      <c r="B118" s="7" t="s">
        <v>141</v>
      </c>
      <c r="C118" s="33" t="s">
        <v>142</v>
      </c>
      <c r="D118" s="33"/>
      <c r="E118" s="33"/>
      <c r="F118" s="33"/>
      <c r="G118" s="682"/>
      <c r="H118" s="682"/>
      <c r="I118" s="682"/>
      <c r="J118" s="842">
        <v>0.38</v>
      </c>
      <c r="K118" s="842">
        <v>0.30035335689045933</v>
      </c>
      <c r="L118" s="842">
        <v>0.41051292010471235</v>
      </c>
      <c r="M118" s="842">
        <v>0.29270697264407808</v>
      </c>
      <c r="N118" s="842">
        <v>0.40319821750880602</v>
      </c>
      <c r="O118" s="842">
        <v>0.32992102207869572</v>
      </c>
      <c r="P118" s="842">
        <v>0.20490213110786176</v>
      </c>
      <c r="Q118" s="169">
        <v>0.20490213110786176</v>
      </c>
      <c r="R118" s="169">
        <v>0.20490213110786176</v>
      </c>
      <c r="S118" s="169">
        <v>0.20490213110786176</v>
      </c>
      <c r="T118" s="169">
        <v>0.20490213110786176</v>
      </c>
      <c r="U118" s="169">
        <v>0.20490213110786176</v>
      </c>
      <c r="V118" s="94">
        <v>0.20490213110786176</v>
      </c>
      <c r="W118" s="169">
        <f>V118</f>
        <v>0.20490213110786176</v>
      </c>
      <c r="X118" s="169">
        <f t="shared" ref="X118:AE118" si="54">W118</f>
        <v>0.20490213110786176</v>
      </c>
      <c r="Y118" s="169">
        <f t="shared" si="54"/>
        <v>0.20490213110786176</v>
      </c>
      <c r="Z118" s="169">
        <f t="shared" si="54"/>
        <v>0.20490213110786176</v>
      </c>
      <c r="AA118" s="169">
        <f t="shared" si="54"/>
        <v>0.20490213110786176</v>
      </c>
      <c r="AB118" s="169">
        <f t="shared" si="54"/>
        <v>0.20490213110786176</v>
      </c>
      <c r="AC118" s="169">
        <f t="shared" si="54"/>
        <v>0.20490213110786176</v>
      </c>
      <c r="AD118" s="169">
        <f t="shared" si="54"/>
        <v>0.20490213110786176</v>
      </c>
      <c r="AE118" s="169">
        <f t="shared" si="54"/>
        <v>0.20490213110786176</v>
      </c>
    </row>
    <row r="119" spans="2:31">
      <c r="B119" s="29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</row>
    <row r="120" spans="2:31">
      <c r="B120" s="29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</row>
    <row r="121" spans="2:31">
      <c r="B121" s="29"/>
      <c r="C121" s="32" t="s">
        <v>70</v>
      </c>
      <c r="D121" s="32"/>
      <c r="E121" s="32"/>
      <c r="F121" s="32"/>
      <c r="G121" s="32"/>
      <c r="H121" s="32"/>
      <c r="I121" s="32"/>
      <c r="J121" s="682">
        <v>85</v>
      </c>
      <c r="K121" s="682">
        <v>95</v>
      </c>
      <c r="L121" s="682">
        <v>71</v>
      </c>
      <c r="M121" s="682">
        <v>47</v>
      </c>
      <c r="N121" s="682">
        <v>42</v>
      </c>
      <c r="O121" s="682">
        <v>77</v>
      </c>
      <c r="P121" s="682">
        <v>49</v>
      </c>
      <c r="Q121" s="841"/>
      <c r="R121" s="841"/>
      <c r="S121" s="841"/>
      <c r="T121" s="841"/>
      <c r="U121" s="33"/>
    </row>
    <row r="122" spans="2:31">
      <c r="B122" s="29"/>
      <c r="C122" s="20" t="s">
        <v>129</v>
      </c>
      <c r="D122" s="20"/>
      <c r="E122" s="20"/>
      <c r="F122" s="20"/>
      <c r="G122" s="20"/>
      <c r="H122" s="20"/>
      <c r="I122" s="20"/>
      <c r="J122" s="682">
        <v>22</v>
      </c>
      <c r="K122" s="682">
        <v>31</v>
      </c>
      <c r="L122" s="682">
        <v>23</v>
      </c>
      <c r="M122" s="682">
        <v>28</v>
      </c>
      <c r="N122" s="682">
        <v>22</v>
      </c>
      <c r="O122" s="682">
        <v>41</v>
      </c>
      <c r="P122" s="682">
        <v>26</v>
      </c>
      <c r="Q122" s="841"/>
      <c r="R122" s="841"/>
      <c r="S122" s="841"/>
      <c r="T122" s="841"/>
      <c r="U122" s="33"/>
    </row>
    <row r="123" spans="2:31" ht="15.75">
      <c r="B123" s="7" t="s">
        <v>143</v>
      </c>
      <c r="C123" s="32" t="s">
        <v>131</v>
      </c>
      <c r="D123" s="32"/>
      <c r="E123" s="32"/>
      <c r="F123" s="32"/>
      <c r="G123" s="32"/>
      <c r="H123" s="32"/>
      <c r="I123" s="32"/>
      <c r="J123" s="682">
        <v>63</v>
      </c>
      <c r="K123" s="682">
        <v>64</v>
      </c>
      <c r="L123" s="682">
        <v>48</v>
      </c>
      <c r="M123" s="682">
        <v>19</v>
      </c>
      <c r="N123" s="682">
        <v>20</v>
      </c>
      <c r="O123" s="682">
        <v>36</v>
      </c>
      <c r="P123" s="682">
        <v>23</v>
      </c>
      <c r="Q123" s="274">
        <v>26.56028414628647</v>
      </c>
      <c r="R123" s="274">
        <v>27.118050113358485</v>
      </c>
      <c r="S123" s="274">
        <v>28.907841420840143</v>
      </c>
      <c r="T123" s="274">
        <v>29.51490609067778</v>
      </c>
      <c r="U123" s="274">
        <v>27.070227757400176</v>
      </c>
      <c r="V123" s="94">
        <v>28.017685728909182</v>
      </c>
      <c r="W123" s="94">
        <v>29.530640758270284</v>
      </c>
      <c r="X123" s="94">
        <f>W123</f>
        <v>29.530640758270284</v>
      </c>
      <c r="Y123" s="94">
        <f t="shared" ref="Y123:AE123" si="55">X123</f>
        <v>29.530640758270284</v>
      </c>
      <c r="Z123" s="94">
        <f t="shared" si="55"/>
        <v>29.530640758270284</v>
      </c>
      <c r="AA123" s="94">
        <f t="shared" si="55"/>
        <v>29.530640758270284</v>
      </c>
      <c r="AB123" s="94">
        <f t="shared" si="55"/>
        <v>29.530640758270284</v>
      </c>
      <c r="AC123" s="94">
        <f t="shared" si="55"/>
        <v>29.530640758270284</v>
      </c>
      <c r="AD123" s="94">
        <f t="shared" si="55"/>
        <v>29.530640758270284</v>
      </c>
      <c r="AE123" s="94">
        <f t="shared" si="55"/>
        <v>29.530640758270284</v>
      </c>
    </row>
    <row r="124" spans="2:31">
      <c r="B124" s="29"/>
      <c r="C124" s="33" t="s">
        <v>132</v>
      </c>
      <c r="D124" s="33"/>
      <c r="E124" s="33"/>
      <c r="F124" s="33"/>
      <c r="G124" s="33"/>
      <c r="H124" s="33"/>
      <c r="I124" s="33"/>
      <c r="J124" s="842">
        <v>0.85</v>
      </c>
      <c r="K124" s="842">
        <v>0.80988917306052854</v>
      </c>
      <c r="L124" s="842">
        <v>0.46885018783723376</v>
      </c>
      <c r="M124" s="842">
        <v>0.28979049234426152</v>
      </c>
      <c r="N124" s="842">
        <v>0.21296193796295815</v>
      </c>
      <c r="O124" s="842">
        <v>0.38127951132691074</v>
      </c>
      <c r="P124" s="842">
        <v>0.25702586472345679</v>
      </c>
      <c r="Q124" s="841"/>
      <c r="R124" s="841"/>
      <c r="S124" s="841"/>
      <c r="T124" s="841"/>
      <c r="U124" s="33"/>
    </row>
    <row r="125" spans="2:31" ht="15.75">
      <c r="B125" s="7" t="s">
        <v>144</v>
      </c>
      <c r="C125" s="33" t="s">
        <v>145</v>
      </c>
      <c r="D125" s="33"/>
      <c r="E125" s="33"/>
      <c r="F125" s="33"/>
      <c r="G125" s="33"/>
      <c r="H125" s="33"/>
      <c r="I125" s="33"/>
      <c r="J125" s="842">
        <v>0.63</v>
      </c>
      <c r="K125" s="842">
        <v>0.54560954816709295</v>
      </c>
      <c r="L125" s="842">
        <v>0.31696914107305946</v>
      </c>
      <c r="M125" s="842">
        <v>0.11714934796895678</v>
      </c>
      <c r="N125" s="842">
        <v>0.10141044664902769</v>
      </c>
      <c r="O125" s="842">
        <v>0.178260550750244</v>
      </c>
      <c r="P125" s="842">
        <v>0.1206447936457042</v>
      </c>
      <c r="Q125" s="169">
        <v>0.12</v>
      </c>
      <c r="R125" s="169">
        <v>0.12</v>
      </c>
      <c r="S125" s="169">
        <v>0.12</v>
      </c>
      <c r="T125" s="169">
        <v>0.12</v>
      </c>
      <c r="U125" s="169">
        <v>0.12</v>
      </c>
      <c r="V125" s="169">
        <v>0.12</v>
      </c>
      <c r="W125" s="169">
        <f>Assumptions!W37</f>
        <v>0.12</v>
      </c>
      <c r="X125" s="169">
        <f>Assumptions!X37</f>
        <v>0.12</v>
      </c>
      <c r="Y125" s="169">
        <f>Assumptions!Y37</f>
        <v>0.12</v>
      </c>
      <c r="Z125" s="169">
        <f>Assumptions!Z37</f>
        <v>0.12</v>
      </c>
      <c r="AA125" s="169">
        <f>Assumptions!AA37</f>
        <v>0.12</v>
      </c>
      <c r="AB125" s="169">
        <f>Assumptions!AB37</f>
        <v>0.12</v>
      </c>
      <c r="AC125" s="169">
        <f>Assumptions!AC37</f>
        <v>0.12</v>
      </c>
      <c r="AD125" s="169">
        <f>Assumptions!AD37</f>
        <v>0.12</v>
      </c>
      <c r="AE125" s="169">
        <f>Assumptions!AE37</f>
        <v>0.12</v>
      </c>
    </row>
    <row r="126" spans="2:31">
      <c r="B126" s="29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</row>
    <row r="127" spans="2:31">
      <c r="B127" s="29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</row>
    <row r="128" spans="2:31">
      <c r="B128" s="29"/>
      <c r="C128" s="32" t="s">
        <v>72</v>
      </c>
      <c r="D128" s="32"/>
      <c r="E128" s="32"/>
      <c r="F128" s="32"/>
      <c r="G128" s="32"/>
      <c r="H128" s="32"/>
      <c r="I128" s="32"/>
      <c r="J128" s="843">
        <v>433</v>
      </c>
      <c r="K128" s="843">
        <v>388</v>
      </c>
      <c r="L128" s="843">
        <v>612</v>
      </c>
      <c r="M128" s="843">
        <v>204</v>
      </c>
      <c r="N128" s="843">
        <v>392</v>
      </c>
      <c r="O128" s="843">
        <v>475</v>
      </c>
      <c r="P128" s="843">
        <v>228.5</v>
      </c>
      <c r="Q128" s="841"/>
      <c r="R128" s="841"/>
      <c r="S128" s="841"/>
      <c r="T128" s="815"/>
      <c r="U128" s="815"/>
    </row>
    <row r="129" spans="2:31">
      <c r="B129" s="29"/>
      <c r="C129" s="20" t="s">
        <v>129</v>
      </c>
      <c r="D129" s="20"/>
      <c r="E129" s="20"/>
      <c r="F129" s="20"/>
      <c r="G129" s="20"/>
      <c r="H129" s="20"/>
      <c r="I129" s="20"/>
      <c r="J129" s="843">
        <v>126</v>
      </c>
      <c r="K129" s="843">
        <v>137</v>
      </c>
      <c r="L129" s="843">
        <v>210</v>
      </c>
      <c r="M129" s="843">
        <v>109</v>
      </c>
      <c r="N129" s="843">
        <v>110</v>
      </c>
      <c r="O129" s="843">
        <v>159</v>
      </c>
      <c r="P129" s="843">
        <v>100</v>
      </c>
      <c r="Q129" s="841"/>
      <c r="R129" s="841"/>
      <c r="S129" s="841"/>
      <c r="T129" s="815"/>
      <c r="U129" s="815"/>
    </row>
    <row r="130" spans="2:31" ht="15.75">
      <c r="B130" s="7" t="s">
        <v>146</v>
      </c>
      <c r="C130" s="32" t="s">
        <v>131</v>
      </c>
      <c r="D130" s="32"/>
      <c r="E130" s="32"/>
      <c r="F130" s="32"/>
      <c r="G130" s="32"/>
      <c r="H130" s="32"/>
      <c r="I130" s="32"/>
      <c r="J130" s="843">
        <v>307</v>
      </c>
      <c r="K130" s="843">
        <v>251</v>
      </c>
      <c r="L130" s="843">
        <v>402</v>
      </c>
      <c r="M130" s="843">
        <v>95</v>
      </c>
      <c r="N130" s="843">
        <v>282</v>
      </c>
      <c r="O130" s="843">
        <v>316</v>
      </c>
      <c r="P130" s="843">
        <v>128.5</v>
      </c>
      <c r="Q130" s="274">
        <v>150.07071553076042</v>
      </c>
      <c r="R130" s="274">
        <v>113.26907572452834</v>
      </c>
      <c r="S130" s="274">
        <v>801.89235798319362</v>
      </c>
      <c r="T130" s="274">
        <v>821.37899445167523</v>
      </c>
      <c r="U130" s="274">
        <v>192.82276117395324</v>
      </c>
      <c r="V130" s="94">
        <v>243.55821228628824</v>
      </c>
      <c r="W130" s="94">
        <f t="shared" ref="W130:AE130" si="56">V130*W132</f>
        <v>180.23307709185329</v>
      </c>
      <c r="X130" s="94">
        <f t="shared" si="56"/>
        <v>133.37247704797144</v>
      </c>
      <c r="Y130" s="94">
        <f t="shared" si="56"/>
        <v>98.695633015498871</v>
      </c>
      <c r="Z130" s="94">
        <f t="shared" si="56"/>
        <v>73.034768431469161</v>
      </c>
      <c r="AA130" s="94">
        <f t="shared" si="56"/>
        <v>54.045728639287177</v>
      </c>
      <c r="AB130" s="94">
        <f t="shared" si="56"/>
        <v>39.99383919307251</v>
      </c>
      <c r="AC130" s="94">
        <f t="shared" si="56"/>
        <v>29.595441002873656</v>
      </c>
      <c r="AD130" s="94">
        <f t="shared" si="56"/>
        <v>21.900626342126504</v>
      </c>
      <c r="AE130" s="94">
        <f t="shared" si="56"/>
        <v>16.206463493173612</v>
      </c>
    </row>
    <row r="131" spans="2:31">
      <c r="B131" s="29"/>
      <c r="C131" s="33" t="s">
        <v>132</v>
      </c>
      <c r="D131" s="33"/>
      <c r="E131" s="33"/>
      <c r="F131" s="33"/>
      <c r="G131" s="33"/>
      <c r="H131" s="33"/>
      <c r="I131" s="33"/>
      <c r="J131" s="842">
        <v>4.33</v>
      </c>
      <c r="K131" s="842">
        <v>3.0107512856817138</v>
      </c>
      <c r="L131" s="842">
        <v>4.4220923110798536</v>
      </c>
      <c r="M131" s="842">
        <v>1.3271050009475918</v>
      </c>
      <c r="N131" s="842">
        <v>2.1819965721552479</v>
      </c>
      <c r="O131" s="842">
        <v>2.6432723185821465</v>
      </c>
      <c r="P131" s="842">
        <v>1.3525881281930776</v>
      </c>
      <c r="Q131" s="841"/>
      <c r="R131" s="841"/>
      <c r="S131" s="841"/>
      <c r="T131" s="815"/>
      <c r="U131" s="815"/>
    </row>
    <row r="132" spans="2:31" ht="15.75">
      <c r="B132" s="7" t="s">
        <v>147</v>
      </c>
      <c r="C132" s="33" t="s">
        <v>148</v>
      </c>
      <c r="D132" s="33"/>
      <c r="E132" s="33"/>
      <c r="F132" s="33"/>
      <c r="G132" s="33"/>
      <c r="H132" s="33"/>
      <c r="I132" s="33"/>
      <c r="J132" s="842">
        <v>3.07</v>
      </c>
      <c r="K132" s="842">
        <v>1.9476767337786345</v>
      </c>
      <c r="L132" s="842">
        <v>2.9047076945328452</v>
      </c>
      <c r="M132" s="842">
        <v>0.61801458377461382</v>
      </c>
      <c r="N132" s="842">
        <v>1.5697016156831121</v>
      </c>
      <c r="O132" s="842">
        <v>1.7584716898357016</v>
      </c>
      <c r="P132" s="842">
        <v>0.76064584014359071</v>
      </c>
      <c r="Q132" s="170">
        <v>0.76064584014359071</v>
      </c>
      <c r="R132" s="170">
        <v>0.76064584014359071</v>
      </c>
      <c r="S132" s="170">
        <v>0.76064584014359071</v>
      </c>
      <c r="T132" s="170">
        <v>0.76064584014359071</v>
      </c>
      <c r="U132" s="170">
        <v>0.76064584014359071</v>
      </c>
      <c r="V132" s="94">
        <v>0.76064584014359071</v>
      </c>
      <c r="W132" s="170">
        <v>0.74</v>
      </c>
      <c r="X132" s="170">
        <v>0.74</v>
      </c>
      <c r="Y132" s="170">
        <v>0.74</v>
      </c>
      <c r="Z132" s="170">
        <v>0.74</v>
      </c>
      <c r="AA132" s="170">
        <v>0.74</v>
      </c>
      <c r="AB132" s="170">
        <v>0.74</v>
      </c>
      <c r="AC132" s="170">
        <v>0.74</v>
      </c>
      <c r="AD132" s="170">
        <v>0.74</v>
      </c>
      <c r="AE132" s="170">
        <v>0.74</v>
      </c>
    </row>
    <row r="133" spans="2:31">
      <c r="B133" s="29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</row>
    <row r="134" spans="2:31">
      <c r="B134" s="29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</row>
    <row r="135" spans="2:31">
      <c r="B135" s="29"/>
      <c r="C135" s="32" t="s">
        <v>149</v>
      </c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</row>
    <row r="136" spans="2:31" ht="15.75">
      <c r="B136" s="7" t="s">
        <v>150</v>
      </c>
      <c r="C136" s="32" t="s">
        <v>151</v>
      </c>
      <c r="D136" s="32"/>
      <c r="E136" s="32"/>
      <c r="F136" s="32"/>
      <c r="G136" s="32"/>
      <c r="H136" s="32"/>
      <c r="I136" s="32"/>
      <c r="J136" s="842"/>
      <c r="K136" s="844">
        <v>100</v>
      </c>
      <c r="L136" s="844">
        <v>101.4</v>
      </c>
      <c r="M136" s="844">
        <v>107.17980000000001</v>
      </c>
      <c r="N136" s="844">
        <v>110.93109300000002</v>
      </c>
      <c r="O136" s="844">
        <v>117.69788967300001</v>
      </c>
      <c r="P136" s="844">
        <v>130.056168088665</v>
      </c>
      <c r="Q136" s="844">
        <v>138.89998751869422</v>
      </c>
      <c r="R136" s="844">
        <v>149.87308653267107</v>
      </c>
      <c r="S136" s="844">
        <v>165.45988753206885</v>
      </c>
      <c r="T136" s="844">
        <v>178.03483898450605</v>
      </c>
      <c r="U136" s="844">
        <v>186.04640673880883</v>
      </c>
      <c r="V136" s="93">
        <v>191.99989175445072</v>
      </c>
      <c r="W136" s="93">
        <f>V136*GDP!W33/100</f>
        <v>201.98388612568215</v>
      </c>
      <c r="X136" s="93">
        <f>W136*GDP!X33/100</f>
        <v>215.71879038222855</v>
      </c>
      <c r="Y136" s="93">
        <f>X136*GDP!Y33/100</f>
        <v>230.81910570898452</v>
      </c>
      <c r="Z136" s="93">
        <f>Y136*GDP!Z33/100</f>
        <v>246.97644310861347</v>
      </c>
      <c r="AA136" s="93">
        <f>Z136*GDP!AA33/100</f>
        <v>266.48758211419391</v>
      </c>
      <c r="AB136" s="93">
        <f>AA136*GDP!AB33/100</f>
        <v>265.6881193678513</v>
      </c>
      <c r="AC136" s="93">
        <f>AB136*GDP!AC33/100</f>
        <v>286.94316891727942</v>
      </c>
      <c r="AD136" s="93">
        <f>AC136*GDP!AD33/100</f>
        <v>321.95023552518751</v>
      </c>
      <c r="AE136" s="107">
        <f>AD136*GDP!AE33/100</f>
        <v>356.0769604908574</v>
      </c>
    </row>
    <row r="137" spans="2:31" ht="15.75">
      <c r="B137" s="7" t="s">
        <v>152</v>
      </c>
      <c r="C137" s="32" t="s">
        <v>153</v>
      </c>
      <c r="D137" s="32"/>
      <c r="E137" s="32"/>
      <c r="F137" s="32"/>
      <c r="G137" s="32"/>
      <c r="H137" s="32"/>
      <c r="I137" s="32"/>
      <c r="J137" s="842"/>
      <c r="K137" s="274">
        <v>4309</v>
      </c>
      <c r="L137" s="274">
        <v>3919</v>
      </c>
      <c r="M137" s="274">
        <v>3908</v>
      </c>
      <c r="N137" s="274">
        <v>3612</v>
      </c>
      <c r="O137" s="274">
        <v>3144</v>
      </c>
      <c r="P137" s="274">
        <v>3722</v>
      </c>
      <c r="Q137" s="275">
        <v>3593</v>
      </c>
      <c r="R137" s="275">
        <v>3742</v>
      </c>
      <c r="S137" s="275">
        <v>3832</v>
      </c>
      <c r="T137" s="275">
        <v>2600</v>
      </c>
      <c r="U137" s="275">
        <v>2328</v>
      </c>
      <c r="V137" s="275">
        <f t="shared" ref="V137:AA137" si="57">V78</f>
        <v>2496</v>
      </c>
      <c r="W137" s="275">
        <f t="shared" si="57"/>
        <v>2807</v>
      </c>
      <c r="X137" s="275">
        <f t="shared" si="57"/>
        <v>2754</v>
      </c>
      <c r="Y137" s="275">
        <f t="shared" si="57"/>
        <v>2241</v>
      </c>
      <c r="Z137" s="275">
        <f t="shared" si="57"/>
        <v>2338</v>
      </c>
      <c r="AA137" s="275">
        <f t="shared" si="57"/>
        <v>2619</v>
      </c>
      <c r="AB137" s="276">
        <f>AB136*AB138</f>
        <v>2603.743569804943</v>
      </c>
      <c r="AC137" s="276">
        <f t="shared" ref="AC137:AE137" si="58">AC136*AC138</f>
        <v>2812.0430553893384</v>
      </c>
      <c r="AD137" s="276">
        <f t="shared" si="58"/>
        <v>3155.1123081468377</v>
      </c>
      <c r="AE137" s="276">
        <f t="shared" si="58"/>
        <v>3489.554212810403</v>
      </c>
    </row>
    <row r="138" spans="2:31" ht="15.75">
      <c r="B138" s="7" t="s">
        <v>154</v>
      </c>
      <c r="C138" s="33" t="s">
        <v>155</v>
      </c>
      <c r="D138" s="33"/>
      <c r="E138" s="33"/>
      <c r="F138" s="33"/>
      <c r="G138" s="33"/>
      <c r="H138" s="33"/>
      <c r="I138" s="33"/>
      <c r="J138" s="842"/>
      <c r="K138" s="274">
        <v>43.09</v>
      </c>
      <c r="L138" s="274">
        <v>38.648915187376723</v>
      </c>
      <c r="M138" s="274">
        <v>36.462094536470488</v>
      </c>
      <c r="N138" s="274">
        <v>32.560753728442933</v>
      </c>
      <c r="O138" s="274">
        <v>26.712458555841348</v>
      </c>
      <c r="P138" s="274">
        <v>28.618404299460437</v>
      </c>
      <c r="Q138" s="277">
        <v>25.867532921962479</v>
      </c>
      <c r="R138" s="277">
        <v>24.967791660074177</v>
      </c>
      <c r="S138" s="277">
        <v>23.159691796945623</v>
      </c>
      <c r="T138" s="277">
        <v>14.603883233361262</v>
      </c>
      <c r="U138" s="277">
        <v>12.513007054569385</v>
      </c>
      <c r="V138" s="277">
        <f t="shared" ref="V138:Z138" si="59">V137/V136</f>
        <v>13.000007329129865</v>
      </c>
      <c r="W138" s="277">
        <f t="shared" si="59"/>
        <v>13.897148202472827</v>
      </c>
      <c r="X138" s="277">
        <f t="shared" si="59"/>
        <v>12.76662081740878</v>
      </c>
      <c r="Y138" s="277">
        <f t="shared" si="59"/>
        <v>9.7089016661620757</v>
      </c>
      <c r="Z138" s="277">
        <f t="shared" si="59"/>
        <v>9.4664898828906185</v>
      </c>
      <c r="AA138" s="277">
        <f>AA137/AA136</f>
        <v>9.8278500604869432</v>
      </c>
      <c r="AB138" s="277">
        <v>9.8000000000000007</v>
      </c>
      <c r="AC138" s="277">
        <v>9.8000000000000007</v>
      </c>
      <c r="AD138" s="277">
        <v>9.8000000000000007</v>
      </c>
      <c r="AE138" s="277">
        <v>9.8000000000000007</v>
      </c>
    </row>
    <row r="139" spans="2:31">
      <c r="B139" s="29"/>
      <c r="C139" s="33"/>
      <c r="D139" s="33"/>
      <c r="E139" s="33"/>
      <c r="F139" s="33"/>
      <c r="G139" s="33"/>
      <c r="H139" s="33"/>
      <c r="I139" s="33"/>
      <c r="J139" s="842"/>
      <c r="K139" s="274"/>
      <c r="L139" s="274"/>
      <c r="M139" s="274"/>
      <c r="N139" s="274"/>
      <c r="O139" s="274"/>
      <c r="P139" s="274"/>
      <c r="Q139" s="274"/>
      <c r="R139" s="278"/>
      <c r="S139" s="278"/>
      <c r="T139" s="278"/>
      <c r="U139" s="278"/>
      <c r="X139" s="278">
        <f t="shared" ref="X139:X140" si="60">X142/W142</f>
        <v>1.0799438990182328</v>
      </c>
      <c r="Y139" s="278">
        <f t="shared" ref="Y139:Y140" si="61">Y142/X142</f>
        <v>1.0805194805194807</v>
      </c>
      <c r="Z139" s="278">
        <f t="shared" ref="Z139:Z140" si="62">Z142/Y142</f>
        <v>1.3245192307692308</v>
      </c>
      <c r="AA139" s="278">
        <f t="shared" ref="AA139:AA140" si="63">AA142/Z142</f>
        <v>1</v>
      </c>
      <c r="AB139" s="278">
        <f t="shared" ref="AB139:AB140" si="64">AB142/AA142</f>
        <v>1</v>
      </c>
      <c r="AC139" s="278">
        <f t="shared" ref="AC139:AC140" si="65">AC142/AB142</f>
        <v>1.1007259528130671</v>
      </c>
      <c r="AD139" s="278">
        <f t="shared" ref="AD139:AD140" si="66">AD142/AC142</f>
        <v>1.1599340478153337</v>
      </c>
      <c r="AE139" s="278">
        <f t="shared" ref="AE139:AE140" si="67">AE142/AD142</f>
        <v>1</v>
      </c>
    </row>
    <row r="140" spans="2:31">
      <c r="B140" s="29"/>
      <c r="C140" s="33"/>
      <c r="D140" s="33"/>
      <c r="E140" s="33"/>
      <c r="F140" s="33"/>
      <c r="G140" s="33"/>
      <c r="H140" s="33"/>
      <c r="I140" s="33"/>
      <c r="J140" s="842"/>
      <c r="K140" s="842"/>
      <c r="L140" s="842"/>
      <c r="M140" s="842"/>
      <c r="N140" s="842"/>
      <c r="O140" s="842"/>
      <c r="P140" s="842"/>
      <c r="Q140" s="278"/>
      <c r="R140" s="278"/>
      <c r="S140" s="278"/>
      <c r="T140" s="278"/>
      <c r="U140" s="278"/>
      <c r="X140" s="278">
        <f t="shared" si="60"/>
        <v>1.1501706484641638</v>
      </c>
      <c r="Y140" s="278">
        <f t="shared" si="61"/>
        <v>1.1572700296735905</v>
      </c>
      <c r="Z140" s="278">
        <f t="shared" si="62"/>
        <v>1.164102564102564</v>
      </c>
      <c r="AA140" s="278">
        <f t="shared" si="63"/>
        <v>1.1013215859030838</v>
      </c>
      <c r="AB140" s="278">
        <f t="shared" si="64"/>
        <v>1</v>
      </c>
      <c r="AC140" s="278">
        <f t="shared" si="65"/>
        <v>1.0604</v>
      </c>
      <c r="AD140" s="278">
        <f t="shared" si="66"/>
        <v>1.1599396454168238</v>
      </c>
      <c r="AE140" s="278">
        <f t="shared" si="67"/>
        <v>1</v>
      </c>
    </row>
    <row r="141" spans="2:31">
      <c r="B141" s="7" t="s">
        <v>156</v>
      </c>
      <c r="C141" s="32" t="s">
        <v>157</v>
      </c>
      <c r="D141" s="32"/>
      <c r="E141" s="32"/>
      <c r="F141" s="32"/>
      <c r="G141" s="32"/>
      <c r="H141" s="32"/>
      <c r="I141" s="32"/>
      <c r="J141" s="682"/>
      <c r="K141" s="175"/>
      <c r="L141" s="682"/>
      <c r="M141" s="682"/>
      <c r="N141" s="682"/>
      <c r="O141" s="682"/>
      <c r="P141" s="378">
        <v>1072.2884640501716</v>
      </c>
      <c r="Q141" s="378">
        <v>1635.1787308452967</v>
      </c>
      <c r="R141" s="378">
        <v>3787.7250073999999</v>
      </c>
      <c r="S141" s="378">
        <v>3936.0150420000004</v>
      </c>
      <c r="T141" s="378">
        <v>3728.4495181000002</v>
      </c>
      <c r="U141" s="378">
        <v>3996.1170900000002</v>
      </c>
      <c r="V141" s="279">
        <f>(V76+V77+V78+V79+V82-V71+V81)*V142/100+V80*V143/100+V89*Household!V2</f>
        <v>4238.2377999999999</v>
      </c>
      <c r="W141" s="279">
        <f>(W76+W77+W78+W79+W82-W71+W81)*W142/100+W80*W143/100+W89*Household!W2</f>
        <v>5021.7765199999994</v>
      </c>
      <c r="X141" s="279">
        <f>(X76+X77+X78+X79+X82-X71+X81)*X142/100+X80*X143/100+X89*Household!X2</f>
        <v>5721.4679500000002</v>
      </c>
      <c r="Y141" s="279">
        <f>(Y76+Y77+Y78+Y79+Y82-Y71+Y81)*Y142/100+Y80*Y143/100+Y89*Household!Y2</f>
        <v>6185.5654799999993</v>
      </c>
      <c r="Z141" s="279">
        <f>(Z76+Z77+Z78+Z79+Z82-Z71+Z81)*Z142/100+Z80*Z143/100+Z89*Household!Z2</f>
        <v>8455.9519099999998</v>
      </c>
      <c r="AA141" s="279">
        <f>(AA76+AA77+AA78+AA79+AA82-AA71+AA81)*AA142/100+AA80*AA143/100+AA89*Household!AA2</f>
        <v>8381.6491600000008</v>
      </c>
      <c r="AB141" s="279">
        <f>(AB76+AB77+AB78+AB79+AB82-AB71+AB81)*AB142/100+AB80*AB143/100+AB89*Household!AB2</f>
        <v>8998.1397529000005</v>
      </c>
      <c r="AC141" s="279">
        <f>(AC76+AC77+AC78+AC79+AC82-AC71+AC81)*AC142/100+AC80*AC143/100+AC89*Household!AC2</f>
        <v>10239.506730000001</v>
      </c>
      <c r="AD141" s="279">
        <f>(AD76+AD77+AD78+AD79+AD82-AD71+AD81)*AD142/100+AD80*AD143/100+AD89*Household!AD2</f>
        <v>11809.940106</v>
      </c>
      <c r="AE141" s="279">
        <f>(AE76+AE77+AE78+AE79+AE82-AE71+AE81)*AE142/100+AE80*AE143/100+AE89*Household!AE2</f>
        <v>16338.833391296002</v>
      </c>
    </row>
    <row r="142" spans="2:31" ht="15.75">
      <c r="B142" s="7" t="s">
        <v>158</v>
      </c>
      <c r="C142" s="32" t="s">
        <v>159</v>
      </c>
      <c r="D142" s="32"/>
      <c r="E142" s="32"/>
      <c r="F142" s="32"/>
      <c r="G142" s="32"/>
      <c r="H142" s="32"/>
      <c r="I142" s="32"/>
      <c r="J142" s="682"/>
      <c r="K142" s="175"/>
      <c r="L142" s="682"/>
      <c r="M142" s="682"/>
      <c r="N142" s="682"/>
      <c r="O142" s="682"/>
      <c r="P142" s="270">
        <v>8.1559572220755197</v>
      </c>
      <c r="Q142" s="270">
        <v>10.270142602495543</v>
      </c>
      <c r="R142" s="172">
        <v>26.63</v>
      </c>
      <c r="S142" s="172">
        <v>26.63</v>
      </c>
      <c r="T142" s="172">
        <v>26.63</v>
      </c>
      <c r="U142" s="172">
        <v>30.6</v>
      </c>
      <c r="V142">
        <v>30.6</v>
      </c>
      <c r="W142">
        <v>35.65</v>
      </c>
      <c r="X142">
        <v>38.5</v>
      </c>
      <c r="Y142">
        <v>41.6</v>
      </c>
      <c r="Z142">
        <v>55.1</v>
      </c>
      <c r="AA142">
        <v>55.1</v>
      </c>
      <c r="AB142">
        <v>55.1</v>
      </c>
      <c r="AC142">
        <v>60.65</v>
      </c>
      <c r="AD142">
        <v>70.349999999999994</v>
      </c>
      <c r="AE142" s="116">
        <f>AD142</f>
        <v>70.349999999999994</v>
      </c>
    </row>
    <row r="143" spans="2:31" ht="15.75">
      <c r="B143" s="7" t="s">
        <v>160</v>
      </c>
      <c r="C143" s="32" t="s">
        <v>161</v>
      </c>
      <c r="D143" s="32"/>
      <c r="E143" s="32"/>
      <c r="F143" s="32"/>
      <c r="G143" s="32"/>
      <c r="H143" s="32"/>
      <c r="I143" s="32"/>
      <c r="J143" s="682"/>
      <c r="K143" s="175"/>
      <c r="L143" s="682"/>
      <c r="M143" s="682"/>
      <c r="N143" s="682"/>
      <c r="O143" s="682"/>
      <c r="P143" s="845">
        <v>7.5</v>
      </c>
      <c r="Q143" s="846">
        <v>9</v>
      </c>
      <c r="R143" s="847">
        <v>10.96875</v>
      </c>
      <c r="S143" s="847">
        <v>10.96875</v>
      </c>
      <c r="T143" s="847">
        <v>10.96875</v>
      </c>
      <c r="U143" s="847">
        <v>12.6</v>
      </c>
      <c r="V143">
        <v>12.6</v>
      </c>
      <c r="W143">
        <v>14.65</v>
      </c>
      <c r="X143">
        <v>16.850000000000001</v>
      </c>
      <c r="Y143">
        <v>19.5</v>
      </c>
      <c r="Z143">
        <v>22.7</v>
      </c>
      <c r="AA143">
        <v>25</v>
      </c>
      <c r="AB143">
        <v>25</v>
      </c>
      <c r="AC143">
        <v>26.51</v>
      </c>
      <c r="AD143">
        <v>30.75</v>
      </c>
      <c r="AE143" s="116">
        <f>AD143</f>
        <v>30.75</v>
      </c>
    </row>
    <row r="144" spans="2:31" ht="15.75">
      <c r="B144" s="34" t="s">
        <v>162</v>
      </c>
      <c r="C144" s="32"/>
      <c r="D144" s="32"/>
      <c r="E144" s="32"/>
      <c r="F144" s="32"/>
      <c r="G144" s="32"/>
      <c r="H144" s="32"/>
      <c r="I144" s="32"/>
      <c r="J144" s="682"/>
      <c r="K144" s="175"/>
      <c r="L144" s="682"/>
      <c r="M144" s="682"/>
      <c r="N144" s="682"/>
      <c r="O144" s="682"/>
      <c r="P144" s="682"/>
      <c r="Q144" s="682"/>
      <c r="R144" s="117">
        <v>9.75</v>
      </c>
      <c r="S144" s="117">
        <v>11</v>
      </c>
      <c r="T144" s="117">
        <v>12</v>
      </c>
      <c r="U144" s="117">
        <v>12</v>
      </c>
      <c r="V144" s="117">
        <v>12</v>
      </c>
      <c r="W144" s="117">
        <v>12</v>
      </c>
      <c r="X144" s="117">
        <v>12</v>
      </c>
      <c r="Y144" s="117">
        <v>12</v>
      </c>
      <c r="Z144" s="117">
        <v>12</v>
      </c>
      <c r="AA144" s="117">
        <v>12</v>
      </c>
      <c r="AB144" s="117">
        <v>12</v>
      </c>
      <c r="AC144" s="117">
        <v>12</v>
      </c>
      <c r="AD144" s="117">
        <v>12</v>
      </c>
      <c r="AE144" s="117">
        <v>12</v>
      </c>
    </row>
    <row r="145" spans="2:31">
      <c r="B145" s="25"/>
      <c r="C145" s="35" t="s">
        <v>66</v>
      </c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</row>
    <row r="146" spans="2:31">
      <c r="B146" s="7" t="s">
        <v>163</v>
      </c>
      <c r="C146" s="20" t="s">
        <v>164</v>
      </c>
      <c r="D146" s="20"/>
      <c r="E146" s="20"/>
      <c r="F146" s="20"/>
      <c r="G146" s="849"/>
      <c r="H146" s="851"/>
      <c r="I146" s="851"/>
      <c r="J146" s="851"/>
      <c r="K146" s="851"/>
      <c r="L146" s="851"/>
      <c r="M146" s="851">
        <v>439.82167100304002</v>
      </c>
      <c r="N146" s="850">
        <v>419.15005246589715</v>
      </c>
      <c r="O146" s="850">
        <v>399.45</v>
      </c>
      <c r="P146" s="850">
        <v>357.78974358974364</v>
      </c>
      <c r="Q146" s="852">
        <v>348.84500000000003</v>
      </c>
      <c r="R146" s="857">
        <v>278.39999999999998</v>
      </c>
      <c r="S146" s="857">
        <v>272.5</v>
      </c>
      <c r="T146" s="857">
        <v>216.4</v>
      </c>
      <c r="U146" s="857">
        <v>125.7</v>
      </c>
      <c r="V146" s="93">
        <f>Assumptions!V42</f>
        <v>139.1</v>
      </c>
      <c r="W146" s="93">
        <f>Assumptions!W42</f>
        <v>129.30000000000001</v>
      </c>
      <c r="X146" s="93">
        <f>Assumptions!X42</f>
        <v>103.1</v>
      </c>
      <c r="Y146" s="93">
        <f>Assumptions!Y42</f>
        <v>95.8</v>
      </c>
      <c r="Z146" s="93">
        <f>Assumptions!Z42</f>
        <v>100.8</v>
      </c>
      <c r="AA146" s="93">
        <f>Assumptions!AA42</f>
        <v>84</v>
      </c>
      <c r="AB146" s="93">
        <f>Assumptions!AB42</f>
        <v>60.5</v>
      </c>
      <c r="AC146" s="93">
        <f>Assumptions!AC42</f>
        <v>62</v>
      </c>
      <c r="AD146" s="93">
        <f>Assumptions!AD42</f>
        <v>66.599999999999994</v>
      </c>
      <c r="AE146" s="93">
        <f>Assumptions!AE42</f>
        <v>82.2</v>
      </c>
    </row>
    <row r="147" spans="2:31">
      <c r="B147" s="7"/>
      <c r="C147" s="20" t="s">
        <v>165</v>
      </c>
      <c r="D147" s="20"/>
      <c r="E147" s="20"/>
      <c r="F147" s="20"/>
      <c r="G147" s="849"/>
      <c r="H147" s="851"/>
      <c r="I147" s="851"/>
      <c r="J147" s="851"/>
      <c r="K147" s="851"/>
      <c r="L147" s="851"/>
      <c r="M147" s="855">
        <v>839.79610000000002</v>
      </c>
      <c r="N147" s="855">
        <v>836.85630000000003</v>
      </c>
      <c r="O147" s="855">
        <v>817.12740000000008</v>
      </c>
      <c r="P147" s="855">
        <v>643.42939999999999</v>
      </c>
      <c r="Q147" s="855">
        <v>708.21699999999998</v>
      </c>
      <c r="R147" s="280">
        <v>530.1</v>
      </c>
      <c r="S147" s="280">
        <v>475</v>
      </c>
      <c r="T147" s="280">
        <v>389.2</v>
      </c>
      <c r="U147" s="280">
        <v>251.2</v>
      </c>
      <c r="V147" s="280">
        <f t="shared" ref="V147:AE147" si="68">V149</f>
        <v>257.10000000000002</v>
      </c>
      <c r="W147" s="280">
        <f t="shared" si="68"/>
        <v>261.39999999999998</v>
      </c>
      <c r="X147" s="280">
        <f t="shared" si="68"/>
        <v>205.2</v>
      </c>
      <c r="Y147" s="280">
        <f t="shared" si="68"/>
        <v>159.69999999999999</v>
      </c>
      <c r="Z147" s="280">
        <f t="shared" si="68"/>
        <v>197.3</v>
      </c>
      <c r="AA147" s="280">
        <f t="shared" si="68"/>
        <v>171.2</v>
      </c>
      <c r="AB147" s="280">
        <f t="shared" si="68"/>
        <v>104.8</v>
      </c>
      <c r="AC147" s="280">
        <f t="shared" si="68"/>
        <v>110.04</v>
      </c>
      <c r="AD147" s="280">
        <f t="shared" si="68"/>
        <v>123.1</v>
      </c>
      <c r="AE147" s="280">
        <f t="shared" si="68"/>
        <v>159.9</v>
      </c>
    </row>
    <row r="148" spans="2:31">
      <c r="B148" s="7"/>
      <c r="C148" s="20" t="s">
        <v>166</v>
      </c>
      <c r="D148" s="20"/>
      <c r="E148" s="20"/>
      <c r="F148" s="20"/>
      <c r="G148" s="849"/>
      <c r="H148" s="851"/>
      <c r="I148" s="851"/>
      <c r="J148" s="851"/>
      <c r="K148" s="851"/>
      <c r="L148" s="851"/>
      <c r="M148" s="852">
        <v>0</v>
      </c>
      <c r="N148" s="852">
        <v>0</v>
      </c>
      <c r="O148" s="852">
        <v>0</v>
      </c>
      <c r="P148" s="852">
        <v>0</v>
      </c>
      <c r="Q148" s="852">
        <v>0</v>
      </c>
      <c r="R148" s="852">
        <v>0</v>
      </c>
      <c r="S148" s="852">
        <v>0</v>
      </c>
      <c r="T148" s="852">
        <v>0</v>
      </c>
      <c r="U148" s="852">
        <v>0</v>
      </c>
    </row>
    <row r="149" spans="2:31">
      <c r="B149" s="7" t="s">
        <v>167</v>
      </c>
      <c r="C149" s="20" t="s">
        <v>168</v>
      </c>
      <c r="D149" s="20"/>
      <c r="E149" s="20"/>
      <c r="F149" s="20"/>
      <c r="G149" s="852">
        <v>545.97980000000007</v>
      </c>
      <c r="H149" s="852">
        <v>537.0951</v>
      </c>
      <c r="I149" s="852">
        <v>601.37310000000002</v>
      </c>
      <c r="J149" s="852">
        <v>682.2509</v>
      </c>
      <c r="K149" s="852">
        <v>614.48890000000006</v>
      </c>
      <c r="L149" s="852">
        <v>798.69100000000003</v>
      </c>
      <c r="M149" s="852">
        <v>839.79610000000002</v>
      </c>
      <c r="N149" s="852">
        <v>836.85630000000003</v>
      </c>
      <c r="O149" s="852">
        <v>817.12740000000008</v>
      </c>
      <c r="P149" s="852">
        <v>643.42939999999999</v>
      </c>
      <c r="Q149" s="852">
        <v>708.21699999999998</v>
      </c>
      <c r="R149" s="857">
        <v>530.1</v>
      </c>
      <c r="S149" s="857">
        <v>475</v>
      </c>
      <c r="T149" s="857">
        <v>389.2</v>
      </c>
      <c r="U149" s="857">
        <v>251.2</v>
      </c>
      <c r="V149">
        <f>Trade!V62/1000</f>
        <v>257.10000000000002</v>
      </c>
      <c r="W149">
        <f>Trade!W62/1000</f>
        <v>261.39999999999998</v>
      </c>
      <c r="X149">
        <f>Trade!X62/1000</f>
        <v>205.2</v>
      </c>
      <c r="Y149">
        <f>Trade!Y62/1000</f>
        <v>159.69999999999999</v>
      </c>
      <c r="Z149">
        <f>Trade!Z62/1000</f>
        <v>197.3</v>
      </c>
      <c r="AA149">
        <f>Trade!AA62/1000</f>
        <v>171.2</v>
      </c>
      <c r="AB149">
        <f>Trade!AB62/1000</f>
        <v>104.8</v>
      </c>
      <c r="AC149">
        <f>Trade!AC62/1000</f>
        <v>110.04</v>
      </c>
      <c r="AD149">
        <f>Trade!AD62/1000</f>
        <v>123.1</v>
      </c>
      <c r="AE149" s="159">
        <f>Trade!AE62/1000</f>
        <v>159.9</v>
      </c>
    </row>
    <row r="150" spans="2:31" ht="15.75">
      <c r="B150" s="7" t="s">
        <v>169</v>
      </c>
      <c r="C150" s="32" t="s">
        <v>170</v>
      </c>
      <c r="D150" s="32"/>
      <c r="E150" s="32"/>
      <c r="F150" s="32"/>
      <c r="G150" s="852">
        <v>198.54229999999998</v>
      </c>
      <c r="H150" s="852">
        <v>185.0301</v>
      </c>
      <c r="I150" s="852">
        <v>178.00910000000002</v>
      </c>
      <c r="J150" s="852">
        <v>235.8134</v>
      </c>
      <c r="K150" s="852">
        <v>284.78959999999995</v>
      </c>
      <c r="L150" s="852">
        <v>361.82299999999998</v>
      </c>
      <c r="M150" s="852">
        <v>386.67</v>
      </c>
      <c r="N150" s="852">
        <v>376.5831</v>
      </c>
      <c r="O150" s="852">
        <v>377.70850000000002</v>
      </c>
      <c r="P150" s="852">
        <v>290.05579999999998</v>
      </c>
      <c r="Q150" s="852">
        <v>318.69799999999998</v>
      </c>
      <c r="R150" s="857">
        <v>264.39999999999998</v>
      </c>
      <c r="S150" s="857">
        <v>249.50399999999999</v>
      </c>
      <c r="T150" s="857">
        <v>202.524</v>
      </c>
      <c r="U150" s="857">
        <v>130.6</v>
      </c>
      <c r="V150">
        <f>Trade!V49</f>
        <v>133.80000000000001</v>
      </c>
      <c r="W150">
        <f>Trade!W49</f>
        <v>135.30000000000001</v>
      </c>
      <c r="X150">
        <f>Trade!X49</f>
        <v>106.7</v>
      </c>
      <c r="Y150">
        <f>Trade!Y49</f>
        <v>85.2</v>
      </c>
      <c r="Z150">
        <f>Trade!Z49</f>
        <v>105.6</v>
      </c>
      <c r="AA150">
        <f>Trade!AA49</f>
        <v>89</v>
      </c>
      <c r="AB150">
        <f>Trade!AB49</f>
        <v>54.5</v>
      </c>
      <c r="AC150">
        <f>Trade!AC49</f>
        <v>70.2</v>
      </c>
      <c r="AD150">
        <f>Trade!AD49</f>
        <v>76.900000000000006</v>
      </c>
      <c r="AE150" s="159">
        <f>Trade!AE49</f>
        <v>90.2</v>
      </c>
    </row>
    <row r="151" spans="2:31">
      <c r="B151" s="7"/>
      <c r="C151" s="36" t="s">
        <v>171</v>
      </c>
      <c r="D151" s="36"/>
      <c r="E151" s="36"/>
      <c r="F151" s="36"/>
      <c r="G151" s="852"/>
      <c r="H151" s="852"/>
      <c r="I151" s="852"/>
      <c r="J151" s="852"/>
      <c r="K151" s="852"/>
      <c r="L151" s="852"/>
      <c r="M151" s="852"/>
      <c r="N151" s="852"/>
      <c r="O151" s="852"/>
      <c r="P151" s="852"/>
      <c r="Q151" s="852"/>
      <c r="R151" s="852"/>
      <c r="S151" s="852"/>
      <c r="T151" s="852"/>
      <c r="U151" s="852"/>
    </row>
    <row r="152" spans="2:31">
      <c r="B152" s="7" t="s">
        <v>172</v>
      </c>
      <c r="C152" s="32" t="s">
        <v>173</v>
      </c>
      <c r="D152" s="32"/>
      <c r="E152" s="32"/>
      <c r="F152" s="32"/>
      <c r="G152" s="856">
        <v>273.5412</v>
      </c>
      <c r="H152" s="856">
        <v>286.99379999999996</v>
      </c>
      <c r="I152" s="856">
        <v>305.43</v>
      </c>
      <c r="J152" s="856">
        <v>316.67609999999996</v>
      </c>
      <c r="K152" s="856">
        <v>342.63380000000001</v>
      </c>
      <c r="L152" s="856">
        <v>375.28100000000001</v>
      </c>
      <c r="M152" s="856">
        <v>408.86190000000005</v>
      </c>
      <c r="N152" s="856">
        <v>411.1574</v>
      </c>
      <c r="O152" s="856">
        <v>393.40530000000001</v>
      </c>
      <c r="P152" s="856">
        <v>348.69099999999997</v>
      </c>
      <c r="Q152" s="856">
        <v>339.38579321715378</v>
      </c>
      <c r="R152" s="857">
        <v>0.27764999999999995</v>
      </c>
      <c r="S152" s="857">
        <v>264.7989</v>
      </c>
      <c r="T152" s="857">
        <v>200.2</v>
      </c>
      <c r="U152" s="857">
        <v>125.7</v>
      </c>
      <c r="V152">
        <f>Trade!V15/1000</f>
        <v>130.9</v>
      </c>
      <c r="W152">
        <f>Trade!W15/1000</f>
        <v>129.69999999999999</v>
      </c>
      <c r="X152">
        <f>Trade!X15/1000</f>
        <v>101.4</v>
      </c>
      <c r="Y152">
        <f>Trade!Y15/1000</f>
        <v>94.8</v>
      </c>
      <c r="Z152">
        <f>Trade!Z15/1000</f>
        <v>96.8</v>
      </c>
      <c r="AA152">
        <f>Trade!AA15/1000</f>
        <v>87</v>
      </c>
      <c r="AB152">
        <f>Trade!AB15/1000</f>
        <v>55.6</v>
      </c>
      <c r="AC152">
        <f>Trade!AC15/1000</f>
        <v>56.5</v>
      </c>
      <c r="AD152">
        <f>Trade!AD15/1000</f>
        <v>59.1</v>
      </c>
      <c r="AE152" s="159">
        <f>Trade!AE15/1000</f>
        <v>76.099999999999994</v>
      </c>
    </row>
    <row r="153" spans="2:31">
      <c r="B153" s="7"/>
      <c r="C153" s="32" t="s">
        <v>174</v>
      </c>
      <c r="D153" s="32"/>
      <c r="E153" s="32"/>
      <c r="F153" s="32"/>
      <c r="G153" s="852"/>
      <c r="H153" s="852"/>
      <c r="I153" s="852"/>
      <c r="J153" s="852"/>
      <c r="K153" s="852"/>
      <c r="L153" s="852"/>
      <c r="M153" s="852"/>
      <c r="N153" s="852"/>
      <c r="O153" s="852"/>
      <c r="P153" s="852"/>
      <c r="Q153" s="852">
        <v>6.7919999999999998</v>
      </c>
      <c r="R153" s="857">
        <v>10.337</v>
      </c>
      <c r="S153" s="857">
        <v>7.0529999999999999</v>
      </c>
      <c r="T153" s="853">
        <v>5.6009878899082572</v>
      </c>
      <c r="U153" s="853">
        <v>3.2534388990825689</v>
      </c>
      <c r="V153" s="93">
        <f>V155*(V146-V154)/100</f>
        <v>3.6002653211009177</v>
      </c>
      <c r="W153" s="93">
        <f t="shared" ref="W153:AE153" si="69">W155*(W146-W154)/100</f>
        <v>3.3466161467889912</v>
      </c>
      <c r="X153" s="93">
        <f t="shared" si="69"/>
        <v>2.6684928440366971</v>
      </c>
      <c r="Y153" s="93">
        <f t="shared" si="69"/>
        <v>2.4795500917431195</v>
      </c>
      <c r="Z153" s="93">
        <f t="shared" si="69"/>
        <v>2.6089629357798167</v>
      </c>
      <c r="AA153" s="93">
        <f t="shared" si="69"/>
        <v>2.1741357798165142</v>
      </c>
      <c r="AB153" s="93">
        <f t="shared" si="69"/>
        <v>1.5658954128440368</v>
      </c>
      <c r="AC153" s="93">
        <f t="shared" si="69"/>
        <v>1.604719266055046</v>
      </c>
      <c r="AD153" s="93">
        <f t="shared" si="69"/>
        <v>1.7237790825688071</v>
      </c>
      <c r="AE153" s="93">
        <f t="shared" si="69"/>
        <v>2.127547155963303</v>
      </c>
    </row>
    <row r="154" spans="2:31">
      <c r="B154" s="7"/>
      <c r="C154" s="37" t="s">
        <v>175</v>
      </c>
      <c r="D154" s="37"/>
      <c r="E154" s="37"/>
      <c r="F154" s="37"/>
      <c r="G154" s="852"/>
      <c r="H154" s="852"/>
      <c r="I154" s="852"/>
      <c r="J154" s="852"/>
      <c r="K154" s="852"/>
      <c r="L154" s="852"/>
      <c r="M154" s="852"/>
      <c r="N154" s="852"/>
      <c r="O154" s="852"/>
      <c r="P154" s="852"/>
      <c r="Q154" s="853">
        <v>4.0469999999999997</v>
      </c>
      <c r="R154" s="854">
        <v>4.3165301999999999</v>
      </c>
      <c r="S154" s="854">
        <v>4.2250520096982758</v>
      </c>
      <c r="T154" s="854">
        <v>3.3552339629310346</v>
      </c>
      <c r="U154" s="854">
        <v>1.9489505967672416</v>
      </c>
      <c r="V154" s="93">
        <v>2.156714622198276</v>
      </c>
      <c r="W154" s="93">
        <f>V154*W146/V146</f>
        <v>2.0047677976293108</v>
      </c>
      <c r="X154" s="93">
        <f t="shared" ref="X154:AD154" si="70">W154*X146/W146</f>
        <v>1.5985426135775862</v>
      </c>
      <c r="Y154" s="93">
        <f t="shared" si="70"/>
        <v>1.4853577340517241</v>
      </c>
      <c r="Z154" s="93">
        <f t="shared" si="70"/>
        <v>1.5628816241379311</v>
      </c>
      <c r="AA154" s="93">
        <f t="shared" si="70"/>
        <v>1.3024013534482759</v>
      </c>
      <c r="AB154" s="93">
        <f t="shared" si="70"/>
        <v>0.93803907004310338</v>
      </c>
      <c r="AC154" s="93">
        <f t="shared" si="70"/>
        <v>0.9612962370689655</v>
      </c>
      <c r="AD154" s="93">
        <f t="shared" si="70"/>
        <v>1.0326182159482757</v>
      </c>
      <c r="AE154" s="93">
        <f>AD154*AE146/AD146</f>
        <v>1.2744927530172412</v>
      </c>
    </row>
    <row r="155" spans="2:31">
      <c r="C155" s="13" t="s">
        <v>176</v>
      </c>
      <c r="G155"/>
      <c r="H155"/>
      <c r="I155"/>
      <c r="J155"/>
      <c r="K155"/>
      <c r="L155"/>
      <c r="M155"/>
      <c r="N155"/>
      <c r="O155"/>
      <c r="P155"/>
      <c r="Q155" s="818">
        <v>1.9698490130453192</v>
      </c>
      <c r="R155" s="818">
        <v>3.7714788153926095</v>
      </c>
      <c r="S155" s="818">
        <v>2.6290192404603392</v>
      </c>
      <c r="T155" s="818">
        <v>2.6290192404603392</v>
      </c>
      <c r="U155" s="818">
        <v>2.6290192404603392</v>
      </c>
      <c r="V155" s="93">
        <v>2.6290192404603392</v>
      </c>
      <c r="W155" s="93">
        <v>2.6290192404603392</v>
      </c>
      <c r="X155" s="93">
        <v>2.6290192404603392</v>
      </c>
      <c r="Y155" s="93">
        <v>2.6290192404603392</v>
      </c>
      <c r="Z155" s="93">
        <v>2.6290192404603392</v>
      </c>
      <c r="AA155" s="93">
        <v>2.6290192404603392</v>
      </c>
      <c r="AB155" s="93">
        <v>2.6290192404603392</v>
      </c>
      <c r="AC155" s="93">
        <v>2.6290192404603392</v>
      </c>
      <c r="AD155" s="93">
        <v>2.6290192404603392</v>
      </c>
      <c r="AE155" s="93">
        <v>2.6290192404603392</v>
      </c>
    </row>
    <row r="156" spans="2:31" ht="15.75">
      <c r="B156" s="7" t="s">
        <v>177</v>
      </c>
      <c r="C156" s="32" t="s">
        <v>178</v>
      </c>
      <c r="D156" s="32"/>
      <c r="E156" s="32"/>
      <c r="F156" s="32"/>
      <c r="G156" s="848">
        <v>433.55529999999999</v>
      </c>
      <c r="H156" s="848">
        <v>398.39709999999997</v>
      </c>
      <c r="I156" s="848">
        <v>398.55520000000001</v>
      </c>
      <c r="J156" s="848">
        <v>429.55379999999997</v>
      </c>
      <c r="K156" s="848">
        <v>563.35440000000006</v>
      </c>
      <c r="L156" s="848">
        <v>563.01599999999996</v>
      </c>
      <c r="M156" s="848">
        <v>1049.5101999999999</v>
      </c>
      <c r="N156" s="848">
        <v>1082.9825000000001</v>
      </c>
      <c r="O156" s="848">
        <v>1012.9915999999999</v>
      </c>
      <c r="P156" s="848">
        <v>589.46249999999998</v>
      </c>
      <c r="Q156" s="848">
        <v>735.5</v>
      </c>
      <c r="R156" s="858">
        <v>664.6</v>
      </c>
      <c r="S156" s="858">
        <v>535.50900000000001</v>
      </c>
      <c r="T156" s="858">
        <v>369.5</v>
      </c>
      <c r="U156" s="858">
        <v>234.2</v>
      </c>
      <c r="V156">
        <f>Trade!V6</f>
        <v>216.2</v>
      </c>
      <c r="W156">
        <f>Trade!W6</f>
        <v>207.5</v>
      </c>
      <c r="X156">
        <f>Trade!X6</f>
        <v>200.7</v>
      </c>
      <c r="Y156">
        <f>Trade!Y6</f>
        <v>199.3</v>
      </c>
      <c r="Z156">
        <f>Trade!Z6</f>
        <v>173.2</v>
      </c>
      <c r="AA156">
        <f>Trade!AA6</f>
        <v>136.19999999999999</v>
      </c>
      <c r="AB156">
        <f>Trade!AB6</f>
        <v>135.1</v>
      </c>
      <c r="AC156">
        <f>Trade!AC6</f>
        <v>139.9</v>
      </c>
      <c r="AD156">
        <f>Trade!AD6</f>
        <v>132.30000000000001</v>
      </c>
      <c r="AE156" s="564">
        <f>Trade!AE6</f>
        <v>183.6</v>
      </c>
    </row>
    <row r="158" spans="2:31">
      <c r="B158" s="7"/>
      <c r="C158" s="32" t="s">
        <v>179</v>
      </c>
      <c r="D158" s="32"/>
      <c r="E158" s="32"/>
      <c r="F158" s="32"/>
      <c r="G158" s="852"/>
      <c r="H158" s="852"/>
      <c r="I158" s="852"/>
      <c r="J158" s="852"/>
      <c r="K158" s="852"/>
      <c r="L158" s="852"/>
      <c r="M158" s="852"/>
      <c r="N158" s="852"/>
      <c r="O158" s="852"/>
      <c r="P158" s="852"/>
      <c r="Q158" s="852">
        <v>13.676</v>
      </c>
      <c r="R158" s="861">
        <v>14.282</v>
      </c>
      <c r="S158" s="862">
        <v>7.6360000000000001</v>
      </c>
      <c r="T158" s="860">
        <v>5.9668738551939115E-3</v>
      </c>
      <c r="U158" s="860">
        <v>3.4988564222104114E-3</v>
      </c>
      <c r="V158" s="94">
        <f>V153*V164</f>
        <v>3.4310065824102707</v>
      </c>
      <c r="W158" s="94">
        <f t="shared" ref="W158:AE158" si="71">W153*W164</f>
        <v>3.0892640323029283</v>
      </c>
      <c r="X158" s="94">
        <f t="shared" si="71"/>
        <v>3.0475192738569823</v>
      </c>
      <c r="Y158" s="94">
        <f t="shared" si="71"/>
        <v>3.0077577093833345</v>
      </c>
      <c r="Z158" s="94">
        <f t="shared" si="71"/>
        <v>2.6934656460033914</v>
      </c>
      <c r="AA158" s="94">
        <f t="shared" si="71"/>
        <v>1.963882586041654</v>
      </c>
      <c r="AB158" s="94">
        <f t="shared" si="71"/>
        <v>2.1954032879254277</v>
      </c>
      <c r="AC158" s="94">
        <f t="shared" si="71"/>
        <v>2.2926583130957248</v>
      </c>
      <c r="AD158" s="94">
        <f t="shared" si="71"/>
        <v>2.2265116438286259</v>
      </c>
      <c r="AE158" s="94">
        <f t="shared" si="71"/>
        <v>2.9616805676043683</v>
      </c>
    </row>
    <row r="159" spans="2:31">
      <c r="B159" s="7"/>
      <c r="C159" s="37" t="s">
        <v>180</v>
      </c>
      <c r="D159" s="37"/>
      <c r="E159" s="37"/>
      <c r="F159" s="37"/>
      <c r="G159" s="852"/>
      <c r="H159" s="852"/>
      <c r="I159" s="852"/>
      <c r="J159" s="852"/>
      <c r="K159" s="852"/>
      <c r="L159" s="852"/>
      <c r="M159" s="852"/>
      <c r="N159" s="852"/>
      <c r="O159" s="852"/>
      <c r="P159" s="852"/>
      <c r="Q159" s="852">
        <v>2.222</v>
      </c>
      <c r="R159" s="854">
        <v>2.5175260000000002</v>
      </c>
      <c r="S159" s="860">
        <v>2.8523569580000001</v>
      </c>
      <c r="T159" s="860">
        <v>3.2317204334139999</v>
      </c>
      <c r="U159" s="860">
        <v>3.6615392510580618</v>
      </c>
      <c r="V159" s="94">
        <v>4.1485239714487836</v>
      </c>
      <c r="W159" s="94">
        <v>4.7002776596514719</v>
      </c>
      <c r="X159" s="94">
        <v>5.3254145883851178</v>
      </c>
      <c r="Y159" s="94">
        <v>5.254048029557576</v>
      </c>
      <c r="Z159" s="94">
        <v>4.7050325316817405</v>
      </c>
      <c r="AA159" s="94">
        <v>3.4305733468106068</v>
      </c>
      <c r="AB159" s="94">
        <v>3.8350011648291078</v>
      </c>
      <c r="AC159" s="94">
        <v>4.0048893748290215</v>
      </c>
      <c r="AD159" s="94">
        <v>3.6207089947470577</v>
      </c>
      <c r="AE159" s="94">
        <v>4.4073948509712695</v>
      </c>
    </row>
    <row r="160" spans="2:31">
      <c r="B160" s="29"/>
      <c r="C160" s="32"/>
      <c r="D160" s="32"/>
      <c r="E160" s="32"/>
      <c r="F160" s="32"/>
      <c r="G160" s="848">
        <v>273541.2</v>
      </c>
      <c r="H160" s="849"/>
      <c r="I160" s="850"/>
      <c r="J160" s="850"/>
      <c r="K160" s="850"/>
      <c r="L160" s="850"/>
      <c r="M160" s="850"/>
      <c r="N160" s="850"/>
      <c r="O160" s="850"/>
      <c r="P160" s="850"/>
      <c r="Q160" s="865"/>
      <c r="R160" s="866"/>
      <c r="S160" s="849"/>
      <c r="T160" s="859"/>
      <c r="U160" s="848"/>
      <c r="V160" s="666">
        <f t="shared" ref="V160:AD160" si="72">V154*V165</f>
        <v>4.1485239714487836</v>
      </c>
      <c r="W160" s="666">
        <f t="shared" si="72"/>
        <v>4.7002776596514719</v>
      </c>
      <c r="X160" s="666">
        <f t="shared" si="72"/>
        <v>5.3254145883851178</v>
      </c>
      <c r="Y160" s="666">
        <f t="shared" si="72"/>
        <v>5.254048029557576</v>
      </c>
      <c r="Z160" s="666">
        <f t="shared" si="72"/>
        <v>4.7050325316817405</v>
      </c>
      <c r="AA160" s="666">
        <f t="shared" si="72"/>
        <v>3.4305733468106068</v>
      </c>
      <c r="AB160" s="666">
        <f t="shared" si="72"/>
        <v>3.8350011648291078</v>
      </c>
      <c r="AC160" s="666">
        <f t="shared" si="72"/>
        <v>4.0048893748290215</v>
      </c>
      <c r="AD160" s="666">
        <f t="shared" si="72"/>
        <v>3.6207089947470577</v>
      </c>
      <c r="AE160" s="666">
        <f>AE154*AE165</f>
        <v>4.4073948509712695</v>
      </c>
    </row>
    <row r="161" spans="2:32" ht="15.75">
      <c r="B161" s="7" t="s">
        <v>181</v>
      </c>
      <c r="C161" s="32" t="s">
        <v>182</v>
      </c>
      <c r="D161" s="32"/>
      <c r="E161" s="32"/>
      <c r="F161" s="32"/>
      <c r="G161" s="653"/>
      <c r="H161" s="653"/>
      <c r="I161" s="653"/>
      <c r="J161" s="653"/>
      <c r="K161" s="653"/>
      <c r="L161" s="653"/>
      <c r="M161" s="653">
        <v>1.909401367342346</v>
      </c>
      <c r="N161" s="653">
        <v>1.9965553984228315</v>
      </c>
      <c r="O161" s="653">
        <v>2.0456312429590691</v>
      </c>
      <c r="P161" s="653">
        <v>1.798345009961444</v>
      </c>
      <c r="Q161" s="653">
        <v>2.0301767260531181</v>
      </c>
      <c r="R161" s="864">
        <v>1.9040948275862071</v>
      </c>
      <c r="S161" s="864">
        <v>1.7431192660550459</v>
      </c>
      <c r="T161" s="864">
        <v>1.798521256931608</v>
      </c>
      <c r="U161" s="864">
        <v>1.9984089101034208</v>
      </c>
      <c r="V161" s="94">
        <f>V149/V146</f>
        <v>1.8483105679367364</v>
      </c>
      <c r="W161" s="94">
        <f t="shared" ref="W161:AE161" si="73">W149/W146</f>
        <v>2.0216550657385919</v>
      </c>
      <c r="X161" s="94">
        <f t="shared" si="73"/>
        <v>1.9903006789524733</v>
      </c>
      <c r="Y161" s="94">
        <f t="shared" si="73"/>
        <v>1.6670146137787056</v>
      </c>
      <c r="Z161" s="94">
        <f t="shared" si="73"/>
        <v>1.95734126984127</v>
      </c>
      <c r="AA161" s="94">
        <f t="shared" si="73"/>
        <v>2.038095238095238</v>
      </c>
      <c r="AB161" s="94">
        <f t="shared" si="73"/>
        <v>1.7322314049586776</v>
      </c>
      <c r="AC161" s="94">
        <f t="shared" si="73"/>
        <v>1.7748387096774194</v>
      </c>
      <c r="AD161" s="94">
        <f t="shared" si="73"/>
        <v>1.8483483483483485</v>
      </c>
      <c r="AE161" s="94">
        <f t="shared" si="73"/>
        <v>1.9452554744525548</v>
      </c>
    </row>
    <row r="162" spans="2:32" ht="15.75">
      <c r="B162" s="7" t="s">
        <v>183</v>
      </c>
      <c r="C162" s="32" t="s">
        <v>184</v>
      </c>
      <c r="D162" s="32"/>
      <c r="E162" s="32"/>
      <c r="F162" s="32"/>
      <c r="G162" s="653">
        <v>1.5849725745152832</v>
      </c>
      <c r="H162" s="653">
        <v>1.3881731939853754</v>
      </c>
      <c r="I162" s="653">
        <v>1.3048986674524441</v>
      </c>
      <c r="J162" s="653">
        <v>1.3564452764196604</v>
      </c>
      <c r="K162" s="653">
        <v>1.6441880514998812</v>
      </c>
      <c r="L162" s="653">
        <v>1.5002518113093921</v>
      </c>
      <c r="M162" s="653">
        <v>2.5669063319423988</v>
      </c>
      <c r="N162" s="653">
        <v>2.6339851842627668</v>
      </c>
      <c r="O162" s="653">
        <v>2.5749312477488226</v>
      </c>
      <c r="P162" s="653">
        <v>1.6905010453381362</v>
      </c>
      <c r="Q162" s="653">
        <v>2.167150230503005</v>
      </c>
      <c r="R162" s="858">
        <v>2393661.0840986855</v>
      </c>
      <c r="S162" s="858">
        <v>2022.3233555728514</v>
      </c>
      <c r="T162" s="858">
        <v>1845.6543456543457</v>
      </c>
      <c r="U162" s="858">
        <v>1863.1662688941924</v>
      </c>
      <c r="V162" s="93">
        <f>Trade!V24</f>
        <v>1651.6424751718869</v>
      </c>
      <c r="W162" s="93">
        <f>Trade!W24</f>
        <v>1599.8457979953739</v>
      </c>
      <c r="X162" s="93">
        <f>Trade!X24</f>
        <v>1979.2899408284022</v>
      </c>
      <c r="Y162" s="93">
        <f>Trade!Y24</f>
        <v>2102.3206751054854</v>
      </c>
      <c r="Z162" s="93">
        <f>Trade!Z24</f>
        <v>1789.2561983471073</v>
      </c>
      <c r="AA162" s="93">
        <f>Trade!AA24</f>
        <v>1565.5172413793102</v>
      </c>
      <c r="AB162" s="93">
        <f>Trade!AB24</f>
        <v>2429.8561151079134</v>
      </c>
      <c r="AC162" s="93">
        <f>Trade!AC24</f>
        <v>2476.1061946902655</v>
      </c>
      <c r="AD162" s="93">
        <f>Trade!AD24</f>
        <v>2238.5786802030461</v>
      </c>
      <c r="AE162" s="93">
        <f>Trade!AE24</f>
        <v>2412.6149802890932</v>
      </c>
    </row>
    <row r="163" spans="2:32" ht="15.75">
      <c r="B163" s="7" t="s">
        <v>185</v>
      </c>
      <c r="C163" s="32" t="s">
        <v>186</v>
      </c>
      <c r="D163" s="32"/>
      <c r="E163" s="32"/>
      <c r="F163" s="32"/>
      <c r="G163" s="653">
        <v>0.36364403957802094</v>
      </c>
      <c r="H163" s="653">
        <v>0.34450156033819712</v>
      </c>
      <c r="I163" s="653">
        <v>0.2960044272016823</v>
      </c>
      <c r="J163" s="653">
        <v>0.34564029157015402</v>
      </c>
      <c r="K163" s="653">
        <v>0.46345768003295085</v>
      </c>
      <c r="L163" s="653">
        <v>0.45302000398151471</v>
      </c>
      <c r="M163" s="653">
        <v>0.4604331932477419</v>
      </c>
      <c r="N163" s="653">
        <v>0.44999732929058428</v>
      </c>
      <c r="O163" s="653">
        <v>0.46223942557794534</v>
      </c>
      <c r="P163" s="653">
        <v>0.45079662197593084</v>
      </c>
      <c r="Q163" s="653">
        <v>0.45000049419881188</v>
      </c>
      <c r="R163" s="280">
        <v>498.7738162610828</v>
      </c>
      <c r="S163" s="280">
        <v>525.27157894736831</v>
      </c>
      <c r="T163" s="280">
        <v>520.35971223021591</v>
      </c>
      <c r="U163" s="280">
        <v>519.90445859872614</v>
      </c>
      <c r="V163" s="94">
        <f>Trade!V75</f>
        <v>520.4200700116686</v>
      </c>
      <c r="W163" s="94">
        <f>Trade!W75</f>
        <v>517.59755164498858</v>
      </c>
      <c r="X163" s="94">
        <f>Trade!X75</f>
        <v>519.98050682261203</v>
      </c>
      <c r="Y163" s="94">
        <f>Trade!Y75</f>
        <v>533.50031308703819</v>
      </c>
      <c r="Z163" s="94">
        <f>Trade!Z75</f>
        <v>535.22554485554986</v>
      </c>
      <c r="AA163" s="94">
        <f>Trade!AA75</f>
        <v>519.85981308411215</v>
      </c>
      <c r="AB163" s="94">
        <f>Trade!AB75</f>
        <v>520.03816793893134</v>
      </c>
      <c r="AC163" s="94">
        <f>Trade!AC75</f>
        <v>637.94983642311888</v>
      </c>
      <c r="AD163" s="94">
        <f>Trade!AD75</f>
        <v>624.69536961819665</v>
      </c>
      <c r="AE163" s="94">
        <f>Trade!AE75</f>
        <v>564.1025641025642</v>
      </c>
    </row>
    <row r="164" spans="2:32">
      <c r="B164" s="7"/>
      <c r="C164" s="32" t="s">
        <v>187</v>
      </c>
      <c r="D164" s="32"/>
      <c r="E164" s="32"/>
      <c r="F164" s="32"/>
      <c r="G164" s="653"/>
      <c r="H164" s="653"/>
      <c r="I164" s="653"/>
      <c r="J164" s="653"/>
      <c r="K164" s="653"/>
      <c r="L164" s="653"/>
      <c r="M164" s="653"/>
      <c r="N164" s="653"/>
      <c r="O164" s="653"/>
      <c r="P164" s="653"/>
      <c r="Q164" s="653">
        <v>2.013545347467609</v>
      </c>
      <c r="R164" s="863">
        <v>1.3816387733384927</v>
      </c>
      <c r="S164" s="863">
        <v>1.1672999067616806E-3</v>
      </c>
      <c r="T164" s="863">
        <v>1.065325255558024E-3</v>
      </c>
      <c r="U164" s="863">
        <v>1.0754332663807048E-3</v>
      </c>
      <c r="V164" s="94">
        <v>0.95298714855857081</v>
      </c>
      <c r="W164" s="94">
        <f>V164*W162/V162</f>
        <v>0.92310079698474323</v>
      </c>
      <c r="X164" s="94">
        <f t="shared" ref="X164:AE164" si="74">W164*X162/W162</f>
        <v>1.1420376414601594</v>
      </c>
      <c r="Y164" s="94">
        <f t="shared" si="74"/>
        <v>1.2130255885529968</v>
      </c>
      <c r="Z164" s="94">
        <f t="shared" si="74"/>
        <v>1.0323893870107115</v>
      </c>
      <c r="AA164" s="94">
        <f t="shared" si="74"/>
        <v>0.90329343929356409</v>
      </c>
      <c r="AB164" s="94">
        <f t="shared" si="74"/>
        <v>1.4020114433684019</v>
      </c>
      <c r="AC164" s="94">
        <f t="shared" si="74"/>
        <v>1.4286974435920312</v>
      </c>
      <c r="AD164" s="94">
        <f t="shared" si="74"/>
        <v>1.2916455863419793</v>
      </c>
      <c r="AE164" s="94">
        <f t="shared" si="74"/>
        <v>1.3920634188074621</v>
      </c>
    </row>
    <row r="165" spans="2:32">
      <c r="B165" s="29"/>
      <c r="C165" s="32" t="s">
        <v>188</v>
      </c>
      <c r="D165" s="32"/>
      <c r="E165" s="32"/>
      <c r="F165" s="32"/>
      <c r="G165" s="682"/>
      <c r="H165" s="682"/>
      <c r="I165" s="682"/>
      <c r="J165" s="682"/>
      <c r="K165" s="682"/>
      <c r="L165" s="682"/>
      <c r="M165" s="682"/>
      <c r="N165" s="682"/>
      <c r="O165" s="682"/>
      <c r="P165" s="682"/>
      <c r="Q165" s="653">
        <v>0.54904867803311097</v>
      </c>
      <c r="R165" s="653">
        <v>0.58322909451670235</v>
      </c>
      <c r="S165" s="653">
        <v>0.6751057623557386</v>
      </c>
      <c r="T165" s="653">
        <v>0.96318780422419881</v>
      </c>
      <c r="U165" s="653">
        <v>1.8787234818222283</v>
      </c>
      <c r="V165" s="94">
        <f>V159/V154</f>
        <v>1.9235386679116195</v>
      </c>
      <c r="W165" s="94">
        <f t="shared" ref="W165:AE165" si="75">W159/W154</f>
        <v>2.344549660668767</v>
      </c>
      <c r="X165" s="94">
        <f t="shared" si="75"/>
        <v>3.3314185953833788</v>
      </c>
      <c r="Y165" s="94">
        <f t="shared" si="75"/>
        <v>3.5372273689420974</v>
      </c>
      <c r="Z165" s="94">
        <f t="shared" si="75"/>
        <v>3.0104855409487499</v>
      </c>
      <c r="AA165" s="94">
        <f t="shared" si="75"/>
        <v>2.6340369946082447</v>
      </c>
      <c r="AB165" s="94">
        <f t="shared" si="75"/>
        <v>4.0883170939275351</v>
      </c>
      <c r="AC165" s="94">
        <f t="shared" si="75"/>
        <v>4.166134455118752</v>
      </c>
      <c r="AD165" s="94">
        <f t="shared" si="75"/>
        <v>3.5063384887337881</v>
      </c>
      <c r="AE165" s="94">
        <f t="shared" si="75"/>
        <v>3.4581560707482866</v>
      </c>
    </row>
    <row r="166" spans="2:32">
      <c r="B166" s="29"/>
      <c r="C166" s="32"/>
      <c r="D166" s="32"/>
      <c r="E166" s="32"/>
      <c r="F166" s="32"/>
      <c r="G166" s="682"/>
      <c r="H166" s="682"/>
      <c r="I166" s="682"/>
      <c r="J166" s="682"/>
      <c r="K166" s="682"/>
      <c r="L166" s="682"/>
      <c r="M166" s="682"/>
      <c r="N166" s="682"/>
      <c r="O166" s="682"/>
      <c r="P166" s="682"/>
      <c r="Q166" s="653"/>
      <c r="R166" s="653"/>
      <c r="S166" s="653"/>
      <c r="T166" s="850"/>
      <c r="U166" s="850"/>
    </row>
    <row r="167" spans="2:32">
      <c r="B167" s="29"/>
      <c r="C167" s="286" t="s">
        <v>192</v>
      </c>
      <c r="D167" s="286"/>
      <c r="E167" s="286"/>
      <c r="F167" s="286"/>
      <c r="G167" s="682"/>
      <c r="H167" s="682"/>
      <c r="I167" s="682"/>
      <c r="J167" s="682"/>
      <c r="K167" s="682"/>
      <c r="L167" s="682"/>
      <c r="M167" s="682"/>
      <c r="N167" s="682"/>
      <c r="O167" s="682"/>
      <c r="P167" s="682"/>
      <c r="Q167" s="653"/>
      <c r="R167" s="653"/>
      <c r="S167" s="653"/>
      <c r="T167" s="850"/>
      <c r="U167" s="850"/>
      <c r="V167" s="85">
        <v>431.7</v>
      </c>
      <c r="W167" s="85">
        <v>448.4</v>
      </c>
      <c r="X167" s="85">
        <v>399.9</v>
      </c>
      <c r="Y167" s="85">
        <f>Y168*Y170*Assumptions!Y12/1000</f>
        <v>686.67839999999944</v>
      </c>
      <c r="Z167" s="85">
        <f>Z168*Z170*Assumptions!Z12/1000</f>
        <v>803.94816000000048</v>
      </c>
      <c r="AA167" s="85">
        <f>AA168*AA170*Assumptions!AA12/1000</f>
        <v>947.95200000000034</v>
      </c>
      <c r="AB167" s="85">
        <f>AB168*AB170*Assumptions!AB12/1000</f>
        <v>947.95200000000057</v>
      </c>
      <c r="AC167" s="85">
        <f>AC168*AC170*Assumptions!AC12/1000</f>
        <v>947.95199999999988</v>
      </c>
      <c r="AD167" s="85">
        <f>AD168*AD170*Assumptions!AD12/1000</f>
        <v>947.952</v>
      </c>
      <c r="AE167" s="85">
        <f>AE168*AE170*Assumptions!AE12/1000</f>
        <v>947.95199999999988</v>
      </c>
    </row>
    <row r="168" spans="2:32">
      <c r="B168" s="29"/>
      <c r="C168" s="37" t="s">
        <v>189</v>
      </c>
      <c r="D168" s="37"/>
      <c r="E168" s="37"/>
      <c r="F168" s="37"/>
      <c r="G168" s="682"/>
      <c r="H168" s="682"/>
      <c r="I168" s="682"/>
      <c r="J168" s="682"/>
      <c r="K168" s="682"/>
      <c r="L168" s="682"/>
      <c r="M168" s="682"/>
      <c r="N168" s="682"/>
      <c r="O168" s="682"/>
      <c r="P168" s="850">
        <v>357.78974358974364</v>
      </c>
      <c r="Q168" s="850">
        <v>348.84500000000003</v>
      </c>
      <c r="R168" s="850">
        <v>278.39999999999998</v>
      </c>
      <c r="S168" s="280">
        <v>272.5</v>
      </c>
      <c r="T168" s="280">
        <v>216.4</v>
      </c>
      <c r="U168" s="280">
        <v>125.7</v>
      </c>
      <c r="V168" s="93">
        <f>Assumptions!V42</f>
        <v>139.1</v>
      </c>
      <c r="W168" s="93">
        <f>Assumptions!W42</f>
        <v>129.30000000000001</v>
      </c>
      <c r="X168" s="93">
        <f>Assumptions!X42</f>
        <v>103.1</v>
      </c>
      <c r="Y168" s="93">
        <f>Assumptions!Y42</f>
        <v>95.8</v>
      </c>
      <c r="Z168" s="93">
        <f>Assumptions!Z42</f>
        <v>100.8</v>
      </c>
      <c r="AA168" s="93">
        <f>Assumptions!AA42</f>
        <v>84</v>
      </c>
      <c r="AB168" s="93">
        <f>Assumptions!AB42</f>
        <v>60.5</v>
      </c>
      <c r="AC168" s="93">
        <f>Assumptions!AC42</f>
        <v>62</v>
      </c>
      <c r="AD168" s="93">
        <f>Assumptions!AD42</f>
        <v>66.599999999999994</v>
      </c>
      <c r="AE168" s="93">
        <f>Assumptions!AE42</f>
        <v>82.2</v>
      </c>
    </row>
    <row r="169" spans="2:32">
      <c r="B169" s="29"/>
      <c r="C169" s="37" t="s">
        <v>190</v>
      </c>
      <c r="D169" s="37"/>
      <c r="E169" s="37"/>
      <c r="F169" s="37"/>
      <c r="G169" s="682"/>
      <c r="H169" s="682"/>
      <c r="I169" s="682"/>
      <c r="J169" s="682"/>
      <c r="K169" s="682"/>
      <c r="L169" s="682"/>
      <c r="M169" s="682"/>
      <c r="N169" s="682"/>
      <c r="O169" s="682"/>
      <c r="P169" s="682"/>
      <c r="Q169" s="653"/>
      <c r="R169" s="653"/>
      <c r="S169" s="653"/>
      <c r="T169" s="284">
        <v>2396.9500924214422</v>
      </c>
      <c r="U169" s="284">
        <v>2187.7486077963404</v>
      </c>
      <c r="V169" s="284">
        <f>V171/V168*1000</f>
        <v>3103.5226455787206</v>
      </c>
      <c r="W169" s="284">
        <f t="shared" ref="W169:AE169" si="76">W171/W168*1000</f>
        <v>3467.9040989945856</v>
      </c>
      <c r="X169" s="284">
        <f t="shared" si="76"/>
        <v>3878.7584869059165</v>
      </c>
      <c r="Y169" s="284">
        <f>Y171/Y168*1000</f>
        <v>7167.832985386216</v>
      </c>
      <c r="Z169" s="284">
        <f t="shared" si="76"/>
        <v>7975.6761904761961</v>
      </c>
      <c r="AA169" s="284">
        <f t="shared" si="76"/>
        <v>11285.142857142862</v>
      </c>
      <c r="AB169" s="284">
        <f t="shared" si="76"/>
        <v>15668.628099173564</v>
      </c>
      <c r="AC169" s="284">
        <f t="shared" si="76"/>
        <v>15289.548387096773</v>
      </c>
      <c r="AD169" s="284">
        <f t="shared" si="76"/>
        <v>14233.513513513515</v>
      </c>
      <c r="AE169" s="284">
        <f t="shared" si="76"/>
        <v>11532.262773722627</v>
      </c>
    </row>
    <row r="170" spans="2:32">
      <c r="B170" s="29"/>
      <c r="C170" s="37" t="s">
        <v>191</v>
      </c>
      <c r="D170" s="37"/>
      <c r="E170" s="37"/>
      <c r="F170" s="37"/>
      <c r="G170" s="682"/>
      <c r="H170" s="682"/>
      <c r="I170" s="682"/>
      <c r="J170" s="682"/>
      <c r="K170" s="682"/>
      <c r="L170" s="682"/>
      <c r="M170" s="682"/>
      <c r="N170" s="682"/>
      <c r="O170" s="682"/>
      <c r="P170" s="682"/>
      <c r="Q170" s="653"/>
      <c r="R170" s="653"/>
      <c r="S170" s="653"/>
      <c r="T170" s="367">
        <v>503.11701700630584</v>
      </c>
      <c r="U170" s="367">
        <v>443.32177101792144</v>
      </c>
      <c r="V170" s="94">
        <f>V169/Assumptions!V12</f>
        <v>503.4508306559689</v>
      </c>
      <c r="W170" s="94">
        <f>W169/Assumptions!W12</f>
        <v>442.58309497608167</v>
      </c>
      <c r="X170" s="94">
        <f>X169/Assumptions!X12</f>
        <v>453.6718816924473</v>
      </c>
      <c r="Y170" s="94">
        <f>Y169/Assumptions!Y12</f>
        <v>783.26700163762314</v>
      </c>
      <c r="Z170" s="94">
        <f>Z169/Assumptions!Z12</f>
        <v>836.89323202025128</v>
      </c>
      <c r="AA170" s="94">
        <f>AA169/Assumptions!AA12</f>
        <v>1093.3203050933319</v>
      </c>
      <c r="AB170" s="94">
        <f>AB169/Assumptions!AB12</f>
        <v>1385.513011802524</v>
      </c>
      <c r="AC170" s="94">
        <f>AC169/Assumptions!AC12</f>
        <v>1386.7064872477981</v>
      </c>
      <c r="AD170" s="94">
        <f>AD169/Assumptions!AD12</f>
        <v>1312.5098910520094</v>
      </c>
      <c r="AE170" s="94">
        <f>AE169/Assumptions!AE12</f>
        <v>1067.9405454153896</v>
      </c>
    </row>
    <row r="171" spans="2:32">
      <c r="B171" s="29"/>
      <c r="C171" s="37" t="s">
        <v>192</v>
      </c>
      <c r="D171" s="37"/>
      <c r="E171" s="37"/>
      <c r="F171" s="37"/>
      <c r="G171" s="682"/>
      <c r="H171" s="682"/>
      <c r="I171" s="682"/>
      <c r="J171" s="682"/>
      <c r="K171" s="682"/>
      <c r="L171" s="682"/>
      <c r="M171" s="682"/>
      <c r="N171" s="682"/>
      <c r="O171" s="682"/>
      <c r="P171" s="682"/>
      <c r="Q171" s="653"/>
      <c r="R171" s="653"/>
      <c r="S171" s="653"/>
      <c r="T171" s="280">
        <v>518.70000000000005</v>
      </c>
      <c r="U171" s="280">
        <v>275</v>
      </c>
      <c r="V171" s="280">
        <v>431.7</v>
      </c>
      <c r="W171" s="280">
        <v>448.4</v>
      </c>
      <c r="X171" s="280">
        <v>399.9</v>
      </c>
      <c r="Y171" s="85">
        <v>686.67839999999944</v>
      </c>
      <c r="Z171" s="85">
        <v>803.94816000000048</v>
      </c>
      <c r="AA171" s="85">
        <v>947.95200000000034</v>
      </c>
      <c r="AB171" s="85">
        <v>947.95200000000057</v>
      </c>
      <c r="AC171" s="85">
        <v>947.95199999999988</v>
      </c>
      <c r="AD171" s="85">
        <v>947.952</v>
      </c>
      <c r="AE171" s="85">
        <v>947.952</v>
      </c>
    </row>
    <row r="172" spans="2:32">
      <c r="B172" s="29"/>
      <c r="C172" s="37" t="s">
        <v>193</v>
      </c>
      <c r="D172" s="37"/>
      <c r="E172" s="37"/>
      <c r="F172" s="37"/>
      <c r="G172" s="682"/>
      <c r="H172" s="682"/>
      <c r="I172" s="682"/>
      <c r="J172" s="682"/>
      <c r="K172" s="682"/>
      <c r="L172" s="682"/>
      <c r="M172" s="682"/>
      <c r="N172" s="682"/>
      <c r="O172" s="682"/>
      <c r="P172" s="682"/>
      <c r="Q172" s="653"/>
      <c r="R172" s="653"/>
      <c r="S172" s="653"/>
      <c r="T172" s="367">
        <v>108.87452248016459</v>
      </c>
      <c r="U172" s="367">
        <v>55.725546616952727</v>
      </c>
      <c r="V172">
        <v>70.030010544245272</v>
      </c>
      <c r="W172" s="367">
        <f t="shared" ref="W172" si="77">W168*W170/1000</f>
        <v>57.225994180407369</v>
      </c>
      <c r="X172" s="367">
        <f t="shared" ref="X172:AE172" si="78">X168*X170/1000</f>
        <v>46.773571002491316</v>
      </c>
      <c r="Y172" s="367">
        <f t="shared" si="78"/>
        <v>75.036978756884281</v>
      </c>
      <c r="Z172" s="367">
        <f t="shared" si="78"/>
        <v>84.358837787641335</v>
      </c>
      <c r="AA172" s="367">
        <f t="shared" si="78"/>
        <v>91.838905627839878</v>
      </c>
      <c r="AB172" s="367">
        <f t="shared" si="78"/>
        <v>83.823537214052706</v>
      </c>
      <c r="AC172" s="367">
        <f t="shared" si="78"/>
        <v>85.975802209363479</v>
      </c>
      <c r="AD172" s="367">
        <f t="shared" si="78"/>
        <v>87.413158744063807</v>
      </c>
      <c r="AE172" s="367">
        <f t="shared" si="78"/>
        <v>87.784712833145022</v>
      </c>
      <c r="AF172" s="367"/>
    </row>
    <row r="173" spans="2:32">
      <c r="B173" s="29"/>
      <c r="C173" s="283"/>
      <c r="D173" s="283"/>
      <c r="E173" s="283"/>
      <c r="F173" s="283"/>
      <c r="G173" s="682"/>
      <c r="H173" s="682"/>
      <c r="I173" s="682"/>
      <c r="J173" s="682"/>
      <c r="K173" s="682"/>
      <c r="L173" s="682"/>
      <c r="M173" s="682"/>
      <c r="N173" s="682"/>
      <c r="O173" s="682"/>
      <c r="P173" s="682"/>
      <c r="Q173" s="653"/>
      <c r="R173" s="653"/>
      <c r="S173" s="653"/>
      <c r="T173" s="850"/>
      <c r="U173" s="850"/>
      <c r="V173" s="285">
        <v>1.2566949055810763</v>
      </c>
      <c r="W173" s="653">
        <f t="shared" ref="W173" si="79">W172/V172</f>
        <v>0.81716386640055882</v>
      </c>
      <c r="X173" s="653">
        <f t="shared" ref="X173" si="80">X172/W172</f>
        <v>0.81734833395878892</v>
      </c>
      <c r="Y173" s="653">
        <f t="shared" ref="Y173" si="81">Y172/X172</f>
        <v>1.6042602082463955</v>
      </c>
      <c r="Z173" s="653">
        <f t="shared" ref="Z173" si="82">Z172/Y172</f>
        <v>1.124230202030913</v>
      </c>
      <c r="AA173" s="653">
        <f t="shared" ref="AA173" si="83">AA172/Z172</f>
        <v>1.0886696407438461</v>
      </c>
      <c r="AB173" s="653">
        <f t="shared" ref="AB173" si="84">AB172/AA172</f>
        <v>0.91272360707053757</v>
      </c>
      <c r="AC173" s="653">
        <f t="shared" ref="AC173" si="85">AC172/AB172</f>
        <v>1.0256761414137741</v>
      </c>
      <c r="AD173" s="653">
        <f t="shared" ref="AD173" si="86">AD172/AC172</f>
        <v>1.0167181520586475</v>
      </c>
      <c r="AE173" s="653">
        <f t="shared" ref="AE173" si="87">AE172/AD172</f>
        <v>1.0042505509973514</v>
      </c>
    </row>
    <row r="174" spans="2:32">
      <c r="B174" s="29"/>
      <c r="C174" s="37" t="s">
        <v>194</v>
      </c>
      <c r="D174" s="37"/>
      <c r="E174" s="37"/>
      <c r="F174" s="37"/>
      <c r="G174" s="682"/>
      <c r="H174" s="682"/>
      <c r="I174" s="682"/>
      <c r="J174" s="682"/>
      <c r="K174" s="682"/>
      <c r="L174" s="682"/>
      <c r="M174" s="682"/>
      <c r="N174" s="682"/>
      <c r="O174" s="682"/>
      <c r="P174" s="682"/>
      <c r="Q174" s="653"/>
      <c r="R174" s="653"/>
      <c r="S174" s="653"/>
      <c r="T174" s="850">
        <v>2680</v>
      </c>
      <c r="U174" s="850">
        <v>3400</v>
      </c>
    </row>
    <row r="175" spans="2:32">
      <c r="B175" s="29"/>
      <c r="C175" s="37" t="s">
        <v>195</v>
      </c>
      <c r="D175" s="37"/>
      <c r="E175" s="37"/>
      <c r="F175" s="37"/>
      <c r="G175" s="682"/>
      <c r="H175" s="682"/>
      <c r="I175" s="682"/>
      <c r="J175" s="682"/>
      <c r="K175" s="682"/>
      <c r="L175" s="682"/>
      <c r="M175" s="682"/>
      <c r="N175" s="682"/>
      <c r="O175" s="682"/>
      <c r="P175" s="682"/>
      <c r="Q175" s="653"/>
      <c r="R175" s="653"/>
      <c r="S175" s="653"/>
      <c r="T175" s="850">
        <v>1075</v>
      </c>
      <c r="U175" s="850">
        <v>1651</v>
      </c>
    </row>
    <row r="176" spans="2:32">
      <c r="B176" s="29"/>
      <c r="C176" s="37" t="s">
        <v>196</v>
      </c>
      <c r="D176" s="37"/>
      <c r="E176" s="37"/>
      <c r="F176" s="37"/>
      <c r="G176" s="682"/>
      <c r="H176" s="682"/>
      <c r="I176" s="682"/>
      <c r="J176" s="682"/>
      <c r="K176" s="682"/>
      <c r="L176" s="682"/>
      <c r="M176" s="682"/>
      <c r="N176" s="682"/>
      <c r="O176" s="682"/>
      <c r="P176" s="682"/>
      <c r="Q176" s="653"/>
      <c r="R176" s="653"/>
      <c r="S176" s="653"/>
      <c r="T176" s="850"/>
      <c r="U176" s="850">
        <v>1674.8</v>
      </c>
    </row>
    <row r="177" spans="2:31">
      <c r="B177" s="29"/>
      <c r="C177" s="32"/>
      <c r="D177" s="32"/>
      <c r="E177" s="32"/>
      <c r="F177" s="32"/>
      <c r="G177" s="682"/>
      <c r="H177" s="682"/>
      <c r="I177" s="682"/>
      <c r="J177" s="682"/>
      <c r="K177" s="682"/>
      <c r="L177" s="682"/>
      <c r="M177" s="682"/>
      <c r="N177" s="682"/>
      <c r="O177" s="682"/>
      <c r="P177" s="682"/>
      <c r="Q177" s="653"/>
      <c r="R177" s="653"/>
      <c r="S177" s="653"/>
      <c r="T177" s="850"/>
      <c r="U177" s="850"/>
    </row>
    <row r="178" spans="2:31">
      <c r="B178" s="29"/>
      <c r="C178" s="37" t="s">
        <v>197</v>
      </c>
      <c r="D178" s="37"/>
      <c r="E178" s="37"/>
      <c r="F178" s="37"/>
      <c r="G178" s="682"/>
      <c r="H178" s="682"/>
      <c r="I178" s="682"/>
      <c r="J178" s="682"/>
      <c r="K178" s="682"/>
      <c r="L178" s="682"/>
      <c r="M178" s="682"/>
      <c r="N178" s="682"/>
      <c r="O178" s="682"/>
      <c r="P178" s="682"/>
      <c r="Q178" s="653"/>
      <c r="R178" s="653"/>
      <c r="S178" s="653"/>
      <c r="T178" s="850"/>
      <c r="U178" s="850"/>
    </row>
    <row r="179" spans="2:31">
      <c r="B179" s="29"/>
      <c r="C179" s="37" t="s">
        <v>198</v>
      </c>
      <c r="D179" s="37"/>
      <c r="E179" s="37"/>
      <c r="F179" s="37"/>
      <c r="G179" s="682"/>
      <c r="H179" s="682"/>
      <c r="I179" s="682"/>
      <c r="J179" s="682"/>
      <c r="K179" s="682"/>
      <c r="L179" s="682"/>
      <c r="M179" s="682"/>
      <c r="N179" s="682"/>
      <c r="O179" s="682"/>
      <c r="P179" s="682"/>
      <c r="Q179" s="653"/>
      <c r="R179" s="653"/>
      <c r="S179" s="653"/>
      <c r="T179" s="850"/>
      <c r="U179" s="850"/>
    </row>
    <row r="180" spans="2:31">
      <c r="B180" s="25"/>
      <c r="C180" s="25" t="s">
        <v>199</v>
      </c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</row>
    <row r="181" spans="2:31">
      <c r="B181" s="38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</row>
    <row r="182" spans="2:31">
      <c r="B182" s="40" t="s">
        <v>200</v>
      </c>
      <c r="C182" s="41" t="s">
        <v>201</v>
      </c>
      <c r="D182" s="41"/>
      <c r="E182" s="41"/>
      <c r="F182" s="41"/>
      <c r="G182" s="870">
        <v>78795.7</v>
      </c>
      <c r="H182" s="870">
        <v>75382.8</v>
      </c>
      <c r="I182" s="870">
        <v>140744.9</v>
      </c>
      <c r="J182" s="870">
        <v>149262.70000000001</v>
      </c>
      <c r="K182" s="870">
        <v>133072.70000000001</v>
      </c>
      <c r="L182" s="870">
        <v>132874</v>
      </c>
      <c r="M182" s="870">
        <v>120404.7</v>
      </c>
      <c r="N182" s="870">
        <v>119965.3</v>
      </c>
      <c r="O182" s="870">
        <v>83591.8</v>
      </c>
      <c r="P182" s="870">
        <v>86648.2</v>
      </c>
      <c r="Q182" s="870">
        <v>94700</v>
      </c>
      <c r="R182" s="881">
        <v>72357.3</v>
      </c>
      <c r="S182" s="881">
        <v>143848.9</v>
      </c>
      <c r="T182" s="881">
        <v>114500</v>
      </c>
      <c r="U182" s="881">
        <v>86400</v>
      </c>
      <c r="V182">
        <v>107800</v>
      </c>
      <c r="W182">
        <v>87370</v>
      </c>
      <c r="X182">
        <v>75900</v>
      </c>
      <c r="Y182">
        <v>93000</v>
      </c>
      <c r="Z182">
        <v>94100</v>
      </c>
      <c r="AA182">
        <v>100100</v>
      </c>
      <c r="AB182">
        <v>100600</v>
      </c>
      <c r="AC182">
        <v>81000</v>
      </c>
      <c r="AD182">
        <v>109300</v>
      </c>
      <c r="AE182" s="159">
        <v>100523.8</v>
      </c>
    </row>
    <row r="183" spans="2:31">
      <c r="B183" s="39" t="s">
        <v>202</v>
      </c>
      <c r="C183" s="42" t="s">
        <v>203</v>
      </c>
      <c r="D183" s="42"/>
      <c r="E183" s="42"/>
      <c r="F183" s="42"/>
      <c r="G183" s="867"/>
      <c r="H183" s="867"/>
      <c r="I183" s="867"/>
      <c r="J183" s="867"/>
      <c r="K183" s="867"/>
      <c r="L183" s="867"/>
      <c r="M183" s="867"/>
      <c r="N183" s="867"/>
      <c r="O183" s="867"/>
      <c r="P183" s="867"/>
      <c r="Q183" s="872">
        <v>2763</v>
      </c>
      <c r="R183" s="266">
        <v>3338.8</v>
      </c>
      <c r="S183" s="883">
        <v>6801</v>
      </c>
      <c r="T183" s="889">
        <v>6801</v>
      </c>
      <c r="U183" s="889">
        <v>6801</v>
      </c>
      <c r="V183">
        <v>6801</v>
      </c>
      <c r="W183">
        <v>3636</v>
      </c>
      <c r="X183">
        <v>3817.8</v>
      </c>
      <c r="Y183">
        <v>3894.1559999999981</v>
      </c>
      <c r="Z183">
        <v>86849.4</v>
      </c>
      <c r="AA183">
        <v>18045</v>
      </c>
      <c r="AB183">
        <v>23585.973344510898</v>
      </c>
      <c r="AC183">
        <v>46929.904611943362</v>
      </c>
      <c r="AD183" s="116">
        <v>1046.0791334532719</v>
      </c>
      <c r="AE183" s="159">
        <v>15773.637000000001</v>
      </c>
    </row>
    <row r="184" spans="2:31">
      <c r="B184" s="43" t="s">
        <v>204</v>
      </c>
      <c r="C184" s="42" t="s">
        <v>205</v>
      </c>
      <c r="D184" s="42"/>
      <c r="E184" s="42"/>
      <c r="F184" s="42"/>
      <c r="G184" s="867"/>
      <c r="H184" s="867"/>
      <c r="I184" s="867"/>
      <c r="J184" s="867"/>
      <c r="K184" s="867"/>
      <c r="L184" s="867"/>
      <c r="M184" s="867"/>
      <c r="N184" s="867"/>
      <c r="O184" s="867"/>
      <c r="P184" s="867"/>
      <c r="Q184" s="872">
        <v>1958</v>
      </c>
      <c r="R184" s="266">
        <v>1982</v>
      </c>
      <c r="S184" s="266">
        <v>1455</v>
      </c>
      <c r="T184" s="890">
        <v>1455</v>
      </c>
      <c r="U184" s="890">
        <v>1455</v>
      </c>
      <c r="V184">
        <v>1455</v>
      </c>
      <c r="W184">
        <v>1484.1000000000001</v>
      </c>
      <c r="X184">
        <v>1513.7820000000002</v>
      </c>
      <c r="Y184">
        <v>1544.0576400000002</v>
      </c>
      <c r="Z184">
        <v>1574.9387928000003</v>
      </c>
      <c r="AA184">
        <v>9099.8029999999999</v>
      </c>
      <c r="AB184">
        <v>11894.026655489073</v>
      </c>
      <c r="AC184">
        <v>23665.995388056312</v>
      </c>
      <c r="AD184" s="116">
        <v>527.52086654671575</v>
      </c>
      <c r="AE184" s="159">
        <v>238.96</v>
      </c>
    </row>
    <row r="185" spans="2:31">
      <c r="B185" s="39"/>
      <c r="C185" s="39"/>
      <c r="D185" s="39"/>
      <c r="E185" s="39"/>
      <c r="F185" s="39"/>
      <c r="G185" s="867"/>
      <c r="H185" s="867"/>
      <c r="I185" s="867"/>
      <c r="J185" s="867"/>
      <c r="K185" s="867"/>
      <c r="L185" s="867"/>
      <c r="M185" s="867"/>
      <c r="N185" s="867"/>
      <c r="O185" s="867"/>
      <c r="P185" s="867"/>
      <c r="Q185" s="872"/>
      <c r="R185" s="871"/>
      <c r="S185" s="867"/>
      <c r="T185" s="869"/>
      <c r="U185" s="869"/>
      <c r="Z185" s="287">
        <f>Z24</f>
        <v>118.8</v>
      </c>
      <c r="AA185" s="287">
        <f t="shared" ref="AA185:AE185" si="88">AA24</f>
        <v>113.5</v>
      </c>
      <c r="AB185" s="287">
        <f t="shared" si="88"/>
        <v>109.5</v>
      </c>
      <c r="AC185" s="287">
        <f t="shared" si="88"/>
        <v>107.3</v>
      </c>
      <c r="AD185" s="287">
        <f t="shared" si="88"/>
        <v>110.4</v>
      </c>
      <c r="AE185" s="287">
        <f t="shared" si="88"/>
        <v>93</v>
      </c>
    </row>
    <row r="186" spans="2:31" ht="15.75">
      <c r="B186" s="7" t="s">
        <v>206</v>
      </c>
      <c r="C186" s="42" t="s">
        <v>207</v>
      </c>
      <c r="D186" s="42"/>
      <c r="E186" s="42"/>
      <c r="F186" s="42"/>
      <c r="G186" s="882">
        <v>91.828600000000009</v>
      </c>
      <c r="H186" s="882">
        <v>71.500199999999992</v>
      </c>
      <c r="I186" s="882">
        <v>127.97139999999999</v>
      </c>
      <c r="J186" s="882">
        <v>192.74189999999999</v>
      </c>
      <c r="K186" s="882">
        <v>161.59729999999999</v>
      </c>
      <c r="L186" s="882">
        <v>143.91200000000001</v>
      </c>
      <c r="M186" s="882">
        <v>128.66679999999999</v>
      </c>
      <c r="N186" s="882">
        <v>137.8451</v>
      </c>
      <c r="O186" s="882">
        <v>108.2178</v>
      </c>
      <c r="P186" s="882">
        <v>99.6828</v>
      </c>
      <c r="Q186" s="882">
        <v>201.1</v>
      </c>
      <c r="R186" s="858">
        <v>197.3</v>
      </c>
      <c r="S186" s="858">
        <v>223.86500000000001</v>
      </c>
      <c r="T186" s="858">
        <v>189.166</v>
      </c>
      <c r="U186" s="858">
        <v>132.1</v>
      </c>
      <c r="V186" s="93">
        <f>Trade!V8</f>
        <v>144.5</v>
      </c>
      <c r="W186" s="93">
        <f>Trade!W8</f>
        <v>122.6</v>
      </c>
      <c r="X186" s="93">
        <f>Trade!X8</f>
        <v>121</v>
      </c>
      <c r="Y186" s="93">
        <f>Trade!Y8</f>
        <v>165.3</v>
      </c>
      <c r="Z186" s="93">
        <f>Trade!Z8</f>
        <v>139.6</v>
      </c>
      <c r="AA186" s="93">
        <f>Trade!AA8</f>
        <v>136</v>
      </c>
      <c r="AB186" s="93">
        <f>Trade!AB8</f>
        <v>202.6</v>
      </c>
      <c r="AC186" s="93">
        <f>Trade!AC8</f>
        <v>194.7</v>
      </c>
      <c r="AD186" s="93">
        <f>Trade!AD8</f>
        <v>198.6</v>
      </c>
      <c r="AE186" s="93">
        <f>Trade!AE8</f>
        <v>170.1</v>
      </c>
    </row>
    <row r="187" spans="2:31">
      <c r="B187" s="39"/>
      <c r="C187" s="42" t="s">
        <v>208</v>
      </c>
      <c r="D187" s="42"/>
      <c r="E187" s="42"/>
      <c r="F187" s="42"/>
      <c r="G187" s="867"/>
      <c r="H187" s="867"/>
      <c r="I187" s="867"/>
      <c r="J187" s="867"/>
      <c r="K187" s="867"/>
      <c r="L187" s="867"/>
      <c r="M187" s="867"/>
      <c r="N187" s="867"/>
      <c r="O187" s="867"/>
      <c r="P187" s="867"/>
      <c r="Q187" s="874">
        <v>7.415</v>
      </c>
      <c r="R187" s="266">
        <v>11.188000000000001</v>
      </c>
      <c r="S187" s="97">
        <v>20.771000000000001</v>
      </c>
      <c r="T187" s="96">
        <v>20.771000000000001</v>
      </c>
      <c r="U187" s="96">
        <v>20.771000000000001</v>
      </c>
      <c r="V187" s="96">
        <f>(14477+3354+2940)/1000</f>
        <v>20.771000000000001</v>
      </c>
      <c r="W187" s="97">
        <f>(10909+143+291+162)/1000</f>
        <v>11.505000000000001</v>
      </c>
      <c r="X187" s="96">
        <f>W187</f>
        <v>11.505000000000001</v>
      </c>
      <c r="Y187" s="96">
        <v>19.5</v>
      </c>
      <c r="Z187" s="96">
        <v>22</v>
      </c>
      <c r="AA187" s="98">
        <f>36.1+1.3</f>
        <v>37.4</v>
      </c>
      <c r="AB187" s="99">
        <v>39</v>
      </c>
      <c r="AC187" s="99">
        <f>AB187</f>
        <v>39</v>
      </c>
      <c r="AD187" s="99">
        <f t="shared" ref="AD187:AE188" si="89">AC187</f>
        <v>39</v>
      </c>
      <c r="AE187" s="99">
        <f t="shared" si="89"/>
        <v>39</v>
      </c>
    </row>
    <row r="188" spans="2:31">
      <c r="B188" s="43" t="s">
        <v>204</v>
      </c>
      <c r="C188" s="42" t="s">
        <v>209</v>
      </c>
      <c r="D188" s="42"/>
      <c r="E188" s="42"/>
      <c r="F188" s="42"/>
      <c r="G188" s="867"/>
      <c r="H188" s="867"/>
      <c r="I188" s="867"/>
      <c r="J188" s="867"/>
      <c r="K188" s="867"/>
      <c r="L188" s="867"/>
      <c r="M188" s="867"/>
      <c r="N188" s="867"/>
      <c r="O188" s="867"/>
      <c r="P188" s="867"/>
      <c r="Q188" s="874">
        <v>20.145</v>
      </c>
      <c r="R188" s="266">
        <v>24.337</v>
      </c>
      <c r="S188" s="97">
        <v>17.55</v>
      </c>
      <c r="T188" s="96">
        <v>17.55</v>
      </c>
      <c r="U188" s="96">
        <v>17.55</v>
      </c>
      <c r="V188" s="96">
        <f>(514+41+19+14728+378+115+31+1702+22)/1000</f>
        <v>17.55</v>
      </c>
      <c r="W188" s="97">
        <f>(40+10+35+3+13144+107+87+1094)/1000</f>
        <v>14.52</v>
      </c>
      <c r="X188" s="92">
        <f>W188</f>
        <v>14.52</v>
      </c>
      <c r="Y188" s="92">
        <f>X188</f>
        <v>14.52</v>
      </c>
      <c r="Z188" s="97">
        <f>0.6+11+4.5+0.1+1.5</f>
        <v>17.700000000000003</v>
      </c>
      <c r="AA188" s="115">
        <f>Z188</f>
        <v>17.700000000000003</v>
      </c>
      <c r="AB188" s="115">
        <f t="shared" ref="AB188:AC188" si="90">AA188</f>
        <v>17.700000000000003</v>
      </c>
      <c r="AC188" s="115">
        <f t="shared" si="90"/>
        <v>17.700000000000003</v>
      </c>
      <c r="AD188" s="115">
        <f t="shared" si="89"/>
        <v>17.700000000000003</v>
      </c>
      <c r="AE188" s="115">
        <f t="shared" si="89"/>
        <v>17.700000000000003</v>
      </c>
    </row>
    <row r="189" spans="2:31"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873"/>
      <c r="R189" s="873"/>
      <c r="S189" s="39"/>
      <c r="T189" s="39"/>
      <c r="U189" s="39"/>
    </row>
    <row r="190" spans="2:31">
      <c r="B190" s="39"/>
      <c r="C190" s="42" t="s">
        <v>210</v>
      </c>
      <c r="D190" s="42"/>
      <c r="E190" s="42"/>
      <c r="F190" s="42"/>
      <c r="G190" s="867"/>
      <c r="H190" s="867"/>
      <c r="I190" s="867"/>
      <c r="J190" s="867"/>
      <c r="K190" s="867"/>
      <c r="L190" s="867"/>
      <c r="M190" s="867"/>
      <c r="N190" s="867"/>
      <c r="O190" s="867"/>
      <c r="P190" s="867"/>
      <c r="Q190" s="874">
        <v>2.1235480464625129</v>
      </c>
      <c r="R190" s="288">
        <v>2.7267462992676621</v>
      </c>
      <c r="S190" s="288">
        <v>1.5562510384160049</v>
      </c>
      <c r="T190" s="288">
        <v>1.6521048034934496</v>
      </c>
      <c r="U190" s="288">
        <v>1.5289351851851851</v>
      </c>
      <c r="V190" s="288">
        <f t="shared" ref="V190:AE192" si="91">V186/V182*1000</f>
        <v>1.3404452690166977</v>
      </c>
      <c r="W190" s="288">
        <f t="shared" si="91"/>
        <v>1.403227652512304</v>
      </c>
      <c r="X190" s="288">
        <f t="shared" si="91"/>
        <v>1.5942028985507246</v>
      </c>
      <c r="Y190" s="288">
        <f t="shared" si="91"/>
        <v>1.7774193548387098</v>
      </c>
      <c r="Z190" s="288">
        <f t="shared" si="91"/>
        <v>1.4835281615302869</v>
      </c>
      <c r="AA190" s="288">
        <f t="shared" si="91"/>
        <v>1.3586413586413586</v>
      </c>
      <c r="AB190" s="288">
        <f t="shared" si="91"/>
        <v>2.0139165009940361</v>
      </c>
      <c r="AC190" s="288">
        <f t="shared" si="91"/>
        <v>2.4037037037037035</v>
      </c>
      <c r="AD190" s="288">
        <f t="shared" si="91"/>
        <v>1.8170173833485819</v>
      </c>
      <c r="AE190" s="288">
        <f t="shared" si="91"/>
        <v>1.6921365885491793</v>
      </c>
    </row>
    <row r="191" spans="2:31">
      <c r="B191" s="39"/>
      <c r="C191" s="42" t="s">
        <v>211</v>
      </c>
      <c r="D191" s="42"/>
      <c r="E191" s="42"/>
      <c r="F191" s="42"/>
      <c r="G191" s="867"/>
      <c r="H191" s="867"/>
      <c r="I191" s="867"/>
      <c r="J191" s="867"/>
      <c r="K191" s="867"/>
      <c r="L191" s="867"/>
      <c r="M191" s="867"/>
      <c r="N191" s="867"/>
      <c r="O191" s="867"/>
      <c r="P191" s="867"/>
      <c r="Q191" s="874">
        <v>2.6836771625045239</v>
      </c>
      <c r="R191" s="288">
        <v>3.3509045165927875</v>
      </c>
      <c r="S191" s="288">
        <v>3.0541096897515074</v>
      </c>
      <c r="T191" s="288">
        <v>3.0541096897515074</v>
      </c>
      <c r="U191" s="288">
        <v>3.0541096897515074</v>
      </c>
      <c r="V191" s="288">
        <f t="shared" si="91"/>
        <v>3.0541096897515074</v>
      </c>
      <c r="W191" s="288">
        <f t="shared" ref="W191:X191" si="92">W187/W183*1000</f>
        <v>3.1641914191419147</v>
      </c>
      <c r="X191" s="288">
        <f t="shared" si="92"/>
        <v>3.0135156372780134</v>
      </c>
      <c r="Y191" s="289">
        <f>X191*Y190/X190</f>
        <v>3.3598490033335136</v>
      </c>
      <c r="Z191" s="289">
        <f t="shared" ref="Z191:AE191" si="93">Y191*Z190/Y190</f>
        <v>2.8043076054986704</v>
      </c>
      <c r="AA191" s="289">
        <f t="shared" si="93"/>
        <v>2.5682345600051657</v>
      </c>
      <c r="AB191" s="289">
        <f t="shared" si="93"/>
        <v>3.806898653512043</v>
      </c>
      <c r="AC191" s="289">
        <f t="shared" si="93"/>
        <v>4.5437119108736264</v>
      </c>
      <c r="AD191" s="289">
        <f t="shared" si="93"/>
        <v>3.434701005063256</v>
      </c>
      <c r="AE191" s="289">
        <f t="shared" si="93"/>
        <v>3.1986393166383857</v>
      </c>
    </row>
    <row r="192" spans="2:31">
      <c r="B192" s="39"/>
      <c r="C192" s="42" t="s">
        <v>212</v>
      </c>
      <c r="D192" s="42"/>
      <c r="E192" s="42"/>
      <c r="F192" s="42"/>
      <c r="G192" s="867"/>
      <c r="H192" s="867"/>
      <c r="I192" s="867"/>
      <c r="J192" s="867"/>
      <c r="K192" s="867"/>
      <c r="L192" s="867"/>
      <c r="M192" s="867"/>
      <c r="N192" s="867"/>
      <c r="O192" s="867"/>
      <c r="P192" s="867"/>
      <c r="Q192" s="874">
        <v>10.288559754851891</v>
      </c>
      <c r="R192" s="288">
        <v>12.279011099899092</v>
      </c>
      <c r="S192" s="288">
        <v>12.061855670103093</v>
      </c>
      <c r="T192" s="288">
        <v>12.061855670103093</v>
      </c>
      <c r="U192" s="288">
        <v>12.061855670103093</v>
      </c>
      <c r="V192" s="288">
        <f t="shared" si="91"/>
        <v>12.061855670103093</v>
      </c>
      <c r="W192" s="288">
        <f t="shared" ref="W192:X192" si="94">W188/W184*1000</f>
        <v>9.7837072973519295</v>
      </c>
      <c r="X192" s="288">
        <f t="shared" si="94"/>
        <v>9.5918698993646352</v>
      </c>
      <c r="Y192" s="289">
        <f t="shared" ref="Y192" si="95">X192*Y190/X190</f>
        <v>10.694231721523288</v>
      </c>
      <c r="Z192" s="289">
        <f t="shared" ref="Z192" si="96">Y192*Z190/Y190</f>
        <v>8.9259711736682359</v>
      </c>
      <c r="AA192" s="289">
        <f t="shared" ref="AA192" si="97">Z192*AA190/Z190</f>
        <v>8.1745624498808223</v>
      </c>
      <c r="AB192" s="289">
        <f t="shared" ref="AB192" si="98">AA192*AB190/AA190</f>
        <v>12.117168450314296</v>
      </c>
      <c r="AC192" s="289">
        <f t="shared" ref="AC192" si="99">AB192*AC190/AB190</f>
        <v>14.462408281597565</v>
      </c>
      <c r="AD192" s="289">
        <f t="shared" ref="AD192" si="100">AC192*AD190/AC190</f>
        <v>10.932481907922593</v>
      </c>
      <c r="AE192" s="289">
        <f t="shared" ref="AE192" si="101">AD192*AE190/AD190</f>
        <v>10.181109333117927</v>
      </c>
    </row>
    <row r="193" spans="2:31"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873"/>
      <c r="R193" s="873"/>
      <c r="S193" s="867"/>
      <c r="T193" s="867"/>
      <c r="U193" s="39"/>
    </row>
    <row r="194" spans="2:31">
      <c r="B194" s="39"/>
      <c r="C194" s="42" t="s">
        <v>213</v>
      </c>
      <c r="D194" s="42"/>
      <c r="E194" s="42"/>
      <c r="F194" s="42"/>
      <c r="G194" s="867"/>
      <c r="H194" s="867"/>
      <c r="I194" s="867"/>
      <c r="J194" s="867"/>
      <c r="K194" s="867"/>
      <c r="L194" s="867"/>
      <c r="M194" s="867"/>
      <c r="N194" s="867"/>
      <c r="O194" s="867"/>
      <c r="P194" s="867"/>
      <c r="Q194" s="878">
        <v>310.67961165048547</v>
      </c>
      <c r="R194" s="368">
        <v>416</v>
      </c>
      <c r="S194" s="368">
        <v>418.1</v>
      </c>
      <c r="T194" s="368">
        <v>392.81099999999998</v>
      </c>
      <c r="U194" s="368">
        <v>372.65</v>
      </c>
      <c r="V194" s="93">
        <f>Assumptions!V47</f>
        <v>276.10000000000002</v>
      </c>
      <c r="W194" s="93">
        <f>Assumptions!W47</f>
        <v>284.7</v>
      </c>
      <c r="X194" s="93">
        <f>Assumptions!X47</f>
        <v>385.6</v>
      </c>
      <c r="Y194" s="93">
        <f>Assumptions!Y47</f>
        <v>300.3</v>
      </c>
      <c r="Z194" s="93">
        <f>Assumptions!Z47</f>
        <v>403</v>
      </c>
      <c r="AA194" s="93">
        <f>Assumptions!AA47</f>
        <v>395.7</v>
      </c>
      <c r="AB194" s="93">
        <f>Assumptions!AB47</f>
        <v>388.8</v>
      </c>
      <c r="AC194" s="93">
        <f>Assumptions!AC47</f>
        <v>404.7</v>
      </c>
      <c r="AD194" s="93">
        <f>Assumptions!AD47</f>
        <v>344.4</v>
      </c>
      <c r="AE194" s="93">
        <f>Assumptions!AE47</f>
        <v>253.2</v>
      </c>
    </row>
    <row r="195" spans="2:31">
      <c r="B195" s="39"/>
      <c r="C195" s="44" t="s">
        <v>214</v>
      </c>
      <c r="D195" s="44"/>
      <c r="E195" s="44"/>
      <c r="F195" s="44"/>
      <c r="G195" s="884"/>
      <c r="H195" s="884"/>
      <c r="I195" s="884"/>
      <c r="J195" s="884"/>
      <c r="K195" s="884"/>
      <c r="L195" s="884"/>
      <c r="M195" s="884"/>
      <c r="N195" s="884"/>
      <c r="O195" s="884"/>
      <c r="P195" s="884"/>
      <c r="Q195" s="885">
        <v>105.63106796116507</v>
      </c>
      <c r="R195" s="886">
        <v>141.44</v>
      </c>
      <c r="S195" s="886">
        <v>142.15400000000002</v>
      </c>
      <c r="T195" s="886">
        <v>133.55574000000001</v>
      </c>
      <c r="U195" s="886">
        <v>126.70100000000001</v>
      </c>
      <c r="V195" s="93">
        <f t="shared" ref="V195:Z195" si="102">V194*0.34</f>
        <v>93.874000000000009</v>
      </c>
      <c r="W195" s="93">
        <f t="shared" si="102"/>
        <v>96.798000000000002</v>
      </c>
      <c r="X195" s="93">
        <f t="shared" si="102"/>
        <v>131.10400000000001</v>
      </c>
      <c r="Y195" s="93">
        <f t="shared" si="102"/>
        <v>102.10200000000002</v>
      </c>
      <c r="Z195" s="93">
        <f t="shared" si="102"/>
        <v>137.02000000000001</v>
      </c>
      <c r="AA195" s="93">
        <f>AA194*0.34</f>
        <v>134.53800000000001</v>
      </c>
      <c r="AB195" s="93">
        <f t="shared" ref="AB195:AD195" si="103">AB194*0.35</f>
        <v>136.07999999999998</v>
      </c>
      <c r="AC195" s="93">
        <f t="shared" si="103"/>
        <v>141.64499999999998</v>
      </c>
      <c r="AD195" s="93">
        <f t="shared" si="103"/>
        <v>120.53999999999998</v>
      </c>
      <c r="AE195" s="93">
        <f>AE194*0.35</f>
        <v>88.61999999999999</v>
      </c>
    </row>
    <row r="196" spans="2:31">
      <c r="B196" s="39"/>
      <c r="C196" s="42" t="s">
        <v>215</v>
      </c>
      <c r="D196" s="42"/>
      <c r="E196" s="42"/>
      <c r="F196" s="42"/>
      <c r="G196" s="867"/>
      <c r="H196" s="867"/>
      <c r="I196" s="867"/>
      <c r="J196" s="867"/>
      <c r="K196" s="867"/>
      <c r="L196" s="867"/>
      <c r="M196" s="867"/>
      <c r="N196" s="867"/>
      <c r="O196" s="867"/>
      <c r="P196" s="867"/>
      <c r="Q196" s="880">
        <v>99.421000000000006</v>
      </c>
      <c r="R196" s="887">
        <v>77.678100000000001</v>
      </c>
      <c r="S196" s="887">
        <v>152.10489999999999</v>
      </c>
      <c r="T196" s="887">
        <v>122.756</v>
      </c>
      <c r="U196" s="887">
        <v>94.656000000000006</v>
      </c>
      <c r="V196" s="93">
        <f>(V182+V183+V184)/1000</f>
        <v>116.056</v>
      </c>
      <c r="W196" s="93">
        <f t="shared" ref="W196:AE196" si="104">(W182+W183+W184)/1000</f>
        <v>92.490100000000012</v>
      </c>
      <c r="X196" s="93">
        <f t="shared" si="104"/>
        <v>81.231582000000003</v>
      </c>
      <c r="Y196" s="93">
        <f t="shared" si="104"/>
        <v>98.438213640000001</v>
      </c>
      <c r="Z196" s="93">
        <f t="shared" si="104"/>
        <v>182.52433879279999</v>
      </c>
      <c r="AA196" s="93">
        <f t="shared" si="104"/>
        <v>127.244803</v>
      </c>
      <c r="AB196" s="93">
        <f t="shared" si="104"/>
        <v>136.07999999999998</v>
      </c>
      <c r="AC196" s="93">
        <f t="shared" si="104"/>
        <v>151.59589999999969</v>
      </c>
      <c r="AD196" s="93">
        <f t="shared" si="104"/>
        <v>110.8736</v>
      </c>
      <c r="AE196" s="93">
        <f t="shared" si="104"/>
        <v>116.53639700000001</v>
      </c>
    </row>
    <row r="197" spans="2:31">
      <c r="B197" s="39"/>
      <c r="C197" s="45" t="s">
        <v>216</v>
      </c>
      <c r="D197" s="45"/>
      <c r="E197" s="45"/>
      <c r="F197" s="45"/>
      <c r="G197" s="867"/>
      <c r="H197" s="867"/>
      <c r="I197" s="867"/>
      <c r="J197" s="867"/>
      <c r="K197" s="867"/>
      <c r="L197" s="867"/>
      <c r="M197" s="867"/>
      <c r="N197" s="867"/>
      <c r="O197" s="867"/>
      <c r="P197" s="867"/>
      <c r="Q197" s="875">
        <v>6.2100679611650662</v>
      </c>
      <c r="R197" s="290">
        <v>63.761899999999997</v>
      </c>
      <c r="S197" s="290">
        <v>-9.9508999999999617</v>
      </c>
      <c r="T197" s="290">
        <v>10.799740000000014</v>
      </c>
      <c r="U197" s="290">
        <v>32.045000000000002</v>
      </c>
      <c r="V197" s="290">
        <f>V195-V196</f>
        <v>-22.181999999999988</v>
      </c>
      <c r="W197" s="290">
        <f t="shared" ref="W197:AB197" si="105">W195-W196</f>
        <v>4.3078999999999894</v>
      </c>
      <c r="X197" s="290">
        <f t="shared" si="105"/>
        <v>49.87241800000001</v>
      </c>
      <c r="Y197" s="290">
        <f t="shared" si="105"/>
        <v>3.6637863600000173</v>
      </c>
      <c r="Z197" s="290">
        <f t="shared" si="105"/>
        <v>-45.504338792799985</v>
      </c>
      <c r="AA197" s="290">
        <f t="shared" si="105"/>
        <v>7.2931970000000064</v>
      </c>
      <c r="AB197" s="290">
        <f t="shared" si="105"/>
        <v>0</v>
      </c>
      <c r="AC197" s="290">
        <f>AC195-AC196</f>
        <v>-9.9508999999997059</v>
      </c>
      <c r="AD197" s="290">
        <f>AD195-AD196</f>
        <v>9.6663999999999817</v>
      </c>
      <c r="AE197" s="290">
        <f>AE195-AE196</f>
        <v>-27.916397000000018</v>
      </c>
    </row>
    <row r="198" spans="2:31">
      <c r="B198" s="39"/>
      <c r="C198" s="42" t="s">
        <v>217</v>
      </c>
      <c r="D198" s="42"/>
      <c r="E198" s="42"/>
      <c r="F198" s="42"/>
      <c r="G198" s="867"/>
      <c r="H198" s="867"/>
      <c r="I198" s="867"/>
      <c r="J198" s="867"/>
      <c r="K198" s="867"/>
      <c r="L198" s="867"/>
      <c r="M198" s="867"/>
      <c r="N198" s="867"/>
      <c r="O198" s="867"/>
      <c r="P198" s="867"/>
      <c r="Q198" s="875">
        <v>69.235609447233145</v>
      </c>
      <c r="R198" s="891">
        <v>19.306368301446476</v>
      </c>
      <c r="S198" s="891">
        <v>19.306368301446476</v>
      </c>
      <c r="T198" s="891">
        <v>112.33565835844182</v>
      </c>
      <c r="U198" s="891">
        <v>37.209324387579969</v>
      </c>
      <c r="V198">
        <v>-53.580980073933851</v>
      </c>
      <c r="W198">
        <v>33</v>
      </c>
      <c r="X198">
        <v>30</v>
      </c>
      <c r="Y198">
        <v>35.658664450307988</v>
      </c>
      <c r="Z198">
        <v>26.955504643476011</v>
      </c>
      <c r="AA198">
        <v>24.150363257118858</v>
      </c>
      <c r="AB198">
        <v>37.021371504080534</v>
      </c>
      <c r="AC198">
        <v>56</v>
      </c>
      <c r="AD198">
        <v>56</v>
      </c>
      <c r="AE198">
        <v>56</v>
      </c>
    </row>
    <row r="199" spans="2:31">
      <c r="B199" s="39"/>
      <c r="C199" s="42" t="s">
        <v>218</v>
      </c>
      <c r="D199" s="42"/>
      <c r="E199" s="42"/>
      <c r="F199" s="42"/>
      <c r="G199" s="867"/>
      <c r="H199" s="867"/>
      <c r="I199" s="867"/>
      <c r="J199" s="867"/>
      <c r="K199" s="867"/>
      <c r="L199" s="867"/>
      <c r="M199" s="867"/>
      <c r="N199" s="867"/>
      <c r="O199" s="867"/>
      <c r="P199" s="867"/>
      <c r="Q199" s="879">
        <v>1.7774374466795932</v>
      </c>
      <c r="R199" s="879">
        <v>0.30524295202553042</v>
      </c>
      <c r="S199" s="879">
        <v>0.30524295202553042</v>
      </c>
      <c r="T199" s="879">
        <v>0.30524295202553042</v>
      </c>
      <c r="U199" s="879">
        <v>0.30524295202553042</v>
      </c>
      <c r="V199" s="242">
        <v>0.30524295202553042</v>
      </c>
      <c r="W199" s="242">
        <v>0.30524295202553042</v>
      </c>
      <c r="X199" s="242">
        <v>0.31524295202553043</v>
      </c>
      <c r="Y199" s="242">
        <v>0.39</v>
      </c>
      <c r="Z199" s="242">
        <v>0.33</v>
      </c>
      <c r="AA199" s="242">
        <v>0.31</v>
      </c>
      <c r="AB199" s="242">
        <v>0.29599999999999999</v>
      </c>
      <c r="AC199" s="242">
        <v>0.29599999999999999</v>
      </c>
      <c r="AD199" s="242">
        <v>0.29599999999999999</v>
      </c>
      <c r="AE199" s="242">
        <v>0.29599999999999999</v>
      </c>
    </row>
    <row r="200" spans="2:31">
      <c r="B200" s="39"/>
      <c r="C200" s="42"/>
      <c r="D200" s="42"/>
      <c r="E200" s="42"/>
      <c r="F200" s="42"/>
      <c r="G200" s="867"/>
      <c r="H200" s="867"/>
      <c r="I200" s="867"/>
      <c r="J200" s="867"/>
      <c r="K200" s="867"/>
      <c r="L200" s="867"/>
      <c r="M200" s="867"/>
      <c r="N200" s="867"/>
      <c r="O200" s="867"/>
      <c r="P200" s="867"/>
      <c r="Q200" s="875"/>
      <c r="R200" s="875"/>
      <c r="S200" s="868"/>
      <c r="T200" s="868"/>
      <c r="U200" s="868"/>
      <c r="V200" s="290"/>
      <c r="W200" s="290"/>
      <c r="X200" s="290"/>
      <c r="Y200" s="290"/>
      <c r="Z200" s="290"/>
      <c r="AA200" s="290"/>
      <c r="AB200" s="290"/>
      <c r="AC200" s="290"/>
    </row>
    <row r="201" spans="2:31">
      <c r="B201" s="39"/>
      <c r="C201" s="42" t="s">
        <v>219</v>
      </c>
      <c r="D201" s="42"/>
      <c r="E201" s="42"/>
      <c r="F201" s="42"/>
      <c r="G201" s="867"/>
      <c r="H201" s="867"/>
      <c r="I201" s="867"/>
      <c r="J201" s="867"/>
      <c r="K201" s="867"/>
      <c r="L201" s="867"/>
      <c r="M201" s="867"/>
      <c r="N201" s="867"/>
      <c r="O201" s="867"/>
      <c r="P201" s="867"/>
      <c r="Q201" s="877">
        <v>10.348345588235308</v>
      </c>
      <c r="R201" s="888">
        <v>48.842406674208135</v>
      </c>
      <c r="S201" s="888">
        <v>-1.1922984931834302</v>
      </c>
      <c r="T201" s="888">
        <v>14.268005253836346</v>
      </c>
      <c r="U201" s="888">
        <v>31.807957316832546</v>
      </c>
      <c r="V201" s="93">
        <f t="shared" ref="V201:AD201" si="106">(1-(V182/1000)/V195)*100</f>
        <v>-14.834778532927096</v>
      </c>
      <c r="W201" s="93">
        <f t="shared" si="106"/>
        <v>9.7398706584846728</v>
      </c>
      <c r="X201" s="93">
        <f t="shared" si="106"/>
        <v>42.107029533805232</v>
      </c>
      <c r="Y201" s="93">
        <f t="shared" si="106"/>
        <v>8.9146147969677578</v>
      </c>
      <c r="Z201" s="93">
        <f>(1-(Z182/1000)/Z195)*100</f>
        <v>31.323894321996804</v>
      </c>
      <c r="AA201" s="93">
        <f t="shared" si="106"/>
        <v>25.597229035662792</v>
      </c>
      <c r="AB201" s="93">
        <f t="shared" si="106"/>
        <v>26.072898295120517</v>
      </c>
      <c r="AC201" s="93">
        <f t="shared" si="106"/>
        <v>42.8147834374669</v>
      </c>
      <c r="AD201" s="93">
        <f t="shared" si="106"/>
        <v>9.3247054919528676</v>
      </c>
      <c r="AE201" s="93">
        <f>(1-(AE182/1000)/AE195)*100</f>
        <v>-13.432408034303789</v>
      </c>
    </row>
    <row r="202" spans="2:31">
      <c r="B202" s="39"/>
      <c r="C202" s="42" t="s">
        <v>220</v>
      </c>
      <c r="D202" s="42"/>
      <c r="E202" s="42"/>
      <c r="F202" s="42"/>
      <c r="G202" s="867"/>
      <c r="H202" s="867"/>
      <c r="I202" s="867"/>
      <c r="J202" s="867"/>
      <c r="K202" s="867"/>
      <c r="L202" s="867"/>
      <c r="M202" s="867"/>
      <c r="N202" s="867"/>
      <c r="O202" s="867"/>
      <c r="P202" s="867"/>
      <c r="Q202" s="868">
        <v>56.811173283595416</v>
      </c>
      <c r="R202" s="868">
        <v>92.297926977376392</v>
      </c>
      <c r="S202" s="876">
        <v>92.297926977376392</v>
      </c>
      <c r="T202" s="876">
        <v>92.297926977376392</v>
      </c>
      <c r="U202" s="876">
        <v>92.297926977376392</v>
      </c>
      <c r="V202" s="93">
        <v>92.297926977376392</v>
      </c>
      <c r="W202">
        <v>85</v>
      </c>
      <c r="X202">
        <v>85</v>
      </c>
      <c r="Y202">
        <v>85</v>
      </c>
      <c r="Z202">
        <v>95</v>
      </c>
      <c r="AA202">
        <v>95</v>
      </c>
      <c r="AB202">
        <v>95</v>
      </c>
      <c r="AC202">
        <v>86</v>
      </c>
      <c r="AD202" s="91">
        <v>86</v>
      </c>
      <c r="AE202">
        <v>86</v>
      </c>
    </row>
    <row r="203" spans="2:31">
      <c r="B203" s="7" t="s">
        <v>221</v>
      </c>
      <c r="C203" s="32" t="s">
        <v>222</v>
      </c>
      <c r="D203" s="32"/>
      <c r="E203" s="32"/>
      <c r="F203" s="32"/>
      <c r="G203" s="848">
        <v>177.85307594303021</v>
      </c>
      <c r="H203" s="848">
        <v>168.65695847810767</v>
      </c>
      <c r="I203" s="848">
        <v>354.19522613098019</v>
      </c>
      <c r="J203" s="848">
        <v>590.11787522999998</v>
      </c>
      <c r="K203" s="848">
        <v>480.08941856999996</v>
      </c>
      <c r="L203" s="848">
        <v>448.5161392</v>
      </c>
      <c r="M203" s="848">
        <v>424.39457311999996</v>
      </c>
      <c r="N203" s="848">
        <v>474.53175675</v>
      </c>
      <c r="O203" s="848">
        <v>371.18705399999999</v>
      </c>
      <c r="P203" s="848">
        <v>412.68679199999997</v>
      </c>
      <c r="Q203" s="848">
        <v>880.61689999999987</v>
      </c>
      <c r="R203" s="291">
        <v>909.47408000000007</v>
      </c>
      <c r="S203" s="291">
        <v>1066.2018355</v>
      </c>
      <c r="T203" s="291">
        <v>901.22465719999991</v>
      </c>
      <c r="U203" s="291">
        <v>651.90028999999993</v>
      </c>
      <c r="V203" s="291">
        <f>V186*Household!V2</f>
        <v>890.77025000000003</v>
      </c>
      <c r="W203" s="291">
        <f>W186*Household!W2</f>
        <v>960.64455999999996</v>
      </c>
      <c r="X203" s="291">
        <f>X186*Household!X2</f>
        <v>1034.5137</v>
      </c>
      <c r="Y203" s="291">
        <f>Y186*Household!Y2</f>
        <v>1512.69336</v>
      </c>
      <c r="Z203" s="291">
        <f>Z186*Household!Z2</f>
        <v>1330.4019599999999</v>
      </c>
      <c r="AA203" s="291">
        <f>AA186*Household!AA2</f>
        <v>1403.7783999999999</v>
      </c>
      <c r="AB203" s="291">
        <f>AB186*Household!AB2</f>
        <v>2291.1831399999996</v>
      </c>
      <c r="AC203" s="291">
        <f>AC186*Household!AC2</f>
        <v>2146.7232599999998</v>
      </c>
      <c r="AD203" s="291">
        <f>AD186*Household!AD2</f>
        <v>2153.7177000000001</v>
      </c>
      <c r="AE203" s="291">
        <f>AE186*Household!AE2</f>
        <v>1836.84186</v>
      </c>
    </row>
    <row r="205" spans="2:31">
      <c r="W205" s="292">
        <v>89</v>
      </c>
      <c r="X205" s="292">
        <v>97.9</v>
      </c>
      <c r="Y205" s="292">
        <v>107.7</v>
      </c>
      <c r="Z205" s="292">
        <v>118.5</v>
      </c>
      <c r="AA205" s="292">
        <v>130.30000000000001</v>
      </c>
      <c r="AB205" s="292">
        <v>131.30000000000001</v>
      </c>
      <c r="AC205" s="292">
        <v>132.30000000000001</v>
      </c>
      <c r="AD205" s="292">
        <v>133.30000000000001</v>
      </c>
      <c r="AE205" s="292">
        <v>134.30000000000001</v>
      </c>
    </row>
    <row r="206" spans="2:31">
      <c r="W206" s="292"/>
      <c r="X206" s="292">
        <f>X205/W205*100</f>
        <v>110.00000000000001</v>
      </c>
      <c r="Y206" s="292">
        <f t="shared" ref="Y206:AE206" si="107">Y205/X205*100</f>
        <v>110.01021450459652</v>
      </c>
      <c r="Z206" s="292">
        <f t="shared" si="107"/>
        <v>110.02785515320335</v>
      </c>
      <c r="AA206" s="292">
        <f>AA205/Z205*100</f>
        <v>109.95780590717301</v>
      </c>
      <c r="AB206" s="292">
        <f t="shared" si="107"/>
        <v>100.76745970836531</v>
      </c>
      <c r="AC206" s="292">
        <f t="shared" si="107"/>
        <v>100.76161462300077</v>
      </c>
      <c r="AD206" s="292">
        <f t="shared" si="107"/>
        <v>100.75585789871504</v>
      </c>
      <c r="AE206" s="292">
        <f t="shared" si="107"/>
        <v>100.75018754688672</v>
      </c>
    </row>
    <row r="207" spans="2:31">
      <c r="W207" s="293"/>
      <c r="X207" s="293"/>
      <c r="Y207" s="293"/>
      <c r="Z207" s="293"/>
      <c r="AA207" s="293"/>
      <c r="AB207" s="293"/>
      <c r="AC207" s="293"/>
      <c r="AD207" s="293"/>
      <c r="AE207" s="293"/>
    </row>
    <row r="208" spans="2:31">
      <c r="W208" s="292">
        <f t="shared" ref="W208:AE208" si="108">W194/W205*10</f>
        <v>31.988764044943817</v>
      </c>
      <c r="X208" s="292">
        <f t="shared" si="108"/>
        <v>39.387129724208371</v>
      </c>
      <c r="Y208" s="292">
        <f t="shared" si="108"/>
        <v>27.883008356545961</v>
      </c>
      <c r="Z208" s="292">
        <f t="shared" si="108"/>
        <v>34.008438818565402</v>
      </c>
      <c r="AA208" s="292">
        <f t="shared" si="108"/>
        <v>30.368380660015344</v>
      </c>
      <c r="AB208" s="292">
        <f t="shared" si="108"/>
        <v>29.61157654226961</v>
      </c>
      <c r="AC208" s="292">
        <f t="shared" si="108"/>
        <v>30.589569160997726</v>
      </c>
      <c r="AD208" s="292">
        <f t="shared" si="108"/>
        <v>25.836459114778691</v>
      </c>
      <c r="AE208" s="292">
        <f t="shared" si="108"/>
        <v>18.85331347728965</v>
      </c>
    </row>
    <row r="209" spans="3:31">
      <c r="W209" s="5"/>
      <c r="X209" s="5"/>
      <c r="Y209" s="5"/>
      <c r="Z209" s="5"/>
      <c r="AA209" s="5"/>
      <c r="AB209" s="5"/>
      <c r="AC209" s="5"/>
      <c r="AD209" s="5"/>
      <c r="AE209" s="5"/>
    </row>
    <row r="210" spans="3:31">
      <c r="W210" s="5"/>
      <c r="X210" s="5"/>
      <c r="Y210" s="5"/>
      <c r="Z210" s="5"/>
      <c r="AA210" s="5"/>
      <c r="AB210" s="5"/>
      <c r="AC210" s="5"/>
      <c r="AD210" s="5"/>
      <c r="AE210" s="5"/>
    </row>
    <row r="211" spans="3:31">
      <c r="W211" s="292">
        <f t="shared" ref="W211:AD211" si="109">W194/32*10</f>
        <v>88.96875</v>
      </c>
      <c r="X211" s="292">
        <f t="shared" si="109"/>
        <v>120.5</v>
      </c>
      <c r="Y211" s="292">
        <f t="shared" si="109"/>
        <v>93.84375</v>
      </c>
      <c r="Z211" s="292">
        <f t="shared" si="109"/>
        <v>125.9375</v>
      </c>
      <c r="AA211" s="292">
        <f t="shared" si="109"/>
        <v>123.65625</v>
      </c>
      <c r="AB211" s="292">
        <f t="shared" si="109"/>
        <v>121.5</v>
      </c>
      <c r="AC211" s="292">
        <f t="shared" si="109"/>
        <v>126.46875</v>
      </c>
      <c r="AD211" s="292">
        <f t="shared" si="109"/>
        <v>107.625</v>
      </c>
      <c r="AE211" s="292">
        <f>AE194/32*10</f>
        <v>79.125</v>
      </c>
    </row>
    <row r="212" spans="3:31">
      <c r="W212" s="5"/>
      <c r="X212" s="5"/>
      <c r="Y212" s="5"/>
      <c r="Z212" s="5"/>
      <c r="AA212" s="5"/>
      <c r="AB212" s="5"/>
      <c r="AC212" s="5"/>
      <c r="AD212" s="5"/>
      <c r="AE212" s="5"/>
    </row>
    <row r="213" spans="3:31">
      <c r="W213" s="292">
        <f t="shared" ref="W213:AD213" si="110">W194/30*10</f>
        <v>94.9</v>
      </c>
      <c r="X213" s="292">
        <f t="shared" si="110"/>
        <v>128.53333333333333</v>
      </c>
      <c r="Y213" s="292">
        <f t="shared" si="110"/>
        <v>100.1</v>
      </c>
      <c r="Z213" s="292">
        <f t="shared" si="110"/>
        <v>134.33333333333334</v>
      </c>
      <c r="AA213" s="292">
        <f t="shared" si="110"/>
        <v>131.9</v>
      </c>
      <c r="AB213" s="292">
        <f t="shared" si="110"/>
        <v>129.60000000000002</v>
      </c>
      <c r="AC213" s="292">
        <f t="shared" si="110"/>
        <v>134.9</v>
      </c>
      <c r="AD213" s="292">
        <f t="shared" si="110"/>
        <v>114.79999999999998</v>
      </c>
      <c r="AE213" s="292">
        <f>AE194/30*10</f>
        <v>84.399999999999991</v>
      </c>
    </row>
    <row r="216" spans="3:31">
      <c r="C216" s="10" t="s">
        <v>7</v>
      </c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4"/>
      <c r="W216" s="4">
        <f t="shared" ref="W216:AC216" si="111">W5-V5</f>
        <v>1363</v>
      </c>
      <c r="X216" s="4">
        <f t="shared" si="111"/>
        <v>1519.5119999999997</v>
      </c>
      <c r="Y216" s="4">
        <f t="shared" si="111"/>
        <v>162.38799999999992</v>
      </c>
      <c r="Z216" s="4">
        <f t="shared" si="111"/>
        <v>167.40000000000055</v>
      </c>
      <c r="AA216" s="4">
        <f t="shared" si="111"/>
        <v>-544.30000000000018</v>
      </c>
      <c r="AB216" s="4">
        <f t="shared" si="111"/>
        <v>4100</v>
      </c>
      <c r="AC216" s="4">
        <f t="shared" si="111"/>
        <v>481.89999999999964</v>
      </c>
      <c r="AD216" s="4">
        <f>AD5-AC5</f>
        <v>482.10000000000036</v>
      </c>
      <c r="AE216" s="4">
        <f>AE5-AD5</f>
        <v>3990.1000000000004</v>
      </c>
    </row>
    <row r="217" spans="3:31">
      <c r="C217" s="12" t="s">
        <v>13</v>
      </c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4"/>
      <c r="W217" s="4">
        <f t="shared" ref="W217:AB217" si="112">W8-V8</f>
        <v>1362</v>
      </c>
      <c r="X217" s="4">
        <f t="shared" si="112"/>
        <v>2408</v>
      </c>
      <c r="Y217" s="4">
        <f t="shared" si="112"/>
        <v>1744</v>
      </c>
      <c r="Z217" s="4">
        <f t="shared" si="112"/>
        <v>2432</v>
      </c>
      <c r="AA217" s="4">
        <f t="shared" si="112"/>
        <v>3102</v>
      </c>
      <c r="AB217" s="4">
        <f t="shared" si="112"/>
        <v>3259</v>
      </c>
      <c r="AC217" s="4">
        <f>AC8-AB8</f>
        <v>3395.7000000000007</v>
      </c>
      <c r="AD217" s="4">
        <f>AD8-AC8</f>
        <v>2751.0999999999985</v>
      </c>
      <c r="AE217" s="4">
        <f>AE8-AD8</f>
        <v>1815.7999999999993</v>
      </c>
    </row>
    <row r="218" spans="3:31">
      <c r="C218" s="12" t="s">
        <v>27</v>
      </c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4"/>
      <c r="W218" s="4">
        <f t="shared" ref="W218:AB218" si="113">W15-V15</f>
        <v>169</v>
      </c>
      <c r="X218" s="4">
        <f t="shared" si="113"/>
        <v>1011</v>
      </c>
      <c r="Y218" s="4">
        <f t="shared" si="113"/>
        <v>1959</v>
      </c>
      <c r="Z218" s="4">
        <f t="shared" si="113"/>
        <v>1120</v>
      </c>
      <c r="AA218" s="4">
        <f t="shared" si="113"/>
        <v>719</v>
      </c>
      <c r="AB218" s="4">
        <f t="shared" si="113"/>
        <v>580</v>
      </c>
      <c r="AC218" s="4">
        <f>AC15-AB15</f>
        <v>-485.19999999999982</v>
      </c>
      <c r="AD218" s="4">
        <f>AD15-AC15</f>
        <v>1361.4000000000005</v>
      </c>
      <c r="AE218" s="4">
        <f>AE15-AD15</f>
        <v>889</v>
      </c>
    </row>
    <row r="219" spans="3:31" ht="22.5">
      <c r="C219" s="567" t="s">
        <v>1090</v>
      </c>
      <c r="D219" s="677"/>
      <c r="E219" s="677"/>
      <c r="F219" s="677"/>
      <c r="G219" s="677"/>
      <c r="H219" s="677"/>
      <c r="I219" s="677"/>
      <c r="J219" s="677"/>
      <c r="K219" s="677"/>
      <c r="L219" s="677"/>
      <c r="M219" s="677"/>
      <c r="N219" s="677"/>
      <c r="O219" s="677"/>
      <c r="P219" s="677"/>
      <c r="Q219" s="677"/>
      <c r="R219" s="677"/>
      <c r="S219" s="677"/>
      <c r="T219" s="677"/>
      <c r="U219" s="677"/>
      <c r="V219" s="4"/>
      <c r="W219" s="4">
        <f>W17-V17</f>
        <v>0</v>
      </c>
      <c r="X219" s="4">
        <f t="shared" ref="X219:AB219" si="114">X17-W17</f>
        <v>87.1</v>
      </c>
      <c r="Y219" s="4">
        <f t="shared" si="114"/>
        <v>45.400000000000006</v>
      </c>
      <c r="Z219" s="4">
        <f t="shared" si="114"/>
        <v>49.099999999999994</v>
      </c>
      <c r="AA219" s="4">
        <f t="shared" si="114"/>
        <v>-13.099999999999994</v>
      </c>
      <c r="AB219" s="4">
        <f t="shared" si="114"/>
        <v>16.099999999999994</v>
      </c>
      <c r="AC219" s="4">
        <f>AC17-AB17</f>
        <v>3.8000000000000114</v>
      </c>
      <c r="AD219" s="4">
        <f>AD17-AC17</f>
        <v>40.400000000000006</v>
      </c>
      <c r="AE219" s="4">
        <f>AE17-AD17</f>
        <v>79.300000000000011</v>
      </c>
    </row>
    <row r="221" spans="3:31">
      <c r="C221" s="10" t="s">
        <v>7</v>
      </c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>
        <f>V5/V4*100</f>
        <v>13.455231223351918</v>
      </c>
      <c r="W221">
        <f t="shared" ref="W221:AE221" si="115">W5/W4*100</f>
        <v>19.907223326706429</v>
      </c>
      <c r="X221">
        <f t="shared" si="115"/>
        <v>22.585362307494435</v>
      </c>
      <c r="Y221">
        <f t="shared" si="115"/>
        <v>19.611281540476856</v>
      </c>
      <c r="Z221">
        <f t="shared" si="115"/>
        <v>17.57595071939971</v>
      </c>
      <c r="AA221">
        <f t="shared" si="115"/>
        <v>13.949498219488508</v>
      </c>
      <c r="AB221">
        <f t="shared" si="115"/>
        <v>21.656493857683689</v>
      </c>
      <c r="AC221">
        <f t="shared" si="115"/>
        <v>21.057804809883137</v>
      </c>
      <c r="AD221">
        <f t="shared" si="115"/>
        <v>20.020933014354068</v>
      </c>
      <c r="AE221">
        <f t="shared" si="115"/>
        <v>24.829706980806037</v>
      </c>
    </row>
    <row r="222" spans="3:31">
      <c r="C222" s="12" t="s">
        <v>13</v>
      </c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>
        <f>V8/V4*100</f>
        <v>65.644473597900955</v>
      </c>
      <c r="W222">
        <f t="shared" ref="W222:AE222" si="116">W8/W4*100</f>
        <v>62.080848243870115</v>
      </c>
      <c r="X222">
        <f t="shared" si="116"/>
        <v>58.796180165555988</v>
      </c>
      <c r="Y222">
        <f t="shared" si="116"/>
        <v>56.583479465470262</v>
      </c>
      <c r="Z222">
        <f t="shared" si="116"/>
        <v>57.769263362220379</v>
      </c>
      <c r="AA222">
        <f t="shared" si="116"/>
        <v>61.683392683716406</v>
      </c>
      <c r="AB222">
        <f t="shared" si="116"/>
        <v>57.464781477761463</v>
      </c>
      <c r="AC222">
        <f t="shared" si="116"/>
        <v>60.890212072550888</v>
      </c>
      <c r="AD222">
        <f t="shared" si="116"/>
        <v>60.790755297334243</v>
      </c>
      <c r="AE222">
        <f t="shared" si="116"/>
        <v>56.254482617662916</v>
      </c>
    </row>
    <row r="223" spans="3:31">
      <c r="C223" s="12" t="s">
        <v>27</v>
      </c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>
        <f>V15/V4*100</f>
        <v>20.900295178747129</v>
      </c>
      <c r="W223">
        <f t="shared" ref="W223:AE223" si="117">W15/W4*100</f>
        <v>18.01192842942346</v>
      </c>
      <c r="X223">
        <f t="shared" si="117"/>
        <v>18.61845752694958</v>
      </c>
      <c r="Y223">
        <f t="shared" si="117"/>
        <v>23.805238994052875</v>
      </c>
      <c r="Z223">
        <f t="shared" si="117"/>
        <v>24.654785918379911</v>
      </c>
      <c r="AA223">
        <f t="shared" si="117"/>
        <v>24.36710909679508</v>
      </c>
      <c r="AB223">
        <f t="shared" si="117"/>
        <v>20.878724664554841</v>
      </c>
      <c r="AC223">
        <f t="shared" si="117"/>
        <v>18.051983117565975</v>
      </c>
      <c r="AD223">
        <f t="shared" si="117"/>
        <v>19.188311688311689</v>
      </c>
      <c r="AE223">
        <f t="shared" si="117"/>
        <v>18.343335996581136</v>
      </c>
    </row>
    <row r="224" spans="3:31" ht="22.5">
      <c r="C224" s="567" t="s">
        <v>1090</v>
      </c>
      <c r="D224" s="677"/>
      <c r="E224" s="677"/>
      <c r="F224" s="677"/>
      <c r="G224" s="677"/>
      <c r="H224" s="677"/>
      <c r="I224" s="677"/>
      <c r="J224" s="677"/>
      <c r="K224" s="677"/>
      <c r="L224" s="677"/>
      <c r="M224" s="677"/>
      <c r="N224" s="677"/>
      <c r="O224" s="677"/>
      <c r="P224" s="677"/>
      <c r="Q224" s="677"/>
      <c r="R224" s="677"/>
      <c r="S224" s="677"/>
      <c r="T224" s="677"/>
      <c r="U224" s="677"/>
      <c r="V224">
        <f>V17/V4*100</f>
        <v>0</v>
      </c>
      <c r="W224">
        <f t="shared" ref="W224:AE224" si="118">W17/W4*100</f>
        <v>0</v>
      </c>
      <c r="X224">
        <f t="shared" si="118"/>
        <v>0.43488003502207256</v>
      </c>
      <c r="Y224">
        <f t="shared" si="118"/>
        <v>0.55453483943600668</v>
      </c>
      <c r="Z224">
        <f t="shared" si="118"/>
        <v>0.65765410146559811</v>
      </c>
      <c r="AA224">
        <f t="shared" si="118"/>
        <v>0.54548397539656845</v>
      </c>
      <c r="AB224">
        <f t="shared" si="118"/>
        <v>0.47541785778670576</v>
      </c>
      <c r="AC224">
        <f t="shared" si="118"/>
        <v>0.44621921584788754</v>
      </c>
      <c r="AD224">
        <f t="shared" si="118"/>
        <v>0.48872180451127822</v>
      </c>
      <c r="AE224">
        <f t="shared" si="118"/>
        <v>0.57247440494992485</v>
      </c>
    </row>
    <row r="225" spans="3:31">
      <c r="AE225" s="133">
        <f>AE223+AE224</f>
        <v>18.915810401531061</v>
      </c>
    </row>
    <row r="230" spans="3:31">
      <c r="C230" s="133" t="s">
        <v>1101</v>
      </c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AC230" s="655">
        <f>AC231+AC232+AC233</f>
        <v>67836.340403179987</v>
      </c>
      <c r="AD230" s="655">
        <f t="shared" ref="AD230:AE230" si="119">AD231+AD232+AD233</f>
        <v>74519.74887107515</v>
      </c>
      <c r="AE230" s="655">
        <f t="shared" si="119"/>
        <v>81463.25</v>
      </c>
    </row>
    <row r="231" spans="3:31">
      <c r="C231" s="654" t="s">
        <v>1102</v>
      </c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AC231" s="656">
        <v>8886.5892295179419</v>
      </c>
      <c r="AD231" s="656">
        <v>9762.1185601727266</v>
      </c>
      <c r="AE231" s="656">
        <v>14440.31</v>
      </c>
    </row>
    <row r="232" spans="3:31">
      <c r="C232" s="654" t="s">
        <v>1103</v>
      </c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AC232" s="656">
        <v>50678.35038188249</v>
      </c>
      <c r="AD232" s="656">
        <v>55671.310115089946</v>
      </c>
      <c r="AE232" s="656">
        <v>56176.87000000001</v>
      </c>
    </row>
    <row r="233" spans="3:31">
      <c r="C233" s="654" t="s">
        <v>1104</v>
      </c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AC233" s="656">
        <v>8271.4007917795498</v>
      </c>
      <c r="AD233" s="656">
        <v>9086.3201958124773</v>
      </c>
      <c r="AE233" s="656">
        <v>10846.07</v>
      </c>
    </row>
    <row r="234" spans="3:31">
      <c r="C234" s="657" t="s">
        <v>1102</v>
      </c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AC234">
        <f>AC221*AC230/100</f>
        <v>14284.844152269534</v>
      </c>
      <c r="AD234">
        <f>AD221*AD230/100</f>
        <v>14919.549003942828</v>
      </c>
      <c r="AE234">
        <f>AE221*AE230/100</f>
        <v>20227.086272041473</v>
      </c>
    </row>
    <row r="235" spans="3:31">
      <c r="C235" s="657" t="s">
        <v>1103</v>
      </c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AC235">
        <f>AC222*AC230/100</f>
        <v>41305.691533753816</v>
      </c>
      <c r="AD235">
        <f>AD222*AD230/100</f>
        <v>45301.118184403291</v>
      </c>
      <c r="AE235">
        <f>AE222*AE230/100</f>
        <v>45826.729811033292</v>
      </c>
    </row>
    <row r="236" spans="3:31">
      <c r="C236" s="13" t="s">
        <v>1105</v>
      </c>
      <c r="AC236">
        <f>AC223*AC230/100</f>
        <v>12245.804717156638</v>
      </c>
      <c r="AD236">
        <f>AD223*AD230/100</f>
        <v>14299.081682729033</v>
      </c>
      <c r="AE236">
        <f>AE223*AE230/100</f>
        <v>14943.07766123488</v>
      </c>
    </row>
    <row r="237" spans="3:31">
      <c r="C237" s="13" t="s">
        <v>1106</v>
      </c>
      <c r="AE237">
        <f>AE224*AE230/100</f>
        <v>466.35625569036966</v>
      </c>
    </row>
    <row r="238" spans="3:31">
      <c r="C238" s="658" t="s">
        <v>1104</v>
      </c>
      <c r="D238" s="107"/>
      <c r="E238" s="107"/>
      <c r="F238" s="107"/>
      <c r="G238" s="107"/>
      <c r="H238" s="107"/>
      <c r="I238" s="107"/>
      <c r="J238" s="107"/>
      <c r="K238" s="107"/>
      <c r="L238" s="107"/>
      <c r="M238" s="107"/>
      <c r="N238" s="107"/>
      <c r="O238" s="107"/>
      <c r="P238" s="107"/>
      <c r="Q238" s="107"/>
      <c r="R238" s="107"/>
      <c r="S238" s="107"/>
      <c r="T238" s="107"/>
      <c r="U238" s="107"/>
      <c r="AE238" s="107">
        <f t="shared" ref="AE238" si="120">AE225*AE230/100</f>
        <v>15409.433916925253</v>
      </c>
    </row>
  </sheetData>
  <pageMargins left="0.70866141732283472" right="0.70866141732283472" top="0.74803149606299213" bottom="0.74803149606299213" header="0.31496062992125984" footer="0.31496062992125984"/>
  <pageSetup paperSize="9" orientation="landscape" horizontalDpi="30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549CD-CE0D-4EF0-B00C-75C777AA2809}">
  <dimension ref="B1:AX50"/>
  <sheetViews>
    <sheetView workbookViewId="0">
      <pane xSplit="3" ySplit="1" topLeftCell="F17" activePane="bottomRight" state="frozen"/>
      <selection pane="topRight" activeCell="D1" sqref="D1"/>
      <selection pane="bottomLeft" activeCell="A2" sqref="A2"/>
      <selection pane="bottomRight" activeCell="C22" sqref="C22"/>
    </sheetView>
  </sheetViews>
  <sheetFormatPr defaultRowHeight="15"/>
  <cols>
    <col min="1" max="1" width="3.28515625" customWidth="1"/>
    <col min="2" max="2" width="7.5703125" style="29" customWidth="1"/>
    <col min="3" max="3" width="33.42578125" style="32" customWidth="1"/>
    <col min="4" max="17" width="8.42578125" style="32" customWidth="1"/>
    <col min="18" max="21" width="8.28515625" style="32" customWidth="1"/>
    <col min="33" max="33" width="13.42578125" style="32" customWidth="1"/>
    <col min="34" max="50" width="9.140625" style="32"/>
  </cols>
  <sheetData>
    <row r="1" spans="2:50">
      <c r="B1" s="1" t="s">
        <v>0</v>
      </c>
      <c r="C1" s="2" t="s">
        <v>1</v>
      </c>
      <c r="D1" s="5">
        <v>1997</v>
      </c>
      <c r="E1" s="5">
        <v>1998</v>
      </c>
      <c r="F1" s="5">
        <v>1999</v>
      </c>
      <c r="G1" s="5">
        <v>2000</v>
      </c>
      <c r="H1" s="5">
        <v>2001</v>
      </c>
      <c r="I1" s="5">
        <v>2002</v>
      </c>
      <c r="J1" s="5">
        <v>2003</v>
      </c>
      <c r="K1" s="5">
        <v>2004</v>
      </c>
      <c r="L1" s="5">
        <v>2005</v>
      </c>
      <c r="M1" s="5">
        <v>2006</v>
      </c>
      <c r="N1" s="5">
        <v>2007</v>
      </c>
      <c r="O1" s="5">
        <v>2008</v>
      </c>
      <c r="P1" s="5">
        <v>2009</v>
      </c>
      <c r="Q1" s="5">
        <v>2010</v>
      </c>
      <c r="R1" s="5">
        <v>2011</v>
      </c>
      <c r="S1" s="5">
        <v>2012</v>
      </c>
      <c r="T1" s="5">
        <v>2013</v>
      </c>
      <c r="U1" s="5">
        <v>2014</v>
      </c>
      <c r="V1" s="5">
        <v>2015</v>
      </c>
      <c r="W1" s="5">
        <v>2016</v>
      </c>
      <c r="X1" s="5">
        <v>2017</v>
      </c>
      <c r="Y1" s="5">
        <v>2018</v>
      </c>
      <c r="Z1" s="5">
        <v>2019</v>
      </c>
      <c r="AA1" s="5">
        <v>2020</v>
      </c>
      <c r="AB1" s="5">
        <v>2021</v>
      </c>
      <c r="AC1" s="5">
        <v>2022</v>
      </c>
      <c r="AD1" s="5">
        <v>2023</v>
      </c>
      <c r="AE1" s="5">
        <v>2024</v>
      </c>
    </row>
    <row r="2" spans="2:50">
      <c r="B2" s="25"/>
      <c r="C2" s="25" t="s">
        <v>592</v>
      </c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</row>
    <row r="3" spans="2:50" ht="18.75">
      <c r="B3" s="7" t="s">
        <v>593</v>
      </c>
      <c r="C3" s="19" t="s">
        <v>1098</v>
      </c>
      <c r="D3" s="270">
        <v>36</v>
      </c>
      <c r="E3" s="270">
        <v>34.6</v>
      </c>
      <c r="F3" s="270">
        <v>27.7</v>
      </c>
      <c r="G3" s="270">
        <v>27.676299999999998</v>
      </c>
      <c r="H3" s="270">
        <v>30.012700000000002</v>
      </c>
      <c r="I3" s="270">
        <v>35.602400000000003</v>
      </c>
      <c r="J3" s="270">
        <v>32.924599999999998</v>
      </c>
      <c r="K3" s="270">
        <v>35.732199999999999</v>
      </c>
      <c r="L3" s="270">
        <v>38.593599999999995</v>
      </c>
      <c r="M3" s="370">
        <v>39.540999999999997</v>
      </c>
      <c r="N3" s="370">
        <v>44.997999999999998</v>
      </c>
      <c r="O3" s="172">
        <v>47.731999999999999</v>
      </c>
      <c r="P3" s="172">
        <v>58.863</v>
      </c>
      <c r="Q3" s="172">
        <v>59.326999999999998</v>
      </c>
      <c r="R3" s="172">
        <v>61.656999999999996</v>
      </c>
      <c r="S3" s="172">
        <v>68.399000000000001</v>
      </c>
      <c r="T3" s="172">
        <v>72.2</v>
      </c>
      <c r="U3" s="172">
        <v>74.400000000000006</v>
      </c>
      <c r="V3" s="172">
        <v>74.400000000000006</v>
      </c>
      <c r="W3" s="172">
        <v>84.1</v>
      </c>
      <c r="X3" s="172">
        <v>84.1</v>
      </c>
      <c r="Y3" s="172">
        <v>89.6</v>
      </c>
      <c r="Z3" s="172">
        <v>85.4</v>
      </c>
      <c r="AA3" s="172">
        <v>79.900000000000006</v>
      </c>
      <c r="AB3" s="172">
        <v>82</v>
      </c>
      <c r="AC3" s="172">
        <v>103.4</v>
      </c>
      <c r="AD3" s="172">
        <v>120.6</v>
      </c>
      <c r="AE3" s="591">
        <v>134.4</v>
      </c>
      <c r="AH3" t="s">
        <v>783</v>
      </c>
    </row>
    <row r="4" spans="2:50" ht="18.75">
      <c r="B4" s="7" t="s">
        <v>594</v>
      </c>
      <c r="C4" s="32" t="s">
        <v>595</v>
      </c>
      <c r="D4" s="270"/>
      <c r="E4" s="270"/>
      <c r="F4" s="270"/>
      <c r="G4"/>
      <c r="H4"/>
      <c r="I4"/>
      <c r="J4" s="682">
        <v>100</v>
      </c>
      <c r="K4" s="270">
        <v>118.04233118840109</v>
      </c>
      <c r="L4" s="270">
        <v>137.16424690156148</v>
      </c>
      <c r="M4" s="270">
        <v>141.2394408590105</v>
      </c>
      <c r="N4" s="270">
        <v>167.12738588101689</v>
      </c>
      <c r="O4" s="270">
        <v>162.22222712534568</v>
      </c>
      <c r="P4" s="270">
        <v>151.63620741541897</v>
      </c>
      <c r="Q4" s="270">
        <v>175.32456118743553</v>
      </c>
      <c r="R4" s="270">
        <v>189.83791033372671</v>
      </c>
      <c r="S4" s="270">
        <v>242.58339167190815</v>
      </c>
      <c r="T4" s="270">
        <v>238.8654940919852</v>
      </c>
      <c r="U4" s="270">
        <v>242.72655526743137</v>
      </c>
      <c r="V4" s="93">
        <v>258.4009002907822</v>
      </c>
      <c r="W4">
        <f>(Industry!V9*Industry!W23+Industry!W24*Industry!V10+Industry!V14*Industry!W28+Industry!V7*Industry!W21)/(Industry!V7+Industry!V9+Industry!V10+Industry!V14)*V4/100</f>
        <v>295.53009088185399</v>
      </c>
      <c r="X4">
        <f>(Industry!W9*Industry!X23+Industry!X24*Industry!W10+Industry!W14*Industry!X28+Industry!W7*Industry!X21)/(Industry!W7+Industry!W9+Industry!W10+Industry!W14)*W4/100</f>
        <v>373.94613683368254</v>
      </c>
      <c r="Y4">
        <f>(Industry!X9*Industry!Y23+Industry!Y24*Industry!X10+Industry!X14*Industry!Y28+Industry!X7*Industry!Y21)/(Industry!X7+Industry!X9+Industry!X10+Industry!X14)*X4/100</f>
        <v>419.91300049284655</v>
      </c>
      <c r="Z4">
        <f>(Industry!Y9*Industry!Z23+Industry!Z24*Industry!Y10+Industry!Y14*Industry!Z28+Industry!Y7*Industry!Z21)/(Industry!Y7+Industry!Y9+Industry!Y10+Industry!Y14)*Y4/100</f>
        <v>455.18244019927516</v>
      </c>
      <c r="AA4">
        <f>(Industry!Z9*Industry!AA23+Industry!AA24*Industry!Z10+Industry!Z14*Industry!AA28+Industry!Z7*Industry!AA21)/(Industry!Z7+Industry!Z9+Industry!Z10+Industry!Z14)*Z4/100</f>
        <v>524.57137073110744</v>
      </c>
      <c r="AB4">
        <f>(Industry!AA9*Industry!AB23+Industry!AB24*Industry!AA10+Industry!AA14*Industry!AB28+Industry!AA7*Industry!AB21)/(Industry!AA7+Industry!AA9+Industry!AA10+Industry!AA14)*AA4/100</f>
        <v>614.13373190024413</v>
      </c>
      <c r="AC4">
        <f>(Industry!AB9*Industry!AC23+Industry!AC24*Industry!AB10+Industry!AB14*Industry!AC28+Industry!AB7*Industry!AC21)/(Industry!AB7+Industry!AB9+Industry!AB10+Industry!AB14)*AB4/100</f>
        <v>740.27138557628825</v>
      </c>
      <c r="AD4">
        <f>(Industry!AC9*Industry!AD23+Industry!AD24*Industry!AC10+Industry!AC14*Industry!AD28+Industry!AC7*Industry!AD21)/(Industry!AC7+Industry!AC9+Industry!AC10+Industry!AC14)*AC4/100</f>
        <v>850.60740806378021</v>
      </c>
      <c r="AE4">
        <f>(Industry!AD9*Industry!AE23+Industry!AE24*Industry!AD10+Industry!AD14*Industry!AE28+Industry!AD7*Industry!AE21)/(Industry!AD7+Industry!AD9+Industry!AD10+Industry!AD14)*AD4/100</f>
        <v>902.88223586581637</v>
      </c>
      <c r="AH4" t="s">
        <v>784</v>
      </c>
    </row>
    <row r="5" spans="2:50" ht="18.75">
      <c r="B5" s="7" t="s">
        <v>596</v>
      </c>
      <c r="C5" s="32" t="s">
        <v>1099</v>
      </c>
      <c r="D5" s="270">
        <v>22.8</v>
      </c>
      <c r="E5" s="270">
        <v>21.900000000000002</v>
      </c>
      <c r="F5" s="270">
        <v>16.100000000000001</v>
      </c>
      <c r="G5" s="270">
        <v>14.576299999999998</v>
      </c>
      <c r="H5" s="270">
        <v>17.295900000000003</v>
      </c>
      <c r="I5" s="270">
        <v>23.802400000000002</v>
      </c>
      <c r="J5" s="270">
        <v>21.200299999999999</v>
      </c>
      <c r="K5" s="270">
        <v>23.459799999999998</v>
      </c>
      <c r="L5" s="270">
        <v>26.4757</v>
      </c>
      <c r="M5" s="270">
        <v>25.6036</v>
      </c>
      <c r="N5" s="270">
        <v>30.497500000000002</v>
      </c>
      <c r="O5" s="270">
        <v>33.185600000000001</v>
      </c>
      <c r="P5" s="270">
        <v>42.314800000000005</v>
      </c>
      <c r="Q5" s="270">
        <v>50.800000000000004</v>
      </c>
      <c r="R5" s="270">
        <v>52.396999999999998</v>
      </c>
      <c r="S5" s="270">
        <v>60.425601574078819</v>
      </c>
      <c r="T5" s="172">
        <v>65.5</v>
      </c>
      <c r="U5" s="172">
        <v>67.599999999999994</v>
      </c>
      <c r="V5" s="172">
        <v>68.3</v>
      </c>
      <c r="W5" s="172">
        <v>78.599999999999994</v>
      </c>
      <c r="X5" s="172">
        <v>79.5</v>
      </c>
      <c r="Y5" s="172">
        <v>84.3</v>
      </c>
      <c r="Z5" s="172">
        <v>79.599999999999994</v>
      </c>
      <c r="AA5" s="172">
        <v>73.599999999999994</v>
      </c>
      <c r="AB5" s="172">
        <v>76.3</v>
      </c>
      <c r="AC5" s="172">
        <v>97.3</v>
      </c>
      <c r="AD5" s="172">
        <v>114.1</v>
      </c>
      <c r="AE5" s="591">
        <v>127.7</v>
      </c>
      <c r="AH5" t="s">
        <v>785</v>
      </c>
    </row>
    <row r="6" spans="2:50" ht="18.75">
      <c r="B6" s="7" t="s">
        <v>598</v>
      </c>
      <c r="C6" s="32" t="s">
        <v>599</v>
      </c>
      <c r="D6" s="270">
        <v>13.2</v>
      </c>
      <c r="E6" s="270">
        <v>12.7</v>
      </c>
      <c r="F6" s="270">
        <v>11.6</v>
      </c>
      <c r="G6" s="270">
        <v>13.1</v>
      </c>
      <c r="H6" s="270">
        <v>12.716799999999999</v>
      </c>
      <c r="I6" s="270">
        <v>11.8</v>
      </c>
      <c r="J6" s="270">
        <v>11.724299999999999</v>
      </c>
      <c r="K6" s="270">
        <v>12.272400000000001</v>
      </c>
      <c r="L6" s="270">
        <v>12.117899999999995</v>
      </c>
      <c r="M6" s="270">
        <v>13.937399999999997</v>
      </c>
      <c r="N6" s="270">
        <v>14.5</v>
      </c>
      <c r="O6" s="270">
        <v>14.546700000000001</v>
      </c>
      <c r="P6" s="270">
        <v>14.548199999999994</v>
      </c>
      <c r="Q6" s="270">
        <v>10.4</v>
      </c>
      <c r="R6" s="338">
        <v>9.259999999999998</v>
      </c>
      <c r="S6" s="338">
        <v>7.9733984259211823</v>
      </c>
      <c r="T6" s="338">
        <v>6.7000000000000028</v>
      </c>
      <c r="U6" s="338">
        <v>6.8000000000000114</v>
      </c>
      <c r="V6" s="338">
        <f>V3-V5</f>
        <v>6.1000000000000085</v>
      </c>
      <c r="W6" s="338">
        <f t="shared" ref="W6:AA6" si="0">W3-W5</f>
        <v>5.5</v>
      </c>
      <c r="X6" s="338">
        <f t="shared" si="0"/>
        <v>4.5999999999999943</v>
      </c>
      <c r="Y6" s="338">
        <f t="shared" si="0"/>
        <v>5.2999999999999972</v>
      </c>
      <c r="Z6" s="338">
        <f t="shared" si="0"/>
        <v>5.8000000000000114</v>
      </c>
      <c r="AA6" s="338">
        <f t="shared" si="0"/>
        <v>6.3000000000000114</v>
      </c>
      <c r="AB6" s="338">
        <f>AB3-AB5</f>
        <v>5.7000000000000028</v>
      </c>
      <c r="AC6" s="338">
        <f t="shared" ref="AC6:AD6" si="1">AC3-AC5</f>
        <v>6.1000000000000085</v>
      </c>
      <c r="AD6" s="338">
        <f t="shared" si="1"/>
        <v>6.5</v>
      </c>
      <c r="AE6" s="591">
        <f>AE3-AE5</f>
        <v>6.7000000000000028</v>
      </c>
      <c r="AH6" t="s">
        <v>786</v>
      </c>
    </row>
    <row r="7" spans="2:50" ht="18.75">
      <c r="B7" s="7" t="s">
        <v>600</v>
      </c>
      <c r="C7" s="20" t="s">
        <v>601</v>
      </c>
      <c r="D7" s="270">
        <v>31.551270815074499</v>
      </c>
      <c r="E7" s="270">
        <v>96.111111111111114</v>
      </c>
      <c r="F7" s="270">
        <v>80.057803468208093</v>
      </c>
      <c r="G7" s="894">
        <v>99.914440433212988</v>
      </c>
      <c r="H7" s="270">
        <v>108.44187987556143</v>
      </c>
      <c r="I7" s="270">
        <v>118.62444898326375</v>
      </c>
      <c r="J7" s="270">
        <v>92.478596948520305</v>
      </c>
      <c r="K7" s="270">
        <v>108.52736251921056</v>
      </c>
      <c r="L7" s="270">
        <v>108.00790323573695</v>
      </c>
      <c r="M7" s="270">
        <v>102.45481116039966</v>
      </c>
      <c r="N7" s="270">
        <v>113.79960041475938</v>
      </c>
      <c r="O7" s="270">
        <v>106.07767098172121</v>
      </c>
      <c r="P7" s="270">
        <v>119.12897555743176</v>
      </c>
      <c r="Q7" s="270">
        <v>107.62710374056945</v>
      </c>
      <c r="R7" s="338">
        <v>103.92738550744181</v>
      </c>
      <c r="S7" s="338">
        <v>110.93468705905252</v>
      </c>
      <c r="T7" s="172">
        <v>105.5</v>
      </c>
      <c r="U7" s="172">
        <v>103</v>
      </c>
      <c r="V7" s="172">
        <v>100</v>
      </c>
      <c r="W7" s="172">
        <v>113</v>
      </c>
      <c r="X7" s="172">
        <v>100.1</v>
      </c>
      <c r="Y7" s="172">
        <f t="shared" ref="Y7:Z7" si="2">Y3/X3*100</f>
        <v>106.53983353151011</v>
      </c>
      <c r="Z7" s="172">
        <f t="shared" si="2"/>
        <v>95.312500000000014</v>
      </c>
      <c r="AA7" s="172">
        <v>99.7</v>
      </c>
      <c r="AB7" s="172">
        <v>103.8</v>
      </c>
      <c r="AC7" s="172">
        <v>126.1</v>
      </c>
      <c r="AD7" s="172">
        <v>116.6</v>
      </c>
      <c r="AE7" s="591">
        <v>111.5</v>
      </c>
      <c r="AH7" t="s">
        <v>787</v>
      </c>
    </row>
    <row r="8" spans="2:50">
      <c r="B8" s="7"/>
      <c r="C8" s="20"/>
      <c r="D8"/>
      <c r="E8"/>
      <c r="F8"/>
      <c r="G8" s="892"/>
      <c r="H8" s="270"/>
      <c r="I8" s="270"/>
      <c r="J8" s="270"/>
      <c r="K8" s="270"/>
      <c r="L8" s="270"/>
      <c r="M8" s="270"/>
      <c r="N8" s="270"/>
      <c r="O8" s="270"/>
      <c r="P8" s="270"/>
      <c r="Q8" s="270"/>
      <c r="R8" s="270"/>
      <c r="S8" s="270"/>
      <c r="T8" s="270"/>
      <c r="U8" s="270"/>
    </row>
    <row r="9" spans="2:50">
      <c r="B9" s="7"/>
      <c r="C9" s="20"/>
      <c r="D9"/>
      <c r="E9"/>
      <c r="F9"/>
      <c r="G9" s="892"/>
      <c r="H9" s="270"/>
      <c r="I9" s="270"/>
      <c r="J9" s="270"/>
      <c r="K9" s="270"/>
      <c r="L9" s="270"/>
      <c r="M9" s="270"/>
      <c r="N9" s="270"/>
      <c r="O9" s="270"/>
      <c r="P9" s="270"/>
      <c r="Q9" s="270"/>
      <c r="R9" s="270"/>
      <c r="S9" s="270"/>
      <c r="T9" s="270"/>
      <c r="U9" s="270"/>
    </row>
    <row r="10" spans="2:50">
      <c r="B10" s="7"/>
      <c r="C10" s="20"/>
      <c r="D10"/>
      <c r="E10"/>
      <c r="F10"/>
      <c r="G10" s="892"/>
      <c r="H10" s="270"/>
      <c r="I10" s="270"/>
      <c r="J10" s="270"/>
      <c r="K10" s="270"/>
      <c r="L10" s="270"/>
      <c r="M10" s="270"/>
      <c r="N10" s="270"/>
      <c r="O10" s="270"/>
      <c r="P10" s="270"/>
      <c r="Q10" s="270"/>
      <c r="R10" s="270"/>
      <c r="S10" s="270"/>
      <c r="T10" s="270"/>
      <c r="U10" s="270"/>
    </row>
    <row r="11" spans="2:50">
      <c r="D11"/>
      <c r="E11"/>
      <c r="F11"/>
      <c r="G11" s="892"/>
      <c r="H11" s="892"/>
      <c r="I11" s="892"/>
      <c r="J11" s="892"/>
      <c r="K11" s="892"/>
      <c r="L11" s="893"/>
      <c r="M11" s="893"/>
      <c r="N11" s="893"/>
      <c r="O11" s="893"/>
      <c r="P11" s="893"/>
      <c r="Q11" s="270"/>
      <c r="R11"/>
      <c r="S11"/>
      <c r="T11"/>
      <c r="U11"/>
    </row>
    <row r="12" spans="2:50" ht="18.75">
      <c r="B12" s="7" t="s">
        <v>602</v>
      </c>
      <c r="C12" s="19" t="s">
        <v>603</v>
      </c>
      <c r="D12" s="269">
        <v>124.5</v>
      </c>
      <c r="E12" s="269">
        <v>174.1</v>
      </c>
      <c r="F12" s="269">
        <v>187.6</v>
      </c>
      <c r="G12" s="894">
        <v>151.4</v>
      </c>
      <c r="H12" s="894">
        <v>171.6</v>
      </c>
      <c r="I12" s="894">
        <v>225.9</v>
      </c>
      <c r="J12" s="894">
        <v>265.5</v>
      </c>
      <c r="K12" s="894">
        <v>340.6</v>
      </c>
      <c r="L12" s="893">
        <v>398.4</v>
      </c>
      <c r="M12" s="895">
        <v>415.4</v>
      </c>
      <c r="N12" s="895">
        <v>429.2</v>
      </c>
      <c r="O12" s="896">
        <v>455</v>
      </c>
      <c r="P12" s="896">
        <v>514.6</v>
      </c>
      <c r="Q12" s="339">
        <v>539.5</v>
      </c>
      <c r="R12" s="339">
        <v>479.3</v>
      </c>
      <c r="S12" s="339">
        <v>512.79999999999995</v>
      </c>
      <c r="T12" s="339">
        <v>545</v>
      </c>
      <c r="U12" s="339">
        <v>556.9</v>
      </c>
      <c r="V12" s="339">
        <v>564.5</v>
      </c>
      <c r="W12" s="339">
        <v>572.9</v>
      </c>
      <c r="X12" s="339">
        <v>594.70000000000005</v>
      </c>
      <c r="Y12" s="339">
        <v>614.5</v>
      </c>
      <c r="Z12" s="339">
        <v>658.1</v>
      </c>
      <c r="AA12" s="339">
        <v>654.70000000000005</v>
      </c>
      <c r="AB12" s="339">
        <v>737.1</v>
      </c>
      <c r="AC12" s="339">
        <v>818.6</v>
      </c>
      <c r="AD12" s="339">
        <v>899.3</v>
      </c>
      <c r="AE12" s="592">
        <v>1020</v>
      </c>
      <c r="AH12" t="s">
        <v>788</v>
      </c>
    </row>
    <row r="13" spans="2:50" ht="18.75">
      <c r="B13" s="7" t="s">
        <v>604</v>
      </c>
      <c r="C13" s="32" t="s">
        <v>597</v>
      </c>
      <c r="D13" s="269">
        <v>93.6</v>
      </c>
      <c r="E13" s="269">
        <v>140.80000000000001</v>
      </c>
      <c r="F13" s="269">
        <v>145.80000000000001</v>
      </c>
      <c r="G13" s="894">
        <v>122.80000000000001</v>
      </c>
      <c r="H13" s="894">
        <v>147.1</v>
      </c>
      <c r="I13" s="894">
        <v>203.70000000000002</v>
      </c>
      <c r="J13" s="894">
        <v>243.5</v>
      </c>
      <c r="K13" s="894">
        <v>317.40000000000003</v>
      </c>
      <c r="L13" s="893">
        <v>380.7</v>
      </c>
      <c r="M13" s="895">
        <v>391.4</v>
      </c>
      <c r="N13" s="895">
        <v>406.5</v>
      </c>
      <c r="O13" s="896">
        <v>443</v>
      </c>
      <c r="P13" s="896">
        <v>502.90000000000003</v>
      </c>
      <c r="Q13" s="339">
        <v>526.79999999999995</v>
      </c>
      <c r="R13" s="339">
        <v>467.3</v>
      </c>
      <c r="S13" s="339">
        <v>500.8</v>
      </c>
      <c r="T13" s="339">
        <v>533.20000000000005</v>
      </c>
      <c r="U13" s="339">
        <v>545.20000000000005</v>
      </c>
      <c r="V13" s="339">
        <v>553.1</v>
      </c>
      <c r="W13" s="339">
        <v>560.70000000000005</v>
      </c>
      <c r="X13" s="339">
        <v>582.20000000000005</v>
      </c>
      <c r="Y13" s="339">
        <v>602.6</v>
      </c>
      <c r="Z13" s="339">
        <v>635.4</v>
      </c>
      <c r="AA13" s="339">
        <v>634.79999999999995</v>
      </c>
      <c r="AB13" s="339">
        <v>717.1</v>
      </c>
      <c r="AC13" s="339">
        <v>797.1</v>
      </c>
      <c r="AD13" s="339">
        <v>876.7</v>
      </c>
      <c r="AE13" s="592">
        <v>996.1</v>
      </c>
      <c r="AH13" t="s">
        <v>789</v>
      </c>
    </row>
    <row r="14" spans="2:50" ht="18.75">
      <c r="B14" s="7" t="s">
        <v>605</v>
      </c>
      <c r="C14" s="32" t="s">
        <v>599</v>
      </c>
      <c r="D14" s="269">
        <v>30.9</v>
      </c>
      <c r="E14" s="269">
        <v>33.299999999999997</v>
      </c>
      <c r="F14" s="269">
        <v>41.8</v>
      </c>
      <c r="G14" s="270">
        <v>28.6</v>
      </c>
      <c r="H14" s="270">
        <v>24.5</v>
      </c>
      <c r="I14" s="270">
        <v>22.2</v>
      </c>
      <c r="J14" s="270">
        <v>22</v>
      </c>
      <c r="K14" s="270">
        <v>23.2</v>
      </c>
      <c r="L14" s="270">
        <v>17.7</v>
      </c>
      <c r="M14" s="172">
        <v>24</v>
      </c>
      <c r="N14" s="172">
        <v>22.7</v>
      </c>
      <c r="O14" s="339">
        <v>12</v>
      </c>
      <c r="P14" s="339">
        <v>11.7</v>
      </c>
      <c r="Q14" s="339">
        <v>12.7</v>
      </c>
      <c r="R14" s="339">
        <v>12</v>
      </c>
      <c r="S14" s="339">
        <v>11.999999999999943</v>
      </c>
      <c r="T14" s="339">
        <v>11.799999999999955</v>
      </c>
      <c r="U14" s="339">
        <v>11.699999999999932</v>
      </c>
      <c r="V14" s="339">
        <f t="shared" ref="V14:AE14" si="3">V12-V13</f>
        <v>11.399999999999977</v>
      </c>
      <c r="W14" s="339">
        <f t="shared" si="3"/>
        <v>12.199999999999932</v>
      </c>
      <c r="X14" s="339">
        <f t="shared" si="3"/>
        <v>12.5</v>
      </c>
      <c r="Y14" s="339">
        <f t="shared" si="3"/>
        <v>11.899999999999977</v>
      </c>
      <c r="Z14" s="339">
        <f t="shared" si="3"/>
        <v>22.700000000000045</v>
      </c>
      <c r="AA14" s="339">
        <f t="shared" si="3"/>
        <v>19.900000000000091</v>
      </c>
      <c r="AB14" s="339">
        <f t="shared" si="3"/>
        <v>20</v>
      </c>
      <c r="AC14" s="339">
        <f t="shared" si="3"/>
        <v>21.5</v>
      </c>
      <c r="AD14" s="339">
        <f t="shared" si="3"/>
        <v>22.599999999999909</v>
      </c>
      <c r="AE14" s="592">
        <f t="shared" si="3"/>
        <v>23.899999999999977</v>
      </c>
      <c r="AH14" t="s">
        <v>790</v>
      </c>
    </row>
    <row r="15" spans="2:50" ht="18.75">
      <c r="B15" s="7" t="s">
        <v>606</v>
      </c>
      <c r="C15" s="20" t="s">
        <v>601</v>
      </c>
      <c r="D15" s="269">
        <v>105.0632911392405</v>
      </c>
      <c r="E15" s="269">
        <v>139.83935742971886</v>
      </c>
      <c r="F15" s="269">
        <v>107.75416427340609</v>
      </c>
      <c r="G15" s="270">
        <v>80.703624733475493</v>
      </c>
      <c r="H15" s="270">
        <v>113.34214002642007</v>
      </c>
      <c r="I15" s="270">
        <v>131.64335664335664</v>
      </c>
      <c r="J15" s="270">
        <v>117.52988047808766</v>
      </c>
      <c r="K15" s="270">
        <v>128.28625235404897</v>
      </c>
      <c r="L15" s="270">
        <v>116.97005284791541</v>
      </c>
      <c r="M15" s="340">
        <v>104.26706827309238</v>
      </c>
      <c r="N15" s="340">
        <v>103.3220991815118</v>
      </c>
      <c r="O15" s="340">
        <v>106.0111835973905</v>
      </c>
      <c r="P15" s="340">
        <v>113.09890109890111</v>
      </c>
      <c r="Q15" s="340">
        <v>104.83870967741935</v>
      </c>
      <c r="R15" s="340">
        <v>88.841519925857284</v>
      </c>
      <c r="S15" s="340">
        <v>106.98935948257875</v>
      </c>
      <c r="T15" s="339">
        <v>104.7</v>
      </c>
      <c r="U15" s="339">
        <v>102.2</v>
      </c>
      <c r="V15" s="339">
        <v>101.4</v>
      </c>
      <c r="W15" s="339">
        <v>101.5</v>
      </c>
      <c r="X15" s="339">
        <v>103.8</v>
      </c>
      <c r="Y15" s="339">
        <v>103.3</v>
      </c>
      <c r="Z15" s="339">
        <v>107.1</v>
      </c>
      <c r="AA15" s="339">
        <v>97.5</v>
      </c>
      <c r="AB15" s="339">
        <v>113</v>
      </c>
      <c r="AC15" s="339">
        <f>AC12/AB12*100</f>
        <v>111.05684439017773</v>
      </c>
      <c r="AD15" s="339">
        <f>AD12/AC12*100</f>
        <v>109.8582946494014</v>
      </c>
      <c r="AE15" s="592">
        <f>AE12/AD12*100</f>
        <v>113.42155009451795</v>
      </c>
      <c r="AH15" t="s">
        <v>791</v>
      </c>
    </row>
    <row r="16" spans="2:50">
      <c r="B16" s="7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spans="2:37">
      <c r="B17" s="7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 spans="2:37">
      <c r="B18" s="7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</row>
    <row r="19" spans="2:37">
      <c r="B19" s="7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</row>
    <row r="20" spans="2:37">
      <c r="B20" s="7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W20" s="624">
        <f>W22-V22</f>
        <v>1759.3000000000011</v>
      </c>
      <c r="X20" s="624">
        <f t="shared" ref="X20:AD20" si="4">X22-W22</f>
        <v>297.09999999999854</v>
      </c>
      <c r="Y20" s="624">
        <f t="shared" si="4"/>
        <v>1554.7000000000007</v>
      </c>
      <c r="Z20" s="624">
        <f t="shared" si="4"/>
        <v>-843.20000000000073</v>
      </c>
      <c r="AA20" s="624">
        <f t="shared" si="4"/>
        <v>-900.89999999999964</v>
      </c>
      <c r="AB20" s="624">
        <f t="shared" si="4"/>
        <v>3140.3000000000011</v>
      </c>
      <c r="AC20" s="624">
        <f t="shared" si="4"/>
        <v>1522.2999999999993</v>
      </c>
      <c r="AD20" s="624">
        <f t="shared" si="4"/>
        <v>3579.5</v>
      </c>
      <c r="AE20" s="624">
        <f>AE22-AD22</f>
        <v>2684</v>
      </c>
    </row>
    <row r="21" spans="2:37">
      <c r="W21" s="624">
        <f>W23-V23</f>
        <v>953.89999999999964</v>
      </c>
      <c r="X21" s="624">
        <f t="shared" ref="X21:AD21" si="5">X23-W23</f>
        <v>613.90000000000055</v>
      </c>
      <c r="Y21" s="624">
        <f t="shared" si="5"/>
        <v>1455</v>
      </c>
      <c r="Z21" s="624">
        <f t="shared" si="5"/>
        <v>-207.40000000000055</v>
      </c>
      <c r="AA21" s="624">
        <f t="shared" si="5"/>
        <v>-574.5</v>
      </c>
      <c r="AB21" s="624">
        <f t="shared" si="5"/>
        <v>421.90000000000055</v>
      </c>
      <c r="AC21" s="624">
        <f t="shared" si="5"/>
        <v>628.09999999999945</v>
      </c>
      <c r="AD21" s="624">
        <f t="shared" si="5"/>
        <v>1185.6000000000004</v>
      </c>
      <c r="AE21" s="624">
        <f>AE23-AD23</f>
        <v>1908</v>
      </c>
    </row>
    <row r="22" spans="2:37" ht="18.75">
      <c r="B22" s="7" t="s">
        <v>607</v>
      </c>
      <c r="C22" s="19" t="s">
        <v>608</v>
      </c>
      <c r="D22" s="32">
        <v>67.5</v>
      </c>
      <c r="E22" s="32">
        <v>68.3</v>
      </c>
      <c r="F22" s="32">
        <v>122.5</v>
      </c>
      <c r="G22" s="897">
        <v>108.6</v>
      </c>
      <c r="H22" s="897">
        <v>194.8</v>
      </c>
      <c r="I22" s="897">
        <v>206.9</v>
      </c>
      <c r="J22" s="897">
        <v>318.39999999999998</v>
      </c>
      <c r="K22" s="897">
        <v>592</v>
      </c>
      <c r="L22" s="897">
        <v>682.5</v>
      </c>
      <c r="M22" s="897">
        <v>1214.5</v>
      </c>
      <c r="N22" s="897">
        <v>2828.7</v>
      </c>
      <c r="O22" s="897">
        <v>4341.3999999999996</v>
      </c>
      <c r="P22" s="897">
        <v>3899.4</v>
      </c>
      <c r="Q22" s="900">
        <v>4413.5</v>
      </c>
      <c r="R22" s="900">
        <v>4848</v>
      </c>
      <c r="S22" s="342">
        <v>4540.2</v>
      </c>
      <c r="T22" s="342">
        <v>5796.7999999999993</v>
      </c>
      <c r="U22" s="342">
        <v>7495.2</v>
      </c>
      <c r="V22" s="342">
        <v>9749.9</v>
      </c>
      <c r="W22" s="342">
        <f>SUM(W23+W25+W26+W27)</f>
        <v>11509.2</v>
      </c>
      <c r="X22" s="342">
        <f>SUM(X23+X25+X26+X27)</f>
        <v>11806.3</v>
      </c>
      <c r="Y22" s="342">
        <v>13361</v>
      </c>
      <c r="Z22" s="342">
        <v>12517.8</v>
      </c>
      <c r="AA22" s="342">
        <f t="shared" ref="AA22:AC22" si="6">SUM(AA23+AA25+AA26+AA27)</f>
        <v>11616.9</v>
      </c>
      <c r="AB22" s="342">
        <f t="shared" si="6"/>
        <v>14757.2</v>
      </c>
      <c r="AC22" s="342">
        <f t="shared" si="6"/>
        <v>16279.5</v>
      </c>
      <c r="AD22" s="342">
        <f>SUM(AD23+AD25+AD26+AD27)</f>
        <v>19859</v>
      </c>
      <c r="AE22" s="572">
        <f t="shared" ref="AE22" si="7">SUM(AE23+AE25+AE26+AE27)</f>
        <v>22543</v>
      </c>
      <c r="AH22" t="s">
        <v>792</v>
      </c>
    </row>
    <row r="23" spans="2:37">
      <c r="C23" s="174" t="s">
        <v>609</v>
      </c>
      <c r="D23" s="32">
        <v>47.6</v>
      </c>
      <c r="E23" s="32">
        <v>46.3</v>
      </c>
      <c r="F23" s="32">
        <v>95.2</v>
      </c>
      <c r="G23" s="897">
        <v>47.3</v>
      </c>
      <c r="H23" s="897">
        <v>100.5</v>
      </c>
      <c r="I23" s="897">
        <v>117.2</v>
      </c>
      <c r="J23" s="897">
        <v>180.2</v>
      </c>
      <c r="K23" s="897">
        <v>349</v>
      </c>
      <c r="L23" s="897">
        <v>319.2</v>
      </c>
      <c r="M23" s="897">
        <v>429.3</v>
      </c>
      <c r="N23" s="897">
        <v>547.5</v>
      </c>
      <c r="O23" s="897">
        <v>1015</v>
      </c>
      <c r="P23" s="897">
        <v>1219.3</v>
      </c>
      <c r="Q23" s="900">
        <v>1629.9</v>
      </c>
      <c r="R23" s="901">
        <v>2183.3169336919509</v>
      </c>
      <c r="S23" s="906">
        <v>2018.5</v>
      </c>
      <c r="T23" s="344">
        <v>2426</v>
      </c>
      <c r="U23" s="343">
        <v>3104</v>
      </c>
      <c r="V23" s="343">
        <v>3446</v>
      </c>
      <c r="W23" s="344">
        <v>4399.8999999999996</v>
      </c>
      <c r="X23" s="344">
        <v>5013.8</v>
      </c>
      <c r="Y23" s="344">
        <v>6468.8</v>
      </c>
      <c r="Z23" s="344">
        <v>6261.4</v>
      </c>
      <c r="AA23" s="344">
        <v>5686.9</v>
      </c>
      <c r="AB23" s="344">
        <v>6108.8</v>
      </c>
      <c r="AC23" s="344">
        <v>6736.9</v>
      </c>
      <c r="AD23" s="344">
        <v>7922.5</v>
      </c>
      <c r="AE23" s="570">
        <v>9830.5</v>
      </c>
    </row>
    <row r="24" spans="2:37">
      <c r="C24" s="175" t="s">
        <v>610</v>
      </c>
      <c r="D24"/>
      <c r="E24"/>
      <c r="F24"/>
      <c r="G24" s="897"/>
      <c r="H24" s="897"/>
      <c r="I24" s="897"/>
      <c r="J24" s="897"/>
      <c r="K24" s="897"/>
      <c r="L24" s="897"/>
      <c r="M24" s="897"/>
      <c r="N24" s="897"/>
      <c r="O24" s="897"/>
      <c r="P24" s="897"/>
      <c r="Q24" s="900"/>
      <c r="R24" s="901"/>
      <c r="S24" s="906"/>
      <c r="T24" s="344"/>
      <c r="U24" s="343"/>
      <c r="W24" s="556">
        <v>3375.4</v>
      </c>
      <c r="X24" s="556">
        <v>3174.2</v>
      </c>
      <c r="Y24" s="556">
        <v>3410.6</v>
      </c>
    </row>
    <row r="25" spans="2:37">
      <c r="C25" s="174" t="s">
        <v>611</v>
      </c>
      <c r="D25"/>
      <c r="E25"/>
      <c r="F25"/>
      <c r="G25" s="897">
        <v>27.3</v>
      </c>
      <c r="H25" s="897">
        <v>48.9</v>
      </c>
      <c r="I25" s="897">
        <v>19.3</v>
      </c>
      <c r="J25" s="897">
        <v>48</v>
      </c>
      <c r="K25" s="897">
        <v>79.7</v>
      </c>
      <c r="L25" s="897">
        <v>143.9</v>
      </c>
      <c r="M25" s="897">
        <v>230.2</v>
      </c>
      <c r="N25" s="897">
        <v>587.29999999999995</v>
      </c>
      <c r="O25" s="897">
        <v>414.1</v>
      </c>
      <c r="P25" s="897">
        <v>787.9</v>
      </c>
      <c r="Q25" s="900">
        <v>744.7</v>
      </c>
      <c r="R25" s="900">
        <v>1058.2553036062541</v>
      </c>
      <c r="S25" s="345">
        <v>1119.1999999999998</v>
      </c>
      <c r="T25" s="345">
        <v>1701.9</v>
      </c>
      <c r="U25" s="345">
        <v>2310</v>
      </c>
      <c r="V25" s="345">
        <v>2444.2999999999997</v>
      </c>
      <c r="W25" s="345">
        <v>1993.7000000000016</v>
      </c>
      <c r="X25" s="345">
        <v>1821</v>
      </c>
      <c r="Y25" s="344">
        <v>2256.3000000000002</v>
      </c>
      <c r="Z25" s="344">
        <v>3067.8</v>
      </c>
      <c r="AA25" s="344">
        <v>3095.2</v>
      </c>
      <c r="AB25" s="344">
        <v>4443.8</v>
      </c>
      <c r="AC25" s="344">
        <v>4620</v>
      </c>
      <c r="AD25" s="344">
        <v>5721.4</v>
      </c>
      <c r="AE25" s="570">
        <v>8295</v>
      </c>
      <c r="AH25" s="341"/>
      <c r="AI25" s="341"/>
      <c r="AJ25" s="341"/>
      <c r="AK25" s="341"/>
    </row>
    <row r="26" spans="2:37">
      <c r="C26" s="174" t="s">
        <v>612</v>
      </c>
      <c r="D26" s="32">
        <v>3.4</v>
      </c>
      <c r="E26" s="32">
        <v>3.9</v>
      </c>
      <c r="F26" s="32">
        <v>6.3</v>
      </c>
      <c r="G26" s="897">
        <v>4.9000000000000004</v>
      </c>
      <c r="H26" s="897">
        <v>9.8000000000000007</v>
      </c>
      <c r="I26" s="897">
        <v>42.3</v>
      </c>
      <c r="J26" s="897">
        <v>39</v>
      </c>
      <c r="K26" s="897">
        <v>58.6</v>
      </c>
      <c r="L26" s="897">
        <v>68.3</v>
      </c>
      <c r="M26" s="897">
        <v>115.2</v>
      </c>
      <c r="N26" s="897">
        <v>105.4</v>
      </c>
      <c r="O26" s="897">
        <v>211.3</v>
      </c>
      <c r="P26" s="897">
        <v>280.7</v>
      </c>
      <c r="Q26" s="682">
        <v>316.60000000000002</v>
      </c>
      <c r="R26" s="900">
        <v>449.90416157075333</v>
      </c>
      <c r="S26" s="345">
        <v>367</v>
      </c>
      <c r="T26" s="342">
        <v>509.39999999999918</v>
      </c>
      <c r="U26" s="342">
        <v>509.39999999999986</v>
      </c>
      <c r="V26" s="346">
        <v>276.19999999999982</v>
      </c>
      <c r="W26" s="346">
        <v>509.39999999999964</v>
      </c>
      <c r="X26" s="346">
        <v>509.39999999999873</v>
      </c>
      <c r="Y26" s="346">
        <v>433.59999999999945</v>
      </c>
      <c r="Z26" s="346">
        <v>161.79999999999927</v>
      </c>
      <c r="AA26" s="342">
        <v>45.2</v>
      </c>
      <c r="AB26" s="344">
        <v>101.5</v>
      </c>
      <c r="AC26" s="344">
        <v>230.6</v>
      </c>
      <c r="AD26" s="344">
        <v>695.9</v>
      </c>
      <c r="AE26" s="570">
        <v>98.8</v>
      </c>
    </row>
    <row r="27" spans="2:37">
      <c r="C27" s="174" t="s">
        <v>613</v>
      </c>
      <c r="D27"/>
      <c r="E27"/>
      <c r="F27"/>
      <c r="G27" s="903">
        <v>29.1</v>
      </c>
      <c r="H27" s="903">
        <v>35.6</v>
      </c>
      <c r="I27" s="903">
        <v>28.1</v>
      </c>
      <c r="J27" s="903">
        <v>51.2</v>
      </c>
      <c r="K27" s="903">
        <v>104.7</v>
      </c>
      <c r="L27" s="903">
        <v>151.1</v>
      </c>
      <c r="M27" s="903">
        <v>439.8</v>
      </c>
      <c r="N27" s="903">
        <v>1588.5</v>
      </c>
      <c r="O27" s="903">
        <v>2701</v>
      </c>
      <c r="P27" s="903">
        <v>1611.5</v>
      </c>
      <c r="Q27" s="823">
        <v>1722.3</v>
      </c>
      <c r="R27" s="904">
        <v>1156.5236011310417</v>
      </c>
      <c r="S27" s="370">
        <v>1035.5</v>
      </c>
      <c r="T27" s="905">
        <v>1159.5</v>
      </c>
      <c r="U27" s="347">
        <v>1571.8</v>
      </c>
      <c r="V27" s="347">
        <v>3583.4</v>
      </c>
      <c r="W27" s="347">
        <v>4606.2</v>
      </c>
      <c r="X27" s="347">
        <v>4462.1000000000004</v>
      </c>
      <c r="Y27" s="347">
        <v>4202.3</v>
      </c>
      <c r="Z27" s="347">
        <v>3026.8</v>
      </c>
      <c r="AA27" s="344">
        <v>2789.6</v>
      </c>
      <c r="AB27" s="347">
        <v>4103.1000000000004</v>
      </c>
      <c r="AC27" s="347">
        <v>4692</v>
      </c>
      <c r="AD27" s="347">
        <v>5519.2</v>
      </c>
      <c r="AE27" s="571">
        <v>4318.7</v>
      </c>
      <c r="AH27" s="269"/>
      <c r="AI27" s="269"/>
      <c r="AJ27" s="269"/>
      <c r="AK27" s="269"/>
    </row>
    <row r="28" spans="2:37">
      <c r="C28" s="174"/>
      <c r="D28"/>
      <c r="E28"/>
      <c r="F28"/>
      <c r="G28" s="903"/>
      <c r="H28" s="903"/>
      <c r="I28" s="903"/>
      <c r="J28" s="903"/>
      <c r="K28" s="903"/>
      <c r="L28" s="903"/>
      <c r="M28" s="903"/>
      <c r="N28" s="903"/>
      <c r="O28" s="903"/>
      <c r="P28" s="903"/>
      <c r="Q28" s="823"/>
      <c r="R28" s="904"/>
      <c r="S28" s="370"/>
      <c r="T28" s="905"/>
      <c r="U28" s="347"/>
      <c r="V28" s="287">
        <f>V27/Household!V2</f>
        <v>581.29613107307966</v>
      </c>
      <c r="W28" s="287">
        <f>W27/Household!W2</f>
        <v>587.8554290673336</v>
      </c>
      <c r="X28" s="287">
        <f>X27/Household!X2</f>
        <v>521.90135326385723</v>
      </c>
      <c r="Y28" s="287">
        <f>Y27/Household!Y2</f>
        <v>459.20753562374341</v>
      </c>
      <c r="Z28" s="287">
        <f>Z27/Household!Z2</f>
        <v>317.60422241109751</v>
      </c>
      <c r="AA28" s="287">
        <f>AA27/Household!AA2</f>
        <v>270.26032028986913</v>
      </c>
      <c r="AB28" s="287">
        <f>AB27/Household!AB2</f>
        <v>362.82043346390901</v>
      </c>
      <c r="AC28" s="287">
        <f>AC27/Household!AC2</f>
        <v>425.54735257305589</v>
      </c>
      <c r="AD28" s="287">
        <f>AD27/Household!AD2</f>
        <v>508.94001567614919</v>
      </c>
      <c r="AE28" s="287">
        <f>AE27/Household!AE2</f>
        <v>399.93147259829976</v>
      </c>
    </row>
    <row r="29" spans="2:37">
      <c r="C29" s="19" t="s">
        <v>608</v>
      </c>
      <c r="D29"/>
      <c r="E29"/>
      <c r="F29"/>
      <c r="G29" s="903"/>
      <c r="H29" s="903"/>
      <c r="I29" s="903"/>
      <c r="J29" s="903"/>
      <c r="K29" s="903"/>
      <c r="L29" s="903"/>
      <c r="M29" s="907">
        <v>0.77948717948717938</v>
      </c>
      <c r="N29" s="907">
        <v>1.3291066282420747</v>
      </c>
      <c r="O29" s="907">
        <v>0.53476862162830985</v>
      </c>
      <c r="P29" s="908">
        <v>-0.10181047588335546</v>
      </c>
      <c r="Q29" s="908">
        <v>0.1318407960199004</v>
      </c>
      <c r="R29" s="908">
        <v>9.8447943808768645E-2</v>
      </c>
      <c r="S29" s="348">
        <v>-6.3490099009900991E-2</v>
      </c>
      <c r="T29" s="348">
        <v>0.27677194837231833</v>
      </c>
      <c r="U29" s="348">
        <v>0.29298923544024302</v>
      </c>
      <c r="V29" s="348">
        <v>0.30081919094887399</v>
      </c>
      <c r="W29" s="348">
        <f t="shared" ref="W29:W30" si="8">W22/V22-1</f>
        <v>0.18044287633719325</v>
      </c>
      <c r="X29" s="348">
        <f>X22/W22-1</f>
        <v>2.5814131303652621E-2</v>
      </c>
      <c r="Y29" s="349">
        <f t="shared" ref="Y29:AE30" si="9">Y22/X22-1</f>
        <v>0.1316839314603222</v>
      </c>
      <c r="Z29" s="349">
        <f t="shared" si="9"/>
        <v>-6.3109048723897998E-2</v>
      </c>
      <c r="AA29" s="349">
        <f t="shared" si="9"/>
        <v>-7.1969515410056029E-2</v>
      </c>
      <c r="AB29" s="349">
        <f t="shared" si="9"/>
        <v>0.27032168650844901</v>
      </c>
      <c r="AC29" s="349">
        <f>AC22/AB22-1</f>
        <v>0.10315642533814007</v>
      </c>
      <c r="AD29" s="349">
        <f>AD22/AC22-1</f>
        <v>0.21987776037347584</v>
      </c>
      <c r="AE29" s="349">
        <f t="shared" si="9"/>
        <v>0.13515282743340551</v>
      </c>
    </row>
    <row r="30" spans="2:37">
      <c r="C30" s="174" t="s">
        <v>609</v>
      </c>
      <c r="D30"/>
      <c r="E30"/>
      <c r="F30"/>
      <c r="G30" s="903"/>
      <c r="H30" s="903"/>
      <c r="I30" s="903"/>
      <c r="J30" s="903"/>
      <c r="K30" s="903"/>
      <c r="L30" s="903"/>
      <c r="M30" s="907">
        <v>0.34492481203007519</v>
      </c>
      <c r="N30" s="907">
        <v>0.27533193570929426</v>
      </c>
      <c r="O30" s="907">
        <v>0.85388127853881279</v>
      </c>
      <c r="P30" s="908">
        <v>0.20128078817733996</v>
      </c>
      <c r="Q30" s="908">
        <v>0.33675059460346102</v>
      </c>
      <c r="R30" s="908">
        <v>0.33954042192278711</v>
      </c>
      <c r="S30" s="348">
        <v>-7.5489238941250925E-2</v>
      </c>
      <c r="T30" s="348">
        <v>0.20188258607877141</v>
      </c>
      <c r="U30" s="348">
        <v>0.27947238252267104</v>
      </c>
      <c r="V30" s="348">
        <v>0.11018041237113407</v>
      </c>
      <c r="W30" s="348">
        <f t="shared" si="8"/>
        <v>0.27681369704004632</v>
      </c>
      <c r="X30" s="348">
        <f>X23/W23-1</f>
        <v>0.13952589831587092</v>
      </c>
      <c r="Y30" s="349">
        <f t="shared" si="9"/>
        <v>0.29019905062028806</v>
      </c>
      <c r="Z30" s="349">
        <f t="shared" si="9"/>
        <v>-3.206158792975522E-2</v>
      </c>
      <c r="AA30" s="349">
        <f t="shared" si="9"/>
        <v>-9.1752643178841797E-2</v>
      </c>
      <c r="AB30" s="349">
        <f t="shared" si="9"/>
        <v>7.4188046211468572E-2</v>
      </c>
      <c r="AC30" s="349">
        <f>AC23/AB23-1</f>
        <v>0.10281888423258234</v>
      </c>
      <c r="AD30" s="349">
        <f>AD23/AC23-1</f>
        <v>0.17598598762041906</v>
      </c>
      <c r="AE30" s="349">
        <f t="shared" si="9"/>
        <v>0.24083307036920165</v>
      </c>
    </row>
    <row r="31" spans="2:37">
      <c r="C31" s="174" t="s">
        <v>611</v>
      </c>
      <c r="D31"/>
      <c r="E31"/>
      <c r="F31"/>
      <c r="G31" s="903"/>
      <c r="H31" s="903"/>
      <c r="I31" s="903"/>
      <c r="J31" s="903"/>
      <c r="K31" s="903"/>
      <c r="L31" s="903"/>
      <c r="M31" s="907">
        <v>0.59972202918693518</v>
      </c>
      <c r="N31" s="907">
        <v>1.5512597741094698</v>
      </c>
      <c r="O31" s="907">
        <v>-0.29490890515920309</v>
      </c>
      <c r="P31" s="908">
        <v>0.9026805119536343</v>
      </c>
      <c r="Q31" s="908">
        <v>-5.482929305749451E-2</v>
      </c>
      <c r="R31" s="908">
        <v>0.4210491521502</v>
      </c>
      <c r="S31" s="348">
        <v>5.7589785929786919E-2</v>
      </c>
      <c r="T31" s="348">
        <v>0.52063974267333846</v>
      </c>
      <c r="U31" s="348">
        <v>0.35730653974969151</v>
      </c>
      <c r="V31" s="348">
        <v>5.8138528138528045E-2</v>
      </c>
      <c r="W31" s="348">
        <f t="shared" ref="W31:Z33" si="10">W25/V25-1</f>
        <v>-0.18434725688336051</v>
      </c>
      <c r="X31" s="348">
        <f t="shared" si="10"/>
        <v>-8.6622862015349078E-2</v>
      </c>
      <c r="Y31" s="349">
        <f t="shared" si="10"/>
        <v>0.23904448105436593</v>
      </c>
      <c r="Z31" s="349">
        <f>Z25/Y25-1</f>
        <v>0.35965961973141858</v>
      </c>
      <c r="AA31" s="349">
        <f>AA25/Z25-1</f>
        <v>8.9314818436663224E-3</v>
      </c>
      <c r="AB31" s="349">
        <f t="shared" ref="AA31:AE33" si="11">AB25/AA25-1</f>
        <v>0.43570690100801257</v>
      </c>
      <c r="AC31" s="349">
        <f t="shared" si="11"/>
        <v>3.9650749358656867E-2</v>
      </c>
      <c r="AD31" s="349">
        <f t="shared" si="11"/>
        <v>0.23839826839826839</v>
      </c>
      <c r="AE31" s="349">
        <f t="shared" si="11"/>
        <v>0.44981997413220554</v>
      </c>
    </row>
    <row r="32" spans="2:37">
      <c r="C32" s="174" t="s">
        <v>612</v>
      </c>
      <c r="D32"/>
      <c r="E32"/>
      <c r="F32"/>
      <c r="G32" s="903"/>
      <c r="H32" s="903"/>
      <c r="I32" s="903"/>
      <c r="J32" s="903"/>
      <c r="K32" s="903"/>
      <c r="L32" s="903"/>
      <c r="M32" s="907">
        <v>0.6866764275256223</v>
      </c>
      <c r="N32" s="907">
        <v>-8.506944444444442E-2</v>
      </c>
      <c r="O32" s="907">
        <v>1.0047438330170779</v>
      </c>
      <c r="P32" s="908">
        <v>0.32844297207761475</v>
      </c>
      <c r="Q32" s="908">
        <v>0.12789454934093358</v>
      </c>
      <c r="R32" s="908">
        <v>0.4210491521502</v>
      </c>
      <c r="S32" s="348">
        <v>-0.18427071508142867</v>
      </c>
      <c r="T32" s="348">
        <v>0.38801089918255904</v>
      </c>
      <c r="U32" s="348">
        <v>0</v>
      </c>
      <c r="V32" s="348">
        <v>-0.45779348252846508</v>
      </c>
      <c r="W32" s="348">
        <f t="shared" si="10"/>
        <v>0.84431571325126709</v>
      </c>
      <c r="X32" s="348">
        <f t="shared" si="10"/>
        <v>-1.7763568394002505E-15</v>
      </c>
      <c r="Y32" s="349">
        <f t="shared" si="10"/>
        <v>-0.14880251276010892</v>
      </c>
      <c r="Z32" s="349">
        <f t="shared" si="10"/>
        <v>-0.6268450184501857</v>
      </c>
      <c r="AA32" s="349">
        <f t="shared" si="11"/>
        <v>-0.72064276885043133</v>
      </c>
      <c r="AB32" s="349">
        <f t="shared" si="11"/>
        <v>1.2455752212389379</v>
      </c>
      <c r="AC32" s="349">
        <f t="shared" si="11"/>
        <v>1.2719211822660097</v>
      </c>
      <c r="AD32" s="349">
        <f t="shared" si="11"/>
        <v>2.017779705117086</v>
      </c>
      <c r="AE32" s="349">
        <f t="shared" si="11"/>
        <v>-0.85802557838769933</v>
      </c>
    </row>
    <row r="33" spans="2:34">
      <c r="C33" s="174" t="s">
        <v>613</v>
      </c>
      <c r="D33"/>
      <c r="E33"/>
      <c r="F33"/>
      <c r="G33" s="899"/>
      <c r="H33" s="899"/>
      <c r="I33" s="899"/>
      <c r="J33" s="899"/>
      <c r="K33" s="899"/>
      <c r="L33" s="899"/>
      <c r="M33" s="907">
        <v>1.910655195234944</v>
      </c>
      <c r="N33" s="907">
        <v>2.6118690313778989</v>
      </c>
      <c r="O33" s="907">
        <v>0.70034623858986467</v>
      </c>
      <c r="P33" s="908">
        <v>-0.40336912254720469</v>
      </c>
      <c r="Q33" s="908">
        <v>6.8755817561278354E-2</v>
      </c>
      <c r="R33" s="908">
        <v>-0.32850049286939453</v>
      </c>
      <c r="S33" s="348">
        <v>-0.10464429866600611</v>
      </c>
      <c r="T33" s="348">
        <v>0.11974891356832451</v>
      </c>
      <c r="U33" s="348">
        <v>0.35558430357912885</v>
      </c>
      <c r="V33" s="348">
        <v>1.2798065911693599</v>
      </c>
      <c r="W33" s="348">
        <f t="shared" si="10"/>
        <v>0.28542724786515583</v>
      </c>
      <c r="X33" s="348">
        <f t="shared" si="10"/>
        <v>-3.1283921670791415E-2</v>
      </c>
      <c r="Y33" s="349">
        <f t="shared" si="10"/>
        <v>-5.8223706326617553E-2</v>
      </c>
      <c r="Z33" s="349">
        <f t="shared" si="10"/>
        <v>-0.27972776812697808</v>
      </c>
      <c r="AA33" s="349">
        <f t="shared" si="11"/>
        <v>-7.8366591780097861E-2</v>
      </c>
      <c r="AB33" s="349">
        <f t="shared" si="11"/>
        <v>0.47085603670777187</v>
      </c>
      <c r="AC33" s="349">
        <f>AC27/AB27-1</f>
        <v>0.14352562696497762</v>
      </c>
      <c r="AD33" s="349">
        <f t="shared" si="11"/>
        <v>0.17630008525149177</v>
      </c>
      <c r="AE33" s="349">
        <f t="shared" si="11"/>
        <v>-0.21751340774025218</v>
      </c>
    </row>
    <row r="34" spans="2:34">
      <c r="C34" s="539" t="s">
        <v>613</v>
      </c>
      <c r="D34"/>
      <c r="E34"/>
      <c r="F34"/>
      <c r="G34" s="899"/>
      <c r="H34" s="899"/>
      <c r="I34" s="899"/>
      <c r="J34" s="899"/>
      <c r="K34" s="899"/>
      <c r="L34" s="899"/>
      <c r="M34" s="899"/>
      <c r="N34" s="899"/>
      <c r="O34" s="899"/>
      <c r="P34" s="899"/>
      <c r="Q34" s="665"/>
      <c r="R34"/>
      <c r="S34"/>
      <c r="T34"/>
      <c r="U34"/>
      <c r="AC34" s="123">
        <v>2577</v>
      </c>
      <c r="AD34" s="123">
        <v>2690</v>
      </c>
      <c r="AE34" s="541">
        <v>4905.6000000000004</v>
      </c>
    </row>
    <row r="35" spans="2:34">
      <c r="C35" s="174"/>
      <c r="D35"/>
      <c r="E35"/>
      <c r="F35"/>
      <c r="G35" s="902"/>
      <c r="H35" s="902"/>
      <c r="I35" s="902"/>
      <c r="J35" s="902"/>
      <c r="K35" s="902"/>
      <c r="L35" s="902"/>
      <c r="M35" s="902"/>
      <c r="N35" s="902"/>
      <c r="O35" s="902"/>
      <c r="P35" s="353"/>
      <c r="Q35" s="353"/>
      <c r="R35" s="353"/>
      <c r="S35" s="353"/>
      <c r="T35" s="353"/>
      <c r="U35" s="353"/>
      <c r="AC35" s="540"/>
      <c r="AD35" s="540">
        <f>AD34/AC34*100</f>
        <v>104.38494373302289</v>
      </c>
      <c r="AE35" s="540">
        <f>AE34/AD34*100</f>
        <v>182.36431226765802</v>
      </c>
    </row>
    <row r="36" spans="2:34">
      <c r="C36" s="174"/>
      <c r="D36"/>
      <c r="E36"/>
      <c r="F36"/>
      <c r="G36" s="903"/>
      <c r="H36" s="903"/>
      <c r="I36" s="903"/>
      <c r="J36" s="903"/>
      <c r="K36" s="903"/>
      <c r="L36" s="903"/>
      <c r="M36" s="903"/>
      <c r="N36" s="903"/>
      <c r="O36" s="903"/>
      <c r="P36" s="903"/>
      <c r="Q36" s="903"/>
      <c r="R36"/>
      <c r="S36"/>
      <c r="T36"/>
      <c r="U36"/>
      <c r="AD36" s="625">
        <f>AD34-AC34</f>
        <v>113</v>
      </c>
      <c r="AE36" s="624">
        <f>AE34-AD34</f>
        <v>2215.6000000000004</v>
      </c>
    </row>
    <row r="37" spans="2:34" ht="18">
      <c r="B37" s="7" t="s">
        <v>614</v>
      </c>
      <c r="C37" s="176" t="s">
        <v>615</v>
      </c>
      <c r="D37"/>
      <c r="E37"/>
      <c r="F37"/>
      <c r="G37" s="378">
        <v>38</v>
      </c>
      <c r="H37" s="378">
        <v>69.7</v>
      </c>
      <c r="I37" s="378">
        <v>68.900000000000006</v>
      </c>
      <c r="J37" s="378">
        <v>136.6</v>
      </c>
      <c r="K37" s="378">
        <v>262.3</v>
      </c>
      <c r="L37" s="378">
        <v>327.10000000000002</v>
      </c>
      <c r="M37" s="378">
        <v>567.5</v>
      </c>
      <c r="N37" s="378">
        <v>1034.5999999999999</v>
      </c>
      <c r="O37" s="378">
        <v>1832.6</v>
      </c>
      <c r="P37" s="378">
        <v>2098.4</v>
      </c>
      <c r="Q37" s="378">
        <v>2528.1999999999998</v>
      </c>
      <c r="R37" s="368">
        <v>2387.5</v>
      </c>
      <c r="S37" s="368">
        <v>3023.5</v>
      </c>
      <c r="T37" s="368">
        <v>4200.8</v>
      </c>
      <c r="U37" s="368">
        <v>4660</v>
      </c>
      <c r="V37" s="350">
        <f>GDP!V18</f>
        <v>7679.3</v>
      </c>
      <c r="W37" s="350">
        <f>GDP!W18</f>
        <v>8382.9</v>
      </c>
      <c r="X37" s="350">
        <f>GDP!X18</f>
        <v>7680.4</v>
      </c>
      <c r="Y37" s="350">
        <f>GDP!Y18</f>
        <v>9411.7000000000007</v>
      </c>
      <c r="Z37" s="350">
        <f>GDP!Z18</f>
        <v>9281.6</v>
      </c>
      <c r="AA37" s="350">
        <f>GDP!AA18</f>
        <v>8863.7000000000007</v>
      </c>
      <c r="AB37" s="350">
        <f>GDP!AB18</f>
        <v>11417.3</v>
      </c>
      <c r="AC37" s="350">
        <f>GDP!AC18</f>
        <v>13250.1</v>
      </c>
      <c r="AD37" s="350">
        <f>GDP!AD18</f>
        <v>14923.6</v>
      </c>
      <c r="AE37" s="350">
        <f>GDP!AE18</f>
        <v>12451.7</v>
      </c>
      <c r="AH37" t="s">
        <v>793</v>
      </c>
    </row>
    <row r="38" spans="2:34" ht="18.75">
      <c r="B38" s="7" t="s">
        <v>616</v>
      </c>
      <c r="C38" s="174" t="s">
        <v>617</v>
      </c>
      <c r="D38"/>
      <c r="E38"/>
      <c r="F38"/>
      <c r="G38" s="899"/>
      <c r="I38" s="897"/>
      <c r="J38" s="897"/>
      <c r="K38" s="897"/>
      <c r="L38" s="816">
        <v>107.13448177829483</v>
      </c>
      <c r="M38" s="816">
        <v>161.84173902727267</v>
      </c>
      <c r="N38" s="816">
        <v>165.13439315584498</v>
      </c>
      <c r="O38" s="816">
        <v>146.147903017636</v>
      </c>
      <c r="P38" s="816">
        <v>135.50767267638631</v>
      </c>
      <c r="Q38" s="816">
        <v>110</v>
      </c>
      <c r="R38" s="351">
        <v>89.511635762813469</v>
      </c>
      <c r="S38" s="351">
        <v>167.51156541732456</v>
      </c>
      <c r="T38" s="351">
        <v>118.54805163872757</v>
      </c>
      <c r="U38" s="351">
        <v>88.532522897246182</v>
      </c>
      <c r="V38" s="351">
        <v>135.96686921911075</v>
      </c>
      <c r="W38" s="351">
        <f t="shared" ref="W38" si="12">W37/V37/W39*10000</f>
        <v>90.741723556279297</v>
      </c>
      <c r="X38" s="351">
        <f t="shared" ref="X38" si="13">X37/W37/X39*10000</f>
        <v>88.011378636870774</v>
      </c>
      <c r="Y38" s="351">
        <f t="shared" ref="Y38" si="14">Y37/X37/Y39*10000</f>
        <v>111.1994507243129</v>
      </c>
      <c r="Z38" s="351">
        <f t="shared" ref="Z38" si="15">Z37/Y37/Z39*10000</f>
        <v>94.280762902998319</v>
      </c>
      <c r="AA38" s="351">
        <f t="shared" ref="AA38" si="16">AA37/Z37/AA39*10000</f>
        <v>91.824561083632801</v>
      </c>
      <c r="AB38" s="351">
        <f t="shared" ref="AB38" si="17">AB37/AA37/AB39*10000</f>
        <v>104.46848281866183</v>
      </c>
      <c r="AC38" s="352">
        <f t="shared" ref="AC38:AD38" si="18">AC37/AB37/AC39*10000</f>
        <v>104.17668950239158</v>
      </c>
      <c r="AD38" s="352">
        <f t="shared" si="18"/>
        <v>100.29393887603382</v>
      </c>
      <c r="AE38" s="640">
        <v>104.7</v>
      </c>
      <c r="AH38" s="46" t="s">
        <v>794</v>
      </c>
    </row>
    <row r="39" spans="2:34" ht="18">
      <c r="B39" s="7" t="s">
        <v>618</v>
      </c>
      <c r="C39" s="32" t="s">
        <v>619</v>
      </c>
      <c r="D39"/>
      <c r="E39"/>
      <c r="F39"/>
      <c r="G39"/>
      <c r="H39"/>
      <c r="I39"/>
      <c r="J39"/>
      <c r="K39" s="175"/>
      <c r="L39" s="378">
        <v>116.4</v>
      </c>
      <c r="M39" s="378">
        <v>107.2</v>
      </c>
      <c r="N39" s="378">
        <v>110.39999999999999</v>
      </c>
      <c r="O39" s="378">
        <v>121.2</v>
      </c>
      <c r="P39" s="898">
        <v>84.500000000000014</v>
      </c>
      <c r="Q39" s="898">
        <v>109.52933837036008</v>
      </c>
      <c r="R39" s="898">
        <v>105.5</v>
      </c>
      <c r="S39" s="172">
        <v>75.599999999999994</v>
      </c>
      <c r="T39" s="172">
        <v>117.2</v>
      </c>
      <c r="U39" s="172">
        <v>125.3</v>
      </c>
      <c r="V39" s="172">
        <v>121.2</v>
      </c>
      <c r="W39" s="172">
        <v>120.3</v>
      </c>
      <c r="X39" s="172">
        <v>104.1</v>
      </c>
      <c r="Y39" s="199">
        <v>110.2</v>
      </c>
      <c r="Z39" s="199">
        <v>104.6</v>
      </c>
      <c r="AA39" s="173">
        <v>104</v>
      </c>
      <c r="AB39" s="173">
        <v>123.3</v>
      </c>
      <c r="AC39" s="173">
        <v>111.4</v>
      </c>
      <c r="AD39" s="594">
        <v>112.3</v>
      </c>
      <c r="AE39" s="594">
        <f>AE37/AD37/AE38*10000</f>
        <v>79.690833078037485</v>
      </c>
      <c r="AH39" t="s">
        <v>795</v>
      </c>
    </row>
    <row r="40" spans="2:34"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</row>
    <row r="41" spans="2:34">
      <c r="B41" s="29" t="s">
        <v>620</v>
      </c>
      <c r="D41"/>
      <c r="E41"/>
      <c r="F41"/>
      <c r="G41" s="353">
        <v>0.34990791896869244</v>
      </c>
      <c r="H41" s="353">
        <v>0.3578028747433265</v>
      </c>
      <c r="I41" s="353">
        <v>0.33301111648139198</v>
      </c>
      <c r="J41" s="353">
        <v>0.4290201005025126</v>
      </c>
      <c r="K41" s="353">
        <v>0.44307432432432436</v>
      </c>
      <c r="L41" s="353">
        <v>0.47926739926739931</v>
      </c>
      <c r="M41" s="353">
        <v>0.46727048167970359</v>
      </c>
      <c r="N41" s="353">
        <v>0.36575105171987132</v>
      </c>
      <c r="O41" s="353">
        <v>0.42212189616252821</v>
      </c>
      <c r="P41" s="353">
        <v>0.53813407190849871</v>
      </c>
      <c r="Q41" s="353">
        <v>0.57283335221479548</v>
      </c>
      <c r="R41" s="353">
        <v>0.49247112211221122</v>
      </c>
      <c r="S41" s="353">
        <v>0.66593982643936389</v>
      </c>
      <c r="T41" s="353">
        <v>0.72467568313552322</v>
      </c>
      <c r="U41" s="353">
        <v>0.62173124132778312</v>
      </c>
      <c r="V41" s="353">
        <f t="shared" ref="V41:AA41" si="19">V37/V22</f>
        <v>0.78762859106247252</v>
      </c>
      <c r="W41" s="353">
        <f t="shared" si="19"/>
        <v>0.72836513397977265</v>
      </c>
      <c r="X41" s="354">
        <f t="shared" si="19"/>
        <v>0.65053403691249589</v>
      </c>
      <c r="Y41" s="354">
        <f t="shared" si="19"/>
        <v>0.70441583713793887</v>
      </c>
      <c r="Z41" s="354">
        <f t="shared" si="19"/>
        <v>0.74147214366741765</v>
      </c>
      <c r="AA41" s="354">
        <f t="shared" si="19"/>
        <v>0.76300045623186918</v>
      </c>
      <c r="AB41" s="354">
        <f>AB37/AB22</f>
        <v>0.773676578212669</v>
      </c>
      <c r="AC41" s="354">
        <f>AC37/AC22</f>
        <v>0.81391320372247311</v>
      </c>
      <c r="AD41" s="354">
        <f t="shared" ref="AD41:AE41" si="20">AD37/AD22</f>
        <v>0.7514779193312856</v>
      </c>
      <c r="AE41" s="354">
        <f t="shared" si="20"/>
        <v>0.55235328039746268</v>
      </c>
    </row>
    <row r="43" spans="2:34">
      <c r="V43">
        <f>GDP!V2</f>
        <v>50977.399999999994</v>
      </c>
      <c r="W43">
        <f>GDP!W2</f>
        <v>54790.299999999996</v>
      </c>
      <c r="X43">
        <f>GDP!X2</f>
        <v>64434.3</v>
      </c>
      <c r="Y43">
        <f>GDP!Y2</f>
        <v>71059.199999999997</v>
      </c>
      <c r="Z43">
        <f>GDP!Z2</f>
        <v>79109.799999999988</v>
      </c>
      <c r="AA43">
        <f>GDP!AA2</f>
        <v>83958.3</v>
      </c>
      <c r="AB43">
        <f>GDP!AB2</f>
        <v>101076.30000000002</v>
      </c>
      <c r="AC43">
        <f>GDP!AC2</f>
        <v>118181.70000000001</v>
      </c>
      <c r="AD43">
        <f>GDP!AD2</f>
        <v>132781.90000000002</v>
      </c>
      <c r="AE43">
        <f>GDP!AE2</f>
        <v>153402.19999999998</v>
      </c>
    </row>
    <row r="44" spans="2:34">
      <c r="V44" s="269">
        <f>V25+V26</f>
        <v>2720.4999999999995</v>
      </c>
      <c r="W44" s="269">
        <f t="shared" ref="W44:AD44" si="21">W25+W26</f>
        <v>2503.1000000000013</v>
      </c>
      <c r="X44" s="269">
        <f t="shared" si="21"/>
        <v>2330.3999999999987</v>
      </c>
      <c r="Y44" s="269">
        <f t="shared" si="21"/>
        <v>2689.8999999999996</v>
      </c>
      <c r="Z44" s="269">
        <f t="shared" si="21"/>
        <v>3229.5999999999995</v>
      </c>
      <c r="AA44" s="269">
        <f t="shared" si="21"/>
        <v>3140.3999999999996</v>
      </c>
      <c r="AB44" s="269">
        <f t="shared" si="21"/>
        <v>4545.3</v>
      </c>
      <c r="AC44" s="269">
        <f t="shared" si="21"/>
        <v>4850.6000000000004</v>
      </c>
      <c r="AD44" s="269">
        <f t="shared" si="21"/>
        <v>6417.2999999999993</v>
      </c>
      <c r="AE44" s="269">
        <f>AE25+AE26</f>
        <v>8393.7999999999993</v>
      </c>
    </row>
    <row r="45" spans="2:34">
      <c r="V45" s="269">
        <f>V44/V43*100</f>
        <v>5.3366786065982179</v>
      </c>
      <c r="W45" s="269">
        <f t="shared" ref="W45:AE45" si="22">W44/W43*100</f>
        <v>4.5685093894357234</v>
      </c>
      <c r="X45" s="269">
        <f t="shared" si="22"/>
        <v>3.6167072506413489</v>
      </c>
      <c r="Y45" s="269">
        <f t="shared" si="22"/>
        <v>3.7854352427271905</v>
      </c>
      <c r="Z45" s="269">
        <f t="shared" si="22"/>
        <v>4.0824272087655382</v>
      </c>
      <c r="AA45" s="269">
        <f t="shared" si="22"/>
        <v>3.7404282840410059</v>
      </c>
      <c r="AB45" s="269">
        <f t="shared" si="22"/>
        <v>4.4968998667343376</v>
      </c>
      <c r="AC45" s="269">
        <f t="shared" si="22"/>
        <v>4.1043579505117966</v>
      </c>
      <c r="AD45" s="269">
        <f t="shared" si="22"/>
        <v>4.8329629264229528</v>
      </c>
      <c r="AE45" s="269">
        <f t="shared" si="22"/>
        <v>5.4717598574205581</v>
      </c>
    </row>
    <row r="50" spans="27:27">
      <c r="AA50" t="s">
        <v>358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DE09D-729A-4FF2-86A8-9AE6287A6003}">
  <dimension ref="C1:AE60"/>
  <sheetViews>
    <sheetView workbookViewId="0">
      <pane xSplit="3" ySplit="23" topLeftCell="I24" activePane="bottomRight" state="frozen"/>
      <selection pane="topRight" activeCell="D1" sqref="D1"/>
      <selection pane="bottomLeft" activeCell="A24" sqref="A24"/>
      <selection pane="bottomRight" activeCell="C53" sqref="C53"/>
    </sheetView>
  </sheetViews>
  <sheetFormatPr defaultRowHeight="15"/>
  <cols>
    <col min="1" max="1" width="2.42578125" customWidth="1"/>
    <col min="2" max="2" width="3" customWidth="1"/>
    <col min="3" max="3" width="40.5703125" style="32" customWidth="1"/>
    <col min="4" max="20" width="9.85546875" style="32" customWidth="1"/>
    <col min="21" max="21" width="10" style="32" customWidth="1"/>
  </cols>
  <sheetData>
    <row r="1" spans="3:31">
      <c r="C1" s="2" t="s">
        <v>1</v>
      </c>
      <c r="D1" s="5">
        <v>1997</v>
      </c>
      <c r="E1" s="5">
        <v>1998</v>
      </c>
      <c r="F1" s="5">
        <v>1999</v>
      </c>
      <c r="G1" s="5">
        <v>2000</v>
      </c>
      <c r="H1" s="5">
        <v>2001</v>
      </c>
      <c r="I1" s="5">
        <v>2002</v>
      </c>
      <c r="J1" s="5">
        <v>2003</v>
      </c>
      <c r="K1" s="5">
        <v>2004</v>
      </c>
      <c r="L1" s="5">
        <v>2005</v>
      </c>
      <c r="M1" s="5">
        <v>2006</v>
      </c>
      <c r="N1" s="5">
        <v>2007</v>
      </c>
      <c r="O1" s="5">
        <v>2008</v>
      </c>
      <c r="P1" s="5">
        <v>2009</v>
      </c>
      <c r="Q1" s="5">
        <v>2010</v>
      </c>
      <c r="R1" s="5">
        <v>2011</v>
      </c>
      <c r="S1" s="5">
        <v>2012</v>
      </c>
      <c r="T1" s="5">
        <v>2013</v>
      </c>
      <c r="U1" s="5">
        <v>2014</v>
      </c>
      <c r="V1" s="5">
        <v>2015</v>
      </c>
      <c r="W1" s="5">
        <v>2016</v>
      </c>
      <c r="X1" s="5">
        <v>2017</v>
      </c>
      <c r="Y1" s="5">
        <v>2018</v>
      </c>
      <c r="Z1" s="5">
        <v>2019</v>
      </c>
      <c r="AA1" s="5">
        <v>2020</v>
      </c>
      <c r="AB1" s="5">
        <v>2021</v>
      </c>
      <c r="AC1" s="5">
        <v>2022</v>
      </c>
      <c r="AD1" s="5">
        <v>2023</v>
      </c>
      <c r="AE1" s="5">
        <v>2024</v>
      </c>
    </row>
    <row r="2" spans="3:31">
      <c r="C2" s="20" t="s">
        <v>359</v>
      </c>
      <c r="D2" s="20"/>
      <c r="E2" s="20"/>
      <c r="F2" s="20"/>
      <c r="G2" s="653">
        <v>1.9367939393939382</v>
      </c>
      <c r="H2" s="653">
        <v>2.3588319819819761</v>
      </c>
      <c r="I2" s="653">
        <v>2.767768627450979</v>
      </c>
      <c r="J2" s="653">
        <v>3.0617000000000001</v>
      </c>
      <c r="K2" s="653">
        <v>2.9708999999999999</v>
      </c>
      <c r="L2" s="653">
        <v>3.1166</v>
      </c>
      <c r="M2" s="653">
        <v>3.2984</v>
      </c>
      <c r="N2" s="653">
        <v>3.4424999999999999</v>
      </c>
      <c r="O2" s="653">
        <v>3.43</v>
      </c>
      <c r="P2" s="653">
        <v>4.1399999999999997</v>
      </c>
      <c r="Q2" s="864">
        <v>4.3789999999999996</v>
      </c>
      <c r="R2" s="864">
        <v>4.6096000000000004</v>
      </c>
      <c r="S2" s="864">
        <v>4.7626999999999997</v>
      </c>
      <c r="T2" s="864">
        <v>4.7641999999999998</v>
      </c>
      <c r="U2" s="864">
        <v>4.9348999999999998</v>
      </c>
      <c r="V2">
        <f>Assumptions!V12</f>
        <v>6.1645000000000003</v>
      </c>
      <c r="W2">
        <f>Assumptions!W12</f>
        <v>7.8356000000000003</v>
      </c>
      <c r="X2">
        <f>Assumptions!X12</f>
        <v>8.5496999999999996</v>
      </c>
      <c r="Y2">
        <f>Assumptions!Y12</f>
        <v>9.1511999999999993</v>
      </c>
      <c r="Z2">
        <f>Assumptions!Z12</f>
        <v>9.5300999999999991</v>
      </c>
      <c r="AA2">
        <f>Assumptions!AA12</f>
        <v>10.321899999999999</v>
      </c>
      <c r="AB2">
        <f>Assumptions!AB12</f>
        <v>11.3089</v>
      </c>
      <c r="AC2">
        <f>Assumptions!AC12</f>
        <v>11.0258</v>
      </c>
      <c r="AD2">
        <f>Assumptions!AD12</f>
        <v>10.8445</v>
      </c>
      <c r="AE2">
        <f>Assumptions!AE12</f>
        <v>10.7986</v>
      </c>
    </row>
    <row r="3" spans="3:31">
      <c r="C3" s="32" t="s">
        <v>360</v>
      </c>
      <c r="G3" s="653"/>
      <c r="H3" s="653"/>
      <c r="I3" s="653"/>
      <c r="J3" s="653"/>
      <c r="K3" s="653"/>
      <c r="L3" s="653"/>
      <c r="M3" s="653"/>
      <c r="N3" s="653"/>
      <c r="O3" s="653"/>
      <c r="P3" s="653"/>
      <c r="Q3" s="864">
        <v>6079.2</v>
      </c>
      <c r="R3" s="864">
        <v>7506.7</v>
      </c>
      <c r="S3" s="864">
        <v>9204.7999999999993</v>
      </c>
      <c r="T3" s="280">
        <v>11586.3</v>
      </c>
      <c r="U3" s="357">
        <v>13122.1</v>
      </c>
      <c r="V3">
        <v>14696.7</v>
      </c>
      <c r="W3">
        <v>16573.400000000001</v>
      </c>
      <c r="X3">
        <v>18959.599999999999</v>
      </c>
      <c r="Y3">
        <v>20989</v>
      </c>
      <c r="Z3">
        <v>25456.799999999999</v>
      </c>
      <c r="AA3">
        <v>27599.7</v>
      </c>
      <c r="AB3">
        <v>33797.9</v>
      </c>
      <c r="AC3">
        <f>AC6+AC9</f>
        <v>47563.399999999994</v>
      </c>
      <c r="AD3">
        <f t="shared" ref="AD3:AE3" si="0">AD6+AD9</f>
        <v>56124.4</v>
      </c>
      <c r="AE3">
        <f t="shared" si="0"/>
        <v>65783.8</v>
      </c>
    </row>
    <row r="4" spans="3:31">
      <c r="C4" s="20" t="s">
        <v>77</v>
      </c>
      <c r="D4" s="20"/>
      <c r="E4" s="20"/>
      <c r="F4" s="20"/>
      <c r="G4" s="653"/>
      <c r="H4" s="653"/>
      <c r="I4" s="653"/>
      <c r="J4" s="653"/>
      <c r="K4" s="653"/>
      <c r="L4" s="653"/>
      <c r="M4" s="653"/>
      <c r="N4" s="653"/>
      <c r="O4" s="653"/>
      <c r="P4" s="653"/>
      <c r="Q4" s="864"/>
      <c r="R4" s="864"/>
      <c r="S4" s="864"/>
      <c r="T4" s="864"/>
      <c r="U4" s="864"/>
      <c r="Y4">
        <v>115.4</v>
      </c>
      <c r="Z4">
        <v>109</v>
      </c>
      <c r="AA4">
        <v>93.2</v>
      </c>
      <c r="AB4">
        <v>113</v>
      </c>
      <c r="AC4">
        <v>111.2</v>
      </c>
      <c r="AD4">
        <v>113.4</v>
      </c>
      <c r="AE4" s="159">
        <v>113.6</v>
      </c>
    </row>
    <row r="5" spans="3:31">
      <c r="C5" s="20" t="s">
        <v>79</v>
      </c>
      <c r="D5" s="20"/>
      <c r="E5" s="20"/>
      <c r="F5" s="20"/>
      <c r="G5" s="653"/>
      <c r="H5" s="653"/>
      <c r="I5" s="653"/>
      <c r="J5" s="653"/>
      <c r="K5" s="653"/>
      <c r="L5" s="653"/>
      <c r="M5" s="653"/>
      <c r="N5" s="653"/>
      <c r="O5" s="653"/>
      <c r="P5" s="653"/>
      <c r="Q5" s="864"/>
      <c r="R5" s="864"/>
      <c r="S5" s="864"/>
      <c r="T5" s="864"/>
      <c r="U5" s="864"/>
      <c r="Y5" s="93">
        <f>Y3/X3/Y4*10000</f>
        <v>95.930513272717121</v>
      </c>
      <c r="Z5" s="93">
        <f t="shared" ref="Z5:AE5" si="1">Z3/Y3/Z4*10000</f>
        <v>111.27191569546477</v>
      </c>
      <c r="AA5" s="93">
        <f t="shared" si="1"/>
        <v>116.32810100706837</v>
      </c>
      <c r="AB5" s="93">
        <f t="shared" si="1"/>
        <v>108.36946060174247</v>
      </c>
      <c r="AC5" s="93">
        <f t="shared" si="1"/>
        <v>126.55473188162193</v>
      </c>
      <c r="AD5" s="93">
        <f t="shared" si="1"/>
        <v>104.05567353416612</v>
      </c>
      <c r="AE5" s="93">
        <f t="shared" si="1"/>
        <v>103.17842978791279</v>
      </c>
    </row>
    <row r="6" spans="3:31">
      <c r="C6" s="32" t="s">
        <v>361</v>
      </c>
      <c r="G6" s="653"/>
      <c r="H6" s="653"/>
      <c r="I6" s="653"/>
      <c r="J6" s="653"/>
      <c r="K6" s="653"/>
      <c r="L6" s="653"/>
      <c r="M6" s="653"/>
      <c r="N6" s="653"/>
      <c r="O6" s="653"/>
      <c r="P6" s="653"/>
      <c r="Q6" s="864">
        <v>81.5</v>
      </c>
      <c r="R6" s="864">
        <v>81.199999999999818</v>
      </c>
      <c r="S6" s="864">
        <v>190.89999999999964</v>
      </c>
      <c r="T6" s="864">
        <v>10274.599999999999</v>
      </c>
      <c r="U6" s="864">
        <v>298.20000000000073</v>
      </c>
      <c r="V6">
        <v>319</v>
      </c>
      <c r="W6">
        <v>406.70000000000073</v>
      </c>
      <c r="X6">
        <v>524.39999999999782</v>
      </c>
      <c r="Y6">
        <v>509.29999999999927</v>
      </c>
      <c r="Z6">
        <v>508.5</v>
      </c>
      <c r="AA6">
        <v>574.90000000000146</v>
      </c>
      <c r="AB6">
        <v>538.40000000000146</v>
      </c>
      <c r="AC6">
        <v>7977.2</v>
      </c>
      <c r="AD6">
        <v>8583.9</v>
      </c>
      <c r="AE6" s="604">
        <v>10120.799999999999</v>
      </c>
    </row>
    <row r="7" spans="3:31">
      <c r="C7" s="20" t="s">
        <v>77</v>
      </c>
      <c r="D7" s="20"/>
      <c r="E7" s="20"/>
      <c r="F7" s="20"/>
      <c r="G7" s="653"/>
      <c r="H7" s="653"/>
      <c r="I7" s="653"/>
      <c r="J7" s="653"/>
      <c r="K7" s="653"/>
      <c r="L7" s="653"/>
      <c r="M7" s="653"/>
      <c r="N7" s="653"/>
      <c r="O7" s="653"/>
      <c r="P7" s="653"/>
      <c r="Q7" s="864"/>
      <c r="R7" s="864"/>
      <c r="S7" s="864"/>
      <c r="T7" s="864"/>
      <c r="U7" s="864"/>
      <c r="Y7" s="280">
        <v>95.992564947581499</v>
      </c>
      <c r="Z7" s="280">
        <v>106.7</v>
      </c>
      <c r="AA7" s="280">
        <v>70.8</v>
      </c>
      <c r="AB7" s="280">
        <v>106.5</v>
      </c>
      <c r="AC7" s="280">
        <v>116.2</v>
      </c>
      <c r="AD7" s="280">
        <v>103.4</v>
      </c>
      <c r="AE7" s="605">
        <v>114.2</v>
      </c>
    </row>
    <row r="8" spans="3:31">
      <c r="C8" s="20" t="s">
        <v>79</v>
      </c>
      <c r="D8" s="20"/>
      <c r="E8" s="20"/>
      <c r="F8" s="20"/>
      <c r="G8" s="653"/>
      <c r="H8" s="653"/>
      <c r="I8" s="653"/>
      <c r="J8" s="653"/>
      <c r="K8" s="653"/>
      <c r="L8" s="653"/>
      <c r="M8" s="653"/>
      <c r="N8" s="653"/>
      <c r="O8" s="653"/>
      <c r="P8" s="653"/>
      <c r="Q8" s="864"/>
      <c r="R8" s="864"/>
      <c r="S8" s="864"/>
      <c r="T8" s="864"/>
      <c r="U8" s="864"/>
      <c r="Y8" s="355">
        <f>Y12</f>
        <v>101.1750428182215</v>
      </c>
      <c r="Z8" s="355">
        <f t="shared" ref="Z8:AD8" si="2">Z12</f>
        <v>111.14932076766493</v>
      </c>
      <c r="AA8" s="355">
        <f t="shared" si="2"/>
        <v>109.30697517986873</v>
      </c>
      <c r="AB8" s="355">
        <f t="shared" si="2"/>
        <v>109.20167789882674</v>
      </c>
      <c r="AC8" s="355">
        <f t="shared" si="2"/>
        <v>108.0056572131227</v>
      </c>
      <c r="AD8" s="355">
        <f t="shared" si="2"/>
        <v>104.06726038406309</v>
      </c>
      <c r="AE8" s="356">
        <f>AE12</f>
        <v>103.15897129583971</v>
      </c>
    </row>
    <row r="9" spans="3:31">
      <c r="C9" s="19" t="s">
        <v>362</v>
      </c>
      <c r="D9" s="19"/>
      <c r="E9" s="19"/>
      <c r="F9" s="19"/>
      <c r="G9"/>
      <c r="H9"/>
      <c r="I9"/>
      <c r="J9" s="682">
        <v>1434.8</v>
      </c>
      <c r="K9" s="850">
        <v>1868.9</v>
      </c>
      <c r="L9" s="850">
        <v>2219.3000000000002</v>
      </c>
      <c r="M9" s="850">
        <v>2732.6</v>
      </c>
      <c r="N9" s="850">
        <v>3473.8</v>
      </c>
      <c r="O9" s="850">
        <v>4701.6000000000004</v>
      </c>
      <c r="P9" s="850">
        <v>5565.8</v>
      </c>
      <c r="Q9" s="357">
        <v>5997.7</v>
      </c>
      <c r="R9" s="357">
        <v>7425.5</v>
      </c>
      <c r="S9" s="912">
        <v>9013.9</v>
      </c>
      <c r="T9" s="912">
        <v>1311.7</v>
      </c>
      <c r="U9" s="357">
        <v>12823.9</v>
      </c>
      <c r="V9">
        <v>14377.7</v>
      </c>
      <c r="W9">
        <v>16166.7</v>
      </c>
      <c r="X9">
        <v>18435.2</v>
      </c>
      <c r="Y9">
        <v>20479.7</v>
      </c>
      <c r="Z9">
        <v>24948.3</v>
      </c>
      <c r="AA9">
        <v>27024.799999999999</v>
      </c>
      <c r="AB9">
        <v>33259.5</v>
      </c>
      <c r="AC9">
        <v>39586.199999999997</v>
      </c>
      <c r="AD9">
        <v>47540.5</v>
      </c>
      <c r="AE9" s="159">
        <v>55663</v>
      </c>
    </row>
    <row r="10" spans="3:31">
      <c r="C10" s="32" t="s">
        <v>363</v>
      </c>
      <c r="G10"/>
      <c r="H10"/>
      <c r="I10"/>
      <c r="J10" s="682">
        <v>100</v>
      </c>
      <c r="K10" s="850">
        <v>123.2</v>
      </c>
      <c r="L10" s="850">
        <v>136</v>
      </c>
      <c r="M10" s="850">
        <v>150.69999999999999</v>
      </c>
      <c r="N10" s="850">
        <v>158.69999999999999</v>
      </c>
      <c r="O10" s="850">
        <v>178.4</v>
      </c>
      <c r="P10" s="850">
        <v>200.7</v>
      </c>
      <c r="Q10" s="366">
        <v>215.7525</v>
      </c>
      <c r="R10" s="366">
        <v>235.38597749999997</v>
      </c>
      <c r="S10" s="366">
        <v>272.81234792249995</v>
      </c>
      <c r="T10" s="366">
        <v>325.46513107154243</v>
      </c>
      <c r="U10" s="366">
        <v>346.6203645911927</v>
      </c>
      <c r="V10" s="93">
        <v>365.68448464370829</v>
      </c>
      <c r="W10" s="357">
        <f t="shared" ref="W10:AE10" si="3">V10*W11/100</f>
        <v>389.08829166090567</v>
      </c>
      <c r="X10" s="357">
        <f t="shared" si="3"/>
        <v>414.76811891052546</v>
      </c>
      <c r="Y10" s="357">
        <f t="shared" si="3"/>
        <v>455.41539456375693</v>
      </c>
      <c r="Z10" s="357">
        <f t="shared" si="3"/>
        <v>499.13527244187759</v>
      </c>
      <c r="AA10" s="357">
        <f t="shared" si="3"/>
        <v>494.64305498990063</v>
      </c>
      <c r="AB10" s="357">
        <f t="shared" si="3"/>
        <v>557.46272297361804</v>
      </c>
      <c r="AC10" s="357">
        <f t="shared" si="3"/>
        <v>614.32392071692709</v>
      </c>
      <c r="AD10" s="357">
        <f t="shared" si="3"/>
        <v>708.92980450733387</v>
      </c>
      <c r="AE10" s="358">
        <f t="shared" si="3"/>
        <v>804.635328115824</v>
      </c>
    </row>
    <row r="11" spans="3:31">
      <c r="C11" s="20" t="s">
        <v>77</v>
      </c>
      <c r="D11" s="20"/>
      <c r="E11" s="20"/>
      <c r="F11" s="20"/>
      <c r="G11"/>
      <c r="H11"/>
      <c r="I11"/>
      <c r="J11"/>
      <c r="K11" s="850">
        <v>123.2</v>
      </c>
      <c r="L11" s="850">
        <v>110.3896103896104</v>
      </c>
      <c r="M11" s="850">
        <v>110.80882352941175</v>
      </c>
      <c r="N11" s="850">
        <v>105.3085600530856</v>
      </c>
      <c r="O11" s="280">
        <v>112.41335853812227</v>
      </c>
      <c r="P11" s="280">
        <v>112.5</v>
      </c>
      <c r="Q11" s="357">
        <v>107.5</v>
      </c>
      <c r="R11" s="357">
        <v>109.1</v>
      </c>
      <c r="S11" s="357">
        <v>115.9</v>
      </c>
      <c r="T11" s="357">
        <v>119.3</v>
      </c>
      <c r="U11" s="357">
        <v>106.5</v>
      </c>
      <c r="V11" s="357">
        <v>105.5</v>
      </c>
      <c r="W11" s="357">
        <v>106.4</v>
      </c>
      <c r="X11" s="359">
        <v>106.6</v>
      </c>
      <c r="Y11" s="360">
        <v>109.8</v>
      </c>
      <c r="Z11" s="360">
        <v>109.6</v>
      </c>
      <c r="AA11" s="360">
        <v>99.1</v>
      </c>
      <c r="AB11" s="360">
        <v>112.7</v>
      </c>
      <c r="AC11" s="361">
        <v>110.2</v>
      </c>
      <c r="AD11" s="360">
        <v>115.4</v>
      </c>
      <c r="AE11" s="558">
        <v>113.5</v>
      </c>
    </row>
    <row r="12" spans="3:31">
      <c r="C12" s="20" t="s">
        <v>79</v>
      </c>
      <c r="D12" s="20"/>
      <c r="E12" s="20"/>
      <c r="F12" s="20"/>
      <c r="G12"/>
      <c r="H12"/>
      <c r="I12"/>
      <c r="J12"/>
      <c r="K12" s="850">
        <v>105.72653231908879</v>
      </c>
      <c r="L12" s="850">
        <v>107.57262057265518</v>
      </c>
      <c r="M12" s="850">
        <v>111.11833029245668</v>
      </c>
      <c r="N12" s="850">
        <v>120.71606559941551</v>
      </c>
      <c r="O12" s="850">
        <v>120.39901768188102</v>
      </c>
      <c r="P12" s="280">
        <v>105.22753483447715</v>
      </c>
      <c r="Q12" s="367">
        <v>100.24175884784735</v>
      </c>
      <c r="R12" s="367">
        <v>113.47918626979938</v>
      </c>
      <c r="S12" s="367">
        <v>104.73783616131921</v>
      </c>
      <c r="T12" s="367">
        <v>12.197795251995412</v>
      </c>
      <c r="U12" s="367">
        <v>917.98587003712703</v>
      </c>
      <c r="V12" s="363">
        <v>106.27150600650172</v>
      </c>
      <c r="W12" s="363">
        <f t="shared" ref="W12" si="4">W9/V9/W11*10000</f>
        <v>105.67939877235743</v>
      </c>
      <c r="X12" s="363">
        <f t="shared" ref="X12" si="5">X9/W9/X11*10000</f>
        <v>106.97179158637196</v>
      </c>
      <c r="Y12" s="363">
        <f t="shared" ref="Y12" si="6">Y9/X9/Y11*10000</f>
        <v>101.1750428182215</v>
      </c>
      <c r="Z12" s="363">
        <f t="shared" ref="Z12" si="7">Z9/Y9/Z11*10000</f>
        <v>111.14932076766493</v>
      </c>
      <c r="AA12" s="363">
        <f t="shared" ref="AA12" si="8">AA9/Z9/AA11*10000</f>
        <v>109.30697517986873</v>
      </c>
      <c r="AB12" s="363">
        <f t="shared" ref="AB12" si="9">AB9/AA9/AB11*10000</f>
        <v>109.20167789882674</v>
      </c>
      <c r="AC12" s="363">
        <f t="shared" ref="AC12" si="10">AC9/AB9/AC11*10000</f>
        <v>108.0056572131227</v>
      </c>
      <c r="AD12" s="363">
        <f t="shared" ref="AD12" si="11">AD9/AC9/AD11*10000</f>
        <v>104.06726038406309</v>
      </c>
      <c r="AE12" s="559">
        <f t="shared" ref="AE12" si="12">AE9/AD9/AE11*10000</f>
        <v>103.15897129583971</v>
      </c>
    </row>
    <row r="13" spans="3:31">
      <c r="C13" s="20"/>
      <c r="D13" s="20"/>
      <c r="E13" s="20"/>
      <c r="F13" s="20"/>
      <c r="G13"/>
      <c r="H13"/>
      <c r="I13"/>
      <c r="J13"/>
      <c r="K13" s="850"/>
      <c r="L13" s="850"/>
      <c r="M13" s="850"/>
      <c r="N13" s="850"/>
      <c r="O13" s="850"/>
      <c r="P13" s="850"/>
      <c r="Q13" s="365"/>
      <c r="R13" s="909"/>
      <c r="S13" s="910"/>
      <c r="T13" s="909"/>
      <c r="U13" s="909"/>
      <c r="W13" s="625">
        <f>W3-V3</f>
        <v>1876.7000000000007</v>
      </c>
      <c r="X13" s="625">
        <f t="shared" ref="X13:AE13" si="13">X3-W3</f>
        <v>2386.1999999999971</v>
      </c>
      <c r="Y13" s="625">
        <f t="shared" si="13"/>
        <v>2029.4000000000015</v>
      </c>
      <c r="Z13" s="625">
        <f t="shared" si="13"/>
        <v>4467.7999999999993</v>
      </c>
      <c r="AA13" s="625">
        <f t="shared" si="13"/>
        <v>2142.9000000000015</v>
      </c>
      <c r="AB13" s="625">
        <f t="shared" si="13"/>
        <v>6198.2000000000007</v>
      </c>
      <c r="AC13" s="625">
        <f t="shared" si="13"/>
        <v>13765.499999999993</v>
      </c>
      <c r="AD13" s="625">
        <f t="shared" si="13"/>
        <v>8561.0000000000073</v>
      </c>
      <c r="AE13" s="625">
        <f t="shared" si="13"/>
        <v>9659.4000000000015</v>
      </c>
    </row>
    <row r="14" spans="3:31">
      <c r="C14" s="20"/>
      <c r="D14" s="20"/>
      <c r="E14" s="20"/>
      <c r="F14" s="20"/>
      <c r="G14"/>
      <c r="H14"/>
      <c r="I14"/>
      <c r="J14" s="378">
        <v>544.1</v>
      </c>
      <c r="K14" s="378">
        <v>1017.5</v>
      </c>
      <c r="L14" s="378">
        <v>1191.5999999999999</v>
      </c>
      <c r="M14" s="378">
        <v>1593.8</v>
      </c>
      <c r="N14" s="378">
        <v>2119.6999999999998</v>
      </c>
      <c r="O14" s="378">
        <v>3577.3</v>
      </c>
      <c r="P14" s="378">
        <v>4345.8</v>
      </c>
      <c r="Q14" s="368">
        <v>5997.7</v>
      </c>
      <c r="R14" s="363">
        <v>7425.5</v>
      </c>
      <c r="S14" s="363">
        <v>9013.9</v>
      </c>
      <c r="T14" s="913">
        <v>11311.7</v>
      </c>
      <c r="U14" s="363">
        <v>12823.9</v>
      </c>
      <c r="W14" s="625">
        <f>W9-V9</f>
        <v>1789</v>
      </c>
      <c r="X14" s="625">
        <f t="shared" ref="X14:AD14" si="14">X9-W9</f>
        <v>2268.5</v>
      </c>
      <c r="Y14" s="625">
        <f t="shared" si="14"/>
        <v>2044.5</v>
      </c>
      <c r="Z14" s="625">
        <f t="shared" si="14"/>
        <v>4468.5999999999985</v>
      </c>
      <c r="AA14" s="625">
        <f t="shared" si="14"/>
        <v>2076.5</v>
      </c>
      <c r="AB14" s="625">
        <f t="shared" si="14"/>
        <v>6234.7000000000007</v>
      </c>
      <c r="AC14" s="625">
        <f t="shared" si="14"/>
        <v>6326.6999999999971</v>
      </c>
      <c r="AD14" s="625">
        <f t="shared" si="14"/>
        <v>7954.3000000000029</v>
      </c>
      <c r="AE14" s="625">
        <f t="shared" ref="AE14" si="15">AE9-AD9</f>
        <v>8122.5</v>
      </c>
    </row>
    <row r="15" spans="3:31">
      <c r="C15" s="19" t="s">
        <v>364</v>
      </c>
      <c r="D15" s="19"/>
      <c r="E15" s="19"/>
      <c r="F15" s="19"/>
      <c r="G15"/>
      <c r="H15"/>
      <c r="I15"/>
      <c r="J15" s="378"/>
      <c r="K15" s="378"/>
      <c r="L15" s="378"/>
      <c r="M15" s="378"/>
      <c r="N15" s="378"/>
      <c r="O15" s="378"/>
      <c r="P15" s="378"/>
      <c r="Q15" s="368"/>
      <c r="R15" s="363"/>
      <c r="S15" s="363"/>
      <c r="T15" s="914">
        <v>11566.3</v>
      </c>
      <c r="U15" s="364">
        <v>12757.6</v>
      </c>
      <c r="V15" s="364">
        <v>11782.9</v>
      </c>
      <c r="W15" s="364">
        <v>11729</v>
      </c>
      <c r="X15" s="364">
        <v>11998.8</v>
      </c>
      <c r="Y15" s="364">
        <v>12130.8</v>
      </c>
      <c r="Z15" s="364">
        <v>12983.6</v>
      </c>
      <c r="AA15" s="364">
        <v>13110.4</v>
      </c>
      <c r="AB15" s="364">
        <v>15111.8</v>
      </c>
      <c r="AC15" s="364">
        <v>18696.8</v>
      </c>
      <c r="AD15" s="364">
        <v>21760.3</v>
      </c>
      <c r="AE15" s="582">
        <v>25722.9</v>
      </c>
    </row>
    <row r="16" spans="3:31">
      <c r="C16" s="20" t="s">
        <v>77</v>
      </c>
      <c r="D16" s="20"/>
      <c r="E16" s="20"/>
      <c r="F16" s="20"/>
      <c r="G16"/>
      <c r="H16"/>
      <c r="I16"/>
      <c r="J16" s="378"/>
      <c r="K16" s="378"/>
      <c r="L16" s="378"/>
      <c r="M16" s="378"/>
      <c r="N16" s="378"/>
      <c r="O16" s="378"/>
      <c r="P16" s="378"/>
      <c r="Q16" s="368"/>
      <c r="R16" s="363"/>
      <c r="S16" s="363"/>
      <c r="T16" s="913"/>
      <c r="U16" s="363">
        <v>106.08200283030205</v>
      </c>
      <c r="V16" s="363">
        <v>89.100849388148731</v>
      </c>
      <c r="W16" s="363">
        <f>W15/V15/W21*10000</f>
        <v>94.919662453915919</v>
      </c>
      <c r="X16" s="363">
        <f>X15/W15/X21*10000</f>
        <v>96.005736770956531</v>
      </c>
      <c r="Y16" s="363">
        <f t="shared" ref="Y16:Z16" si="16">Y15/X15/Y21*10000</f>
        <v>92.613961396139615</v>
      </c>
      <c r="Z16" s="363">
        <f t="shared" si="16"/>
        <v>102.9</v>
      </c>
      <c r="AA16" s="363">
        <v>97.4</v>
      </c>
      <c r="AB16" s="363">
        <v>107.9</v>
      </c>
      <c r="AC16" s="363">
        <v>116</v>
      </c>
      <c r="AD16" s="363">
        <v>114.1</v>
      </c>
      <c r="AE16" s="583">
        <v>113</v>
      </c>
    </row>
    <row r="17" spans="3:31">
      <c r="C17" s="20" t="s">
        <v>79</v>
      </c>
      <c r="D17" s="20"/>
      <c r="E17" s="20"/>
      <c r="F17" s="20"/>
      <c r="G17"/>
      <c r="H17"/>
      <c r="I17"/>
      <c r="J17"/>
      <c r="K17" s="850"/>
      <c r="L17" s="850"/>
      <c r="M17" s="850"/>
      <c r="N17" s="850"/>
      <c r="O17" s="850"/>
      <c r="P17" s="850"/>
      <c r="Q17" s="365"/>
      <c r="R17" s="365"/>
      <c r="S17" s="911"/>
      <c r="T17" s="365"/>
      <c r="U17" s="365">
        <v>103.97593106590993</v>
      </c>
      <c r="V17" s="365">
        <f t="shared" ref="V17:Y17" si="17">V21</f>
        <v>103.65765184232238</v>
      </c>
      <c r="W17" s="365">
        <f t="shared" si="17"/>
        <v>104.87032387336546</v>
      </c>
      <c r="X17" s="365">
        <f t="shared" si="17"/>
        <v>106.5564254748335</v>
      </c>
      <c r="Y17" s="365">
        <f t="shared" si="17"/>
        <v>109.1629258558151</v>
      </c>
      <c r="Z17" s="365">
        <f t="shared" ref="Z17:AA17" si="18">Z15/Y15/Z16*10000</f>
        <v>104.01364357527891</v>
      </c>
      <c r="AA17" s="365">
        <f t="shared" si="18"/>
        <v>103.67209102141364</v>
      </c>
      <c r="AB17" s="365">
        <f>AB15/AA15/AB16*10000</f>
        <v>106.82645340755445</v>
      </c>
      <c r="AC17" s="365">
        <f t="shared" ref="AC17:AE17" si="19">AC15/AB15/AC16*10000</f>
        <v>106.65791655846928</v>
      </c>
      <c r="AD17" s="365">
        <f t="shared" si="19"/>
        <v>102.00276671190102</v>
      </c>
      <c r="AE17" s="365">
        <f t="shared" si="19"/>
        <v>104.61082024872854</v>
      </c>
    </row>
    <row r="18" spans="3:31">
      <c r="C18" s="19" t="s">
        <v>365</v>
      </c>
      <c r="D18" s="19"/>
      <c r="E18" s="19"/>
      <c r="F18" s="19"/>
      <c r="G18"/>
      <c r="H18"/>
      <c r="I18"/>
      <c r="J18" s="682">
        <v>756.5</v>
      </c>
      <c r="K18" s="850">
        <v>1142</v>
      </c>
      <c r="L18" s="850">
        <v>1460.3</v>
      </c>
      <c r="M18" s="850">
        <v>1865.3</v>
      </c>
      <c r="N18" s="850">
        <v>2390.1999999999998</v>
      </c>
      <c r="O18" s="850">
        <v>4011</v>
      </c>
      <c r="P18" s="850">
        <v>4635.2</v>
      </c>
      <c r="Q18" s="357">
        <v>5374.5</v>
      </c>
      <c r="R18" s="357">
        <v>6773.2</v>
      </c>
      <c r="S18" s="357">
        <v>8661.6</v>
      </c>
      <c r="T18" s="357">
        <v>9560</v>
      </c>
      <c r="U18" s="357">
        <v>10039.5</v>
      </c>
      <c r="V18" s="357">
        <v>9615.7999999999993</v>
      </c>
      <c r="W18" s="357">
        <v>10033.700000000001</v>
      </c>
      <c r="X18" s="359">
        <v>10884</v>
      </c>
      <c r="Y18" s="359">
        <v>12130.8</v>
      </c>
      <c r="Z18" s="359">
        <v>12983.6</v>
      </c>
      <c r="AA18" s="359">
        <v>9723.6</v>
      </c>
      <c r="AB18" s="359">
        <v>9669.7000000000007</v>
      </c>
      <c r="AC18" s="359">
        <v>13866.9</v>
      </c>
      <c r="AD18" s="359">
        <v>16740.8</v>
      </c>
      <c r="AE18" s="573">
        <v>19094.900000000001</v>
      </c>
    </row>
    <row r="19" spans="3:31">
      <c r="C19" s="32" t="s">
        <v>366</v>
      </c>
      <c r="G19"/>
      <c r="H19"/>
      <c r="I19"/>
      <c r="J19" s="682">
        <v>2026</v>
      </c>
      <c r="K19" s="850">
        <v>2607.5</v>
      </c>
      <c r="L19" s="850">
        <v>3037.8</v>
      </c>
      <c r="M19" s="850">
        <v>3271.7</v>
      </c>
      <c r="N19" s="357">
        <v>3297.8735999999999</v>
      </c>
      <c r="O19" s="357">
        <v>4132.2356208000001</v>
      </c>
      <c r="P19" s="357">
        <v>4632.2361309168</v>
      </c>
      <c r="Q19" s="366">
        <v>5243.6913001978173</v>
      </c>
      <c r="R19" s="366">
        <v>6219.0178820346109</v>
      </c>
      <c r="S19" s="366">
        <v>6934.2049384685906</v>
      </c>
      <c r="T19" s="366">
        <v>7530.5465631768884</v>
      </c>
      <c r="U19" s="366">
        <v>7605.8520288086575</v>
      </c>
      <c r="V19" s="93">
        <v>7027.8072746192001</v>
      </c>
      <c r="W19" s="366">
        <f>V19*W20/100</f>
        <v>6992.668238246104</v>
      </c>
      <c r="X19" s="366">
        <f>W19*X20/100</f>
        <v>7118.5362665345338</v>
      </c>
      <c r="Y19" s="366">
        <f t="shared" ref="Y19:AE19" si="20">X19*Y20/100</f>
        <v>7268.0255281317586</v>
      </c>
      <c r="Z19" s="366">
        <f t="shared" si="20"/>
        <v>7478.7982684475801</v>
      </c>
      <c r="AA19" s="366">
        <f>Z19*AA20/100</f>
        <v>6738.3972398712694</v>
      </c>
      <c r="AB19" s="366">
        <f t="shared" si="20"/>
        <v>6832.7348012294678</v>
      </c>
      <c r="AC19" s="366">
        <f t="shared" si="20"/>
        <v>7577.5028945634804</v>
      </c>
      <c r="AD19" s="365">
        <f t="shared" si="20"/>
        <v>8971.7634271631614</v>
      </c>
      <c r="AE19" s="365">
        <f t="shared" si="20"/>
        <v>9779.2221356078462</v>
      </c>
    </row>
    <row r="20" spans="3:31">
      <c r="C20" s="20" t="s">
        <v>77</v>
      </c>
      <c r="D20" s="20"/>
      <c r="E20" s="20"/>
      <c r="F20" s="20"/>
      <c r="G20"/>
      <c r="H20"/>
      <c r="I20"/>
      <c r="J20"/>
      <c r="K20" s="850">
        <v>128.70187561697927</v>
      </c>
      <c r="L20" s="850">
        <v>116.50239693192714</v>
      </c>
      <c r="M20" s="850">
        <v>107.7</v>
      </c>
      <c r="N20" s="280">
        <v>100.8</v>
      </c>
      <c r="O20" s="280">
        <v>125.3</v>
      </c>
      <c r="P20" s="280">
        <v>112.1</v>
      </c>
      <c r="Q20" s="357">
        <v>113.2</v>
      </c>
      <c r="R20" s="357">
        <v>118.6</v>
      </c>
      <c r="S20" s="357">
        <v>111.5</v>
      </c>
      <c r="T20" s="357">
        <v>108.6</v>
      </c>
      <c r="U20" s="357">
        <v>101</v>
      </c>
      <c r="V20" s="357">
        <v>92.4</v>
      </c>
      <c r="W20" s="357">
        <v>99.5</v>
      </c>
      <c r="X20" s="359">
        <v>101.8</v>
      </c>
      <c r="Y20" s="359">
        <v>102.1</v>
      </c>
      <c r="Z20" s="359">
        <v>102.9</v>
      </c>
      <c r="AA20" s="359">
        <v>90.1</v>
      </c>
      <c r="AB20" s="359">
        <v>101.4</v>
      </c>
      <c r="AC20" s="359">
        <v>110.9</v>
      </c>
      <c r="AD20" s="359">
        <v>118.4</v>
      </c>
      <c r="AE20" s="573">
        <v>109</v>
      </c>
    </row>
    <row r="21" spans="3:31">
      <c r="C21" s="20" t="s">
        <v>79</v>
      </c>
      <c r="D21" s="20"/>
      <c r="E21" s="20"/>
      <c r="F21" s="20"/>
      <c r="G21"/>
      <c r="H21"/>
      <c r="I21"/>
      <c r="J21"/>
      <c r="K21" s="850">
        <v>117.29305431545968</v>
      </c>
      <c r="L21" s="850">
        <v>109.75924743445658</v>
      </c>
      <c r="M21" s="850">
        <v>118.60169661529591</v>
      </c>
      <c r="N21" s="280">
        <v>127.12325946122118</v>
      </c>
      <c r="O21" s="280">
        <v>133.92675585456257</v>
      </c>
      <c r="P21" s="280">
        <v>103.08849593146057</v>
      </c>
      <c r="Q21" s="367">
        <v>102.42905418179646</v>
      </c>
      <c r="R21" s="367">
        <v>106.26032587524908</v>
      </c>
      <c r="S21" s="367">
        <v>114.6910045632232</v>
      </c>
      <c r="T21" s="367">
        <v>101.63187624690406</v>
      </c>
      <c r="U21" s="367">
        <v>103.97593106590993</v>
      </c>
      <c r="V21" s="93">
        <v>103.65765184232238</v>
      </c>
      <c r="W21" s="367">
        <f t="shared" ref="W21" si="21">W18/V18/W20*10000</f>
        <v>104.87032387336546</v>
      </c>
      <c r="X21" s="367">
        <f t="shared" ref="X21" si="22">X18/W18/X20*10000</f>
        <v>106.5564254748335</v>
      </c>
      <c r="Y21" s="367">
        <f t="shared" ref="Y21" si="23">Y18/X18/Y20*10000</f>
        <v>109.1629258558151</v>
      </c>
      <c r="Z21" s="367">
        <f t="shared" ref="Z21" si="24">Z18/Y18/Z20*10000</f>
        <v>104.01364357527891</v>
      </c>
      <c r="AA21" s="367">
        <f t="shared" ref="AA21" si="25">AA18/Z18/AA20*10000</f>
        <v>83.120312386574668</v>
      </c>
      <c r="AB21" s="367">
        <f t="shared" ref="AB21" si="26">AB18/AA18/AB20*10000</f>
        <v>98.072661297108084</v>
      </c>
      <c r="AC21" s="367">
        <f t="shared" ref="AC21" si="27">AC18/AB18/AC20*10000</f>
        <v>129.31081148663156</v>
      </c>
      <c r="AD21" s="367">
        <f t="shared" ref="AD21" si="28">AD18/AC18/AD20*10000</f>
        <v>101.96359091930559</v>
      </c>
      <c r="AE21" s="574">
        <f t="shared" ref="AE21" si="29">AE18/AD18/AE20*10000</f>
        <v>104.6440843970058</v>
      </c>
    </row>
    <row r="22" spans="3:31">
      <c r="C22" s="20"/>
      <c r="D22" s="20"/>
      <c r="E22" s="20"/>
      <c r="F22" s="20"/>
      <c r="G22"/>
      <c r="H22"/>
      <c r="I22"/>
      <c r="J22"/>
      <c r="K22" s="850"/>
      <c r="L22" s="850"/>
      <c r="M22" s="850"/>
      <c r="N22" s="850"/>
      <c r="O22" s="850"/>
      <c r="P22" s="850"/>
      <c r="Q22" s="365"/>
      <c r="R22" s="365"/>
      <c r="S22" s="365"/>
      <c r="T22" s="365"/>
      <c r="U22" s="365"/>
      <c r="W22" s="624">
        <f>W15-V15</f>
        <v>-53.899999999999636</v>
      </c>
      <c r="X22" s="624">
        <f t="shared" ref="X22:AE22" si="30">X15-W15</f>
        <v>269.79999999999927</v>
      </c>
      <c r="Y22" s="624">
        <f t="shared" si="30"/>
        <v>132</v>
      </c>
      <c r="Z22" s="624">
        <f t="shared" si="30"/>
        <v>852.80000000000109</v>
      </c>
      <c r="AA22" s="624">
        <f t="shared" si="30"/>
        <v>126.79999999999927</v>
      </c>
      <c r="AB22" s="624">
        <f t="shared" si="30"/>
        <v>2001.3999999999996</v>
      </c>
      <c r="AC22" s="624">
        <f t="shared" si="30"/>
        <v>3585</v>
      </c>
      <c r="AD22" s="624">
        <f t="shared" si="30"/>
        <v>3063.5</v>
      </c>
      <c r="AE22" s="624">
        <f t="shared" si="30"/>
        <v>3962.6000000000022</v>
      </c>
    </row>
    <row r="23" spans="3:31">
      <c r="C23" s="20"/>
      <c r="D23" s="20"/>
      <c r="E23" s="20"/>
      <c r="F23" s="20"/>
      <c r="G23"/>
      <c r="H23"/>
      <c r="I23"/>
      <c r="J23"/>
      <c r="K23" s="850"/>
      <c r="L23" s="850"/>
      <c r="M23" s="850"/>
      <c r="N23" s="850"/>
      <c r="O23" s="850"/>
      <c r="P23" s="850"/>
      <c r="Q23" s="365"/>
      <c r="R23" s="365">
        <v>235.7</v>
      </c>
      <c r="S23" s="365">
        <v>301.41426799740151</v>
      </c>
      <c r="T23" s="365">
        <v>332.67761176401103</v>
      </c>
      <c r="U23" s="365">
        <v>349.36369072225824</v>
      </c>
      <c r="W23" s="624">
        <f>W18-V18</f>
        <v>417.90000000000146</v>
      </c>
      <c r="X23" s="624">
        <f t="shared" ref="X23:AD23" si="31">X18-W18</f>
        <v>850.29999999999927</v>
      </c>
      <c r="Y23" s="624">
        <f t="shared" si="31"/>
        <v>1246.7999999999993</v>
      </c>
      <c r="Z23" s="624">
        <f t="shared" si="31"/>
        <v>852.80000000000109</v>
      </c>
      <c r="AA23" s="624">
        <f t="shared" si="31"/>
        <v>-3260</v>
      </c>
      <c r="AB23" s="624">
        <f t="shared" si="31"/>
        <v>-53.899999999999636</v>
      </c>
      <c r="AC23" s="624">
        <f t="shared" si="31"/>
        <v>4197.1999999999989</v>
      </c>
      <c r="AD23" s="624">
        <f t="shared" si="31"/>
        <v>2873.8999999999996</v>
      </c>
      <c r="AE23" s="624">
        <f>AE18-AD18</f>
        <v>2354.1000000000022</v>
      </c>
    </row>
    <row r="24" spans="3:31">
      <c r="G24"/>
      <c r="H24"/>
      <c r="I24"/>
      <c r="J24" s="378"/>
      <c r="K24" s="378"/>
      <c r="L24" s="378"/>
      <c r="M24" s="378"/>
      <c r="N24" s="378"/>
      <c r="O24" s="378"/>
      <c r="P24" s="378"/>
      <c r="Q24" s="378"/>
      <c r="R24"/>
      <c r="S24"/>
      <c r="T24" s="683"/>
      <c r="U24" s="683"/>
      <c r="AE24">
        <v>6063.0592513524616</v>
      </c>
    </row>
    <row r="25" spans="3:31">
      <c r="C25" s="86" t="s">
        <v>367</v>
      </c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AE25" s="372">
        <f>0.105*AE29</f>
        <v>8448.6485931737425</v>
      </c>
    </row>
    <row r="26" spans="3:31">
      <c r="C26" s="87" t="s">
        <v>368</v>
      </c>
      <c r="D26" s="87"/>
      <c r="E26" s="87"/>
      <c r="F26" s="87"/>
      <c r="G26"/>
      <c r="H26"/>
      <c r="I26"/>
      <c r="J26"/>
      <c r="K26"/>
      <c r="L26" s="665">
        <v>6051.8</v>
      </c>
      <c r="M26" s="665">
        <v>7950.9</v>
      </c>
      <c r="N26" s="665">
        <v>9889.2000000000007</v>
      </c>
      <c r="O26" s="665">
        <v>15299.7</v>
      </c>
      <c r="P26" s="919">
        <v>18535.5</v>
      </c>
      <c r="Q26" s="919">
        <v>22126</v>
      </c>
      <c r="R26" s="368">
        <v>29004.9</v>
      </c>
      <c r="S26" s="368">
        <v>35191.1</v>
      </c>
      <c r="T26" s="368">
        <v>38573.800000000003</v>
      </c>
      <c r="U26" s="368">
        <v>41235.4</v>
      </c>
      <c r="V26" s="368">
        <v>44902.8</v>
      </c>
      <c r="W26" s="369">
        <v>48684.6</v>
      </c>
      <c r="X26" s="368">
        <v>58584.4</v>
      </c>
      <c r="Y26" s="368">
        <v>59770.5</v>
      </c>
      <c r="Z26" s="368">
        <v>67442.5</v>
      </c>
      <c r="AA26" s="368">
        <v>73948.5</v>
      </c>
      <c r="AB26" s="368">
        <v>88393.7</v>
      </c>
      <c r="AC26" s="368">
        <v>108414.8</v>
      </c>
      <c r="AD26" s="641">
        <v>117209.60000000001</v>
      </c>
      <c r="AE26">
        <f>AD26*(Assumptions!AE56/100+1)*(Assumptions!AE57/100+1)</f>
        <v>137577.95819789174</v>
      </c>
    </row>
    <row r="27" spans="3:31">
      <c r="C27" s="87" t="s">
        <v>369</v>
      </c>
      <c r="D27" s="87"/>
      <c r="E27" s="87"/>
      <c r="F27" s="87"/>
      <c r="G27"/>
      <c r="H27"/>
      <c r="I27"/>
      <c r="J27"/>
      <c r="K27"/>
      <c r="L27" s="682">
        <v>2953.7</v>
      </c>
      <c r="M27" s="682">
        <v>3865.2</v>
      </c>
      <c r="N27" s="682">
        <v>4833</v>
      </c>
      <c r="O27" s="117">
        <v>7952.5</v>
      </c>
      <c r="P27" s="919">
        <v>9126.9</v>
      </c>
      <c r="Q27" s="919">
        <v>10625.5</v>
      </c>
      <c r="R27" s="117">
        <v>14778.9</v>
      </c>
      <c r="S27" s="117">
        <v>16671.400000000001</v>
      </c>
      <c r="T27" s="117">
        <v>19011</v>
      </c>
      <c r="U27" s="172">
        <v>19514.8</v>
      </c>
      <c r="V27" s="172">
        <v>23229.4</v>
      </c>
      <c r="W27" s="345">
        <v>25210.400000000001</v>
      </c>
      <c r="X27" s="172">
        <v>30205</v>
      </c>
      <c r="Y27" s="172">
        <v>31589.3</v>
      </c>
      <c r="Z27" s="172">
        <v>35649.800000000003</v>
      </c>
      <c r="AA27" s="172">
        <v>36157.300000000003</v>
      </c>
      <c r="AB27" s="172">
        <v>47422.7</v>
      </c>
      <c r="AC27" s="172">
        <v>59476.9</v>
      </c>
      <c r="AD27" s="642">
        <v>62620</v>
      </c>
      <c r="AE27" s="270">
        <f t="shared" ref="AE27" si="32">0.52*AE26</f>
        <v>71540.538262903705</v>
      </c>
    </row>
    <row r="28" spans="3:31">
      <c r="C28" s="87" t="s">
        <v>370</v>
      </c>
      <c r="D28" s="87"/>
      <c r="E28" s="87"/>
      <c r="F28" s="87"/>
      <c r="G28"/>
      <c r="H28"/>
      <c r="I28"/>
      <c r="J28"/>
      <c r="K28"/>
      <c r="L28" s="682">
        <v>354.1</v>
      </c>
      <c r="M28" s="682">
        <v>475.8</v>
      </c>
      <c r="N28" s="682">
        <v>676.7</v>
      </c>
      <c r="O28" s="682">
        <v>1017.3</v>
      </c>
      <c r="P28" s="665">
        <v>1122.7</v>
      </c>
      <c r="Q28" s="919">
        <v>1410.3</v>
      </c>
      <c r="R28" s="117">
        <v>2106</v>
      </c>
      <c r="S28" s="117">
        <v>2584.4</v>
      </c>
      <c r="T28" s="117">
        <v>3312.4</v>
      </c>
      <c r="U28" s="172">
        <v>3950.6</v>
      </c>
      <c r="V28" s="172">
        <v>2982.7</v>
      </c>
      <c r="W28" s="345">
        <v>3147.8</v>
      </c>
      <c r="X28" s="172">
        <v>3593.1</v>
      </c>
      <c r="Y28" s="172">
        <v>3652.6</v>
      </c>
      <c r="Z28" s="172">
        <v>4000.2</v>
      </c>
      <c r="AA28" s="172">
        <v>3922.2</v>
      </c>
      <c r="AB28" s="172">
        <v>5042.2</v>
      </c>
      <c r="AC28" s="172">
        <v>5557.4</v>
      </c>
      <c r="AD28" s="642">
        <v>6862.5</v>
      </c>
      <c r="AE28" s="575">
        <v>14425.9</v>
      </c>
    </row>
    <row r="29" spans="3:31">
      <c r="C29" s="88" t="s">
        <v>371</v>
      </c>
      <c r="D29" s="88"/>
      <c r="E29" s="88"/>
      <c r="F29" s="88"/>
      <c r="G29" s="665"/>
      <c r="H29" s="665"/>
      <c r="I29" s="665"/>
      <c r="J29" s="665"/>
      <c r="K29" s="665"/>
      <c r="L29" s="665">
        <v>3452.1</v>
      </c>
      <c r="M29" s="665">
        <v>4561.3999999999996</v>
      </c>
      <c r="N29" s="665">
        <v>5732.8</v>
      </c>
      <c r="O29" s="919">
        <v>8364.5</v>
      </c>
      <c r="P29" s="919">
        <v>10531.4</v>
      </c>
      <c r="Q29" s="919">
        <v>12910.8</v>
      </c>
      <c r="R29" s="97">
        <v>16332.1</v>
      </c>
      <c r="S29" s="919">
        <v>21104</v>
      </c>
      <c r="T29" s="919">
        <v>22875</v>
      </c>
      <c r="U29" s="370">
        <v>25671.200000000001</v>
      </c>
      <c r="V29" s="370">
        <f t="shared" ref="V29:AD29" si="33">V26-V27+V28</f>
        <v>24656.100000000002</v>
      </c>
      <c r="W29" s="370">
        <f t="shared" si="33"/>
        <v>26621.999999999996</v>
      </c>
      <c r="X29" s="370">
        <f t="shared" si="33"/>
        <v>31972.5</v>
      </c>
      <c r="Y29" s="370">
        <f t="shared" si="33"/>
        <v>31833.8</v>
      </c>
      <c r="Z29" s="370">
        <f t="shared" si="33"/>
        <v>35792.899999999994</v>
      </c>
      <c r="AA29" s="370">
        <f t="shared" si="33"/>
        <v>41713.399999999994</v>
      </c>
      <c r="AB29" s="370">
        <f t="shared" si="33"/>
        <v>46013.2</v>
      </c>
      <c r="AC29" s="370">
        <f t="shared" si="33"/>
        <v>54495.3</v>
      </c>
      <c r="AD29" s="370">
        <f t="shared" si="33"/>
        <v>61452.100000000006</v>
      </c>
      <c r="AE29" s="371">
        <f>AE26-AE27+AE28</f>
        <v>80463.319934988031</v>
      </c>
    </row>
    <row r="30" spans="3:31">
      <c r="C30" s="87" t="s">
        <v>372</v>
      </c>
      <c r="D30" s="87"/>
      <c r="E30" s="87"/>
      <c r="F30" s="87"/>
      <c r="G30"/>
      <c r="H30"/>
      <c r="I30"/>
      <c r="J30"/>
      <c r="K30"/>
      <c r="L30" s="682">
        <v>446.7</v>
      </c>
      <c r="M30" s="682">
        <v>540.79999999999995</v>
      </c>
      <c r="N30" s="682">
        <v>779.7</v>
      </c>
      <c r="O30" s="117">
        <v>12846.8</v>
      </c>
      <c r="P30" s="919">
        <v>1537.3</v>
      </c>
      <c r="Q30" s="919">
        <v>1965.2</v>
      </c>
      <c r="R30" s="117">
        <v>2881.2</v>
      </c>
      <c r="S30" s="117">
        <v>3643.4</v>
      </c>
      <c r="T30" s="117">
        <v>4730</v>
      </c>
      <c r="U30" s="172">
        <v>5613.9</v>
      </c>
      <c r="V30" s="172">
        <v>4281.7</v>
      </c>
      <c r="W30" s="345">
        <v>4618.2</v>
      </c>
      <c r="X30" s="172">
        <v>3593.1</v>
      </c>
      <c r="Y30" s="172">
        <v>5527.2</v>
      </c>
      <c r="Z30" s="172">
        <v>6064.4</v>
      </c>
      <c r="AA30" s="172">
        <v>5995.1</v>
      </c>
      <c r="AB30" s="172">
        <v>8404.2999999999993</v>
      </c>
      <c r="AC30" s="172">
        <v>11075.3</v>
      </c>
      <c r="AD30" s="642">
        <v>12936.3</v>
      </c>
      <c r="AE30" s="270">
        <f t="shared" ref="AE30" si="34">0.146*AE29</f>
        <v>11747.644710508252</v>
      </c>
    </row>
    <row r="31" spans="3:31">
      <c r="C31" s="87" t="s">
        <v>373</v>
      </c>
      <c r="D31" s="87"/>
      <c r="E31" s="87"/>
      <c r="F31" s="87"/>
      <c r="G31"/>
      <c r="H31"/>
      <c r="I31"/>
      <c r="J31"/>
      <c r="K31"/>
      <c r="L31" s="823">
        <v>3005.4</v>
      </c>
      <c r="M31" s="823">
        <v>4020.7</v>
      </c>
      <c r="N31" s="823">
        <v>4953.1000000000004</v>
      </c>
      <c r="O31" s="97">
        <v>7136.6</v>
      </c>
      <c r="P31" s="919">
        <v>8994</v>
      </c>
      <c r="Q31" s="919">
        <v>10945.6</v>
      </c>
      <c r="R31" s="97">
        <v>13450.9</v>
      </c>
      <c r="S31" s="97">
        <v>17460.599999999999</v>
      </c>
      <c r="T31" s="97">
        <v>18145.099999999999</v>
      </c>
      <c r="U31" s="370">
        <v>20057.300000000003</v>
      </c>
      <c r="V31" s="370">
        <v>20374.400000000001</v>
      </c>
      <c r="W31" s="370">
        <f>W29-W30</f>
        <v>22003.799999999996</v>
      </c>
      <c r="X31" s="370">
        <f>X29-X30</f>
        <v>28379.4</v>
      </c>
      <c r="Y31" s="370">
        <v>26306.5</v>
      </c>
      <c r="Z31" s="370">
        <f t="shared" ref="Z31:AA31" si="35">Z29-Z30</f>
        <v>29728.499999999993</v>
      </c>
      <c r="AA31" s="370">
        <f t="shared" si="35"/>
        <v>35718.299999999996</v>
      </c>
      <c r="AB31" s="370">
        <f>AB29-AB30</f>
        <v>37608.899999999994</v>
      </c>
      <c r="AC31" s="370">
        <f>AC29-AC30</f>
        <v>43420</v>
      </c>
      <c r="AD31" s="370">
        <f t="shared" ref="AD31:AE31" si="36">AD29-AD30</f>
        <v>48515.8</v>
      </c>
      <c r="AE31" s="371">
        <f t="shared" si="36"/>
        <v>68715.675224479783</v>
      </c>
    </row>
    <row r="32" spans="3:31">
      <c r="C32" s="87" t="s">
        <v>374</v>
      </c>
      <c r="D32" s="87"/>
      <c r="E32" s="87"/>
      <c r="F32" s="87"/>
      <c r="G32"/>
      <c r="H32"/>
      <c r="I32"/>
      <c r="J32"/>
      <c r="K32"/>
      <c r="L32" s="378">
        <v>2651.3</v>
      </c>
      <c r="M32" s="378">
        <v>3544.8999999999996</v>
      </c>
      <c r="N32" s="378">
        <v>4276.4000000000005</v>
      </c>
      <c r="O32" s="378">
        <v>6119.3</v>
      </c>
      <c r="P32" s="665">
        <v>7871.4000000000005</v>
      </c>
      <c r="Q32" s="921">
        <v>9535.1999999999989</v>
      </c>
      <c r="R32" s="922">
        <v>11344.9</v>
      </c>
      <c r="S32" s="922">
        <v>14876.199999999999</v>
      </c>
      <c r="T32" s="922">
        <v>14832.699999999999</v>
      </c>
      <c r="U32" s="922">
        <v>16106.700000000003</v>
      </c>
      <c r="V32" s="338">
        <f t="shared" ref="V32:AA32" si="37">V31-V28</f>
        <v>17391.7</v>
      </c>
      <c r="W32" s="338">
        <f t="shared" si="37"/>
        <v>18855.999999999996</v>
      </c>
      <c r="X32" s="338">
        <f t="shared" si="37"/>
        <v>24786.300000000003</v>
      </c>
      <c r="Y32" s="338">
        <f t="shared" si="37"/>
        <v>22653.9</v>
      </c>
      <c r="Z32" s="338">
        <f t="shared" si="37"/>
        <v>25728.299999999992</v>
      </c>
      <c r="AA32" s="338">
        <f t="shared" si="37"/>
        <v>31796.099999999995</v>
      </c>
      <c r="AB32" s="338">
        <f>AB31-AB28</f>
        <v>32566.699999999993</v>
      </c>
      <c r="AC32" s="338">
        <f>AC31-AC28</f>
        <v>37862.6</v>
      </c>
      <c r="AD32" s="338">
        <f t="shared" ref="AD32:AE32" si="38">AD31-AD28</f>
        <v>41653.300000000003</v>
      </c>
      <c r="AE32" s="270">
        <f t="shared" si="38"/>
        <v>54289.775224479781</v>
      </c>
    </row>
    <row r="33" spans="3:31">
      <c r="C33" s="89" t="s">
        <v>375</v>
      </c>
      <c r="D33" s="89"/>
      <c r="E33" s="89"/>
      <c r="F33" s="89"/>
      <c r="G33" s="665"/>
      <c r="H33" s="665"/>
      <c r="I33" s="665"/>
      <c r="J33" s="665"/>
      <c r="K33" s="665"/>
      <c r="L33" s="665">
        <v>3147.6</v>
      </c>
      <c r="M33" s="665">
        <v>4762.6000000000004</v>
      </c>
      <c r="N33" s="665">
        <v>5980.2</v>
      </c>
      <c r="O33" s="919">
        <v>10135.1</v>
      </c>
      <c r="P33" s="919">
        <v>8094.3</v>
      </c>
      <c r="Q33" s="919">
        <v>10468.599999999999</v>
      </c>
      <c r="R33" s="919">
        <v>10909.599999999999</v>
      </c>
      <c r="S33" s="919">
        <v>15061.7</v>
      </c>
      <c r="T33" s="919">
        <v>23565</v>
      </c>
      <c r="U33" s="919">
        <v>23229.7</v>
      </c>
      <c r="V33">
        <f>SUM(V34:V36)</f>
        <v>18463.5</v>
      </c>
      <c r="W33">
        <f t="shared" ref="W33:AE33" si="39">SUM(W34:W36)</f>
        <v>19414.400000000001</v>
      </c>
      <c r="X33">
        <f t="shared" si="39"/>
        <v>23755.1</v>
      </c>
      <c r="Y33">
        <f t="shared" si="39"/>
        <v>25470.300000000003</v>
      </c>
      <c r="Z33">
        <f t="shared" si="39"/>
        <v>27904.7</v>
      </c>
      <c r="AA33">
        <f t="shared" si="39"/>
        <v>28507.5</v>
      </c>
      <c r="AB33">
        <f t="shared" si="39"/>
        <v>37625.9</v>
      </c>
      <c r="AC33">
        <f t="shared" si="39"/>
        <v>57778.600000000006</v>
      </c>
      <c r="AD33">
        <f t="shared" si="39"/>
        <v>54182</v>
      </c>
      <c r="AE33">
        <f t="shared" si="39"/>
        <v>18338.560349758092</v>
      </c>
    </row>
    <row r="34" spans="3:31">
      <c r="C34" s="87" t="s">
        <v>376</v>
      </c>
      <c r="D34" s="87"/>
      <c r="E34" s="87"/>
      <c r="F34" s="87"/>
      <c r="G34"/>
      <c r="H34" s="1121">
        <v>378.1</v>
      </c>
      <c r="I34" s="1121">
        <v>437.4</v>
      </c>
      <c r="J34" s="1121">
        <v>489.8</v>
      </c>
      <c r="K34" s="1121">
        <v>831.8</v>
      </c>
      <c r="L34" s="682">
        <v>260.60000000000002</v>
      </c>
      <c r="M34" s="682">
        <v>365.7</v>
      </c>
      <c r="N34" s="682">
        <v>526.5</v>
      </c>
      <c r="O34" s="117">
        <v>652</v>
      </c>
      <c r="P34" s="919">
        <v>919.3</v>
      </c>
      <c r="Q34" s="919">
        <v>1138.2</v>
      </c>
      <c r="R34" s="117">
        <v>1328.9</v>
      </c>
      <c r="S34" s="117">
        <v>1744.4</v>
      </c>
      <c r="T34" s="172">
        <v>2401.1999999999998</v>
      </c>
      <c r="U34" s="172">
        <v>3177.3</v>
      </c>
      <c r="V34" s="172">
        <v>3403.7</v>
      </c>
      <c r="W34" s="345">
        <v>3915.2</v>
      </c>
      <c r="X34" s="345">
        <v>4496.8999999999996</v>
      </c>
      <c r="Y34" s="345">
        <v>4923.8999999999996</v>
      </c>
      <c r="Z34" s="172">
        <v>4980.3</v>
      </c>
      <c r="AA34" s="172">
        <v>5417.4</v>
      </c>
      <c r="AB34" s="172">
        <v>6169.5</v>
      </c>
      <c r="AC34" s="172">
        <v>7053.8</v>
      </c>
      <c r="AD34" s="642">
        <v>10667.5</v>
      </c>
      <c r="AE34">
        <f>Assumptions!AE53</f>
        <v>11211.5425</v>
      </c>
    </row>
    <row r="35" spans="3:31">
      <c r="C35" s="87" t="s">
        <v>377</v>
      </c>
      <c r="D35" s="87"/>
      <c r="E35" s="87"/>
      <c r="F35" s="87"/>
      <c r="G35"/>
      <c r="H35" s="1121"/>
      <c r="I35" s="1121"/>
      <c r="J35" s="1121"/>
      <c r="K35" s="1121"/>
      <c r="L35" s="682">
        <v>752.4</v>
      </c>
      <c r="M35" s="682">
        <v>902.3</v>
      </c>
      <c r="N35" s="682">
        <v>1219.2</v>
      </c>
      <c r="O35" s="117">
        <v>1509.6</v>
      </c>
      <c r="P35" s="919">
        <v>1962</v>
      </c>
      <c r="Q35" s="919">
        <v>2412</v>
      </c>
      <c r="R35" s="117">
        <v>2942</v>
      </c>
      <c r="S35" s="117">
        <v>3531.3</v>
      </c>
      <c r="T35" s="172">
        <v>4167</v>
      </c>
      <c r="U35" s="172">
        <v>4481.1000000000004</v>
      </c>
      <c r="V35" s="172">
        <v>4935.3</v>
      </c>
      <c r="W35" s="345">
        <v>5187.6000000000004</v>
      </c>
      <c r="X35" s="345">
        <v>5650.1</v>
      </c>
      <c r="Y35" s="345">
        <v>6496.3</v>
      </c>
      <c r="Z35" s="172">
        <v>7364.3</v>
      </c>
      <c r="AA35" s="172">
        <v>7217.5</v>
      </c>
      <c r="AB35" s="172">
        <v>8221.7000000000007</v>
      </c>
      <c r="AC35" s="172">
        <v>9278.9</v>
      </c>
      <c r="AD35" s="642">
        <v>8177.8</v>
      </c>
      <c r="AE35" s="190">
        <f>AD35*(GDP!AE17/GDP!AD17)</f>
        <v>7127.0178497580919</v>
      </c>
    </row>
    <row r="36" spans="3:31">
      <c r="C36" s="87" t="s">
        <v>378</v>
      </c>
      <c r="D36" s="87"/>
      <c r="E36" s="87"/>
      <c r="F36" s="87"/>
      <c r="G36"/>
      <c r="H36" s="682">
        <v>594.29999999999995</v>
      </c>
      <c r="I36" s="682">
        <v>710.7</v>
      </c>
      <c r="J36" s="682">
        <v>1251.3</v>
      </c>
      <c r="K36" s="682">
        <v>1975.4</v>
      </c>
      <c r="L36" s="682">
        <v>2134.6</v>
      </c>
      <c r="M36" s="682">
        <v>3494.6</v>
      </c>
      <c r="N36" s="682">
        <v>4234.5</v>
      </c>
      <c r="O36" s="117">
        <v>7973.5</v>
      </c>
      <c r="P36" s="919">
        <v>5213</v>
      </c>
      <c r="Q36" s="919">
        <v>6918.4</v>
      </c>
      <c r="R36" s="368">
        <v>6638.7</v>
      </c>
      <c r="S36" s="368">
        <v>9786</v>
      </c>
      <c r="T36" s="172">
        <v>16996.8</v>
      </c>
      <c r="U36" s="172">
        <v>15571.3</v>
      </c>
      <c r="V36" s="172">
        <v>10124.5</v>
      </c>
      <c r="W36" s="345">
        <v>10311.6</v>
      </c>
      <c r="X36" s="345">
        <v>13608.1</v>
      </c>
      <c r="Y36" s="345">
        <v>14050.1</v>
      </c>
      <c r="Z36" s="345">
        <v>15560.1</v>
      </c>
      <c r="AA36" s="345">
        <v>15872.6</v>
      </c>
      <c r="AB36" s="345">
        <v>23234.7</v>
      </c>
      <c r="AC36" s="345">
        <v>41445.9</v>
      </c>
      <c r="AD36" s="643">
        <v>35336.699999999997</v>
      </c>
      <c r="AE36">
        <f>GDP!AE128</f>
        <v>0</v>
      </c>
    </row>
    <row r="37" spans="3:31">
      <c r="C37" s="88" t="s">
        <v>379</v>
      </c>
      <c r="D37" s="88"/>
      <c r="E37" s="88"/>
      <c r="F37" s="88"/>
      <c r="G37" s="665"/>
      <c r="H37" s="665"/>
      <c r="I37" s="665"/>
      <c r="J37" s="665"/>
      <c r="K37" s="665"/>
      <c r="L37" s="823">
        <v>5798.9</v>
      </c>
      <c r="M37" s="823">
        <v>8307.5</v>
      </c>
      <c r="N37" s="823">
        <v>10256.6</v>
      </c>
      <c r="O37" s="823">
        <v>16254.400000000001</v>
      </c>
      <c r="P37" s="665">
        <v>17644.407894759999</v>
      </c>
      <c r="Q37" s="919">
        <v>22814.398087826885</v>
      </c>
      <c r="R37" s="97">
        <v>22254.5</v>
      </c>
      <c r="S37" s="97">
        <v>29937.9</v>
      </c>
      <c r="T37" s="97">
        <v>38397.699999999997</v>
      </c>
      <c r="U37" s="97">
        <v>39336.400000000001</v>
      </c>
      <c r="V37" s="97">
        <f t="shared" ref="V37:AA37" si="40">V33+V32</f>
        <v>35855.199999999997</v>
      </c>
      <c r="W37" s="373">
        <f t="shared" si="40"/>
        <v>38270.399999999994</v>
      </c>
      <c r="X37" s="373">
        <f t="shared" si="40"/>
        <v>48541.4</v>
      </c>
      <c r="Y37" s="370">
        <f t="shared" si="40"/>
        <v>48124.200000000004</v>
      </c>
      <c r="Z37" s="370">
        <f t="shared" si="40"/>
        <v>53632.999999999993</v>
      </c>
      <c r="AA37" s="370">
        <f t="shared" si="40"/>
        <v>60303.599999999991</v>
      </c>
      <c r="AB37" s="370">
        <f>AB33+AB32</f>
        <v>70192.599999999991</v>
      </c>
      <c r="AC37" s="370">
        <f t="shared" ref="AC37:AD37" si="41">AC33+AC32</f>
        <v>95641.200000000012</v>
      </c>
      <c r="AD37" s="370">
        <f t="shared" si="41"/>
        <v>95835.3</v>
      </c>
      <c r="AE37" s="93">
        <f>AE33+AE32</f>
        <v>72628.335574237877</v>
      </c>
    </row>
    <row r="38" spans="3:31">
      <c r="C38" s="87" t="s">
        <v>380</v>
      </c>
      <c r="D38" s="87"/>
      <c r="E38" s="87"/>
      <c r="F38" s="87"/>
      <c r="G38"/>
      <c r="H38"/>
      <c r="I38"/>
      <c r="J38"/>
      <c r="K38"/>
      <c r="L38" s="682">
        <v>16</v>
      </c>
      <c r="M38" s="682">
        <v>25</v>
      </c>
      <c r="N38" s="682">
        <v>45.1</v>
      </c>
      <c r="O38" s="117">
        <v>72.3</v>
      </c>
      <c r="P38" s="919">
        <v>101.4</v>
      </c>
      <c r="Q38" s="919">
        <v>152</v>
      </c>
      <c r="R38" s="117">
        <v>1097</v>
      </c>
      <c r="S38" s="117">
        <v>906.5</v>
      </c>
      <c r="T38" s="172">
        <v>1117</v>
      </c>
      <c r="U38" s="172">
        <v>2134.8000000000002</v>
      </c>
      <c r="V38" s="172">
        <v>1227.7</v>
      </c>
      <c r="W38" s="345">
        <v>1486.7</v>
      </c>
      <c r="X38" s="172">
        <v>982.3</v>
      </c>
      <c r="Y38" s="172">
        <v>1078.5</v>
      </c>
      <c r="Z38" s="172">
        <v>1253.5</v>
      </c>
      <c r="AA38" s="172">
        <v>643.1</v>
      </c>
      <c r="AB38" s="172">
        <v>845.6</v>
      </c>
      <c r="AC38" s="172">
        <v>1066.3</v>
      </c>
      <c r="AD38" s="642">
        <v>1087.7</v>
      </c>
      <c r="AE38">
        <f>AD38*GDP!AE93/GDP!AD93</f>
        <v>1256.6138377293892</v>
      </c>
    </row>
    <row r="39" spans="3:31">
      <c r="C39" s="87" t="s">
        <v>381</v>
      </c>
      <c r="D39" s="87"/>
      <c r="E39" s="87"/>
      <c r="F39" s="87"/>
      <c r="G39"/>
      <c r="H39"/>
      <c r="I39"/>
      <c r="J39"/>
      <c r="K39"/>
      <c r="L39" s="682">
        <v>273.2</v>
      </c>
      <c r="M39" s="682">
        <v>357.59999999999997</v>
      </c>
      <c r="N39" s="682">
        <v>481.19999999999993</v>
      </c>
      <c r="O39" s="917">
        <v>773.5</v>
      </c>
      <c r="P39" s="665">
        <v>1157.0999999999999</v>
      </c>
      <c r="Q39" s="919">
        <v>1272.4000000000001</v>
      </c>
      <c r="R39" s="172">
        <v>1676.2</v>
      </c>
      <c r="S39" s="172">
        <v>2008.1119513069325</v>
      </c>
      <c r="T39" s="172">
        <v>1970.7</v>
      </c>
      <c r="U39" s="172">
        <v>2278.1</v>
      </c>
      <c r="V39" s="172">
        <v>1469.9</v>
      </c>
      <c r="W39" s="345">
        <v>2430.5</v>
      </c>
      <c r="X39" s="172">
        <v>2319</v>
      </c>
      <c r="Y39" s="172">
        <v>2836.5</v>
      </c>
      <c r="Z39" s="172">
        <v>2065</v>
      </c>
      <c r="AA39" s="172">
        <v>2035.1</v>
      </c>
      <c r="AB39" s="172">
        <v>2569.6999999999998</v>
      </c>
      <c r="AC39" s="172">
        <v>3200</v>
      </c>
      <c r="AD39" s="642">
        <v>3263.9</v>
      </c>
      <c r="AE39">
        <f>AD39*GDP!AE93/GDP!AD93</f>
        <v>3770.7657487955807</v>
      </c>
    </row>
    <row r="40" spans="3:31">
      <c r="C40" s="87" t="s">
        <v>382</v>
      </c>
      <c r="D40" s="87"/>
      <c r="E40" s="87"/>
      <c r="F40" s="87"/>
      <c r="G40"/>
      <c r="H40"/>
      <c r="I40"/>
      <c r="J40"/>
      <c r="K40"/>
      <c r="L40" s="915">
        <v>768.1</v>
      </c>
      <c r="M40" s="915">
        <v>662.5</v>
      </c>
      <c r="N40" s="915">
        <v>904</v>
      </c>
      <c r="O40" s="920">
        <v>1088.8</v>
      </c>
      <c r="P40" s="919">
        <v>2242.1999999999998</v>
      </c>
      <c r="Q40" s="919">
        <v>2267.4</v>
      </c>
      <c r="R40" s="919">
        <v>2898.8</v>
      </c>
      <c r="S40" s="919">
        <v>3838.8</v>
      </c>
      <c r="T40" s="370">
        <v>4525.3</v>
      </c>
      <c r="U40" s="370">
        <v>5399.5</v>
      </c>
      <c r="V40" s="370">
        <v>4055.1</v>
      </c>
      <c r="W40" s="373">
        <v>4817.8999999999996</v>
      </c>
      <c r="X40" s="370">
        <v>5466.7</v>
      </c>
      <c r="Y40" s="370">
        <v>5744</v>
      </c>
      <c r="Z40" s="370">
        <v>6433.2</v>
      </c>
      <c r="AA40" s="370">
        <v>7283.3</v>
      </c>
      <c r="AB40" s="370">
        <v>8932.6</v>
      </c>
      <c r="AC40" s="370">
        <v>10146.4</v>
      </c>
      <c r="AD40" s="644">
        <v>10448.9</v>
      </c>
      <c r="AE40">
        <f>Assumptions!AE52</f>
        <v>12016.234999999999</v>
      </c>
    </row>
    <row r="41" spans="3:31">
      <c r="C41" s="88" t="s">
        <v>383</v>
      </c>
      <c r="D41" s="88"/>
      <c r="E41" s="88"/>
      <c r="F41" s="88"/>
      <c r="G41" s="665"/>
      <c r="H41" s="665"/>
      <c r="I41" s="665"/>
      <c r="J41" s="665"/>
      <c r="K41" s="665"/>
      <c r="L41" s="916">
        <v>6856.2</v>
      </c>
      <c r="M41" s="916">
        <v>9352.6</v>
      </c>
      <c r="N41" s="916">
        <v>11686.900000000001</v>
      </c>
      <c r="O41" s="918">
        <v>18189</v>
      </c>
      <c r="P41" s="665">
        <v>21144.907894759999</v>
      </c>
      <c r="Q41" s="97">
        <v>26506.198087826888</v>
      </c>
      <c r="R41" s="97">
        <v>27926.5</v>
      </c>
      <c r="S41" s="97">
        <v>36691.31195130694</v>
      </c>
      <c r="T41" s="97">
        <v>46010.7</v>
      </c>
      <c r="U41" s="97">
        <v>49148.800000000003</v>
      </c>
      <c r="V41" s="92">
        <f>SUM(V37:V40)</f>
        <v>42607.899999999994</v>
      </c>
      <c r="W41" s="92">
        <f t="shared" ref="W41:AC41" si="42">SUM(W37:W40)</f>
        <v>47005.499999999993</v>
      </c>
      <c r="X41" s="92">
        <f t="shared" si="42"/>
        <v>57309.4</v>
      </c>
      <c r="Y41" s="92">
        <f t="shared" si="42"/>
        <v>57783.200000000004</v>
      </c>
      <c r="Z41" s="92">
        <f t="shared" si="42"/>
        <v>63384.69999999999</v>
      </c>
      <c r="AA41" s="92">
        <f t="shared" si="42"/>
        <v>70265.099999999991</v>
      </c>
      <c r="AB41" s="92">
        <f t="shared" si="42"/>
        <v>82540.5</v>
      </c>
      <c r="AC41" s="92">
        <f t="shared" si="42"/>
        <v>110053.90000000001</v>
      </c>
      <c r="AD41" s="92">
        <f>SUM(AD37:AD40)</f>
        <v>110635.79999999999</v>
      </c>
      <c r="AE41" s="92">
        <f>SUM(AE37:AE40)</f>
        <v>89671.950160762848</v>
      </c>
    </row>
    <row r="42" spans="3:31">
      <c r="C42" s="382" t="s">
        <v>384</v>
      </c>
      <c r="D42" s="382"/>
      <c r="E42" s="382"/>
      <c r="F42" s="382"/>
      <c r="G42"/>
      <c r="H42"/>
      <c r="I42"/>
      <c r="J42"/>
      <c r="K42"/>
      <c r="L42" s="682">
        <v>40.5</v>
      </c>
      <c r="M42" s="682">
        <v>163.6</v>
      </c>
      <c r="N42" s="682">
        <v>327.20000000000005</v>
      </c>
      <c r="O42" s="917">
        <v>376.20000000000005</v>
      </c>
      <c r="P42" s="665">
        <v>468</v>
      </c>
      <c r="Q42" s="919">
        <v>559.5</v>
      </c>
      <c r="R42" s="368">
        <v>696.3</v>
      </c>
      <c r="S42" s="368">
        <v>871</v>
      </c>
      <c r="T42" s="368">
        <v>1021.2</v>
      </c>
      <c r="U42" s="172">
        <v>1153.2</v>
      </c>
      <c r="V42" s="374">
        <v>1248.5806177966849</v>
      </c>
      <c r="W42" s="374">
        <v>1356.6990317734828</v>
      </c>
      <c r="X42" s="374">
        <v>1695.1362106618531</v>
      </c>
      <c r="Y42" s="374">
        <v>1653.4435840791753</v>
      </c>
      <c r="Z42" s="374">
        <v>1847.4851054697854</v>
      </c>
      <c r="AA42" s="374">
        <v>2156.0115126803589</v>
      </c>
      <c r="AB42" s="374">
        <v>2278.6291780804622</v>
      </c>
      <c r="AC42" s="374">
        <v>2629.8235631240773</v>
      </c>
      <c r="AD42" s="646">
        <v>2935.6908037416215</v>
      </c>
      <c r="AE42" s="647">
        <v>3524.2854683637402</v>
      </c>
    </row>
    <row r="43" spans="3:31">
      <c r="C43" s="661" t="s">
        <v>385</v>
      </c>
      <c r="D43" s="661"/>
      <c r="E43" s="661"/>
      <c r="F43" s="661"/>
      <c r="G43"/>
      <c r="H43"/>
      <c r="I43"/>
      <c r="J43"/>
      <c r="K43"/>
      <c r="L43" s="823">
        <v>6815.7</v>
      </c>
      <c r="M43" s="823">
        <v>9189</v>
      </c>
      <c r="N43" s="823">
        <v>11359.7</v>
      </c>
      <c r="O43" s="823">
        <v>17812.8</v>
      </c>
      <c r="P43" s="665">
        <v>20676.907894759999</v>
      </c>
      <c r="Q43" s="97">
        <v>25946.698087826888</v>
      </c>
      <c r="R43" s="97">
        <v>27230.2</v>
      </c>
      <c r="S43" s="97">
        <v>35820.31195130694</v>
      </c>
      <c r="T43" s="97">
        <v>44989.5</v>
      </c>
      <c r="U43" s="97">
        <v>47995.600000000006</v>
      </c>
      <c r="V43" s="97">
        <f t="shared" ref="V43:AB43" si="43">V41-V42</f>
        <v>41359.319382203306</v>
      </c>
      <c r="W43" s="97">
        <f t="shared" si="43"/>
        <v>45648.800968226511</v>
      </c>
      <c r="X43" s="97">
        <f t="shared" si="43"/>
        <v>55614.263789338147</v>
      </c>
      <c r="Y43" s="97">
        <f t="shared" si="43"/>
        <v>56129.756415920827</v>
      </c>
      <c r="Z43" s="97">
        <f t="shared" si="43"/>
        <v>61537.214894530203</v>
      </c>
      <c r="AA43" s="97">
        <f t="shared" si="43"/>
        <v>68109.088487319634</v>
      </c>
      <c r="AB43" s="97">
        <f t="shared" si="43"/>
        <v>80261.87082191954</v>
      </c>
      <c r="AC43" s="97">
        <f>AC41-AC42</f>
        <v>107424.07643687593</v>
      </c>
      <c r="AD43" s="97">
        <f>AD41-AD42</f>
        <v>107700.10919625836</v>
      </c>
      <c r="AE43" s="97">
        <f>AE41-AE42</f>
        <v>86147.664692399107</v>
      </c>
    </row>
    <row r="44" spans="3:31">
      <c r="C44" s="88" t="s">
        <v>386</v>
      </c>
      <c r="D44" s="88"/>
      <c r="E44" s="88"/>
      <c r="F44" s="88"/>
      <c r="G44"/>
      <c r="H44"/>
      <c r="I44"/>
      <c r="J44"/>
      <c r="K44"/>
      <c r="L44" s="823">
        <v>3396.2999999999993</v>
      </c>
      <c r="M44" s="823">
        <v>4981.6000000000004</v>
      </c>
      <c r="N44" s="823">
        <v>6179.3</v>
      </c>
      <c r="O44" s="823">
        <v>10604.7</v>
      </c>
      <c r="P44" s="97">
        <v>10563.307894759997</v>
      </c>
      <c r="Q44" s="97">
        <v>14144.098087826887</v>
      </c>
      <c r="R44" s="97">
        <v>12986.500000000002</v>
      </c>
      <c r="S44" s="97">
        <v>17105.31195130694</v>
      </c>
      <c r="T44" s="97">
        <v>25631.5</v>
      </c>
      <c r="U44" s="97">
        <v>26489.4</v>
      </c>
      <c r="V44" s="97">
        <f t="shared" ref="V44:AA44" si="44">V43-V40-V32</f>
        <v>19912.519382203307</v>
      </c>
      <c r="W44" s="97">
        <f t="shared" si="44"/>
        <v>21974.900968226513</v>
      </c>
      <c r="X44" s="97">
        <f t="shared" si="44"/>
        <v>25361.263789338147</v>
      </c>
      <c r="Y44" s="97">
        <f t="shared" si="44"/>
        <v>27731.856415920825</v>
      </c>
      <c r="Z44" s="97">
        <f t="shared" si="44"/>
        <v>29375.714894530214</v>
      </c>
      <c r="AA44" s="97">
        <f t="shared" si="44"/>
        <v>29029.688487319636</v>
      </c>
      <c r="AB44" s="97">
        <f>AB43-AB40-AB32</f>
        <v>38762.570821919537</v>
      </c>
      <c r="AC44" s="370">
        <f>AC43-AC40-AC32</f>
        <v>59415.076436875934</v>
      </c>
      <c r="AD44" s="370">
        <f t="shared" ref="AD44" si="45">AD43-AD40-AD32</f>
        <v>55597.909196258362</v>
      </c>
      <c r="AE44" s="371">
        <f>AE43-AE40-AE32</f>
        <v>19841.654467919325</v>
      </c>
    </row>
    <row r="45" spans="3:31">
      <c r="C45" s="87" t="s">
        <v>387</v>
      </c>
      <c r="D45" s="87"/>
      <c r="E45" s="87"/>
      <c r="F45" s="87"/>
      <c r="G45"/>
      <c r="H45"/>
      <c r="I45"/>
      <c r="J45"/>
      <c r="K45"/>
      <c r="L45" s="682">
        <v>6432</v>
      </c>
      <c r="M45" s="682">
        <v>8186.2</v>
      </c>
      <c r="N45" s="682">
        <v>11093.6</v>
      </c>
      <c r="O45" s="682">
        <v>16233.8</v>
      </c>
      <c r="P45" s="919">
        <v>19532.8</v>
      </c>
      <c r="Q45" s="919">
        <v>22819</v>
      </c>
      <c r="R45" s="117">
        <v>31464</v>
      </c>
      <c r="S45" s="117">
        <v>39226.800000000003</v>
      </c>
      <c r="T45" s="117">
        <v>44135.5</v>
      </c>
      <c r="U45" s="117">
        <v>49278.7</v>
      </c>
      <c r="V45" s="172">
        <v>47627</v>
      </c>
      <c r="W45" s="345">
        <v>47267</v>
      </c>
      <c r="X45" s="172">
        <v>56444.5</v>
      </c>
      <c r="Y45" s="172">
        <v>59307.7</v>
      </c>
      <c r="Z45" s="172">
        <v>65923.100000000006</v>
      </c>
      <c r="AA45" s="172">
        <v>71467.8</v>
      </c>
      <c r="AB45" s="172">
        <v>88467.7</v>
      </c>
      <c r="AC45" s="172">
        <v>111546.8</v>
      </c>
      <c r="AD45" s="642">
        <v>126991.7</v>
      </c>
      <c r="AE45" s="270">
        <f>AD45*AE43/AD43</f>
        <v>101578.71214765501</v>
      </c>
    </row>
    <row r="46" spans="3:31">
      <c r="C46" s="87" t="s">
        <v>388</v>
      </c>
      <c r="D46" s="87"/>
      <c r="E46" s="87"/>
      <c r="F46" s="87"/>
      <c r="G46"/>
      <c r="H46"/>
      <c r="I46"/>
      <c r="J46"/>
      <c r="K46"/>
      <c r="L46" s="117">
        <v>6899.3</v>
      </c>
      <c r="M46" s="117">
        <v>8773.7999999999993</v>
      </c>
      <c r="N46" s="117">
        <v>11923.8</v>
      </c>
      <c r="O46" s="117">
        <v>17156.5</v>
      </c>
      <c r="P46" s="919">
        <v>20380.2</v>
      </c>
      <c r="Q46" s="919">
        <v>23726.2</v>
      </c>
      <c r="R46" s="117">
        <v>28932.7</v>
      </c>
      <c r="S46" s="117">
        <v>36067.9</v>
      </c>
      <c r="T46" s="117">
        <v>40396.6</v>
      </c>
      <c r="U46" s="376">
        <v>44710.8</v>
      </c>
      <c r="V46" s="117">
        <v>36003</v>
      </c>
      <c r="W46" s="375">
        <v>43219.8</v>
      </c>
      <c r="X46" s="376">
        <v>51499.4</v>
      </c>
      <c r="Y46" s="376">
        <v>53938.7</v>
      </c>
      <c r="Z46" s="376">
        <v>59925</v>
      </c>
      <c r="AA46" s="377">
        <v>64584</v>
      </c>
      <c r="AB46" s="377">
        <v>80377.100000000006</v>
      </c>
      <c r="AC46" s="377">
        <v>102715.8</v>
      </c>
      <c r="AD46" s="648">
        <v>118160.2</v>
      </c>
    </row>
    <row r="47" spans="3:31">
      <c r="C47" s="87" t="s">
        <v>389</v>
      </c>
      <c r="D47" s="87"/>
      <c r="E47" s="87"/>
      <c r="F47" s="87"/>
      <c r="G47"/>
      <c r="H47"/>
      <c r="I47"/>
      <c r="J47"/>
      <c r="K47"/>
      <c r="L47" s="172">
        <v>3679.6000000000004</v>
      </c>
      <c r="M47" s="172">
        <v>4597.8999999999996</v>
      </c>
      <c r="N47" s="172">
        <v>5864</v>
      </c>
      <c r="O47" s="172">
        <v>8712.6</v>
      </c>
      <c r="P47" s="172">
        <v>10201</v>
      </c>
      <c r="Q47" s="172">
        <v>11372.2</v>
      </c>
      <c r="R47" s="172">
        <v>14198.7</v>
      </c>
      <c r="S47" s="172">
        <v>17675.5</v>
      </c>
      <c r="T47" s="172">
        <v>10871.7</v>
      </c>
      <c r="U47" s="172">
        <v>22863.4</v>
      </c>
      <c r="V47" s="172">
        <f t="shared" ref="V47:Y47" si="46">V9+V18</f>
        <v>23993.5</v>
      </c>
      <c r="W47" s="172">
        <f t="shared" si="46"/>
        <v>26200.400000000001</v>
      </c>
      <c r="X47" s="172">
        <f t="shared" si="46"/>
        <v>29319.200000000001</v>
      </c>
      <c r="Y47" s="172">
        <f t="shared" si="46"/>
        <v>32610.5</v>
      </c>
      <c r="Z47" s="172">
        <f t="shared" ref="Z47:AE47" si="47">Z9+Z18</f>
        <v>37931.9</v>
      </c>
      <c r="AA47" s="172">
        <f t="shared" si="47"/>
        <v>36748.400000000001</v>
      </c>
      <c r="AB47" s="172">
        <f t="shared" si="47"/>
        <v>42929.2</v>
      </c>
      <c r="AC47" s="172">
        <f t="shared" si="47"/>
        <v>53453.1</v>
      </c>
      <c r="AD47" s="642">
        <f t="shared" si="47"/>
        <v>64281.3</v>
      </c>
      <c r="AE47" s="642">
        <f t="shared" si="47"/>
        <v>74757.899999999994</v>
      </c>
    </row>
    <row r="48" spans="3:31">
      <c r="C48" s="32" t="s">
        <v>390</v>
      </c>
      <c r="G48"/>
      <c r="H48"/>
      <c r="I48"/>
      <c r="J48"/>
      <c r="K48"/>
      <c r="L48" s="172">
        <v>0.32561585750546534</v>
      </c>
      <c r="M48" s="172">
        <v>0.29737729894439002</v>
      </c>
      <c r="N48" s="172">
        <v>0.30580032923404665</v>
      </c>
      <c r="O48" s="172">
        <v>0.26394502829426036</v>
      </c>
      <c r="P48" s="172">
        <v>0.26917951312297045</v>
      </c>
      <c r="Q48" s="172">
        <v>0.23115465327026993</v>
      </c>
      <c r="R48" s="172">
        <v>0.27269355348106145</v>
      </c>
      <c r="S48" s="172">
        <v>0.25164214125921697</v>
      </c>
      <c r="T48" s="172">
        <v>2.9155691883661745E-2</v>
      </c>
      <c r="U48" s="172">
        <v>0.26718907566526928</v>
      </c>
      <c r="V48" s="172">
        <f t="shared" ref="V48:AC48" si="48">V9/V43</f>
        <v>0.34762902810694335</v>
      </c>
      <c r="W48" s="172">
        <f t="shared" si="48"/>
        <v>0.3541538804327567</v>
      </c>
      <c r="X48" s="172">
        <f t="shared" si="48"/>
        <v>0.33148330561078515</v>
      </c>
      <c r="Y48" s="172">
        <f t="shared" si="48"/>
        <v>0.36486351104475973</v>
      </c>
      <c r="Z48" s="172">
        <f t="shared" si="48"/>
        <v>0.40541808794498357</v>
      </c>
      <c r="AA48" s="172">
        <f t="shared" si="48"/>
        <v>0.39678698687960567</v>
      </c>
      <c r="AB48" s="172">
        <f t="shared" si="48"/>
        <v>0.41438730071211871</v>
      </c>
      <c r="AC48" s="172">
        <f t="shared" si="48"/>
        <v>0.3685039826547773</v>
      </c>
      <c r="AD48" s="172">
        <f>AD9/AD43</f>
        <v>0.44141552273980067</v>
      </c>
      <c r="AE48" s="172">
        <f>AE9/AE43</f>
        <v>0.64613475244803942</v>
      </c>
    </row>
    <row r="49" spans="3:31">
      <c r="C49" s="32" t="s">
        <v>391</v>
      </c>
      <c r="G49"/>
      <c r="H49"/>
      <c r="I49"/>
      <c r="J49"/>
      <c r="K49"/>
      <c r="L49" s="172">
        <v>0.21425532227063984</v>
      </c>
      <c r="M49" s="172">
        <v>0.20299270867341385</v>
      </c>
      <c r="N49" s="172">
        <v>0.21041048619241703</v>
      </c>
      <c r="O49" s="172">
        <v>0.22517515494475884</v>
      </c>
      <c r="P49" s="172">
        <v>0.22417278364791987</v>
      </c>
      <c r="Q49" s="172">
        <v>0.20713618287027791</v>
      </c>
      <c r="R49" s="172">
        <v>0.24873853295238374</v>
      </c>
      <c r="S49" s="172">
        <v>0.24180693936374201</v>
      </c>
      <c r="T49" s="172">
        <v>0.21249402638393403</v>
      </c>
      <c r="U49" s="172">
        <v>0.20917542441390458</v>
      </c>
      <c r="V49" s="172">
        <f t="shared" ref="V49:AC49" si="49">V18/V43</f>
        <v>0.23249415473064158</v>
      </c>
      <c r="W49" s="172">
        <f t="shared" si="49"/>
        <v>0.21980204928019639</v>
      </c>
      <c r="X49" s="172">
        <f t="shared" si="49"/>
        <v>0.19570518889232477</v>
      </c>
      <c r="Y49" s="172">
        <f t="shared" si="49"/>
        <v>0.21612065995994914</v>
      </c>
      <c r="Z49" s="172">
        <f t="shared" si="49"/>
        <v>0.21098777418270942</v>
      </c>
      <c r="AA49" s="172">
        <f t="shared" si="49"/>
        <v>0.14276508783127106</v>
      </c>
      <c r="AB49" s="172">
        <f t="shared" si="49"/>
        <v>0.12047688274616199</v>
      </c>
      <c r="AC49" s="172">
        <f t="shared" si="49"/>
        <v>0.12908558732779432</v>
      </c>
      <c r="AD49" s="172">
        <f>AD18/AD43</f>
        <v>0.15543902531699194</v>
      </c>
      <c r="AE49" s="172">
        <f>AE18/AE43</f>
        <v>0.22165313555719363</v>
      </c>
    </row>
    <row r="50" spans="3:31">
      <c r="C50" s="87" t="s">
        <v>328</v>
      </c>
      <c r="D50" s="87"/>
      <c r="E50" s="87"/>
      <c r="F50" s="87"/>
      <c r="G50"/>
      <c r="H50"/>
      <c r="I50"/>
      <c r="J50"/>
      <c r="K50"/>
      <c r="L50" s="822">
        <v>0.53987117977610521</v>
      </c>
      <c r="M50" s="822">
        <v>0.50037000761780381</v>
      </c>
      <c r="N50" s="822">
        <v>0.51621081542646374</v>
      </c>
      <c r="O50" s="822">
        <v>0.48912018323901918</v>
      </c>
      <c r="P50" s="822">
        <v>0.49335229677089032</v>
      </c>
      <c r="Q50" s="380">
        <v>0.43829083614054787</v>
      </c>
      <c r="R50" s="380">
        <v>0.52143208643344519</v>
      </c>
      <c r="S50" s="380">
        <v>0.493449080622959</v>
      </c>
      <c r="T50" s="380">
        <v>0.24164971826759579</v>
      </c>
      <c r="U50" s="380">
        <v>0.47636450007917391</v>
      </c>
      <c r="V50" s="380">
        <f t="shared" ref="V50:AC50" si="50">V47/V43</f>
        <v>0.58012318283758491</v>
      </c>
      <c r="W50" s="380">
        <f t="shared" si="50"/>
        <v>0.57395592971295306</v>
      </c>
      <c r="X50" s="380">
        <f t="shared" si="50"/>
        <v>0.52718849450311001</v>
      </c>
      <c r="Y50" s="380">
        <f t="shared" si="50"/>
        <v>0.58098417100470889</v>
      </c>
      <c r="Z50" s="380">
        <f t="shared" si="50"/>
        <v>0.61640586212769299</v>
      </c>
      <c r="AA50" s="380">
        <f t="shared" si="50"/>
        <v>0.53955207471087674</v>
      </c>
      <c r="AB50" s="380">
        <f>AB47/AB43</f>
        <v>0.53486418345828068</v>
      </c>
      <c r="AC50" s="380">
        <f t="shared" si="50"/>
        <v>0.49758956998257164</v>
      </c>
      <c r="AD50" s="649">
        <f>AD47/AD43</f>
        <v>0.59685454805679272</v>
      </c>
      <c r="AE50" s="649">
        <f>AE47/AE43</f>
        <v>0.86778788800523288</v>
      </c>
    </row>
    <row r="51" spans="3:31">
      <c r="C51" s="87" t="s">
        <v>392</v>
      </c>
      <c r="D51" s="87"/>
      <c r="E51" s="87"/>
      <c r="F51" s="87"/>
      <c r="G51"/>
      <c r="H51"/>
      <c r="I51"/>
      <c r="J51"/>
      <c r="K51"/>
      <c r="L51" s="353">
        <v>0.88358467006051311</v>
      </c>
      <c r="M51" s="353">
        <v>0.8146382948565758</v>
      </c>
      <c r="N51" s="353">
        <v>0.82786271935397338</v>
      </c>
      <c r="O51" s="353">
        <v>0.74508060033351864</v>
      </c>
      <c r="P51" s="353">
        <v>0.79661034016262955</v>
      </c>
      <c r="Q51" s="379">
        <v>0.69294100630796451</v>
      </c>
      <c r="R51" s="379">
        <v>0.89382636777397972</v>
      </c>
      <c r="S51" s="379">
        <v>0.84393647441791031</v>
      </c>
      <c r="T51" s="379">
        <v>0.36050575657894735</v>
      </c>
      <c r="U51" s="379">
        <v>0.71697048189181822</v>
      </c>
      <c r="V51" s="379">
        <f t="shared" ref="V51:AC51" si="51">V47/(V43-V32)</f>
        <v>1.0010798159543501</v>
      </c>
      <c r="W51" s="379">
        <f t="shared" si="51"/>
        <v>0.97788954693728969</v>
      </c>
      <c r="X51" s="379">
        <f t="shared" si="51"/>
        <v>0.95105859732909281</v>
      </c>
      <c r="Y51" s="379">
        <f t="shared" si="51"/>
        <v>0.97414983487892881</v>
      </c>
      <c r="Z51" s="379">
        <f t="shared" si="51"/>
        <v>1.0592864964415347</v>
      </c>
      <c r="AA51" s="379">
        <f t="shared" si="51"/>
        <v>1.0119905171900794</v>
      </c>
      <c r="AB51" s="379">
        <f t="shared" si="51"/>
        <v>0.90007435260659097</v>
      </c>
      <c r="AC51" s="379">
        <f t="shared" si="51"/>
        <v>0.7684296357410757</v>
      </c>
      <c r="AD51" s="650">
        <f>AD47/(AD43-AD32)</f>
        <v>0.97326881922467845</v>
      </c>
      <c r="AE51" s="650">
        <f>AE47/(AE43-AE32)</f>
        <v>2.3466055425699395</v>
      </c>
    </row>
    <row r="52" spans="3:31">
      <c r="C52" s="87" t="s">
        <v>393</v>
      </c>
      <c r="D52" s="87"/>
      <c r="E52" s="87"/>
      <c r="F52" s="87"/>
      <c r="G52"/>
      <c r="H52"/>
      <c r="I52"/>
      <c r="J52"/>
      <c r="K52"/>
      <c r="L52" s="353">
        <v>1.0834143038011959</v>
      </c>
      <c r="M52" s="353">
        <v>0.92297655371768095</v>
      </c>
      <c r="N52" s="353">
        <v>0.94897480297121029</v>
      </c>
      <c r="O52" s="353">
        <v>0.8215791111488302</v>
      </c>
      <c r="P52" s="353">
        <v>0.96570128425966617</v>
      </c>
      <c r="Q52" s="379">
        <v>0.80402440151256305</v>
      </c>
      <c r="R52" s="379">
        <v>1.0933430870519385</v>
      </c>
      <c r="S52" s="379">
        <v>1.033333975452549</v>
      </c>
      <c r="T52" s="379">
        <v>0.42415387316388042</v>
      </c>
      <c r="U52" s="379">
        <v>0.8631150573436922</v>
      </c>
      <c r="V52" s="379">
        <f t="shared" ref="V52:AB52" si="52">V47/V44</f>
        <v>1.2049454687006629</v>
      </c>
      <c r="W52" s="379">
        <f t="shared" si="52"/>
        <v>1.1922875119156684</v>
      </c>
      <c r="X52" s="379">
        <f t="shared" si="52"/>
        <v>1.1560622626513497</v>
      </c>
      <c r="Y52" s="379">
        <f t="shared" si="52"/>
        <v>1.1759219978247959</v>
      </c>
      <c r="Z52" s="379">
        <f t="shared" si="52"/>
        <v>1.2912672980449902</v>
      </c>
      <c r="AA52" s="379">
        <f t="shared" si="52"/>
        <v>1.2658902632059572</v>
      </c>
      <c r="AB52" s="379">
        <f t="shared" si="52"/>
        <v>1.1074910432856095</v>
      </c>
      <c r="AC52" s="379">
        <f>AC47/AC44</f>
        <v>0.89965549496161823</v>
      </c>
      <c r="AD52" s="650">
        <f>AD47/AD44</f>
        <v>1.1561819667191013</v>
      </c>
      <c r="AE52" s="650">
        <f>AE47/AE44</f>
        <v>3.7677251219585122</v>
      </c>
    </row>
    <row r="53" spans="3:31">
      <c r="C53" s="87" t="s">
        <v>394</v>
      </c>
      <c r="D53" s="87"/>
      <c r="E53" s="87"/>
      <c r="F53" s="87"/>
      <c r="G53"/>
      <c r="H53"/>
      <c r="I53"/>
      <c r="J53"/>
      <c r="K53"/>
      <c r="L53" s="682">
        <v>6448.3</v>
      </c>
      <c r="M53" s="682">
        <v>1371.9</v>
      </c>
      <c r="N53" s="682">
        <v>777.5</v>
      </c>
      <c r="O53" s="117">
        <v>2684.5</v>
      </c>
      <c r="P53" s="117">
        <v>139.69999999999999</v>
      </c>
      <c r="Q53" s="923">
        <v>1527.1</v>
      </c>
      <c r="R53" s="923">
        <v>-2843.5</v>
      </c>
      <c r="S53" s="923">
        <v>-2438.6</v>
      </c>
      <c r="T53" s="923">
        <v>1900.5</v>
      </c>
      <c r="U53" s="923">
        <v>-2058</v>
      </c>
      <c r="V53">
        <v>21178.799999999999</v>
      </c>
      <c r="W53">
        <v>17673.5</v>
      </c>
      <c r="X53">
        <v>19551.099999999999</v>
      </c>
      <c r="Y53">
        <v>24508.1</v>
      </c>
      <c r="Z53">
        <v>28757.5</v>
      </c>
      <c r="AA53">
        <v>30106.7</v>
      </c>
      <c r="AB53">
        <v>40454.800000000003</v>
      </c>
      <c r="AC53" s="93">
        <v>59136</v>
      </c>
      <c r="AD53" s="594">
        <v>56178.8</v>
      </c>
      <c r="AE53" s="642">
        <f>AD53</f>
        <v>56178.8</v>
      </c>
    </row>
    <row r="54" spans="3:31">
      <c r="C54" s="87" t="s">
        <v>395</v>
      </c>
      <c r="D54" s="87"/>
      <c r="E54" s="87"/>
      <c r="F54" s="87"/>
      <c r="G54"/>
      <c r="H54"/>
      <c r="I54"/>
      <c r="J54"/>
      <c r="K54"/>
      <c r="L54" s="682">
        <v>68.3</v>
      </c>
      <c r="M54" s="682">
        <v>407.6</v>
      </c>
      <c r="N54" s="682">
        <v>460.9</v>
      </c>
      <c r="O54" s="117">
        <v>712</v>
      </c>
      <c r="P54" s="117">
        <v>1676</v>
      </c>
      <c r="Q54" s="923">
        <v>1785.2</v>
      </c>
      <c r="R54" s="923">
        <v>2923.4</v>
      </c>
      <c r="S54" s="923">
        <v>1924.7</v>
      </c>
      <c r="T54" s="923">
        <v>2852.7</v>
      </c>
      <c r="U54" s="923">
        <v>3618.3</v>
      </c>
      <c r="V54">
        <v>19736.900000000001</v>
      </c>
      <c r="W54">
        <v>21954</v>
      </c>
      <c r="X54">
        <v>20133</v>
      </c>
      <c r="Y54">
        <v>25146.799999999999</v>
      </c>
      <c r="Z54">
        <v>24926.6</v>
      </c>
      <c r="AA54">
        <v>23150.400000000001</v>
      </c>
      <c r="AB54">
        <v>32314.3</v>
      </c>
      <c r="AC54">
        <v>37469.9</v>
      </c>
      <c r="AD54" s="604">
        <v>37577.9</v>
      </c>
    </row>
    <row r="55" spans="3:31">
      <c r="C55" s="87" t="s">
        <v>396</v>
      </c>
      <c r="D55" s="87"/>
      <c r="E55" s="87"/>
      <c r="F55" s="87"/>
      <c r="G55"/>
      <c r="H55"/>
      <c r="I55"/>
      <c r="J55"/>
      <c r="K55"/>
      <c r="L55" s="682">
        <v>581.6</v>
      </c>
      <c r="M55" s="682">
        <v>966</v>
      </c>
      <c r="N55" s="682">
        <v>318.5</v>
      </c>
      <c r="O55" s="117">
        <v>1975.8</v>
      </c>
      <c r="P55" s="117">
        <v>1974.4</v>
      </c>
      <c r="Q55" s="923">
        <v>-254.6</v>
      </c>
      <c r="R55" s="923">
        <v>-5763</v>
      </c>
      <c r="S55" s="923">
        <v>-4358.1000000000004</v>
      </c>
      <c r="T55" s="923">
        <v>-947.7</v>
      </c>
      <c r="U55" s="161">
        <v>-5671.6</v>
      </c>
      <c r="V55">
        <v>-650.79999999999995</v>
      </c>
      <c r="W55">
        <v>-3375</v>
      </c>
      <c r="X55">
        <v>1527.6</v>
      </c>
      <c r="Y55">
        <v>-293.7</v>
      </c>
      <c r="Z55">
        <v>2431</v>
      </c>
      <c r="AA55">
        <v>4128</v>
      </c>
      <c r="AB55">
        <v>8631.1</v>
      </c>
      <c r="AC55">
        <v>20574.2</v>
      </c>
      <c r="AD55" s="604">
        <v>18009.3</v>
      </c>
    </row>
    <row r="56" spans="3:31">
      <c r="C56" s="87"/>
      <c r="D56" s="87"/>
      <c r="E56" s="87"/>
      <c r="F56" s="87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 s="682"/>
    </row>
    <row r="57" spans="3:31">
      <c r="C57" s="88" t="s">
        <v>397</v>
      </c>
      <c r="D57" s="88"/>
      <c r="E57" s="88"/>
      <c r="F57" s="88"/>
      <c r="G57"/>
      <c r="H57"/>
      <c r="I57"/>
      <c r="J57"/>
      <c r="K57"/>
      <c r="L57" s="841"/>
      <c r="M57" s="270">
        <v>22.921074871253126</v>
      </c>
      <c r="N57" s="270">
        <v>2.1228098813799221</v>
      </c>
      <c r="O57" s="270">
        <v>36.406957930227009</v>
      </c>
      <c r="P57" s="270">
        <v>9.6789314131411146</v>
      </c>
      <c r="Q57" s="270">
        <v>18.986355212726821</v>
      </c>
      <c r="R57" s="270">
        <v>-7.55331311202454</v>
      </c>
      <c r="S57" s="270">
        <v>25.746268302498478</v>
      </c>
      <c r="T57" s="270">
        <v>21.897733657812296</v>
      </c>
      <c r="U57" s="270">
        <v>-0.71821869547336803</v>
      </c>
      <c r="V57" s="94">
        <v>-18.926852081850626</v>
      </c>
      <c r="W57" s="94">
        <f>W43/V43*100-Monetary!W15</f>
        <v>4.2712576756496361</v>
      </c>
      <c r="X57" s="94">
        <f>X43/W43*100-Monetary!X15</f>
        <v>15.089621968027203</v>
      </c>
      <c r="Y57" s="94">
        <f>Y43/X43*100-Monetary!Y15</f>
        <v>-4.4519796389683677</v>
      </c>
      <c r="Z57" s="94">
        <f>Z43/Y43*100-Monetary!Z15</f>
        <v>1.6338534565163059</v>
      </c>
      <c r="AA57" s="94">
        <f>AA43/Z43*100-Monetary!AA15</f>
        <v>1.27951093342962</v>
      </c>
      <c r="AB57" s="94">
        <f>AB43/AA43*100-Monetary!AB15</f>
        <v>9.8431140461709106</v>
      </c>
      <c r="AC57" s="94">
        <f>AC43/AB43*100-Monetary!AC15</f>
        <v>29.64197918239698</v>
      </c>
      <c r="AD57" s="94">
        <f>AD43/AC43*100-Monetary!AD15</f>
        <v>-3.5430438608009496</v>
      </c>
      <c r="AE57" s="94">
        <f>AE43/AD43*100-Monetary!AE15</f>
        <v>-23.611534495833183</v>
      </c>
    </row>
    <row r="58" spans="3:31">
      <c r="C58" s="381" t="s">
        <v>384</v>
      </c>
      <c r="D58" s="381"/>
      <c r="E58" s="381"/>
      <c r="F58" s="381"/>
      <c r="G58"/>
      <c r="H58"/>
      <c r="I58"/>
      <c r="J58"/>
      <c r="K58"/>
      <c r="L58" s="378"/>
      <c r="M58" s="270"/>
      <c r="N58" s="270"/>
      <c r="O58" s="270"/>
      <c r="P58" s="270"/>
      <c r="Q58" s="270"/>
      <c r="R58" s="270"/>
      <c r="S58" s="270"/>
      <c r="T58" s="270"/>
      <c r="U58" s="270"/>
      <c r="V58" s="90"/>
      <c r="W58" s="645">
        <f t="shared" ref="W58:AC58" si="53">(W37-W36)/(V37-V36)*V42</f>
        <v>1356.6990317734828</v>
      </c>
      <c r="X58" s="645">
        <f t="shared" si="53"/>
        <v>1695.1362106618531</v>
      </c>
      <c r="Y58" s="645">
        <f t="shared" si="53"/>
        <v>1653.4435840791753</v>
      </c>
      <c r="Z58" s="645">
        <f t="shared" si="53"/>
        <v>1847.4851054697854</v>
      </c>
      <c r="AA58" s="645">
        <f t="shared" si="53"/>
        <v>2156.0115126803589</v>
      </c>
      <c r="AB58" s="645">
        <f t="shared" si="53"/>
        <v>2278.6291780804622</v>
      </c>
      <c r="AC58" s="645">
        <f t="shared" si="53"/>
        <v>2629.8235631240773</v>
      </c>
      <c r="AD58" s="645">
        <f t="shared" ref="AD58:AE58" si="54">(AD37-AD36)/(AC37-AC36)*AC42</f>
        <v>2935.6908037416215</v>
      </c>
      <c r="AE58" s="90">
        <f t="shared" si="54"/>
        <v>3524.2854683637402</v>
      </c>
    </row>
    <row r="59" spans="3:31">
      <c r="C59" s="660" t="s">
        <v>385</v>
      </c>
      <c r="D59" s="660"/>
      <c r="E59" s="660"/>
      <c r="F59" s="660"/>
      <c r="G59"/>
      <c r="H59"/>
      <c r="I59"/>
      <c r="J59"/>
      <c r="K59"/>
      <c r="L59" s="378"/>
      <c r="M59" s="378"/>
      <c r="N59" s="378"/>
      <c r="O59" s="353">
        <v>49.077609444500183</v>
      </c>
      <c r="P59" s="353">
        <v>-26.535963138005542</v>
      </c>
      <c r="Q59" s="353">
        <v>22.832987410894077</v>
      </c>
      <c r="R59" s="353">
        <v>-8.2874023269586985</v>
      </c>
      <c r="S59" s="353">
        <v>32.259140573439922</v>
      </c>
      <c r="T59" s="353">
        <v>52.756442499850593</v>
      </c>
      <c r="U59" s="353">
        <v>-8.8228729047315966</v>
      </c>
      <c r="V59" s="662">
        <f t="shared" ref="V59:X59" si="55">V41-V42</f>
        <v>41359.319382203306</v>
      </c>
      <c r="W59" s="662">
        <f t="shared" si="55"/>
        <v>45648.800968226511</v>
      </c>
      <c r="X59" s="662">
        <f t="shared" si="55"/>
        <v>55614.263789338147</v>
      </c>
      <c r="Y59" s="662">
        <f>Y41-Y42</f>
        <v>56129.756415920827</v>
      </c>
      <c r="Z59" s="662">
        <f t="shared" ref="Z59:AD59" si="56">Z41-Z42</f>
        <v>61537.214894530203</v>
      </c>
      <c r="AA59" s="662">
        <f t="shared" si="56"/>
        <v>68109.088487319634</v>
      </c>
      <c r="AB59" s="662">
        <f t="shared" si="56"/>
        <v>80261.87082191954</v>
      </c>
      <c r="AC59" s="662">
        <f t="shared" si="56"/>
        <v>107424.07643687593</v>
      </c>
      <c r="AD59" s="662">
        <f t="shared" si="56"/>
        <v>107700.10919625836</v>
      </c>
      <c r="AE59" s="662">
        <f>AE41-AE42</f>
        <v>86147.664692399107</v>
      </c>
    </row>
    <row r="60" spans="3:31">
      <c r="C60" s="659"/>
      <c r="D60" s="659"/>
      <c r="E60" s="659"/>
      <c r="F60" s="659"/>
      <c r="G60"/>
      <c r="H60"/>
      <c r="I60"/>
      <c r="J60"/>
      <c r="K60"/>
      <c r="L60" s="378"/>
      <c r="M60" s="378"/>
      <c r="N60" s="378"/>
      <c r="O60" s="378"/>
      <c r="P60" s="378"/>
      <c r="Q60"/>
      <c r="R60"/>
      <c r="S60"/>
      <c r="T60"/>
      <c r="U60"/>
    </row>
  </sheetData>
  <mergeCells count="4">
    <mergeCell ref="H34:H35"/>
    <mergeCell ref="I34:I35"/>
    <mergeCell ref="J34:J35"/>
    <mergeCell ref="K34:K35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5FEB4-B206-4E06-AE64-0123AA290485}">
  <dimension ref="A1:AE152"/>
  <sheetViews>
    <sheetView workbookViewId="0">
      <pane xSplit="3" ySplit="1" topLeftCell="F2" activePane="bottomRight" state="frozen"/>
      <selection pane="topRight" activeCell="D1" sqref="D1"/>
      <selection pane="bottomLeft" activeCell="A2" sqref="A2"/>
      <selection pane="bottomRight" activeCell="AF1" sqref="AF1:AP1048576"/>
    </sheetView>
  </sheetViews>
  <sheetFormatPr defaultRowHeight="15"/>
  <cols>
    <col min="1" max="1" width="13" style="47" customWidth="1"/>
    <col min="2" max="2" width="30.7109375" style="47" customWidth="1"/>
    <col min="3" max="3" width="16.7109375" style="77" customWidth="1"/>
    <col min="4" max="20" width="10" style="77" customWidth="1"/>
    <col min="21" max="21" width="9.28515625" style="77" customWidth="1"/>
  </cols>
  <sheetData>
    <row r="1" spans="1:31">
      <c r="B1" s="48"/>
      <c r="C1" s="49"/>
      <c r="D1" s="5">
        <v>1997</v>
      </c>
      <c r="E1" s="5">
        <v>1998</v>
      </c>
      <c r="F1" s="5">
        <v>1999</v>
      </c>
      <c r="G1" s="5">
        <v>2000</v>
      </c>
      <c r="H1" s="5">
        <v>2001</v>
      </c>
      <c r="I1" s="5">
        <v>2002</v>
      </c>
      <c r="J1" s="5">
        <v>2003</v>
      </c>
      <c r="K1" s="5">
        <v>2004</v>
      </c>
      <c r="L1" s="5">
        <v>2005</v>
      </c>
      <c r="M1" s="5">
        <v>2006</v>
      </c>
      <c r="N1" s="5">
        <v>2007</v>
      </c>
      <c r="O1" s="5">
        <v>2008</v>
      </c>
      <c r="P1" s="5">
        <v>2009</v>
      </c>
      <c r="Q1" s="5">
        <v>2010</v>
      </c>
      <c r="R1" s="5">
        <v>2011</v>
      </c>
      <c r="S1" s="5">
        <v>2012</v>
      </c>
      <c r="T1" s="5">
        <v>2013</v>
      </c>
      <c r="U1" s="5">
        <v>2014</v>
      </c>
      <c r="V1" s="5">
        <v>2015</v>
      </c>
      <c r="W1" s="5">
        <v>2016</v>
      </c>
      <c r="X1" s="5">
        <v>2017</v>
      </c>
      <c r="Y1" s="5">
        <v>2018</v>
      </c>
      <c r="Z1" s="5">
        <v>2019</v>
      </c>
      <c r="AA1" s="5">
        <v>2020</v>
      </c>
      <c r="AB1" s="5">
        <v>2021</v>
      </c>
      <c r="AC1" s="5">
        <v>2022</v>
      </c>
      <c r="AD1" s="5">
        <v>2023</v>
      </c>
      <c r="AE1" s="5">
        <v>2024</v>
      </c>
    </row>
    <row r="2" spans="1:31">
      <c r="A2" s="50" t="s">
        <v>0</v>
      </c>
      <c r="B2" s="51" t="s">
        <v>223</v>
      </c>
      <c r="C2" s="52" t="s">
        <v>224</v>
      </c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384"/>
      <c r="W2" s="384"/>
      <c r="X2" s="384"/>
      <c r="Y2" s="384"/>
      <c r="Z2" s="384"/>
      <c r="AA2" s="384"/>
      <c r="AB2" s="384"/>
      <c r="AC2" s="384"/>
      <c r="AD2" s="384"/>
      <c r="AE2" s="384"/>
    </row>
    <row r="3" spans="1:31" ht="15.75">
      <c r="A3" s="53" t="s">
        <v>225</v>
      </c>
      <c r="B3" s="53" t="s">
        <v>226</v>
      </c>
      <c r="C3" s="54" t="s">
        <v>227</v>
      </c>
      <c r="D3" s="54"/>
      <c r="E3" s="54"/>
      <c r="F3" s="54"/>
      <c r="G3" s="111">
        <v>4.8209999999999997</v>
      </c>
      <c r="H3" s="111">
        <v>2.5150000000000001</v>
      </c>
      <c r="I3" s="111">
        <v>2.96</v>
      </c>
      <c r="J3" s="111">
        <v>4.0549999999999997</v>
      </c>
      <c r="K3" s="111">
        <v>5.1849999999999996</v>
      </c>
      <c r="L3" s="111">
        <v>4.8719999999999999</v>
      </c>
      <c r="M3" s="111">
        <v>5.5439999999999996</v>
      </c>
      <c r="N3" s="111">
        <v>5.702</v>
      </c>
      <c r="O3" s="111">
        <v>3.0640000000000001</v>
      </c>
      <c r="P3" s="111">
        <v>2.8000000000000001E-2</v>
      </c>
      <c r="Q3" s="931">
        <v>5.431</v>
      </c>
      <c r="R3" s="931">
        <v>4.2249999999999996</v>
      </c>
      <c r="S3" s="931">
        <v>3.4260000000000002</v>
      </c>
      <c r="T3" s="931">
        <v>3.3079999999999998</v>
      </c>
      <c r="U3" s="931">
        <v>3.4279999999999999</v>
      </c>
      <c r="V3" s="384">
        <v>3.2</v>
      </c>
      <c r="W3" s="384">
        <v>3.2</v>
      </c>
      <c r="X3" s="384">
        <v>3.8</v>
      </c>
      <c r="Y3" s="384">
        <v>3.5</v>
      </c>
      <c r="Z3" s="384">
        <v>2.8</v>
      </c>
      <c r="AA3" s="384">
        <v>-3.2</v>
      </c>
      <c r="AB3" s="384">
        <v>6.1</v>
      </c>
      <c r="AC3" s="384">
        <v>3.4</v>
      </c>
      <c r="AD3" s="384">
        <v>3.3</v>
      </c>
      <c r="AE3" s="384">
        <v>3.2</v>
      </c>
    </row>
    <row r="4" spans="1:31" ht="15.75">
      <c r="A4" s="53" t="s">
        <v>228</v>
      </c>
      <c r="B4" s="53" t="s">
        <v>229</v>
      </c>
      <c r="C4" s="54" t="s">
        <v>230</v>
      </c>
      <c r="D4" s="54"/>
      <c r="E4" s="54"/>
      <c r="F4" s="54"/>
      <c r="G4" s="111">
        <v>5.8339999999999996</v>
      </c>
      <c r="H4" s="111">
        <v>3.8029999999999999</v>
      </c>
      <c r="I4" s="111">
        <v>4.5270000000000001</v>
      </c>
      <c r="J4" s="111">
        <v>6.4210000000000003</v>
      </c>
      <c r="K4" s="111">
        <v>7.5039999999999996</v>
      </c>
      <c r="L4" s="111">
        <v>7.2530000000000001</v>
      </c>
      <c r="M4" s="111">
        <v>8.1660000000000004</v>
      </c>
      <c r="N4" s="111">
        <v>8.6820000000000004</v>
      </c>
      <c r="O4" s="111">
        <v>5.8250000000000002</v>
      </c>
      <c r="P4" s="111">
        <v>3.13</v>
      </c>
      <c r="Q4" s="111">
        <v>7.4509999999999996</v>
      </c>
      <c r="R4" s="111">
        <v>6.3230000000000004</v>
      </c>
      <c r="S4" s="111">
        <v>5.2110000000000003</v>
      </c>
      <c r="T4" s="111">
        <v>4.976</v>
      </c>
      <c r="U4" s="111">
        <v>4.6260000000000003</v>
      </c>
      <c r="V4" s="111">
        <v>3.9649999999999999</v>
      </c>
      <c r="W4" s="111">
        <v>4.4000000000000004</v>
      </c>
      <c r="X4" s="111">
        <v>4.7</v>
      </c>
      <c r="Y4" s="111">
        <v>4.5</v>
      </c>
      <c r="Z4" s="111">
        <v>1.6</v>
      </c>
      <c r="AA4" s="111">
        <v>-4.5</v>
      </c>
      <c r="AB4" s="111">
        <v>6.6</v>
      </c>
      <c r="AC4" s="111">
        <v>3.7</v>
      </c>
      <c r="AD4" s="111">
        <v>4.4000000000000004</v>
      </c>
      <c r="AE4" s="111">
        <v>4.2</v>
      </c>
    </row>
    <row r="5" spans="1:31" ht="15.75">
      <c r="A5" s="53" t="s">
        <v>231</v>
      </c>
      <c r="B5" s="53" t="s">
        <v>232</v>
      </c>
      <c r="C5" s="54" t="s">
        <v>233</v>
      </c>
      <c r="D5" s="54"/>
      <c r="E5" s="54"/>
      <c r="F5" s="54"/>
      <c r="G5" s="111">
        <v>12.092000000000001</v>
      </c>
      <c r="H5" s="111">
        <v>0.216</v>
      </c>
      <c r="I5" s="111">
        <v>3.7709999999999999</v>
      </c>
      <c r="J5" s="111">
        <v>5.4349999999999996</v>
      </c>
      <c r="K5" s="111">
        <v>11.016</v>
      </c>
      <c r="L5" s="111">
        <v>7.6879999999999997</v>
      </c>
      <c r="M5" s="111">
        <v>9.2420000000000009</v>
      </c>
      <c r="N5" s="111">
        <v>7.915</v>
      </c>
      <c r="O5" s="111">
        <v>2.903</v>
      </c>
      <c r="P5" s="111">
        <v>-10.327</v>
      </c>
      <c r="Q5" s="111">
        <v>12.516999999999999</v>
      </c>
      <c r="R5" s="111">
        <v>6.6660000000000004</v>
      </c>
      <c r="S5" s="111">
        <v>2.911</v>
      </c>
      <c r="T5" s="111">
        <v>3.331</v>
      </c>
      <c r="U5" s="111">
        <v>3.9</v>
      </c>
      <c r="V5" s="111">
        <v>2.7</v>
      </c>
      <c r="W5" s="111">
        <v>2.5</v>
      </c>
      <c r="X5" s="111">
        <v>5.7</v>
      </c>
      <c r="Y5" s="111">
        <v>3.6</v>
      </c>
      <c r="Z5" s="111">
        <v>1</v>
      </c>
      <c r="AA5" s="111">
        <v>-8.1999999999999993</v>
      </c>
      <c r="AB5" s="111">
        <v>10.1</v>
      </c>
      <c r="AC5" s="111">
        <v>4.0999999999999996</v>
      </c>
      <c r="AD5" s="111">
        <v>0.8</v>
      </c>
      <c r="AE5" s="111">
        <v>3.1</v>
      </c>
    </row>
    <row r="6" spans="1:31" ht="15.75">
      <c r="A6" s="53" t="s">
        <v>234</v>
      </c>
      <c r="B6" s="47" t="s">
        <v>235</v>
      </c>
      <c r="C6" s="54" t="s">
        <v>236</v>
      </c>
      <c r="D6" s="54"/>
      <c r="E6" s="54"/>
      <c r="F6" s="54"/>
      <c r="G6" s="111">
        <v>28.234000000000002</v>
      </c>
      <c r="H6" s="111">
        <v>24.331</v>
      </c>
      <c r="I6" s="111">
        <v>24.95</v>
      </c>
      <c r="J6" s="111">
        <v>28.891999999999999</v>
      </c>
      <c r="K6" s="111">
        <v>37.76</v>
      </c>
      <c r="L6" s="111">
        <v>53.353999999999999</v>
      </c>
      <c r="M6" s="111">
        <v>64.272999999999996</v>
      </c>
      <c r="N6" s="111">
        <v>71.128</v>
      </c>
      <c r="O6" s="111">
        <v>97.034999999999997</v>
      </c>
      <c r="P6" s="111">
        <v>61.777000000000001</v>
      </c>
      <c r="Q6" s="111">
        <v>79.03</v>
      </c>
      <c r="R6" s="111">
        <v>104.008</v>
      </c>
      <c r="S6" s="111">
        <v>105.00700000000001</v>
      </c>
      <c r="T6" s="111">
        <v>104.069</v>
      </c>
      <c r="U6" s="111">
        <v>97.387119094673437</v>
      </c>
      <c r="V6" s="112">
        <v>50.793041982976774</v>
      </c>
      <c r="W6" s="112">
        <v>42.7</v>
      </c>
      <c r="X6" s="112">
        <v>54.4</v>
      </c>
      <c r="Y6" s="112">
        <v>71.069999999999993</v>
      </c>
      <c r="Z6" s="112">
        <v>64.03</v>
      </c>
      <c r="AA6" s="112">
        <v>42.8</v>
      </c>
      <c r="AB6" s="112">
        <v>71</v>
      </c>
      <c r="AC6" s="112">
        <v>96.7</v>
      </c>
      <c r="AD6" s="112">
        <v>80.599999999999994</v>
      </c>
      <c r="AE6" s="112">
        <v>81.290000000000006</v>
      </c>
    </row>
    <row r="7" spans="1:31" ht="15.75">
      <c r="A7" s="53" t="s">
        <v>237</v>
      </c>
      <c r="B7" s="53" t="s">
        <v>238</v>
      </c>
      <c r="C7" s="54" t="s">
        <v>239</v>
      </c>
      <c r="D7" s="54"/>
      <c r="E7" s="54"/>
      <c r="F7" s="54"/>
      <c r="G7" s="111">
        <v>1551.498</v>
      </c>
      <c r="H7" s="111">
        <v>1446.7470000000001</v>
      </c>
      <c r="I7" s="111">
        <v>1351.057</v>
      </c>
      <c r="J7" s="111">
        <v>1432.836</v>
      </c>
      <c r="K7" s="111">
        <v>1718.508</v>
      </c>
      <c r="L7" s="111">
        <v>1900.5139999999999</v>
      </c>
      <c r="M7" s="111">
        <v>2573.0630000000001</v>
      </c>
      <c r="N7" s="111">
        <v>2639.8609999999999</v>
      </c>
      <c r="O7" s="111">
        <v>2577.9160000000002</v>
      </c>
      <c r="P7" s="111">
        <v>1669.175</v>
      </c>
      <c r="Q7" s="111">
        <v>2173.0050000000001</v>
      </c>
      <c r="R7" s="111">
        <v>2400.643</v>
      </c>
      <c r="S7" s="111">
        <v>2022.7950000000001</v>
      </c>
      <c r="T7" s="111">
        <v>1846.6769999999999</v>
      </c>
      <c r="U7" s="111">
        <v>1867.4210609589686</v>
      </c>
      <c r="V7" s="111">
        <v>1664.7</v>
      </c>
      <c r="W7" s="112">
        <v>1604.181921897547</v>
      </c>
      <c r="X7" s="112">
        <v>1967.7</v>
      </c>
      <c r="Y7" s="112">
        <v>2108.5</v>
      </c>
      <c r="Z7" s="112">
        <v>1802.05</v>
      </c>
      <c r="AA7" s="112">
        <v>1824.4</v>
      </c>
      <c r="AB7" s="113">
        <v>2505</v>
      </c>
      <c r="AC7" s="112">
        <v>2494</v>
      </c>
      <c r="AD7" s="112">
        <v>2256.1</v>
      </c>
      <c r="AE7" s="112">
        <v>2410.04</v>
      </c>
    </row>
    <row r="8" spans="1:31" ht="15.75">
      <c r="A8" s="53" t="s">
        <v>240</v>
      </c>
      <c r="B8" s="53" t="s">
        <v>241</v>
      </c>
      <c r="C8" s="54" t="s">
        <v>242</v>
      </c>
      <c r="D8" s="54"/>
      <c r="E8" s="54"/>
      <c r="F8" s="54"/>
      <c r="G8" s="111">
        <v>98.406000000000006</v>
      </c>
      <c r="H8" s="111">
        <v>95.057000000000002</v>
      </c>
      <c r="I8" s="111">
        <v>94.858999999999995</v>
      </c>
      <c r="J8" s="111">
        <v>95.421000000000006</v>
      </c>
      <c r="K8" s="111">
        <v>99.290999999999997</v>
      </c>
      <c r="L8" s="111">
        <v>100</v>
      </c>
      <c r="M8" s="111">
        <v>108.72799999999999</v>
      </c>
      <c r="N8" s="111">
        <v>114.16500000000001</v>
      </c>
      <c r="O8" s="111">
        <v>113.367</v>
      </c>
      <c r="P8" s="111">
        <v>93.929000000000002</v>
      </c>
      <c r="Q8" s="111">
        <v>125.10797770508894</v>
      </c>
      <c r="R8" s="111">
        <v>153.50407991065018</v>
      </c>
      <c r="S8" s="111">
        <v>134.03217255004989</v>
      </c>
      <c r="T8" s="111">
        <v>136.20047183225114</v>
      </c>
      <c r="U8" s="111">
        <v>145.1</v>
      </c>
      <c r="V8" s="111">
        <v>166</v>
      </c>
      <c r="W8" s="111">
        <v>107.6</v>
      </c>
      <c r="X8" s="111">
        <v>111.8</v>
      </c>
      <c r="Y8" s="111">
        <v>104.4</v>
      </c>
      <c r="Z8" s="111">
        <v>86.6</v>
      </c>
      <c r="AA8" s="111">
        <v>153.6</v>
      </c>
      <c r="AB8" s="111">
        <v>112.2</v>
      </c>
      <c r="AC8" s="111">
        <v>114.4</v>
      </c>
      <c r="AD8" s="111">
        <v>101.2</v>
      </c>
      <c r="AE8" s="111">
        <v>106.06</v>
      </c>
    </row>
    <row r="9" spans="1:31" ht="15.75">
      <c r="A9" s="53" t="s">
        <v>243</v>
      </c>
      <c r="B9" s="53" t="s">
        <v>244</v>
      </c>
      <c r="C9" s="54" t="s">
        <v>245</v>
      </c>
      <c r="D9" s="54"/>
      <c r="E9" s="54"/>
      <c r="F9" s="54"/>
      <c r="G9" s="111">
        <v>59.048000000000002</v>
      </c>
      <c r="H9" s="111">
        <v>47.997</v>
      </c>
      <c r="I9" s="111">
        <v>46.26</v>
      </c>
      <c r="J9" s="111">
        <v>63.444000000000003</v>
      </c>
      <c r="K9" s="111">
        <v>62.006</v>
      </c>
      <c r="L9" s="111">
        <v>55.167999999999999</v>
      </c>
      <c r="M9" s="111">
        <v>58.052</v>
      </c>
      <c r="N9" s="111">
        <v>63.283999999999999</v>
      </c>
      <c r="O9" s="111">
        <v>71.400000000000006</v>
      </c>
      <c r="P9" s="111">
        <v>62.752000000000002</v>
      </c>
      <c r="Q9" s="111">
        <v>103.54454554947976</v>
      </c>
      <c r="R9" s="111">
        <v>154.60833690162494</v>
      </c>
      <c r="S9" s="111">
        <v>89.240966835732266</v>
      </c>
      <c r="T9" s="111">
        <v>90.40061256979736</v>
      </c>
      <c r="U9" s="111">
        <v>83.09674077733861</v>
      </c>
      <c r="V9">
        <v>70.417182467449905</v>
      </c>
      <c r="W9">
        <v>74.2</v>
      </c>
      <c r="X9">
        <v>83.6</v>
      </c>
      <c r="Y9">
        <v>91.4</v>
      </c>
      <c r="Z9">
        <v>77.900000000000006</v>
      </c>
      <c r="AA9">
        <v>71.2</v>
      </c>
      <c r="AB9">
        <v>72.599999999999994</v>
      </c>
      <c r="AC9">
        <v>74.099999999999994</v>
      </c>
      <c r="AD9">
        <v>95.01</v>
      </c>
      <c r="AE9">
        <v>86.7</v>
      </c>
    </row>
    <row r="10" spans="1:31" ht="15.75">
      <c r="A10" s="53" t="s">
        <v>246</v>
      </c>
      <c r="B10" s="53" t="s">
        <v>247</v>
      </c>
      <c r="C10" s="54" t="s">
        <v>248</v>
      </c>
      <c r="D10" s="54"/>
      <c r="E10" s="54"/>
      <c r="F10" s="54"/>
      <c r="G10" s="111">
        <v>114.004</v>
      </c>
      <c r="H10" s="111">
        <v>126.80500000000001</v>
      </c>
      <c r="I10" s="111">
        <v>148.52799999999999</v>
      </c>
      <c r="J10" s="111">
        <v>146.142</v>
      </c>
      <c r="K10" s="111">
        <v>156.88200000000001</v>
      </c>
      <c r="L10" s="111">
        <v>152.43899999999999</v>
      </c>
      <c r="M10" s="111">
        <v>191.721</v>
      </c>
      <c r="N10" s="111">
        <v>255.20599999999999</v>
      </c>
      <c r="O10" s="111">
        <v>325.94</v>
      </c>
      <c r="P10" s="111">
        <v>190.11166952333505</v>
      </c>
      <c r="Q10" s="111">
        <v>194.50038125586607</v>
      </c>
      <c r="R10" s="111">
        <v>279.9890731329279</v>
      </c>
      <c r="S10" s="111">
        <v>276.12151726845349</v>
      </c>
      <c r="T10" s="111">
        <v>265.7512908517578</v>
      </c>
      <c r="U10" s="111">
        <v>242.49559502155896</v>
      </c>
      <c r="V10" s="111">
        <v>284.89999999999998</v>
      </c>
      <c r="W10" s="111">
        <v>204.4</v>
      </c>
      <c r="X10" s="111">
        <v>166.6</v>
      </c>
      <c r="Y10" s="111">
        <v>210</v>
      </c>
      <c r="Z10" s="111">
        <v>202</v>
      </c>
      <c r="AA10" s="111">
        <v>211</v>
      </c>
      <c r="AB10" s="111">
        <v>255</v>
      </c>
      <c r="AC10" s="111">
        <v>320</v>
      </c>
      <c r="AD10" s="111">
        <v>272.3</v>
      </c>
      <c r="AE10" s="111">
        <v>202.6</v>
      </c>
    </row>
    <row r="11" spans="1:31" ht="15.75">
      <c r="A11" s="53" t="s">
        <v>249</v>
      </c>
      <c r="B11" s="53" t="s">
        <v>250</v>
      </c>
      <c r="C11" s="54" t="s">
        <v>251</v>
      </c>
      <c r="D11" s="54"/>
      <c r="E11" s="54"/>
      <c r="F11" s="54"/>
      <c r="G11" s="111">
        <v>4.8579999999999997</v>
      </c>
      <c r="H11" s="111">
        <v>4.6449999999999996</v>
      </c>
      <c r="I11" s="111">
        <v>3.726</v>
      </c>
      <c r="J11" s="111">
        <v>3.944</v>
      </c>
      <c r="K11" s="111">
        <v>3.8410000000000002</v>
      </c>
      <c r="L11" s="111">
        <v>4.0839999999999996</v>
      </c>
      <c r="M11" s="111">
        <v>4.0880000000000001</v>
      </c>
      <c r="N11" s="111">
        <v>4.34</v>
      </c>
      <c r="O11" s="111">
        <v>6.4119999999999999</v>
      </c>
      <c r="P11" s="111">
        <v>2.7679999999999998</v>
      </c>
      <c r="Q11" s="111">
        <v>3.786</v>
      </c>
      <c r="R11" s="111">
        <v>5.1509999999999998</v>
      </c>
      <c r="S11" s="111">
        <v>4.18</v>
      </c>
      <c r="T11" s="111">
        <v>3.8570000000000002</v>
      </c>
      <c r="U11" s="111">
        <v>3.2</v>
      </c>
      <c r="V11" s="111">
        <v>2.7</v>
      </c>
      <c r="W11" s="111">
        <v>2.6</v>
      </c>
      <c r="X11" s="111">
        <v>3.2</v>
      </c>
      <c r="Y11" s="111">
        <v>3.6</v>
      </c>
      <c r="Z11" s="111">
        <v>3.5</v>
      </c>
      <c r="AA11" s="111">
        <v>3.2</v>
      </c>
      <c r="AB11" s="111">
        <v>4.7</v>
      </c>
      <c r="AC11" s="111">
        <v>8.8000000000000007</v>
      </c>
      <c r="AD11" s="111">
        <v>6.7</v>
      </c>
      <c r="AE11" s="111">
        <v>5.8</v>
      </c>
    </row>
    <row r="12" spans="1:31" ht="15.75">
      <c r="A12" s="55" t="s">
        <v>252</v>
      </c>
      <c r="B12" s="53" t="s">
        <v>253</v>
      </c>
      <c r="C12" s="53" t="s">
        <v>254</v>
      </c>
      <c r="D12" s="53"/>
      <c r="E12" s="53"/>
      <c r="F12" s="53"/>
      <c r="G12" s="925">
        <v>1.9367939393939382</v>
      </c>
      <c r="H12" s="925">
        <v>2.3588319819819761</v>
      </c>
      <c r="I12" s="925">
        <v>2.767768627450979</v>
      </c>
      <c r="J12" s="925">
        <v>3.0617000000000001</v>
      </c>
      <c r="K12" s="925">
        <v>2.9708999999999999</v>
      </c>
      <c r="L12" s="925">
        <v>3.1166</v>
      </c>
      <c r="M12" s="925">
        <v>3.2984</v>
      </c>
      <c r="N12" s="925">
        <v>3.4424999999999999</v>
      </c>
      <c r="O12" s="928">
        <v>3.43</v>
      </c>
      <c r="P12" s="928">
        <v>4.1399999999999997</v>
      </c>
      <c r="Q12" s="928">
        <v>4.3789999999999996</v>
      </c>
      <c r="R12" s="929">
        <v>4.6096000000000004</v>
      </c>
      <c r="S12" s="928">
        <v>4.7626999999999997</v>
      </c>
      <c r="T12" s="928">
        <v>4.7641999999999998</v>
      </c>
      <c r="U12" s="932">
        <v>4.9348999999999998</v>
      </c>
      <c r="V12">
        <v>6.1645000000000003</v>
      </c>
      <c r="W12">
        <v>7.8356000000000003</v>
      </c>
      <c r="X12">
        <v>8.5496999999999996</v>
      </c>
      <c r="Y12">
        <v>9.1511999999999993</v>
      </c>
      <c r="Z12">
        <v>9.5300999999999991</v>
      </c>
      <c r="AA12">
        <v>10.321899999999999</v>
      </c>
      <c r="AB12">
        <v>11.3089</v>
      </c>
      <c r="AC12">
        <v>11.0258</v>
      </c>
      <c r="AD12">
        <v>10.8445</v>
      </c>
      <c r="AE12">
        <v>10.7986</v>
      </c>
    </row>
    <row r="13" spans="1:31" ht="15.75">
      <c r="A13" s="55" t="s">
        <v>255</v>
      </c>
      <c r="B13" s="56" t="s">
        <v>256</v>
      </c>
      <c r="C13" s="56" t="s">
        <v>257</v>
      </c>
      <c r="D13" s="56"/>
      <c r="E13" s="56"/>
      <c r="F13" s="56"/>
      <c r="G13" s="925">
        <v>0.65139999999999998</v>
      </c>
      <c r="H13" s="925">
        <v>0.81379999999999997</v>
      </c>
      <c r="I13" s="925">
        <v>0.8821</v>
      </c>
      <c r="J13" s="925">
        <v>0.997</v>
      </c>
      <c r="K13" s="927">
        <v>1.0304</v>
      </c>
      <c r="L13" s="925">
        <v>1.1027</v>
      </c>
      <c r="M13" s="925">
        <v>1.2144999999999999</v>
      </c>
      <c r="N13" s="925">
        <v>1.3466</v>
      </c>
      <c r="O13" s="925">
        <v>1.3854</v>
      </c>
      <c r="P13" s="925">
        <v>1.3227</v>
      </c>
      <c r="Q13" s="386">
        <v>1.4543999999999999</v>
      </c>
      <c r="R13" s="386">
        <v>1.58</v>
      </c>
      <c r="S13" s="386">
        <v>1.5324002574002573</v>
      </c>
      <c r="T13" s="386">
        <v>1.4645557946510912</v>
      </c>
      <c r="U13" s="386">
        <v>1.1102137232845894</v>
      </c>
      <c r="V13" s="386">
        <f t="shared" ref="V13:AC13" si="0">V12/V19*10</f>
        <v>1.0105737704918032</v>
      </c>
      <c r="W13" s="386">
        <f t="shared" si="0"/>
        <v>1.1689691183052366</v>
      </c>
      <c r="X13" s="386">
        <f t="shared" si="0"/>
        <v>1.4015901639344261</v>
      </c>
      <c r="Y13" s="386">
        <f t="shared" si="0"/>
        <v>1.4525714285714284</v>
      </c>
      <c r="Z13" s="386">
        <f t="shared" si="0"/>
        <v>1.457201834862385</v>
      </c>
      <c r="AA13" s="386">
        <f t="shared" si="0"/>
        <v>1.4355910987482612</v>
      </c>
      <c r="AB13" s="386">
        <f t="shared" si="0"/>
        <v>1.5365353260869565</v>
      </c>
      <c r="AC13" s="386">
        <f t="shared" si="0"/>
        <v>1.6190602055800296</v>
      </c>
      <c r="AD13" s="386">
        <v>1.3962365591397849</v>
      </c>
      <c r="AE13" s="386">
        <v>1.1653932624752295</v>
      </c>
    </row>
    <row r="14" spans="1:31" ht="15.75">
      <c r="A14" s="53" t="s">
        <v>258</v>
      </c>
      <c r="B14" s="53" t="s">
        <v>259</v>
      </c>
      <c r="C14" s="54" t="s">
        <v>260</v>
      </c>
      <c r="D14" s="54"/>
      <c r="E14" s="54"/>
      <c r="F14" s="54"/>
      <c r="G14" s="925"/>
      <c r="H14" s="925"/>
      <c r="I14" s="925"/>
      <c r="J14" s="925"/>
      <c r="K14" s="925"/>
      <c r="L14" s="925"/>
      <c r="M14" s="925"/>
      <c r="N14" s="925"/>
      <c r="O14" s="387">
        <v>646.298</v>
      </c>
      <c r="P14" s="387">
        <v>677.41399999999999</v>
      </c>
      <c r="Q14" s="387">
        <v>736.44600000000003</v>
      </c>
      <c r="R14" s="387">
        <v>750.07</v>
      </c>
      <c r="S14" s="387">
        <v>744.36800000000005</v>
      </c>
      <c r="T14" s="387">
        <v>799.69799999999998</v>
      </c>
      <c r="U14" s="388">
        <v>770.89800000000002</v>
      </c>
      <c r="V14" s="93">
        <v>706.89800000000002</v>
      </c>
      <c r="W14" s="388">
        <f>V14+(W17-V17)</f>
        <v>571.89800000000002</v>
      </c>
      <c r="X14" s="388">
        <f t="shared" ref="X14:AC14" si="1">W14+(X17-W17)</f>
        <v>610.89800000000002</v>
      </c>
      <c r="Y14" s="388">
        <f t="shared" si="1"/>
        <v>776.89800000000002</v>
      </c>
      <c r="Z14" s="388">
        <f t="shared" si="1"/>
        <v>1286.8980000000001</v>
      </c>
      <c r="AA14" s="388">
        <f t="shared" si="1"/>
        <v>466.89800000000014</v>
      </c>
      <c r="AB14" s="388">
        <f t="shared" si="1"/>
        <v>332.89800000000014</v>
      </c>
      <c r="AC14" s="388">
        <f t="shared" si="1"/>
        <v>333.89800000000014</v>
      </c>
      <c r="AD14" s="388">
        <v>332.89800000000014</v>
      </c>
      <c r="AE14" s="388">
        <v>332.47800000000007</v>
      </c>
    </row>
    <row r="15" spans="1:31" ht="15.75">
      <c r="A15" s="53" t="s">
        <v>261</v>
      </c>
      <c r="B15" s="53" t="s">
        <v>262</v>
      </c>
      <c r="C15" s="54" t="s">
        <v>263</v>
      </c>
      <c r="D15" s="54"/>
      <c r="E15" s="54"/>
      <c r="F15" s="54"/>
      <c r="G15" s="925">
        <v>15.024830162937198</v>
      </c>
      <c r="H15" s="925">
        <v>15.092215245482466</v>
      </c>
      <c r="I15" s="925">
        <v>10.152582741671997</v>
      </c>
      <c r="J15" s="925">
        <v>16.722735735049156</v>
      </c>
      <c r="K15" s="925">
        <v>35.241845905281231</v>
      </c>
      <c r="L15" s="925">
        <v>48.482320477443366</v>
      </c>
      <c r="M15" s="925">
        <v>133.33737569730778</v>
      </c>
      <c r="N15" s="925">
        <v>461.43790849673206</v>
      </c>
      <c r="O15" s="111">
        <v>989.25009999999997</v>
      </c>
      <c r="P15" s="111">
        <v>383.13600000000002</v>
      </c>
      <c r="Q15" s="111">
        <v>459.17360000000002</v>
      </c>
      <c r="R15" s="111">
        <v>325.51850000000002</v>
      </c>
      <c r="S15" s="111">
        <v>746.41129999999998</v>
      </c>
      <c r="T15" s="111">
        <v>1011.8628</v>
      </c>
      <c r="U15" s="111">
        <v>909.25440000000003</v>
      </c>
      <c r="V15" s="390">
        <v>977.8</v>
      </c>
      <c r="W15" s="390">
        <v>842.7</v>
      </c>
      <c r="X15" s="390">
        <v>1100.4000000000001</v>
      </c>
      <c r="Y15" s="387">
        <v>644.4</v>
      </c>
      <c r="Z15" s="387">
        <v>607.1</v>
      </c>
      <c r="AA15" s="387">
        <v>482</v>
      </c>
      <c r="AB15" s="387">
        <v>823.4</v>
      </c>
      <c r="AC15" s="391">
        <v>2577</v>
      </c>
      <c r="AD15" s="391">
        <v>2690</v>
      </c>
      <c r="AE15" s="391">
        <v>3222</v>
      </c>
    </row>
    <row r="16" spans="1:31" ht="15.75">
      <c r="A16" s="53" t="s">
        <v>264</v>
      </c>
      <c r="B16" s="57" t="s">
        <v>265</v>
      </c>
      <c r="C16" s="54" t="s">
        <v>266</v>
      </c>
      <c r="D16" s="54"/>
      <c r="E16" s="54"/>
      <c r="F16" s="54"/>
      <c r="G16" s="925">
        <v>141.62460007109848</v>
      </c>
      <c r="H16" s="925">
        <v>182.51542152159013</v>
      </c>
      <c r="I16" s="925">
        <v>217.82525510204081</v>
      </c>
      <c r="J16" s="925">
        <v>290.2021519400065</v>
      </c>
      <c r="K16" s="925">
        <v>380.98923984727526</v>
      </c>
      <c r="L16" s="925">
        <v>481.49825783972125</v>
      </c>
      <c r="M16" s="925">
        <v>650.24821361414058</v>
      </c>
      <c r="N16" s="925">
        <v>864.91071428571433</v>
      </c>
      <c r="O16" s="386">
        <v>634.49541284403665</v>
      </c>
      <c r="P16" s="386">
        <v>632.65444670739987</v>
      </c>
      <c r="Q16" s="386">
        <v>682.25333767502445</v>
      </c>
      <c r="R16" s="386">
        <v>748.5265855221013</v>
      </c>
      <c r="S16" s="386">
        <v>856.78893178893179</v>
      </c>
      <c r="T16" s="386">
        <v>915.83154011681518</v>
      </c>
      <c r="U16" s="386">
        <v>731.0461192350956</v>
      </c>
      <c r="V16" s="386">
        <f>V18/V19</f>
        <v>557.86885245901635</v>
      </c>
      <c r="W16" s="386">
        <f>W18/W19</f>
        <v>505.38564821721616</v>
      </c>
      <c r="X16" s="386">
        <f t="shared" ref="X16:AC16" si="2">X18/X19</f>
        <v>642.08196721311481</v>
      </c>
      <c r="Y16" s="386">
        <f t="shared" si="2"/>
        <v>694.03174603174602</v>
      </c>
      <c r="Z16" s="386">
        <f t="shared" si="2"/>
        <v>731.91131498470941</v>
      </c>
      <c r="AA16" s="386">
        <f t="shared" si="2"/>
        <v>714.20879972183582</v>
      </c>
      <c r="AB16" s="386">
        <f t="shared" si="2"/>
        <v>777.7670339673914</v>
      </c>
      <c r="AC16" s="386">
        <f t="shared" si="2"/>
        <v>938.14771365638774</v>
      </c>
      <c r="AD16" s="386">
        <v>965.85806451612905</v>
      </c>
      <c r="AE16" s="386">
        <v>904.22626553774069</v>
      </c>
    </row>
    <row r="17" spans="1:31">
      <c r="A17" s="53"/>
      <c r="B17" s="57" t="s">
        <v>267</v>
      </c>
      <c r="C17" s="54" t="s">
        <v>268</v>
      </c>
      <c r="D17" s="54"/>
      <c r="E17" s="54"/>
      <c r="F17" s="54"/>
      <c r="G17" s="924"/>
      <c r="H17" s="924"/>
      <c r="I17" s="924"/>
      <c r="J17" s="924"/>
      <c r="K17" s="924"/>
      <c r="L17" s="924"/>
      <c r="M17" s="924"/>
      <c r="N17" s="924"/>
      <c r="O17" s="924"/>
      <c r="P17" s="926">
        <v>1983.6949999999997</v>
      </c>
      <c r="Q17" s="388">
        <v>2088.1</v>
      </c>
      <c r="R17" s="930">
        <v>2198</v>
      </c>
      <c r="S17" s="930">
        <v>2368</v>
      </c>
      <c r="T17" s="930">
        <v>2334</v>
      </c>
      <c r="U17" s="387">
        <v>2238</v>
      </c>
      <c r="V17" s="387">
        <v>2174</v>
      </c>
      <c r="W17" s="387">
        <v>2039</v>
      </c>
      <c r="X17" s="387">
        <v>2078</v>
      </c>
      <c r="Y17" s="387">
        <v>2244</v>
      </c>
      <c r="Z17" s="387">
        <v>2754</v>
      </c>
      <c r="AA17" s="387">
        <v>1934</v>
      </c>
      <c r="AB17" s="388">
        <v>1800</v>
      </c>
      <c r="AC17" s="388">
        <v>1801</v>
      </c>
      <c r="AD17" s="388">
        <v>1800</v>
      </c>
      <c r="AE17" s="388">
        <v>1799.58</v>
      </c>
    </row>
    <row r="18" spans="1:31" ht="15.75">
      <c r="A18" s="53" t="s">
        <v>269</v>
      </c>
      <c r="B18" s="53" t="s">
        <v>270</v>
      </c>
      <c r="C18" s="54" t="s">
        <v>271</v>
      </c>
      <c r="D18" s="54"/>
      <c r="E18" s="54"/>
      <c r="F18" s="54"/>
      <c r="G18" s="926">
        <v>3983.9</v>
      </c>
      <c r="H18" s="926">
        <v>5325.8</v>
      </c>
      <c r="I18" s="926">
        <v>6831</v>
      </c>
      <c r="J18" s="926">
        <v>8900.5</v>
      </c>
      <c r="K18" s="926">
        <v>10976.3</v>
      </c>
      <c r="L18" s="926">
        <v>13819</v>
      </c>
      <c r="M18" s="926">
        <v>17290.099999999999</v>
      </c>
      <c r="N18" s="926">
        <v>21311.4</v>
      </c>
      <c r="O18" s="387">
        <v>17290</v>
      </c>
      <c r="P18" s="387">
        <v>18638</v>
      </c>
      <c r="Q18" s="387">
        <v>20952</v>
      </c>
      <c r="R18" s="387">
        <v>23369</v>
      </c>
      <c r="S18" s="387">
        <v>26629</v>
      </c>
      <c r="T18" s="387">
        <v>29792</v>
      </c>
      <c r="U18" s="387">
        <v>32495</v>
      </c>
      <c r="V18" s="387">
        <v>34030</v>
      </c>
      <c r="W18" s="387">
        <v>33876</v>
      </c>
      <c r="X18" s="387">
        <v>39167</v>
      </c>
      <c r="Y18" s="387">
        <v>43724</v>
      </c>
      <c r="Z18" s="387">
        <v>47867</v>
      </c>
      <c r="AA18" s="387">
        <v>51351.612699999998</v>
      </c>
      <c r="AB18" s="387">
        <v>57243.653700000003</v>
      </c>
      <c r="AC18" s="387">
        <v>63887.859299999996</v>
      </c>
      <c r="AD18" s="387">
        <v>74854</v>
      </c>
      <c r="AE18" s="387">
        <v>83656</v>
      </c>
    </row>
    <row r="19" spans="1:31" ht="15.75">
      <c r="A19" s="55" t="s">
        <v>272</v>
      </c>
      <c r="B19" s="53" t="s">
        <v>273</v>
      </c>
      <c r="C19" s="54" t="s">
        <v>274</v>
      </c>
      <c r="D19" s="54"/>
      <c r="E19" s="54"/>
      <c r="F19" s="54"/>
      <c r="G19" s="924">
        <v>28.13</v>
      </c>
      <c r="H19" s="924">
        <v>29.18</v>
      </c>
      <c r="I19" s="924">
        <v>31.36</v>
      </c>
      <c r="J19" s="924">
        <v>30.67</v>
      </c>
      <c r="K19" s="930">
        <v>28.81</v>
      </c>
      <c r="L19" s="930">
        <v>28.7</v>
      </c>
      <c r="M19" s="930">
        <v>26.59</v>
      </c>
      <c r="N19" s="930">
        <v>24.64</v>
      </c>
      <c r="O19" s="930">
        <v>27.25</v>
      </c>
      <c r="P19" s="930">
        <v>29.46</v>
      </c>
      <c r="Q19" s="930">
        <v>30.71</v>
      </c>
      <c r="R19" s="280">
        <v>31.22</v>
      </c>
      <c r="S19" s="280">
        <v>31.08</v>
      </c>
      <c r="T19" s="135">
        <v>32.53</v>
      </c>
      <c r="U19" s="111">
        <v>44.45</v>
      </c>
      <c r="V19" s="385">
        <v>61</v>
      </c>
      <c r="W19" s="385">
        <v>67.03</v>
      </c>
      <c r="X19" s="385">
        <v>61</v>
      </c>
      <c r="Y19" s="385">
        <v>63</v>
      </c>
      <c r="Z19" s="112">
        <v>65.400000000000006</v>
      </c>
      <c r="AA19" s="112">
        <v>71.900000000000006</v>
      </c>
      <c r="AB19" s="112">
        <v>73.599999999999994</v>
      </c>
      <c r="AC19" s="112">
        <v>68.099999999999994</v>
      </c>
      <c r="AD19" s="112">
        <v>77.5</v>
      </c>
      <c r="AE19" s="112">
        <v>92.516666666666694</v>
      </c>
    </row>
    <row r="20" spans="1:31" ht="15.75">
      <c r="A20" s="53" t="s">
        <v>275</v>
      </c>
      <c r="B20" s="53" t="s">
        <v>276</v>
      </c>
      <c r="C20" s="54" t="s">
        <v>277</v>
      </c>
      <c r="D20" s="54"/>
      <c r="E20" s="54"/>
      <c r="F20" s="54"/>
      <c r="G20" s="924"/>
      <c r="H20" s="924"/>
      <c r="I20" s="924"/>
      <c r="J20" s="924"/>
      <c r="K20" s="924"/>
      <c r="L20" s="924"/>
      <c r="M20" s="924"/>
      <c r="N20" s="924"/>
      <c r="O20" s="924"/>
      <c r="P20" s="924"/>
      <c r="Q20" s="930">
        <v>320</v>
      </c>
      <c r="R20" s="392">
        <v>336.48320000000001</v>
      </c>
      <c r="S20" s="392">
        <v>350.54819776000005</v>
      </c>
      <c r="T20" s="392">
        <v>364.06884174760324</v>
      </c>
      <c r="U20" s="392">
        <v>375.71904468352653</v>
      </c>
      <c r="V20" s="93">
        <v>385.8634588899817</v>
      </c>
      <c r="W20" s="392">
        <f t="shared" ref="W20" si="3">V20*(1+W11/100)</f>
        <v>395.89590882112122</v>
      </c>
      <c r="X20" s="392">
        <f t="shared" ref="X20" si="4">W20*(1+X11/100)</f>
        <v>408.56457790339709</v>
      </c>
      <c r="Y20" s="392">
        <f t="shared" ref="Y20" si="5">X20*(1+Y11/100)</f>
        <v>423.2729027079194</v>
      </c>
      <c r="Z20" s="392">
        <f t="shared" ref="Z20" si="6">Y20*(1+Z11/100)</f>
        <v>438.08745430269653</v>
      </c>
      <c r="AA20" s="392">
        <f t="shared" ref="AA20" si="7">Z20*(1+AA11/100)</f>
        <v>452.10625284038281</v>
      </c>
      <c r="AB20" s="392">
        <f t="shared" ref="AB20" si="8">AA20*(1+AB11/100)</f>
        <v>473.35524672388078</v>
      </c>
      <c r="AC20" s="392">
        <f t="shared" ref="AC20" si="9">AB20*(1+AC11/100)</f>
        <v>515.01050843558232</v>
      </c>
      <c r="AD20" s="392">
        <v>549.5162125007663</v>
      </c>
      <c r="AE20" s="392">
        <v>581.38815282581072</v>
      </c>
    </row>
    <row r="21" spans="1:31" ht="15.75">
      <c r="A21" s="53" t="s">
        <v>278</v>
      </c>
      <c r="B21" s="53" t="s">
        <v>279</v>
      </c>
      <c r="C21" s="54" t="s">
        <v>280</v>
      </c>
      <c r="D21" s="54"/>
      <c r="E21" s="54"/>
      <c r="F21" s="54"/>
      <c r="G21" s="924"/>
      <c r="H21" s="924"/>
      <c r="I21" s="924"/>
      <c r="J21" s="924"/>
      <c r="K21" s="924"/>
      <c r="L21" s="924"/>
      <c r="M21" s="924"/>
      <c r="N21" s="924"/>
      <c r="O21" s="924"/>
      <c r="P21" s="924"/>
      <c r="Q21" s="858">
        <v>1225</v>
      </c>
      <c r="R21" s="858">
        <v>1570</v>
      </c>
      <c r="S21" s="858">
        <v>1670</v>
      </c>
      <c r="T21" s="858">
        <v>1410</v>
      </c>
      <c r="U21" s="858">
        <v>1275</v>
      </c>
      <c r="V21">
        <v>1167.7</v>
      </c>
      <c r="W21">
        <v>1258.5</v>
      </c>
      <c r="X21">
        <v>1257.0999999999999</v>
      </c>
      <c r="Y21">
        <v>1269.0999999999999</v>
      </c>
      <c r="Z21">
        <v>1411.15</v>
      </c>
      <c r="AA21">
        <v>1786.6</v>
      </c>
      <c r="AB21">
        <v>1794.25</v>
      </c>
      <c r="AC21">
        <v>1809.45</v>
      </c>
      <c r="AD21">
        <v>1943</v>
      </c>
      <c r="AE21">
        <v>2388.11</v>
      </c>
    </row>
    <row r="22" spans="1:31">
      <c r="A22" s="58"/>
      <c r="B22" s="58" t="s">
        <v>281</v>
      </c>
      <c r="C22" s="52" t="s">
        <v>282</v>
      </c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</row>
    <row r="23" spans="1:31">
      <c r="A23" s="58"/>
      <c r="B23" s="58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</row>
    <row r="24" spans="1:31">
      <c r="A24" s="58"/>
      <c r="B24" s="58" t="s">
        <v>70</v>
      </c>
      <c r="C24" s="52" t="s">
        <v>283</v>
      </c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</row>
    <row r="25" spans="1:31">
      <c r="A25" s="59" t="s">
        <v>284</v>
      </c>
      <c r="B25" s="60" t="s">
        <v>85</v>
      </c>
      <c r="C25" s="60" t="s">
        <v>285</v>
      </c>
      <c r="D25" s="60"/>
      <c r="E25" s="60"/>
      <c r="F25" s="60"/>
      <c r="G25" s="60"/>
      <c r="H25" s="60"/>
      <c r="I25" s="60"/>
      <c r="J25" s="934">
        <v>0.34399916364650124</v>
      </c>
      <c r="K25" s="934">
        <v>0.33410883407351921</v>
      </c>
      <c r="L25" s="934">
        <v>0.37588879376379936</v>
      </c>
      <c r="M25" s="934">
        <v>0.33616738637195342</v>
      </c>
      <c r="N25" s="934">
        <v>0.33678104669238301</v>
      </c>
      <c r="O25" s="934">
        <v>0.2688323124042879</v>
      </c>
      <c r="P25" s="934">
        <v>0.24411746739013257</v>
      </c>
      <c r="Q25" s="934">
        <v>0.50138176075799445</v>
      </c>
      <c r="R25" s="933">
        <v>0.32886674298027069</v>
      </c>
      <c r="S25" s="933">
        <v>0.36809815950920249</v>
      </c>
      <c r="T25" s="933">
        <v>2.7353815659068386</v>
      </c>
      <c r="U25" s="933">
        <v>0.2546807133555315</v>
      </c>
      <c r="V25" s="94">
        <f>Industry!V65</f>
        <v>0.24218059912225182</v>
      </c>
      <c r="W25" s="94">
        <f>Industry!W65</f>
        <v>0.22824695206814005</v>
      </c>
      <c r="X25" s="94">
        <f>Industry!X65</f>
        <v>0.23346641208123589</v>
      </c>
      <c r="Y25" s="94">
        <f>Industry!Y65</f>
        <v>0.23926131730445269</v>
      </c>
      <c r="Z25" s="94">
        <f>Industry!Z65</f>
        <v>0.21640753077363989</v>
      </c>
      <c r="AA25" s="94">
        <f>Industry!AA65</f>
        <v>0.26231461472425327</v>
      </c>
      <c r="AB25" s="94">
        <f>Industry!AB65</f>
        <v>0.22874667388265008</v>
      </c>
      <c r="AC25" s="94">
        <f>Industry!AC65</f>
        <v>0.25511415594323278</v>
      </c>
      <c r="AD25" s="94">
        <f>Industry!AD65</f>
        <v>0.24421282906153702</v>
      </c>
      <c r="AE25" s="94">
        <f>Industry!AE65</f>
        <v>0.20562492140200853</v>
      </c>
    </row>
    <row r="26" spans="1:31">
      <c r="A26" s="58"/>
      <c r="B26" s="58" t="s">
        <v>286</v>
      </c>
      <c r="C26" s="52" t="s">
        <v>287</v>
      </c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</row>
    <row r="27" spans="1:31">
      <c r="A27" s="59" t="s">
        <v>288</v>
      </c>
      <c r="B27" s="60" t="s">
        <v>87</v>
      </c>
      <c r="C27" s="61" t="s">
        <v>289</v>
      </c>
      <c r="D27" s="61"/>
      <c r="E27" s="61"/>
      <c r="F27" s="61"/>
      <c r="G27" s="940"/>
      <c r="H27" s="940"/>
      <c r="I27" s="940"/>
      <c r="J27" s="941"/>
      <c r="K27" s="941"/>
      <c r="L27" s="941"/>
      <c r="M27" s="941"/>
      <c r="N27" s="941"/>
      <c r="O27" s="941"/>
      <c r="P27" s="941"/>
      <c r="Q27" s="393">
        <v>-0.23084661343985619</v>
      </c>
      <c r="R27" s="933">
        <v>0.2283079540552318</v>
      </c>
      <c r="S27" s="933">
        <v>0.18457947016102619</v>
      </c>
      <c r="T27" s="933">
        <v>0.18642913244281462</v>
      </c>
      <c r="U27" s="933">
        <v>0.26606517145436059</v>
      </c>
      <c r="V27" s="94">
        <f>Industry!V66</f>
        <v>0.29392050880414655</v>
      </c>
      <c r="W27" s="94">
        <f>Industry!W66</f>
        <v>0.32363117544161002</v>
      </c>
      <c r="X27" s="94">
        <f>Industry!X66</f>
        <v>0.32141141582457972</v>
      </c>
      <c r="Y27" s="94">
        <f>Industry!Y66</f>
        <v>0.34006178690650168</v>
      </c>
      <c r="Z27" s="94">
        <f>Industry!Z66</f>
        <v>0.35311480706840914</v>
      </c>
      <c r="AA27" s="94">
        <f>Industry!AA66</f>
        <v>0.30576747115373193</v>
      </c>
      <c r="AB27" s="94">
        <f>Industry!AB66</f>
        <v>0.30686263038521772</v>
      </c>
      <c r="AC27" s="94">
        <f>Industry!AC66</f>
        <v>0.29457890561592731</v>
      </c>
      <c r="AD27" s="94">
        <f>Industry!AD66</f>
        <v>0.28442002847253373</v>
      </c>
      <c r="AE27" s="94">
        <f>Industry!AE66</f>
        <v>0.3157252936231284</v>
      </c>
    </row>
    <row r="28" spans="1:31">
      <c r="A28" s="58"/>
      <c r="B28" s="58" t="s">
        <v>64</v>
      </c>
      <c r="C28" s="52" t="s">
        <v>290</v>
      </c>
      <c r="D28" s="52"/>
      <c r="E28" s="52"/>
      <c r="F28" s="52"/>
      <c r="G28" s="938"/>
      <c r="H28" s="938"/>
      <c r="I28" s="939"/>
      <c r="J28" s="939"/>
      <c r="K28" s="939"/>
      <c r="L28" s="939"/>
      <c r="M28" s="939"/>
      <c r="N28" s="939"/>
      <c r="O28" s="939"/>
      <c r="P28" s="939"/>
      <c r="Q28" s="939"/>
      <c r="R28" s="936"/>
      <c r="S28" s="936"/>
      <c r="T28" s="936"/>
      <c r="U28" s="936"/>
    </row>
    <row r="29" spans="1:31" ht="15.75">
      <c r="A29" s="59" t="s">
        <v>108</v>
      </c>
      <c r="B29" s="62" t="s">
        <v>291</v>
      </c>
      <c r="C29" s="62" t="s">
        <v>292</v>
      </c>
      <c r="D29" s="62"/>
      <c r="E29" s="62"/>
      <c r="F29" s="62"/>
      <c r="G29" s="926"/>
      <c r="H29" s="926"/>
      <c r="I29" s="947">
        <v>2900</v>
      </c>
      <c r="J29" s="947">
        <v>2700</v>
      </c>
      <c r="K29" s="947">
        <v>2600</v>
      </c>
      <c r="L29" s="947">
        <v>2700</v>
      </c>
      <c r="M29" s="947">
        <v>2600</v>
      </c>
      <c r="N29" s="947">
        <v>2400</v>
      </c>
      <c r="O29" s="947">
        <v>2400</v>
      </c>
      <c r="P29" s="947">
        <v>2700</v>
      </c>
      <c r="Q29" s="387">
        <v>3031</v>
      </c>
      <c r="R29" s="387">
        <v>3046</v>
      </c>
      <c r="S29" s="387">
        <v>3061</v>
      </c>
      <c r="T29" s="387">
        <v>4503</v>
      </c>
      <c r="U29" s="387">
        <v>4692</v>
      </c>
      <c r="V29" s="93">
        <f>Industry!V80</f>
        <v>4914</v>
      </c>
      <c r="W29" s="93">
        <f>Industry!W80</f>
        <v>4845</v>
      </c>
      <c r="X29" s="93">
        <f>Industry!X80</f>
        <v>5424</v>
      </c>
      <c r="Y29" s="93">
        <f>Industry!Y80</f>
        <v>5579</v>
      </c>
      <c r="Z29" s="93">
        <f>Industry!Z80</f>
        <v>6019</v>
      </c>
      <c r="AA29" s="93">
        <f>Industry!AA80</f>
        <v>6857</v>
      </c>
      <c r="AB29" s="93">
        <f>Industry!AB80</f>
        <v>5410</v>
      </c>
      <c r="AC29" s="93">
        <f>Industry!AC80</f>
        <v>5518.2</v>
      </c>
      <c r="AD29" s="93">
        <f>Industry!AD80</f>
        <v>5628.5640000000003</v>
      </c>
      <c r="AE29" s="93">
        <f>Industry!AE80</f>
        <v>5741.1352800000004</v>
      </c>
    </row>
    <row r="30" spans="1:31" ht="15.75">
      <c r="A30" s="59" t="s">
        <v>113</v>
      </c>
      <c r="B30" s="63" t="s">
        <v>114</v>
      </c>
      <c r="C30" s="63" t="s">
        <v>293</v>
      </c>
      <c r="D30" s="63"/>
      <c r="E30" s="63"/>
      <c r="F30" s="63"/>
      <c r="G30" s="935"/>
      <c r="H30" s="935"/>
      <c r="I30" s="951">
        <v>0.13024225058609012</v>
      </c>
      <c r="J30" s="951">
        <v>0.13586313684165252</v>
      </c>
      <c r="K30" s="951">
        <v>0.13028503499917743</v>
      </c>
      <c r="L30" s="951">
        <v>0.14568025677073662</v>
      </c>
      <c r="M30" s="951">
        <v>0.14424895951570185</v>
      </c>
      <c r="N30" s="951">
        <v>0.15472449193379426</v>
      </c>
      <c r="O30" s="951">
        <v>0.15256056424409689</v>
      </c>
      <c r="P30" s="951">
        <v>0.10483991808600969</v>
      </c>
      <c r="Q30" s="948">
        <v>0.16028066313544748</v>
      </c>
      <c r="R30" s="948">
        <v>0.16061956291109697</v>
      </c>
      <c r="S30" s="948">
        <v>0.16697398074165129</v>
      </c>
      <c r="T30" s="948">
        <v>0.17192600652883569</v>
      </c>
      <c r="U30" s="948">
        <v>0.20437317784256559</v>
      </c>
      <c r="V30" s="242">
        <f>Industry!V83</f>
        <v>0.18344211611130196</v>
      </c>
      <c r="W30" s="242">
        <f>Industry!W83</f>
        <v>0.18822400438686682</v>
      </c>
      <c r="X30" s="242">
        <f>Industry!X83</f>
        <v>0.18763825634352635</v>
      </c>
      <c r="Y30" s="242">
        <f>Industry!Y83</f>
        <v>0.16518395224702978</v>
      </c>
      <c r="Z30" s="242">
        <f>Industry!Z83</f>
        <v>0.13109180204004534</v>
      </c>
      <c r="AA30" s="242">
        <f>Industry!AA83</f>
        <v>0.14482131697062667</v>
      </c>
      <c r="AB30" s="242">
        <f>Industry!AB83</f>
        <v>0.29484933321292034</v>
      </c>
      <c r="AC30" s="242">
        <f>Industry!AC83</f>
        <v>0.27303697501161384</v>
      </c>
      <c r="AD30" s="242">
        <f>Industry!AD83</f>
        <v>0.2577185678601166</v>
      </c>
      <c r="AE30" s="242">
        <f>Industry!AE83</f>
        <v>0.34714126358038283</v>
      </c>
    </row>
    <row r="31" spans="1:31">
      <c r="A31" s="59" t="s">
        <v>120</v>
      </c>
      <c r="B31" s="64" t="s">
        <v>121</v>
      </c>
      <c r="C31" s="64" t="s">
        <v>294</v>
      </c>
      <c r="D31" s="64"/>
      <c r="E31" s="64"/>
      <c r="F31" s="64"/>
      <c r="G31"/>
      <c r="H31"/>
      <c r="I31" s="942"/>
      <c r="J31" s="947">
        <v>4420</v>
      </c>
      <c r="K31" s="947">
        <v>4396</v>
      </c>
      <c r="L31" s="947">
        <v>4404</v>
      </c>
      <c r="M31" s="947">
        <v>4389</v>
      </c>
      <c r="N31" s="947">
        <v>4386</v>
      </c>
      <c r="O31" s="947">
        <v>5069</v>
      </c>
      <c r="P31" s="947">
        <v>5078</v>
      </c>
      <c r="Q31" s="387">
        <v>5105</v>
      </c>
      <c r="R31" s="387">
        <v>5079</v>
      </c>
      <c r="S31" s="387">
        <v>6168</v>
      </c>
      <c r="T31" s="387">
        <v>6180</v>
      </c>
      <c r="U31" s="387">
        <v>6280</v>
      </c>
      <c r="V31" s="92">
        <f>Industry!V93</f>
        <v>6283</v>
      </c>
      <c r="W31" s="92">
        <f>Industry!W93</f>
        <v>6577</v>
      </c>
      <c r="X31" s="92">
        <f>Industry!X93</f>
        <v>5718</v>
      </c>
      <c r="Y31" s="92">
        <f>Industry!Y93</f>
        <v>6197</v>
      </c>
      <c r="Z31" s="92">
        <f>Industry!Z93</f>
        <v>6475</v>
      </c>
      <c r="AA31" s="92">
        <f>Industry!AA93</f>
        <v>6356</v>
      </c>
      <c r="AB31" s="92">
        <f>Industry!AB93</f>
        <v>6476</v>
      </c>
      <c r="AC31" s="92">
        <f>Industry!AC93</f>
        <v>6488.9520000000002</v>
      </c>
      <c r="AD31" s="92">
        <f>Industry!AD93</f>
        <v>6501.9299040000005</v>
      </c>
      <c r="AE31" s="92">
        <f>Industry!AE93</f>
        <v>6514.9337638080005</v>
      </c>
    </row>
    <row r="32" spans="1:31">
      <c r="A32" s="59" t="s">
        <v>126</v>
      </c>
      <c r="B32" s="54" t="s">
        <v>295</v>
      </c>
      <c r="C32" s="54" t="s">
        <v>296</v>
      </c>
      <c r="D32" s="54"/>
      <c r="E32" s="54"/>
      <c r="F32" s="54"/>
      <c r="G32"/>
      <c r="H32"/>
      <c r="I32"/>
      <c r="J32"/>
      <c r="K32"/>
      <c r="L32"/>
      <c r="M32"/>
      <c r="N32"/>
      <c r="O32" s="942">
        <v>0</v>
      </c>
      <c r="P32" s="942">
        <v>0</v>
      </c>
      <c r="Q32" s="925">
        <v>0</v>
      </c>
      <c r="R32" s="397">
        <v>0</v>
      </c>
      <c r="S32" s="395">
        <v>0.24</v>
      </c>
      <c r="T32" s="395">
        <v>0.3</v>
      </c>
      <c r="U32" s="395">
        <v>0.15</v>
      </c>
      <c r="V32" s="395">
        <v>0.15</v>
      </c>
      <c r="W32" s="395">
        <v>0.2</v>
      </c>
      <c r="X32" s="395">
        <v>0.22</v>
      </c>
      <c r="Y32" s="395">
        <v>0.22</v>
      </c>
      <c r="Z32" s="395">
        <v>0.23</v>
      </c>
      <c r="AA32" s="395">
        <v>0.23</v>
      </c>
      <c r="AB32" s="395">
        <v>0.23</v>
      </c>
      <c r="AC32" s="395">
        <v>0.23</v>
      </c>
      <c r="AD32" s="395">
        <v>0.23</v>
      </c>
      <c r="AE32" s="395">
        <v>0.24</v>
      </c>
    </row>
    <row r="33" spans="1:31" ht="15.75">
      <c r="A33" s="59" t="s">
        <v>297</v>
      </c>
      <c r="B33" s="53" t="s">
        <v>298</v>
      </c>
      <c r="C33" s="53" t="s">
        <v>299</v>
      </c>
      <c r="D33" s="53"/>
      <c r="E33" s="53"/>
      <c r="F33" s="53"/>
      <c r="G33" s="396">
        <v>4.6460639087164537E-2</v>
      </c>
      <c r="H33" s="396">
        <v>1.9408944897454906E-2</v>
      </c>
      <c r="I33" s="396">
        <v>1.7596131760283986E-2</v>
      </c>
      <c r="J33" s="396">
        <v>1.1994453145392847E-2</v>
      </c>
      <c r="K33" s="396">
        <v>1.2936418782296113E-2</v>
      </c>
      <c r="L33" s="396">
        <v>1.2342939007491957E-2</v>
      </c>
      <c r="M33" s="396">
        <v>1.1584184155795046E-2</v>
      </c>
      <c r="N33" s="396">
        <v>1.3998356421695233E-2</v>
      </c>
      <c r="O33" s="396">
        <v>1.4009660476458449E-2</v>
      </c>
      <c r="P33" s="396">
        <v>1.4947626144347454E-2</v>
      </c>
      <c r="Q33" s="396">
        <v>1.2097969369009805E-2</v>
      </c>
      <c r="R33" s="396">
        <v>1.4373737373737374E-2</v>
      </c>
      <c r="S33" s="396">
        <v>2.7529032258064516E-2</v>
      </c>
      <c r="T33" s="396">
        <v>3.135532516493874E-2</v>
      </c>
      <c r="U33" s="396">
        <v>3.2331378299120236E-2</v>
      </c>
      <c r="V33">
        <f>Trade!V28</f>
        <v>3.4670487106017188E-2</v>
      </c>
      <c r="W33">
        <f>Trade!W28</f>
        <v>3.620448179271709E-2</v>
      </c>
      <c r="X33">
        <f>Trade!X28</f>
        <v>3.7649542575650952E-2</v>
      </c>
      <c r="Y33">
        <f>Trade!Y28</f>
        <v>1.9151103565365025E-2</v>
      </c>
      <c r="Z33">
        <f>Trade!Z28</f>
        <v>2.9322834645669288E-2</v>
      </c>
      <c r="AA33">
        <f>Trade!AA28</f>
        <v>3.0155590012297492E-2</v>
      </c>
      <c r="AB33">
        <f>Trade!AB28</f>
        <v>2.9056198146914552E-2</v>
      </c>
      <c r="AC33">
        <f>Trade!AC28</f>
        <v>3.1786890152648906E-2</v>
      </c>
      <c r="AD33">
        <f>Trade!AD28</f>
        <v>3.0610547329895193E-2</v>
      </c>
      <c r="AE33">
        <f>Trade!AE28</f>
        <v>2.8961734628495273E-2</v>
      </c>
    </row>
    <row r="34" spans="1:31">
      <c r="C34" s="49"/>
      <c r="D34" s="49"/>
      <c r="E34" s="49"/>
      <c r="F34" s="49"/>
      <c r="G34"/>
      <c r="H34"/>
      <c r="I34"/>
      <c r="J34"/>
      <c r="K34"/>
      <c r="L34"/>
      <c r="M34"/>
      <c r="N34"/>
      <c r="O34"/>
      <c r="P34"/>
      <c r="Q34" s="925"/>
      <c r="R34" s="397"/>
      <c r="S34" s="397"/>
      <c r="T34" s="397"/>
      <c r="U34" s="397"/>
    </row>
    <row r="35" spans="1:31" ht="15.75">
      <c r="A35" s="59" t="s">
        <v>137</v>
      </c>
      <c r="B35" s="65" t="s">
        <v>138</v>
      </c>
      <c r="C35" s="49" t="s">
        <v>300</v>
      </c>
      <c r="D35" s="49"/>
      <c r="E35" s="49"/>
      <c r="F35" s="49"/>
      <c r="G35" s="937"/>
      <c r="H35" s="937"/>
      <c r="I35" s="937"/>
      <c r="J35" s="397">
        <v>54.6</v>
      </c>
      <c r="K35" s="397">
        <v>52.685512367491164</v>
      </c>
      <c r="L35" s="397">
        <v>50.398355422086219</v>
      </c>
      <c r="M35" s="397">
        <v>58.257296584778715</v>
      </c>
      <c r="N35" s="397">
        <v>51.310706494824352</v>
      </c>
      <c r="O35" s="397">
        <v>58.699895533527943</v>
      </c>
      <c r="P35" s="397">
        <v>64.148662534279879</v>
      </c>
      <c r="Q35" s="397">
        <v>64.148662534279879</v>
      </c>
      <c r="R35" s="397">
        <v>64.148662534279879</v>
      </c>
      <c r="S35" s="397">
        <v>52</v>
      </c>
      <c r="T35" s="397">
        <v>52</v>
      </c>
      <c r="U35" s="397">
        <v>52</v>
      </c>
      <c r="V35" s="397">
        <v>48</v>
      </c>
      <c r="W35" s="397">
        <f t="shared" ref="W35:AD35" si="10">V35</f>
        <v>48</v>
      </c>
      <c r="X35" s="397">
        <f t="shared" si="10"/>
        <v>48</v>
      </c>
      <c r="Y35" s="397">
        <f t="shared" si="10"/>
        <v>48</v>
      </c>
      <c r="Z35" s="397">
        <f t="shared" si="10"/>
        <v>48</v>
      </c>
      <c r="AA35" s="397">
        <f t="shared" si="10"/>
        <v>48</v>
      </c>
      <c r="AB35" s="397">
        <f t="shared" si="10"/>
        <v>48</v>
      </c>
      <c r="AC35" s="397">
        <f t="shared" si="10"/>
        <v>48</v>
      </c>
      <c r="AD35" s="397">
        <f t="shared" si="10"/>
        <v>48</v>
      </c>
      <c r="AE35" s="397">
        <f>AD35</f>
        <v>48</v>
      </c>
    </row>
    <row r="36" spans="1:31" ht="15.75">
      <c r="A36" s="59" t="s">
        <v>141</v>
      </c>
      <c r="B36" s="65" t="s">
        <v>142</v>
      </c>
      <c r="C36" s="49" t="s">
        <v>301</v>
      </c>
      <c r="D36" s="49"/>
      <c r="E36" s="49"/>
      <c r="F36" s="49"/>
      <c r="G36"/>
      <c r="H36"/>
      <c r="I36"/>
      <c r="J36" s="398">
        <v>0.38</v>
      </c>
      <c r="K36" s="398">
        <v>0.30035335689045933</v>
      </c>
      <c r="L36" s="398">
        <v>0.41051292010471235</v>
      </c>
      <c r="M36" s="398">
        <v>0.29270697264407808</v>
      </c>
      <c r="N36" s="398">
        <v>0.40319821750880602</v>
      </c>
      <c r="O36" s="398">
        <v>0.32992102207869572</v>
      </c>
      <c r="P36" s="398">
        <v>0.20490213110786176</v>
      </c>
      <c r="Q36" s="398">
        <v>0.20490213110786176</v>
      </c>
      <c r="R36" s="398">
        <v>0.20490213110786176</v>
      </c>
      <c r="S36" s="398">
        <v>0.20490213110786176</v>
      </c>
      <c r="T36" s="398">
        <v>0.20490213110786176</v>
      </c>
      <c r="U36" s="398">
        <v>0.20490213110786176</v>
      </c>
      <c r="V36" s="94">
        <f>Industry!V118</f>
        <v>0.20490213110786176</v>
      </c>
      <c r="W36" s="94">
        <f>Industry!W118</f>
        <v>0.20490213110786176</v>
      </c>
      <c r="X36" s="94">
        <f>Industry!X118</f>
        <v>0.20490213110786176</v>
      </c>
      <c r="Y36" s="94">
        <f>Industry!Y118</f>
        <v>0.20490213110786176</v>
      </c>
      <c r="Z36" s="94">
        <f>Industry!Z118</f>
        <v>0.20490213110786176</v>
      </c>
      <c r="AA36" s="94">
        <f>Industry!AA118</f>
        <v>0.20490213110786176</v>
      </c>
      <c r="AB36" s="94">
        <f>Industry!AB118</f>
        <v>0.20490213110786176</v>
      </c>
      <c r="AC36" s="94">
        <f>Industry!AC118</f>
        <v>0.20490213110786176</v>
      </c>
      <c r="AD36" s="94">
        <f>Industry!AD118</f>
        <v>0.20490213110786176</v>
      </c>
      <c r="AE36" s="94">
        <f>Industry!AE118</f>
        <v>0.20490213110786176</v>
      </c>
    </row>
    <row r="37" spans="1:31" ht="15.75">
      <c r="A37" s="59" t="s">
        <v>144</v>
      </c>
      <c r="B37" s="65" t="s">
        <v>145</v>
      </c>
      <c r="C37" s="49" t="s">
        <v>302</v>
      </c>
      <c r="D37" s="49"/>
      <c r="E37" s="49"/>
      <c r="F37" s="49"/>
      <c r="G37"/>
      <c r="H37"/>
      <c r="I37"/>
      <c r="J37" s="395">
        <v>0.63</v>
      </c>
      <c r="K37" s="395">
        <v>0.54560954816709295</v>
      </c>
      <c r="L37" s="395">
        <v>0.31696914107305946</v>
      </c>
      <c r="M37" s="395">
        <v>0.11714934796895678</v>
      </c>
      <c r="N37" s="395">
        <v>0.10141044664902769</v>
      </c>
      <c r="O37" s="395">
        <v>0.178260550750244</v>
      </c>
      <c r="P37" s="395">
        <v>0.1206447936457042</v>
      </c>
      <c r="Q37" s="395">
        <v>0.12</v>
      </c>
      <c r="R37" s="395">
        <v>0.12</v>
      </c>
      <c r="S37" s="395">
        <v>0.12</v>
      </c>
      <c r="T37" s="395">
        <v>0.12</v>
      </c>
      <c r="U37" s="395">
        <v>0.12</v>
      </c>
      <c r="V37">
        <v>0.12</v>
      </c>
      <c r="W37">
        <f>V37</f>
        <v>0.12</v>
      </c>
      <c r="X37">
        <f t="shared" ref="X37:AE37" si="11">W37</f>
        <v>0.12</v>
      </c>
      <c r="Y37">
        <f t="shared" si="11"/>
        <v>0.12</v>
      </c>
      <c r="Z37">
        <f t="shared" si="11"/>
        <v>0.12</v>
      </c>
      <c r="AA37">
        <f t="shared" si="11"/>
        <v>0.12</v>
      </c>
      <c r="AB37">
        <f t="shared" si="11"/>
        <v>0.12</v>
      </c>
      <c r="AC37">
        <f t="shared" si="11"/>
        <v>0.12</v>
      </c>
      <c r="AD37">
        <f t="shared" si="11"/>
        <v>0.12</v>
      </c>
      <c r="AE37">
        <f t="shared" si="11"/>
        <v>0.12</v>
      </c>
    </row>
    <row r="38" spans="1:31" ht="15.75">
      <c r="A38" s="59" t="s">
        <v>147</v>
      </c>
      <c r="B38" s="65" t="s">
        <v>148</v>
      </c>
      <c r="C38" s="49" t="s">
        <v>303</v>
      </c>
      <c r="D38" s="49"/>
      <c r="E38" s="49"/>
      <c r="F38" s="49"/>
      <c r="G38"/>
      <c r="H38"/>
      <c r="I38"/>
      <c r="J38" s="943">
        <v>3.07</v>
      </c>
      <c r="K38" s="943">
        <v>1.9476767337786345</v>
      </c>
      <c r="L38" s="943">
        <v>2.9047076945328452</v>
      </c>
      <c r="M38" s="943">
        <v>0.61801458377461382</v>
      </c>
      <c r="N38" s="943">
        <v>1.5697016156831121</v>
      </c>
      <c r="O38" s="943">
        <v>1.7584716898357016</v>
      </c>
      <c r="P38" s="943">
        <v>0.76064584014359071</v>
      </c>
      <c r="Q38" s="943">
        <v>0.76064584014359071</v>
      </c>
      <c r="R38" s="943">
        <v>0.76064584014359071</v>
      </c>
      <c r="S38" s="943">
        <v>0.76064584014359071</v>
      </c>
      <c r="T38" s="943">
        <v>0.76064584014359071</v>
      </c>
      <c r="U38" s="943">
        <v>0.76064584014359071</v>
      </c>
      <c r="V38" s="94">
        <v>0.76064584014359071</v>
      </c>
      <c r="W38" s="94">
        <f>V38</f>
        <v>0.76064584014359071</v>
      </c>
      <c r="X38" s="94">
        <f t="shared" ref="X38:AE38" si="12">W38</f>
        <v>0.76064584014359071</v>
      </c>
      <c r="Y38" s="94">
        <f t="shared" si="12"/>
        <v>0.76064584014359071</v>
      </c>
      <c r="Z38" s="94">
        <f t="shared" si="12"/>
        <v>0.76064584014359071</v>
      </c>
      <c r="AA38" s="94">
        <f t="shared" si="12"/>
        <v>0.76064584014359071</v>
      </c>
      <c r="AB38" s="94">
        <f t="shared" si="12"/>
        <v>0.76064584014359071</v>
      </c>
      <c r="AC38" s="94">
        <f t="shared" si="12"/>
        <v>0.76064584014359071</v>
      </c>
      <c r="AD38" s="94">
        <f t="shared" si="12"/>
        <v>0.76064584014359071</v>
      </c>
      <c r="AE38" s="94">
        <f t="shared" si="12"/>
        <v>0.76064584014359071</v>
      </c>
    </row>
    <row r="39" spans="1:31" ht="15.75">
      <c r="A39" s="59" t="s">
        <v>154</v>
      </c>
      <c r="B39" s="65" t="s">
        <v>155</v>
      </c>
      <c r="C39" s="49" t="s">
        <v>304</v>
      </c>
      <c r="D39" s="49"/>
      <c r="E39" s="49"/>
      <c r="F39" s="49"/>
      <c r="G39" s="944"/>
      <c r="H39" s="945"/>
      <c r="I39" s="945"/>
      <c r="J39" s="945"/>
      <c r="K39" s="945">
        <v>43.09</v>
      </c>
      <c r="L39" s="945">
        <v>38.648915187376723</v>
      </c>
      <c r="M39" s="945">
        <v>36.565876589230839</v>
      </c>
      <c r="N39" s="945">
        <v>31.733616426711496</v>
      </c>
      <c r="O39" s="945">
        <v>25.623331947923781</v>
      </c>
      <c r="P39" s="945">
        <v>27.451568025909381</v>
      </c>
      <c r="Q39" s="925">
        <v>27.451568025909381</v>
      </c>
      <c r="R39" s="949">
        <v>27.451568025909381</v>
      </c>
      <c r="S39" s="949">
        <v>26.63</v>
      </c>
      <c r="T39" s="949">
        <v>26.63</v>
      </c>
      <c r="U39" s="397">
        <v>25</v>
      </c>
      <c r="V39" s="397">
        <v>25</v>
      </c>
      <c r="W39" s="397">
        <v>25</v>
      </c>
      <c r="X39" s="397">
        <v>26</v>
      </c>
      <c r="Y39" s="397">
        <v>27</v>
      </c>
      <c r="Z39" s="397">
        <v>28</v>
      </c>
      <c r="AA39" s="397">
        <v>29</v>
      </c>
      <c r="AB39" s="397">
        <v>30</v>
      </c>
      <c r="AC39" s="397">
        <v>31</v>
      </c>
      <c r="AD39" s="397">
        <v>32</v>
      </c>
      <c r="AE39" s="397">
        <v>33</v>
      </c>
    </row>
    <row r="40" spans="1:31" ht="15.75">
      <c r="A40" s="59" t="s">
        <v>305</v>
      </c>
      <c r="B40" s="66" t="s">
        <v>306</v>
      </c>
      <c r="C40" s="49" t="s">
        <v>307</v>
      </c>
      <c r="D40" s="49"/>
      <c r="E40" s="49"/>
      <c r="F40" s="49"/>
      <c r="G40" s="944"/>
      <c r="H40" s="944"/>
      <c r="I40" s="944"/>
      <c r="J40" s="944"/>
      <c r="K40" s="944"/>
      <c r="L40" s="944"/>
      <c r="M40" s="944"/>
      <c r="N40" s="944"/>
      <c r="O40" s="944"/>
      <c r="P40" s="944">
        <v>7.5</v>
      </c>
      <c r="Q40" s="946">
        <v>9</v>
      </c>
      <c r="R40" s="950">
        <v>10.96875</v>
      </c>
      <c r="S40" s="950">
        <v>10.96875</v>
      </c>
      <c r="T40" s="950">
        <v>10.96875</v>
      </c>
      <c r="U40" s="399">
        <v>11.5171875</v>
      </c>
      <c r="V40">
        <v>12.093046875000001</v>
      </c>
      <c r="W40" s="399">
        <f t="shared" ref="W40" si="13">V40*1.05</f>
        <v>12.697699218750001</v>
      </c>
      <c r="X40" s="399">
        <f t="shared" ref="X40" si="14">W40*1.05</f>
        <v>13.332584179687501</v>
      </c>
      <c r="Y40" s="399">
        <f t="shared" ref="Y40" si="15">X40*1.05</f>
        <v>13.999213388671876</v>
      </c>
      <c r="Z40" s="399">
        <f t="shared" ref="Z40" si="16">Y40*1.05</f>
        <v>14.69917405810547</v>
      </c>
      <c r="AA40" s="399">
        <f t="shared" ref="AA40" si="17">Z40*1.05</f>
        <v>15.434132761010744</v>
      </c>
      <c r="AB40" s="399">
        <f t="shared" ref="AB40" si="18">AA40*1.05</f>
        <v>16.205839399061283</v>
      </c>
      <c r="AC40" s="399">
        <f t="shared" ref="AC40" si="19">AB40*1.05</f>
        <v>17.016131369014349</v>
      </c>
      <c r="AD40" s="399">
        <f t="shared" ref="AD40" si="20">AC40*1.05</f>
        <v>17.866937937465067</v>
      </c>
      <c r="AE40" s="399">
        <f t="shared" ref="AE40" si="21">AD40*1.05</f>
        <v>18.760284834338322</v>
      </c>
    </row>
    <row r="41" spans="1:31">
      <c r="A41" s="58"/>
      <c r="B41" s="58" t="s">
        <v>308</v>
      </c>
      <c r="C41" s="52" t="s">
        <v>309</v>
      </c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</row>
    <row r="42" spans="1:31">
      <c r="A42" s="67"/>
      <c r="B42" s="67" t="s">
        <v>310</v>
      </c>
      <c r="C42" s="42" t="s">
        <v>311</v>
      </c>
      <c r="D42" s="42"/>
      <c r="E42" s="42"/>
      <c r="F42" s="42"/>
      <c r="G42" s="952"/>
      <c r="H42" s="952"/>
      <c r="I42" s="953"/>
      <c r="J42" s="953"/>
      <c r="K42" s="953"/>
      <c r="L42" s="953"/>
      <c r="M42" s="111">
        <v>439.82167100304002</v>
      </c>
      <c r="N42" s="111">
        <v>419.15005246589715</v>
      </c>
      <c r="O42" s="111">
        <v>399.45</v>
      </c>
      <c r="P42" s="111">
        <v>357.78974358974364</v>
      </c>
      <c r="Q42" s="111">
        <v>348.84500000000003</v>
      </c>
      <c r="R42" s="111">
        <v>278.39999999999998</v>
      </c>
      <c r="S42" s="111">
        <v>272.5</v>
      </c>
      <c r="T42" s="111">
        <v>216.4</v>
      </c>
      <c r="U42" s="111">
        <v>125.7</v>
      </c>
      <c r="V42">
        <v>139.1</v>
      </c>
      <c r="W42">
        <v>129.30000000000001</v>
      </c>
      <c r="X42">
        <v>103.1</v>
      </c>
      <c r="Y42">
        <v>95.8</v>
      </c>
      <c r="Z42">
        <v>100.8</v>
      </c>
      <c r="AA42">
        <v>84</v>
      </c>
      <c r="AB42">
        <v>60.5</v>
      </c>
      <c r="AC42">
        <v>62</v>
      </c>
      <c r="AD42">
        <v>66.599999999999994</v>
      </c>
      <c r="AE42" s="564">
        <v>82.2</v>
      </c>
    </row>
    <row r="43" spans="1:31" ht="15.75">
      <c r="A43" s="59" t="s">
        <v>181</v>
      </c>
      <c r="B43" s="54" t="s">
        <v>182</v>
      </c>
      <c r="C43" s="54" t="s">
        <v>312</v>
      </c>
      <c r="D43" s="54"/>
      <c r="E43" s="54"/>
      <c r="F43" s="54"/>
      <c r="G43" s="924"/>
      <c r="H43" s="954"/>
      <c r="I43" s="954"/>
      <c r="J43" s="954"/>
      <c r="K43" s="954"/>
      <c r="L43" s="954"/>
      <c r="M43" s="394">
        <v>1.909401367342346</v>
      </c>
      <c r="N43" s="394">
        <v>1.9965553984228315</v>
      </c>
      <c r="O43" s="394">
        <v>2.0456312429590691</v>
      </c>
      <c r="P43" s="394">
        <v>1.798345009961444</v>
      </c>
      <c r="Q43" s="394">
        <v>2.0301767260531181</v>
      </c>
      <c r="R43" s="394">
        <v>1.9040948275862071</v>
      </c>
      <c r="S43" s="394">
        <v>1.7431192660550459</v>
      </c>
      <c r="T43" s="394">
        <v>1.798521256931608</v>
      </c>
      <c r="U43" s="394">
        <v>1.9984089101034208</v>
      </c>
      <c r="V43" s="94">
        <f>Industry!V161</f>
        <v>1.8483105679367364</v>
      </c>
      <c r="W43" s="94">
        <f>Industry!W161</f>
        <v>2.0216550657385919</v>
      </c>
      <c r="X43" s="94">
        <f>Industry!X161</f>
        <v>1.9903006789524733</v>
      </c>
      <c r="Y43" s="94">
        <f>Industry!Y161</f>
        <v>1.6670146137787056</v>
      </c>
      <c r="Z43" s="94">
        <f>Industry!Z161</f>
        <v>1.95734126984127</v>
      </c>
      <c r="AA43" s="94">
        <f>Industry!AA161</f>
        <v>2.038095238095238</v>
      </c>
      <c r="AB43" s="94">
        <f>Industry!AB161</f>
        <v>1.7322314049586776</v>
      </c>
      <c r="AC43" s="94">
        <f>Industry!AC161</f>
        <v>1.7748387096774194</v>
      </c>
      <c r="AD43" s="94">
        <f>Industry!AD161</f>
        <v>1.8483483483483485</v>
      </c>
      <c r="AE43" s="94">
        <f>Industry!AE161</f>
        <v>1.9452554744525548</v>
      </c>
    </row>
    <row r="44" spans="1:31">
      <c r="A44" s="53"/>
      <c r="B44" s="53" t="s">
        <v>313</v>
      </c>
      <c r="C44" s="54"/>
      <c r="D44" s="54"/>
      <c r="E44" s="54"/>
      <c r="F44" s="54"/>
      <c r="G44" s="924"/>
      <c r="H44" s="924"/>
      <c r="I44" s="924"/>
      <c r="J44" s="924"/>
      <c r="K44" s="924"/>
      <c r="L44" s="924"/>
      <c r="M44" s="924"/>
      <c r="N44" s="924"/>
      <c r="O44" s="924"/>
      <c r="P44" s="924"/>
      <c r="Q44" s="387">
        <v>0</v>
      </c>
      <c r="R44" s="387">
        <v>0</v>
      </c>
      <c r="S44" s="387">
        <v>0</v>
      </c>
      <c r="T44" s="387">
        <v>0</v>
      </c>
      <c r="U44" s="387">
        <v>0</v>
      </c>
      <c r="V44">
        <f>Industry!V148</f>
        <v>0</v>
      </c>
      <c r="W44">
        <f>Industry!W148</f>
        <v>0</v>
      </c>
      <c r="X44">
        <f>Industry!X148</f>
        <v>0</v>
      </c>
      <c r="Y44">
        <f>Industry!Y148</f>
        <v>0</v>
      </c>
      <c r="Z44">
        <f>Industry!Z148</f>
        <v>0</v>
      </c>
      <c r="AA44">
        <f>Industry!AA148</f>
        <v>0</v>
      </c>
      <c r="AB44">
        <f>Industry!AB148</f>
        <v>0</v>
      </c>
      <c r="AC44">
        <f>Industry!AC148</f>
        <v>0</v>
      </c>
      <c r="AD44">
        <f>Industry!AD148</f>
        <v>0</v>
      </c>
      <c r="AE44">
        <f>Industry!AE148</f>
        <v>0</v>
      </c>
    </row>
    <row r="45" spans="1:31">
      <c r="A45" s="53"/>
      <c r="B45" s="13" t="s">
        <v>176</v>
      </c>
      <c r="C45" s="13"/>
      <c r="D45" s="13"/>
      <c r="E45" s="13"/>
      <c r="F45" s="13"/>
      <c r="G45" s="5"/>
      <c r="H45" s="5"/>
      <c r="I45" s="5"/>
      <c r="J45" s="5"/>
      <c r="K45" s="5"/>
      <c r="L45" s="5"/>
      <c r="M45" s="5"/>
      <c r="N45" s="5"/>
      <c r="O45" s="5"/>
      <c r="P45" s="5"/>
      <c r="Q45" s="958">
        <v>1.9698490130453192</v>
      </c>
      <c r="R45" s="958">
        <v>3.7714788153926095</v>
      </c>
      <c r="S45" s="958">
        <v>2.6290192404603392</v>
      </c>
      <c r="T45" s="958">
        <v>2.6290192404603392</v>
      </c>
      <c r="U45" s="958">
        <v>2.6290192404603392</v>
      </c>
      <c r="V45" s="94">
        <f>Industry!V155</f>
        <v>2.6290192404603392</v>
      </c>
      <c r="W45" s="94">
        <f>Industry!W155</f>
        <v>2.6290192404603392</v>
      </c>
      <c r="X45" s="94">
        <f>Industry!X155</f>
        <v>2.6290192404603392</v>
      </c>
      <c r="Y45" s="94">
        <f>Industry!Y155</f>
        <v>2.6290192404603392</v>
      </c>
      <c r="Z45" s="94">
        <f>Industry!Z155</f>
        <v>2.6290192404603392</v>
      </c>
      <c r="AA45" s="94">
        <f>Industry!AA155</f>
        <v>2.6290192404603392</v>
      </c>
      <c r="AB45" s="94">
        <f>Industry!AB155</f>
        <v>2.6290192404603392</v>
      </c>
      <c r="AC45" s="94">
        <f>Industry!AC155</f>
        <v>2.6290192404603392</v>
      </c>
      <c r="AD45" s="94">
        <f>Industry!AD155</f>
        <v>2.6290192404603392</v>
      </c>
      <c r="AE45" s="610">
        <f>Industry!AE155</f>
        <v>2.6290192404603392</v>
      </c>
    </row>
    <row r="46" spans="1:31">
      <c r="A46" s="68"/>
      <c r="B46" s="68" t="s">
        <v>314</v>
      </c>
      <c r="C46" s="69" t="s">
        <v>315</v>
      </c>
      <c r="D46" s="69"/>
      <c r="E46" s="69"/>
      <c r="F46" s="69"/>
      <c r="G46" s="955"/>
      <c r="H46" s="955"/>
      <c r="I46" s="956"/>
      <c r="J46" s="956"/>
      <c r="K46" s="956"/>
      <c r="L46" s="956"/>
      <c r="M46" s="956"/>
      <c r="N46" s="956"/>
      <c r="O46" s="956"/>
      <c r="P46" s="956"/>
      <c r="Q46" s="956"/>
      <c r="R46" s="957"/>
      <c r="S46" s="957"/>
      <c r="T46" s="957"/>
      <c r="U46" s="957"/>
    </row>
    <row r="47" spans="1:31">
      <c r="A47" s="53"/>
      <c r="B47" s="13" t="s">
        <v>316</v>
      </c>
      <c r="C47" s="13"/>
      <c r="D47" s="13"/>
      <c r="E47" s="13"/>
      <c r="F47" s="13"/>
      <c r="G47" s="5"/>
      <c r="H47" s="5"/>
      <c r="I47" s="5"/>
      <c r="J47" s="5"/>
      <c r="K47" s="5"/>
      <c r="L47" s="5"/>
      <c r="M47" s="5"/>
      <c r="N47" s="5"/>
      <c r="O47" s="5"/>
      <c r="P47" s="5"/>
      <c r="Q47" s="817">
        <v>310.67961165048547</v>
      </c>
      <c r="R47" s="960">
        <v>416</v>
      </c>
      <c r="S47" s="959">
        <v>418.1</v>
      </c>
      <c r="T47" s="959">
        <v>392.81099999999998</v>
      </c>
      <c r="U47" s="959">
        <v>372.65</v>
      </c>
      <c r="V47">
        <v>276.10000000000002</v>
      </c>
      <c r="W47">
        <v>284.7</v>
      </c>
      <c r="X47">
        <v>385.6</v>
      </c>
      <c r="Y47">
        <v>300.3</v>
      </c>
      <c r="Z47">
        <v>403</v>
      </c>
      <c r="AA47">
        <v>395.7</v>
      </c>
      <c r="AB47">
        <v>388.8</v>
      </c>
      <c r="AC47">
        <v>404.7</v>
      </c>
      <c r="AD47">
        <v>344.4</v>
      </c>
      <c r="AE47" s="604">
        <v>253.2</v>
      </c>
    </row>
    <row r="48" spans="1:31">
      <c r="A48" s="53"/>
      <c r="B48" s="13" t="s">
        <v>219</v>
      </c>
      <c r="C48" s="13"/>
      <c r="D48" s="13"/>
      <c r="E48" s="13"/>
      <c r="F48" s="13"/>
      <c r="G48" s="5"/>
      <c r="H48" s="5"/>
      <c r="I48" s="5"/>
      <c r="J48" s="5"/>
      <c r="K48" s="5"/>
      <c r="L48" s="5"/>
      <c r="M48" s="5"/>
      <c r="N48" s="5"/>
      <c r="O48" s="5"/>
      <c r="P48" s="5"/>
      <c r="Q48" s="809">
        <v>10.348345588235308</v>
      </c>
      <c r="R48" s="809">
        <v>48.842406674208135</v>
      </c>
      <c r="S48" s="809">
        <v>-1.1922984931834302</v>
      </c>
      <c r="T48" s="809">
        <v>14.268005253836346</v>
      </c>
      <c r="U48" s="809">
        <v>31.807957316832546</v>
      </c>
      <c r="V48" s="93">
        <f>Industry!V201</f>
        <v>-14.834778532927096</v>
      </c>
      <c r="W48" s="93">
        <f>Industry!W201</f>
        <v>9.7398706584846728</v>
      </c>
      <c r="X48" s="93">
        <f>Industry!X201</f>
        <v>42.107029533805232</v>
      </c>
      <c r="Y48" s="93">
        <f>Industry!Y201</f>
        <v>8.9146147969677578</v>
      </c>
      <c r="Z48" s="93">
        <f>Industry!Z201</f>
        <v>31.323894321996804</v>
      </c>
      <c r="AA48" s="93">
        <f>Industry!AA201</f>
        <v>25.597229035662792</v>
      </c>
      <c r="AB48" s="93">
        <f>Industry!AB201</f>
        <v>26.072898295120517</v>
      </c>
      <c r="AC48" s="93">
        <f>Industry!AC201</f>
        <v>42.8147834374669</v>
      </c>
      <c r="AD48" s="93">
        <f>Industry!AD201</f>
        <v>9.3247054919528676</v>
      </c>
      <c r="AE48" s="594">
        <f>Industry!AE201</f>
        <v>-13.432408034303789</v>
      </c>
    </row>
    <row r="49" spans="1:31">
      <c r="A49" s="53"/>
      <c r="B49" s="13" t="s">
        <v>220</v>
      </c>
      <c r="C49" s="13"/>
      <c r="D49" s="13"/>
      <c r="E49" s="13"/>
      <c r="F49" s="13"/>
      <c r="G49" s="5"/>
      <c r="H49" s="5"/>
      <c r="I49" s="5"/>
      <c r="J49" s="5"/>
      <c r="K49" s="5"/>
      <c r="L49" s="5"/>
      <c r="M49" s="5"/>
      <c r="N49" s="5"/>
      <c r="O49" s="5"/>
      <c r="P49" s="5"/>
      <c r="Q49" s="809">
        <v>56.811173283595416</v>
      </c>
      <c r="R49" s="809">
        <v>92.297926977376392</v>
      </c>
      <c r="S49" s="809">
        <v>92.297926977376392</v>
      </c>
      <c r="T49" s="809">
        <v>92.297926977376392</v>
      </c>
      <c r="U49" s="809">
        <v>92.297926977376392</v>
      </c>
      <c r="V49" s="94">
        <f>Industry!V202</f>
        <v>92.297926977376392</v>
      </c>
      <c r="W49" s="94">
        <f>Industry!W202</f>
        <v>85</v>
      </c>
      <c r="X49" s="94">
        <f>Industry!X202</f>
        <v>85</v>
      </c>
      <c r="Y49" s="94">
        <f>Industry!Y202</f>
        <v>85</v>
      </c>
      <c r="Z49" s="94">
        <f>Industry!Z202</f>
        <v>95</v>
      </c>
      <c r="AA49" s="94">
        <f>Industry!AA202</f>
        <v>95</v>
      </c>
      <c r="AB49" s="94">
        <f>Industry!AB202</f>
        <v>95</v>
      </c>
      <c r="AC49" s="94">
        <f>Industry!AC202</f>
        <v>86</v>
      </c>
      <c r="AD49" s="94">
        <f>Industry!AD202</f>
        <v>86</v>
      </c>
      <c r="AE49" s="610">
        <f>Industry!AE202</f>
        <v>86</v>
      </c>
    </row>
    <row r="50" spans="1:31">
      <c r="A50" s="70" t="s">
        <v>317</v>
      </c>
      <c r="B50" s="71" t="s">
        <v>318</v>
      </c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400">
        <v>120</v>
      </c>
      <c r="W50" s="400">
        <f>V50</f>
        <v>120</v>
      </c>
      <c r="X50" s="400">
        <f t="shared" ref="X50:AE50" si="22">W50</f>
        <v>120</v>
      </c>
      <c r="Y50" s="400">
        <f t="shared" si="22"/>
        <v>120</v>
      </c>
      <c r="Z50" s="400">
        <f t="shared" si="22"/>
        <v>120</v>
      </c>
      <c r="AA50" s="400">
        <f t="shared" si="22"/>
        <v>120</v>
      </c>
      <c r="AB50" s="400">
        <f t="shared" si="22"/>
        <v>120</v>
      </c>
      <c r="AC50" s="400">
        <f t="shared" si="22"/>
        <v>120</v>
      </c>
      <c r="AD50" s="400">
        <f t="shared" si="22"/>
        <v>120</v>
      </c>
      <c r="AE50" s="400">
        <f t="shared" si="22"/>
        <v>120</v>
      </c>
    </row>
    <row r="51" spans="1:31">
      <c r="A51" s="58"/>
      <c r="B51" s="58" t="s">
        <v>319</v>
      </c>
      <c r="C51" s="52" t="s">
        <v>320</v>
      </c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</row>
    <row r="52" spans="1:31" ht="15.75">
      <c r="A52" s="65" t="s">
        <v>321</v>
      </c>
      <c r="B52" s="42" t="s">
        <v>322</v>
      </c>
      <c r="C52" s="72" t="s">
        <v>323</v>
      </c>
      <c r="D52" s="72"/>
      <c r="E52" s="72"/>
      <c r="F52" s="72"/>
      <c r="G52" s="924"/>
      <c r="H52" s="924"/>
      <c r="I52" s="924"/>
      <c r="J52" s="924"/>
      <c r="K52" s="924"/>
      <c r="L52" s="969">
        <v>768.1</v>
      </c>
      <c r="M52" s="969">
        <v>662.5</v>
      </c>
      <c r="N52" s="969">
        <v>904</v>
      </c>
      <c r="O52" s="969">
        <v>1088.8</v>
      </c>
      <c r="P52" s="969">
        <v>2242.1999999999998</v>
      </c>
      <c r="Q52" s="974">
        <v>2267.4</v>
      </c>
      <c r="R52" s="974">
        <v>2898.8</v>
      </c>
      <c r="S52" s="974">
        <v>3838.8</v>
      </c>
      <c r="T52" s="974">
        <v>4525.3</v>
      </c>
      <c r="U52" s="974">
        <v>5399.5</v>
      </c>
      <c r="V52">
        <f>Household!V40</f>
        <v>4055.1</v>
      </c>
      <c r="W52">
        <f>Household!W40</f>
        <v>4817.8999999999996</v>
      </c>
      <c r="X52">
        <f>Household!X40</f>
        <v>5466.7</v>
      </c>
      <c r="Y52">
        <f>Household!Y40</f>
        <v>5744</v>
      </c>
      <c r="Z52">
        <f>Household!Z40</f>
        <v>6433.2</v>
      </c>
      <c r="AA52">
        <f>Household!AA40</f>
        <v>7283.3</v>
      </c>
      <c r="AB52">
        <f>Household!AB40</f>
        <v>8932.6</v>
      </c>
      <c r="AC52">
        <f>Household!AC40</f>
        <v>10146.4</v>
      </c>
      <c r="AD52">
        <f>Household!AD40</f>
        <v>10448.9</v>
      </c>
      <c r="AE52" s="611">
        <f t="shared" ref="AE52" si="23">AD52*1.15</f>
        <v>12016.234999999999</v>
      </c>
    </row>
    <row r="53" spans="1:31">
      <c r="A53" s="65" t="s">
        <v>324</v>
      </c>
      <c r="B53" s="42" t="s">
        <v>325</v>
      </c>
      <c r="C53" s="72" t="s">
        <v>326</v>
      </c>
      <c r="D53" s="72"/>
      <c r="E53" s="72"/>
      <c r="F53" s="72"/>
      <c r="G53" s="924"/>
      <c r="H53" s="924"/>
      <c r="I53" s="962"/>
      <c r="J53" s="962"/>
      <c r="K53" s="962"/>
      <c r="L53" s="924">
        <v>260.60000000000002</v>
      </c>
      <c r="M53" s="924">
        <v>365.7</v>
      </c>
      <c r="N53" s="924">
        <v>526.5</v>
      </c>
      <c r="O53" s="924">
        <v>652</v>
      </c>
      <c r="P53" s="924">
        <v>919.3</v>
      </c>
      <c r="Q53" s="930">
        <v>1138.2</v>
      </c>
      <c r="R53" s="930">
        <v>1328.9</v>
      </c>
      <c r="S53" s="930">
        <v>1744.4</v>
      </c>
      <c r="T53" s="930">
        <v>2401.1999999999998</v>
      </c>
      <c r="U53" s="930">
        <v>3177.3</v>
      </c>
      <c r="V53">
        <f>Household!V34</f>
        <v>3403.7</v>
      </c>
      <c r="W53">
        <f>Household!W34</f>
        <v>3915.2</v>
      </c>
      <c r="X53">
        <f>Household!X34</f>
        <v>4496.8999999999996</v>
      </c>
      <c r="Y53">
        <f>Household!Y34</f>
        <v>4923.8999999999996</v>
      </c>
      <c r="Z53">
        <f>Household!Z34</f>
        <v>4980.3</v>
      </c>
      <c r="AA53">
        <f>Household!AA34</f>
        <v>5417.4</v>
      </c>
      <c r="AB53">
        <f>Household!AB34</f>
        <v>6169.5</v>
      </c>
      <c r="AC53">
        <f>Household!AC34</f>
        <v>7053.8</v>
      </c>
      <c r="AD53">
        <f>Household!AD34</f>
        <v>10667.5</v>
      </c>
      <c r="AE53" s="612">
        <f t="shared" ref="AE53" si="24">AD53*1.051</f>
        <v>11211.5425</v>
      </c>
    </row>
    <row r="54" spans="1:31" ht="15.75">
      <c r="A54" s="73" t="s">
        <v>327</v>
      </c>
      <c r="B54" s="42" t="s">
        <v>328</v>
      </c>
      <c r="C54" s="42" t="s">
        <v>329</v>
      </c>
      <c r="D54" s="42"/>
      <c r="E54" s="42"/>
      <c r="F54" s="42"/>
      <c r="G54" s="54"/>
      <c r="H54" s="54"/>
      <c r="I54" s="54"/>
      <c r="J54" s="54"/>
      <c r="K54" s="54"/>
      <c r="L54" s="935">
        <v>0.53987117977610521</v>
      </c>
      <c r="M54" s="935">
        <v>0.50037000761780381</v>
      </c>
      <c r="N54" s="935">
        <v>0.51621081542646374</v>
      </c>
      <c r="O54" s="935">
        <v>0.48912018323901918</v>
      </c>
      <c r="P54" s="935">
        <v>0.49335229677089032</v>
      </c>
      <c r="Q54" s="948">
        <v>0.43829083614054787</v>
      </c>
      <c r="R54" s="948">
        <v>0.52143208643344519</v>
      </c>
      <c r="S54" s="948">
        <v>0.493449080622959</v>
      </c>
      <c r="T54" s="948">
        <v>0.24164971826759579</v>
      </c>
      <c r="U54" s="948">
        <v>0.47636450007917391</v>
      </c>
      <c r="V54" s="242">
        <f>Household!V50</f>
        <v>0.58012318283758491</v>
      </c>
      <c r="W54" s="242">
        <f>Household!W50</f>
        <v>0.57395592971295306</v>
      </c>
      <c r="X54" s="242">
        <f>Household!X50</f>
        <v>0.52718849450311001</v>
      </c>
      <c r="Y54" s="242">
        <f>Household!Y50</f>
        <v>0.58098417100470889</v>
      </c>
      <c r="Z54" s="242">
        <f>Household!Z50</f>
        <v>0.61640586212769299</v>
      </c>
      <c r="AA54" s="242">
        <f>Household!AA50</f>
        <v>0.53955207471087674</v>
      </c>
      <c r="AB54" s="242">
        <f>Household!AB50</f>
        <v>0.53486418345828068</v>
      </c>
      <c r="AC54" s="242">
        <f>Household!AC50</f>
        <v>0.49758956998257164</v>
      </c>
      <c r="AD54" s="242">
        <f>Household!AD50</f>
        <v>0.59685454805679272</v>
      </c>
      <c r="AE54" s="613">
        <f t="shared" ref="AE54" si="25">AD54</f>
        <v>0.59685454805679272</v>
      </c>
    </row>
    <row r="55" spans="1:31">
      <c r="A55" s="74"/>
      <c r="B55" s="58" t="s">
        <v>330</v>
      </c>
      <c r="C55" s="52" t="s">
        <v>331</v>
      </c>
      <c r="D55" s="52"/>
      <c r="E55" s="52"/>
      <c r="F55" s="52"/>
      <c r="G55" s="81"/>
      <c r="H55" s="81"/>
      <c r="I55" s="81"/>
      <c r="J55" s="81"/>
      <c r="K55" s="81"/>
      <c r="L55" s="963"/>
      <c r="M55" s="963"/>
      <c r="N55" s="963"/>
      <c r="O55" s="963"/>
      <c r="P55" s="963"/>
      <c r="Q55" s="936"/>
      <c r="R55" s="961"/>
      <c r="S55" s="961"/>
      <c r="T55" s="961"/>
      <c r="U55" s="961"/>
    </row>
    <row r="56" spans="1:31">
      <c r="A56" s="59" t="s">
        <v>332</v>
      </c>
      <c r="B56" s="75" t="s">
        <v>333</v>
      </c>
      <c r="C56" s="75" t="s">
        <v>334</v>
      </c>
      <c r="D56" s="75"/>
      <c r="E56" s="75"/>
      <c r="F56" s="75"/>
      <c r="G56" s="54"/>
      <c r="H56" s="54"/>
      <c r="I56" s="54"/>
      <c r="J56" s="54"/>
      <c r="K56" s="54"/>
      <c r="L56" s="925">
        <v>1.4000000000000057</v>
      </c>
      <c r="M56" s="925">
        <v>5.7000000000000028</v>
      </c>
      <c r="N56" s="925">
        <v>3.5</v>
      </c>
      <c r="O56" s="925">
        <v>6.0999999999999943</v>
      </c>
      <c r="P56" s="925">
        <v>10.5</v>
      </c>
      <c r="Q56" s="975">
        <v>6.8</v>
      </c>
      <c r="R56" s="975">
        <v>7.9000000000000057</v>
      </c>
      <c r="S56" s="975">
        <v>10.400000000000006</v>
      </c>
      <c r="T56" s="975">
        <v>7.5999999999999943</v>
      </c>
      <c r="U56" s="975">
        <v>4.5</v>
      </c>
      <c r="V56">
        <f>GDP!V33-100</f>
        <v>3.2000000000000028</v>
      </c>
      <c r="W56">
        <f>GDP!W33-100</f>
        <v>5.2000000000000028</v>
      </c>
      <c r="X56">
        <f>GDP!X33-100</f>
        <v>6.7999999999999972</v>
      </c>
      <c r="Y56">
        <f>GDP!Y33-100</f>
        <v>7</v>
      </c>
      <c r="Z56">
        <f>GDP!Z33-100</f>
        <v>7</v>
      </c>
      <c r="AA56">
        <f>GDP!AA33-100</f>
        <v>7.9000000000000057</v>
      </c>
      <c r="AB56">
        <f>GDP!AB33-100</f>
        <v>-0.29999999999999716</v>
      </c>
      <c r="AC56">
        <f>GDP!AC33-100</f>
        <v>8</v>
      </c>
      <c r="AD56">
        <f>GDP!AD33-100</f>
        <v>12.200000000000003</v>
      </c>
      <c r="AE56">
        <f>GDP!AE33-100</f>
        <v>10.599999999999994</v>
      </c>
    </row>
    <row r="57" spans="1:31">
      <c r="A57" s="53" t="s">
        <v>335</v>
      </c>
      <c r="B57" s="75" t="s">
        <v>336</v>
      </c>
      <c r="C57" s="75" t="s">
        <v>337</v>
      </c>
      <c r="D57" s="75"/>
      <c r="E57" s="75"/>
      <c r="F57" s="75"/>
      <c r="G57" s="54"/>
      <c r="H57" s="54"/>
      <c r="I57" s="54"/>
      <c r="J57" s="54"/>
      <c r="K57" s="54"/>
      <c r="L57" s="925">
        <v>27.033940487693215</v>
      </c>
      <c r="M57" s="925">
        <v>24.057581153456738</v>
      </c>
      <c r="N57" s="925">
        <v>20.051662307599173</v>
      </c>
      <c r="O57" s="925">
        <v>33.249432035611846</v>
      </c>
      <c r="P57" s="925">
        <v>-1.5506860260498456</v>
      </c>
      <c r="Q57" s="111">
        <v>-6.1758248826038198E-4</v>
      </c>
      <c r="R57" s="111">
        <v>46.578802608890129</v>
      </c>
      <c r="S57" s="111">
        <v>0.48455049807405715</v>
      </c>
      <c r="T57" s="111">
        <v>-5.4890103041265519</v>
      </c>
      <c r="U57" s="111">
        <v>20.052103157581811</v>
      </c>
      <c r="V57" s="111">
        <f>Agriculture!V4-100</f>
        <v>-0.53838649107571257</v>
      </c>
      <c r="W57" s="111">
        <f>Agriculture!W4-100</f>
        <v>0.91553984452420423</v>
      </c>
      <c r="X57" s="111">
        <f>Agriculture!X4-100</f>
        <v>0.45209406332661217</v>
      </c>
      <c r="Y57" s="111">
        <f>Agriculture!Y4-100</f>
        <v>0.28133214077102764</v>
      </c>
      <c r="Z57" s="111">
        <f>Agriculture!Z4-100</f>
        <v>-1.6508979001830255</v>
      </c>
      <c r="AA57" s="111">
        <f>Agriculture!AA4-100</f>
        <v>24.565997455618657</v>
      </c>
      <c r="AB57" s="111">
        <f>Agriculture!AB4-100</f>
        <v>6.9457864187332916</v>
      </c>
      <c r="AC57" s="111">
        <f>Agriculture!AC4-100</f>
        <v>14.71782977010615</v>
      </c>
      <c r="AD57" s="111">
        <f>Agriculture!AD4-100</f>
        <v>17.356207904397252</v>
      </c>
      <c r="AE57" s="111">
        <f>Agriculture!AE4-100</f>
        <v>6.1281390496454407</v>
      </c>
    </row>
    <row r="58" spans="1:31">
      <c r="A58" s="53" t="s">
        <v>338</v>
      </c>
      <c r="B58" s="75" t="s">
        <v>339</v>
      </c>
      <c r="C58" s="75" t="s">
        <v>340</v>
      </c>
      <c r="D58" s="75"/>
      <c r="E58" s="75"/>
      <c r="F58" s="75"/>
      <c r="G58" s="54"/>
      <c r="H58" s="54"/>
      <c r="I58" s="54"/>
      <c r="J58" s="54"/>
      <c r="K58" s="54"/>
      <c r="L58" s="925"/>
      <c r="M58" s="925"/>
      <c r="N58" s="925"/>
      <c r="O58" s="925"/>
      <c r="P58" s="362">
        <v>194</v>
      </c>
      <c r="Q58" s="360">
        <v>257</v>
      </c>
      <c r="R58" s="360">
        <v>89.686000000000007</v>
      </c>
      <c r="S58" s="360">
        <v>103.324</v>
      </c>
      <c r="T58" s="360">
        <v>227</v>
      </c>
      <c r="U58" s="360">
        <v>179.3</v>
      </c>
      <c r="V58">
        <f>Trade!V18</f>
        <v>220.4</v>
      </c>
      <c r="W58">
        <f>Trade!W18</f>
        <v>170.4</v>
      </c>
      <c r="X58">
        <f>Trade!X18</f>
        <v>118.6</v>
      </c>
      <c r="Y58">
        <f>Trade!Y18</f>
        <v>136.9</v>
      </c>
      <c r="Z58">
        <f>Trade!Z18</f>
        <v>118.4</v>
      </c>
      <c r="AA58">
        <f>Trade!AA18</f>
        <v>129</v>
      </c>
      <c r="AB58">
        <f>Trade!AB18</f>
        <v>208</v>
      </c>
      <c r="AC58">
        <f>Trade!AC18</f>
        <v>189.3</v>
      </c>
      <c r="AD58">
        <f>Trade!AD18</f>
        <v>177.1</v>
      </c>
      <c r="AE58">
        <f>Trade!AE18</f>
        <v>165.3</v>
      </c>
    </row>
    <row r="59" spans="1:31">
      <c r="A59" s="58"/>
      <c r="B59" s="58" t="s">
        <v>341</v>
      </c>
      <c r="C59" s="52" t="s">
        <v>342</v>
      </c>
      <c r="D59" s="52"/>
      <c r="E59" s="52"/>
      <c r="F59" s="52"/>
      <c r="G59" s="938"/>
      <c r="H59" s="938"/>
      <c r="I59" s="939"/>
      <c r="J59" s="939"/>
      <c r="K59" s="939"/>
      <c r="L59" s="939"/>
      <c r="M59" s="939"/>
      <c r="N59" s="939"/>
      <c r="O59" s="939"/>
      <c r="P59" s="939"/>
      <c r="Q59" s="939"/>
      <c r="R59" s="936"/>
      <c r="S59" s="936"/>
      <c r="T59" s="936"/>
      <c r="U59" s="936"/>
    </row>
    <row r="60" spans="1:31">
      <c r="A60" s="76" t="s">
        <v>343</v>
      </c>
      <c r="B60" s="77" t="s">
        <v>344</v>
      </c>
      <c r="C60" s="54" t="s">
        <v>345</v>
      </c>
      <c r="D60" s="54"/>
      <c r="E60" s="54"/>
      <c r="F60" s="54"/>
      <c r="G60" s="964"/>
      <c r="H60" s="964"/>
      <c r="I60" s="964"/>
      <c r="J60" s="964"/>
      <c r="K60" s="964"/>
      <c r="L60" s="965">
        <v>97.001641079936462</v>
      </c>
      <c r="M60" s="965">
        <v>96.376862502212006</v>
      </c>
      <c r="N60" s="965">
        <v>78.004340229242416</v>
      </c>
      <c r="O60" s="965">
        <v>92.627551333129034</v>
      </c>
      <c r="P60" s="965">
        <v>73.250436592317783</v>
      </c>
      <c r="Q60" s="389">
        <v>93</v>
      </c>
      <c r="R60" s="401">
        <v>97</v>
      </c>
      <c r="S60" s="401">
        <v>95</v>
      </c>
      <c r="T60" s="401">
        <v>95</v>
      </c>
      <c r="U60" s="401">
        <v>102</v>
      </c>
      <c r="V60" s="401">
        <v>100</v>
      </c>
      <c r="W60" s="401">
        <v>100</v>
      </c>
      <c r="X60" s="401">
        <v>100</v>
      </c>
      <c r="Y60" s="401">
        <v>100</v>
      </c>
      <c r="Z60" s="401">
        <v>100</v>
      </c>
      <c r="AA60" s="401">
        <v>100</v>
      </c>
      <c r="AB60" s="401">
        <v>100</v>
      </c>
      <c r="AC60" s="401">
        <v>100</v>
      </c>
      <c r="AD60" s="401">
        <v>100</v>
      </c>
      <c r="AE60" s="401">
        <v>100</v>
      </c>
    </row>
    <row r="61" spans="1:31">
      <c r="A61" s="58"/>
      <c r="B61" s="52" t="s">
        <v>346</v>
      </c>
      <c r="C61" s="58"/>
      <c r="D61" s="58"/>
      <c r="E61" s="58"/>
      <c r="F61" s="58"/>
      <c r="G61" s="938"/>
      <c r="H61" s="938"/>
      <c r="I61" s="939"/>
      <c r="J61" s="939"/>
      <c r="K61" s="939"/>
      <c r="L61" s="939"/>
      <c r="M61" s="939"/>
      <c r="N61" s="939"/>
      <c r="O61" s="939"/>
      <c r="P61" s="939"/>
      <c r="Q61" s="939"/>
      <c r="R61" s="936"/>
      <c r="S61" s="936"/>
      <c r="T61" s="936"/>
      <c r="U61" s="936"/>
    </row>
    <row r="62" spans="1:31" ht="15.75">
      <c r="A62" s="59" t="s">
        <v>347</v>
      </c>
      <c r="B62" s="75" t="s">
        <v>348</v>
      </c>
      <c r="C62" s="75" t="s">
        <v>349</v>
      </c>
      <c r="D62" s="75"/>
      <c r="E62" s="75"/>
      <c r="F62" s="75"/>
      <c r="G62" s="966">
        <v>128.1</v>
      </c>
      <c r="H62" s="966">
        <v>127</v>
      </c>
      <c r="I62" s="966">
        <v>114.8</v>
      </c>
      <c r="J62" s="966">
        <v>140.80000000000001</v>
      </c>
      <c r="K62" s="966">
        <v>117.3</v>
      </c>
      <c r="L62" s="967">
        <v>109.8</v>
      </c>
      <c r="M62" s="967">
        <v>118.6</v>
      </c>
      <c r="N62" s="967">
        <v>127.1</v>
      </c>
      <c r="O62" s="967">
        <v>120.5</v>
      </c>
      <c r="P62" s="967">
        <v>114.5</v>
      </c>
      <c r="Q62" s="968">
        <v>110</v>
      </c>
      <c r="R62" s="397">
        <v>110.7</v>
      </c>
      <c r="S62" s="397">
        <v>110</v>
      </c>
      <c r="T62" s="397">
        <v>110</v>
      </c>
      <c r="U62" s="397">
        <v>104</v>
      </c>
      <c r="V62" s="397">
        <v>110</v>
      </c>
      <c r="W62" s="397">
        <v>110</v>
      </c>
      <c r="X62" s="397">
        <v>110</v>
      </c>
      <c r="Y62" s="397">
        <v>110</v>
      </c>
      <c r="Z62" s="397">
        <v>110</v>
      </c>
      <c r="AA62" s="397">
        <v>110</v>
      </c>
      <c r="AB62" s="397">
        <v>110</v>
      </c>
      <c r="AC62" s="397">
        <v>110</v>
      </c>
      <c r="AD62" s="397">
        <v>110</v>
      </c>
      <c r="AE62" s="397">
        <v>110</v>
      </c>
    </row>
    <row r="63" spans="1:31">
      <c r="A63" s="78" t="s">
        <v>350</v>
      </c>
      <c r="B63" s="66" t="s">
        <v>351</v>
      </c>
      <c r="C63" s="66" t="s">
        <v>352</v>
      </c>
      <c r="D63" s="66"/>
      <c r="E63" s="66"/>
      <c r="F63" s="66"/>
      <c r="G63" s="944"/>
      <c r="H63" s="944"/>
      <c r="I63" s="944"/>
      <c r="J63" s="944"/>
      <c r="K63" s="944"/>
      <c r="L63" s="944"/>
      <c r="M63" s="944"/>
      <c r="N63" s="944"/>
      <c r="O63" s="944"/>
      <c r="P63" s="183">
        <v>7.4169999999999998</v>
      </c>
      <c r="Q63" s="959">
        <v>7.6210000000000004</v>
      </c>
      <c r="R63" s="183">
        <v>7.7140000000000004</v>
      </c>
      <c r="S63" s="183">
        <v>7.89</v>
      </c>
      <c r="T63" s="183">
        <v>8.1609999999999996</v>
      </c>
      <c r="U63" s="183">
        <v>8.3520000000000003</v>
      </c>
      <c r="V63" s="183">
        <v>8.4510000000000005</v>
      </c>
      <c r="W63" s="183">
        <v>8.6470000000000002</v>
      </c>
      <c r="X63" s="183">
        <v>8.8369999999999997</v>
      </c>
      <c r="Y63" s="183">
        <v>9.0289999999999999</v>
      </c>
      <c r="Z63" s="183">
        <v>9.2200000000000006</v>
      </c>
      <c r="AA63" s="183">
        <v>9.41</v>
      </c>
      <c r="AB63" s="183">
        <v>9.8010000000000002</v>
      </c>
      <c r="AC63" s="183">
        <v>10.01</v>
      </c>
      <c r="AD63" s="183">
        <v>10.183</v>
      </c>
      <c r="AE63" s="183">
        <v>10.382</v>
      </c>
    </row>
    <row r="64" spans="1:31">
      <c r="A64" s="79" t="s">
        <v>353</v>
      </c>
      <c r="B64" s="80"/>
      <c r="C64" s="81"/>
      <c r="D64" s="81"/>
      <c r="E64" s="81"/>
      <c r="F64" s="81"/>
      <c r="G64" s="970"/>
      <c r="H64" s="970"/>
      <c r="I64" s="970"/>
      <c r="J64" s="970"/>
      <c r="K64" s="970"/>
      <c r="L64" s="970"/>
      <c r="M64" s="970"/>
      <c r="N64" s="970"/>
      <c r="O64" s="970"/>
      <c r="P64" s="971"/>
      <c r="Q64" s="971"/>
      <c r="R64" s="972"/>
      <c r="S64" s="972"/>
      <c r="T64" s="972"/>
      <c r="U64" s="972"/>
    </row>
    <row r="65" spans="1:31" ht="15.75">
      <c r="A65" s="47" t="s">
        <v>354</v>
      </c>
      <c r="B65" s="47" t="s">
        <v>355</v>
      </c>
      <c r="C65" s="77" t="s">
        <v>356</v>
      </c>
      <c r="G65" s="945">
        <v>18.971635479717857</v>
      </c>
      <c r="H65" s="945">
        <v>26.40190850333229</v>
      </c>
      <c r="I65" s="945">
        <v>21.15869108581817</v>
      </c>
      <c r="J65" s="945">
        <v>22.258092088718133</v>
      </c>
      <c r="K65" s="945">
        <v>32.887223021734599</v>
      </c>
      <c r="L65" s="945">
        <v>23.107391020635795</v>
      </c>
      <c r="M65" s="945">
        <v>23.853756966722258</v>
      </c>
      <c r="N65" s="945">
        <v>22.688898444241918</v>
      </c>
      <c r="O65" s="945">
        <v>29.321741606297575</v>
      </c>
      <c r="P65" s="945">
        <v>31.588492078912939</v>
      </c>
      <c r="Q65" s="949">
        <v>35.400635580391842</v>
      </c>
      <c r="R65" s="949">
        <v>34.145617396453972</v>
      </c>
      <c r="S65" s="949">
        <v>25.941613715733308</v>
      </c>
      <c r="T65" s="949">
        <v>25.820047255156563</v>
      </c>
      <c r="U65" s="949">
        <v>27.061192819717011</v>
      </c>
      <c r="V65">
        <f>OEA!V23/'Revenue Model'!V15*100</f>
        <v>28.465696481496177</v>
      </c>
      <c r="W65">
        <f>OEA!W23/'Revenue Model'!W15*100</f>
        <v>34.819332227583374</v>
      </c>
      <c r="X65">
        <f>OEA!X23/'Revenue Model'!X15*100</f>
        <v>34.517741615241398</v>
      </c>
      <c r="Y65">
        <f>OEA!Y23/'Revenue Model'!Y15*100</f>
        <v>39.006019437766533</v>
      </c>
      <c r="Z65">
        <f>OEA!Z23/'Revenue Model'!Z15*100</f>
        <v>35.174748514648577</v>
      </c>
      <c r="AA65">
        <f>OEA!AA23/'Revenue Model'!AA15*100</f>
        <v>32.944755649542742</v>
      </c>
      <c r="AB65">
        <f>OEA!AB23/'Revenue Model'!AB15*100</f>
        <v>28.719220910270675</v>
      </c>
      <c r="AC65">
        <f>OEA!AC23/'Revenue Model'!AC15*100</f>
        <v>27.79880037957459</v>
      </c>
      <c r="AD65">
        <f>OEA!AD23/'Revenue Model'!AD15*100</f>
        <v>27.657863035329765</v>
      </c>
      <c r="AE65">
        <f>OEA!AE23/'Revenue Model'!AE15*100</f>
        <v>30.005531969497127</v>
      </c>
    </row>
    <row r="66" spans="1:31">
      <c r="A66" s="58"/>
      <c r="B66" s="58"/>
      <c r="C66" s="52"/>
      <c r="D66" s="52"/>
      <c r="E66" s="52"/>
      <c r="F66" s="52"/>
      <c r="G66" s="938"/>
      <c r="H66" s="938"/>
      <c r="I66" s="938"/>
      <c r="J66" s="938"/>
      <c r="K66" s="938"/>
      <c r="L66" s="938"/>
      <c r="M66" s="938"/>
      <c r="N66" s="938"/>
      <c r="O66" s="938"/>
      <c r="P66" s="938"/>
      <c r="Q66" s="938"/>
      <c r="R66" s="973"/>
      <c r="S66" s="973"/>
      <c r="T66" s="973"/>
      <c r="U66" s="973"/>
    </row>
    <row r="67" spans="1:31">
      <c r="B67" s="66" t="s">
        <v>357</v>
      </c>
      <c r="G67" s="944"/>
      <c r="H67" s="944"/>
      <c r="I67" s="944"/>
      <c r="J67" s="944"/>
      <c r="K67" s="944"/>
      <c r="L67" s="944"/>
      <c r="M67" s="944"/>
      <c r="N67" s="944"/>
      <c r="O67" s="944"/>
      <c r="P67" s="944"/>
      <c r="Q67" s="944"/>
      <c r="R67" s="950">
        <v>113.5</v>
      </c>
      <c r="S67" s="950">
        <v>126.9</v>
      </c>
      <c r="T67" s="950">
        <v>250</v>
      </c>
      <c r="U67" s="950">
        <v>68.3</v>
      </c>
      <c r="V67" s="414">
        <v>90</v>
      </c>
      <c r="W67" s="415">
        <v>100</v>
      </c>
      <c r="X67" s="415">
        <v>102</v>
      </c>
      <c r="Y67" s="415">
        <v>104</v>
      </c>
      <c r="Z67" s="415">
        <v>106</v>
      </c>
      <c r="AA67" s="415">
        <v>108</v>
      </c>
      <c r="AB67" s="415">
        <v>108</v>
      </c>
      <c r="AC67" s="415">
        <v>109</v>
      </c>
      <c r="AD67" s="415">
        <v>110</v>
      </c>
      <c r="AE67" s="416">
        <v>111</v>
      </c>
    </row>
    <row r="68" spans="1:31">
      <c r="B68" s="66"/>
    </row>
    <row r="69" spans="1:31">
      <c r="B69" s="66"/>
    </row>
    <row r="70" spans="1:31">
      <c r="B70" s="66"/>
    </row>
    <row r="71" spans="1:31">
      <c r="B71" s="66"/>
    </row>
    <row r="72" spans="1:31">
      <c r="B72" s="66"/>
    </row>
    <row r="73" spans="1:31">
      <c r="B73" s="66"/>
    </row>
    <row r="74" spans="1:31">
      <c r="B74" s="66"/>
    </row>
    <row r="75" spans="1:31">
      <c r="B75" s="66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</row>
    <row r="76" spans="1:31">
      <c r="B76" s="66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</row>
    <row r="77" spans="1:31">
      <c r="B77" s="66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</row>
    <row r="78" spans="1:31">
      <c r="B78" s="66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</row>
    <row r="79" spans="1:31">
      <c r="B79" s="66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</row>
    <row r="80" spans="1:31">
      <c r="B80" s="66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</row>
    <row r="81" spans="2:21">
      <c r="B81" s="66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</row>
    <row r="82" spans="2:21">
      <c r="B82" s="66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</row>
    <row r="83" spans="2:21">
      <c r="B83" s="66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</row>
    <row r="84" spans="2:21">
      <c r="B84" s="66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</row>
    <row r="85" spans="2:21">
      <c r="B85" s="66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</row>
    <row r="86" spans="2:21">
      <c r="B86" s="66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</row>
    <row r="87" spans="2:21">
      <c r="B87" s="66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</row>
    <row r="88" spans="2:21">
      <c r="B88" s="66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</row>
    <row r="89" spans="2:21">
      <c r="B89" s="66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</row>
    <row r="90" spans="2:21">
      <c r="B90" s="66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</row>
    <row r="91" spans="2:21">
      <c r="B91" s="66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</row>
    <row r="92" spans="2:21">
      <c r="B92" s="82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</row>
    <row r="93" spans="2:21"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</row>
    <row r="94" spans="2:21"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</row>
    <row r="95" spans="2:21"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</row>
    <row r="96" spans="2:21"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</row>
    <row r="97" spans="2:21"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</row>
    <row r="98" spans="2:21"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</row>
    <row r="99" spans="2:21"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</row>
    <row r="100" spans="2:21"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</row>
    <row r="101" spans="2:21"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</row>
    <row r="102" spans="2:21">
      <c r="B102" s="66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</row>
    <row r="103" spans="2:21">
      <c r="B103" s="82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</row>
    <row r="104" spans="2:21">
      <c r="B104" s="66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</row>
    <row r="105" spans="2:21">
      <c r="B105" s="83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</row>
    <row r="106" spans="2:21">
      <c r="B106" s="83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</row>
    <row r="107" spans="2:21">
      <c r="B107" s="83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</row>
    <row r="108" spans="2:21">
      <c r="B108" s="83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</row>
    <row r="109" spans="2:21">
      <c r="B109" s="66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</row>
    <row r="110" spans="2:21">
      <c r="B110" s="82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</row>
    <row r="111" spans="2:21"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</row>
    <row r="112" spans="2:21"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</row>
    <row r="113" spans="2:21">
      <c r="B113" s="66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</row>
    <row r="114" spans="2:21"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</row>
    <row r="115" spans="2:21">
      <c r="B115" s="82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</row>
    <row r="116" spans="2:21"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</row>
    <row r="117" spans="2:21"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</row>
    <row r="118" spans="2:21"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</row>
    <row r="119" spans="2:21"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</row>
    <row r="120" spans="2:21"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</row>
    <row r="121" spans="2:21"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</row>
    <row r="122" spans="2:21"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</row>
    <row r="123" spans="2:21"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</row>
    <row r="124" spans="2:21"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</row>
    <row r="125" spans="2:21"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</row>
    <row r="126" spans="2:21">
      <c r="B126" s="82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</row>
    <row r="127" spans="2:21"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</row>
    <row r="128" spans="2:21"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</row>
    <row r="129" spans="2:21"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</row>
    <row r="130" spans="2:21"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</row>
    <row r="131" spans="2:21"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</row>
    <row r="132" spans="2:21"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</row>
    <row r="133" spans="2:21"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</row>
    <row r="134" spans="2:21"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</row>
    <row r="135" spans="2:21"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</row>
    <row r="136" spans="2:21"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</row>
    <row r="137" spans="2:21">
      <c r="B137" s="82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</row>
    <row r="138" spans="2:21">
      <c r="B138" s="66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</row>
    <row r="139" spans="2:21"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</row>
    <row r="140" spans="2:21">
      <c r="B140" s="82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</row>
    <row r="141" spans="2:21">
      <c r="B141" s="84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</row>
    <row r="142" spans="2:21"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</row>
    <row r="143" spans="2:21"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</row>
    <row r="144" spans="2:21"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</row>
    <row r="145" spans="3:21"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</row>
    <row r="146" spans="3:21"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</row>
    <row r="147" spans="3:21"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</row>
    <row r="148" spans="3:21"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</row>
    <row r="149" spans="3:21"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</row>
    <row r="150" spans="3:21"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</row>
    <row r="151" spans="3:21"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</row>
    <row r="152" spans="3:21"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56976-0010-47BC-9AD4-C92D8DB4F9B2}">
  <dimension ref="B1:BE226"/>
  <sheetViews>
    <sheetView topLeftCell="B1" workbookViewId="0">
      <pane xSplit="2" ySplit="1" topLeftCell="T2" activePane="bottomRight" state="frozen"/>
      <selection activeCell="B1" sqref="B1"/>
      <selection pane="topRight" activeCell="D1" sqref="D1"/>
      <selection pane="bottomLeft" activeCell="B2" sqref="B2"/>
      <selection pane="bottomRight" activeCell="AF1" sqref="AF1:AP1048576"/>
    </sheetView>
  </sheetViews>
  <sheetFormatPr defaultRowHeight="15"/>
  <cols>
    <col min="1" max="1" width="3.7109375" customWidth="1"/>
    <col min="2" max="2" width="8.140625" style="53" customWidth="1"/>
    <col min="3" max="3" width="31.85546875" style="53" customWidth="1"/>
    <col min="4" max="21" width="10" style="53" customWidth="1"/>
    <col min="31" max="31" width="8" customWidth="1"/>
    <col min="34" max="57" width="9.140625" style="53"/>
  </cols>
  <sheetData>
    <row r="1" spans="2:57">
      <c r="B1" s="1" t="s">
        <v>0</v>
      </c>
      <c r="C1" s="2" t="s">
        <v>1</v>
      </c>
      <c r="D1" s="5">
        <v>1997</v>
      </c>
      <c r="E1" s="5">
        <v>1998</v>
      </c>
      <c r="F1" s="5">
        <v>1999</v>
      </c>
      <c r="G1" s="5">
        <v>2000</v>
      </c>
      <c r="H1" s="5">
        <v>2001</v>
      </c>
      <c r="I1" s="5">
        <v>2002</v>
      </c>
      <c r="J1" s="5">
        <v>2003</v>
      </c>
      <c r="K1" s="5">
        <v>2004</v>
      </c>
      <c r="L1" s="5">
        <v>2005</v>
      </c>
      <c r="M1" s="5">
        <v>2006</v>
      </c>
      <c r="N1" s="5">
        <v>2007</v>
      </c>
      <c r="O1" s="5">
        <v>2008</v>
      </c>
      <c r="P1" s="5">
        <v>2009</v>
      </c>
      <c r="Q1" s="5">
        <v>2010</v>
      </c>
      <c r="R1" s="5">
        <v>2011</v>
      </c>
      <c r="S1" s="5">
        <v>2012</v>
      </c>
      <c r="T1" s="5">
        <v>2013</v>
      </c>
      <c r="U1" s="5">
        <v>2014</v>
      </c>
      <c r="V1" s="5">
        <v>2015</v>
      </c>
      <c r="W1" s="5">
        <v>2016</v>
      </c>
      <c r="X1" s="5">
        <v>2017</v>
      </c>
      <c r="Y1" s="5">
        <v>2018</v>
      </c>
      <c r="Z1" s="5">
        <v>2019</v>
      </c>
      <c r="AA1" s="5">
        <v>2020</v>
      </c>
      <c r="AB1" s="5">
        <v>2021</v>
      </c>
      <c r="AC1" s="5">
        <v>2022</v>
      </c>
      <c r="AD1" s="5">
        <v>2023</v>
      </c>
      <c r="AE1" s="5">
        <v>2024</v>
      </c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2:57">
      <c r="B2" s="100"/>
      <c r="C2" s="101" t="s">
        <v>96</v>
      </c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W2" s="625">
        <f>W3-V3</f>
        <v>-12.5</v>
      </c>
      <c r="X2" s="625">
        <f t="shared" ref="X2:AD2" si="0">X3-W3</f>
        <v>319.5</v>
      </c>
      <c r="Y2" s="625">
        <f t="shared" si="0"/>
        <v>-134.5</v>
      </c>
      <c r="Z2" s="625">
        <f t="shared" si="0"/>
        <v>101.25</v>
      </c>
      <c r="AA2" s="625">
        <f t="shared" si="0"/>
        <v>128.65000000000009</v>
      </c>
      <c r="AB2" s="625">
        <f t="shared" si="0"/>
        <v>751</v>
      </c>
      <c r="AC2" s="625">
        <f t="shared" si="0"/>
        <v>-17</v>
      </c>
      <c r="AD2" s="625">
        <f t="shared" si="0"/>
        <v>412.90000000000009</v>
      </c>
      <c r="AE2" s="625">
        <f>AE3-AD3</f>
        <v>-583.89499999999998</v>
      </c>
      <c r="AH2" s="100"/>
      <c r="AI2" s="100"/>
      <c r="AJ2" s="100"/>
      <c r="AK2" s="100"/>
      <c r="AL2" s="100"/>
      <c r="AM2" s="100"/>
      <c r="AN2" s="100"/>
      <c r="AO2" s="100"/>
      <c r="AP2" s="100"/>
      <c r="AQ2" s="100"/>
      <c r="AR2" s="100"/>
      <c r="AS2" s="100"/>
      <c r="AT2" s="100"/>
      <c r="AU2" s="100"/>
      <c r="AV2" s="100"/>
      <c r="AW2" s="100"/>
      <c r="AX2" s="100"/>
      <c r="AY2" s="100"/>
      <c r="AZ2" s="100"/>
      <c r="BA2" s="100"/>
      <c r="BB2" s="100"/>
      <c r="BC2" s="100"/>
      <c r="BD2" s="100"/>
      <c r="BE2" s="100"/>
    </row>
    <row r="3" spans="2:57" ht="18.75">
      <c r="B3" s="59" t="s">
        <v>398</v>
      </c>
      <c r="C3" s="102" t="s">
        <v>399</v>
      </c>
      <c r="D3" s="102"/>
      <c r="E3" s="102"/>
      <c r="F3" s="102"/>
      <c r="G3" s="976">
        <v>901.52650000000006</v>
      </c>
      <c r="H3" s="976">
        <v>713.77070000000003</v>
      </c>
      <c r="I3" s="976">
        <v>768.13720000000001</v>
      </c>
      <c r="J3" s="976">
        <v>994.72469999999998</v>
      </c>
      <c r="K3" s="976">
        <v>1219.8416999999999</v>
      </c>
      <c r="L3" s="976">
        <v>1254.4346000000003</v>
      </c>
      <c r="M3" s="976">
        <v>1589.6258</v>
      </c>
      <c r="N3" s="976">
        <v>1705.5683000000001</v>
      </c>
      <c r="O3" s="976">
        <v>1686.3090000000002</v>
      </c>
      <c r="P3" s="976">
        <v>600.14799999999991</v>
      </c>
      <c r="Q3" s="976">
        <v>791.24732999999992</v>
      </c>
      <c r="R3" s="979">
        <v>1821.8</v>
      </c>
      <c r="S3" s="979">
        <v>1847.3000000000002</v>
      </c>
      <c r="T3" s="979">
        <v>1306.77</v>
      </c>
      <c r="U3" s="979">
        <v>1229.7</v>
      </c>
      <c r="V3">
        <f>V4+V5</f>
        <v>1143</v>
      </c>
      <c r="W3">
        <f t="shared" ref="W3:AE3" si="1">W4+W5</f>
        <v>1130.5</v>
      </c>
      <c r="X3">
        <f t="shared" si="1"/>
        <v>1450</v>
      </c>
      <c r="Y3">
        <f t="shared" si="1"/>
        <v>1315.5</v>
      </c>
      <c r="Z3">
        <f t="shared" si="1"/>
        <v>1416.75</v>
      </c>
      <c r="AA3">
        <f t="shared" si="1"/>
        <v>1545.4</v>
      </c>
      <c r="AB3">
        <f t="shared" si="1"/>
        <v>2296.4</v>
      </c>
      <c r="AC3">
        <f t="shared" si="1"/>
        <v>2279.4</v>
      </c>
      <c r="AD3">
        <f t="shared" si="1"/>
        <v>2692.3</v>
      </c>
      <c r="AE3">
        <f t="shared" si="1"/>
        <v>2108.4050000000002</v>
      </c>
      <c r="AH3" t="s">
        <v>940</v>
      </c>
      <c r="AI3" s="102"/>
      <c r="AJ3" s="102"/>
      <c r="AK3" s="102"/>
      <c r="AL3" s="102"/>
      <c r="AM3" s="102"/>
      <c r="AN3" s="102"/>
      <c r="AO3" s="102"/>
      <c r="AP3" s="102"/>
      <c r="AQ3" s="102"/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2"/>
    </row>
    <row r="4" spans="2:57" ht="18.75">
      <c r="B4" s="59" t="s">
        <v>400</v>
      </c>
      <c r="C4" s="103" t="s">
        <v>401</v>
      </c>
      <c r="D4" s="103"/>
      <c r="E4" s="103"/>
      <c r="F4" s="103"/>
      <c r="G4" s="442">
        <v>62.6</v>
      </c>
      <c r="H4" s="442">
        <v>62.2</v>
      </c>
      <c r="I4" s="442">
        <v>68.989199999999997</v>
      </c>
      <c r="J4" s="442">
        <v>88.526499999999999</v>
      </c>
      <c r="K4" s="442">
        <v>122.907</v>
      </c>
      <c r="L4" s="442">
        <v>146.34200000000001</v>
      </c>
      <c r="M4" s="442">
        <v>134.215</v>
      </c>
      <c r="N4" s="442">
        <v>148.69200000000001</v>
      </c>
      <c r="O4" s="450">
        <v>181.40899999999999</v>
      </c>
      <c r="P4" s="450">
        <v>179.74799999999999</v>
      </c>
      <c r="Q4" s="164">
        <v>333.74732999999998</v>
      </c>
      <c r="R4" s="978">
        <v>564.5</v>
      </c>
      <c r="S4" s="978">
        <v>487.6</v>
      </c>
      <c r="T4" s="978">
        <v>363.37</v>
      </c>
      <c r="U4" s="978">
        <v>252.4</v>
      </c>
      <c r="V4">
        <f>BoP!V10</f>
        <v>252.4</v>
      </c>
      <c r="W4">
        <f>BoP!W10</f>
        <v>231.8</v>
      </c>
      <c r="X4">
        <f>BoP!X10</f>
        <v>252</v>
      </c>
      <c r="Y4">
        <f>BoP!Y10</f>
        <v>242.2</v>
      </c>
      <c r="Z4">
        <f>BoP!Z10</f>
        <v>242.35</v>
      </c>
      <c r="AA4">
        <f>BoP!AA10</f>
        <v>138.5</v>
      </c>
      <c r="AB4">
        <f>BoP!AB10</f>
        <v>146.80000000000001</v>
      </c>
      <c r="AC4">
        <f>BoP!AC10</f>
        <v>137.4</v>
      </c>
      <c r="AD4">
        <f>BoP!AD10</f>
        <v>243.5</v>
      </c>
      <c r="AE4" s="159">
        <f>BoP!AE10</f>
        <v>161.005</v>
      </c>
      <c r="AH4" t="s">
        <v>941</v>
      </c>
      <c r="AI4" s="103"/>
      <c r="AJ4" s="103"/>
      <c r="AK4" s="103"/>
      <c r="AL4" s="103"/>
      <c r="AM4" s="103"/>
      <c r="AN4" s="103"/>
      <c r="AO4" s="103"/>
      <c r="AP4" s="103"/>
      <c r="AQ4" s="103"/>
      <c r="AR4" s="103"/>
      <c r="AS4" s="103"/>
      <c r="AT4" s="103"/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103"/>
    </row>
    <row r="5" spans="2:57" ht="18.75">
      <c r="B5" s="59" t="s">
        <v>402</v>
      </c>
      <c r="C5" s="104" t="s">
        <v>403</v>
      </c>
      <c r="D5" s="104"/>
      <c r="E5" s="104"/>
      <c r="F5" s="104"/>
      <c r="G5" s="982">
        <v>838.92650000000003</v>
      </c>
      <c r="H5" s="982">
        <v>651.57069999999999</v>
      </c>
      <c r="I5" s="982">
        <v>699.14800000000002</v>
      </c>
      <c r="J5" s="982">
        <v>906.19819999999993</v>
      </c>
      <c r="K5" s="982">
        <v>1096.9347</v>
      </c>
      <c r="L5" s="982">
        <v>1108.0926000000002</v>
      </c>
      <c r="M5" s="982">
        <v>1455.4108000000001</v>
      </c>
      <c r="N5" s="982">
        <v>1556.8763000000001</v>
      </c>
      <c r="O5" s="983">
        <v>1504.9</v>
      </c>
      <c r="P5" s="983">
        <v>420.4</v>
      </c>
      <c r="Q5" s="983">
        <v>457.5</v>
      </c>
      <c r="R5" s="983">
        <v>1257.3</v>
      </c>
      <c r="S5" s="983">
        <v>1359.7</v>
      </c>
      <c r="T5" s="983">
        <v>943.4</v>
      </c>
      <c r="U5" s="984">
        <v>977.3</v>
      </c>
      <c r="V5" s="434">
        <v>890.6</v>
      </c>
      <c r="W5" s="434">
        <v>898.7</v>
      </c>
      <c r="X5" s="434">
        <v>1198</v>
      </c>
      <c r="Y5" s="435">
        <v>1073.3</v>
      </c>
      <c r="Z5" s="435">
        <v>1174.4000000000001</v>
      </c>
      <c r="AA5" s="434">
        <v>1406.9</v>
      </c>
      <c r="AB5" s="434">
        <v>2149.6</v>
      </c>
      <c r="AC5" s="435">
        <v>2142</v>
      </c>
      <c r="AD5" s="434">
        <v>2448.8000000000002</v>
      </c>
      <c r="AE5" s="584">
        <v>1947.4</v>
      </c>
      <c r="AH5" t="s">
        <v>942</v>
      </c>
      <c r="AI5" s="103"/>
      <c r="AJ5" s="103"/>
      <c r="AK5" s="103"/>
      <c r="AL5" s="103"/>
      <c r="AM5" s="103"/>
      <c r="AN5" s="103"/>
      <c r="AO5" s="103"/>
      <c r="AP5" s="103"/>
      <c r="AQ5" s="103"/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3"/>
    </row>
    <row r="6" spans="2:57" ht="18.75">
      <c r="B6" s="59" t="s">
        <v>177</v>
      </c>
      <c r="C6" s="53" t="s">
        <v>404</v>
      </c>
      <c r="G6" s="105">
        <v>433.55529999999999</v>
      </c>
      <c r="H6" s="105">
        <v>398.39709999999997</v>
      </c>
      <c r="I6" s="105">
        <v>398.55520000000001</v>
      </c>
      <c r="J6" s="105">
        <v>429.55379999999997</v>
      </c>
      <c r="K6" s="105">
        <v>563.35440000000006</v>
      </c>
      <c r="L6" s="105">
        <v>563.01599999999996</v>
      </c>
      <c r="M6" s="105">
        <v>1049.5101999999999</v>
      </c>
      <c r="N6" s="105">
        <v>1082.9825000000001</v>
      </c>
      <c r="O6" s="105">
        <v>1012.9915999999999</v>
      </c>
      <c r="P6" s="105">
        <v>589.46249999999998</v>
      </c>
      <c r="Q6" s="105">
        <v>735.5</v>
      </c>
      <c r="R6" s="439">
        <v>664.6</v>
      </c>
      <c r="S6" s="439">
        <v>535.50900000000001</v>
      </c>
      <c r="T6" s="439">
        <v>369.5</v>
      </c>
      <c r="U6" s="161">
        <v>234.2</v>
      </c>
      <c r="V6">
        <v>216.2</v>
      </c>
      <c r="W6">
        <v>207.5</v>
      </c>
      <c r="X6">
        <v>200.7</v>
      </c>
      <c r="Y6">
        <v>199.3</v>
      </c>
      <c r="Z6">
        <v>173.2</v>
      </c>
      <c r="AA6">
        <v>136.19999999999999</v>
      </c>
      <c r="AB6">
        <v>135.1</v>
      </c>
      <c r="AC6">
        <v>139.9</v>
      </c>
      <c r="AD6">
        <v>132.30000000000001</v>
      </c>
      <c r="AE6" s="564">
        <v>183.6</v>
      </c>
      <c r="AH6" t="s">
        <v>943</v>
      </c>
    </row>
    <row r="7" spans="2:57">
      <c r="C7" s="54" t="s">
        <v>405</v>
      </c>
      <c r="D7" s="54"/>
      <c r="E7" s="54"/>
      <c r="F7" s="54"/>
      <c r="G7"/>
      <c r="H7"/>
      <c r="I7"/>
      <c r="J7"/>
      <c r="K7"/>
      <c r="L7"/>
      <c r="M7"/>
      <c r="N7"/>
      <c r="O7"/>
      <c r="P7"/>
      <c r="Q7" s="980">
        <v>15.898</v>
      </c>
      <c r="R7" s="981">
        <v>16.799526</v>
      </c>
      <c r="S7" s="981">
        <v>10.488356958000001</v>
      </c>
      <c r="T7" s="981">
        <v>3.2376873072691938</v>
      </c>
      <c r="U7" s="981">
        <v>3.6650381074802723</v>
      </c>
      <c r="V7" s="110">
        <f>Industry!V158+Industry!V159</f>
        <v>7.5795305538590547</v>
      </c>
      <c r="W7" s="110">
        <f>Industry!W158+Industry!W159</f>
        <v>7.7895416919544003</v>
      </c>
      <c r="X7" s="110">
        <f>Industry!X158+Industry!X159</f>
        <v>8.3729338622420997</v>
      </c>
      <c r="Y7" s="110">
        <f>Industry!Y158+Industry!Y159</f>
        <v>8.261805738940911</v>
      </c>
      <c r="Z7" s="110">
        <f>Industry!Z158+Industry!Z159</f>
        <v>7.3984981776851324</v>
      </c>
      <c r="AA7" s="110">
        <f>Industry!AA158+Industry!AA159</f>
        <v>5.394455932852261</v>
      </c>
      <c r="AB7" s="110">
        <f>Industry!AB158+Industry!AB159</f>
        <v>6.0304044527545351</v>
      </c>
      <c r="AC7" s="110">
        <f>Industry!AC158+Industry!AC159</f>
        <v>6.2975476879247463</v>
      </c>
      <c r="AD7" s="110">
        <f>Industry!AD158+Industry!AD159</f>
        <v>5.8472206385756831</v>
      </c>
      <c r="AE7" s="110">
        <f>Industry!AE158+Industry!AE159</f>
        <v>7.3690754185756377</v>
      </c>
    </row>
    <row r="8" spans="2:57" ht="18.75">
      <c r="B8" s="59" t="s">
        <v>206</v>
      </c>
      <c r="C8" s="53" t="s">
        <v>406</v>
      </c>
      <c r="G8" s="105">
        <v>91.828600000000009</v>
      </c>
      <c r="H8" s="105">
        <v>71.500199999999992</v>
      </c>
      <c r="I8" s="105">
        <v>127.97139999999999</v>
      </c>
      <c r="J8" s="105">
        <v>192.74189999999999</v>
      </c>
      <c r="K8" s="105">
        <v>161.59729999999999</v>
      </c>
      <c r="L8" s="105">
        <v>143.91200000000001</v>
      </c>
      <c r="M8" s="105">
        <v>128.66679999999999</v>
      </c>
      <c r="N8" s="105">
        <v>137.8451</v>
      </c>
      <c r="O8" s="105">
        <v>108.2178</v>
      </c>
      <c r="P8" s="105">
        <v>99.6828</v>
      </c>
      <c r="Q8" s="105">
        <v>201.1</v>
      </c>
      <c r="R8" s="439">
        <v>197.3</v>
      </c>
      <c r="S8" s="439">
        <v>223.86500000000001</v>
      </c>
      <c r="T8" s="439">
        <v>189.166</v>
      </c>
      <c r="U8" s="161">
        <v>132.1</v>
      </c>
      <c r="V8">
        <v>144.5</v>
      </c>
      <c r="W8">
        <v>122.6</v>
      </c>
      <c r="X8">
        <v>121</v>
      </c>
      <c r="Y8">
        <v>165.3</v>
      </c>
      <c r="Z8">
        <v>139.6</v>
      </c>
      <c r="AA8">
        <v>136</v>
      </c>
      <c r="AB8">
        <v>202.6</v>
      </c>
      <c r="AC8">
        <v>194.7</v>
      </c>
      <c r="AD8">
        <v>198.6</v>
      </c>
      <c r="AE8" s="564">
        <v>170.1</v>
      </c>
      <c r="AH8" t="s">
        <v>944</v>
      </c>
    </row>
    <row r="9" spans="2:57" ht="18.75">
      <c r="B9" s="59" t="s">
        <v>407</v>
      </c>
      <c r="C9" s="53" t="s">
        <v>408</v>
      </c>
      <c r="G9"/>
      <c r="H9"/>
      <c r="I9"/>
      <c r="J9"/>
      <c r="K9"/>
      <c r="L9"/>
      <c r="M9"/>
      <c r="N9"/>
      <c r="O9" s="105"/>
      <c r="P9" s="105">
        <v>52.399999999999991</v>
      </c>
      <c r="Q9" s="105">
        <v>56.796999999999997</v>
      </c>
      <c r="R9" s="439">
        <v>32.993000000000002</v>
      </c>
      <c r="S9" s="439">
        <v>33.575000000000003</v>
      </c>
      <c r="T9" s="439">
        <v>48.5</v>
      </c>
      <c r="U9" s="161">
        <v>36.6</v>
      </c>
      <c r="V9" s="161">
        <v>32.1</v>
      </c>
      <c r="W9" s="265">
        <v>21.811199999999999</v>
      </c>
      <c r="X9" s="265">
        <v>17.3</v>
      </c>
      <c r="Y9" s="265">
        <v>16.3</v>
      </c>
      <c r="Z9" s="265">
        <v>18.2</v>
      </c>
      <c r="AA9" s="436">
        <v>19.5</v>
      </c>
      <c r="AB9" s="436">
        <v>36</v>
      </c>
      <c r="AC9" s="436">
        <v>51.5</v>
      </c>
      <c r="AD9" s="436">
        <v>46.3</v>
      </c>
      <c r="AE9" s="580">
        <v>50.3</v>
      </c>
      <c r="AH9" t="s">
        <v>945</v>
      </c>
    </row>
    <row r="10" spans="2:57" ht="18.75">
      <c r="B10" s="59" t="s">
        <v>118</v>
      </c>
      <c r="C10" s="53" t="s">
        <v>409</v>
      </c>
      <c r="G10" s="105">
        <v>181.60070000000002</v>
      </c>
      <c r="H10" s="105">
        <v>78.548000000000002</v>
      </c>
      <c r="I10" s="105">
        <v>67.414299999999997</v>
      </c>
      <c r="J10" s="105">
        <v>55.140900000000002</v>
      </c>
      <c r="K10" s="105">
        <v>57.58</v>
      </c>
      <c r="L10" s="105">
        <v>52.555</v>
      </c>
      <c r="M10" s="105">
        <v>49.015000000000001</v>
      </c>
      <c r="N10" s="105">
        <v>59.619</v>
      </c>
      <c r="O10" s="105">
        <v>59.748400000000004</v>
      </c>
      <c r="P10" s="105">
        <v>63.188099999999999</v>
      </c>
      <c r="Q10" s="105">
        <v>3.4600192395368046</v>
      </c>
      <c r="R10" s="439">
        <v>4.2690000000000001</v>
      </c>
      <c r="S10" s="439">
        <v>21.335000000000001</v>
      </c>
      <c r="T10" s="439">
        <v>33.268000000000001</v>
      </c>
      <c r="U10" s="161">
        <v>44.1</v>
      </c>
      <c r="V10" s="161">
        <v>48.4</v>
      </c>
      <c r="W10" s="161">
        <v>51.7</v>
      </c>
      <c r="X10" s="265">
        <v>53.5</v>
      </c>
      <c r="Y10" s="265">
        <v>56.4</v>
      </c>
      <c r="Z10" s="265">
        <v>93.1</v>
      </c>
      <c r="AA10" s="265">
        <v>56.4</v>
      </c>
      <c r="AB10" s="265">
        <v>95.960999999999999</v>
      </c>
      <c r="AC10" s="265">
        <v>106.2</v>
      </c>
      <c r="AD10" s="265">
        <v>110.4</v>
      </c>
      <c r="AE10" s="579">
        <v>113</v>
      </c>
      <c r="AH10" t="s">
        <v>946</v>
      </c>
    </row>
    <row r="11" spans="2:57" ht="18.75">
      <c r="B11" s="59" t="s">
        <v>410</v>
      </c>
      <c r="C11" s="53" t="s">
        <v>411</v>
      </c>
      <c r="G11" s="977">
        <v>131.94190000000003</v>
      </c>
      <c r="H11" s="977">
        <v>103.12540000000001</v>
      </c>
      <c r="I11" s="977">
        <v>105.20709999999997</v>
      </c>
      <c r="J11" s="977">
        <v>228.76160000000004</v>
      </c>
      <c r="K11" s="977">
        <v>314.40299999999991</v>
      </c>
      <c r="L11" s="977">
        <v>348.60960000000023</v>
      </c>
      <c r="M11" s="977">
        <v>228.2188000000001</v>
      </c>
      <c r="N11" s="977">
        <v>276.42970000000014</v>
      </c>
      <c r="O11" s="977">
        <v>323.94220000000018</v>
      </c>
      <c r="P11" s="977">
        <v>-384.33339999999998</v>
      </c>
      <c r="Q11" s="977">
        <v>-555.25501923953686</v>
      </c>
      <c r="R11" s="437">
        <v>341.33847399999979</v>
      </c>
      <c r="S11" s="437">
        <v>534.92764304199989</v>
      </c>
      <c r="T11" s="437">
        <v>299.72831269273081</v>
      </c>
      <c r="U11" s="437">
        <v>526.63496189251964</v>
      </c>
      <c r="V11" s="437">
        <f>V5-SUM(V6:V10)</f>
        <v>441.82046944614098</v>
      </c>
      <c r="W11" s="437">
        <f t="shared" ref="W11:AE11" si="2">W5-SUM(W6:W10)</f>
        <v>487.29925830804569</v>
      </c>
      <c r="X11" s="437">
        <f t="shared" si="2"/>
        <v>797.12706613775799</v>
      </c>
      <c r="Y11" s="437">
        <f t="shared" si="2"/>
        <v>627.73819426105911</v>
      </c>
      <c r="Z11" s="437">
        <f t="shared" si="2"/>
        <v>742.90150182231503</v>
      </c>
      <c r="AA11" s="437">
        <f t="shared" si="2"/>
        <v>1053.4055440671477</v>
      </c>
      <c r="AB11" s="437">
        <f t="shared" si="2"/>
        <v>1673.9085955472453</v>
      </c>
      <c r="AC11" s="437">
        <f t="shared" si="2"/>
        <v>1643.4024523120752</v>
      </c>
      <c r="AD11" s="437">
        <f t="shared" si="2"/>
        <v>1955.3527793614244</v>
      </c>
      <c r="AE11" s="437">
        <f t="shared" si="2"/>
        <v>1423.0309245814244</v>
      </c>
      <c r="AH11" t="s">
        <v>947</v>
      </c>
    </row>
    <row r="12" spans="2:57">
      <c r="C12" s="59"/>
      <c r="D12" s="59"/>
      <c r="E12" s="59"/>
      <c r="F12" s="59"/>
      <c r="G12"/>
      <c r="H12"/>
      <c r="I12"/>
      <c r="J12"/>
      <c r="K12"/>
      <c r="L12"/>
      <c r="M12"/>
      <c r="N12"/>
      <c r="O12"/>
      <c r="P12"/>
      <c r="R12"/>
      <c r="S12"/>
      <c r="T12"/>
      <c r="U12"/>
      <c r="V12" s="287">
        <v>91.128619666427923</v>
      </c>
      <c r="W12" s="438">
        <f>W5/V5*100</f>
        <v>100.90949921401302</v>
      </c>
      <c r="X12" s="438">
        <f t="shared" ref="X12:AE12" si="3">X5/W5*100</f>
        <v>133.30366084344053</v>
      </c>
      <c r="Y12" s="438">
        <f t="shared" si="3"/>
        <v>89.590984974958261</v>
      </c>
      <c r="Z12" s="438">
        <f t="shared" si="3"/>
        <v>109.41954719090657</v>
      </c>
      <c r="AA12" s="438">
        <f>AA5/Z5*100</f>
        <v>119.79734332425068</v>
      </c>
      <c r="AB12" s="438">
        <f t="shared" si="3"/>
        <v>152.78982159357452</v>
      </c>
      <c r="AC12" s="438">
        <f t="shared" si="3"/>
        <v>99.646445850390776</v>
      </c>
      <c r="AD12" s="438">
        <f t="shared" si="3"/>
        <v>114.3230625583567</v>
      </c>
      <c r="AE12" s="438">
        <f t="shared" si="3"/>
        <v>79.524665142110422</v>
      </c>
      <c r="AH12" s="440"/>
      <c r="AI12" s="440"/>
    </row>
    <row r="13" spans="2:57">
      <c r="C13" s="59"/>
      <c r="D13" s="59"/>
      <c r="E13" s="59"/>
      <c r="F13" s="59"/>
      <c r="G13" s="977"/>
      <c r="H13" s="977"/>
      <c r="I13" s="977"/>
      <c r="J13" s="977"/>
      <c r="K13" s="977"/>
      <c r="L13" s="977"/>
      <c r="M13" s="990">
        <v>2.0539847317639524</v>
      </c>
      <c r="N13" s="990">
        <v>2.0353672340568356</v>
      </c>
      <c r="O13" s="990">
        <v>2.0770625103423876</v>
      </c>
      <c r="P13" s="990">
        <v>1.8452710279301732</v>
      </c>
      <c r="Q13" s="977"/>
      <c r="R13" s="105"/>
      <c r="S13" s="105"/>
      <c r="T13" s="105"/>
      <c r="U13" s="105"/>
      <c r="W13" s="626">
        <f>W5-V5</f>
        <v>8.1000000000000227</v>
      </c>
      <c r="X13" s="626">
        <f t="shared" ref="X13:AD13" si="4">X5-W5</f>
        <v>299.29999999999995</v>
      </c>
      <c r="Y13" s="626">
        <f t="shared" si="4"/>
        <v>-124.70000000000005</v>
      </c>
      <c r="Z13" s="626">
        <f t="shared" si="4"/>
        <v>101.10000000000014</v>
      </c>
      <c r="AA13" s="626">
        <f t="shared" si="4"/>
        <v>232.5</v>
      </c>
      <c r="AB13" s="626">
        <f t="shared" si="4"/>
        <v>742.69999999999982</v>
      </c>
      <c r="AC13" s="626">
        <f t="shared" si="4"/>
        <v>-7.5999999999999091</v>
      </c>
      <c r="AD13" s="626">
        <f t="shared" si="4"/>
        <v>306.80000000000018</v>
      </c>
      <c r="AE13" s="626">
        <f>AE5-AD5</f>
        <v>-501.40000000000009</v>
      </c>
      <c r="AH13" s="441"/>
      <c r="AI13" s="440"/>
      <c r="AJ13" s="440"/>
    </row>
    <row r="14" spans="2:57">
      <c r="B14" s="103"/>
      <c r="C14" s="103" t="s">
        <v>412</v>
      </c>
      <c r="D14" s="103"/>
      <c r="E14" s="103"/>
      <c r="F14" s="103"/>
      <c r="G14" s="103"/>
      <c r="H14" s="103"/>
      <c r="I14" s="103"/>
      <c r="J14" s="103"/>
      <c r="K14" s="103"/>
      <c r="L14" s="103"/>
      <c r="M14" s="986">
        <v>839796.1</v>
      </c>
      <c r="N14" s="986">
        <v>836856.3</v>
      </c>
      <c r="O14" s="986">
        <v>817127.4</v>
      </c>
      <c r="P14" s="986">
        <v>643429.4</v>
      </c>
      <c r="Q14" s="1"/>
      <c r="R14" s="103"/>
      <c r="S14" s="103"/>
      <c r="T14" s="103"/>
      <c r="U14" s="103"/>
      <c r="AH14" s="442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</row>
    <row r="15" spans="2:57" ht="18.75">
      <c r="B15" s="59" t="s">
        <v>172</v>
      </c>
      <c r="C15" s="53" t="s">
        <v>413</v>
      </c>
      <c r="G15" s="977">
        <v>273541.2</v>
      </c>
      <c r="H15" s="977">
        <v>286993.8</v>
      </c>
      <c r="I15" s="977">
        <v>305430</v>
      </c>
      <c r="J15" s="977">
        <v>316676.09999999998</v>
      </c>
      <c r="K15" s="977">
        <v>342633.8</v>
      </c>
      <c r="L15" s="977">
        <v>375281</v>
      </c>
      <c r="M15" s="977">
        <v>408861.9</v>
      </c>
      <c r="N15" s="977">
        <v>411157.4</v>
      </c>
      <c r="O15" s="977">
        <v>393405.3</v>
      </c>
      <c r="P15" s="977">
        <v>348691</v>
      </c>
      <c r="Q15" s="105">
        <v>339385.79321715375</v>
      </c>
      <c r="R15" s="991">
        <v>277.64999999999998</v>
      </c>
      <c r="S15" s="991">
        <v>264798.90000000002</v>
      </c>
      <c r="T15" s="991">
        <v>200200</v>
      </c>
      <c r="U15" s="994">
        <v>125700</v>
      </c>
      <c r="V15">
        <v>130900</v>
      </c>
      <c r="W15">
        <v>129700</v>
      </c>
      <c r="X15">
        <v>101400</v>
      </c>
      <c r="Y15">
        <v>94800</v>
      </c>
      <c r="Z15">
        <v>96800</v>
      </c>
      <c r="AA15">
        <v>87000</v>
      </c>
      <c r="AB15">
        <v>55600</v>
      </c>
      <c r="AC15">
        <v>56500</v>
      </c>
      <c r="AD15">
        <v>59100</v>
      </c>
      <c r="AE15" s="159">
        <v>76100</v>
      </c>
      <c r="AH15" t="s">
        <v>948</v>
      </c>
    </row>
    <row r="16" spans="2:57">
      <c r="C16" s="54" t="s">
        <v>405</v>
      </c>
      <c r="D16" s="54"/>
      <c r="E16" s="54"/>
      <c r="F16" s="54"/>
      <c r="G16"/>
      <c r="H16"/>
      <c r="I16"/>
      <c r="J16"/>
      <c r="K16"/>
      <c r="L16"/>
      <c r="M16"/>
      <c r="N16"/>
      <c r="O16"/>
      <c r="P16"/>
      <c r="Q16" s="980">
        <v>10838.999999999998</v>
      </c>
      <c r="R16" s="981">
        <v>14653.530199999999</v>
      </c>
      <c r="S16" s="981">
        <v>11278.052009698275</v>
      </c>
      <c r="T16" s="981">
        <v>8956.2218528392914</v>
      </c>
      <c r="U16" s="995">
        <v>5202.3894958498104</v>
      </c>
      <c r="V16" s="159">
        <f>(Industry!V153+Industry!V154)*1000</f>
        <v>5756.979943299194</v>
      </c>
      <c r="W16" s="159">
        <f>(Industry!W153+Industry!W154)*1000</f>
        <v>5351.3839444183022</v>
      </c>
      <c r="X16" s="159">
        <f>(Industry!X153+Industry!X154)*1000</f>
        <v>4267.0354576142836</v>
      </c>
      <c r="Y16" s="159">
        <f>(Industry!Y153+Industry!Y154)*1000</f>
        <v>3964.9078257948436</v>
      </c>
      <c r="Z16" s="159">
        <f>(Industry!Z153+Industry!Z154)*1000</f>
        <v>4171.8445599177476</v>
      </c>
      <c r="AA16" s="159">
        <f>(Industry!AA153+Industry!AA154)*1000</f>
        <v>3476.5371332647896</v>
      </c>
      <c r="AB16" s="159">
        <f>(Industry!AB153+Industry!AB154)*1000</f>
        <v>2503.9344828871403</v>
      </c>
      <c r="AC16" s="159">
        <f>(Industry!AC153+Industry!AC154)*1000</f>
        <v>2566.0155031240115</v>
      </c>
      <c r="AD16" s="159">
        <f>(Industry!AD153+Industry!AD154)*1000</f>
        <v>2756.3972985170826</v>
      </c>
      <c r="AE16" s="159">
        <f>(Industry!AE153+Industry!AE154)*1000</f>
        <v>3402.0399089805446</v>
      </c>
    </row>
    <row r="17" spans="2:57" ht="18">
      <c r="B17" s="59" t="s">
        <v>414</v>
      </c>
      <c r="C17" s="53" t="s">
        <v>415</v>
      </c>
      <c r="G17" s="977">
        <v>78795.7</v>
      </c>
      <c r="H17" s="977">
        <v>75382.8</v>
      </c>
      <c r="I17" s="977">
        <v>140744.9</v>
      </c>
      <c r="J17" s="977">
        <v>149262.70000000001</v>
      </c>
      <c r="K17" s="977">
        <v>133072.70000000001</v>
      </c>
      <c r="L17" s="977">
        <v>132874</v>
      </c>
      <c r="M17" s="977">
        <v>120404.7</v>
      </c>
      <c r="N17" s="977">
        <v>119965.3</v>
      </c>
      <c r="O17" s="977">
        <v>83591.8</v>
      </c>
      <c r="P17" s="977">
        <v>86648.2</v>
      </c>
      <c r="Q17" s="105">
        <v>94700</v>
      </c>
      <c r="R17" s="991">
        <v>72357.3</v>
      </c>
      <c r="S17" s="991">
        <v>143848.9</v>
      </c>
      <c r="T17" s="991">
        <v>114500</v>
      </c>
      <c r="U17" s="994">
        <v>86400</v>
      </c>
      <c r="V17">
        <f>Industry!V182</f>
        <v>107800</v>
      </c>
      <c r="W17">
        <f>Industry!W182</f>
        <v>87370</v>
      </c>
      <c r="X17">
        <f>Industry!X182</f>
        <v>75900</v>
      </c>
      <c r="Y17">
        <f>Industry!Y182</f>
        <v>93000</v>
      </c>
      <c r="Z17">
        <f>Industry!Z182</f>
        <v>94100</v>
      </c>
      <c r="AA17">
        <f>Industry!AA182</f>
        <v>100100</v>
      </c>
      <c r="AB17">
        <f>Industry!AB182</f>
        <v>100600</v>
      </c>
      <c r="AC17">
        <f>Industry!AC182</f>
        <v>81000</v>
      </c>
      <c r="AD17">
        <f>Industry!AD182</f>
        <v>109300</v>
      </c>
      <c r="AE17">
        <f>Industry!AE182</f>
        <v>100523.8</v>
      </c>
      <c r="AH17" t="s">
        <v>949</v>
      </c>
    </row>
    <row r="18" spans="2:57" ht="18">
      <c r="B18" s="59" t="s">
        <v>416</v>
      </c>
      <c r="C18" s="53" t="s">
        <v>417</v>
      </c>
      <c r="G18"/>
      <c r="H18"/>
      <c r="I18"/>
      <c r="J18"/>
      <c r="K18"/>
      <c r="L18"/>
      <c r="M18"/>
      <c r="N18"/>
      <c r="O18"/>
      <c r="P18" s="992">
        <v>194</v>
      </c>
      <c r="Q18" s="989">
        <v>257</v>
      </c>
      <c r="R18" s="439">
        <v>89.686000000000007</v>
      </c>
      <c r="S18" s="439">
        <v>103.324</v>
      </c>
      <c r="T18" s="439">
        <v>227</v>
      </c>
      <c r="U18" s="162">
        <v>179.3</v>
      </c>
      <c r="V18" s="439">
        <v>220.4</v>
      </c>
      <c r="W18" s="265">
        <v>170.4</v>
      </c>
      <c r="X18" s="265">
        <v>118.6</v>
      </c>
      <c r="Y18" s="265">
        <v>136.9</v>
      </c>
      <c r="Z18" s="265">
        <v>118.4</v>
      </c>
      <c r="AA18" s="265">
        <v>129</v>
      </c>
      <c r="AB18" s="265">
        <v>208</v>
      </c>
      <c r="AC18" s="265">
        <v>189.3</v>
      </c>
      <c r="AD18" s="265">
        <v>177.1</v>
      </c>
      <c r="AE18" s="579">
        <v>165.3</v>
      </c>
      <c r="AH18" t="s">
        <v>950</v>
      </c>
    </row>
    <row r="19" spans="2:57" ht="18">
      <c r="B19" s="59" t="s">
        <v>95</v>
      </c>
      <c r="C19" s="53" t="s">
        <v>418</v>
      </c>
      <c r="G19" s="977">
        <v>3908.7</v>
      </c>
      <c r="H19" s="977">
        <v>4047</v>
      </c>
      <c r="I19" s="977">
        <v>3831.2</v>
      </c>
      <c r="J19" s="977">
        <v>4597.2</v>
      </c>
      <c r="K19" s="977">
        <v>4451</v>
      </c>
      <c r="L19" s="977">
        <v>4257.8999999999996</v>
      </c>
      <c r="M19" s="977">
        <v>4231.2</v>
      </c>
      <c r="N19" s="991">
        <v>4464</v>
      </c>
      <c r="O19" s="991">
        <v>5539</v>
      </c>
      <c r="P19" s="991">
        <v>5960</v>
      </c>
      <c r="Q19" s="819">
        <v>286</v>
      </c>
      <c r="R19" s="368">
        <v>297</v>
      </c>
      <c r="S19" s="828">
        <v>775</v>
      </c>
      <c r="T19" s="828">
        <v>1061</v>
      </c>
      <c r="U19" s="994">
        <v>1364</v>
      </c>
      <c r="V19" s="164">
        <v>1396</v>
      </c>
      <c r="W19" s="165">
        <v>1428</v>
      </c>
      <c r="X19" s="166">
        <v>1421</v>
      </c>
      <c r="Y19" s="166">
        <v>2945</v>
      </c>
      <c r="Z19" s="166">
        <v>3175</v>
      </c>
      <c r="AA19" s="166">
        <v>1870.3</v>
      </c>
      <c r="AB19" s="166">
        <v>3302.6</v>
      </c>
      <c r="AC19" s="166">
        <v>3341</v>
      </c>
      <c r="AD19" s="166">
        <v>3606.6</v>
      </c>
      <c r="AE19" s="585">
        <v>3901.7</v>
      </c>
      <c r="AH19" t="s">
        <v>951</v>
      </c>
    </row>
    <row r="20" spans="2:57" ht="18.75">
      <c r="B20" s="59" t="s">
        <v>419</v>
      </c>
      <c r="C20" s="53" t="s">
        <v>420</v>
      </c>
      <c r="G20" s="977"/>
      <c r="H20" s="977">
        <v>72.710054115674879</v>
      </c>
      <c r="I20" s="977">
        <v>62.43762380010768</v>
      </c>
      <c r="J20" s="977">
        <v>100</v>
      </c>
      <c r="K20" s="977">
        <v>156.47845050347766</v>
      </c>
      <c r="L20" s="977">
        <v>138.73315640722808</v>
      </c>
      <c r="M20" s="977">
        <v>279.94878249065283</v>
      </c>
      <c r="N20" s="977">
        <v>594.05760572372992</v>
      </c>
      <c r="O20" s="977">
        <v>303.99211654174013</v>
      </c>
      <c r="P20" s="977">
        <v>712.05336926866948</v>
      </c>
      <c r="Q20" s="977">
        <v>587.95219251352546</v>
      </c>
      <c r="R20" s="437">
        <v>319.27509921993959</v>
      </c>
      <c r="S20" s="437">
        <v>268951.8223488573</v>
      </c>
      <c r="T20" s="437">
        <v>199892.71536904032</v>
      </c>
      <c r="U20" s="996">
        <v>211160.56200667869</v>
      </c>
      <c r="V20" s="123">
        <v>217540.62261378896</v>
      </c>
      <c r="W20" s="107">
        <f t="shared" ref="W20:AB20" si="5">(V3*W33-SUM(V6:V10)*W34)/(V3-SUM(V6:V10))*V20/100</f>
        <v>220633.45556288154</v>
      </c>
      <c r="X20" s="107">
        <f t="shared" si="5"/>
        <v>251293.22757283063</v>
      </c>
      <c r="Y20" s="107">
        <f t="shared" si="5"/>
        <v>240295.23265164331</v>
      </c>
      <c r="Z20" s="107">
        <f t="shared" si="5"/>
        <v>276297.69245837128</v>
      </c>
      <c r="AA20" s="107">
        <f t="shared" si="5"/>
        <v>360225.41923825344</v>
      </c>
      <c r="AB20" s="107">
        <f t="shared" si="5"/>
        <v>415732.30649720709</v>
      </c>
      <c r="AC20" s="107">
        <f t="shared" ref="AC20:AE20" si="6">(AB3*AC33-SUM(AB6:AB10)*AC34)/(AB3-SUM(AB6:AB10))*AB20/100</f>
        <v>362052.03956681758</v>
      </c>
      <c r="AD20" s="107">
        <f t="shared" si="6"/>
        <v>485457.01655889268</v>
      </c>
      <c r="AE20" s="107">
        <f t="shared" si="6"/>
        <v>385055.64379542664</v>
      </c>
      <c r="AH20" t="s">
        <v>952</v>
      </c>
    </row>
    <row r="21" spans="2:57">
      <c r="G21" s="977"/>
      <c r="H21" s="977"/>
      <c r="I21" s="977"/>
      <c r="J21" s="977"/>
      <c r="K21" s="977"/>
      <c r="L21" s="977"/>
      <c r="M21" s="977"/>
      <c r="N21" s="977"/>
      <c r="O21" s="977"/>
      <c r="P21" s="977"/>
      <c r="Q21" s="105"/>
      <c r="R21" s="977"/>
      <c r="S21" s="977"/>
      <c r="T21" s="977"/>
      <c r="U21" s="977"/>
    </row>
    <row r="22" spans="2:57">
      <c r="G22" s="977"/>
      <c r="H22" s="977"/>
      <c r="I22" s="977"/>
      <c r="J22" s="977"/>
      <c r="K22" s="977"/>
      <c r="L22" s="977"/>
      <c r="M22" s="977"/>
      <c r="N22" s="977"/>
      <c r="O22" s="977"/>
      <c r="P22" s="977"/>
      <c r="Q22" s="105"/>
      <c r="R22" s="977"/>
      <c r="S22" s="977"/>
      <c r="T22" s="977"/>
      <c r="U22" s="977"/>
    </row>
    <row r="23" spans="2:57">
      <c r="B23" s="103"/>
      <c r="C23" s="103" t="s">
        <v>421</v>
      </c>
      <c r="D23" s="103"/>
      <c r="E23" s="103"/>
      <c r="F23" s="103"/>
      <c r="G23" s="985"/>
      <c r="H23" s="985"/>
      <c r="I23" s="985"/>
      <c r="J23" s="985"/>
      <c r="K23" s="985"/>
      <c r="L23" s="985"/>
      <c r="M23" s="985"/>
      <c r="N23" s="985"/>
      <c r="O23" s="985"/>
      <c r="P23" s="985"/>
      <c r="Q23" s="993"/>
      <c r="R23" s="103"/>
      <c r="S23" s="103"/>
      <c r="T23" s="103"/>
      <c r="U23" s="103"/>
      <c r="AH23" s="103"/>
      <c r="AI23" s="103"/>
      <c r="AJ23" s="103"/>
      <c r="AK23" s="103"/>
      <c r="AL23" s="103"/>
      <c r="AM23" s="103"/>
      <c r="AN23" s="103"/>
      <c r="AO23" s="103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3"/>
    </row>
    <row r="24" spans="2:57" ht="18.75">
      <c r="B24" s="59" t="s">
        <v>183</v>
      </c>
      <c r="C24" s="53" t="s">
        <v>422</v>
      </c>
      <c r="G24" s="977">
        <v>1584.9725745152832</v>
      </c>
      <c r="H24" s="977">
        <v>1388.1731939853753</v>
      </c>
      <c r="I24" s="977">
        <v>1304.898667452444</v>
      </c>
      <c r="J24" s="977">
        <v>1356.4452764196603</v>
      </c>
      <c r="K24" s="977">
        <v>1644.1880514998813</v>
      </c>
      <c r="L24" s="977">
        <v>1500.2518113093922</v>
      </c>
      <c r="M24" s="977">
        <v>2566.906331942399</v>
      </c>
      <c r="N24" s="977">
        <v>2633.9851842627663</v>
      </c>
      <c r="O24" s="977">
        <v>2574.9312477488229</v>
      </c>
      <c r="P24" s="977">
        <v>1690.5010453381362</v>
      </c>
      <c r="Q24" s="105">
        <v>2167.1502305030053</v>
      </c>
      <c r="R24" s="439">
        <v>2393661.0840986855</v>
      </c>
      <c r="S24" s="439">
        <v>2022.3233555728514</v>
      </c>
      <c r="T24" s="439">
        <v>1845.6543456543457</v>
      </c>
      <c r="U24" s="439">
        <v>1863.1662688941924</v>
      </c>
      <c r="V24" s="93">
        <f t="shared" ref="V24:AC24" si="7">V6/V15*1000000</f>
        <v>1651.6424751718869</v>
      </c>
      <c r="W24" s="93">
        <f t="shared" si="7"/>
        <v>1599.8457979953739</v>
      </c>
      <c r="X24" s="93">
        <f t="shared" si="7"/>
        <v>1979.2899408284022</v>
      </c>
      <c r="Y24" s="93">
        <f t="shared" si="7"/>
        <v>2102.3206751054854</v>
      </c>
      <c r="Z24" s="93">
        <f t="shared" si="7"/>
        <v>1789.2561983471073</v>
      </c>
      <c r="AA24" s="93">
        <f t="shared" si="7"/>
        <v>1565.5172413793102</v>
      </c>
      <c r="AB24" s="93">
        <f t="shared" si="7"/>
        <v>2429.8561151079134</v>
      </c>
      <c r="AC24" s="93">
        <f t="shared" si="7"/>
        <v>2476.1061946902655</v>
      </c>
      <c r="AD24" s="93">
        <f>AD6/AD15*1000000</f>
        <v>2238.5786802030461</v>
      </c>
      <c r="AE24" s="586">
        <f>AE6/AE15*1000000</f>
        <v>2412.6149802890932</v>
      </c>
      <c r="AH24" t="s">
        <v>953</v>
      </c>
    </row>
    <row r="25" spans="2:57">
      <c r="C25" s="54" t="s">
        <v>405</v>
      </c>
      <c r="D25" s="54"/>
      <c r="E25" s="54"/>
      <c r="F25" s="54"/>
      <c r="G25"/>
      <c r="H25"/>
      <c r="I25"/>
      <c r="J25"/>
      <c r="K25"/>
      <c r="L25"/>
      <c r="M25"/>
      <c r="N25"/>
      <c r="O25"/>
      <c r="P25"/>
      <c r="Q25" s="105">
        <v>1466.7404742134886</v>
      </c>
      <c r="R25" s="981">
        <v>1146.4490652225224</v>
      </c>
      <c r="S25" s="981">
        <v>929.97948129524536</v>
      </c>
      <c r="T25" s="981">
        <v>361.50146350414332</v>
      </c>
      <c r="U25" s="995">
        <v>704.49129393407486</v>
      </c>
      <c r="V25" s="443">
        <f>V7/V16*1000000</f>
        <v>1316.5810248620387</v>
      </c>
      <c r="W25" s="443">
        <f t="shared" ref="W25:AE25" si="8">W7/W16*1000000</f>
        <v>1455.6125616961551</v>
      </c>
      <c r="X25" s="443">
        <f t="shared" si="8"/>
        <v>1962.2367672856039</v>
      </c>
      <c r="Y25" s="443">
        <f t="shared" si="8"/>
        <v>2083.7321072614518</v>
      </c>
      <c r="Z25" s="443">
        <f t="shared" si="8"/>
        <v>1773.4357240364204</v>
      </c>
      <c r="AA25" s="443">
        <f t="shared" si="8"/>
        <v>1551.6750507958384</v>
      </c>
      <c r="AB25" s="443">
        <f t="shared" si="8"/>
        <v>2408.3715025168021</v>
      </c>
      <c r="AC25" s="443">
        <f t="shared" si="8"/>
        <v>2454.2126422298529</v>
      </c>
      <c r="AD25" s="443">
        <f t="shared" si="8"/>
        <v>2121.3272272910135</v>
      </c>
      <c r="AE25" s="443">
        <f t="shared" si="8"/>
        <v>2166.0755357757857</v>
      </c>
    </row>
    <row r="26" spans="2:57" ht="18.75">
      <c r="B26" s="59" t="s">
        <v>423</v>
      </c>
      <c r="C26" s="53" t="s">
        <v>424</v>
      </c>
      <c r="G26" s="977">
        <v>1165.4011576773862</v>
      </c>
      <c r="H26" s="977">
        <v>948.49488212165102</v>
      </c>
      <c r="I26" s="977">
        <v>909.24360314299133</v>
      </c>
      <c r="J26" s="977">
        <v>1291.2931361954459</v>
      </c>
      <c r="K26" s="977">
        <v>1214.3535075188224</v>
      </c>
      <c r="L26" s="977">
        <v>1083.0711802158435</v>
      </c>
      <c r="M26" s="977">
        <v>1068.6194143584096</v>
      </c>
      <c r="N26" s="977">
        <v>1149.0414311471734</v>
      </c>
      <c r="O26" s="977">
        <v>1294.598273993382</v>
      </c>
      <c r="P26" s="977">
        <v>1150.4312842044035</v>
      </c>
      <c r="Q26" s="105">
        <v>2123.548046462513</v>
      </c>
      <c r="R26" s="444">
        <v>2726.7462992676624</v>
      </c>
      <c r="S26" s="444">
        <v>1556.2510384160048</v>
      </c>
      <c r="T26" s="444">
        <v>1652.1048034934497</v>
      </c>
      <c r="U26" s="444">
        <v>1528.935185185185</v>
      </c>
      <c r="V26" s="93">
        <f t="shared" ref="V26:AC26" si="9">V8/V17*1000000</f>
        <v>1340.4452690166977</v>
      </c>
      <c r="W26" s="93">
        <f t="shared" si="9"/>
        <v>1403.2276525123038</v>
      </c>
      <c r="X26" s="93">
        <f t="shared" si="9"/>
        <v>1594.2028985507245</v>
      </c>
      <c r="Y26" s="93">
        <f t="shared" si="9"/>
        <v>1777.4193548387098</v>
      </c>
      <c r="Z26" s="93">
        <f t="shared" si="9"/>
        <v>1483.5281615302868</v>
      </c>
      <c r="AA26" s="93">
        <f t="shared" si="9"/>
        <v>1358.6413586413587</v>
      </c>
      <c r="AB26" s="93">
        <f t="shared" si="9"/>
        <v>2013.9165009940359</v>
      </c>
      <c r="AC26" s="93">
        <f t="shared" si="9"/>
        <v>2403.7037037037035</v>
      </c>
      <c r="AD26" s="93">
        <f>AD8/AD17*1000000</f>
        <v>1817.0173833485819</v>
      </c>
      <c r="AE26" s="586">
        <f>AE8/AE17*1000000</f>
        <v>1692.1365885491794</v>
      </c>
      <c r="AH26" t="s">
        <v>954</v>
      </c>
    </row>
    <row r="27" spans="2:57" ht="18.75">
      <c r="B27" s="59" t="s">
        <v>425</v>
      </c>
      <c r="C27" s="53" t="s">
        <v>426</v>
      </c>
      <c r="G27"/>
      <c r="H27"/>
      <c r="I27"/>
      <c r="J27"/>
      <c r="K27"/>
      <c r="L27"/>
      <c r="M27"/>
      <c r="N27"/>
      <c r="O27"/>
      <c r="P27" s="440">
        <v>270.10309278350513</v>
      </c>
      <c r="Q27" s="440">
        <v>221</v>
      </c>
      <c r="R27" s="444">
        <v>367.87235465959014</v>
      </c>
      <c r="S27" s="444">
        <v>324.94870504432663</v>
      </c>
      <c r="T27" s="444">
        <v>213.65638766519822</v>
      </c>
      <c r="U27" s="444">
        <v>204.12716118237589</v>
      </c>
      <c r="V27" s="444">
        <f>V9/V18*1000</f>
        <v>145.64428312159711</v>
      </c>
      <c r="W27" s="444">
        <f t="shared" ref="W27:AE27" si="10">W9/W18*1000</f>
        <v>128</v>
      </c>
      <c r="X27" s="444">
        <f t="shared" si="10"/>
        <v>145.8684654300169</v>
      </c>
      <c r="Y27" s="444">
        <f t="shared" si="10"/>
        <v>119.06501095690285</v>
      </c>
      <c r="Z27" s="444">
        <f t="shared" si="10"/>
        <v>153.7162162162162</v>
      </c>
      <c r="AA27" s="444">
        <f t="shared" si="10"/>
        <v>151.16279069767441</v>
      </c>
      <c r="AB27" s="444">
        <f t="shared" si="10"/>
        <v>173.07692307692307</v>
      </c>
      <c r="AC27" s="444">
        <f t="shared" si="10"/>
        <v>272.05493924986791</v>
      </c>
      <c r="AD27" s="444">
        <f t="shared" si="10"/>
        <v>261.43421795595708</v>
      </c>
      <c r="AE27" s="587">
        <f t="shared" si="10"/>
        <v>304.29522081064727</v>
      </c>
      <c r="AH27" t="s">
        <v>955</v>
      </c>
    </row>
    <row r="28" spans="2:57" ht="18.75">
      <c r="B28" s="59" t="s">
        <v>297</v>
      </c>
      <c r="C28" s="53" t="s">
        <v>298</v>
      </c>
      <c r="G28" s="987">
        <v>4.6460639087164537E-2</v>
      </c>
      <c r="H28" s="987">
        <v>1.9408944897454906E-2</v>
      </c>
      <c r="I28" s="987">
        <v>1.7596131760283986E-2</v>
      </c>
      <c r="J28" s="987">
        <v>1.1994453145392847E-2</v>
      </c>
      <c r="K28" s="987">
        <v>1.2936418782296113E-2</v>
      </c>
      <c r="L28" s="987">
        <v>1.2342939007491957E-2</v>
      </c>
      <c r="M28" s="987">
        <v>1.1584184155795046E-2</v>
      </c>
      <c r="N28" s="987">
        <v>1.3998356421695233E-2</v>
      </c>
      <c r="O28" s="987">
        <v>1.4009660476458449E-2</v>
      </c>
      <c r="P28" s="987">
        <v>1.4947626144347454E-2</v>
      </c>
      <c r="Q28" s="987">
        <v>1.2097969369009805E-2</v>
      </c>
      <c r="R28" s="445">
        <v>1.4373737373737374E-2</v>
      </c>
      <c r="S28" s="445">
        <v>2.7529032258064516E-2</v>
      </c>
      <c r="T28" s="445">
        <v>3.135532516493874E-2</v>
      </c>
      <c r="U28" s="445">
        <v>3.2331378299120236E-2</v>
      </c>
      <c r="V28" s="445">
        <f>V10/V19</f>
        <v>3.4670487106017188E-2</v>
      </c>
      <c r="W28" s="445">
        <f t="shared" ref="W28:AE28" si="11">W10/W19</f>
        <v>3.620448179271709E-2</v>
      </c>
      <c r="X28" s="445">
        <f t="shared" si="11"/>
        <v>3.7649542575650952E-2</v>
      </c>
      <c r="Y28" s="445">
        <f t="shared" si="11"/>
        <v>1.9151103565365025E-2</v>
      </c>
      <c r="Z28" s="445">
        <f t="shared" si="11"/>
        <v>2.9322834645669288E-2</v>
      </c>
      <c r="AA28" s="445">
        <f t="shared" si="11"/>
        <v>3.0155590012297492E-2</v>
      </c>
      <c r="AB28" s="445">
        <f t="shared" si="11"/>
        <v>2.9056198146914552E-2</v>
      </c>
      <c r="AC28" s="445">
        <f t="shared" si="11"/>
        <v>3.1786890152648906E-2</v>
      </c>
      <c r="AD28" s="445">
        <f t="shared" si="11"/>
        <v>3.0610547329895193E-2</v>
      </c>
      <c r="AE28" s="445">
        <f t="shared" si="11"/>
        <v>2.8961734628495273E-2</v>
      </c>
      <c r="AH28" t="s">
        <v>956</v>
      </c>
    </row>
    <row r="29" spans="2:57" ht="18.75">
      <c r="B29" s="59" t="s">
        <v>427</v>
      </c>
      <c r="C29" s="53" t="s">
        <v>428</v>
      </c>
      <c r="G29" s="977"/>
      <c r="H29" s="977">
        <v>71.662396942298571</v>
      </c>
      <c r="I29" s="977">
        <v>87.930344658695603</v>
      </c>
      <c r="J29" s="977">
        <v>100</v>
      </c>
      <c r="K29" s="977">
        <v>88.080766945286058</v>
      </c>
      <c r="L29" s="977">
        <v>112.442030910466</v>
      </c>
      <c r="M29" s="977">
        <v>40.803397426330228</v>
      </c>
      <c r="N29" s="977">
        <v>22.554381867280142</v>
      </c>
      <c r="O29" s="977">
        <v>52.393474047771399</v>
      </c>
      <c r="P29" s="977">
        <v>-9.0554139449879507</v>
      </c>
      <c r="Q29" s="977">
        <v>-11.873889644977343</v>
      </c>
      <c r="R29" s="437">
        <v>89.419436785920723</v>
      </c>
      <c r="S29" s="437">
        <v>0.11982481916129362</v>
      </c>
      <c r="T29" s="437">
        <v>0.10455075448628268</v>
      </c>
      <c r="U29" s="996">
        <v>0.11627607284985012</v>
      </c>
      <c r="V29" s="94">
        <v>111.04768145762186</v>
      </c>
      <c r="W29" s="107">
        <f>V29*(W3-SUM(W6:W10))/(V3-SUM(V6:V10))/(W20/V20)</f>
        <v>113.41484968810282</v>
      </c>
      <c r="X29" s="107">
        <f t="shared" ref="X29:AE29" si="12">W29*(X3-SUM(X6:X10))/(W3-SUM(W6:W10))/(X20/W20)</f>
        <v>145.27796731961692</v>
      </c>
      <c r="Y29" s="107">
        <f t="shared" si="12"/>
        <v>125.97828499172806</v>
      </c>
      <c r="Z29" s="107">
        <f t="shared" si="12"/>
        <v>124.08586010275512</v>
      </c>
      <c r="AA29" s="107">
        <f t="shared" si="12"/>
        <v>115.13833160499678</v>
      </c>
      <c r="AB29" s="107">
        <f t="shared" si="12"/>
        <v>152.39794661224767</v>
      </c>
      <c r="AC29" s="107">
        <f t="shared" si="12"/>
        <v>171.15799657769583</v>
      </c>
      <c r="AD29" s="107">
        <f t="shared" si="12"/>
        <v>157.61509859270686</v>
      </c>
      <c r="AE29" s="107">
        <f t="shared" si="12"/>
        <v>143.15086651256283</v>
      </c>
      <c r="AH29" t="s">
        <v>957</v>
      </c>
    </row>
    <row r="30" spans="2:57">
      <c r="G30" s="987"/>
      <c r="H30" s="987"/>
      <c r="I30" s="987"/>
      <c r="J30" s="987"/>
      <c r="K30" s="987"/>
      <c r="L30" s="987"/>
      <c r="M30" s="987"/>
      <c r="N30" s="987"/>
      <c r="O30" s="987"/>
      <c r="P30" s="987"/>
      <c r="Q30" s="987"/>
      <c r="R30" s="988"/>
      <c r="S30" s="988"/>
      <c r="T30" s="988"/>
      <c r="U30" s="988"/>
    </row>
    <row r="31" spans="2:57">
      <c r="G31"/>
      <c r="H31"/>
      <c r="I31"/>
      <c r="J31"/>
      <c r="K31"/>
      <c r="L31"/>
      <c r="M31"/>
      <c r="N31"/>
      <c r="O31"/>
      <c r="P31"/>
      <c r="R31"/>
      <c r="S31"/>
      <c r="T31"/>
      <c r="U31"/>
    </row>
    <row r="32" spans="2:57">
      <c r="B32" s="103"/>
      <c r="C32" s="103" t="s">
        <v>429</v>
      </c>
      <c r="D32" s="103"/>
      <c r="E32" s="103"/>
      <c r="F32" s="103"/>
      <c r="G32" s="985"/>
      <c r="H32" s="985"/>
      <c r="I32" s="997"/>
      <c r="J32" s="997"/>
      <c r="K32" s="997"/>
      <c r="L32" s="997"/>
      <c r="M32" s="997"/>
      <c r="N32" s="997"/>
      <c r="O32" s="997"/>
      <c r="P32" s="997"/>
      <c r="Q32" s="997"/>
      <c r="R32" s="986"/>
      <c r="S32" s="986"/>
      <c r="T32" s="986"/>
      <c r="U32" s="986"/>
      <c r="AH32" s="103"/>
      <c r="AI32" s="103"/>
      <c r="AJ32" s="103"/>
      <c r="AK32" s="103"/>
      <c r="AL32" s="103"/>
      <c r="AM32" s="103"/>
      <c r="AN32" s="103"/>
      <c r="AO32" s="103"/>
      <c r="AP32" s="103"/>
      <c r="AQ32" s="103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3"/>
    </row>
    <row r="33" spans="2:57" ht="18">
      <c r="B33" s="59" t="s">
        <v>430</v>
      </c>
      <c r="C33" s="53" t="s">
        <v>431</v>
      </c>
      <c r="G33"/>
      <c r="H33"/>
      <c r="I33" s="106">
        <v>107.6</v>
      </c>
      <c r="J33" s="106">
        <v>129.5</v>
      </c>
      <c r="K33" s="106">
        <v>122.6</v>
      </c>
      <c r="L33" s="106">
        <v>102.9</v>
      </c>
      <c r="M33" s="106">
        <v>131.19999999999999</v>
      </c>
      <c r="N33" s="106">
        <v>127.9</v>
      </c>
      <c r="O33" s="106">
        <v>86</v>
      </c>
      <c r="P33" s="106">
        <v>98</v>
      </c>
      <c r="Q33" s="441">
        <v>82.5713658398099</v>
      </c>
      <c r="R33" s="448">
        <v>54.302901372817772</v>
      </c>
      <c r="S33" s="448">
        <v>84238.270696952794</v>
      </c>
      <c r="T33" s="448">
        <v>74.322870774141691</v>
      </c>
      <c r="U33" s="448">
        <v>105.63694710777017</v>
      </c>
      <c r="V33" s="447">
        <f>V34</f>
        <v>103.02142622963302</v>
      </c>
      <c r="W33" s="133">
        <f t="shared" ref="W33:AE33" si="13">W34</f>
        <v>101.42172662371361</v>
      </c>
      <c r="X33" s="133">
        <f t="shared" si="13"/>
        <v>113.89624793380932</v>
      </c>
      <c r="Y33" s="133">
        <f t="shared" si="13"/>
        <v>95.623441575639021</v>
      </c>
      <c r="Z33" s="133">
        <f t="shared" si="13"/>
        <v>114.98259429013346</v>
      </c>
      <c r="AA33" s="133">
        <f t="shared" si="13"/>
        <v>130.37583341110502</v>
      </c>
      <c r="AB33" s="133">
        <f t="shared" si="13"/>
        <v>115.40893126762977</v>
      </c>
      <c r="AC33" s="133">
        <f t="shared" si="13"/>
        <v>87.087780744614776</v>
      </c>
      <c r="AD33" s="133">
        <f t="shared" si="13"/>
        <v>134.08487275468045</v>
      </c>
      <c r="AE33" s="133">
        <f t="shared" si="13"/>
        <v>79.318174557420178</v>
      </c>
      <c r="AH33" t="s">
        <v>958</v>
      </c>
    </row>
    <row r="34" spans="2:57" ht="18.75">
      <c r="B34" s="59" t="s">
        <v>432</v>
      </c>
      <c r="C34" s="53" t="s">
        <v>433</v>
      </c>
      <c r="G34" s="440"/>
      <c r="H34" s="440">
        <v>103.48465071673478</v>
      </c>
      <c r="I34" s="440">
        <v>114.14975036226409</v>
      </c>
      <c r="J34" s="440">
        <v>120.50780710824478</v>
      </c>
      <c r="K34" s="440">
        <v>106.73249418293538</v>
      </c>
      <c r="L34" s="440">
        <v>110.85810910713508</v>
      </c>
      <c r="M34" s="440">
        <v>85.197220702102584</v>
      </c>
      <c r="N34" s="440">
        <v>103.00252382903368</v>
      </c>
      <c r="O34" s="440">
        <v>97.563207690308516</v>
      </c>
      <c r="P34" s="440">
        <v>39.703171488980495</v>
      </c>
      <c r="Q34" s="440">
        <v>82.5713658398099</v>
      </c>
      <c r="R34" s="448">
        <v>54.302901372817772</v>
      </c>
      <c r="S34" s="448">
        <v>84238.270696952794</v>
      </c>
      <c r="T34" s="448">
        <v>74.322870774141691</v>
      </c>
      <c r="U34" s="448">
        <v>105.63694710777017</v>
      </c>
      <c r="V34" s="94">
        <v>103.02142622963302</v>
      </c>
      <c r="W34" s="446">
        <f>W5/V5/W36*10000</f>
        <v>101.42172662371361</v>
      </c>
      <c r="X34" s="446">
        <f t="shared" ref="X34" si="14">X5/W5/X36*10000</f>
        <v>113.89624793380932</v>
      </c>
      <c r="Y34" s="446">
        <f t="shared" ref="Y34" si="15">Y5/X5/Y36*10000</f>
        <v>95.623441575639021</v>
      </c>
      <c r="Z34" s="446">
        <f t="shared" ref="Z34" si="16">Z5/Y5/Z36*10000</f>
        <v>114.98259429013346</v>
      </c>
      <c r="AA34" s="446">
        <f t="shared" ref="AA34" si="17">AA5/Z5/AA36*10000</f>
        <v>130.37583341110502</v>
      </c>
      <c r="AB34" s="446">
        <f t="shared" ref="AB34" si="18">AB5/AA5/AB36*10000</f>
        <v>115.40893126762977</v>
      </c>
      <c r="AC34" s="446">
        <f t="shared" ref="AC34" si="19">AC5/AB5/AC36*10000</f>
        <v>87.087780744614776</v>
      </c>
      <c r="AD34" s="446">
        <f t="shared" ref="AD34" si="20">AD5/AC5/AD36*10000</f>
        <v>134.08487275468045</v>
      </c>
      <c r="AE34" s="446">
        <f t="shared" ref="AE34" si="21">AE5/AD5/AE36*10000</f>
        <v>79.318174557420178</v>
      </c>
      <c r="AH34" t="s">
        <v>959</v>
      </c>
    </row>
    <row r="35" spans="2:57" ht="18.75">
      <c r="B35" s="59" t="s">
        <v>434</v>
      </c>
      <c r="C35" s="53" t="s">
        <v>435</v>
      </c>
      <c r="G35"/>
      <c r="H35"/>
      <c r="I35" s="440">
        <v>100.01561511754811</v>
      </c>
      <c r="J35" s="440">
        <v>99.998695736540483</v>
      </c>
      <c r="K35" s="440">
        <v>100.02535543780205</v>
      </c>
      <c r="L35" s="440">
        <v>99.937659445987308</v>
      </c>
      <c r="M35" s="440">
        <v>96.585747115696947</v>
      </c>
      <c r="N35" s="440">
        <v>83.888739385462117</v>
      </c>
      <c r="O35" s="440">
        <v>114.96604496018432</v>
      </c>
      <c r="P35" s="440">
        <v>36.315759351776379</v>
      </c>
      <c r="Q35" s="440">
        <v>159.6704046542375</v>
      </c>
      <c r="R35" s="448">
        <v>423.9995599802935</v>
      </c>
      <c r="S35" s="448">
        <v>0.12037250257996771</v>
      </c>
      <c r="T35" s="448">
        <v>95.17858614707842</v>
      </c>
      <c r="U35" s="448">
        <v>89.08081376283495</v>
      </c>
      <c r="V35" s="94">
        <v>90.22346445761309</v>
      </c>
      <c r="W35" s="448">
        <f t="shared" ref="W35:AE35" si="22">(W3)/(V3)/W33*10000</f>
        <v>97.519920035099062</v>
      </c>
      <c r="X35" s="448">
        <f t="shared" si="22"/>
        <v>112.61286774147993</v>
      </c>
      <c r="Y35" s="448">
        <f t="shared" si="22"/>
        <v>94.87646170868139</v>
      </c>
      <c r="Z35" s="448">
        <f t="shared" si="22"/>
        <v>93.663474839305579</v>
      </c>
      <c r="AA35" s="448">
        <f t="shared" si="22"/>
        <v>83.666304913427894</v>
      </c>
      <c r="AB35" s="448">
        <f t="shared" si="22"/>
        <v>128.7559213675668</v>
      </c>
      <c r="AC35" s="448">
        <f t="shared" si="22"/>
        <v>113.97662221161363</v>
      </c>
      <c r="AD35" s="448">
        <f t="shared" si="22"/>
        <v>88.089292735136368</v>
      </c>
      <c r="AE35" s="448">
        <f t="shared" si="22"/>
        <v>98.731986585665766</v>
      </c>
      <c r="AH35" t="s">
        <v>960</v>
      </c>
    </row>
    <row r="36" spans="2:57" ht="18.75">
      <c r="B36" s="59" t="s">
        <v>436</v>
      </c>
      <c r="C36" s="53" t="s">
        <v>437</v>
      </c>
      <c r="G36" s="440"/>
      <c r="H36" s="440">
        <v>75.051900709143212</v>
      </c>
      <c r="I36" s="440">
        <v>94.001028839983746</v>
      </c>
      <c r="J36" s="440">
        <v>107.55705241363553</v>
      </c>
      <c r="K36" s="440">
        <v>113.41249935887431</v>
      </c>
      <c r="L36" s="440">
        <v>91.12295879403213</v>
      </c>
      <c r="M36" s="440">
        <v>154.16440505200353</v>
      </c>
      <c r="N36" s="440">
        <v>103.85338297159291</v>
      </c>
      <c r="O36" s="440">
        <v>99.075771768382808</v>
      </c>
      <c r="P36" s="440">
        <v>70.360653678552865</v>
      </c>
      <c r="Q36" s="440">
        <v>131.79499640409679</v>
      </c>
      <c r="R36" s="448">
        <v>506.08653531119268</v>
      </c>
      <c r="S36" s="448">
        <v>0.12837922193339274</v>
      </c>
      <c r="T36" s="448">
        <v>93.35343400907918</v>
      </c>
      <c r="U36" s="448">
        <v>98.065486047009813</v>
      </c>
      <c r="V36" s="94">
        <v>88.455987265507048</v>
      </c>
      <c r="W36" s="446">
        <f t="shared" ref="W36" si="23">(W6+W8+W9+W10)/(W6/(W24/V24*100)+W8/(W26/V26*100)+W9/(W27/V27*100)+W10/(W28/V28*100))</f>
        <v>99.494952978269623</v>
      </c>
      <c r="X36" s="446">
        <f t="shared" ref="X36" si="24">(X6+X8+X9+X10)/(X6/(X24/W24*100)+X8/(X26/W26*100)+X9/(X27/W27*100)+X10/(X28/W28*100))</f>
        <v>117.03955420981892</v>
      </c>
      <c r="Y36" s="446">
        <f t="shared" ref="Y36" si="25">(Y6+Y8+Y9+Y10)/(Y6/(Y24/X24*100)+Y8/(Y26/X26*100)+Y9/(Y27/X27*100)+Y10/(Y28/X28*100))</f>
        <v>93.691445840809834</v>
      </c>
      <c r="Z36" s="446">
        <f t="shared" ref="Z36" si="26">(Z6+Z8+Z9+Z10)/(Z6/(Z24/Y24*100)+Z8/(Z26/Y26*100)+Z9/(Z27/Y27*100)+Z10/(Z28/Y28*100))</f>
        <v>95.161835464253173</v>
      </c>
      <c r="AA36" s="446">
        <f t="shared" ref="AA36" si="27">(AA6+AA8+AA9+AA10)/(AA6/(AA24/Z24*100)+AA8/(AA26/Z26*100)+AA9/(AA27/Z27*100)+AA10/(AA28/Z28*100))</f>
        <v>91.886157265435898</v>
      </c>
      <c r="AB36" s="446">
        <f t="shared" ref="AB36" si="28">(AB6+AB8+AB9+AB10)/(AB6/(AB24/AA24*100)+AB8/(AB26/AA26*100)+AB9/(AB27/AA27*100)+AB10/(AB28/AA28*100))</f>
        <v>132.38994583465953</v>
      </c>
      <c r="AC36" s="446">
        <f t="shared" ref="AC36" si="29">(AC6+AC8+AC9+AC10)/(AC6/(AC24/AB24*100)+AC8/(AC26/AB26*100)+AC9/(AC27/AB27*100)+AC10/(AC28/AB28*100))</f>
        <v>114.42069713844739</v>
      </c>
      <c r="AD36" s="446">
        <f t="shared" ref="AD36" si="30">(AD6+AD8+AD9+AD10)/(AD6/(AD24/AC24*100)+AD8/(AD26/AC26*100)+AD9/(AD27/AC27*100)+AD10/(AD28/AC28*100))</f>
        <v>85.261715367042456</v>
      </c>
      <c r="AE36" s="446">
        <f t="shared" ref="AE36" si="31">(AE6+AE8+AE9+AE10)/(AE6/(AE24/AD24*100)+AE8/(AE26/AD26*100)+AE9/(AE27/AD27*100)+AE10/(AE28/AD28*100))</f>
        <v>100.26033199306768</v>
      </c>
      <c r="AH36" t="s">
        <v>961</v>
      </c>
    </row>
    <row r="37" spans="2:57">
      <c r="G37" s="440"/>
      <c r="H37" s="440"/>
      <c r="I37" s="440"/>
      <c r="J37" s="440"/>
      <c r="K37" s="440"/>
      <c r="L37" s="440"/>
      <c r="M37" s="440"/>
      <c r="N37" s="440"/>
      <c r="O37" s="440"/>
      <c r="P37" s="440"/>
      <c r="Q37" s="440"/>
      <c r="R37" s="440"/>
      <c r="S37" s="440"/>
      <c r="T37" s="440"/>
      <c r="U37" s="440"/>
    </row>
    <row r="38" spans="2:57">
      <c r="G38" s="440"/>
      <c r="H38" s="440"/>
      <c r="I38" s="440"/>
      <c r="J38" s="440"/>
      <c r="K38" s="440"/>
      <c r="L38" s="440"/>
      <c r="M38" s="440"/>
      <c r="N38" s="440"/>
      <c r="O38" s="440"/>
      <c r="P38" s="440"/>
      <c r="Q38" s="440"/>
      <c r="R38" s="988">
        <v>1.0933919022154317</v>
      </c>
      <c r="S38" s="440"/>
      <c r="T38" s="440"/>
      <c r="U38" s="440"/>
    </row>
    <row r="39" spans="2:57">
      <c r="G39" s="440"/>
      <c r="H39" s="440"/>
      <c r="I39" s="440"/>
      <c r="J39" s="440"/>
      <c r="K39" s="440"/>
      <c r="L39" s="440"/>
      <c r="M39" s="440"/>
      <c r="N39" s="440"/>
      <c r="O39" s="440"/>
      <c r="P39" s="440"/>
      <c r="Q39" s="440"/>
      <c r="R39" s="440"/>
      <c r="S39" s="440"/>
      <c r="T39" s="440"/>
      <c r="U39" s="440"/>
    </row>
    <row r="40" spans="2:57">
      <c r="B40" s="100"/>
      <c r="C40" s="101" t="s">
        <v>92</v>
      </c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W40" s="627">
        <f>W43-V43</f>
        <v>-404.40000000000009</v>
      </c>
      <c r="X40" s="627">
        <f t="shared" ref="X40:AC40" si="32">X43-W43</f>
        <v>-256.29999999999973</v>
      </c>
      <c r="Y40" s="627">
        <f t="shared" si="32"/>
        <v>376.09999999999991</v>
      </c>
      <c r="Z40" s="627">
        <f t="shared" si="32"/>
        <v>198.30000000000018</v>
      </c>
      <c r="AA40" s="627">
        <f t="shared" si="32"/>
        <v>-199.30000000000018</v>
      </c>
      <c r="AB40" s="627">
        <f t="shared" si="32"/>
        <v>1059.5</v>
      </c>
      <c r="AC40" s="627">
        <f t="shared" si="32"/>
        <v>958</v>
      </c>
      <c r="AD40" s="627">
        <f t="shared" ref="AD40:AE40" si="33">AD43-AC43</f>
        <v>712.60000000000036</v>
      </c>
      <c r="AE40" s="627">
        <f t="shared" si="33"/>
        <v>1127.5</v>
      </c>
      <c r="AH40" s="100"/>
      <c r="AI40" s="100"/>
      <c r="AJ40" s="100"/>
      <c r="AK40" s="100"/>
      <c r="AL40" s="100"/>
      <c r="AM40" s="100"/>
      <c r="AN40" s="100"/>
      <c r="AO40" s="100"/>
      <c r="AP40" s="100"/>
      <c r="AQ40" s="100"/>
      <c r="AR40" s="100"/>
      <c r="AS40" s="100"/>
      <c r="AT40" s="100"/>
      <c r="AU40" s="100"/>
      <c r="AV40" s="100"/>
      <c r="AW40" s="100"/>
      <c r="AX40" s="100"/>
      <c r="AY40" s="100"/>
      <c r="AZ40" s="100"/>
      <c r="BA40" s="100"/>
      <c r="BB40" s="100"/>
      <c r="BC40" s="100"/>
      <c r="BD40" s="100"/>
      <c r="BE40" s="100"/>
    </row>
    <row r="41" spans="2:57" ht="18.75">
      <c r="B41" s="59" t="s">
        <v>438</v>
      </c>
      <c r="C41" s="102" t="s">
        <v>439</v>
      </c>
      <c r="D41" s="102"/>
      <c r="E41" s="102"/>
      <c r="F41" s="102"/>
      <c r="G41" s="976">
        <v>977.47500000000002</v>
      </c>
      <c r="H41" s="976">
        <v>835.28070000000002</v>
      </c>
      <c r="I41" s="976">
        <v>927.77919999999995</v>
      </c>
      <c r="J41" s="976">
        <v>1147.2646999999999</v>
      </c>
      <c r="K41" s="976">
        <v>1444.9593000000002</v>
      </c>
      <c r="L41" s="976">
        <v>1682.4449</v>
      </c>
      <c r="M41" s="976">
        <v>2370.7754</v>
      </c>
      <c r="N41" s="976">
        <v>3707.0835000000002</v>
      </c>
      <c r="O41" s="976">
        <v>4084.5239999999999</v>
      </c>
      <c r="P41" s="976">
        <v>2833.9009999999998</v>
      </c>
      <c r="Q41" s="976">
        <v>3460.2849999999999</v>
      </c>
      <c r="R41" s="979">
        <v>3646.76</v>
      </c>
      <c r="S41" s="979">
        <v>4358.8999999999996</v>
      </c>
      <c r="T41" s="979">
        <v>4836.09</v>
      </c>
      <c r="U41" s="979">
        <v>4759.8999999999996</v>
      </c>
      <c r="V41" s="133">
        <f>V42+V43</f>
        <v>3898.14</v>
      </c>
      <c r="W41" s="133">
        <f t="shared" ref="W41:AE41" si="34">W42+W43</f>
        <v>3405.2999999999997</v>
      </c>
      <c r="X41" s="133">
        <f t="shared" si="34"/>
        <v>3149.08</v>
      </c>
      <c r="Y41" s="133">
        <f t="shared" si="34"/>
        <v>3608.8</v>
      </c>
      <c r="Z41" s="133">
        <f t="shared" si="34"/>
        <v>3837.1000000000004</v>
      </c>
      <c r="AA41" s="133">
        <f t="shared" si="34"/>
        <v>3560</v>
      </c>
      <c r="AB41" s="133">
        <f t="shared" si="34"/>
        <v>4741.1000000000004</v>
      </c>
      <c r="AC41" s="133">
        <f t="shared" si="34"/>
        <v>5852.8239999999996</v>
      </c>
      <c r="AD41" s="133">
        <f t="shared" si="34"/>
        <v>6628.3810000000003</v>
      </c>
      <c r="AE41" s="133">
        <f t="shared" si="34"/>
        <v>7685.701</v>
      </c>
      <c r="AH41" t="s">
        <v>962</v>
      </c>
      <c r="AI41" s="102"/>
      <c r="AJ41" s="102"/>
      <c r="AK41" s="102"/>
      <c r="AL41" s="102"/>
      <c r="AM41" s="102"/>
      <c r="AN41" s="102"/>
      <c r="AO41" s="102"/>
      <c r="AP41" s="102"/>
      <c r="AQ41" s="102"/>
      <c r="AR41" s="102"/>
      <c r="AS41" s="102"/>
      <c r="AT41" s="102"/>
      <c r="AU41" s="102"/>
      <c r="AV41" s="102"/>
      <c r="AW41" s="102"/>
      <c r="AX41" s="102"/>
      <c r="AY41" s="102"/>
      <c r="AZ41" s="102"/>
      <c r="BA41" s="102"/>
      <c r="BB41" s="102"/>
      <c r="BC41" s="102"/>
      <c r="BD41" s="102"/>
      <c r="BE41" s="102"/>
    </row>
    <row r="42" spans="2:57" ht="18.75">
      <c r="B42" s="59" t="s">
        <v>440</v>
      </c>
      <c r="C42" s="103" t="s">
        <v>441</v>
      </c>
      <c r="D42" s="103"/>
      <c r="E42" s="103"/>
      <c r="F42" s="103"/>
      <c r="G42" s="998">
        <v>57</v>
      </c>
      <c r="H42" s="998">
        <v>69.599999999999994</v>
      </c>
      <c r="I42" s="998">
        <v>104.878</v>
      </c>
      <c r="J42" s="998">
        <v>121.533</v>
      </c>
      <c r="K42" s="998">
        <v>212.52600000000001</v>
      </c>
      <c r="L42" s="998">
        <v>251.51900000000001</v>
      </c>
      <c r="M42" s="998">
        <v>240.8</v>
      </c>
      <c r="N42" s="998">
        <v>592.07799999999997</v>
      </c>
      <c r="O42" s="165">
        <v>455.524</v>
      </c>
      <c r="P42" s="165">
        <v>291.30099999999999</v>
      </c>
      <c r="Q42" s="165">
        <v>528.125</v>
      </c>
      <c r="R42" s="458">
        <v>440.76</v>
      </c>
      <c r="S42" s="458">
        <v>580.5</v>
      </c>
      <c r="T42" s="458">
        <v>790.69</v>
      </c>
      <c r="U42" s="458">
        <v>462.5</v>
      </c>
      <c r="V42">
        <f>BoP!V11</f>
        <v>462.54</v>
      </c>
      <c r="W42">
        <f>BoP!W11</f>
        <v>374.1</v>
      </c>
      <c r="X42">
        <f>BoP!X11</f>
        <v>374.18</v>
      </c>
      <c r="Y42">
        <f>BoP!Y11</f>
        <v>457.8</v>
      </c>
      <c r="Z42">
        <f>BoP!Z11</f>
        <v>487.8</v>
      </c>
      <c r="AA42">
        <f>BoP!AA11</f>
        <v>410</v>
      </c>
      <c r="AB42">
        <f>BoP!AB11</f>
        <v>531.6</v>
      </c>
      <c r="AC42">
        <f>BoP!AC11</f>
        <v>685.32399999999996</v>
      </c>
      <c r="AD42">
        <f>BoP!AD11</f>
        <v>748.28099999999995</v>
      </c>
      <c r="AE42" s="159">
        <f>BoP!AE11</f>
        <v>678.101</v>
      </c>
      <c r="AH42" t="s">
        <v>963</v>
      </c>
      <c r="AI42" s="103"/>
      <c r="AJ42" s="103"/>
      <c r="AK42" s="103"/>
      <c r="AL42" s="103"/>
      <c r="AM42" s="103"/>
      <c r="AN42" s="103"/>
      <c r="AO42" s="103"/>
      <c r="AP42" s="103"/>
      <c r="AQ42" s="103"/>
      <c r="AR42" s="103"/>
      <c r="AS42" s="103"/>
      <c r="AT42" s="103"/>
      <c r="AU42" s="103"/>
      <c r="AV42" s="103"/>
      <c r="AW42" s="103"/>
      <c r="AX42" s="103"/>
      <c r="AY42" s="103"/>
      <c r="AZ42" s="103"/>
      <c r="BA42" s="103"/>
      <c r="BB42" s="103"/>
      <c r="BC42" s="103"/>
      <c r="BD42" s="103"/>
      <c r="BE42" s="103"/>
    </row>
    <row r="43" spans="2:57" ht="18.75">
      <c r="B43" s="59" t="s">
        <v>442</v>
      </c>
      <c r="C43" s="103" t="s">
        <v>443</v>
      </c>
      <c r="D43" s="103"/>
      <c r="E43" s="103"/>
      <c r="F43" s="103"/>
      <c r="G43" s="985">
        <v>920.47500000000002</v>
      </c>
      <c r="H43" s="985">
        <v>765.6807</v>
      </c>
      <c r="I43" s="985">
        <v>822.9011999999999</v>
      </c>
      <c r="J43" s="985">
        <v>1025.7317</v>
      </c>
      <c r="K43" s="985">
        <v>1232.4333000000001</v>
      </c>
      <c r="L43" s="985">
        <v>1430.9259</v>
      </c>
      <c r="M43" s="985">
        <v>2129.9753999999998</v>
      </c>
      <c r="N43" s="985">
        <v>3115.0055000000002</v>
      </c>
      <c r="O43" s="978">
        <v>3629</v>
      </c>
      <c r="P43" s="978">
        <v>2542.6</v>
      </c>
      <c r="Q43" s="978">
        <v>2932.16</v>
      </c>
      <c r="R43" s="978">
        <v>3206</v>
      </c>
      <c r="S43" s="978">
        <v>3778.4</v>
      </c>
      <c r="T43" s="978">
        <v>4045.4</v>
      </c>
      <c r="U43" s="978">
        <v>4297.3999999999996</v>
      </c>
      <c r="V43" s="449">
        <v>3435.6</v>
      </c>
      <c r="W43" s="449">
        <v>3031.2</v>
      </c>
      <c r="X43" s="450">
        <v>2774.9</v>
      </c>
      <c r="Y43" s="450">
        <v>3151</v>
      </c>
      <c r="Z43" s="450">
        <v>3349.3</v>
      </c>
      <c r="AA43" s="450">
        <v>3150</v>
      </c>
      <c r="AB43" s="451">
        <v>4209.5</v>
      </c>
      <c r="AC43" s="451">
        <v>5167.5</v>
      </c>
      <c r="AD43" s="451">
        <v>5880.1</v>
      </c>
      <c r="AE43" s="578">
        <v>7007.6</v>
      </c>
      <c r="AH43" t="s">
        <v>964</v>
      </c>
      <c r="AI43" s="103"/>
      <c r="AJ43" s="103"/>
      <c r="AK43" s="103"/>
      <c r="AL43" s="103"/>
      <c r="AM43" s="103"/>
      <c r="AN43" s="103"/>
      <c r="AO43" s="103"/>
      <c r="AP43" s="103"/>
      <c r="AQ43" s="103"/>
      <c r="AR43" s="103"/>
      <c r="AS43" s="103"/>
      <c r="AT43" s="103"/>
      <c r="AU43" s="103"/>
      <c r="AV43" s="103"/>
      <c r="AW43" s="103"/>
      <c r="AX43" s="103"/>
      <c r="AY43" s="103"/>
      <c r="AZ43" s="103"/>
      <c r="BA43" s="103"/>
      <c r="BB43" s="103"/>
      <c r="BC43" s="103"/>
      <c r="BD43" s="103"/>
      <c r="BE43" s="103"/>
    </row>
    <row r="44" spans="2:57" ht="18.75">
      <c r="B44" s="59" t="s">
        <v>444</v>
      </c>
      <c r="C44" s="53" t="s">
        <v>445</v>
      </c>
      <c r="G44" s="105">
        <v>36.322900000000004</v>
      </c>
      <c r="H44" s="105">
        <v>30.371200000000002</v>
      </c>
      <c r="I44" s="105">
        <v>23.332099999999997</v>
      </c>
      <c r="J44" s="105">
        <v>12.4162</v>
      </c>
      <c r="K44" s="105">
        <v>15.041</v>
      </c>
      <c r="L44" s="105">
        <v>30.69</v>
      </c>
      <c r="M44" s="105">
        <v>28.025500000000001</v>
      </c>
      <c r="N44" s="105">
        <v>40.121000000000002</v>
      </c>
      <c r="O44" s="105">
        <v>58.8643</v>
      </c>
      <c r="P44" s="105">
        <v>73.566000000000003</v>
      </c>
      <c r="Q44" s="438">
        <v>81.805131880140294</v>
      </c>
      <c r="R44" s="439">
        <v>116.2</v>
      </c>
      <c r="S44" s="439">
        <v>185.3</v>
      </c>
      <c r="T44" s="439">
        <v>208.4</v>
      </c>
      <c r="U44" s="162">
        <v>231.1</v>
      </c>
      <c r="V44" s="161">
        <v>244.5</v>
      </c>
      <c r="W44" s="161">
        <v>231.4</v>
      </c>
      <c r="X44" s="265">
        <v>197.5</v>
      </c>
      <c r="Y44" s="265">
        <v>172.6</v>
      </c>
      <c r="Z44" s="265">
        <v>222.8</v>
      </c>
      <c r="AA44" s="385">
        <v>243.2</v>
      </c>
      <c r="AB44" s="265">
        <v>265.89999999999998</v>
      </c>
      <c r="AC44" s="265">
        <v>329.1</v>
      </c>
      <c r="AD44" s="265">
        <v>288.8</v>
      </c>
      <c r="AE44" s="579">
        <v>274.5</v>
      </c>
      <c r="AH44" t="s">
        <v>965</v>
      </c>
    </row>
    <row r="45" spans="2:57" ht="18.75">
      <c r="B45" s="59" t="s">
        <v>446</v>
      </c>
      <c r="C45" s="53" t="s">
        <v>447</v>
      </c>
      <c r="G45" s="105">
        <v>68.00869999999999</v>
      </c>
      <c r="H45" s="105">
        <v>73.218199999999996</v>
      </c>
      <c r="I45" s="105">
        <v>69.575100000000006</v>
      </c>
      <c r="J45" s="105">
        <v>73.009299999999996</v>
      </c>
      <c r="K45" s="105">
        <v>106.8338</v>
      </c>
      <c r="L45" s="105">
        <v>126.129</v>
      </c>
      <c r="M45" s="105">
        <v>191.36660000000001</v>
      </c>
      <c r="N45" s="105">
        <v>275.2921</v>
      </c>
      <c r="O45" s="105">
        <v>412.51009999999997</v>
      </c>
      <c r="P45" s="105">
        <v>322.63309999999996</v>
      </c>
      <c r="Q45" s="438">
        <v>435.22792335805099</v>
      </c>
      <c r="R45" s="439">
        <v>451.9</v>
      </c>
      <c r="S45" s="439">
        <v>415.4</v>
      </c>
      <c r="T45" s="439">
        <v>394</v>
      </c>
      <c r="U45" s="162">
        <v>507.7</v>
      </c>
      <c r="V45" s="161">
        <v>351.6</v>
      </c>
      <c r="W45" s="265">
        <v>256.60000000000002</v>
      </c>
      <c r="X45" s="265">
        <v>266</v>
      </c>
      <c r="Y45" s="265">
        <v>310.8</v>
      </c>
      <c r="Z45" s="265">
        <v>328.5</v>
      </c>
      <c r="AA45" s="385">
        <v>272.60000000000002</v>
      </c>
      <c r="AB45" s="265">
        <v>412.6</v>
      </c>
      <c r="AC45" s="265">
        <v>681.6</v>
      </c>
      <c r="AD45" s="265">
        <v>667</v>
      </c>
      <c r="AE45" s="579">
        <v>829.4</v>
      </c>
      <c r="AH45" t="s">
        <v>966</v>
      </c>
    </row>
    <row r="46" spans="2:57">
      <c r="C46" s="53" t="s">
        <v>448</v>
      </c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438"/>
      <c r="R46" s="439">
        <v>207.5</v>
      </c>
      <c r="S46" s="439">
        <v>166.8</v>
      </c>
      <c r="T46" s="439">
        <v>131.69999999999999</v>
      </c>
      <c r="U46" s="162">
        <v>196.3</v>
      </c>
      <c r="V46" s="452">
        <v>133.4</v>
      </c>
      <c r="W46" s="161">
        <v>94.2</v>
      </c>
      <c r="X46" s="161">
        <v>101.2</v>
      </c>
      <c r="Y46" s="161">
        <v>56.3</v>
      </c>
      <c r="Z46" s="161">
        <v>99.9</v>
      </c>
      <c r="AA46" s="439">
        <v>97.3</v>
      </c>
      <c r="AB46" s="161">
        <v>161.19999999999999</v>
      </c>
      <c r="AC46" s="161">
        <v>245.7</v>
      </c>
      <c r="AD46" s="436">
        <v>228.1</v>
      </c>
      <c r="AE46" s="580">
        <v>336.4</v>
      </c>
    </row>
    <row r="47" spans="2:57" ht="15.75">
      <c r="B47" s="59" t="s">
        <v>449</v>
      </c>
      <c r="C47" s="53" t="s">
        <v>450</v>
      </c>
      <c r="G47" s="105">
        <v>249.3749</v>
      </c>
      <c r="H47" s="105">
        <v>98.319000000000003</v>
      </c>
      <c r="I47" s="105">
        <v>82.219100000000012</v>
      </c>
      <c r="J47" s="105">
        <v>61.539000000000001</v>
      </c>
      <c r="K47" s="105">
        <v>65.033299999999997</v>
      </c>
      <c r="L47" s="105">
        <v>58.137</v>
      </c>
      <c r="M47" s="105">
        <v>66.834399999999988</v>
      </c>
      <c r="N47" s="105">
        <v>65.715000000000003</v>
      </c>
      <c r="O47" s="105">
        <v>87.517699999999991</v>
      </c>
      <c r="P47" s="105">
        <v>76.119199999999992</v>
      </c>
      <c r="Q47" s="438">
        <v>12.930978883731159</v>
      </c>
      <c r="R47" s="385">
        <v>3.5</v>
      </c>
      <c r="S47" s="1000">
        <v>0.14399999999999999</v>
      </c>
      <c r="T47" s="281">
        <v>0.21099999999999999</v>
      </c>
      <c r="U47" s="281">
        <v>0.21099999999999999</v>
      </c>
      <c r="V47" s="161">
        <v>0.629</v>
      </c>
      <c r="W47" s="281">
        <v>1.034</v>
      </c>
      <c r="X47" s="281">
        <v>1.034</v>
      </c>
      <c r="Y47" s="281">
        <v>1.034</v>
      </c>
      <c r="Z47" s="282">
        <v>3.8660000000000001</v>
      </c>
      <c r="AA47" s="282">
        <v>5.0999999999999996</v>
      </c>
      <c r="AB47" s="282">
        <v>16.8</v>
      </c>
      <c r="AC47" s="282">
        <v>15.8</v>
      </c>
      <c r="AD47" s="282">
        <v>18.664999999999999</v>
      </c>
      <c r="AE47" s="628">
        <v>29.443999999999999</v>
      </c>
    </row>
    <row r="48" spans="2:57" ht="18.75">
      <c r="B48" s="59" t="s">
        <v>451</v>
      </c>
      <c r="C48" s="53" t="s">
        <v>452</v>
      </c>
      <c r="G48" s="105">
        <v>65.267600000000002</v>
      </c>
      <c r="H48" s="105">
        <v>26.668299999999999</v>
      </c>
      <c r="I48" s="105">
        <v>22.3581</v>
      </c>
      <c r="J48" s="105">
        <v>24.306099999999997</v>
      </c>
      <c r="K48" s="105">
        <v>27.909400000000002</v>
      </c>
      <c r="L48" s="105">
        <v>26.6</v>
      </c>
      <c r="M48" s="105">
        <v>34.927300000000002</v>
      </c>
      <c r="N48" s="105">
        <v>64.468900000000005</v>
      </c>
      <c r="O48" s="105">
        <v>74.348199999999991</v>
      </c>
      <c r="P48" s="105">
        <v>52.003300000000003</v>
      </c>
      <c r="Q48" s="438">
        <v>41.499157352068799</v>
      </c>
      <c r="R48" s="385">
        <v>48.2</v>
      </c>
      <c r="S48" s="385">
        <v>38.698999999999998</v>
      </c>
      <c r="T48" s="459">
        <v>8.1999999999999993</v>
      </c>
      <c r="U48" s="453">
        <v>0</v>
      </c>
      <c r="V48" s="453">
        <v>1</v>
      </c>
      <c r="W48" s="453">
        <v>1</v>
      </c>
      <c r="X48" s="453">
        <v>1</v>
      </c>
      <c r="Y48" s="454">
        <v>6.9</v>
      </c>
      <c r="Z48" s="454">
        <v>17.7</v>
      </c>
      <c r="AA48" s="455">
        <v>28.5</v>
      </c>
      <c r="AB48" s="454">
        <v>29.9</v>
      </c>
      <c r="AC48" s="454">
        <v>24.5</v>
      </c>
      <c r="AD48" s="454">
        <v>27.8</v>
      </c>
      <c r="AE48" s="629">
        <v>33.901000000000003</v>
      </c>
      <c r="AH48" t="s">
        <v>967</v>
      </c>
    </row>
    <row r="49" spans="2:57" ht="18.75">
      <c r="B49" s="59" t="s">
        <v>169</v>
      </c>
      <c r="C49" s="53" t="s">
        <v>453</v>
      </c>
      <c r="G49" s="105">
        <v>198.54229999999998</v>
      </c>
      <c r="H49" s="105">
        <v>185.0301</v>
      </c>
      <c r="I49" s="105">
        <v>178.00910000000002</v>
      </c>
      <c r="J49" s="105">
        <v>235.8134</v>
      </c>
      <c r="K49" s="105">
        <v>284.78959999999995</v>
      </c>
      <c r="L49" s="105">
        <v>361.82299999999998</v>
      </c>
      <c r="M49" s="105">
        <v>386.67</v>
      </c>
      <c r="N49" s="105">
        <v>376.5831</v>
      </c>
      <c r="O49" s="105">
        <v>377.70850000000002</v>
      </c>
      <c r="P49" s="105">
        <v>290.05579999999998</v>
      </c>
      <c r="Q49" s="438">
        <v>318.69799999999998</v>
      </c>
      <c r="R49" s="439">
        <v>264.39999999999998</v>
      </c>
      <c r="S49" s="439">
        <v>249.50399999999999</v>
      </c>
      <c r="T49" s="439">
        <v>202.524</v>
      </c>
      <c r="U49" s="162">
        <v>130.6</v>
      </c>
      <c r="V49">
        <v>133.80000000000001</v>
      </c>
      <c r="W49">
        <v>135.30000000000001</v>
      </c>
      <c r="X49">
        <v>106.7</v>
      </c>
      <c r="Y49">
        <v>85.2</v>
      </c>
      <c r="Z49">
        <v>105.6</v>
      </c>
      <c r="AA49">
        <v>89</v>
      </c>
      <c r="AB49">
        <v>54.5</v>
      </c>
      <c r="AC49">
        <v>70.2</v>
      </c>
      <c r="AD49">
        <v>76.900000000000006</v>
      </c>
      <c r="AE49" s="159">
        <v>90.2</v>
      </c>
      <c r="AH49" t="s">
        <v>968</v>
      </c>
    </row>
    <row r="50" spans="2:57" ht="18.75">
      <c r="B50" s="59" t="s">
        <v>454</v>
      </c>
      <c r="C50" s="53" t="s">
        <v>455</v>
      </c>
      <c r="G50" s="105">
        <v>8.3414999999999999</v>
      </c>
      <c r="H50" s="105">
        <v>7.4486999999999997</v>
      </c>
      <c r="I50" s="105">
        <v>12.360799999999999</v>
      </c>
      <c r="J50" s="105">
        <v>18.772099999999998</v>
      </c>
      <c r="K50" s="105">
        <v>33.3431</v>
      </c>
      <c r="L50" s="105">
        <v>45.433999999999997</v>
      </c>
      <c r="M50" s="105">
        <v>48.9527</v>
      </c>
      <c r="N50" s="105">
        <v>95.015299999999996</v>
      </c>
      <c r="O50" s="105">
        <v>148.63210000000001</v>
      </c>
      <c r="P50" s="105">
        <v>100.996</v>
      </c>
      <c r="Q50" s="438">
        <v>98.222476272560002</v>
      </c>
      <c r="R50" s="385">
        <v>131</v>
      </c>
      <c r="S50" s="385">
        <v>127.2</v>
      </c>
      <c r="T50" s="385">
        <v>98.7</v>
      </c>
      <c r="U50" s="162">
        <v>77.599999999999994</v>
      </c>
      <c r="V50" s="456">
        <v>57.1</v>
      </c>
      <c r="W50" s="265">
        <v>28.8</v>
      </c>
      <c r="X50" s="265">
        <v>13.5</v>
      </c>
      <c r="Y50" s="265">
        <v>10.3</v>
      </c>
      <c r="Z50" s="265">
        <v>21.1</v>
      </c>
      <c r="AA50" s="385">
        <v>23.5</v>
      </c>
      <c r="AB50" s="265">
        <v>24.6</v>
      </c>
      <c r="AC50" s="265">
        <f t="shared" ref="AC50" si="35">AB50</f>
        <v>24.6</v>
      </c>
      <c r="AD50" s="265">
        <v>28.7</v>
      </c>
      <c r="AE50" s="579">
        <v>21.2</v>
      </c>
      <c r="AH50" t="s">
        <v>969</v>
      </c>
    </row>
    <row r="51" spans="2:57" ht="18.75">
      <c r="B51" s="59" t="s">
        <v>456</v>
      </c>
      <c r="C51" s="105" t="s">
        <v>457</v>
      </c>
      <c r="D51" s="105"/>
      <c r="E51" s="105"/>
      <c r="F51" s="105"/>
      <c r="G51" s="105">
        <v>294.61710000000005</v>
      </c>
      <c r="H51" s="105">
        <v>344.62520000000001</v>
      </c>
      <c r="I51" s="105">
        <v>435.04689999999988</v>
      </c>
      <c r="J51" s="105">
        <v>599.87560000000008</v>
      </c>
      <c r="K51" s="105">
        <v>699.48310000000015</v>
      </c>
      <c r="L51" s="105">
        <v>782.11289999999997</v>
      </c>
      <c r="M51" s="105">
        <v>1373.1988999999999</v>
      </c>
      <c r="N51" s="105">
        <v>2197.8101000000001</v>
      </c>
      <c r="O51" s="105">
        <v>2469.4191000000001</v>
      </c>
      <c r="P51" s="105">
        <v>1627.2266</v>
      </c>
      <c r="Q51" s="999">
        <v>1943.7763322534486</v>
      </c>
      <c r="R51" s="436">
        <v>2190.8000000000002</v>
      </c>
      <c r="S51" s="436">
        <v>2762.1530000000002</v>
      </c>
      <c r="T51" s="436">
        <v>3133.3649999999998</v>
      </c>
      <c r="U51" s="436">
        <v>3350.1889999999994</v>
      </c>
      <c r="V51" s="436">
        <f t="shared" ref="V51:AD51" si="36">V43-SUM(V44:V45,V47:V50)</f>
        <v>2646.971</v>
      </c>
      <c r="W51" s="436">
        <f t="shared" si="36"/>
        <v>2377.0659999999998</v>
      </c>
      <c r="X51" s="436">
        <f t="shared" si="36"/>
        <v>2189.1660000000002</v>
      </c>
      <c r="Y51" s="436">
        <f t="shared" si="36"/>
        <v>2564.1660000000002</v>
      </c>
      <c r="Z51" s="436">
        <f t="shared" si="36"/>
        <v>2649.7340000000004</v>
      </c>
      <c r="AA51" s="436">
        <f t="shared" si="36"/>
        <v>2488.1</v>
      </c>
      <c r="AB51" s="436">
        <f t="shared" si="36"/>
        <v>3405.2</v>
      </c>
      <c r="AC51" s="436">
        <f t="shared" si="36"/>
        <v>4021.7</v>
      </c>
      <c r="AD51" s="436">
        <f t="shared" si="36"/>
        <v>4772.2350000000006</v>
      </c>
      <c r="AE51" s="436">
        <f>AE43-SUM(AE44:AE45,AE47:AE50)</f>
        <v>5728.9549999999999</v>
      </c>
      <c r="AH51" t="s">
        <v>970</v>
      </c>
      <c r="AI51" s="105"/>
      <c r="AJ51" s="105"/>
      <c r="AK51" s="105"/>
      <c r="AL51" s="105"/>
      <c r="AM51" s="105"/>
      <c r="AN51" s="105"/>
      <c r="AO51" s="105"/>
      <c r="AP51" s="105"/>
      <c r="AQ51" s="105"/>
      <c r="AR51" s="105"/>
      <c r="AS51" s="105"/>
      <c r="AT51" s="105"/>
      <c r="AU51" s="105"/>
      <c r="AV51" s="105"/>
      <c r="AW51" s="105"/>
      <c r="AX51" s="105"/>
      <c r="AY51" s="105"/>
      <c r="AZ51" s="105"/>
      <c r="BA51" s="105"/>
      <c r="BB51" s="105"/>
      <c r="BC51" s="105"/>
      <c r="BD51" s="105"/>
      <c r="BE51" s="105"/>
    </row>
    <row r="52" spans="2:57">
      <c r="C52" s="106" t="s">
        <v>458</v>
      </c>
      <c r="D52" s="106"/>
      <c r="E52" s="106"/>
      <c r="F52" s="106"/>
      <c r="G52"/>
      <c r="H52"/>
      <c r="I52"/>
      <c r="J52"/>
      <c r="K52"/>
      <c r="L52"/>
      <c r="M52"/>
      <c r="N52"/>
      <c r="O52"/>
      <c r="P52"/>
      <c r="R52" s="456">
        <v>45.4</v>
      </c>
      <c r="S52" s="456">
        <v>106.7</v>
      </c>
      <c r="T52" s="456">
        <v>156.9</v>
      </c>
      <c r="U52" s="456"/>
      <c r="V52" s="457">
        <f t="shared" ref="V52:AE52" si="37">V43-V55</f>
        <v>3435.6</v>
      </c>
      <c r="W52" s="457">
        <f t="shared" si="37"/>
        <v>2942.9708697170799</v>
      </c>
      <c r="X52" s="457">
        <f t="shared" si="37"/>
        <v>2683.3553972024283</v>
      </c>
      <c r="Y52" s="457">
        <f t="shared" si="37"/>
        <v>3037.4463584273308</v>
      </c>
      <c r="Z52" s="457">
        <f t="shared" si="37"/>
        <v>3243.0067597588068</v>
      </c>
      <c r="AA52" s="457">
        <f t="shared" si="37"/>
        <v>3055.9504971188007</v>
      </c>
      <c r="AB52" s="457">
        <f t="shared" si="37"/>
        <v>4075.8650793650795</v>
      </c>
      <c r="AC52" s="457">
        <f t="shared" si="37"/>
        <v>5044.7419527259772</v>
      </c>
      <c r="AD52" s="457">
        <f t="shared" si="37"/>
        <v>5766.309966134495</v>
      </c>
      <c r="AE52" s="457">
        <f t="shared" si="37"/>
        <v>6888.425156034762</v>
      </c>
    </row>
    <row r="53" spans="2:57">
      <c r="C53" s="106" t="s">
        <v>459</v>
      </c>
      <c r="D53" s="106"/>
      <c r="E53" s="106"/>
      <c r="F53" s="106"/>
      <c r="G53"/>
      <c r="H53"/>
      <c r="I53"/>
      <c r="J53"/>
      <c r="K53"/>
      <c r="L53"/>
      <c r="M53"/>
      <c r="N53"/>
      <c r="O53"/>
      <c r="P53"/>
      <c r="R53" s="456">
        <v>146.6</v>
      </c>
      <c r="S53" s="456">
        <v>131.69999999999999</v>
      </c>
      <c r="T53" s="456">
        <v>148.19999999999999</v>
      </c>
      <c r="U53"/>
      <c r="W53" s="438">
        <f t="shared" ref="W53" si="38">W43/V43*100</f>
        <v>88.229130282920011</v>
      </c>
      <c r="X53" s="438">
        <f t="shared" ref="X53" si="39">X43/W43*100</f>
        <v>91.544602797571926</v>
      </c>
      <c r="Y53" s="438">
        <f t="shared" ref="Y53" si="40">Y43/X43*100</f>
        <v>113.55364157266928</v>
      </c>
      <c r="Z53" s="438">
        <f t="shared" ref="Z53" si="41">Z43/Y43*100</f>
        <v>106.29324024119329</v>
      </c>
      <c r="AA53" s="438">
        <f t="shared" ref="AA53" si="42">AA43/Z43*100</f>
        <v>94.049502881199061</v>
      </c>
      <c r="AB53" s="438">
        <f t="shared" ref="AB53" si="43">AB43/AA43*100</f>
        <v>133.63492063492063</v>
      </c>
      <c r="AC53" s="438">
        <f t="shared" ref="AC53" si="44">AC43/AB43*100</f>
        <v>122.75804727402304</v>
      </c>
      <c r="AD53" s="438">
        <f t="shared" ref="AD53" si="45">AD43/AC43*100</f>
        <v>113.79003386550556</v>
      </c>
      <c r="AE53" s="438">
        <f t="shared" ref="AE53" si="46">AE43/AD43*100</f>
        <v>119.17484396523868</v>
      </c>
    </row>
    <row r="54" spans="2:57">
      <c r="C54" s="106" t="s">
        <v>460</v>
      </c>
      <c r="D54" s="106"/>
      <c r="E54" s="106"/>
      <c r="F54" s="106"/>
      <c r="G54"/>
      <c r="H54"/>
      <c r="I54"/>
      <c r="J54"/>
      <c r="K54"/>
      <c r="L54"/>
      <c r="M54"/>
      <c r="N54"/>
      <c r="O54"/>
      <c r="P54"/>
      <c r="R54"/>
      <c r="S54"/>
      <c r="T54"/>
      <c r="U54"/>
      <c r="V54" s="457">
        <f t="shared" ref="V54:AE54" si="47">V39-V43</f>
        <v>-3435.6</v>
      </c>
      <c r="W54" s="457">
        <f t="shared" si="47"/>
        <v>-3031.2</v>
      </c>
      <c r="X54" s="457">
        <f t="shared" si="47"/>
        <v>-2774.9</v>
      </c>
      <c r="Y54" s="457">
        <f t="shared" si="47"/>
        <v>-3151</v>
      </c>
      <c r="Z54" s="457">
        <f t="shared" si="47"/>
        <v>-3349.3</v>
      </c>
      <c r="AA54" s="457">
        <f t="shared" si="47"/>
        <v>-3150</v>
      </c>
      <c r="AB54" s="457">
        <f t="shared" si="47"/>
        <v>-4209.5</v>
      </c>
      <c r="AC54" s="457">
        <f t="shared" si="47"/>
        <v>-5167.5</v>
      </c>
      <c r="AD54" s="457">
        <f t="shared" si="47"/>
        <v>-5880.1</v>
      </c>
      <c r="AE54" s="457">
        <f t="shared" si="47"/>
        <v>-7007.6</v>
      </c>
      <c r="AH54" s="440"/>
      <c r="AI54" s="440"/>
    </row>
    <row r="55" spans="2:57">
      <c r="C55" s="106"/>
      <c r="D55" s="106"/>
      <c r="E55" s="106"/>
      <c r="F55" s="106"/>
      <c r="G55"/>
      <c r="H55"/>
      <c r="I55"/>
      <c r="J55"/>
      <c r="K55"/>
      <c r="L55"/>
      <c r="M55"/>
      <c r="N55"/>
      <c r="O55"/>
      <c r="P55"/>
      <c r="R55"/>
      <c r="S55"/>
      <c r="T55"/>
      <c r="U55"/>
      <c r="W55" s="446">
        <f t="shared" ref="W55" si="48">W43/V43*100</f>
        <v>88.229130282920011</v>
      </c>
      <c r="X55" s="446">
        <f t="shared" ref="X55" si="49">X43/W43*100</f>
        <v>91.544602797571926</v>
      </c>
      <c r="Y55" s="446">
        <f t="shared" ref="Y55" si="50">Y43/X43*100</f>
        <v>113.55364157266928</v>
      </c>
      <c r="Z55" s="446">
        <f t="shared" ref="Z55" si="51">Z43/Y43*100</f>
        <v>106.29324024119329</v>
      </c>
      <c r="AA55" s="446">
        <f t="shared" ref="AA55" si="52">AA43/Z43*100</f>
        <v>94.049502881199061</v>
      </c>
      <c r="AB55" s="446">
        <f t="shared" ref="AB55" si="53">AB43/AA43*100</f>
        <v>133.63492063492063</v>
      </c>
      <c r="AC55" s="446">
        <f t="shared" ref="AC55" si="54">AC43/AB43*100</f>
        <v>122.75804727402304</v>
      </c>
      <c r="AD55" s="446">
        <f t="shared" ref="AD55" si="55">AD43/AC43*100</f>
        <v>113.79003386550556</v>
      </c>
      <c r="AE55" s="446">
        <f t="shared" ref="AE55" si="56">AE43/AD43*100</f>
        <v>119.17484396523868</v>
      </c>
    </row>
    <row r="56" spans="2:57">
      <c r="B56" s="103"/>
      <c r="C56" s="103" t="s">
        <v>461</v>
      </c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AH56" s="103"/>
      <c r="AI56" s="103"/>
      <c r="AJ56" s="103"/>
      <c r="AK56" s="103"/>
      <c r="AL56" s="103"/>
      <c r="AM56" s="103"/>
      <c r="AN56" s="103"/>
      <c r="AO56" s="103"/>
      <c r="AP56" s="103"/>
      <c r="AQ56" s="103"/>
      <c r="AR56" s="103"/>
      <c r="AS56" s="103"/>
      <c r="AT56" s="103"/>
      <c r="AU56" s="103"/>
      <c r="AV56" s="103"/>
      <c r="AW56" s="103"/>
      <c r="AX56" s="103"/>
      <c r="AY56" s="103"/>
      <c r="AZ56" s="103"/>
      <c r="BA56" s="103"/>
      <c r="BB56" s="103"/>
      <c r="BC56" s="103"/>
      <c r="BD56" s="103"/>
      <c r="BE56" s="103"/>
    </row>
    <row r="57" spans="2:57" ht="18">
      <c r="B57" s="59" t="s">
        <v>462</v>
      </c>
      <c r="C57" s="53" t="s">
        <v>463</v>
      </c>
      <c r="G57" s="977">
        <v>321278.40000000002</v>
      </c>
      <c r="H57" s="977">
        <v>264232.2</v>
      </c>
      <c r="I57" s="977">
        <v>291623</v>
      </c>
      <c r="J57" s="977">
        <v>144077.79999999999</v>
      </c>
      <c r="K57" s="977">
        <v>125472.2</v>
      </c>
      <c r="L57" s="977">
        <v>288577</v>
      </c>
      <c r="M57" s="977">
        <v>276336.8</v>
      </c>
      <c r="N57" s="977">
        <v>282733.2</v>
      </c>
      <c r="O57" s="977">
        <v>254662.39999999999</v>
      </c>
      <c r="P57" s="977">
        <v>403757.3</v>
      </c>
      <c r="Q57" s="976">
        <v>442810.9</v>
      </c>
      <c r="R57" s="439">
        <v>438800</v>
      </c>
      <c r="S57" s="439">
        <v>747100</v>
      </c>
      <c r="T57" s="439">
        <v>640200</v>
      </c>
      <c r="U57" s="162">
        <v>774900</v>
      </c>
      <c r="V57" s="439">
        <v>859000</v>
      </c>
      <c r="W57" s="161">
        <v>1034100</v>
      </c>
      <c r="X57" s="161">
        <v>1014500</v>
      </c>
      <c r="Y57" s="161">
        <v>1018900</v>
      </c>
      <c r="Z57" s="161">
        <v>1090200</v>
      </c>
      <c r="AA57" s="161">
        <v>999200</v>
      </c>
      <c r="AB57" s="161">
        <v>1028100</v>
      </c>
      <c r="AC57" s="161">
        <v>995500</v>
      </c>
      <c r="AD57" s="161">
        <v>1023600</v>
      </c>
      <c r="AE57" s="580">
        <v>1057800</v>
      </c>
      <c r="AH57" t="s">
        <v>971</v>
      </c>
    </row>
    <row r="58" spans="2:57" ht="18.75">
      <c r="B58" s="59" t="s">
        <v>464</v>
      </c>
      <c r="C58" s="53" t="s">
        <v>465</v>
      </c>
      <c r="G58" s="977">
        <v>202233.9</v>
      </c>
      <c r="H58" s="977">
        <v>276054.40000000002</v>
      </c>
      <c r="I58" s="977">
        <v>278380.09999999998</v>
      </c>
      <c r="J58" s="977">
        <v>305066.09999999998</v>
      </c>
      <c r="K58" s="977">
        <v>356636.1</v>
      </c>
      <c r="L58" s="977">
        <v>308069.40000000002</v>
      </c>
      <c r="M58" s="977">
        <v>379234.9</v>
      </c>
      <c r="N58" s="977">
        <v>518807.3</v>
      </c>
      <c r="O58" s="977">
        <v>539409.6</v>
      </c>
      <c r="P58" s="977">
        <v>635452.69999999995</v>
      </c>
      <c r="Q58" s="976">
        <v>629117.80000000005</v>
      </c>
      <c r="R58" s="439">
        <v>440900</v>
      </c>
      <c r="S58" s="439">
        <v>372200</v>
      </c>
      <c r="T58" s="439">
        <v>383000</v>
      </c>
      <c r="U58" s="162">
        <v>579800</v>
      </c>
      <c r="V58" s="458">
        <v>531300</v>
      </c>
      <c r="W58" s="161">
        <v>472200</v>
      </c>
      <c r="X58" s="161">
        <v>426100</v>
      </c>
      <c r="Y58" s="161">
        <v>446800</v>
      </c>
      <c r="Z58" s="161">
        <v>504000</v>
      </c>
      <c r="AA58" s="161">
        <v>583600</v>
      </c>
      <c r="AB58" s="161">
        <v>618800</v>
      </c>
      <c r="AC58" s="161">
        <v>783700</v>
      </c>
      <c r="AD58" s="161">
        <v>899000</v>
      </c>
      <c r="AE58" s="580">
        <v>1050200</v>
      </c>
      <c r="AH58" t="s">
        <v>972</v>
      </c>
    </row>
    <row r="59" spans="2:57">
      <c r="C59" s="53" t="s">
        <v>466</v>
      </c>
      <c r="G59" s="977"/>
      <c r="H59" s="977"/>
      <c r="I59" s="977"/>
      <c r="J59" s="977"/>
      <c r="K59" s="977"/>
      <c r="L59" s="977"/>
      <c r="M59" s="977"/>
      <c r="N59" s="977"/>
      <c r="O59" s="977"/>
      <c r="P59" s="977"/>
      <c r="Q59" s="976"/>
      <c r="R59" s="439">
        <v>207100</v>
      </c>
      <c r="S59" s="439">
        <v>149500</v>
      </c>
      <c r="T59" s="439">
        <v>137800</v>
      </c>
      <c r="U59" s="162">
        <v>246500</v>
      </c>
      <c r="V59" s="459">
        <v>215100</v>
      </c>
      <c r="W59" s="161">
        <v>193600</v>
      </c>
      <c r="X59" s="161">
        <v>176500</v>
      </c>
      <c r="Y59" s="161">
        <v>173000</v>
      </c>
      <c r="Z59" s="161">
        <v>171700</v>
      </c>
      <c r="AA59" s="161">
        <v>233900</v>
      </c>
      <c r="AB59" s="161">
        <v>242400</v>
      </c>
      <c r="AC59" s="161">
        <v>319800</v>
      </c>
      <c r="AD59" s="161">
        <v>436500</v>
      </c>
      <c r="AE59" s="580">
        <v>450800</v>
      </c>
    </row>
    <row r="60" spans="2:57">
      <c r="B60" s="59" t="s">
        <v>91</v>
      </c>
      <c r="C60" s="53" t="s">
        <v>467</v>
      </c>
      <c r="G60" s="977">
        <v>5242.3999999999996</v>
      </c>
      <c r="H60" s="977">
        <v>5396.4</v>
      </c>
      <c r="I60" s="977">
        <v>4659.3999999999996</v>
      </c>
      <c r="J60" s="977">
        <v>4617.6000000000004</v>
      </c>
      <c r="K60" s="977">
        <v>4807.3</v>
      </c>
      <c r="L60" s="977">
        <v>4505.5</v>
      </c>
      <c r="M60" s="977">
        <v>4839.6000000000004</v>
      </c>
      <c r="N60" s="991">
        <v>4552</v>
      </c>
      <c r="O60" s="991">
        <v>6404</v>
      </c>
      <c r="P60" s="991">
        <v>6003</v>
      </c>
      <c r="Q60" s="164">
        <v>432</v>
      </c>
      <c r="R60" s="280">
        <v>172</v>
      </c>
      <c r="S60" s="280">
        <v>114</v>
      </c>
      <c r="T60" s="280">
        <v>117</v>
      </c>
      <c r="U60" s="1001">
        <v>52</v>
      </c>
      <c r="V60" s="161">
        <v>63</v>
      </c>
      <c r="W60" s="162">
        <v>103</v>
      </c>
      <c r="X60" s="163">
        <v>110</v>
      </c>
      <c r="Y60" s="163">
        <v>559.70000000000005</v>
      </c>
      <c r="Z60" s="163">
        <v>294.39999999999998</v>
      </c>
      <c r="AA60" s="163">
        <v>378.7</v>
      </c>
      <c r="AB60" s="163">
        <v>883.4</v>
      </c>
      <c r="AC60" s="163">
        <v>797.3</v>
      </c>
      <c r="AD60" s="163">
        <v>797.3</v>
      </c>
      <c r="AE60" s="630">
        <v>1617.7919999999999</v>
      </c>
    </row>
    <row r="61" spans="2:57" ht="18">
      <c r="B61" s="59" t="s">
        <v>468</v>
      </c>
      <c r="C61" s="53" t="s">
        <v>469</v>
      </c>
      <c r="G61" s="977">
        <v>728.9</v>
      </c>
      <c r="H61" s="977">
        <v>571.79999999999995</v>
      </c>
      <c r="I61" s="977">
        <v>485.8</v>
      </c>
      <c r="J61" s="977">
        <v>531.6</v>
      </c>
      <c r="K61" s="977">
        <v>616.1</v>
      </c>
      <c r="L61" s="977">
        <v>629</v>
      </c>
      <c r="M61" s="977">
        <v>635</v>
      </c>
      <c r="N61" s="977">
        <v>644.70000000000005</v>
      </c>
      <c r="O61" s="977">
        <v>512.70000000000005</v>
      </c>
      <c r="P61" s="977">
        <v>216.7</v>
      </c>
      <c r="Q61" s="976">
        <v>173.1</v>
      </c>
      <c r="R61" s="439">
        <v>179.9</v>
      </c>
      <c r="S61" s="439">
        <v>132.4</v>
      </c>
      <c r="T61" s="459">
        <v>27.3</v>
      </c>
      <c r="U61" s="453">
        <v>0</v>
      </c>
      <c r="V61" s="439">
        <v>0</v>
      </c>
      <c r="W61" s="161">
        <v>0</v>
      </c>
      <c r="X61" s="161">
        <v>0</v>
      </c>
      <c r="Y61" s="161">
        <v>54700</v>
      </c>
      <c r="Z61" s="161">
        <v>140000</v>
      </c>
      <c r="AA61" s="161">
        <v>225000</v>
      </c>
      <c r="AB61" s="161">
        <v>236100</v>
      </c>
      <c r="AC61" s="161">
        <v>193500</v>
      </c>
      <c r="AD61" s="161">
        <v>219800</v>
      </c>
      <c r="AE61" s="581">
        <v>267700</v>
      </c>
      <c r="AH61" t="s">
        <v>973</v>
      </c>
    </row>
    <row r="62" spans="2:57" ht="18">
      <c r="B62" s="59" t="s">
        <v>167</v>
      </c>
      <c r="C62" s="53" t="s">
        <v>470</v>
      </c>
      <c r="G62" s="977">
        <v>545979.80000000005</v>
      </c>
      <c r="H62" s="977">
        <v>537095.1</v>
      </c>
      <c r="I62" s="977">
        <v>601373.1</v>
      </c>
      <c r="J62" s="977">
        <v>682250.9</v>
      </c>
      <c r="K62" s="977">
        <v>614488.9</v>
      </c>
      <c r="L62" s="977">
        <v>798691</v>
      </c>
      <c r="M62" s="977">
        <v>839796.1</v>
      </c>
      <c r="N62" s="977">
        <v>836856.3</v>
      </c>
      <c r="O62" s="977">
        <v>817127.4</v>
      </c>
      <c r="P62" s="977">
        <v>643429.4</v>
      </c>
      <c r="Q62" s="976">
        <v>708217</v>
      </c>
      <c r="R62" s="439">
        <v>530100</v>
      </c>
      <c r="S62" s="439">
        <v>475000</v>
      </c>
      <c r="T62" s="439">
        <v>389200</v>
      </c>
      <c r="U62" s="162">
        <v>251200</v>
      </c>
      <c r="V62">
        <v>257100</v>
      </c>
      <c r="W62">
        <v>261400</v>
      </c>
      <c r="X62">
        <v>205200</v>
      </c>
      <c r="Y62">
        <v>159700</v>
      </c>
      <c r="Z62">
        <v>197300</v>
      </c>
      <c r="AA62">
        <v>171200</v>
      </c>
      <c r="AB62">
        <v>104800</v>
      </c>
      <c r="AC62">
        <v>110040</v>
      </c>
      <c r="AD62">
        <v>123100</v>
      </c>
      <c r="AE62" s="159">
        <v>159900</v>
      </c>
      <c r="AH62" t="s">
        <v>974</v>
      </c>
    </row>
    <row r="63" spans="2:57" ht="18">
      <c r="B63" s="59" t="s">
        <v>471</v>
      </c>
      <c r="C63" s="53" t="s">
        <v>472</v>
      </c>
      <c r="G63" s="977">
        <v>55406.400000000001</v>
      </c>
      <c r="H63" s="977">
        <v>54696.9</v>
      </c>
      <c r="I63" s="977">
        <v>123958.39999999999</v>
      </c>
      <c r="J63" s="977">
        <v>189125.8</v>
      </c>
      <c r="K63" s="977">
        <v>215949.7</v>
      </c>
      <c r="L63" s="977">
        <v>346334</v>
      </c>
      <c r="M63" s="977">
        <v>376082.4</v>
      </c>
      <c r="N63" s="977">
        <v>511286.9</v>
      </c>
      <c r="O63" s="977">
        <v>520404</v>
      </c>
      <c r="P63" s="977">
        <v>368146</v>
      </c>
      <c r="Q63" s="976">
        <v>370857.5</v>
      </c>
      <c r="R63" s="439">
        <v>335300</v>
      </c>
      <c r="S63" s="439">
        <v>345300</v>
      </c>
      <c r="T63" s="439">
        <v>232400</v>
      </c>
      <c r="U63" s="162">
        <v>189000</v>
      </c>
      <c r="V63" s="456">
        <v>140400</v>
      </c>
      <c r="W63" s="161">
        <v>88800</v>
      </c>
      <c r="X63" s="161">
        <v>54600</v>
      </c>
      <c r="Y63" s="161">
        <v>47200</v>
      </c>
      <c r="Z63" s="161">
        <v>85800</v>
      </c>
      <c r="AA63" s="161">
        <v>89900</v>
      </c>
      <c r="AB63" s="161">
        <v>56700</v>
      </c>
      <c r="AC63" s="161">
        <v>68000</v>
      </c>
      <c r="AD63" s="161">
        <v>83600</v>
      </c>
      <c r="AE63" s="436">
        <v>67900</v>
      </c>
      <c r="AH63" t="s">
        <v>975</v>
      </c>
    </row>
    <row r="64" spans="2:57" ht="18.75">
      <c r="B64" s="59" t="s">
        <v>473</v>
      </c>
      <c r="C64" s="53" t="s">
        <v>474</v>
      </c>
      <c r="G64"/>
      <c r="H64" s="440">
        <v>79.400000000000006</v>
      </c>
      <c r="I64" s="392">
        <v>63.317019033578795</v>
      </c>
      <c r="J64" s="392">
        <v>43.961386492849407</v>
      </c>
      <c r="K64" s="392">
        <v>37.36417918930541</v>
      </c>
      <c r="L64" s="392">
        <v>26.623949064344799</v>
      </c>
      <c r="M64" s="392">
        <v>21.412909738463792</v>
      </c>
      <c r="N64" s="392">
        <v>20.491901780655589</v>
      </c>
      <c r="O64" s="392">
        <v>20.267983921795214</v>
      </c>
      <c r="P64" s="392">
        <v>18.246500364628591</v>
      </c>
      <c r="Q64" s="392">
        <v>15.173098392081087</v>
      </c>
      <c r="R64" s="392">
        <v>13.789683516003684</v>
      </c>
      <c r="S64" s="392">
        <v>13.404770721487552</v>
      </c>
      <c r="T64" s="392">
        <v>13.498424949502366</v>
      </c>
      <c r="U64" s="392">
        <v>18.742948085279657</v>
      </c>
      <c r="V64" s="94">
        <v>23.602839332849513</v>
      </c>
      <c r="W64" s="392">
        <f>V64/((X84*W41-SUM(W44:W50)*X85)/(W42+W51)/100)</f>
        <v>26.675856313689447</v>
      </c>
      <c r="X64" s="392">
        <f t="shared" ref="X64:AD64" si="57">W64/((Y84*X41-SUM(X44:X50)*Y85)/(X42+X51)/100)</f>
        <v>24.399633118979818</v>
      </c>
      <c r="Y64" s="392">
        <f t="shared" si="57"/>
        <v>23.200239452122037</v>
      </c>
      <c r="Z64" s="392">
        <f t="shared" si="57"/>
        <v>26.146825180870454</v>
      </c>
      <c r="AA64" s="392">
        <f t="shared" si="57"/>
        <v>19.216448854271146</v>
      </c>
      <c r="AB64" s="392">
        <f t="shared" si="57"/>
        <v>15.906861993397049</v>
      </c>
      <c r="AC64" s="392">
        <f t="shared" si="57"/>
        <v>15.403338939785741</v>
      </c>
      <c r="AD64" s="392">
        <f t="shared" si="57"/>
        <v>13.436059448606047</v>
      </c>
      <c r="AE64" s="392" t="e">
        <f>AD64/((#REF!*AE41-SUM(AE44:AE50)*#REF!)/(AE42+AE51)/100)</f>
        <v>#REF!</v>
      </c>
      <c r="AH64" t="s">
        <v>976</v>
      </c>
    </row>
    <row r="65" spans="2:57">
      <c r="C65" s="106" t="s">
        <v>458</v>
      </c>
      <c r="D65" s="106"/>
      <c r="E65" s="106"/>
      <c r="F65" s="106"/>
      <c r="G65"/>
      <c r="H65"/>
      <c r="I65"/>
      <c r="J65"/>
      <c r="K65"/>
      <c r="L65"/>
      <c r="M65"/>
      <c r="N65"/>
      <c r="O65"/>
      <c r="P65"/>
      <c r="Q65" s="998"/>
      <c r="R65" s="456">
        <v>67700</v>
      </c>
      <c r="S65" s="456">
        <v>162300</v>
      </c>
      <c r="T65" s="456">
        <v>253600</v>
      </c>
      <c r="U65" s="456">
        <v>295000</v>
      </c>
    </row>
    <row r="66" spans="2:57">
      <c r="C66" s="106" t="s">
        <v>459</v>
      </c>
      <c r="D66" s="106"/>
      <c r="E66" s="106"/>
      <c r="F66" s="106"/>
      <c r="G66"/>
      <c r="H66"/>
      <c r="I66"/>
      <c r="J66"/>
      <c r="K66"/>
      <c r="L66"/>
      <c r="M66"/>
      <c r="N66"/>
      <c r="O66"/>
      <c r="P66"/>
      <c r="Q66" s="998"/>
      <c r="R66" s="456">
        <v>143700</v>
      </c>
      <c r="S66" s="456">
        <v>122300</v>
      </c>
      <c r="T66" s="456">
        <v>147800</v>
      </c>
      <c r="U66"/>
    </row>
    <row r="67" spans="2:57">
      <c r="C67" s="106" t="s">
        <v>460</v>
      </c>
      <c r="D67" s="106"/>
      <c r="E67" s="106"/>
      <c r="F67" s="106"/>
      <c r="G67"/>
      <c r="H67"/>
      <c r="I67"/>
      <c r="J67"/>
      <c r="K67"/>
      <c r="L67"/>
      <c r="M67"/>
      <c r="N67"/>
      <c r="O67"/>
      <c r="P67"/>
      <c r="R67"/>
      <c r="S67"/>
      <c r="T67"/>
      <c r="U67"/>
    </row>
    <row r="68" spans="2:57">
      <c r="C68" s="106"/>
      <c r="D68" s="106"/>
      <c r="E68" s="106"/>
      <c r="F68" s="106"/>
      <c r="G68"/>
      <c r="H68"/>
      <c r="I68"/>
      <c r="J68"/>
      <c r="K68"/>
      <c r="L68"/>
      <c r="M68"/>
      <c r="N68"/>
      <c r="O68"/>
      <c r="P68"/>
      <c r="R68"/>
      <c r="S68"/>
      <c r="T68"/>
      <c r="U68"/>
    </row>
    <row r="69" spans="2:57">
      <c r="B69" s="103"/>
      <c r="C69" s="103" t="s">
        <v>475</v>
      </c>
      <c r="D69" s="103"/>
      <c r="E69" s="103"/>
      <c r="F69" s="103"/>
      <c r="G69" s="103"/>
      <c r="H69" s="103"/>
      <c r="I69" s="103"/>
      <c r="J69" s="103"/>
      <c r="K69" s="103"/>
      <c r="L69" s="103"/>
      <c r="M69" s="103"/>
      <c r="N69" s="103"/>
      <c r="O69" s="111"/>
      <c r="P69" s="111"/>
      <c r="Q69" s="111"/>
      <c r="R69" s="111"/>
      <c r="S69" s="111"/>
      <c r="T69" s="111"/>
      <c r="U69" s="111"/>
      <c r="AH69" s="103"/>
      <c r="AI69" s="103"/>
      <c r="AJ69" s="103"/>
      <c r="AK69" s="103"/>
      <c r="AL69" s="103"/>
      <c r="AM69" s="103"/>
      <c r="AN69" s="103"/>
      <c r="AO69" s="103"/>
      <c r="AP69" s="103"/>
      <c r="AQ69" s="103"/>
      <c r="AR69" s="103"/>
      <c r="AS69" s="103"/>
      <c r="AT69" s="103"/>
      <c r="AU69" s="103"/>
      <c r="AV69" s="103"/>
      <c r="AW69" s="103"/>
      <c r="AX69" s="103"/>
      <c r="AY69" s="103"/>
      <c r="AZ69" s="103"/>
      <c r="BA69" s="103"/>
      <c r="BB69" s="103"/>
      <c r="BC69" s="103"/>
      <c r="BD69" s="103"/>
      <c r="BE69" s="103"/>
    </row>
    <row r="70" spans="2:57" ht="18.75">
      <c r="B70" s="59" t="s">
        <v>476</v>
      </c>
      <c r="C70" s="53" t="s">
        <v>477</v>
      </c>
      <c r="G70" s="977">
        <v>113.0573981942141</v>
      </c>
      <c r="H70" s="977">
        <v>114.94132811973711</v>
      </c>
      <c r="I70" s="977">
        <v>80.00774973167411</v>
      </c>
      <c r="J70" s="977">
        <v>86.177051565196038</v>
      </c>
      <c r="K70" s="977">
        <v>119.87515959710598</v>
      </c>
      <c r="L70" s="977">
        <v>106.34943186740455</v>
      </c>
      <c r="M70" s="977">
        <v>101.41790742311555</v>
      </c>
      <c r="N70" s="977">
        <v>141.90409898802119</v>
      </c>
      <c r="O70" s="977">
        <v>231.14641187705763</v>
      </c>
      <c r="P70" s="977">
        <v>182.20351681567121</v>
      </c>
      <c r="Q70" s="976">
        <v>184.74055602547338</v>
      </c>
      <c r="R70" s="392">
        <v>264.81312670920698</v>
      </c>
      <c r="S70" s="392">
        <v>248.02569937090084</v>
      </c>
      <c r="T70" s="392">
        <v>325.52327397688225</v>
      </c>
      <c r="U70" s="392">
        <v>298.232029939347</v>
      </c>
      <c r="V70" s="392">
        <f t="shared" ref="V70:AE72" si="58">V44/V57*1000000</f>
        <v>284.63329452852156</v>
      </c>
      <c r="W70" s="392">
        <f t="shared" si="58"/>
        <v>223.7694613673726</v>
      </c>
      <c r="X70" s="392">
        <f t="shared" si="58"/>
        <v>194.67718087727945</v>
      </c>
      <c r="Y70" s="392">
        <f t="shared" si="58"/>
        <v>169.39837079203062</v>
      </c>
      <c r="Z70" s="392">
        <f t="shared" si="58"/>
        <v>204.3661713447074</v>
      </c>
      <c r="AA70" s="392">
        <f t="shared" si="58"/>
        <v>243.3947157726181</v>
      </c>
      <c r="AB70" s="392">
        <f t="shared" si="58"/>
        <v>258.63242875206691</v>
      </c>
      <c r="AC70" s="392">
        <f t="shared" si="58"/>
        <v>330.5876443997991</v>
      </c>
      <c r="AD70" s="392">
        <f t="shared" si="58"/>
        <v>282.14146150840173</v>
      </c>
      <c r="AE70" s="392">
        <f t="shared" si="58"/>
        <v>259.5008508224617</v>
      </c>
      <c r="AH70" t="s">
        <v>977</v>
      </c>
    </row>
    <row r="71" spans="2:57" ht="18.75">
      <c r="B71" s="59" t="s">
        <v>478</v>
      </c>
      <c r="C71" s="53" t="s">
        <v>479</v>
      </c>
      <c r="G71" s="977">
        <v>336.28733857182203</v>
      </c>
      <c r="H71" s="977">
        <v>265.23105590782103</v>
      </c>
      <c r="I71" s="977">
        <v>249.92842519993351</v>
      </c>
      <c r="J71" s="977">
        <v>239.32288772826612</v>
      </c>
      <c r="K71" s="977">
        <v>299.55969123709014</v>
      </c>
      <c r="L71" s="977">
        <v>409.41748839709493</v>
      </c>
      <c r="M71" s="977">
        <v>504.61231284357001</v>
      </c>
      <c r="N71" s="977">
        <v>530.62495458332978</v>
      </c>
      <c r="O71" s="977">
        <v>764.74371238480001</v>
      </c>
      <c r="P71" s="977">
        <v>507.72166047921428</v>
      </c>
      <c r="Q71" s="976">
        <v>691.80672261705354</v>
      </c>
      <c r="R71" s="392">
        <v>1024.948968019959</v>
      </c>
      <c r="S71" s="392">
        <v>1116.0666308436323</v>
      </c>
      <c r="T71" s="392">
        <v>1028.7206266318537</v>
      </c>
      <c r="U71" s="392">
        <v>875.64677474991379</v>
      </c>
      <c r="V71" s="392">
        <f t="shared" si="58"/>
        <v>661.77300959909667</v>
      </c>
      <c r="W71" s="392">
        <f t="shared" si="58"/>
        <v>543.41380770859814</v>
      </c>
      <c r="X71" s="392">
        <f t="shared" si="58"/>
        <v>624.26660408354849</v>
      </c>
      <c r="Y71" s="392">
        <f t="shared" si="58"/>
        <v>695.61324977618631</v>
      </c>
      <c r="Z71" s="392">
        <f t="shared" si="58"/>
        <v>651.78571428571433</v>
      </c>
      <c r="AA71" s="392">
        <f t="shared" si="58"/>
        <v>467.10075394105553</v>
      </c>
      <c r="AB71" s="392">
        <f t="shared" si="58"/>
        <v>666.77440206851975</v>
      </c>
      <c r="AC71" s="392">
        <f t="shared" si="58"/>
        <v>869.72055633533239</v>
      </c>
      <c r="AD71" s="392">
        <f t="shared" si="58"/>
        <v>741.93548387096769</v>
      </c>
      <c r="AE71" s="392">
        <f t="shared" si="58"/>
        <v>789.75433250809374</v>
      </c>
      <c r="AH71" t="s">
        <v>978</v>
      </c>
    </row>
    <row r="72" spans="2:57" ht="15.75">
      <c r="B72" s="59" t="s">
        <v>478</v>
      </c>
      <c r="C72" s="53" t="s">
        <v>480</v>
      </c>
      <c r="G72"/>
      <c r="H72"/>
      <c r="I72"/>
      <c r="J72"/>
      <c r="K72"/>
      <c r="L72"/>
      <c r="M72"/>
      <c r="N72"/>
      <c r="O72"/>
      <c r="P72"/>
      <c r="Q72" s="998"/>
      <c r="R72" s="392">
        <v>1001.9314340898115</v>
      </c>
      <c r="S72" s="392">
        <v>1115.7190635451504</v>
      </c>
      <c r="T72" s="392">
        <v>955.73294629898396</v>
      </c>
      <c r="U72" s="392">
        <v>796.34888438133873</v>
      </c>
      <c r="V72" s="392">
        <f t="shared" si="58"/>
        <v>620.17666201766622</v>
      </c>
      <c r="W72" s="392">
        <f t="shared" si="58"/>
        <v>486.57024793388433</v>
      </c>
      <c r="X72" s="392">
        <f t="shared" si="58"/>
        <v>573.37110481586399</v>
      </c>
      <c r="Y72" s="392">
        <f t="shared" si="58"/>
        <v>325.43352601156067</v>
      </c>
      <c r="Z72" s="392">
        <f t="shared" si="58"/>
        <v>581.82877111240543</v>
      </c>
      <c r="AA72" s="392">
        <f t="shared" si="58"/>
        <v>415.98973920478841</v>
      </c>
      <c r="AB72" s="392">
        <f t="shared" si="58"/>
        <v>665.01650165016497</v>
      </c>
      <c r="AC72" s="392">
        <f t="shared" si="58"/>
        <v>768.29268292682923</v>
      </c>
      <c r="AD72" s="392">
        <f t="shared" si="58"/>
        <v>522.56586483390606</v>
      </c>
      <c r="AE72" s="392">
        <f t="shared" si="58"/>
        <v>746.22892635314997</v>
      </c>
    </row>
    <row r="73" spans="2:57" ht="18.75">
      <c r="B73" s="59" t="s">
        <v>481</v>
      </c>
      <c r="C73" s="53" t="s">
        <v>482</v>
      </c>
      <c r="G73" s="987">
        <v>4.7568842514878681E-2</v>
      </c>
      <c r="H73" s="987">
        <v>1.821936846786747E-2</v>
      </c>
      <c r="I73" s="987">
        <v>1.7645855689573768E-2</v>
      </c>
      <c r="J73" s="987">
        <v>1.3327053014553013E-2</v>
      </c>
      <c r="K73" s="987">
        <v>1.3528030287271441E-2</v>
      </c>
      <c r="L73" s="987">
        <v>1.2903562312728887E-2</v>
      </c>
      <c r="M73" s="987">
        <v>1.3809901644764026E-2</v>
      </c>
      <c r="N73" s="987">
        <v>1.5070173829289546E-2</v>
      </c>
      <c r="O73" s="987">
        <v>1.7008590030123408E-2</v>
      </c>
      <c r="P73" s="987">
        <v>1.7801080423750611E-2</v>
      </c>
      <c r="Q73" s="1003">
        <v>2.9932821490118423E-2</v>
      </c>
      <c r="R73" s="460">
        <v>2.0348837209302327E-2</v>
      </c>
      <c r="S73" s="460">
        <v>1.2631578947368419E-3</v>
      </c>
      <c r="T73" s="460">
        <v>1.8034188034188033E-3</v>
      </c>
      <c r="U73" s="1005">
        <v>4.0576923076923073E-3</v>
      </c>
      <c r="V73" s="460">
        <f t="shared" ref="V73:AE73" si="59">V47/V60</f>
        <v>9.9841269841269842E-3</v>
      </c>
      <c r="W73" s="460">
        <f t="shared" si="59"/>
        <v>1.0038834951456311E-2</v>
      </c>
      <c r="X73" s="460">
        <f t="shared" si="59"/>
        <v>9.4000000000000004E-3</v>
      </c>
      <c r="Y73" s="460">
        <f t="shared" si="59"/>
        <v>1.8474182597820259E-3</v>
      </c>
      <c r="Z73" s="460">
        <f t="shared" si="59"/>
        <v>1.3131793478260871E-2</v>
      </c>
      <c r="AA73" s="460">
        <f t="shared" si="59"/>
        <v>1.3467124372854501E-2</v>
      </c>
      <c r="AB73" s="460">
        <f t="shared" si="59"/>
        <v>1.9017432646592711E-2</v>
      </c>
      <c r="AC73" s="460">
        <f t="shared" si="59"/>
        <v>1.9816881976671266E-2</v>
      </c>
      <c r="AD73" s="460">
        <f t="shared" si="59"/>
        <v>2.3410259626238557E-2</v>
      </c>
      <c r="AE73" s="460">
        <f t="shared" si="59"/>
        <v>1.8200114724266161E-2</v>
      </c>
      <c r="AH73" t="s">
        <v>979</v>
      </c>
    </row>
    <row r="74" spans="2:57" ht="18.75">
      <c r="B74" s="59" t="s">
        <v>483</v>
      </c>
      <c r="C74" s="53" t="s">
        <v>484</v>
      </c>
      <c r="G74" s="105">
        <v>89.542598435999452</v>
      </c>
      <c r="H74" s="105">
        <v>46.63920951381602</v>
      </c>
      <c r="I74" s="105">
        <v>46.023260601070398</v>
      </c>
      <c r="J74" s="105">
        <v>45.722535741158758</v>
      </c>
      <c r="K74" s="105">
        <v>45.300113617919166</v>
      </c>
      <c r="L74" s="105">
        <v>42.289348171701114</v>
      </c>
      <c r="M74" s="105">
        <v>55.0036220472441</v>
      </c>
      <c r="N74" s="105">
        <v>99.998293780052734</v>
      </c>
      <c r="O74" s="105">
        <v>145.01306807099667</v>
      </c>
      <c r="P74" s="105">
        <v>239.97831102907247</v>
      </c>
      <c r="Q74" s="976">
        <v>239.74094368612825</v>
      </c>
      <c r="R74" s="392">
        <v>267.92662590327961</v>
      </c>
      <c r="S74" s="392">
        <v>292.28851963746223</v>
      </c>
      <c r="T74" s="392">
        <v>300.36630036630038</v>
      </c>
      <c r="U74" s="392">
        <v>1E-3</v>
      </c>
      <c r="V74" s="392">
        <v>1E-3</v>
      </c>
      <c r="W74" s="392">
        <v>1.0009999999999999</v>
      </c>
      <c r="X74" s="392">
        <v>2.0009999999999999</v>
      </c>
      <c r="Y74" s="392">
        <v>3.0009999999999999</v>
      </c>
      <c r="Z74" s="392">
        <v>4.0010000000000003</v>
      </c>
      <c r="AA74" s="392">
        <v>5.0010000000000003</v>
      </c>
      <c r="AB74" s="392">
        <v>6.0010000000000003</v>
      </c>
      <c r="AC74" s="392">
        <v>1.0009999999999999</v>
      </c>
      <c r="AD74" s="392">
        <v>2.0009999999999999</v>
      </c>
      <c r="AE74" s="392">
        <v>3.0009999999999999</v>
      </c>
      <c r="AH74" t="s">
        <v>980</v>
      </c>
    </row>
    <row r="75" spans="2:57" ht="18.75">
      <c r="B75" s="59" t="s">
        <v>185</v>
      </c>
      <c r="C75" s="53" t="s">
        <v>485</v>
      </c>
      <c r="G75" s="105">
        <v>363.64403957802097</v>
      </c>
      <c r="H75" s="105">
        <v>344.50156033819712</v>
      </c>
      <c r="I75" s="105">
        <v>296.00442720168229</v>
      </c>
      <c r="J75" s="105">
        <v>345.64029157015403</v>
      </c>
      <c r="K75" s="105">
        <v>463.45768003295092</v>
      </c>
      <c r="L75" s="105">
        <v>453.02000398151478</v>
      </c>
      <c r="M75" s="105">
        <v>460.43319324774194</v>
      </c>
      <c r="N75" s="105">
        <v>449.99732929058422</v>
      </c>
      <c r="O75" s="105">
        <v>462.23942557794533</v>
      </c>
      <c r="P75" s="105">
        <v>450.7966219759308</v>
      </c>
      <c r="Q75" s="976">
        <v>450.00049419881191</v>
      </c>
      <c r="R75" s="461">
        <v>498.7738162610828</v>
      </c>
      <c r="S75" s="461">
        <v>525.27157894736831</v>
      </c>
      <c r="T75" s="461">
        <v>520.35971223021591</v>
      </c>
      <c r="U75" s="461">
        <v>519.90445859872614</v>
      </c>
      <c r="V75">
        <f>V49/V62*1000000</f>
        <v>520.4200700116686</v>
      </c>
      <c r="W75">
        <f t="shared" ref="W75:AE75" si="60">W49/W62*1000000</f>
        <v>517.59755164498858</v>
      </c>
      <c r="X75">
        <f t="shared" si="60"/>
        <v>519.98050682261203</v>
      </c>
      <c r="Y75">
        <f t="shared" si="60"/>
        <v>533.50031308703819</v>
      </c>
      <c r="Z75">
        <f t="shared" si="60"/>
        <v>535.22554485554986</v>
      </c>
      <c r="AA75">
        <f t="shared" si="60"/>
        <v>519.85981308411215</v>
      </c>
      <c r="AB75">
        <f t="shared" si="60"/>
        <v>520.03816793893134</v>
      </c>
      <c r="AC75">
        <f t="shared" si="60"/>
        <v>637.94983642311888</v>
      </c>
      <c r="AD75">
        <f t="shared" si="60"/>
        <v>624.69536961819665</v>
      </c>
      <c r="AE75">
        <f t="shared" si="60"/>
        <v>564.1025641025642</v>
      </c>
      <c r="AH75" t="s">
        <v>981</v>
      </c>
    </row>
    <row r="76" spans="2:57" ht="18.75">
      <c r="B76" s="59" t="s">
        <v>486</v>
      </c>
      <c r="C76" s="53" t="s">
        <v>487</v>
      </c>
      <c r="G76" s="105">
        <v>150.55119986138786</v>
      </c>
      <c r="H76" s="105">
        <v>136.18139236410107</v>
      </c>
      <c r="I76" s="105">
        <v>99.717324521775055</v>
      </c>
      <c r="J76" s="105">
        <v>99.25721398138171</v>
      </c>
      <c r="K76" s="105">
        <v>154.40215939174723</v>
      </c>
      <c r="L76" s="105">
        <v>131.18550301154377</v>
      </c>
      <c r="M76" s="105">
        <v>130.16482558077698</v>
      </c>
      <c r="N76" s="105">
        <v>185.83558467858259</v>
      </c>
      <c r="O76" s="105">
        <v>285.60906526467897</v>
      </c>
      <c r="P76" s="105">
        <v>274.33681202566373</v>
      </c>
      <c r="Q76" s="976">
        <v>264.8523388971775</v>
      </c>
      <c r="R76" s="461">
        <v>390.69490008947213</v>
      </c>
      <c r="S76" s="461">
        <v>368.37532580364905</v>
      </c>
      <c r="T76" s="461">
        <v>424.69879518072293</v>
      </c>
      <c r="U76" s="461">
        <v>410.58201058201058</v>
      </c>
      <c r="V76" s="461">
        <f t="shared" ref="V76:AE76" si="61">V50/V63*1000000</f>
        <v>406.6951566951567</v>
      </c>
      <c r="W76" s="461">
        <f t="shared" si="61"/>
        <v>324.32432432432432</v>
      </c>
      <c r="X76" s="461">
        <f t="shared" si="61"/>
        <v>247.25274725274724</v>
      </c>
      <c r="Y76" s="461">
        <f t="shared" si="61"/>
        <v>218.22033898305088</v>
      </c>
      <c r="Z76" s="461">
        <f t="shared" si="61"/>
        <v>245.92074592074596</v>
      </c>
      <c r="AA76" s="461">
        <f t="shared" si="61"/>
        <v>261.4015572858732</v>
      </c>
      <c r="AB76" s="461">
        <f t="shared" si="61"/>
        <v>433.86243386243393</v>
      </c>
      <c r="AC76" s="461">
        <f t="shared" si="61"/>
        <v>361.76470588235293</v>
      </c>
      <c r="AD76" s="461">
        <f t="shared" si="61"/>
        <v>343.30143540669854</v>
      </c>
      <c r="AE76" s="461">
        <f t="shared" si="61"/>
        <v>312.22385861561122</v>
      </c>
      <c r="AH76" t="s">
        <v>982</v>
      </c>
    </row>
    <row r="77" spans="2:57" ht="18.75">
      <c r="B77" s="59" t="s">
        <v>488</v>
      </c>
      <c r="C77" s="53" t="s">
        <v>489</v>
      </c>
      <c r="G77"/>
      <c r="H77" s="1002"/>
      <c r="I77" s="1002">
        <v>100</v>
      </c>
      <c r="J77" s="1002">
        <v>100</v>
      </c>
      <c r="K77" s="1002">
        <v>148.74205980796569</v>
      </c>
      <c r="L77" s="1002">
        <v>236.58297907812403</v>
      </c>
      <c r="M77" s="1002">
        <v>459.3223878617581</v>
      </c>
      <c r="N77" s="1002">
        <v>829.64936416081116</v>
      </c>
      <c r="O77" s="1002">
        <v>879.42121194910339</v>
      </c>
      <c r="P77" s="1002">
        <v>640.7351315803661</v>
      </c>
      <c r="Q77" s="998">
        <v>689.6032747717245</v>
      </c>
      <c r="R77" s="462">
        <v>804.04512818212822</v>
      </c>
      <c r="S77" s="462">
        <v>823.17834125869877</v>
      </c>
      <c r="T77" s="462">
        <v>844.25224440611248</v>
      </c>
      <c r="U77" s="462">
        <v>806.09931345891209</v>
      </c>
      <c r="V77" s="93">
        <v>756.23429780271181</v>
      </c>
      <c r="W77" s="462">
        <f t="shared" ref="W77" si="62">V77*GEOMEAN(W87,102)/100</f>
        <v>699.42262243912478</v>
      </c>
      <c r="X77" s="462">
        <f t="shared" ref="X77" si="63">W77*GEOMEAN(X87,102)/100</f>
        <v>707.37781470605159</v>
      </c>
      <c r="Y77" s="462">
        <f t="shared" ref="Y77" si="64">X77*GEOMEAN(Y87,102)/100</f>
        <v>717.46854614500535</v>
      </c>
      <c r="Z77" s="462">
        <f t="shared" ref="Z77" si="65">Y77*GEOMEAN(Z87,102)/100</f>
        <v>738.73241354940922</v>
      </c>
      <c r="AA77" s="462">
        <f t="shared" ref="AA77" si="66">Z77*GEOMEAN(AA87,102)/100</f>
        <v>712.33757461102812</v>
      </c>
      <c r="AB77" s="462">
        <f t="shared" ref="AB77" si="67">AA77*GEOMEAN(AB87,102)/100</f>
        <v>803.12433572182431</v>
      </c>
      <c r="AC77" s="462">
        <f t="shared" ref="AC77" si="68">AB77*GEOMEAN(AC87,102)/100</f>
        <v>856.00131323191874</v>
      </c>
      <c r="AD77" s="462">
        <f t="shared" ref="AD77" si="69">AC77*GEOMEAN(AD87,102)/100</f>
        <v>811.05093301844454</v>
      </c>
      <c r="AE77" s="462">
        <f t="shared" ref="AE77" si="70">AD77*GEOMEAN(AE87,102)/100</f>
        <v>824.73218029721681</v>
      </c>
      <c r="AH77" t="s">
        <v>983</v>
      </c>
    </row>
    <row r="78" spans="2:57">
      <c r="B78" s="59"/>
      <c r="C78" s="106" t="s">
        <v>458</v>
      </c>
      <c r="D78" s="106"/>
      <c r="E78" s="106"/>
      <c r="F78" s="106"/>
      <c r="G78"/>
      <c r="H78" s="1002"/>
      <c r="I78" s="1002"/>
      <c r="J78" s="1002"/>
      <c r="K78" s="1002"/>
      <c r="L78" s="1002"/>
      <c r="M78" s="1002"/>
      <c r="N78" s="1002"/>
      <c r="O78" s="1002"/>
      <c r="P78" s="1002"/>
      <c r="Q78" s="998"/>
      <c r="R78" s="392">
        <v>670.60561299852282</v>
      </c>
      <c r="S78" s="392">
        <v>657.42452248921757</v>
      </c>
      <c r="T78" s="392">
        <v>618.69085173501583</v>
      </c>
      <c r="U78" s="392">
        <v>0</v>
      </c>
      <c r="AH78"/>
    </row>
    <row r="79" spans="2:57">
      <c r="B79" s="59"/>
      <c r="C79" s="106" t="s">
        <v>459</v>
      </c>
      <c r="D79" s="106"/>
      <c r="E79" s="106"/>
      <c r="F79" s="106"/>
      <c r="G79"/>
      <c r="H79" s="1002"/>
      <c r="I79" s="1002"/>
      <c r="J79" s="1002"/>
      <c r="K79" s="1002"/>
      <c r="L79" s="1002"/>
      <c r="M79" s="1002"/>
      <c r="N79" s="1002"/>
      <c r="O79" s="1002"/>
      <c r="P79" s="1002"/>
      <c r="Q79" s="998"/>
      <c r="R79" s="392">
        <v>1020.1809324982602</v>
      </c>
      <c r="S79" s="392">
        <v>1076.8601798855273</v>
      </c>
      <c r="T79" s="392">
        <v>1002.7063599458727</v>
      </c>
      <c r="U79"/>
      <c r="AH79"/>
    </row>
    <row r="80" spans="2:57">
      <c r="B80" s="59"/>
      <c r="C80" s="106" t="s">
        <v>460</v>
      </c>
      <c r="D80" s="106"/>
      <c r="E80" s="106"/>
      <c r="F80" s="106"/>
      <c r="G80"/>
      <c r="H80" s="1002"/>
      <c r="I80" s="1002"/>
      <c r="J80" s="1002"/>
      <c r="K80" s="1002"/>
      <c r="L80" s="1002"/>
      <c r="M80" s="1002"/>
      <c r="N80" s="1002"/>
      <c r="O80" s="1002"/>
      <c r="P80" s="1002"/>
      <c r="Q80" s="998"/>
      <c r="R80"/>
      <c r="S80"/>
      <c r="T80"/>
      <c r="U80"/>
      <c r="AH80"/>
    </row>
    <row r="81" spans="2:34">
      <c r="G81"/>
      <c r="H81"/>
      <c r="I81" s="1002"/>
      <c r="J81"/>
      <c r="K81"/>
      <c r="L81"/>
      <c r="M81"/>
      <c r="N81"/>
      <c r="O81"/>
      <c r="P81"/>
      <c r="Q81" s="1004"/>
      <c r="R81"/>
      <c r="S81"/>
      <c r="T81"/>
      <c r="U81"/>
    </row>
    <row r="82" spans="2:34">
      <c r="G82"/>
      <c r="H82"/>
      <c r="I82"/>
      <c r="J82"/>
      <c r="K82"/>
      <c r="L82"/>
      <c r="M82"/>
      <c r="N82"/>
      <c r="O82"/>
      <c r="P82"/>
      <c r="Q82" s="998"/>
      <c r="R82"/>
      <c r="S82"/>
      <c r="T82"/>
      <c r="U82"/>
    </row>
    <row r="83" spans="2:34">
      <c r="C83" s="103" t="s">
        <v>429</v>
      </c>
      <c r="D83" s="103"/>
      <c r="E83" s="103"/>
      <c r="F83" s="103"/>
      <c r="G83"/>
      <c r="H83"/>
      <c r="I83" s="440"/>
      <c r="J83" s="440"/>
      <c r="K83" s="440"/>
      <c r="L83" s="440"/>
      <c r="M83" s="440"/>
      <c r="N83" s="440"/>
      <c r="O83" s="440"/>
      <c r="P83" s="440"/>
      <c r="Q83" s="998"/>
      <c r="R83" s="998"/>
      <c r="S83"/>
      <c r="T83"/>
      <c r="U83"/>
    </row>
    <row r="84" spans="2:34" ht="18.75">
      <c r="B84" s="59" t="s">
        <v>490</v>
      </c>
      <c r="C84" s="53" t="s">
        <v>491</v>
      </c>
      <c r="G84"/>
      <c r="H84"/>
      <c r="I84" s="53">
        <v>111.1</v>
      </c>
      <c r="J84" s="53">
        <v>123.7</v>
      </c>
      <c r="K84" s="53">
        <v>125.9</v>
      </c>
      <c r="L84" s="53">
        <v>116.5</v>
      </c>
      <c r="M84" s="456">
        <v>139.6</v>
      </c>
      <c r="N84" s="456">
        <v>127.3</v>
      </c>
      <c r="O84" s="456">
        <v>101.4</v>
      </c>
      <c r="P84" s="456">
        <v>96</v>
      </c>
      <c r="Q84" s="385">
        <v>108</v>
      </c>
      <c r="R84" s="385">
        <v>109.33919022154316</v>
      </c>
      <c r="S84" s="385">
        <v>117.85402370555209</v>
      </c>
      <c r="T84" s="385">
        <v>107.06648316747828</v>
      </c>
      <c r="U84" s="385">
        <v>106.2292974736738</v>
      </c>
      <c r="V84" s="94">
        <v>79.94601386885094</v>
      </c>
      <c r="W84" s="385">
        <f t="shared" ref="W84" si="71">W43/V43*100</f>
        <v>88.229130282920011</v>
      </c>
      <c r="X84" s="385">
        <f t="shared" ref="X84" si="72">X43/W43*100</f>
        <v>91.544602797571926</v>
      </c>
      <c r="Y84" s="385">
        <f t="shared" ref="Y84" si="73">Y43/X43*100</f>
        <v>113.55364157266928</v>
      </c>
      <c r="Z84" s="385">
        <f t="shared" ref="Z84" si="74">Z43/Y43*100</f>
        <v>106.29324024119329</v>
      </c>
      <c r="AA84" s="385">
        <f t="shared" ref="AA84" si="75">AA43/Z43*100</f>
        <v>94.049502881199061</v>
      </c>
      <c r="AB84" s="385">
        <f t="shared" ref="AB84" si="76">AB43/AA43*100</f>
        <v>133.63492063492063</v>
      </c>
      <c r="AC84" s="385">
        <f t="shared" ref="AC84" si="77">AC43/AB43*100</f>
        <v>122.75804727402304</v>
      </c>
      <c r="AD84" s="385">
        <f t="shared" ref="AD84" si="78">AD43/AC43*100</f>
        <v>113.79003386550556</v>
      </c>
      <c r="AE84" s="385">
        <f t="shared" ref="AE84" si="79">AE43/AD43*100</f>
        <v>119.17484396523868</v>
      </c>
      <c r="AH84" t="s">
        <v>984</v>
      </c>
    </row>
    <row r="85" spans="2:34" ht="18.75">
      <c r="B85" s="59" t="s">
        <v>492</v>
      </c>
      <c r="C85" s="53" t="s">
        <v>433</v>
      </c>
      <c r="G85"/>
      <c r="H85" s="440">
        <v>125.28271280413773</v>
      </c>
      <c r="I85" s="440">
        <v>121.63383162191256</v>
      </c>
      <c r="J85" s="440">
        <v>121.33245374867164</v>
      </c>
      <c r="K85" s="440">
        <v>95.18960458573676</v>
      </c>
      <c r="L85" s="440">
        <v>114.52093895981128</v>
      </c>
      <c r="M85" s="385">
        <v>138.42032464084485</v>
      </c>
      <c r="N85" s="385">
        <v>133.6214712530238</v>
      </c>
      <c r="O85" s="385">
        <v>91.987282714097731</v>
      </c>
      <c r="P85" s="385">
        <v>83.123616185695823</v>
      </c>
      <c r="Q85" s="385">
        <v>101.54726659198634</v>
      </c>
      <c r="R85" s="385">
        <v>82.037762256607948</v>
      </c>
      <c r="S85" s="385">
        <v>114.68789077722496</v>
      </c>
      <c r="T85" s="385">
        <v>103.82385059675553</v>
      </c>
      <c r="U85" s="385">
        <v>118.85345920765626</v>
      </c>
      <c r="V85" s="94">
        <v>92.653397373643799</v>
      </c>
      <c r="W85" s="385">
        <f t="shared" ref="W85" si="80">W43/V43/W87*10000</f>
        <v>105.20722363532886</v>
      </c>
      <c r="X85" s="385">
        <f t="shared" ref="X85" si="81">X43/W43/X87*10000</f>
        <v>91.287097080608689</v>
      </c>
      <c r="Y85" s="385">
        <f t="shared" ref="Y85" si="82">Y43/X43/Y87*10000</f>
        <v>112.58962571974166</v>
      </c>
      <c r="Z85" s="385">
        <f t="shared" ref="Z85" si="83">Z43/Y43/Z87*10000</f>
        <v>102.26740606308415</v>
      </c>
      <c r="AA85" s="385">
        <f t="shared" ref="AA85" si="84">AA43/Z43/AA87*10000</f>
        <v>103.17138953792367</v>
      </c>
      <c r="AB85" s="385">
        <f t="shared" ref="AB85" si="85">AB43/AA43/AB87*10000</f>
        <v>107.23245939869571</v>
      </c>
      <c r="AC85" s="385">
        <f t="shared" ref="AC85" si="86">AC43/AB43/AC87*10000</f>
        <v>110.22163600322315</v>
      </c>
      <c r="AD85" s="385">
        <f t="shared" ref="AD85" si="87">AD43/AC43/AD87*10000</f>
        <v>129.28763877695607</v>
      </c>
      <c r="AE85" s="385">
        <f t="shared" ref="AE85" si="88">AE43/AD43/AE87*10000</f>
        <v>117.55879853420736</v>
      </c>
      <c r="AH85" t="s">
        <v>985</v>
      </c>
    </row>
    <row r="86" spans="2:34" ht="18.75">
      <c r="B86" s="59" t="s">
        <v>493</v>
      </c>
      <c r="C86" s="53" t="s">
        <v>494</v>
      </c>
      <c r="G86"/>
      <c r="H86"/>
      <c r="I86" s="440">
        <v>99.976545427046005</v>
      </c>
      <c r="J86" s="440">
        <v>99.965305978761762</v>
      </c>
      <c r="K86" s="440">
        <v>100.03828858378348</v>
      </c>
      <c r="L86" s="440">
        <v>99.944594456491046</v>
      </c>
      <c r="M86" s="385">
        <v>100.9401960513393</v>
      </c>
      <c r="N86" s="385">
        <v>122.83257394142449</v>
      </c>
      <c r="O86" s="385">
        <v>108.66035732712233</v>
      </c>
      <c r="P86" s="385">
        <v>72.272318838947527</v>
      </c>
      <c r="Q86" s="385">
        <v>113.05855753579932</v>
      </c>
      <c r="R86" s="385">
        <v>96.387221051591581</v>
      </c>
      <c r="S86" s="385">
        <v>101.4203975684249</v>
      </c>
      <c r="T86" s="385">
        <v>103.62485389353405</v>
      </c>
      <c r="U86" s="385">
        <v>92.652927262785198</v>
      </c>
      <c r="V86" s="94">
        <v>102.43840062534296</v>
      </c>
      <c r="W86" s="385">
        <f t="shared" ref="W86" si="89">(W41)/(V41)/W84*10000</f>
        <v>99.011570132229565</v>
      </c>
      <c r="X86" s="385">
        <f t="shared" ref="X86" si="90">(X41)/(W41)/X84*10000</f>
        <v>101.01725677820723</v>
      </c>
      <c r="Y86" s="385">
        <f t="shared" ref="Y86" si="91">(Y41)/(X41)/Y84*10000</f>
        <v>100.92018875878121</v>
      </c>
      <c r="Z86" s="385">
        <f t="shared" ref="Z86" si="92">(Z41)/(Y41)/Z84*10000</f>
        <v>100.03101079105305</v>
      </c>
      <c r="AA86" s="385">
        <f t="shared" ref="AA86" si="93">(AA41)/(Z41)/AA84*10000</f>
        <v>98.648475018129176</v>
      </c>
      <c r="AB86" s="385">
        <f t="shared" ref="AB86" si="94">(AB41)/(AA41)/AB84*10000</f>
        <v>99.6573093764639</v>
      </c>
      <c r="AC86" s="385">
        <f t="shared" ref="AC86" si="95">(AC41)/(AB41)/AC84*10000</f>
        <v>100.56257320657754</v>
      </c>
      <c r="AD86" s="385">
        <f t="shared" ref="AD86" si="96">(AD41)/(AC41)/AD84*10000</f>
        <v>99.526280160028918</v>
      </c>
      <c r="AE86" s="385">
        <f t="shared" ref="AE86" si="97">(AE41)/(AD41)/AE84*10000</f>
        <v>97.295203146094096</v>
      </c>
      <c r="AH86" t="s">
        <v>986</v>
      </c>
    </row>
    <row r="87" spans="2:34" ht="18.75">
      <c r="B87" s="59" t="s">
        <v>495</v>
      </c>
      <c r="C87" s="53" t="s">
        <v>496</v>
      </c>
      <c r="G87"/>
      <c r="H87" s="440">
        <v>66.396403243483519</v>
      </c>
      <c r="I87" s="440">
        <v>88.357945192135716</v>
      </c>
      <c r="J87" s="440">
        <v>102.7327943782964</v>
      </c>
      <c r="K87" s="440">
        <v>126.22347258207375</v>
      </c>
      <c r="L87" s="440">
        <v>101.38385951731703</v>
      </c>
      <c r="M87" s="385">
        <v>107.53691654416127</v>
      </c>
      <c r="N87" s="385">
        <v>109.44803805793372</v>
      </c>
      <c r="O87" s="385">
        <v>126.64859036114947</v>
      </c>
      <c r="P87" s="385">
        <v>84.288174114828195</v>
      </c>
      <c r="Q87" s="385">
        <v>113.56418394961884</v>
      </c>
      <c r="R87" s="392">
        <v>133.27909881249369</v>
      </c>
      <c r="S87" s="392">
        <v>102.76065145750842</v>
      </c>
      <c r="T87" s="392">
        <v>103.1232058453668</v>
      </c>
      <c r="U87" s="392">
        <v>89.378380891778676</v>
      </c>
      <c r="V87" s="94">
        <v>86.285032319378701</v>
      </c>
      <c r="W87" s="392">
        <f t="shared" ref="W87" si="98">(W44+W45+W47+W48+W49+W50)/(W44/(W70/V70*100)+W45/(W71/V71*100)+W47/(W73/V73*100)+W48/(W74/V74*100)+W49/(W75/V75*100)+W50/(W76/V76*100))</f>
        <v>83.862236103427065</v>
      </c>
      <c r="X87" s="392">
        <f t="shared" ref="X87" si="99">(X44+X45+X47+X48+X49+X50)/(X44/(X70/W70*100)+X45/(X71/W71*100)+X47/(X73/W73*100)+X48/(X74/W74*100)+X49/(X75/W75*100)+X50/(X76/W76*100))</f>
        <v>100.28208336687041</v>
      </c>
      <c r="Y87" s="392">
        <f t="shared" ref="Y87" si="100">(Y44+Y45+Y47+Y48+Y49+Y50)/(Y44/(Y70/X70*100)+Y45/(Y71/X71*100)+Y47/(Y73/X73*100)+Y48/(Y74/X74*100)+Y49/(Y75/X75*100)+Y50/(Y76/X76*100))</f>
        <v>100.85622085228992</v>
      </c>
      <c r="Z87" s="392">
        <f t="shared" ref="Z87" si="101">(Z44+Z45+Z47+Z48+Z49+Z50)/(Z44/(Z70/Y70*100)+Z45/(Z71/Y71*100)+Z47/(Z73/Y73*100)+Z48/(Z74/Y74*100)+Z49/(Z75/Y75*100)+Z50/(Z76/Y76*100))</f>
        <v>103.93657601487006</v>
      </c>
      <c r="AA87" s="392">
        <f t="shared" ref="AA87" si="102">(AA44+AA45+AA47+AA48+AA49+AA50)/(AA44/(AA70/Z70*100)+AA45/(AA71/Z71*100)+AA47/(AA73/Z73*100)+AA48/(AA74/Z74*100)+AA49/(AA75/Z75*100)+AA50/(AA76/Z76*100))</f>
        <v>91.158511388109574</v>
      </c>
      <c r="AB87" s="392">
        <f t="shared" ref="AB87" si="103">(AB44+AB45+AB47+AB48+AB49+AB50)/(AB44/(AB70/AA70*100)+AB45/(AB71/AA71*100)+AB47/(AB73/AA73*100)+AB48/(AB74/AA74*100)+AB49/(AB75/AA75*100)+AB50/(AB76/AA76*100))</f>
        <v>124.62170632313789</v>
      </c>
      <c r="AC87" s="392">
        <f t="shared" ref="AC87" si="104">(AC44+AC45+AC47+AC48+AC49+AC50)/(AC44/(AC70/AB70*100)+AC45/(AC71/AB71*100)+AC47/(AC73/AB73*100)+AC48/(AC74/AB74*100)+AC49/(AC75/AB75*100)+AC50/(AC76/AB76*100))</f>
        <v>111.37382071740731</v>
      </c>
      <c r="AD87" s="392">
        <f t="shared" ref="AD87" si="105">(AD44+AD45+AD47+AD48+AD49+AD50)/(AD44/(AD70/AC70*100)+AD45/(AD71/AC71*100)+AD47/(AD73/AC73*100)+AD48/(AD74/AC74*100)+AD49/(AD75/AC75*100)+AD50/(AD76/AC76*100))</f>
        <v>88.013080710533671</v>
      </c>
      <c r="AE87" s="392">
        <f t="shared" ref="AE87" si="106">(AE44+AE45+AE47+AE48+AE49+AE50)/(AE44/(AE70/AD70*100)+AE45/(AE71/AD71*100)+AE47/(AE73/AD73*100)+AE48/(AE74/AD74*100)+AE49/(AE75/AD75*100)+AE50/(AE76/AD76*100))</f>
        <v>101.37466991087109</v>
      </c>
      <c r="AH87" t="s">
        <v>987</v>
      </c>
    </row>
    <row r="88" spans="2:34">
      <c r="G88"/>
      <c r="H88"/>
      <c r="I88"/>
      <c r="J88"/>
      <c r="K88"/>
      <c r="L88"/>
      <c r="M88"/>
      <c r="N88"/>
      <c r="O88"/>
      <c r="P88"/>
      <c r="Q88" s="1006"/>
      <c r="R88"/>
      <c r="S88"/>
      <c r="T88"/>
      <c r="U88"/>
    </row>
    <row r="89" spans="2:34">
      <c r="G89"/>
      <c r="H89"/>
      <c r="I89"/>
      <c r="J89"/>
      <c r="K89"/>
      <c r="L89"/>
      <c r="M89"/>
      <c r="N89"/>
      <c r="O89"/>
      <c r="P89"/>
      <c r="Q89" s="998"/>
      <c r="R89"/>
      <c r="S89"/>
      <c r="T89"/>
      <c r="U89"/>
    </row>
    <row r="90" spans="2:34">
      <c r="C90" s="519" t="s">
        <v>1077</v>
      </c>
      <c r="D90" s="795"/>
      <c r="E90" s="795"/>
      <c r="F90" s="795"/>
      <c r="G90" s="795"/>
      <c r="H90" s="795"/>
      <c r="I90" s="795"/>
      <c r="J90" s="795"/>
      <c r="K90" s="795"/>
      <c r="L90" s="795"/>
      <c r="M90" s="795"/>
      <c r="N90" s="795"/>
      <c r="O90" s="795"/>
      <c r="P90" s="795"/>
      <c r="Q90" s="795"/>
      <c r="R90" s="795"/>
      <c r="S90" s="795"/>
      <c r="T90" s="795"/>
      <c r="U90" s="795"/>
      <c r="V90" s="287">
        <f>V5+V43</f>
        <v>4326.2</v>
      </c>
      <c r="W90" s="287">
        <f t="shared" ref="W90:AD90" si="107">W5+W43</f>
        <v>3929.8999999999996</v>
      </c>
      <c r="X90" s="287">
        <f t="shared" si="107"/>
        <v>3972.9</v>
      </c>
      <c r="Y90" s="287">
        <f t="shared" si="107"/>
        <v>4224.3</v>
      </c>
      <c r="Z90" s="287">
        <f t="shared" si="107"/>
        <v>4523.7000000000007</v>
      </c>
      <c r="AA90" s="287">
        <f t="shared" si="107"/>
        <v>4556.8999999999996</v>
      </c>
      <c r="AB90" s="287">
        <f t="shared" si="107"/>
        <v>6359.1</v>
      </c>
      <c r="AC90" s="287">
        <f t="shared" si="107"/>
        <v>7309.5</v>
      </c>
      <c r="AD90" s="287">
        <f t="shared" si="107"/>
        <v>8328.9000000000015</v>
      </c>
      <c r="AE90" s="287">
        <f>AE5+AE43</f>
        <v>8955</v>
      </c>
      <c r="AF90" s="287"/>
    </row>
    <row r="91" spans="2:34">
      <c r="W91" s="438">
        <f>W90/V90*100</f>
        <v>90.839535851324484</v>
      </c>
      <c r="X91" s="438">
        <f t="shared" ref="X91:AE91" si="108">X90/W90*100</f>
        <v>101.09417542431108</v>
      </c>
      <c r="Y91" s="438">
        <f t="shared" si="108"/>
        <v>106.32787132824888</v>
      </c>
      <c r="Z91" s="438">
        <f t="shared" si="108"/>
        <v>107.08756480363613</v>
      </c>
      <c r="AA91" s="438">
        <f t="shared" si="108"/>
        <v>100.7339125052501</v>
      </c>
      <c r="AB91" s="438">
        <f t="shared" si="108"/>
        <v>139.54881608110779</v>
      </c>
      <c r="AC91" s="438">
        <f t="shared" si="108"/>
        <v>114.94551115723924</v>
      </c>
      <c r="AD91" s="438">
        <f t="shared" si="108"/>
        <v>113.94623435255491</v>
      </c>
      <c r="AE91" s="438">
        <f t="shared" si="108"/>
        <v>107.51719914994776</v>
      </c>
    </row>
    <row r="92" spans="2:34">
      <c r="W92" s="624">
        <f>W90-V90</f>
        <v>-396.30000000000018</v>
      </c>
      <c r="X92" s="624">
        <f t="shared" ref="X92:AE92" si="109">X90-W90</f>
        <v>43.000000000000455</v>
      </c>
      <c r="Y92" s="624">
        <f t="shared" si="109"/>
        <v>251.40000000000009</v>
      </c>
      <c r="Z92" s="624">
        <f t="shared" si="109"/>
        <v>299.40000000000055</v>
      </c>
      <c r="AA92" s="624">
        <f t="shared" si="109"/>
        <v>33.199999999998909</v>
      </c>
      <c r="AB92" s="624">
        <f t="shared" si="109"/>
        <v>1802.2000000000007</v>
      </c>
      <c r="AC92" s="624">
        <f t="shared" si="109"/>
        <v>950.39999999999964</v>
      </c>
      <c r="AD92" s="624">
        <f t="shared" si="109"/>
        <v>1019.4000000000015</v>
      </c>
      <c r="AE92" s="624">
        <f t="shared" si="109"/>
        <v>626.09999999999854</v>
      </c>
    </row>
    <row r="93" spans="2:34" ht="15.75">
      <c r="B93" s="59" t="s">
        <v>442</v>
      </c>
      <c r="C93" s="103" t="s">
        <v>443</v>
      </c>
      <c r="D93" s="103"/>
      <c r="E93" s="103"/>
      <c r="F93" s="103"/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3"/>
      <c r="Z93" s="438">
        <f>Z43/Y43*100</f>
        <v>106.29324024119329</v>
      </c>
      <c r="AA93" s="438">
        <f t="shared" ref="AA93:AE93" si="110">AA43/Z43*100</f>
        <v>94.049502881199061</v>
      </c>
      <c r="AB93" s="438">
        <f t="shared" si="110"/>
        <v>133.63492063492063</v>
      </c>
      <c r="AC93" s="438">
        <f t="shared" si="110"/>
        <v>122.75804727402304</v>
      </c>
      <c r="AD93" s="438">
        <f t="shared" si="110"/>
        <v>113.79003386550556</v>
      </c>
      <c r="AE93" s="438">
        <f t="shared" si="110"/>
        <v>119.17484396523868</v>
      </c>
    </row>
    <row r="115" spans="2:57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</row>
    <row r="120" spans="2:57">
      <c r="B120" s="103"/>
      <c r="C120" s="103"/>
      <c r="D120" s="103"/>
      <c r="E120" s="103"/>
      <c r="F120" s="103"/>
      <c r="G120" s="103"/>
      <c r="H120" s="103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103"/>
      <c r="AH120" s="103"/>
      <c r="AI120" s="103"/>
      <c r="AJ120" s="103"/>
      <c r="AK120" s="103"/>
      <c r="AL120" s="103"/>
      <c r="AM120" s="103"/>
      <c r="AN120" s="103"/>
      <c r="AO120" s="103"/>
      <c r="AP120" s="103"/>
      <c r="AQ120" s="103"/>
      <c r="AR120" s="103"/>
      <c r="AS120" s="103"/>
      <c r="AT120" s="103"/>
      <c r="AU120" s="103"/>
      <c r="AV120" s="103"/>
      <c r="AW120" s="103"/>
      <c r="AX120" s="103"/>
      <c r="AY120" s="103"/>
      <c r="AZ120" s="103"/>
      <c r="BA120" s="103"/>
      <c r="BB120" s="103"/>
      <c r="BC120" s="103"/>
      <c r="BD120" s="103"/>
      <c r="BE120" s="103"/>
    </row>
    <row r="131" spans="2:57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</row>
    <row r="133" spans="2:57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</row>
    <row r="147" spans="2:57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</row>
    <row r="157" spans="2:57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</row>
    <row r="164" spans="2:57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</row>
    <row r="168" spans="2:57">
      <c r="B168" s="103"/>
      <c r="C168" s="103"/>
      <c r="D168" s="103"/>
      <c r="E168" s="103"/>
      <c r="F168" s="103"/>
      <c r="G168" s="103"/>
      <c r="H168" s="103"/>
      <c r="I168" s="103"/>
      <c r="J168" s="103"/>
      <c r="K168" s="103"/>
      <c r="L168" s="103"/>
      <c r="M168" s="103"/>
      <c r="N168" s="103"/>
      <c r="O168" s="103"/>
      <c r="P168" s="103"/>
      <c r="Q168" s="103"/>
      <c r="R168" s="103"/>
      <c r="S168" s="103"/>
      <c r="T168" s="103"/>
      <c r="U168" s="103"/>
      <c r="AH168" s="103"/>
      <c r="AI168" s="103"/>
      <c r="AJ168" s="103"/>
      <c r="AK168" s="103"/>
      <c r="AL168" s="103"/>
      <c r="AM168" s="103"/>
      <c r="AN168" s="103"/>
      <c r="AO168" s="103"/>
      <c r="AP168" s="103"/>
      <c r="AQ168" s="103"/>
      <c r="AR168" s="103"/>
      <c r="AS168" s="103"/>
      <c r="AT168" s="103"/>
      <c r="AU168" s="103"/>
      <c r="AV168" s="103"/>
      <c r="AW168" s="103"/>
      <c r="AX168" s="103"/>
      <c r="AY168" s="103"/>
      <c r="AZ168" s="103"/>
      <c r="BA168" s="103"/>
      <c r="BB168" s="103"/>
      <c r="BC168" s="103"/>
      <c r="BD168" s="103"/>
      <c r="BE168" s="103"/>
    </row>
    <row r="179" spans="2:57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</row>
    <row r="181" spans="2:57">
      <c r="B181" s="103"/>
      <c r="C181" s="103"/>
      <c r="D181" s="103"/>
      <c r="E181" s="103"/>
      <c r="F181" s="103"/>
      <c r="G181" s="103"/>
      <c r="H181" s="103"/>
      <c r="I181" s="103"/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103"/>
      <c r="AH181" s="103"/>
      <c r="AI181" s="103"/>
      <c r="AJ181" s="103"/>
      <c r="AK181" s="103"/>
      <c r="AL181" s="103"/>
      <c r="AM181" s="103"/>
      <c r="AN181" s="103"/>
      <c r="AO181" s="103"/>
      <c r="AP181" s="103"/>
      <c r="AQ181" s="103"/>
      <c r="AR181" s="103"/>
      <c r="AS181" s="103"/>
      <c r="AT181" s="103"/>
      <c r="AU181" s="103"/>
      <c r="AV181" s="103"/>
      <c r="AW181" s="103"/>
      <c r="AX181" s="103"/>
      <c r="AY181" s="103"/>
      <c r="AZ181" s="103"/>
      <c r="BA181" s="103"/>
      <c r="BB181" s="103"/>
      <c r="BC181" s="103"/>
      <c r="BD181" s="103"/>
      <c r="BE181" s="103"/>
    </row>
    <row r="190" spans="2:57"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AH190" s="102"/>
      <c r="AI190" s="102"/>
      <c r="AJ190" s="102"/>
      <c r="AK190" s="102"/>
      <c r="AL190" s="102"/>
      <c r="AM190" s="102"/>
      <c r="AN190" s="102"/>
      <c r="AO190" s="102"/>
      <c r="AP190" s="102"/>
      <c r="AQ190" s="102"/>
      <c r="AR190" s="102"/>
      <c r="AS190" s="102"/>
      <c r="AT190" s="102"/>
      <c r="AU190" s="102"/>
      <c r="AV190" s="102"/>
      <c r="AW190" s="102"/>
      <c r="AX190" s="102"/>
      <c r="AY190" s="102"/>
      <c r="AZ190" s="102"/>
      <c r="BA190" s="102"/>
      <c r="BB190" s="102"/>
      <c r="BC190" s="102"/>
      <c r="BD190" s="102"/>
      <c r="BE190" s="102"/>
    </row>
    <row r="196" spans="2:57"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AH196" s="102"/>
      <c r="AI196" s="102"/>
      <c r="AJ196" s="102"/>
      <c r="AK196" s="102"/>
      <c r="AL196" s="102"/>
      <c r="AM196" s="102"/>
      <c r="AN196" s="102"/>
      <c r="AO196" s="102"/>
      <c r="AP196" s="102"/>
      <c r="AQ196" s="102"/>
      <c r="AR196" s="102"/>
      <c r="AS196" s="102"/>
      <c r="AT196" s="102"/>
      <c r="AU196" s="102"/>
      <c r="AV196" s="102"/>
      <c r="AW196" s="102"/>
      <c r="AX196" s="102"/>
      <c r="AY196" s="102"/>
      <c r="AZ196" s="102"/>
      <c r="BA196" s="102"/>
      <c r="BB196" s="102"/>
      <c r="BC196" s="102"/>
      <c r="BD196" s="102"/>
      <c r="BE196" s="102"/>
    </row>
    <row r="202" spans="2:57"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AH202" s="102"/>
      <c r="AI202" s="102"/>
      <c r="AJ202" s="102"/>
      <c r="AK202" s="102"/>
      <c r="AL202" s="102"/>
      <c r="AM202" s="102"/>
      <c r="AN202" s="102"/>
      <c r="AO202" s="102"/>
      <c r="AP202" s="102"/>
      <c r="AQ202" s="102"/>
      <c r="AR202" s="102"/>
      <c r="AS202" s="102"/>
      <c r="AT202" s="102"/>
      <c r="AU202" s="102"/>
      <c r="AV202" s="102"/>
      <c r="AW202" s="102"/>
      <c r="AX202" s="102"/>
      <c r="AY202" s="102"/>
      <c r="AZ202" s="102"/>
      <c r="BA202" s="102"/>
      <c r="BB202" s="102"/>
      <c r="BC202" s="102"/>
      <c r="BD202" s="102"/>
      <c r="BE202" s="102"/>
    </row>
    <row r="206" spans="2:57"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AH206" s="102"/>
      <c r="AI206" s="102"/>
      <c r="AJ206" s="102"/>
      <c r="AK206" s="102"/>
      <c r="AL206" s="102"/>
      <c r="AM206" s="102"/>
      <c r="AN206" s="102"/>
      <c r="AO206" s="102"/>
      <c r="AP206" s="102"/>
      <c r="AQ206" s="102"/>
      <c r="AR206" s="102"/>
      <c r="AS206" s="102"/>
      <c r="AT206" s="102"/>
      <c r="AU206" s="102"/>
      <c r="AV206" s="102"/>
      <c r="AW206" s="102"/>
      <c r="AX206" s="102"/>
      <c r="AY206" s="102"/>
      <c r="AZ206" s="102"/>
      <c r="BA206" s="102"/>
      <c r="BB206" s="102"/>
      <c r="BC206" s="102"/>
      <c r="BD206" s="102"/>
      <c r="BE206" s="102"/>
    </row>
    <row r="207" spans="2:57"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AH207" s="102"/>
      <c r="AI207" s="102"/>
      <c r="AJ207" s="102"/>
      <c r="AK207" s="102"/>
      <c r="AL207" s="102"/>
      <c r="AM207" s="102"/>
      <c r="AN207" s="102"/>
      <c r="AO207" s="102"/>
      <c r="AP207" s="102"/>
      <c r="AQ207" s="102"/>
      <c r="AR207" s="102"/>
      <c r="AS207" s="102"/>
      <c r="AT207" s="102"/>
      <c r="AU207" s="102"/>
      <c r="AV207" s="102"/>
      <c r="AW207" s="102"/>
      <c r="AX207" s="102"/>
      <c r="AY207" s="102"/>
      <c r="AZ207" s="102"/>
      <c r="BA207" s="102"/>
      <c r="BB207" s="102"/>
      <c r="BC207" s="102"/>
      <c r="BD207" s="102"/>
      <c r="BE207" s="102"/>
    </row>
    <row r="208" spans="2:57"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AH208" s="102"/>
      <c r="AI208" s="102"/>
      <c r="AJ208" s="102"/>
      <c r="AK208" s="102"/>
      <c r="AL208" s="102"/>
      <c r="AM208" s="102"/>
      <c r="AN208" s="102"/>
      <c r="AO208" s="102"/>
      <c r="AP208" s="102"/>
      <c r="AQ208" s="102"/>
      <c r="AR208" s="102"/>
      <c r="AS208" s="102"/>
      <c r="AT208" s="102"/>
      <c r="AU208" s="102"/>
      <c r="AV208" s="102"/>
      <c r="AW208" s="102"/>
      <c r="AX208" s="102"/>
      <c r="AY208" s="102"/>
      <c r="AZ208" s="102"/>
      <c r="BA208" s="102"/>
      <c r="BB208" s="102"/>
      <c r="BC208" s="102"/>
      <c r="BD208" s="102"/>
      <c r="BE208" s="102"/>
    </row>
    <row r="209" spans="2:57"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AH209" s="102"/>
      <c r="AI209" s="102"/>
      <c r="AJ209" s="102"/>
      <c r="AK209" s="102"/>
      <c r="AL209" s="102"/>
      <c r="AM209" s="102"/>
      <c r="AN209" s="102"/>
      <c r="AO209" s="102"/>
      <c r="AP209" s="102"/>
      <c r="AQ209" s="102"/>
      <c r="AR209" s="102"/>
      <c r="AS209" s="102"/>
      <c r="AT209" s="102"/>
      <c r="AU209" s="102"/>
      <c r="AV209" s="102"/>
      <c r="AW209" s="102"/>
      <c r="AX209" s="102"/>
      <c r="AY209" s="102"/>
      <c r="AZ209" s="102"/>
      <c r="BA209" s="102"/>
      <c r="BB209" s="102"/>
      <c r="BC209" s="102"/>
      <c r="BD209" s="102"/>
      <c r="BE209" s="102"/>
    </row>
    <row r="224" spans="2:57">
      <c r="B224" s="103"/>
      <c r="C224" s="103"/>
      <c r="D224" s="103"/>
      <c r="E224" s="103"/>
      <c r="F224" s="103"/>
      <c r="G224" s="103"/>
      <c r="H224" s="103"/>
      <c r="I224" s="103"/>
      <c r="J224" s="103"/>
      <c r="K224" s="103"/>
      <c r="L224" s="103"/>
      <c r="M224" s="103"/>
      <c r="N224" s="103"/>
      <c r="O224" s="103"/>
      <c r="P224" s="103"/>
      <c r="Q224" s="103"/>
      <c r="R224" s="103"/>
      <c r="S224" s="103"/>
      <c r="T224" s="103"/>
      <c r="U224" s="103"/>
      <c r="AH224" s="103"/>
      <c r="AI224" s="103"/>
      <c r="AJ224" s="103"/>
      <c r="AK224" s="103"/>
      <c r="AL224" s="103"/>
      <c r="AM224" s="103"/>
      <c r="AN224" s="103"/>
      <c r="AO224" s="103"/>
      <c r="AP224" s="103"/>
      <c r="AQ224" s="103"/>
      <c r="AR224" s="103"/>
      <c r="AS224" s="103"/>
      <c r="AT224" s="103"/>
      <c r="AU224" s="103"/>
      <c r="AV224" s="103"/>
      <c r="AW224" s="103"/>
      <c r="AX224" s="103"/>
      <c r="AY224" s="103"/>
      <c r="AZ224" s="103"/>
      <c r="BA224" s="103"/>
      <c r="BB224" s="103"/>
      <c r="BC224" s="103"/>
      <c r="BD224" s="103"/>
      <c r="BE224" s="103"/>
    </row>
    <row r="226" spans="2:57">
      <c r="B226" s="103"/>
      <c r="C226" s="103"/>
      <c r="D226" s="103"/>
      <c r="E226" s="103"/>
      <c r="F226" s="103"/>
      <c r="G226" s="103"/>
      <c r="H226" s="103"/>
      <c r="I226" s="103"/>
      <c r="J226" s="103"/>
      <c r="K226" s="103"/>
      <c r="L226" s="103"/>
      <c r="M226" s="103"/>
      <c r="N226" s="103"/>
      <c r="O226" s="103"/>
      <c r="P226" s="103"/>
      <c r="Q226" s="103"/>
      <c r="R226" s="103"/>
      <c r="S226" s="103"/>
      <c r="T226" s="103"/>
      <c r="U226" s="103"/>
      <c r="AH226" s="103"/>
      <c r="AI226" s="103"/>
      <c r="AJ226" s="103"/>
      <c r="AK226" s="103"/>
      <c r="AL226" s="103"/>
      <c r="AM226" s="103"/>
      <c r="AN226" s="103"/>
      <c r="AO226" s="103"/>
      <c r="AP226" s="103"/>
      <c r="AQ226" s="103"/>
      <c r="AR226" s="103"/>
      <c r="AS226" s="103"/>
      <c r="AT226" s="103"/>
      <c r="AU226" s="103"/>
      <c r="AV226" s="103"/>
      <c r="AW226" s="103"/>
      <c r="AX226" s="103"/>
      <c r="AY226" s="103"/>
      <c r="AZ226" s="103"/>
      <c r="BA226" s="103"/>
      <c r="BB226" s="103"/>
      <c r="BC226" s="103"/>
      <c r="BD226" s="103"/>
      <c r="BE226" s="103"/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29A03-E8DD-4752-A964-FB285D6BE84D}">
  <dimension ref="B1:BL50"/>
  <sheetViews>
    <sheetView workbookViewId="0">
      <pane xSplit="3" ySplit="1" topLeftCell="V2" activePane="bottomRight" state="frozen"/>
      <selection pane="topRight" activeCell="D1" sqref="D1"/>
      <selection pane="bottomLeft" activeCell="A2" sqref="A2"/>
      <selection pane="bottomRight" activeCell="C3" sqref="C3"/>
    </sheetView>
  </sheetViews>
  <sheetFormatPr defaultRowHeight="15"/>
  <cols>
    <col min="1" max="1" width="3.5703125" customWidth="1"/>
    <col min="2" max="2" width="14.28515625" customWidth="1"/>
    <col min="3" max="3" width="32.42578125" customWidth="1"/>
    <col min="4" max="20" width="9.5703125" customWidth="1"/>
    <col min="21" max="21" width="10.85546875" customWidth="1"/>
  </cols>
  <sheetData>
    <row r="1" spans="2:64">
      <c r="B1" s="1" t="s">
        <v>0</v>
      </c>
      <c r="C1" s="2" t="s">
        <v>1</v>
      </c>
      <c r="D1" s="5">
        <v>1997</v>
      </c>
      <c r="E1" s="5">
        <v>1998</v>
      </c>
      <c r="F1" s="5">
        <v>1999</v>
      </c>
      <c r="G1" s="5">
        <v>2000</v>
      </c>
      <c r="H1" s="5">
        <v>2001</v>
      </c>
      <c r="I1" s="5">
        <v>2002</v>
      </c>
      <c r="J1" s="5">
        <v>2003</v>
      </c>
      <c r="K1" s="5">
        <v>2004</v>
      </c>
      <c r="L1" s="5">
        <v>2005</v>
      </c>
      <c r="M1" s="5">
        <v>2006</v>
      </c>
      <c r="N1" s="5">
        <v>2007</v>
      </c>
      <c r="O1" s="5">
        <v>2008</v>
      </c>
      <c r="P1" s="5">
        <v>2009</v>
      </c>
      <c r="Q1" s="5">
        <v>2010</v>
      </c>
      <c r="R1" s="5">
        <v>2011</v>
      </c>
      <c r="S1" s="5">
        <v>2012</v>
      </c>
      <c r="T1" s="5">
        <v>2013</v>
      </c>
      <c r="U1" s="5">
        <v>2014</v>
      </c>
      <c r="V1" s="5">
        <v>2015</v>
      </c>
      <c r="W1" s="5">
        <v>2016</v>
      </c>
      <c r="X1" s="5">
        <v>2017</v>
      </c>
      <c r="Y1" s="5">
        <v>2018</v>
      </c>
      <c r="Z1" s="5">
        <v>2019</v>
      </c>
      <c r="AA1" s="5">
        <v>2020</v>
      </c>
      <c r="AB1" s="5">
        <v>2021</v>
      </c>
      <c r="AC1" s="5">
        <v>2022</v>
      </c>
      <c r="AD1" s="5">
        <v>2023</v>
      </c>
      <c r="AE1" s="5">
        <v>2024</v>
      </c>
      <c r="AF1" s="5"/>
      <c r="AG1" s="5"/>
    </row>
    <row r="2" spans="2:64" ht="18.75">
      <c r="B2" s="126" t="s">
        <v>497</v>
      </c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AK2" s="464"/>
      <c r="AL2" s="464"/>
      <c r="AM2" s="127"/>
      <c r="AN2" s="127"/>
      <c r="AO2" s="127"/>
      <c r="AP2" s="127"/>
      <c r="AQ2" s="127"/>
      <c r="AR2" s="127"/>
      <c r="AS2" s="127"/>
      <c r="AT2" s="127"/>
      <c r="AU2" s="127"/>
      <c r="AV2" s="127"/>
      <c r="AW2" s="127"/>
      <c r="AX2" s="127"/>
      <c r="AY2" s="127"/>
      <c r="AZ2" s="127"/>
      <c r="BA2" s="127"/>
      <c r="BB2" s="127"/>
      <c r="BC2" s="127"/>
      <c r="BD2" s="127"/>
      <c r="BE2" s="127"/>
      <c r="BF2" s="127"/>
      <c r="BG2" s="127"/>
      <c r="BH2" s="127"/>
      <c r="BI2" s="127"/>
      <c r="BJ2" s="127"/>
      <c r="BK2" s="127"/>
      <c r="BL2" s="127"/>
    </row>
    <row r="3" spans="2:64" ht="18.75">
      <c r="B3" s="128" t="s">
        <v>498</v>
      </c>
      <c r="C3" s="129" t="s">
        <v>499</v>
      </c>
      <c r="D3" s="1010"/>
      <c r="E3" s="1010"/>
      <c r="F3" s="1010"/>
      <c r="G3" s="1007">
        <v>124</v>
      </c>
      <c r="H3" s="1007">
        <v>136.5</v>
      </c>
      <c r="I3" s="1007">
        <v>110.2</v>
      </c>
      <c r="J3" s="1007">
        <v>117.1</v>
      </c>
      <c r="K3" s="1007">
        <v>106.8</v>
      </c>
      <c r="L3" s="1008">
        <v>107.8</v>
      </c>
      <c r="M3" s="1008">
        <v>111.9</v>
      </c>
      <c r="N3" s="1008">
        <v>121.5</v>
      </c>
      <c r="O3" s="1008">
        <v>120.4</v>
      </c>
      <c r="P3" s="1008">
        <v>106.4</v>
      </c>
      <c r="Q3" s="1008">
        <v>106.5</v>
      </c>
      <c r="R3" s="93">
        <v>112.00654526092403</v>
      </c>
      <c r="S3" s="93">
        <v>116.17375005306006</v>
      </c>
      <c r="T3" s="93">
        <v>114.61268190441857</v>
      </c>
      <c r="U3" s="93">
        <v>112.76055303839603</v>
      </c>
      <c r="V3" s="135">
        <v>105.8</v>
      </c>
      <c r="W3" s="135">
        <v>105.9</v>
      </c>
      <c r="X3" s="135">
        <v>107.3</v>
      </c>
      <c r="Y3" s="135">
        <v>103.69922162162163</v>
      </c>
      <c r="Z3" s="135">
        <v>107.9</v>
      </c>
      <c r="AA3" s="135">
        <v>108.6</v>
      </c>
      <c r="AB3" s="135">
        <v>109</v>
      </c>
      <c r="AC3" s="135">
        <v>106.6</v>
      </c>
      <c r="AD3" s="135">
        <v>103.7</v>
      </c>
      <c r="AE3" s="594">
        <v>103.5</v>
      </c>
      <c r="AF3" s="287"/>
      <c r="AG3" s="287"/>
      <c r="AK3" t="s">
        <v>988</v>
      </c>
    </row>
    <row r="4" spans="2:64" ht="18.75">
      <c r="B4" s="128" t="s">
        <v>500</v>
      </c>
      <c r="C4" s="130" t="s">
        <v>501</v>
      </c>
      <c r="D4" s="1010"/>
      <c r="E4" s="1010"/>
      <c r="F4" s="1010"/>
      <c r="G4" s="1007"/>
      <c r="H4" s="1007"/>
      <c r="I4" s="1007"/>
      <c r="J4" s="1007"/>
      <c r="K4" s="93">
        <v>105.41967213114754</v>
      </c>
      <c r="L4" s="93">
        <v>107.87719298245615</v>
      </c>
      <c r="M4" s="93">
        <v>111.63134657836645</v>
      </c>
      <c r="N4" s="93">
        <v>120.50127906976745</v>
      </c>
      <c r="O4" s="93">
        <v>120.05828505214367</v>
      </c>
      <c r="P4" s="93">
        <v>105.2</v>
      </c>
      <c r="Q4" s="93">
        <v>106.10918604651162</v>
      </c>
      <c r="R4" s="93">
        <v>112.17299352979033</v>
      </c>
      <c r="S4" s="93">
        <v>117.01562506029553</v>
      </c>
      <c r="T4" s="93">
        <v>115.3141496594684</v>
      </c>
      <c r="U4" s="93">
        <v>113.93055413316719</v>
      </c>
      <c r="V4" s="135">
        <v>106.18713181092333</v>
      </c>
      <c r="W4" s="135">
        <v>106.1</v>
      </c>
      <c r="X4" s="135">
        <v>107.50920598388952</v>
      </c>
      <c r="Y4" s="135">
        <v>103.36920392678014</v>
      </c>
      <c r="Z4" s="135">
        <v>108.8</v>
      </c>
      <c r="AA4" s="135">
        <v>109.3</v>
      </c>
      <c r="AB4" s="135">
        <v>109.4</v>
      </c>
      <c r="AC4" s="135">
        <v>106.6</v>
      </c>
      <c r="AD4" s="135">
        <v>103.7</v>
      </c>
      <c r="AE4" s="594">
        <v>103.5</v>
      </c>
      <c r="AF4" s="93"/>
      <c r="AG4" s="93"/>
      <c r="AK4" t="s">
        <v>989</v>
      </c>
    </row>
    <row r="5" spans="2:64" ht="18.75">
      <c r="B5" s="128" t="s">
        <v>502</v>
      </c>
      <c r="C5" s="130" t="s">
        <v>503</v>
      </c>
      <c r="D5" s="1010"/>
      <c r="E5" s="1010"/>
      <c r="F5" s="1010"/>
      <c r="G5" s="1007">
        <v>123.9</v>
      </c>
      <c r="H5" s="1007">
        <v>139.1</v>
      </c>
      <c r="I5" s="1007">
        <v>110.4</v>
      </c>
      <c r="J5" s="1007">
        <v>115.8</v>
      </c>
      <c r="K5" s="1009">
        <v>105</v>
      </c>
      <c r="L5" s="1008">
        <v>108.9</v>
      </c>
      <c r="M5" s="1008">
        <v>113.6</v>
      </c>
      <c r="N5" s="1008">
        <v>125.4</v>
      </c>
      <c r="O5" s="1008">
        <v>125.9</v>
      </c>
      <c r="P5" s="1008">
        <v>105.2</v>
      </c>
      <c r="Q5" s="1008">
        <v>105.9</v>
      </c>
      <c r="R5" s="93">
        <v>113.61028037476193</v>
      </c>
      <c r="S5" s="93">
        <v>118.93074264693884</v>
      </c>
      <c r="T5" s="93">
        <v>118.48612894386531</v>
      </c>
      <c r="U5" s="93">
        <v>118.8904240464858</v>
      </c>
      <c r="V5" s="135">
        <v>106.8</v>
      </c>
      <c r="W5" s="135">
        <v>105</v>
      </c>
      <c r="X5" s="136">
        <v>109.1</v>
      </c>
      <c r="Y5" s="136">
        <v>102.5</v>
      </c>
      <c r="Z5" s="135">
        <v>111</v>
      </c>
      <c r="AA5" s="136">
        <v>111.7</v>
      </c>
      <c r="AB5" s="135">
        <v>110.3</v>
      </c>
      <c r="AC5" s="135">
        <v>107.2</v>
      </c>
      <c r="AD5" s="135">
        <v>103.6</v>
      </c>
      <c r="AE5" s="594">
        <v>102.2</v>
      </c>
      <c r="AF5" s="93"/>
      <c r="AG5" s="93"/>
      <c r="AK5" t="s">
        <v>990</v>
      </c>
    </row>
    <row r="6" spans="2:64" ht="18.75">
      <c r="B6" s="128" t="s">
        <v>504</v>
      </c>
      <c r="C6" s="130" t="s">
        <v>505</v>
      </c>
      <c r="D6" s="1010"/>
      <c r="E6" s="1010"/>
      <c r="F6" s="1010"/>
      <c r="G6" s="1007">
        <v>125.9</v>
      </c>
      <c r="H6" s="1007">
        <v>130.5</v>
      </c>
      <c r="I6" s="1007">
        <v>107.2</v>
      </c>
      <c r="J6" s="1007">
        <v>110.5</v>
      </c>
      <c r="K6" s="1007">
        <v>107.4</v>
      </c>
      <c r="L6" s="1008">
        <v>103.6</v>
      </c>
      <c r="M6" s="1008">
        <v>103.8</v>
      </c>
      <c r="N6" s="1008">
        <v>110.3</v>
      </c>
      <c r="O6" s="1008">
        <v>107.7</v>
      </c>
      <c r="P6" s="1008">
        <v>105.2</v>
      </c>
      <c r="Q6" s="1008">
        <v>106.6</v>
      </c>
      <c r="R6" s="528">
        <v>109.30327553864775</v>
      </c>
      <c r="S6" s="528">
        <v>112.68887792010136</v>
      </c>
      <c r="T6" s="528">
        <v>108.92613582283568</v>
      </c>
      <c r="U6" s="528">
        <v>102.70466011969039</v>
      </c>
      <c r="V6" s="469">
        <v>104.8</v>
      </c>
      <c r="W6" s="469">
        <v>108.2</v>
      </c>
      <c r="X6" s="472">
        <v>104.3</v>
      </c>
      <c r="Y6" s="472">
        <v>105.2</v>
      </c>
      <c r="Z6" s="469">
        <v>105.1</v>
      </c>
      <c r="AA6" s="472">
        <v>105</v>
      </c>
      <c r="AB6" s="469">
        <v>107.8</v>
      </c>
      <c r="AC6" s="469">
        <v>105.7</v>
      </c>
      <c r="AD6" s="469">
        <v>105.2</v>
      </c>
      <c r="AE6" s="614">
        <v>105</v>
      </c>
      <c r="AF6" s="133"/>
      <c r="AG6" s="133"/>
      <c r="AK6" t="s">
        <v>991</v>
      </c>
    </row>
    <row r="7" spans="2:64" ht="18.75">
      <c r="B7" s="128" t="s">
        <v>506</v>
      </c>
      <c r="C7" s="130" t="s">
        <v>507</v>
      </c>
      <c r="D7" s="1010"/>
      <c r="E7" s="1010"/>
      <c r="F7" s="1010"/>
      <c r="G7" s="1007">
        <v>128.1</v>
      </c>
      <c r="H7" s="1007">
        <v>127</v>
      </c>
      <c r="I7" s="1007">
        <v>114.8</v>
      </c>
      <c r="J7" s="1007">
        <v>140.80000000000001</v>
      </c>
      <c r="K7" s="1007">
        <v>117.3</v>
      </c>
      <c r="L7" s="1008">
        <v>109.8</v>
      </c>
      <c r="M7" s="1008">
        <v>118.6</v>
      </c>
      <c r="N7" s="1008">
        <v>127.1</v>
      </c>
      <c r="O7" s="1008">
        <v>120.5</v>
      </c>
      <c r="P7" s="1008">
        <v>114.5</v>
      </c>
      <c r="Q7" s="1008">
        <v>108.8</v>
      </c>
      <c r="R7" s="463">
        <v>110.7</v>
      </c>
      <c r="S7" s="463">
        <v>110</v>
      </c>
      <c r="T7" s="463">
        <v>110</v>
      </c>
      <c r="U7" s="463">
        <v>104</v>
      </c>
      <c r="V7" s="137">
        <v>103</v>
      </c>
      <c r="W7" s="137">
        <v>104.9</v>
      </c>
      <c r="X7" s="138">
        <v>106</v>
      </c>
      <c r="Y7" s="138">
        <v>105.9</v>
      </c>
      <c r="Z7" s="137">
        <v>102.6</v>
      </c>
      <c r="AA7" s="138">
        <v>104.7</v>
      </c>
      <c r="AB7" s="137">
        <v>106.7</v>
      </c>
      <c r="AC7" s="137">
        <v>106.7</v>
      </c>
      <c r="AD7" s="137">
        <v>102</v>
      </c>
      <c r="AE7" s="615">
        <v>104.6</v>
      </c>
      <c r="AF7" s="536"/>
      <c r="AG7" s="536"/>
      <c r="AK7" t="s">
        <v>992</v>
      </c>
    </row>
    <row r="8" spans="2:64" ht="18.75">
      <c r="B8" s="128" t="s">
        <v>508</v>
      </c>
      <c r="C8" s="130" t="s">
        <v>509</v>
      </c>
      <c r="D8" s="1010"/>
      <c r="E8" s="1010"/>
      <c r="F8" s="1010"/>
      <c r="G8" s="1007">
        <v>145.30000000000001</v>
      </c>
      <c r="H8" s="1007">
        <v>126.4</v>
      </c>
      <c r="I8" s="1007">
        <v>104.4</v>
      </c>
      <c r="J8" s="1007">
        <v>228.9</v>
      </c>
      <c r="K8" s="1007">
        <v>108.5</v>
      </c>
      <c r="L8" s="1008">
        <v>113.5</v>
      </c>
      <c r="M8" s="1008">
        <v>118.1</v>
      </c>
      <c r="N8" s="1008">
        <v>150.19999999999999</v>
      </c>
      <c r="O8" s="1008">
        <v>169.4</v>
      </c>
      <c r="P8" s="1008">
        <v>148.1</v>
      </c>
      <c r="Q8" s="1008">
        <v>123.6</v>
      </c>
      <c r="R8" s="532"/>
      <c r="S8" s="532"/>
      <c r="T8" s="532"/>
      <c r="U8" s="532"/>
    </row>
    <row r="9" spans="2:64" ht="15.75">
      <c r="C9" s="131" t="s">
        <v>429</v>
      </c>
      <c r="D9" s="130"/>
      <c r="E9" s="130"/>
      <c r="F9" s="130"/>
      <c r="G9" s="1007"/>
      <c r="H9" s="1007"/>
      <c r="I9" s="1007"/>
      <c r="J9" s="1009">
        <v>110.82150721210527</v>
      </c>
      <c r="K9" s="1009">
        <v>107.85176482955291</v>
      </c>
      <c r="L9" s="1011">
        <v>103.48445730215488</v>
      </c>
      <c r="M9" s="1011">
        <v>102.81743829580915</v>
      </c>
      <c r="N9" s="1011">
        <v>104.73389056670173</v>
      </c>
      <c r="O9" s="1011">
        <v>105.50541147395953</v>
      </c>
      <c r="P9" s="1011">
        <v>113.87471745981476</v>
      </c>
      <c r="Q9" s="1011">
        <v>102.9312905751533</v>
      </c>
      <c r="R9" s="532"/>
      <c r="S9" s="532"/>
      <c r="T9" s="532"/>
      <c r="U9" s="532"/>
    </row>
    <row r="10" spans="2:64" ht="18.75">
      <c r="B10" s="128" t="s">
        <v>510</v>
      </c>
      <c r="C10" t="s">
        <v>511</v>
      </c>
      <c r="D10" s="1010"/>
      <c r="E10" s="1010"/>
      <c r="F10" s="1010"/>
      <c r="G10" s="1007"/>
      <c r="H10" s="1007"/>
      <c r="I10" s="1007"/>
      <c r="J10" s="1007"/>
      <c r="K10" s="1007"/>
      <c r="L10" s="1008"/>
      <c r="M10" s="1008"/>
      <c r="N10" s="1008"/>
      <c r="O10" s="1008"/>
      <c r="P10" s="1008"/>
      <c r="Q10" s="1008"/>
      <c r="R10" s="528">
        <v>110.06929156684011</v>
      </c>
      <c r="S10" s="528">
        <v>109.2189532434781</v>
      </c>
      <c r="T10" s="528">
        <v>108.32341221794826</v>
      </c>
      <c r="U10" s="528">
        <v>103.5723972357324</v>
      </c>
      <c r="V10" s="93">
        <v>104.7735523729345</v>
      </c>
      <c r="W10" s="93">
        <f>EXP(0.483*LN((Household!W35)/(Household!V35)))*100</f>
        <v>102.43735650034796</v>
      </c>
      <c r="X10" s="93">
        <f>EXP(0.483*LN((Household!X35)/(Household!W35)))*100</f>
        <v>104.21117731022358</v>
      </c>
      <c r="Y10" s="93">
        <f>EXP(0.483*LN((Household!Y35)/(Household!X35)))*100</f>
        <v>106.97310457782825</v>
      </c>
      <c r="Z10" s="93">
        <f>EXP(0.483*LN((Household!Z35)/(Household!Y35)))*100</f>
        <v>106.24458097344593</v>
      </c>
      <c r="AA10" s="93">
        <f>EXP(0.483*LN((Household!AA35)/(Household!Z35)))*100</f>
        <v>99.032175551134031</v>
      </c>
      <c r="AB10" s="93">
        <f>EXP(0.42*LN((Household!AB35)/(Household!AA35)))*100</f>
        <v>105.62371294391227</v>
      </c>
      <c r="AC10" s="93">
        <f>EXP(0.2*LN((Household!AC35)/(Household!AB35)))*100</f>
        <v>102.44882309124195</v>
      </c>
      <c r="AD10">
        <f>EXP(0.25*LN((Household!AD35)/(Household!AC35)))*100</f>
        <v>96.891347915475052</v>
      </c>
      <c r="AE10">
        <f>EXP(0.28*LN((Household!AE35)/(Household!AD35)))*100</f>
        <v>96.222354854419606</v>
      </c>
      <c r="AK10" t="s">
        <v>993</v>
      </c>
    </row>
    <row r="11" spans="2:64" ht="18.75">
      <c r="B11" s="128" t="s">
        <v>512</v>
      </c>
      <c r="C11" t="s">
        <v>513</v>
      </c>
      <c r="D11" s="1010"/>
      <c r="E11" s="1010"/>
      <c r="F11" s="1010"/>
      <c r="G11" s="1007"/>
      <c r="H11" s="1007"/>
      <c r="I11" s="1007"/>
      <c r="J11" s="1007"/>
      <c r="K11" s="1007"/>
      <c r="L11" s="1008"/>
      <c r="M11" s="1008"/>
      <c r="N11" s="1008"/>
      <c r="O11" s="1008"/>
      <c r="P11" s="1008"/>
      <c r="Q11" s="1008"/>
      <c r="R11" s="1012">
        <v>130</v>
      </c>
      <c r="S11" s="528">
        <v>161.18554566550483</v>
      </c>
      <c r="T11" s="528">
        <v>161.90864586369278</v>
      </c>
      <c r="U11" s="528">
        <v>185.61136324128739</v>
      </c>
      <c r="V11" s="93">
        <v>219.53056687010576</v>
      </c>
      <c r="W11" s="93">
        <f>(EXP(0.84*LN(Household!W2/Household!V2)+0.36*LN(Assumptions!W20/100*Assumptions!W19/Assumptions!V19))*100)</f>
        <v>207.67003681095323</v>
      </c>
      <c r="X11" s="93">
        <f>(EXP(0.84*LN(Household!X2/Household!W2)+0.36*LN(Assumptions!X20/100*Assumptions!X19/Assumptions!W19))*100)</f>
        <v>172.63693508405149</v>
      </c>
      <c r="Y11" s="93">
        <f>(EXP(0.84*LN(Household!Y2/Household!X2)+0.36*LN(Assumptions!Y20/100*Assumptions!Y19/Assumptions!X19))*100)</f>
        <v>180.06530820718083</v>
      </c>
      <c r="Z11" s="171">
        <v>100</v>
      </c>
      <c r="AA11" s="171">
        <v>100</v>
      </c>
      <c r="AB11" s="171">
        <v>100</v>
      </c>
      <c r="AC11" s="171">
        <v>94.070962172319682</v>
      </c>
      <c r="AD11" s="594">
        <v>104.4</v>
      </c>
      <c r="AE11" s="594">
        <v>101.2</v>
      </c>
      <c r="AF11" s="93"/>
      <c r="AG11" s="93"/>
      <c r="AK11" t="s">
        <v>994</v>
      </c>
    </row>
    <row r="12" spans="2:64" ht="18.75">
      <c r="B12" s="128" t="s">
        <v>514</v>
      </c>
      <c r="C12" t="s">
        <v>515</v>
      </c>
      <c r="D12" s="1010"/>
      <c r="E12" s="1010"/>
      <c r="F12" s="1010"/>
      <c r="G12" s="1007"/>
      <c r="H12" s="1007"/>
      <c r="I12" s="1007"/>
      <c r="J12" s="1007"/>
      <c r="K12" s="1007"/>
      <c r="L12" s="1008"/>
      <c r="M12" s="1008"/>
      <c r="N12" s="1008"/>
      <c r="O12" s="1011"/>
      <c r="P12" s="1011"/>
      <c r="Q12" s="1011">
        <v>135.31307752623408</v>
      </c>
      <c r="R12" s="1013">
        <v>138.53613242802368</v>
      </c>
      <c r="S12" s="1013">
        <v>104.31373390753376</v>
      </c>
      <c r="T12" s="1013">
        <v>99.137939624372038</v>
      </c>
      <c r="U12" s="1013">
        <v>96.932298075450788</v>
      </c>
      <c r="V12" s="93">
        <v>65.151167852709079</v>
      </c>
      <c r="W12" s="93">
        <v>106.85578823130024</v>
      </c>
      <c r="X12" s="93">
        <v>139.01115224658292</v>
      </c>
      <c r="Y12" s="93">
        <v>139.83458139914094</v>
      </c>
      <c r="Z12" s="93">
        <v>93.824573117869974</v>
      </c>
      <c r="AA12" s="93">
        <v>72.397314480235906</v>
      </c>
      <c r="AB12" s="93">
        <v>181.75036690430375</v>
      </c>
      <c r="AC12" s="93">
        <v>85</v>
      </c>
      <c r="AD12" s="93">
        <v>81.980014422504325</v>
      </c>
      <c r="AE12" s="594">
        <v>90.429199968377716</v>
      </c>
      <c r="AF12" s="93"/>
      <c r="AG12" s="93"/>
      <c r="AK12" t="s">
        <v>995</v>
      </c>
    </row>
    <row r="13" spans="2:64" ht="15.75">
      <c r="B13" s="128"/>
      <c r="D13" s="1010"/>
      <c r="E13" s="1010"/>
      <c r="F13" s="1010"/>
      <c r="G13" s="1007"/>
      <c r="H13" s="1007"/>
      <c r="I13" s="1007"/>
      <c r="J13" s="1007"/>
      <c r="K13" s="1007"/>
      <c r="L13" s="1008"/>
      <c r="M13" s="1008"/>
      <c r="N13" s="1008"/>
      <c r="O13" s="1008"/>
      <c r="P13" s="1008"/>
      <c r="Q13" s="1008"/>
      <c r="R13" s="1012"/>
      <c r="S13" s="528"/>
      <c r="T13" s="528"/>
      <c r="U13" s="528"/>
    </row>
    <row r="14" spans="2:64" ht="15.75">
      <c r="C14" s="130"/>
      <c r="D14" s="130"/>
      <c r="E14" s="130"/>
      <c r="F14" s="130"/>
      <c r="G14" s="130"/>
      <c r="H14" s="130"/>
      <c r="J14" s="130"/>
      <c r="K14" s="130"/>
      <c r="L14" s="130"/>
      <c r="M14" s="130"/>
      <c r="N14" s="130"/>
      <c r="O14" s="130"/>
      <c r="P14" s="130"/>
      <c r="Q14" s="130"/>
      <c r="R14" s="532"/>
      <c r="S14" s="532"/>
      <c r="T14" s="532"/>
      <c r="U14" s="532"/>
    </row>
    <row r="15" spans="2:64" ht="18.75">
      <c r="B15" s="128" t="s">
        <v>516</v>
      </c>
      <c r="C15" s="132" t="s">
        <v>517</v>
      </c>
      <c r="D15" s="130"/>
      <c r="E15" s="130"/>
      <c r="F15" s="130"/>
      <c r="G15" s="1014">
        <v>160.62781434678166</v>
      </c>
      <c r="H15" s="1014">
        <v>112.47905011763029</v>
      </c>
      <c r="I15" s="1014">
        <v>114.50566951061211</v>
      </c>
      <c r="J15" s="1014">
        <v>113.6526454751114</v>
      </c>
      <c r="K15" s="1014">
        <v>105.62006340585056</v>
      </c>
      <c r="L15" s="1014">
        <v>106.89378796987587</v>
      </c>
      <c r="M15" s="466">
        <v>111.9</v>
      </c>
      <c r="N15" s="466">
        <v>121.5</v>
      </c>
      <c r="O15" s="466">
        <v>120.4</v>
      </c>
      <c r="P15" s="135">
        <v>106.4</v>
      </c>
      <c r="Q15" s="135">
        <v>106.5</v>
      </c>
      <c r="R15" s="465">
        <v>112.5</v>
      </c>
      <c r="S15" s="465">
        <v>105.8</v>
      </c>
      <c r="T15" s="465">
        <v>103.7</v>
      </c>
      <c r="U15" s="1016">
        <v>107.4</v>
      </c>
      <c r="V15" s="465">
        <v>105.1</v>
      </c>
      <c r="W15" s="466">
        <v>106.1</v>
      </c>
      <c r="X15" s="466">
        <f t="shared" ref="X15" si="0">(X17*(W31+W32)+X18*(W33+W34)+X19*W35)/100</f>
        <v>106.7411</v>
      </c>
      <c r="Y15" s="467">
        <f>(Y17*(X31+X32)+Y18*(X33+X34)+Y19*X35)/100</f>
        <v>105.37888685927308</v>
      </c>
      <c r="Z15" s="467">
        <v>108</v>
      </c>
      <c r="AA15" s="467">
        <v>109.4</v>
      </c>
      <c r="AB15" s="467">
        <v>108</v>
      </c>
      <c r="AC15" s="467">
        <v>104.2</v>
      </c>
      <c r="AD15" s="467">
        <v>103.8</v>
      </c>
      <c r="AE15" s="468">
        <v>103.6</v>
      </c>
      <c r="AF15" s="468"/>
      <c r="AG15" s="468"/>
      <c r="AK15" t="s">
        <v>996</v>
      </c>
    </row>
    <row r="16" spans="2:64" ht="18.75">
      <c r="B16" s="128" t="s">
        <v>518</v>
      </c>
      <c r="C16" s="130" t="s">
        <v>519</v>
      </c>
      <c r="D16" s="1010"/>
      <c r="E16" s="1010"/>
      <c r="F16" s="1010"/>
      <c r="G16" s="1014">
        <v>162.40033140189027</v>
      </c>
      <c r="H16" s="1014">
        <v>113.13837750939453</v>
      </c>
      <c r="I16" s="1014">
        <v>114.84723987213401</v>
      </c>
      <c r="J16" s="1014">
        <v>109.71804553736584</v>
      </c>
      <c r="K16" s="1014">
        <v>104.98325786733443</v>
      </c>
      <c r="L16" s="1014">
        <v>106.87738182246498</v>
      </c>
      <c r="M16" s="1014">
        <v>112.01989248399204</v>
      </c>
      <c r="N16" s="1014">
        <v>120.36332595853037</v>
      </c>
      <c r="O16" s="1014">
        <v>110.42458254313217</v>
      </c>
      <c r="P16" s="93">
        <v>104.27543359094702</v>
      </c>
      <c r="Q16" s="93">
        <v>111.3326514980389</v>
      </c>
      <c r="R16" s="528">
        <v>108.76527621195038</v>
      </c>
      <c r="S16" s="1019">
        <v>105.9375</v>
      </c>
      <c r="T16" s="1019">
        <v>104.16221198156683</v>
      </c>
      <c r="U16" s="1020">
        <v>107.6162481571394</v>
      </c>
      <c r="V16" s="469">
        <v>106.2</v>
      </c>
      <c r="W16" s="135">
        <v>106.4</v>
      </c>
      <c r="X16" s="136">
        <f>((W31+W32)*X17+(W33+W34)*X18)/SUM(W31:W34)</f>
        <v>106.47261219792865</v>
      </c>
      <c r="Y16" s="136">
        <f>((X31+X32)*Y17+(X33+X34)*Y18)/SUM(X31:X34)</f>
        <v>105.45069833240451</v>
      </c>
      <c r="Z16" s="136">
        <v>108.5</v>
      </c>
      <c r="AA16" s="136">
        <v>110.4</v>
      </c>
      <c r="AB16" s="136">
        <v>107.4</v>
      </c>
      <c r="AC16" s="136">
        <v>104.7</v>
      </c>
      <c r="AD16" s="136">
        <v>104.6</v>
      </c>
      <c r="AE16" s="616">
        <f>((AD31+AD32)*AE17+(AD33+AD34)*AE18)/SUM(AD31:AD34)</f>
        <v>103.30155504075118</v>
      </c>
      <c r="AF16" s="470"/>
      <c r="AG16" s="470"/>
      <c r="AK16" t="s">
        <v>997</v>
      </c>
    </row>
    <row r="17" spans="2:37" ht="18">
      <c r="B17" s="128" t="s">
        <v>520</v>
      </c>
      <c r="C17" t="s">
        <v>521</v>
      </c>
      <c r="D17" s="1010"/>
      <c r="E17" s="1010"/>
      <c r="F17" s="1010"/>
      <c r="G17" s="93">
        <v>166.44893995183978</v>
      </c>
      <c r="H17" s="93">
        <v>113.74631430434347</v>
      </c>
      <c r="I17" s="93">
        <v>117.17064584361371</v>
      </c>
      <c r="J17" s="93">
        <v>109.98828455927486</v>
      </c>
      <c r="K17" s="93">
        <v>104.54389787075907</v>
      </c>
      <c r="L17" s="93">
        <v>108.34996648400279</v>
      </c>
      <c r="M17" s="93">
        <v>114.20553499977952</v>
      </c>
      <c r="N17" s="93">
        <v>125.80577978839199</v>
      </c>
      <c r="O17" s="93">
        <v>112.92913910793513</v>
      </c>
      <c r="P17" s="93">
        <v>102.92826787142512</v>
      </c>
      <c r="Q17" s="93">
        <v>113.98338427221167</v>
      </c>
      <c r="R17" s="1021">
        <v>110</v>
      </c>
      <c r="S17" s="1018">
        <v>105.6</v>
      </c>
      <c r="T17" s="1018">
        <v>103.2</v>
      </c>
      <c r="U17" s="1016">
        <v>109.7</v>
      </c>
      <c r="V17">
        <v>104.3</v>
      </c>
      <c r="W17">
        <v>106.8</v>
      </c>
      <c r="X17">
        <v>107.5</v>
      </c>
      <c r="Y17">
        <v>105</v>
      </c>
      <c r="Z17">
        <v>110.9</v>
      </c>
      <c r="AA17">
        <v>113</v>
      </c>
      <c r="AB17">
        <v>107.3</v>
      </c>
      <c r="AC17">
        <v>105.2</v>
      </c>
      <c r="AD17">
        <v>103.4</v>
      </c>
      <c r="AE17" s="594">
        <v>103</v>
      </c>
      <c r="AF17" s="537"/>
      <c r="AG17" s="537"/>
    </row>
    <row r="18" spans="2:37" ht="18.75">
      <c r="B18" s="128" t="s">
        <v>522</v>
      </c>
      <c r="C18" t="s">
        <v>523</v>
      </c>
      <c r="D18" s="1010"/>
      <c r="E18" s="1010"/>
      <c r="F18" s="1010"/>
      <c r="G18" s="93">
        <v>144.32963717616136</v>
      </c>
      <c r="H18" s="93">
        <v>110.40932811220212</v>
      </c>
      <c r="I18" s="93">
        <v>106.37189918288293</v>
      </c>
      <c r="J18" s="93">
        <v>108.29350265197286</v>
      </c>
      <c r="K18" s="93">
        <v>106.23911112437364</v>
      </c>
      <c r="L18" s="93">
        <v>102.73170875392567</v>
      </c>
      <c r="M18" s="135">
        <v>103.8</v>
      </c>
      <c r="N18" s="135">
        <v>110.3</v>
      </c>
      <c r="O18" s="135">
        <v>107.7</v>
      </c>
      <c r="P18" s="135">
        <v>105.2</v>
      </c>
      <c r="Q18" s="135">
        <v>106.6</v>
      </c>
      <c r="R18" s="135">
        <v>106.3</v>
      </c>
      <c r="S18" s="135">
        <v>106.7</v>
      </c>
      <c r="T18" s="135">
        <v>106.1</v>
      </c>
      <c r="U18" s="1017">
        <v>102.9</v>
      </c>
      <c r="V18">
        <v>107.8</v>
      </c>
      <c r="W18">
        <v>105.7</v>
      </c>
      <c r="X18">
        <v>104.4</v>
      </c>
      <c r="Y18">
        <v>106.4</v>
      </c>
      <c r="Z18">
        <v>104.2</v>
      </c>
      <c r="AA18">
        <v>105.8</v>
      </c>
      <c r="AB18">
        <v>107.5</v>
      </c>
      <c r="AC18">
        <v>104</v>
      </c>
      <c r="AD18">
        <v>106.6</v>
      </c>
      <c r="AE18" s="594">
        <v>104</v>
      </c>
      <c r="AF18" s="95"/>
      <c r="AG18" s="95"/>
      <c r="AK18" t="s">
        <v>998</v>
      </c>
    </row>
    <row r="19" spans="2:37" ht="18.75">
      <c r="B19" s="128" t="s">
        <v>524</v>
      </c>
      <c r="C19" t="s">
        <v>525</v>
      </c>
      <c r="D19" s="1010"/>
      <c r="E19" s="1010"/>
      <c r="F19" s="1010"/>
      <c r="G19" s="93">
        <v>133.89612811944255</v>
      </c>
      <c r="H19" s="93">
        <v>103.24598450776519</v>
      </c>
      <c r="I19" s="93">
        <v>110.11446921516811</v>
      </c>
      <c r="J19" s="93">
        <v>153.19419249622626</v>
      </c>
      <c r="K19" s="93">
        <v>111.29386281558536</v>
      </c>
      <c r="L19" s="93">
        <v>109.19285596549089</v>
      </c>
      <c r="M19" s="136">
        <v>118.6</v>
      </c>
      <c r="N19" s="136">
        <v>127.1</v>
      </c>
      <c r="O19" s="136">
        <v>120.5</v>
      </c>
      <c r="P19" s="136">
        <v>114.5</v>
      </c>
      <c r="Q19" s="136">
        <v>108.8</v>
      </c>
      <c r="R19" s="136">
        <v>106.2</v>
      </c>
      <c r="S19" s="136">
        <v>109.6</v>
      </c>
      <c r="T19" s="136">
        <v>100.8</v>
      </c>
      <c r="U19" s="1017">
        <v>106.5</v>
      </c>
      <c r="V19">
        <v>102.3</v>
      </c>
      <c r="W19">
        <v>104.5</v>
      </c>
      <c r="X19">
        <v>107.7</v>
      </c>
      <c r="Y19">
        <v>104.9</v>
      </c>
      <c r="Z19">
        <v>105.5</v>
      </c>
      <c r="AA19">
        <v>104</v>
      </c>
      <c r="AB19">
        <v>111.3</v>
      </c>
      <c r="AC19">
        <v>101.9</v>
      </c>
      <c r="AD19">
        <v>101.2</v>
      </c>
      <c r="AE19" s="617">
        <v>104.8</v>
      </c>
      <c r="AF19" s="470"/>
      <c r="AG19" s="470"/>
      <c r="AK19" t="s">
        <v>999</v>
      </c>
    </row>
    <row r="20" spans="2:37" ht="18">
      <c r="B20" s="471" t="s">
        <v>1005</v>
      </c>
      <c r="C20" s="85" t="s">
        <v>523</v>
      </c>
      <c r="D20" s="1010"/>
      <c r="E20" s="1010"/>
      <c r="F20" s="1010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1015"/>
      <c r="S20" s="1015"/>
      <c r="T20" s="1015"/>
      <c r="U20" s="1015"/>
      <c r="AF20" s="85"/>
      <c r="AG20" s="85"/>
    </row>
    <row r="21" spans="2:37" ht="15.75">
      <c r="B21" s="663" t="s">
        <v>526</v>
      </c>
      <c r="D21" s="1010"/>
      <c r="E21" s="1010"/>
      <c r="F21" s="1010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1015"/>
      <c r="S21" s="1015"/>
      <c r="T21" s="1015"/>
      <c r="U21" s="1015"/>
      <c r="AB21" s="263">
        <v>8.6999999999999993</v>
      </c>
      <c r="AC21" s="263">
        <v>7.5</v>
      </c>
      <c r="AD21" s="263">
        <v>7.1</v>
      </c>
      <c r="AE21" s="664">
        <v>6.8</v>
      </c>
    </row>
    <row r="22" spans="2:37" ht="15.75">
      <c r="B22" s="128"/>
      <c r="D22" s="1010"/>
      <c r="E22" s="1010"/>
      <c r="F22" s="1010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1015"/>
      <c r="S22" s="1015"/>
      <c r="T22" s="1015"/>
      <c r="U22" s="1015"/>
    </row>
    <row r="24" spans="2:37" ht="15.75">
      <c r="C24" s="133" t="s">
        <v>527</v>
      </c>
      <c r="D24" s="130"/>
      <c r="E24" s="130"/>
      <c r="F24" s="130"/>
      <c r="H24" s="93">
        <v>141.79331272187082</v>
      </c>
      <c r="I24" s="93">
        <v>112.23532618541452</v>
      </c>
      <c r="J24" s="93">
        <v>116.34790379698252</v>
      </c>
      <c r="K24" s="93">
        <v>107.17555880100979</v>
      </c>
      <c r="L24" s="93">
        <v>107.09693609348041</v>
      </c>
      <c r="M24" s="93">
        <v>109.9610700602409</v>
      </c>
      <c r="N24" s="93">
        <v>113.0660577213602</v>
      </c>
      <c r="O24" s="93">
        <v>120.66751797422421</v>
      </c>
      <c r="P24" s="93">
        <v>107.50724971430361</v>
      </c>
      <c r="Q24" s="93">
        <v>106.87592468960663</v>
      </c>
    </row>
    <row r="25" spans="2:37" ht="15.75">
      <c r="C25" t="s">
        <v>528</v>
      </c>
      <c r="D25" s="1010"/>
      <c r="E25" s="1010"/>
      <c r="F25" s="1010"/>
      <c r="H25" s="93">
        <v>142.92070346954318</v>
      </c>
      <c r="I25" s="93">
        <v>112.65397879956684</v>
      </c>
      <c r="J25" s="93">
        <v>113.88207082159094</v>
      </c>
      <c r="K25" s="93">
        <v>105.57749844699555</v>
      </c>
      <c r="L25" s="93">
        <v>106.86091191844973</v>
      </c>
      <c r="M25" s="93">
        <v>109.10879066183617</v>
      </c>
      <c r="N25" s="93">
        <v>112.42506667946871</v>
      </c>
      <c r="O25" s="93">
        <v>120.7660132408818</v>
      </c>
      <c r="P25" s="93">
        <v>105.75935604643439</v>
      </c>
      <c r="Q25" s="93">
        <v>106.58720006813432</v>
      </c>
    </row>
    <row r="26" spans="2:37" ht="15.75">
      <c r="C26" t="s">
        <v>521</v>
      </c>
      <c r="D26" s="1010"/>
      <c r="E26" s="1010"/>
      <c r="F26" s="1010"/>
      <c r="H26" s="93">
        <v>145.5433409638222</v>
      </c>
      <c r="I26" s="93">
        <v>113.66687573798787</v>
      </c>
      <c r="J26" s="93">
        <v>115.24602847680914</v>
      </c>
      <c r="K26" s="93">
        <v>105.07478827974886</v>
      </c>
      <c r="L26" s="93">
        <v>107.93194825017946</v>
      </c>
      <c r="M26" s="93">
        <v>111.1076902270852</v>
      </c>
      <c r="N26" s="93">
        <v>114.89171816092012</v>
      </c>
      <c r="O26" s="93">
        <v>126.41568637736698</v>
      </c>
      <c r="P26" s="93">
        <v>105.92589494535868</v>
      </c>
      <c r="Q26" s="93">
        <v>106.38601479393706</v>
      </c>
    </row>
    <row r="27" spans="2:37" ht="15.75">
      <c r="C27" t="s">
        <v>523</v>
      </c>
      <c r="D27" s="1010"/>
      <c r="E27" s="1010"/>
      <c r="F27" s="1010"/>
      <c r="H27" s="93">
        <v>131.79551811469392</v>
      </c>
      <c r="I27" s="93">
        <v>109.23564354105419</v>
      </c>
      <c r="J27" s="93">
        <v>108.0920271605026</v>
      </c>
      <c r="K27" s="93">
        <v>107.42871415996002</v>
      </c>
      <c r="L27" s="93">
        <v>103.84767064606983</v>
      </c>
      <c r="M27" s="93">
        <v>102.99129693138268</v>
      </c>
      <c r="N27" s="93">
        <v>106.39448578676591</v>
      </c>
      <c r="O27" s="93">
        <v>107.82213624440915</v>
      </c>
      <c r="P27" s="93">
        <v>105.49486574048528</v>
      </c>
      <c r="Q27" s="93">
        <v>106.91057600591726</v>
      </c>
    </row>
    <row r="28" spans="2:37" ht="15.75">
      <c r="C28" t="s">
        <v>529</v>
      </c>
      <c r="D28" s="1010"/>
      <c r="E28" s="1010"/>
      <c r="F28" s="1010"/>
      <c r="H28" s="93">
        <v>125.23283398734257</v>
      </c>
      <c r="I28" s="93">
        <v>106.41584909598693</v>
      </c>
      <c r="J28" s="93">
        <v>140.76103587091572</v>
      </c>
      <c r="K28" s="93">
        <v>119.89111632737485</v>
      </c>
      <c r="L28" s="93">
        <v>110.69988887755302</v>
      </c>
      <c r="M28" s="93">
        <v>118.7380129730472</v>
      </c>
      <c r="N28" s="93">
        <v>117.92030126670579</v>
      </c>
      <c r="O28" s="93">
        <v>120.53743926164624</v>
      </c>
      <c r="P28" s="93">
        <v>119.77754082076332</v>
      </c>
      <c r="Q28" s="93">
        <v>109.77990496762948</v>
      </c>
    </row>
    <row r="30" spans="2:37" ht="15.75">
      <c r="B30" s="128"/>
      <c r="C30" s="133" t="s">
        <v>530</v>
      </c>
      <c r="D30" s="130"/>
      <c r="E30" s="130"/>
      <c r="F30" s="130"/>
      <c r="K30" s="93"/>
      <c r="L30" s="93"/>
      <c r="M30" s="93"/>
      <c r="P30" s="93"/>
      <c r="Q30" s="93"/>
      <c r="R30" s="93"/>
      <c r="S30" s="93"/>
      <c r="T30" s="93"/>
      <c r="U30" s="93"/>
    </row>
    <row r="31" spans="2:37" ht="18.75">
      <c r="B31" s="128" t="s">
        <v>531</v>
      </c>
      <c r="C31" t="s">
        <v>511</v>
      </c>
      <c r="D31" s="1010"/>
      <c r="E31">
        <v>67.699999999999989</v>
      </c>
      <c r="F31">
        <v>73.800000000000011</v>
      </c>
      <c r="G31">
        <v>60.199999999999996</v>
      </c>
      <c r="H31">
        <v>66</v>
      </c>
      <c r="I31">
        <v>62.800000000000004</v>
      </c>
      <c r="J31">
        <v>59.7</v>
      </c>
      <c r="K31" s="135">
        <v>57</v>
      </c>
      <c r="L31" s="1022">
        <v>55.199999999999996</v>
      </c>
      <c r="M31" s="1022">
        <v>46.4</v>
      </c>
      <c r="N31" s="1022">
        <v>48.599999999999994</v>
      </c>
      <c r="O31" s="1022">
        <v>49</v>
      </c>
      <c r="P31" s="1022">
        <v>49.8</v>
      </c>
      <c r="Q31" s="1022">
        <v>48.599999999999994</v>
      </c>
      <c r="R31" s="135">
        <v>49.6</v>
      </c>
      <c r="S31" s="135">
        <v>47</v>
      </c>
      <c r="T31" s="135">
        <v>49.7</v>
      </c>
      <c r="U31" s="135">
        <v>50.7</v>
      </c>
      <c r="V31" s="135">
        <v>51.7</v>
      </c>
      <c r="W31" s="135">
        <v>47.1</v>
      </c>
      <c r="X31" s="136">
        <f>100-X32-X33-X34-X35</f>
        <v>41.267043001634988</v>
      </c>
      <c r="Y31" s="136">
        <f t="shared" ref="Y31:AD31" si="1">100-Y32-Y33-Y34-Y35</f>
        <v>27.551925357703922</v>
      </c>
      <c r="Z31" s="475">
        <f>100-Z32-Z33-Z34-Z35</f>
        <v>31.193041187350232</v>
      </c>
      <c r="AA31" s="136">
        <f t="shared" si="1"/>
        <v>34.820208371425295</v>
      </c>
      <c r="AB31" s="136">
        <f t="shared" si="1"/>
        <v>37.53769760151971</v>
      </c>
      <c r="AC31" s="136">
        <f t="shared" si="1"/>
        <v>40.577710806158095</v>
      </c>
      <c r="AD31" s="136">
        <f t="shared" si="1"/>
        <v>40.251092108772482</v>
      </c>
      <c r="AE31" s="136">
        <f>100-AE32-AE33-AE34-AE35</f>
        <v>40.215450552692126</v>
      </c>
      <c r="AF31" s="136"/>
      <c r="AG31" s="538"/>
      <c r="AH31" s="116"/>
      <c r="AI31" s="116"/>
      <c r="AK31" t="s">
        <v>1000</v>
      </c>
    </row>
    <row r="32" spans="2:37" ht="18.75">
      <c r="B32" s="128" t="s">
        <v>532</v>
      </c>
      <c r="C32" t="s">
        <v>513</v>
      </c>
      <c r="D32" s="1010"/>
      <c r="E32">
        <v>12.2</v>
      </c>
      <c r="F32">
        <v>13.8</v>
      </c>
      <c r="G32">
        <v>26.5</v>
      </c>
      <c r="H32">
        <v>18.3</v>
      </c>
      <c r="I32">
        <v>18.100000000000001</v>
      </c>
      <c r="J32">
        <v>15.8</v>
      </c>
      <c r="K32" s="1022">
        <v>11</v>
      </c>
      <c r="L32" s="1022">
        <v>17.2</v>
      </c>
      <c r="M32" s="1022">
        <v>11.7</v>
      </c>
      <c r="N32" s="1022">
        <v>10</v>
      </c>
      <c r="O32" s="1022">
        <v>9.9</v>
      </c>
      <c r="P32" s="1022">
        <v>10.5</v>
      </c>
      <c r="Q32" s="1022">
        <v>10.5</v>
      </c>
      <c r="R32" s="135">
        <v>11.4</v>
      </c>
      <c r="S32" s="135">
        <v>11</v>
      </c>
      <c r="T32" s="135">
        <v>11.410299999999999</v>
      </c>
      <c r="U32" s="135">
        <v>10.410299999999999</v>
      </c>
      <c r="V32" s="135">
        <f>61.1103-V31</f>
        <v>9.4102999999999994</v>
      </c>
      <c r="W32" s="135">
        <v>11</v>
      </c>
      <c r="X32" s="136">
        <f>(W32*X11/100)/(X3/100)</f>
        <v>17.698101453164647</v>
      </c>
      <c r="Y32" s="136">
        <f t="shared" ref="Y32:AD32" si="2">(X32*Y11/100)/(Y3/100)</f>
        <v>30.73132124823573</v>
      </c>
      <c r="Z32" s="475">
        <f>(Y32*Z11/100)/(Z3/100)</f>
        <v>28.481298654528018</v>
      </c>
      <c r="AA32" s="136">
        <f t="shared" si="2"/>
        <v>26.225873530872949</v>
      </c>
      <c r="AB32" s="136">
        <f t="shared" si="2"/>
        <v>24.060434431993528</v>
      </c>
      <c r="AC32" s="136">
        <f>(AB32*AC11/100)/(AC3/100)</f>
        <v>21.232534871497577</v>
      </c>
      <c r="AD32" s="136">
        <f t="shared" si="2"/>
        <v>21.375859600620515</v>
      </c>
      <c r="AE32" s="136">
        <f>(AD32*AE11/100)/(AE3/100)</f>
        <v>20.900840498384504</v>
      </c>
      <c r="AF32" s="136"/>
      <c r="AG32" s="538"/>
      <c r="AH32" s="116"/>
      <c r="AI32" s="116"/>
      <c r="AK32" t="s">
        <v>1001</v>
      </c>
    </row>
    <row r="33" spans="2:37" ht="18.75">
      <c r="B33" s="128" t="s">
        <v>533</v>
      </c>
      <c r="C33" t="s">
        <v>534</v>
      </c>
      <c r="D33" s="1010"/>
      <c r="E33">
        <v>15.5</v>
      </c>
      <c r="F33">
        <v>9</v>
      </c>
      <c r="G33">
        <v>10.100000000000001</v>
      </c>
      <c r="H33">
        <v>10.199999999999999</v>
      </c>
      <c r="I33">
        <v>13</v>
      </c>
      <c r="J33">
        <v>16</v>
      </c>
      <c r="K33" s="1022">
        <v>21</v>
      </c>
      <c r="L33" s="1022">
        <v>18.2</v>
      </c>
      <c r="M33" s="1022">
        <v>27.9</v>
      </c>
      <c r="N33" s="1022">
        <v>27.7</v>
      </c>
      <c r="O33" s="1022">
        <v>27.4</v>
      </c>
      <c r="P33" s="1022">
        <v>25.7</v>
      </c>
      <c r="Q33" s="1022">
        <v>25.700000000000003</v>
      </c>
      <c r="R33" s="135">
        <v>23.3</v>
      </c>
      <c r="S33" s="135">
        <v>25.8</v>
      </c>
      <c r="T33" s="135">
        <v>23.3</v>
      </c>
      <c r="U33" s="135">
        <v>24.3</v>
      </c>
      <c r="V33" s="135">
        <v>25.3</v>
      </c>
      <c r="W33" s="135">
        <v>25.8</v>
      </c>
      <c r="X33" s="136">
        <f t="shared" ref="X33" si="3">(W33+W34)*X6/X3-X34</f>
        <v>24.108169089098336</v>
      </c>
      <c r="Y33" s="136">
        <f t="shared" ref="Y33:Z33" si="4">(X33+X34)*Y6/Y3-Y34</f>
        <v>23.15898012003046</v>
      </c>
      <c r="Z33" s="475">
        <f t="shared" si="4"/>
        <v>23.105679268746123</v>
      </c>
      <c r="AA33" s="136">
        <f t="shared" ref="AA33" si="5">(Z33+Z34)*AA6/AA3-AA34</f>
        <v>23.707880196114431</v>
      </c>
      <c r="AB33" s="136">
        <f t="shared" ref="AB33" si="6">(AA33+AA34)*AB6/AB3-AB34</f>
        <v>21.385715159097714</v>
      </c>
      <c r="AC33" s="136">
        <f t="shared" ref="AC33" si="7">(AB33+AB34)*AC6/AC3-AC34</f>
        <v>22.188854265023636</v>
      </c>
      <c r="AD33" s="136">
        <f t="shared" ref="AD33" si="8">(AC33+AC34)*AD6/AD3-AD34</f>
        <v>23.414276640735981</v>
      </c>
      <c r="AE33" s="136">
        <f t="shared" ref="AE33" si="9">(AD33+AD34)*AE6/AE3-AE34</f>
        <v>24.203166932966955</v>
      </c>
      <c r="AF33" s="136"/>
      <c r="AG33" s="538"/>
      <c r="AH33" s="116"/>
      <c r="AI33" s="116"/>
      <c r="AK33" t="s">
        <v>1002</v>
      </c>
    </row>
    <row r="34" spans="2:37" ht="18.75">
      <c r="B34" s="128" t="s">
        <v>535</v>
      </c>
      <c r="C34" t="s">
        <v>515</v>
      </c>
      <c r="E34">
        <v>0.2</v>
      </c>
      <c r="F34">
        <v>0.1</v>
      </c>
      <c r="G34">
        <v>0.2</v>
      </c>
      <c r="H34">
        <v>0.4</v>
      </c>
      <c r="I34">
        <v>0.2</v>
      </c>
      <c r="J34">
        <v>0.3</v>
      </c>
      <c r="K34" s="1022">
        <v>0.42499999999999999</v>
      </c>
      <c r="L34" s="1022">
        <v>0.3</v>
      </c>
      <c r="M34" s="1022">
        <v>0.5</v>
      </c>
      <c r="N34" s="1022">
        <v>0.6</v>
      </c>
      <c r="O34" s="1022">
        <v>1</v>
      </c>
      <c r="P34" s="1022">
        <v>1</v>
      </c>
      <c r="Q34" s="1022">
        <v>3.9</v>
      </c>
      <c r="R34" s="135">
        <v>3.7</v>
      </c>
      <c r="S34" s="135">
        <v>3</v>
      </c>
      <c r="T34" s="135">
        <v>3.6999999999999993</v>
      </c>
      <c r="U34" s="135">
        <v>2.6999999999999993</v>
      </c>
      <c r="V34" s="135">
        <f>27-V33</f>
        <v>1.6999999999999993</v>
      </c>
      <c r="W34" s="135">
        <f>28.8-W33</f>
        <v>3</v>
      </c>
      <c r="X34" s="136">
        <f>(W34*X12/100)/(X3/100)</f>
        <v>3.8866118987861022</v>
      </c>
      <c r="Y34" s="136">
        <f t="shared" ref="Y34:AC34" si="10">(X34*Y12/100)/(Y3/100)</f>
        <v>5.2409530122679042</v>
      </c>
      <c r="Z34" s="475">
        <f>(Y34*Z12/100)/(Z3/100)</f>
        <v>4.5572769147993597</v>
      </c>
      <c r="AA34" s="136">
        <f t="shared" si="10"/>
        <v>3.0380719150483291</v>
      </c>
      <c r="AB34" s="136">
        <f t="shared" si="10"/>
        <v>5.0657861031348119</v>
      </c>
      <c r="AC34" s="136">
        <f t="shared" si="10"/>
        <v>4.0393228777341381</v>
      </c>
      <c r="AD34" s="475">
        <f>(AC34*AD12/100)/(AD3/100)</f>
        <v>3.1932858994580164</v>
      </c>
      <c r="AE34" s="474">
        <v>2.7900124556356509</v>
      </c>
      <c r="AF34" s="475"/>
      <c r="AG34" s="538"/>
      <c r="AH34" s="116"/>
      <c r="AI34" s="116"/>
      <c r="AK34" t="s">
        <v>1003</v>
      </c>
    </row>
    <row r="35" spans="2:37" ht="18.75">
      <c r="B35" s="128" t="s">
        <v>536</v>
      </c>
      <c r="C35" t="s">
        <v>537</v>
      </c>
      <c r="D35" s="1010"/>
      <c r="E35">
        <v>4.4000000000000004</v>
      </c>
      <c r="F35">
        <v>3.3</v>
      </c>
      <c r="G35">
        <v>3</v>
      </c>
      <c r="H35">
        <v>5.0999999999999996</v>
      </c>
      <c r="I35">
        <v>5.9</v>
      </c>
      <c r="J35">
        <v>8.1999999999999993</v>
      </c>
      <c r="K35" s="1022">
        <v>11</v>
      </c>
      <c r="L35" s="1022">
        <v>9.1</v>
      </c>
      <c r="M35" s="1022">
        <v>13.5</v>
      </c>
      <c r="N35" s="1022">
        <v>13.1</v>
      </c>
      <c r="O35" s="1022">
        <v>12.7</v>
      </c>
      <c r="P35" s="1022">
        <v>13</v>
      </c>
      <c r="Q35" s="1022">
        <v>11.3</v>
      </c>
      <c r="R35" s="135">
        <v>12</v>
      </c>
      <c r="S35" s="135">
        <v>13.2</v>
      </c>
      <c r="T35" s="135">
        <v>11.9</v>
      </c>
      <c r="U35" s="135">
        <v>12.9</v>
      </c>
      <c r="V35" s="135">
        <v>13.9</v>
      </c>
      <c r="W35" s="135">
        <v>13.2</v>
      </c>
      <c r="X35" s="136">
        <f>(W35*X7/100)/(X3/100)</f>
        <v>13.040074557315934</v>
      </c>
      <c r="Y35" s="136">
        <f t="shared" ref="Y35:AE35" si="11">(X35*Y7/100)/(Y3/100)</f>
        <v>13.316820261761984</v>
      </c>
      <c r="Z35" s="475">
        <f>(Y35*Z7/100)/(Z3/100)</f>
        <v>12.662703974576269</v>
      </c>
      <c r="AA35" s="136">
        <f t="shared" si="11"/>
        <v>12.207965986539001</v>
      </c>
      <c r="AB35" s="136">
        <f t="shared" si="11"/>
        <v>11.950366704254234</v>
      </c>
      <c r="AC35" s="136">
        <f t="shared" si="11"/>
        <v>11.961577179586557</v>
      </c>
      <c r="AD35" s="136">
        <f t="shared" si="11"/>
        <v>11.765485750413008</v>
      </c>
      <c r="AE35" s="136">
        <f t="shared" si="11"/>
        <v>11.890529560320779</v>
      </c>
      <c r="AF35" s="136"/>
      <c r="AG35" s="538"/>
      <c r="AH35" s="116"/>
      <c r="AI35" s="116"/>
      <c r="AK35" t="s">
        <v>1004</v>
      </c>
    </row>
    <row r="36" spans="2:37" ht="18.75">
      <c r="B36" s="128" t="s">
        <v>538</v>
      </c>
      <c r="C36" t="s">
        <v>539</v>
      </c>
      <c r="E36">
        <v>1.1000000000000001</v>
      </c>
      <c r="F36">
        <v>1</v>
      </c>
      <c r="G36">
        <v>0.9</v>
      </c>
      <c r="H36">
        <v>1.4</v>
      </c>
      <c r="I36">
        <v>1.6</v>
      </c>
      <c r="J36">
        <v>2.4</v>
      </c>
      <c r="K36">
        <v>2.6</v>
      </c>
      <c r="L36" s="1022">
        <v>2.6</v>
      </c>
      <c r="M36" s="1022">
        <v>3.4</v>
      </c>
      <c r="N36" s="1022">
        <v>2.9</v>
      </c>
      <c r="O36" s="1022">
        <v>2.7</v>
      </c>
      <c r="P36" s="1022">
        <v>4.5999999999999996</v>
      </c>
      <c r="Q36" s="1023">
        <v>3.4594594594594597</v>
      </c>
      <c r="R36" s="1022"/>
      <c r="S36" s="1022"/>
      <c r="T36" s="1022"/>
      <c r="U36" s="93"/>
    </row>
    <row r="37" spans="2:37" ht="18.75">
      <c r="B37" s="128" t="s">
        <v>540</v>
      </c>
      <c r="C37" s="130" t="s">
        <v>541</v>
      </c>
      <c r="E37">
        <v>2</v>
      </c>
      <c r="F37">
        <v>1.5</v>
      </c>
      <c r="G37">
        <v>1.3</v>
      </c>
      <c r="H37">
        <v>2.4</v>
      </c>
      <c r="I37">
        <v>2.8</v>
      </c>
      <c r="J37">
        <v>4.0999999999999996</v>
      </c>
      <c r="K37">
        <v>4.0999999999999996</v>
      </c>
      <c r="L37" s="1022">
        <v>4.3</v>
      </c>
      <c r="M37" s="1022">
        <v>6.2</v>
      </c>
      <c r="N37" s="1022">
        <v>6.2</v>
      </c>
      <c r="O37" s="1022">
        <v>5.8</v>
      </c>
      <c r="P37" s="1022">
        <v>4.4000000000000004</v>
      </c>
      <c r="Q37" s="1023">
        <v>3.4594594594594597</v>
      </c>
      <c r="R37" s="1022"/>
      <c r="S37" s="1022"/>
      <c r="T37" s="1022"/>
      <c r="U37" s="93"/>
    </row>
    <row r="38" spans="2:37" ht="15.75">
      <c r="C38" s="130"/>
      <c r="G38" s="130"/>
      <c r="H38" s="130"/>
      <c r="I38" s="130"/>
      <c r="J38" s="130"/>
      <c r="K38" s="130"/>
      <c r="L38" s="1022"/>
      <c r="M38" s="1022"/>
      <c r="N38" s="1022"/>
      <c r="O38" s="1022"/>
      <c r="P38" s="1022"/>
      <c r="Q38" s="1022"/>
      <c r="R38" s="1022"/>
      <c r="S38" s="1022"/>
      <c r="T38" s="1022"/>
      <c r="U38" s="92"/>
    </row>
    <row r="39" spans="2:37" ht="18.75">
      <c r="B39" s="473" t="s">
        <v>1006</v>
      </c>
      <c r="C39" s="123" t="s">
        <v>515</v>
      </c>
      <c r="G39" s="130"/>
      <c r="H39" s="130"/>
      <c r="I39" s="130"/>
      <c r="J39" s="130"/>
      <c r="K39" s="130"/>
      <c r="L39" s="130"/>
      <c r="M39" s="130"/>
      <c r="N39" s="130"/>
      <c r="O39" s="130"/>
      <c r="P39" s="92"/>
      <c r="Q39" s="92"/>
      <c r="R39" s="92">
        <v>100</v>
      </c>
      <c r="S39" s="92">
        <v>100</v>
      </c>
      <c r="T39" s="92">
        <v>100.01030000000002</v>
      </c>
      <c r="U39" s="92">
        <v>101.01030000000002</v>
      </c>
      <c r="V39" s="92">
        <f t="shared" ref="V39:W39" si="12">V31+V32+V33+V34+V35</f>
        <v>102.01030000000002</v>
      </c>
      <c r="W39" s="92">
        <f t="shared" si="12"/>
        <v>100.10000000000001</v>
      </c>
      <c r="AD39" s="136">
        <f>(AC34*AD12/100)/(AD3/100)</f>
        <v>3.1932858994580164</v>
      </c>
      <c r="AE39" s="474">
        <f>(AD34*AE12/100)/(AE3/100)</f>
        <v>2.7900124556356509</v>
      </c>
      <c r="AF39" s="475"/>
      <c r="AG39" s="475"/>
    </row>
    <row r="40" spans="2:37" ht="15.75"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AD40" t="s">
        <v>1007</v>
      </c>
    </row>
    <row r="41" spans="2:37" ht="15.75"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</row>
    <row r="42" spans="2:37" ht="15.75"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/>
      <c r="R42" s="130"/>
      <c r="S42" s="130"/>
      <c r="T42" s="130"/>
      <c r="U42" s="130"/>
    </row>
    <row r="43" spans="2:37" ht="15.75">
      <c r="C43" s="130"/>
      <c r="D43" s="130"/>
      <c r="E43" s="130"/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30"/>
      <c r="U43" s="130"/>
    </row>
    <row r="44" spans="2:37" ht="15.75">
      <c r="C44" s="130"/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0"/>
      <c r="U44" s="130"/>
    </row>
    <row r="45" spans="2:37" ht="15.75">
      <c r="C45" s="130"/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</row>
    <row r="46" spans="2:37" ht="15.75">
      <c r="C46" s="130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0"/>
      <c r="U46" s="130"/>
    </row>
    <row r="47" spans="2:37" ht="15.75">
      <c r="C47" s="130"/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0"/>
      <c r="U47" s="130"/>
    </row>
    <row r="48" spans="2:37" ht="15.75"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  <c r="R48" s="130"/>
      <c r="S48" s="130"/>
      <c r="T48" s="130"/>
      <c r="U48" s="130"/>
    </row>
    <row r="49" spans="3:21" ht="15.75">
      <c r="C49" s="134"/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</row>
    <row r="50" spans="3:21" ht="15.75">
      <c r="C50" s="130"/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/>
      <c r="O50" s="130"/>
      <c r="P50" s="130"/>
      <c r="Q50" s="130"/>
      <c r="R50" s="130"/>
      <c r="S50" s="130"/>
      <c r="T50" s="130"/>
      <c r="U50" s="130"/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A3286-E5E8-4AEB-BA7C-F14246C60CF4}">
  <dimension ref="B1:AU118"/>
  <sheetViews>
    <sheetView workbookViewId="0">
      <pane xSplit="3" ySplit="2" topLeftCell="T3" activePane="bottomRight" state="frozen"/>
      <selection pane="topRight" activeCell="D1" sqref="D1"/>
      <selection pane="bottomLeft" activeCell="A3" sqref="A3"/>
      <selection pane="bottomRight" activeCell="AF1" sqref="AF1:AP1048576"/>
    </sheetView>
  </sheetViews>
  <sheetFormatPr defaultRowHeight="15"/>
  <cols>
    <col min="1" max="1" width="2.85546875" customWidth="1"/>
    <col min="2" max="2" width="9.85546875" customWidth="1"/>
    <col min="3" max="3" width="36.28515625" customWidth="1"/>
    <col min="4" max="20" width="9.42578125" customWidth="1"/>
    <col min="21" max="21" width="9.140625" customWidth="1"/>
  </cols>
  <sheetData>
    <row r="1" spans="2:47">
      <c r="D1" s="5">
        <v>1997</v>
      </c>
      <c r="E1" s="5">
        <v>1998</v>
      </c>
      <c r="F1" s="5">
        <v>1999</v>
      </c>
      <c r="G1" s="5">
        <v>2000</v>
      </c>
      <c r="H1" s="5">
        <v>2001</v>
      </c>
      <c r="I1" s="5">
        <v>2002</v>
      </c>
      <c r="J1" s="5">
        <v>2003</v>
      </c>
      <c r="K1" s="5">
        <v>2004</v>
      </c>
      <c r="L1" s="5">
        <v>2005</v>
      </c>
      <c r="M1" s="5">
        <v>2006</v>
      </c>
      <c r="N1" s="5">
        <v>2007</v>
      </c>
      <c r="O1" s="5">
        <v>2008</v>
      </c>
      <c r="P1" s="5">
        <v>2009</v>
      </c>
      <c r="Q1" s="5">
        <v>2010</v>
      </c>
      <c r="R1" s="5">
        <v>2011</v>
      </c>
      <c r="S1" s="5">
        <v>2012</v>
      </c>
      <c r="T1" s="5">
        <v>2013</v>
      </c>
      <c r="U1" s="5">
        <v>2014</v>
      </c>
      <c r="V1" s="5">
        <v>2015</v>
      </c>
      <c r="W1" s="5">
        <v>2016</v>
      </c>
      <c r="X1" s="5">
        <v>2017</v>
      </c>
      <c r="Y1" s="5">
        <v>2018</v>
      </c>
      <c r="Z1" s="5">
        <v>2019</v>
      </c>
      <c r="AA1" s="5">
        <v>2020</v>
      </c>
      <c r="AB1" s="5">
        <v>2021</v>
      </c>
      <c r="AC1" s="5">
        <v>2022</v>
      </c>
      <c r="AD1" s="5">
        <v>2023</v>
      </c>
      <c r="AE1" s="5">
        <v>2024</v>
      </c>
    </row>
    <row r="2" spans="2:47" ht="18.75">
      <c r="B2" s="7" t="s">
        <v>716</v>
      </c>
      <c r="C2" t="s">
        <v>717</v>
      </c>
      <c r="G2" s="92">
        <v>922.55555103560766</v>
      </c>
      <c r="H2" s="92">
        <v>1086.8938608530323</v>
      </c>
      <c r="I2" s="92">
        <v>1219.5022251945015</v>
      </c>
      <c r="J2" s="92">
        <v>1555.1817617663389</v>
      </c>
      <c r="K2" s="92">
        <v>2075.8692652058298</v>
      </c>
      <c r="L2" s="92">
        <v>2312.3275364178912</v>
      </c>
      <c r="M2" s="92">
        <v>2830.2510308028136</v>
      </c>
      <c r="N2" s="92">
        <v>3719.4771241830063</v>
      </c>
      <c r="O2" s="92">
        <v>5162.3615160349855</v>
      </c>
      <c r="P2" s="92">
        <v>4982.8502415458943</v>
      </c>
      <c r="Q2" s="92">
        <v>5642.1785795843807</v>
      </c>
      <c r="R2" s="92">
        <v>6523.5812217979856</v>
      </c>
      <c r="S2" s="92">
        <v>7592.9829718437022</v>
      </c>
      <c r="T2" s="92">
        <v>8506.1920154485542</v>
      </c>
      <c r="U2" s="476">
        <v>9241.6462339662412</v>
      </c>
      <c r="V2" s="476">
        <v>8269.5109092383791</v>
      </c>
      <c r="W2" s="476">
        <v>6992.4830261881661</v>
      </c>
      <c r="X2" s="476">
        <v>7536.439875083337</v>
      </c>
      <c r="Y2" s="476">
        <v>7765.0144243377918</v>
      </c>
      <c r="Z2" s="476">
        <v>8301.0461590119721</v>
      </c>
      <c r="AA2" s="476">
        <v>8134</v>
      </c>
      <c r="AB2" s="476">
        <v>8937.7999999999993</v>
      </c>
      <c r="AC2" s="476">
        <v>10718.7</v>
      </c>
      <c r="AD2" s="477">
        <v>12060.6</v>
      </c>
      <c r="AE2" s="576">
        <v>14205.7</v>
      </c>
      <c r="AH2" t="s">
        <v>1008</v>
      </c>
    </row>
    <row r="3" spans="2:47" ht="18.75">
      <c r="B3" s="417"/>
      <c r="C3" s="419" t="s">
        <v>870</v>
      </c>
      <c r="D3" s="419"/>
      <c r="E3" s="419"/>
      <c r="F3" s="419"/>
      <c r="G3" s="417"/>
      <c r="H3" s="1025"/>
      <c r="I3" s="1025"/>
      <c r="J3" s="1025"/>
      <c r="K3" s="1025"/>
      <c r="L3" s="1025"/>
      <c r="M3" s="1025"/>
      <c r="N3" s="1025"/>
      <c r="O3" s="1025"/>
      <c r="P3" s="1025"/>
      <c r="Q3" s="1025"/>
      <c r="R3" s="1025"/>
      <c r="S3" s="1025"/>
      <c r="T3" s="1025"/>
      <c r="U3" s="1034"/>
      <c r="V3" s="417"/>
      <c r="W3" s="417"/>
      <c r="X3" s="417"/>
      <c r="Y3" s="417"/>
      <c r="Z3" s="417"/>
      <c r="AA3" s="417"/>
      <c r="AB3" s="417"/>
      <c r="AC3" s="417"/>
      <c r="AD3" s="417"/>
      <c r="AE3" s="417"/>
      <c r="AF3" s="417"/>
      <c r="AG3" s="417"/>
      <c r="AH3" s="417"/>
      <c r="AI3" s="417"/>
      <c r="AJ3" s="417"/>
      <c r="AK3" s="417"/>
      <c r="AL3" s="417"/>
      <c r="AM3" s="417"/>
      <c r="AN3" s="417"/>
      <c r="AO3" s="417"/>
      <c r="AP3" s="417"/>
      <c r="AQ3" s="417"/>
      <c r="AR3" s="417"/>
      <c r="AS3" s="417"/>
      <c r="AT3" s="417"/>
      <c r="AU3" s="417"/>
    </row>
    <row r="4" spans="2:47" ht="18.75">
      <c r="B4" s="7" t="s">
        <v>823</v>
      </c>
      <c r="C4" s="420" t="s">
        <v>871</v>
      </c>
      <c r="D4" s="420"/>
      <c r="E4" s="420"/>
      <c r="F4" s="420"/>
      <c r="G4" s="667">
        <v>-61.916999999999994</v>
      </c>
      <c r="H4" s="667">
        <v>-60.900800000000004</v>
      </c>
      <c r="I4" s="667">
        <v>-16.729499999999888</v>
      </c>
      <c r="J4" s="667">
        <v>-4.7636000000001388</v>
      </c>
      <c r="K4" s="667">
        <v>-57.041600000000187</v>
      </c>
      <c r="L4" s="667">
        <v>-18.85979999999978</v>
      </c>
      <c r="M4" s="667">
        <v>-43.087599999999725</v>
      </c>
      <c r="N4" s="667">
        <v>-495.06190000000015</v>
      </c>
      <c r="O4" s="667">
        <v>47.585000000000036</v>
      </c>
      <c r="P4" s="1035">
        <v>-717.43199999999979</v>
      </c>
      <c r="Q4" s="1028">
        <v>-581.15999999999963</v>
      </c>
      <c r="R4" s="1028">
        <v>-413.4000000000002</v>
      </c>
      <c r="S4" s="1028">
        <v>-681.39000000000033</v>
      </c>
      <c r="T4" s="1028">
        <v>-884.85999999999956</v>
      </c>
      <c r="U4" s="1028">
        <v>-522.64000000000021</v>
      </c>
      <c r="V4" s="133">
        <f>V5+V12+V13</f>
        <v>-477.10000000000025</v>
      </c>
      <c r="W4" s="133">
        <f t="shared" ref="W4:AE4" si="0">W5+W12+W13</f>
        <v>-290.82299999999998</v>
      </c>
      <c r="X4" s="133">
        <f t="shared" si="0"/>
        <v>158.93000000000018</v>
      </c>
      <c r="Y4" s="133">
        <f t="shared" si="0"/>
        <v>-378.46300000000014</v>
      </c>
      <c r="Z4" s="133">
        <f t="shared" si="0"/>
        <v>-185.34999999999991</v>
      </c>
      <c r="AA4" s="133">
        <f t="shared" si="0"/>
        <v>353.69999999999993</v>
      </c>
      <c r="AB4" s="133">
        <f t="shared" si="0"/>
        <v>734.69999999999993</v>
      </c>
      <c r="AC4" s="133">
        <f t="shared" si="0"/>
        <v>1634.6759999999997</v>
      </c>
      <c r="AD4" s="133">
        <f t="shared" si="0"/>
        <v>583.9190000000001</v>
      </c>
      <c r="AE4" s="133">
        <f t="shared" si="0"/>
        <v>-902.27199999999993</v>
      </c>
      <c r="AH4" t="s">
        <v>1009</v>
      </c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3"/>
    </row>
    <row r="5" spans="2:47" ht="18.75">
      <c r="B5" s="7" t="s">
        <v>824</v>
      </c>
      <c r="C5" t="s">
        <v>872</v>
      </c>
      <c r="G5" s="92">
        <v>-75.948499999999996</v>
      </c>
      <c r="H5" s="92">
        <v>-121.51</v>
      </c>
      <c r="I5" s="92">
        <v>-159.64199999999988</v>
      </c>
      <c r="J5" s="92">
        <v>-152.54000000000013</v>
      </c>
      <c r="K5" s="92">
        <v>-225.11760000000015</v>
      </c>
      <c r="L5" s="92">
        <v>-428.0102999999998</v>
      </c>
      <c r="M5" s="92">
        <v>-781.14959999999974</v>
      </c>
      <c r="N5" s="92">
        <v>-2001.5152</v>
      </c>
      <c r="O5" s="92">
        <v>-2398.2150000000001</v>
      </c>
      <c r="P5" s="1036">
        <v>-2234.4299999999998</v>
      </c>
      <c r="Q5" s="1036">
        <v>-2501.8599999999997</v>
      </c>
      <c r="R5" s="1029">
        <v>-2995.36</v>
      </c>
      <c r="S5" s="1029">
        <v>-3674.42</v>
      </c>
      <c r="T5" s="1029">
        <v>-4413.32</v>
      </c>
      <c r="U5" s="1029">
        <v>-2545.7400000000002</v>
      </c>
      <c r="V5">
        <f>V6+V9</f>
        <v>-2500.2000000000003</v>
      </c>
      <c r="W5">
        <f t="shared" ref="W5:AE5" si="1">W6+W9</f>
        <v>-2027.41</v>
      </c>
      <c r="X5">
        <f t="shared" si="1"/>
        <v>-1638.9399999999998</v>
      </c>
      <c r="Y5">
        <f t="shared" si="1"/>
        <v>-2103.9630000000002</v>
      </c>
      <c r="Z5">
        <f t="shared" si="1"/>
        <v>-2165.35</v>
      </c>
      <c r="AA5">
        <f t="shared" si="1"/>
        <v>-1716.4</v>
      </c>
      <c r="AB5">
        <f t="shared" si="1"/>
        <v>-2097</v>
      </c>
      <c r="AC5">
        <f t="shared" si="1"/>
        <v>-3508.0240000000003</v>
      </c>
      <c r="AD5">
        <f t="shared" si="1"/>
        <v>-3826.4809999999998</v>
      </c>
      <c r="AE5">
        <f t="shared" si="1"/>
        <v>-5577.2960000000003</v>
      </c>
      <c r="AH5" t="s">
        <v>1010</v>
      </c>
    </row>
    <row r="6" spans="2:47" ht="18.75">
      <c r="B6" s="7" t="s">
        <v>825</v>
      </c>
      <c r="C6" s="421" t="s">
        <v>873</v>
      </c>
      <c r="D6" s="421"/>
      <c r="E6" s="421"/>
      <c r="F6" s="421"/>
      <c r="G6" s="1026">
        <v>-81.54849999999999</v>
      </c>
      <c r="H6" s="1026">
        <v>-114.11000000000001</v>
      </c>
      <c r="I6" s="1026">
        <v>-123.75319999999988</v>
      </c>
      <c r="J6" s="1026">
        <v>-119.53350000000012</v>
      </c>
      <c r="K6" s="1026">
        <v>-135.49860000000012</v>
      </c>
      <c r="L6" s="1026">
        <v>-322.83329999999978</v>
      </c>
      <c r="M6" s="1026">
        <v>-674.5645999999997</v>
      </c>
      <c r="N6" s="1026">
        <v>-1558.1292000000001</v>
      </c>
      <c r="O6" s="1026">
        <v>-2124.1</v>
      </c>
      <c r="P6" s="1039">
        <v>-2122.1999999999998</v>
      </c>
      <c r="Q6" s="1030">
        <v>-2474.66</v>
      </c>
      <c r="R6" s="1030">
        <v>-3013.8</v>
      </c>
      <c r="S6" s="1030">
        <v>-3581.52</v>
      </c>
      <c r="T6" s="1030">
        <v>-3986</v>
      </c>
      <c r="U6" s="1030">
        <v>-2335.6400000000003</v>
      </c>
      <c r="V6">
        <f>V7-V8</f>
        <v>-2290.0600000000004</v>
      </c>
      <c r="W6">
        <f t="shared" ref="W6:AE6" si="2">W7-W8</f>
        <v>-1885.1100000000001</v>
      </c>
      <c r="X6">
        <f t="shared" si="2"/>
        <v>-1516.7599999999998</v>
      </c>
      <c r="Y6">
        <f t="shared" si="2"/>
        <v>-1888.3630000000001</v>
      </c>
      <c r="Z6">
        <f t="shared" si="2"/>
        <v>-1919.9</v>
      </c>
      <c r="AA6">
        <f t="shared" si="2"/>
        <v>-1444.9</v>
      </c>
      <c r="AB6">
        <f t="shared" si="2"/>
        <v>-1712.1999999999998</v>
      </c>
      <c r="AC6">
        <f t="shared" si="2"/>
        <v>-2960.1000000000004</v>
      </c>
      <c r="AD6">
        <f t="shared" si="2"/>
        <v>-3321.7</v>
      </c>
      <c r="AE6">
        <f t="shared" si="2"/>
        <v>-5060.2000000000007</v>
      </c>
      <c r="AH6" t="s">
        <v>1011</v>
      </c>
    </row>
    <row r="7" spans="2:47" ht="18.75">
      <c r="B7" s="7" t="s">
        <v>402</v>
      </c>
      <c r="C7" s="421" t="s">
        <v>874</v>
      </c>
      <c r="D7" s="421"/>
      <c r="E7" s="421"/>
      <c r="F7" s="421"/>
      <c r="G7" s="1026">
        <v>838.92650000000003</v>
      </c>
      <c r="H7" s="1026">
        <v>651.57069999999999</v>
      </c>
      <c r="I7" s="1026">
        <v>699.14800000000002</v>
      </c>
      <c r="J7" s="1026">
        <v>906.19819999999993</v>
      </c>
      <c r="K7" s="1026">
        <v>1096.9347</v>
      </c>
      <c r="L7" s="1026">
        <v>1108.0926000000002</v>
      </c>
      <c r="M7" s="1026">
        <v>1455.4108000000001</v>
      </c>
      <c r="N7" s="1026">
        <v>1556.8763000000001</v>
      </c>
      <c r="O7" s="1038">
        <v>1504.9</v>
      </c>
      <c r="P7" s="1038">
        <v>420.4</v>
      </c>
      <c r="Q7" s="1038">
        <v>457.5</v>
      </c>
      <c r="R7" s="1038">
        <v>591.70000000000005</v>
      </c>
      <c r="S7" s="1038">
        <v>824.14</v>
      </c>
      <c r="T7" s="1033">
        <v>573.79999999999995</v>
      </c>
      <c r="U7" s="1037">
        <v>526.76</v>
      </c>
      <c r="V7">
        <v>572.29999999999995</v>
      </c>
      <c r="W7">
        <v>667.69</v>
      </c>
      <c r="X7">
        <v>872.96</v>
      </c>
      <c r="Y7">
        <v>874.03700000000003</v>
      </c>
      <c r="Z7">
        <v>1001.1</v>
      </c>
      <c r="AA7">
        <v>1270.5999999999999</v>
      </c>
      <c r="AB7">
        <v>2014.5</v>
      </c>
      <c r="AC7">
        <v>1615.5</v>
      </c>
      <c r="AD7">
        <v>1861.5</v>
      </c>
      <c r="AE7" s="159">
        <v>1947.4</v>
      </c>
      <c r="AH7" t="s">
        <v>1012</v>
      </c>
    </row>
    <row r="8" spans="2:47" ht="18.75">
      <c r="B8" s="7" t="s">
        <v>442</v>
      </c>
      <c r="C8" s="421" t="s">
        <v>875</v>
      </c>
      <c r="D8" s="421"/>
      <c r="E8" s="421"/>
      <c r="F8" s="421"/>
      <c r="G8" s="1026">
        <v>920.47500000000002</v>
      </c>
      <c r="H8" s="1026">
        <v>765.6807</v>
      </c>
      <c r="I8" s="1026">
        <v>822.9011999999999</v>
      </c>
      <c r="J8" s="1026">
        <v>1025.7317</v>
      </c>
      <c r="K8" s="1026">
        <v>1232.4333000000001</v>
      </c>
      <c r="L8" s="1026">
        <v>1430.9259</v>
      </c>
      <c r="M8" s="1026">
        <v>2129.9753999999998</v>
      </c>
      <c r="N8" s="1026">
        <v>3115.0055000000002</v>
      </c>
      <c r="O8" s="1038">
        <v>3629</v>
      </c>
      <c r="P8" s="1038">
        <v>2542.6</v>
      </c>
      <c r="Q8" s="1038">
        <v>2932.16</v>
      </c>
      <c r="R8" s="1038">
        <v>3605.5</v>
      </c>
      <c r="S8" s="1038">
        <v>4405.66</v>
      </c>
      <c r="T8" s="1033">
        <v>4559.8</v>
      </c>
      <c r="U8" s="1037">
        <v>2862.4</v>
      </c>
      <c r="V8">
        <v>2862.36</v>
      </c>
      <c r="W8">
        <v>2552.8000000000002</v>
      </c>
      <c r="X8">
        <v>2389.7199999999998</v>
      </c>
      <c r="Y8">
        <v>2762.4</v>
      </c>
      <c r="Z8">
        <v>2921</v>
      </c>
      <c r="AA8">
        <v>2715.5</v>
      </c>
      <c r="AB8">
        <v>3726.7</v>
      </c>
      <c r="AC8">
        <v>4575.6000000000004</v>
      </c>
      <c r="AD8">
        <v>5183.2</v>
      </c>
      <c r="AE8" s="159">
        <v>7007.6</v>
      </c>
      <c r="AH8" t="s">
        <v>1013</v>
      </c>
    </row>
    <row r="9" spans="2:47" ht="18.75">
      <c r="B9" s="7" t="s">
        <v>826</v>
      </c>
      <c r="C9" s="421" t="s">
        <v>876</v>
      </c>
      <c r="D9" s="421"/>
      <c r="E9" s="421"/>
      <c r="F9" s="421"/>
      <c r="G9" s="1026">
        <v>5.6000000000000014</v>
      </c>
      <c r="H9" s="1026">
        <v>-7.3999999999999915</v>
      </c>
      <c r="I9" s="1026">
        <v>-35.888800000000003</v>
      </c>
      <c r="J9" s="1026">
        <v>-33.006500000000003</v>
      </c>
      <c r="K9" s="1026">
        <v>-89.619000000000014</v>
      </c>
      <c r="L9" s="1026">
        <v>-105.17699999999999</v>
      </c>
      <c r="M9" s="1026">
        <v>-106.58500000000001</v>
      </c>
      <c r="N9" s="1026">
        <v>-443.38599999999997</v>
      </c>
      <c r="O9" s="1026">
        <v>-274.11500000000001</v>
      </c>
      <c r="P9" s="1030">
        <v>-112.23000000000002</v>
      </c>
      <c r="Q9" s="1030">
        <v>-27.199999999999989</v>
      </c>
      <c r="R9" s="1030">
        <v>18.439999999999998</v>
      </c>
      <c r="S9" s="1030">
        <v>-92.899999999999977</v>
      </c>
      <c r="T9" s="1030">
        <v>-427.32000000000005</v>
      </c>
      <c r="U9" s="1030">
        <v>-210.1</v>
      </c>
      <c r="V9">
        <f>V10-V11</f>
        <v>-210.14000000000001</v>
      </c>
      <c r="W9">
        <f t="shared" ref="W9:AE9" si="3">W10-W11</f>
        <v>-142.30000000000001</v>
      </c>
      <c r="X9">
        <f t="shared" si="3"/>
        <v>-122.18</v>
      </c>
      <c r="Y9">
        <f t="shared" si="3"/>
        <v>-215.60000000000002</v>
      </c>
      <c r="Z9">
        <f t="shared" si="3"/>
        <v>-245.45000000000002</v>
      </c>
      <c r="AA9">
        <f t="shared" si="3"/>
        <v>-271.5</v>
      </c>
      <c r="AB9">
        <f t="shared" si="3"/>
        <v>-384.8</v>
      </c>
      <c r="AC9">
        <f t="shared" si="3"/>
        <v>-547.92399999999998</v>
      </c>
      <c r="AD9">
        <f t="shared" si="3"/>
        <v>-504.78099999999995</v>
      </c>
      <c r="AE9">
        <f t="shared" si="3"/>
        <v>-517.096</v>
      </c>
      <c r="AH9" t="s">
        <v>1014</v>
      </c>
    </row>
    <row r="10" spans="2:47" ht="18.75">
      <c r="B10" s="7" t="s">
        <v>400</v>
      </c>
      <c r="C10" s="421" t="s">
        <v>877</v>
      </c>
      <c r="D10" s="421"/>
      <c r="E10" s="421"/>
      <c r="F10" s="421"/>
      <c r="G10" s="1026">
        <v>62.6</v>
      </c>
      <c r="H10" s="1026">
        <v>62.2</v>
      </c>
      <c r="I10" s="1026">
        <v>68.989199999999997</v>
      </c>
      <c r="J10" s="1026">
        <v>88.526499999999999</v>
      </c>
      <c r="K10" s="1026">
        <v>122.907</v>
      </c>
      <c r="L10" s="1026">
        <v>146.34200000000001</v>
      </c>
      <c r="M10" s="1026">
        <v>134.215</v>
      </c>
      <c r="N10" s="1026">
        <v>148.69200000000001</v>
      </c>
      <c r="O10" s="1026">
        <v>181.40899999999999</v>
      </c>
      <c r="P10" s="1030">
        <v>178.87</v>
      </c>
      <c r="Q10" s="1030">
        <v>384.6</v>
      </c>
      <c r="R10" s="1031">
        <v>459.2</v>
      </c>
      <c r="S10" s="1031">
        <v>487.6</v>
      </c>
      <c r="T10" s="1030">
        <v>363.37</v>
      </c>
      <c r="U10" s="1037">
        <v>252.4</v>
      </c>
      <c r="V10">
        <v>252.4</v>
      </c>
      <c r="W10">
        <v>231.8</v>
      </c>
      <c r="X10">
        <v>252</v>
      </c>
      <c r="Y10">
        <v>242.2</v>
      </c>
      <c r="Z10">
        <v>242.35</v>
      </c>
      <c r="AA10">
        <v>138.5</v>
      </c>
      <c r="AB10">
        <v>146.80000000000001</v>
      </c>
      <c r="AC10">
        <v>137.4</v>
      </c>
      <c r="AD10">
        <v>243.5</v>
      </c>
      <c r="AE10" s="577">
        <v>161.005</v>
      </c>
      <c r="AH10" t="s">
        <v>1015</v>
      </c>
    </row>
    <row r="11" spans="2:47" ht="18.75">
      <c r="B11" s="7" t="s">
        <v>440</v>
      </c>
      <c r="C11" s="421" t="s">
        <v>878</v>
      </c>
      <c r="D11" s="421"/>
      <c r="E11" s="421"/>
      <c r="F11" s="421"/>
      <c r="G11" s="1026">
        <v>57</v>
      </c>
      <c r="H11" s="1026">
        <v>69.599999999999994</v>
      </c>
      <c r="I11" s="1026">
        <v>104.878</v>
      </c>
      <c r="J11" s="1026">
        <v>121.533</v>
      </c>
      <c r="K11" s="1026">
        <v>212.52600000000001</v>
      </c>
      <c r="L11" s="1026">
        <v>251.51900000000001</v>
      </c>
      <c r="M11" s="1026">
        <v>240.8</v>
      </c>
      <c r="N11" s="1026">
        <v>592.07799999999997</v>
      </c>
      <c r="O11" s="1026">
        <v>455.524</v>
      </c>
      <c r="P11" s="1030">
        <v>291.10000000000002</v>
      </c>
      <c r="Q11" s="1030">
        <v>411.8</v>
      </c>
      <c r="R11" s="1031">
        <v>440.76</v>
      </c>
      <c r="S11" s="1031">
        <v>580.5</v>
      </c>
      <c r="T11" s="458">
        <v>790.69</v>
      </c>
      <c r="U11" s="162">
        <v>462.5</v>
      </c>
      <c r="V11">
        <v>462.54</v>
      </c>
      <c r="W11">
        <v>374.1</v>
      </c>
      <c r="X11">
        <v>374.18</v>
      </c>
      <c r="Y11">
        <v>457.8</v>
      </c>
      <c r="Z11">
        <v>487.8</v>
      </c>
      <c r="AA11">
        <v>410</v>
      </c>
      <c r="AB11">
        <v>531.6</v>
      </c>
      <c r="AC11">
        <v>685.32399999999996</v>
      </c>
      <c r="AD11">
        <v>748.28099999999995</v>
      </c>
      <c r="AE11" s="577">
        <v>678.101</v>
      </c>
      <c r="AH11" t="s">
        <v>1016</v>
      </c>
    </row>
    <row r="12" spans="2:47" ht="18.75">
      <c r="B12" s="7" t="s">
        <v>827</v>
      </c>
      <c r="C12" s="422" t="s">
        <v>879</v>
      </c>
      <c r="D12" s="422"/>
      <c r="E12" s="422"/>
      <c r="F12" s="422"/>
      <c r="G12" s="1027">
        <v>-20.582099999999997</v>
      </c>
      <c r="H12" s="1027">
        <v>-18.4925</v>
      </c>
      <c r="I12" s="1027">
        <v>-41.128399999999999</v>
      </c>
      <c r="J12" s="1027">
        <v>-70.3018</v>
      </c>
      <c r="K12" s="1027">
        <v>-57.538400000000003</v>
      </c>
      <c r="L12" s="1027">
        <v>-40.7774</v>
      </c>
      <c r="M12" s="1027">
        <v>-63.9236</v>
      </c>
      <c r="N12" s="1027">
        <v>-50.742899999999999</v>
      </c>
      <c r="O12" s="1032">
        <v>-52.5</v>
      </c>
      <c r="P12" s="1032">
        <v>973.9</v>
      </c>
      <c r="Q12" s="1032">
        <v>1327.5</v>
      </c>
      <c r="R12" s="1032">
        <v>1793.86</v>
      </c>
      <c r="S12" s="1032">
        <v>2111.4899999999998</v>
      </c>
      <c r="T12" s="1032">
        <v>2664.3</v>
      </c>
      <c r="U12" s="1032">
        <v>1526.2</v>
      </c>
      <c r="V12">
        <v>1526.2</v>
      </c>
      <c r="W12">
        <v>1164.4000000000001</v>
      </c>
      <c r="X12">
        <v>1215.3</v>
      </c>
      <c r="Y12">
        <v>1225.7</v>
      </c>
      <c r="Z12">
        <v>1330.5</v>
      </c>
      <c r="AA12">
        <v>1382</v>
      </c>
      <c r="AB12">
        <v>1821.1</v>
      </c>
      <c r="AC12">
        <v>3497.4</v>
      </c>
      <c r="AD12">
        <v>3083.1</v>
      </c>
      <c r="AE12" s="598">
        <f t="shared" ref="AE12:AE13" si="4">AD12*1.06</f>
        <v>3268.0860000000002</v>
      </c>
      <c r="AH12" t="s">
        <v>1017</v>
      </c>
      <c r="AI12" s="478"/>
      <c r="AJ12" s="478"/>
      <c r="AK12" s="478"/>
      <c r="AL12" s="478"/>
      <c r="AM12" s="478"/>
      <c r="AN12" s="478"/>
      <c r="AO12" s="478"/>
      <c r="AP12" s="478"/>
      <c r="AQ12" s="478"/>
      <c r="AR12" s="478"/>
      <c r="AS12" s="478"/>
      <c r="AT12" s="478"/>
      <c r="AU12" s="478"/>
    </row>
    <row r="13" spans="2:47" ht="18.75">
      <c r="B13" s="7" t="s">
        <v>828</v>
      </c>
      <c r="C13" s="422" t="s">
        <v>880</v>
      </c>
      <c r="D13" s="422"/>
      <c r="E13" s="422"/>
      <c r="F13" s="422"/>
      <c r="G13" s="1027">
        <v>34.613599999999998</v>
      </c>
      <c r="H13" s="1027">
        <v>79.101699999999994</v>
      </c>
      <c r="I13" s="1027">
        <v>184.04089999999999</v>
      </c>
      <c r="J13" s="1027">
        <v>218.07820000000001</v>
      </c>
      <c r="K13" s="1027">
        <v>225.61439999999999</v>
      </c>
      <c r="L13" s="1027">
        <v>449.92790000000002</v>
      </c>
      <c r="M13" s="1027">
        <v>801.98559999999998</v>
      </c>
      <c r="N13" s="1027">
        <v>1557.1961999999999</v>
      </c>
      <c r="O13" s="1029">
        <v>2498.3000000000002</v>
      </c>
      <c r="P13" s="1029">
        <v>543.09799999999996</v>
      </c>
      <c r="Q13" s="1029">
        <v>593.20000000000005</v>
      </c>
      <c r="R13" s="1029">
        <v>788.1</v>
      </c>
      <c r="S13" s="1029">
        <v>881.54</v>
      </c>
      <c r="T13" s="1029">
        <v>864.16</v>
      </c>
      <c r="U13" s="1029">
        <v>496.9</v>
      </c>
      <c r="V13">
        <v>496.9</v>
      </c>
      <c r="W13">
        <v>572.18700000000001</v>
      </c>
      <c r="X13">
        <v>582.57000000000005</v>
      </c>
      <c r="Y13">
        <v>499.8</v>
      </c>
      <c r="Z13">
        <v>649.5</v>
      </c>
      <c r="AA13">
        <v>688.1</v>
      </c>
      <c r="AB13">
        <v>1010.6</v>
      </c>
      <c r="AC13">
        <v>1645.3</v>
      </c>
      <c r="AD13">
        <v>1327.3</v>
      </c>
      <c r="AE13" s="598">
        <f t="shared" si="4"/>
        <v>1406.9380000000001</v>
      </c>
      <c r="AH13" t="s">
        <v>1018</v>
      </c>
      <c r="AI13" s="478"/>
      <c r="AJ13" s="478"/>
      <c r="AK13" s="478"/>
      <c r="AL13" s="478"/>
      <c r="AM13" s="478"/>
      <c r="AN13" s="478"/>
      <c r="AO13" s="478"/>
      <c r="AP13" s="478"/>
      <c r="AQ13" s="478"/>
      <c r="AR13" s="478"/>
      <c r="AS13" s="478"/>
      <c r="AT13" s="478"/>
      <c r="AU13" s="478"/>
    </row>
    <row r="14" spans="2:47">
      <c r="B14" s="418"/>
      <c r="C14" s="557" t="s">
        <v>1086</v>
      </c>
      <c r="D14" s="557"/>
      <c r="E14" s="557"/>
      <c r="F14" s="557"/>
      <c r="G14" s="1027"/>
      <c r="H14" s="1027"/>
      <c r="I14" s="1027"/>
      <c r="J14" s="1027"/>
      <c r="K14" s="1027"/>
      <c r="L14" s="1027"/>
      <c r="M14" s="1027"/>
      <c r="N14" s="1029">
        <v>1505.088</v>
      </c>
      <c r="O14" s="1029">
        <v>2343.44</v>
      </c>
      <c r="P14" s="1029"/>
      <c r="Q14" s="1029"/>
      <c r="R14" s="1029"/>
      <c r="S14" s="1029"/>
      <c r="T14" s="1029"/>
      <c r="U14" s="1024"/>
      <c r="V14" s="109">
        <f>V7+V10</f>
        <v>824.69999999999993</v>
      </c>
      <c r="W14" s="109">
        <f t="shared" ref="W14:AD14" si="5">W7+W10</f>
        <v>899.49</v>
      </c>
      <c r="X14" s="109">
        <f t="shared" si="5"/>
        <v>1124.96</v>
      </c>
      <c r="Y14" s="109">
        <f t="shared" si="5"/>
        <v>1116.2370000000001</v>
      </c>
      <c r="Z14" s="109">
        <f t="shared" si="5"/>
        <v>1243.45</v>
      </c>
      <c r="AA14" s="109">
        <f t="shared" si="5"/>
        <v>1409.1</v>
      </c>
      <c r="AB14" s="109">
        <f t="shared" si="5"/>
        <v>2161.3000000000002</v>
      </c>
      <c r="AC14" s="109">
        <f t="shared" si="5"/>
        <v>1752.9</v>
      </c>
      <c r="AD14" s="109">
        <f t="shared" si="5"/>
        <v>2105</v>
      </c>
      <c r="AE14" s="109">
        <f>AE7+AE10</f>
        <v>2108.4050000000002</v>
      </c>
      <c r="AH14" s="478"/>
      <c r="AI14" s="478"/>
      <c r="AJ14" s="478"/>
      <c r="AK14" s="478"/>
      <c r="AL14" s="478"/>
      <c r="AM14" s="478"/>
      <c r="AN14" s="478"/>
      <c r="AO14" s="478"/>
      <c r="AP14" s="478"/>
      <c r="AQ14" s="478"/>
      <c r="AR14" s="478"/>
      <c r="AS14" s="478"/>
      <c r="AT14" s="478"/>
      <c r="AU14" s="478"/>
    </row>
    <row r="15" spans="2:47">
      <c r="B15" s="418"/>
      <c r="C15" s="557" t="s">
        <v>1087</v>
      </c>
      <c r="D15" s="557"/>
      <c r="E15" s="557"/>
      <c r="F15" s="557"/>
      <c r="G15" s="1027"/>
      <c r="H15" s="1027"/>
      <c r="I15" s="1027"/>
      <c r="J15" s="1027"/>
      <c r="K15" s="1027"/>
      <c r="L15" s="1027"/>
      <c r="M15" s="1027"/>
      <c r="N15" s="1027"/>
      <c r="O15" s="1027"/>
      <c r="P15" s="1027"/>
      <c r="Q15" s="1027"/>
      <c r="R15" s="1027"/>
      <c r="S15" s="1027"/>
      <c r="T15" s="1027"/>
      <c r="U15" s="1024"/>
      <c r="V15" s="109">
        <f>V8+V11</f>
        <v>3324.9</v>
      </c>
      <c r="W15" s="109">
        <f t="shared" ref="W15:AD15" si="6">W8+W11</f>
        <v>2926.9</v>
      </c>
      <c r="X15" s="109">
        <f t="shared" si="6"/>
        <v>2763.8999999999996</v>
      </c>
      <c r="Y15" s="109">
        <f t="shared" si="6"/>
        <v>3220.2000000000003</v>
      </c>
      <c r="Z15" s="109">
        <f t="shared" si="6"/>
        <v>3408.8</v>
      </c>
      <c r="AA15" s="109">
        <f t="shared" si="6"/>
        <v>3125.5</v>
      </c>
      <c r="AB15" s="109">
        <f t="shared" si="6"/>
        <v>4258.3</v>
      </c>
      <c r="AC15" s="109">
        <f t="shared" si="6"/>
        <v>5260.924</v>
      </c>
      <c r="AD15" s="109">
        <f t="shared" si="6"/>
        <v>5931.4809999999998</v>
      </c>
      <c r="AE15" s="109">
        <f>AE8+AE11</f>
        <v>7685.701</v>
      </c>
      <c r="AH15" s="478"/>
      <c r="AI15" s="478"/>
      <c r="AJ15" s="478"/>
      <c r="AK15" s="478"/>
      <c r="AL15" s="478"/>
      <c r="AM15" s="478"/>
      <c r="AN15" s="478"/>
      <c r="AO15" s="478"/>
      <c r="AP15" s="478"/>
      <c r="AQ15" s="478"/>
      <c r="AR15" s="478"/>
      <c r="AS15" s="478"/>
      <c r="AT15" s="478"/>
      <c r="AU15" s="478"/>
    </row>
    <row r="17" spans="2:47" ht="46.5">
      <c r="B17" s="7" t="s">
        <v>829</v>
      </c>
      <c r="C17" s="480" t="s">
        <v>881</v>
      </c>
      <c r="D17" s="480"/>
      <c r="E17" s="480"/>
      <c r="F17" s="480"/>
      <c r="G17" s="133"/>
      <c r="H17" s="133"/>
      <c r="I17" s="287">
        <v>15.027200000000008</v>
      </c>
      <c r="J17" s="287">
        <v>45.227550000000001</v>
      </c>
      <c r="K17" s="287">
        <v>103.40539999999996</v>
      </c>
      <c r="L17" s="287">
        <v>44.506299999999989</v>
      </c>
      <c r="M17" s="287">
        <v>28.514300000000048</v>
      </c>
      <c r="N17" s="287">
        <v>483.53870000000006</v>
      </c>
      <c r="O17" s="287">
        <v>-217.10059999999987</v>
      </c>
      <c r="P17" s="287">
        <v>325.56299999999999</v>
      </c>
      <c r="Q17" s="287">
        <v>655.75057193059604</v>
      </c>
      <c r="R17" s="1047">
        <v>582.39933097983578</v>
      </c>
      <c r="S17" s="1047">
        <v>371.36299999999994</v>
      </c>
      <c r="T17" s="1047">
        <v>175.18800000000002</v>
      </c>
      <c r="U17" s="481">
        <v>121.78170138757282</v>
      </c>
      <c r="V17" s="481">
        <f t="shared" ref="V17:AE17" si="7">SUM(V18:V20)</f>
        <v>968.36136432312787</v>
      </c>
      <c r="W17" s="481">
        <f t="shared" si="7"/>
        <v>1305.1604664781826</v>
      </c>
      <c r="X17" s="481">
        <f t="shared" si="7"/>
        <v>1325.0734438892746</v>
      </c>
      <c r="Y17" s="481">
        <f t="shared" si="7"/>
        <v>1116.0152976915647</v>
      </c>
      <c r="Z17" s="481">
        <f t="shared" si="7"/>
        <v>729.9504946301264</v>
      </c>
      <c r="AA17" s="481">
        <f t="shared" si="7"/>
        <v>623.9973347770117</v>
      </c>
      <c r="AB17" s="481">
        <f t="shared" si="7"/>
        <v>1856.860324030195</v>
      </c>
      <c r="AC17" s="481">
        <f t="shared" si="7"/>
        <v>99.872524365029676</v>
      </c>
      <c r="AD17" s="481">
        <f t="shared" si="7"/>
        <v>973.23432028217758</v>
      </c>
      <c r="AE17" s="481">
        <f t="shared" si="7"/>
        <v>961.81867001639796</v>
      </c>
      <c r="AH17" t="s">
        <v>1019</v>
      </c>
    </row>
    <row r="18" spans="2:47" ht="18.75">
      <c r="B18" s="7" t="s">
        <v>830</v>
      </c>
      <c r="C18" s="423" t="s">
        <v>882</v>
      </c>
      <c r="D18" s="423"/>
      <c r="E18" s="423"/>
      <c r="F18" s="423"/>
      <c r="G18" s="1041">
        <v>23.543299999999999</v>
      </c>
      <c r="H18" s="1041">
        <v>9.4954000000000001</v>
      </c>
      <c r="I18" s="1041">
        <v>36.066400000000002</v>
      </c>
      <c r="J18" s="1041">
        <v>31.649699999999999</v>
      </c>
      <c r="K18" s="1041">
        <v>272.02509999999995</v>
      </c>
      <c r="L18" s="1041">
        <v>54.479300000000002</v>
      </c>
      <c r="M18" s="1041">
        <v>338.62740000000002</v>
      </c>
      <c r="N18" s="1041">
        <v>359.9674</v>
      </c>
      <c r="O18" s="1041">
        <v>375.78740000000005</v>
      </c>
      <c r="P18" s="1041">
        <v>15.8194</v>
      </c>
      <c r="Q18" s="1043">
        <v>89.254817821416594</v>
      </c>
      <c r="R18" s="1041">
        <v>444.17077428099577</v>
      </c>
      <c r="S18" s="1044">
        <v>233.46899999999999</v>
      </c>
      <c r="T18" s="1044">
        <v>105.38800000000001</v>
      </c>
      <c r="U18" s="483">
        <v>65.861701387572836</v>
      </c>
      <c r="V18" s="93">
        <v>91.805435520440767</v>
      </c>
      <c r="W18" s="483">
        <f>V18*EXP(-0.273272835762+7.30100938285*LN(W7/V7))</f>
        <v>215.27733538953845</v>
      </c>
      <c r="X18" s="483">
        <f>W18*EXP(-0.273272835762+2.30100938285*LN(X7/W7))</f>
        <v>303.52867293461657</v>
      </c>
      <c r="Y18" s="483">
        <f t="shared" ref="Y18:AE18" si="8">X18*EXP(-0.273272835762+2.30100938285*LN(Y7/X7))</f>
        <v>231.60661955904334</v>
      </c>
      <c r="Z18" s="483">
        <f t="shared" si="8"/>
        <v>240.82921184326045</v>
      </c>
      <c r="AA18" s="483">
        <f t="shared" si="8"/>
        <v>317.14288945717612</v>
      </c>
      <c r="AB18" s="482">
        <v>84</v>
      </c>
      <c r="AC18" s="483">
        <f t="shared" si="8"/>
        <v>38.461208848093811</v>
      </c>
      <c r="AD18" s="483">
        <f t="shared" si="8"/>
        <v>40.549281102612468</v>
      </c>
      <c r="AE18" s="483">
        <f t="shared" si="8"/>
        <v>34.228190317575212</v>
      </c>
      <c r="AH18" t="s">
        <v>1020</v>
      </c>
    </row>
    <row r="19" spans="2:47" ht="18.75">
      <c r="B19" s="7" t="s">
        <v>831</v>
      </c>
      <c r="C19" t="s">
        <v>883</v>
      </c>
      <c r="G19" s="93">
        <v>4.49</v>
      </c>
      <c r="H19" s="93">
        <v>15.172000000000001</v>
      </c>
      <c r="I19" s="93">
        <v>45.397400000000005</v>
      </c>
      <c r="J19" s="93">
        <v>13.87</v>
      </c>
      <c r="K19" s="93">
        <v>25.5</v>
      </c>
      <c r="L19" s="93">
        <v>0</v>
      </c>
      <c r="M19" s="93">
        <v>99.866399999999999</v>
      </c>
      <c r="N19" s="93">
        <v>32.838800000000006</v>
      </c>
      <c r="O19" s="93">
        <v>39.439399999999999</v>
      </c>
      <c r="P19" s="93">
        <v>120.40730000000001</v>
      </c>
      <c r="Q19" s="135">
        <v>68.5</v>
      </c>
      <c r="R19" s="135">
        <v>50.237000000000002</v>
      </c>
      <c r="S19" s="135">
        <v>71.748999999999995</v>
      </c>
      <c r="T19" s="135">
        <v>133.30000000000001</v>
      </c>
      <c r="U19" s="482">
        <v>123.9</v>
      </c>
      <c r="V19">
        <f>V49</f>
        <v>144</v>
      </c>
      <c r="W19">
        <f t="shared" ref="W19:AE19" si="9">W49</f>
        <v>178.6</v>
      </c>
      <c r="X19">
        <f t="shared" si="9"/>
        <v>134.9</v>
      </c>
      <c r="Y19">
        <f t="shared" si="9"/>
        <v>175.9</v>
      </c>
      <c r="Z19">
        <f t="shared" si="9"/>
        <v>166</v>
      </c>
      <c r="AA19">
        <f t="shared" si="9"/>
        <v>188.9</v>
      </c>
      <c r="AB19">
        <f t="shared" si="9"/>
        <v>266.60000000000002</v>
      </c>
      <c r="AC19">
        <f t="shared" si="9"/>
        <v>282.60000000000002</v>
      </c>
      <c r="AD19">
        <f t="shared" si="9"/>
        <v>481.7</v>
      </c>
      <c r="AE19">
        <f t="shared" si="9"/>
        <v>567.37522925890914</v>
      </c>
      <c r="AH19" t="s">
        <v>1021</v>
      </c>
    </row>
    <row r="20" spans="2:47" ht="18.75">
      <c r="B20" s="7" t="s">
        <v>832</v>
      </c>
      <c r="C20" s="423" t="s">
        <v>884</v>
      </c>
      <c r="D20" s="423"/>
      <c r="E20" s="423"/>
      <c r="F20" s="423"/>
      <c r="G20" s="1024"/>
      <c r="H20" s="1024"/>
      <c r="I20" s="1024">
        <v>-66.436599999999999</v>
      </c>
      <c r="J20" s="1024">
        <v>-0.29214999999999769</v>
      </c>
      <c r="K20" s="1024">
        <v>-194.11969999999999</v>
      </c>
      <c r="L20" s="1024">
        <v>-9.9730000000000132</v>
      </c>
      <c r="M20" s="1024">
        <v>-409.97949999999997</v>
      </c>
      <c r="N20" s="1024">
        <v>90.732500000000073</v>
      </c>
      <c r="O20" s="1024">
        <v>-632.3273999999999</v>
      </c>
      <c r="P20" s="1024">
        <v>189.33629999999999</v>
      </c>
      <c r="Q20" s="1024">
        <v>497.99575410917942</v>
      </c>
      <c r="R20" s="1024">
        <v>87.991556698839986</v>
      </c>
      <c r="S20" s="136">
        <v>66.144999999999996</v>
      </c>
      <c r="T20" s="136">
        <v>-63.5</v>
      </c>
      <c r="U20" s="482">
        <v>-67.98</v>
      </c>
      <c r="V20" s="484">
        <f>SUM(V21:V23)</f>
        <v>732.55592880268716</v>
      </c>
      <c r="W20" s="484">
        <f t="shared" ref="W20:AE20" si="10">SUM(W21:W23)</f>
        <v>911.28313108864404</v>
      </c>
      <c r="X20" s="484">
        <f t="shared" si="10"/>
        <v>886.64477095465804</v>
      </c>
      <c r="Y20" s="484">
        <f t="shared" si="10"/>
        <v>708.50867813252148</v>
      </c>
      <c r="Z20" s="484">
        <f t="shared" si="10"/>
        <v>323.12128278686595</v>
      </c>
      <c r="AA20" s="484">
        <f t="shared" si="10"/>
        <v>117.95444531983566</v>
      </c>
      <c r="AB20" s="484">
        <f t="shared" si="10"/>
        <v>1506.2603240301951</v>
      </c>
      <c r="AC20" s="484">
        <f t="shared" si="10"/>
        <v>-221.18868448306415</v>
      </c>
      <c r="AD20" s="484">
        <f t="shared" si="10"/>
        <v>450.98503917956509</v>
      </c>
      <c r="AE20" s="484">
        <f t="shared" si="10"/>
        <v>360.21525043991358</v>
      </c>
      <c r="AH20" t="s">
        <v>1022</v>
      </c>
    </row>
    <row r="21" spans="2:47" ht="18.75">
      <c r="B21" s="7" t="s">
        <v>833</v>
      </c>
      <c r="C21" s="424" t="s">
        <v>885</v>
      </c>
      <c r="D21" s="424"/>
      <c r="E21" s="424"/>
      <c r="F21" s="424"/>
      <c r="G21" s="1042"/>
      <c r="H21" s="1042"/>
      <c r="I21" s="1042">
        <v>-6.2730999999999923</v>
      </c>
      <c r="J21" s="1042">
        <v>13.915000000000003</v>
      </c>
      <c r="K21" s="1042">
        <v>-58.201999999999998</v>
      </c>
      <c r="L21" s="1042">
        <v>-97.321300000000008</v>
      </c>
      <c r="M21" s="1042">
        <v>-229.87029999999999</v>
      </c>
      <c r="N21" s="1042">
        <v>-216.55499999999995</v>
      </c>
      <c r="O21" s="1042">
        <v>-777.89649999999995</v>
      </c>
      <c r="P21" s="1042">
        <v>73.797700000000006</v>
      </c>
      <c r="Q21" s="1042">
        <v>7.4066411100310603</v>
      </c>
      <c r="R21" s="1048">
        <v>-123.59240630046077</v>
      </c>
      <c r="S21" s="1042">
        <v>63.726492223633244</v>
      </c>
      <c r="T21" s="1042">
        <v>243.59721481952772</v>
      </c>
      <c r="U21" s="1046">
        <v>-1014.3236006076457</v>
      </c>
      <c r="V21">
        <f>V54</f>
        <v>355.48331969428682</v>
      </c>
      <c r="W21">
        <f t="shared" ref="W21:AE21" si="11">W54</f>
        <v>486.16672289947712</v>
      </c>
      <c r="X21">
        <f t="shared" si="11"/>
        <v>401.61646419937665</v>
      </c>
      <c r="Y21">
        <f t="shared" si="11"/>
        <v>462.99986295377306</v>
      </c>
      <c r="Z21">
        <f t="shared" si="11"/>
        <v>-88.289116130298964</v>
      </c>
      <c r="AA21">
        <f t="shared" si="11"/>
        <v>-301.11427325039818</v>
      </c>
      <c r="AB21">
        <f t="shared" si="11"/>
        <v>807.72055572766135</v>
      </c>
      <c r="AC21">
        <f t="shared" si="11"/>
        <v>397.93397880709097</v>
      </c>
      <c r="AD21">
        <f t="shared" si="11"/>
        <v>237.33473605743123</v>
      </c>
      <c r="AE21">
        <f t="shared" si="11"/>
        <v>1935.4135025877385</v>
      </c>
      <c r="AH21" t="s">
        <v>1023</v>
      </c>
    </row>
    <row r="22" spans="2:47" ht="18.75">
      <c r="B22" s="7" t="s">
        <v>834</v>
      </c>
      <c r="C22" s="425" t="s">
        <v>886</v>
      </c>
      <c r="D22" s="425"/>
      <c r="E22" s="425"/>
      <c r="F22" s="425"/>
      <c r="G22" s="421"/>
      <c r="H22" s="421"/>
      <c r="I22" s="1042">
        <v>-3.8826000000000001</v>
      </c>
      <c r="J22" s="1042">
        <v>-10.331900000000001</v>
      </c>
      <c r="K22" s="1042">
        <v>-1.0358000000000001</v>
      </c>
      <c r="L22" s="1042">
        <v>11.374399999999994</v>
      </c>
      <c r="M22" s="1042">
        <v>-131.346</v>
      </c>
      <c r="N22" s="1042">
        <v>53.615899999999996</v>
      </c>
      <c r="O22" s="1042">
        <v>-104.81019999999999</v>
      </c>
      <c r="P22" s="1042">
        <v>-200.0035</v>
      </c>
      <c r="Q22" s="1042">
        <v>132.38047931600209</v>
      </c>
      <c r="R22" s="1048">
        <v>-274.29706503049897</v>
      </c>
      <c r="S22" s="1042">
        <v>-512.19377941977007</v>
      </c>
      <c r="T22" s="1042">
        <v>56.136885752081298</v>
      </c>
      <c r="U22" s="1046">
        <v>673.24806322968357</v>
      </c>
      <c r="V22">
        <f>V67</f>
        <v>6.8085498895654695</v>
      </c>
      <c r="W22">
        <f t="shared" ref="W22:AE22" si="12">W67</f>
        <v>107.94224315658914</v>
      </c>
      <c r="X22">
        <f t="shared" si="12"/>
        <v>143.81426233623861</v>
      </c>
      <c r="Y22">
        <f t="shared" si="12"/>
        <v>-106.38675095720009</v>
      </c>
      <c r="Z22">
        <f t="shared" si="12"/>
        <v>35.810630160558105</v>
      </c>
      <c r="AA22">
        <f t="shared" si="12"/>
        <v>49.544370158871743</v>
      </c>
      <c r="AB22">
        <f t="shared" si="12"/>
        <v>293.96960341058991</v>
      </c>
      <c r="AC22">
        <f t="shared" si="12"/>
        <v>-1100.1247696728533</v>
      </c>
      <c r="AD22">
        <f t="shared" si="12"/>
        <v>-325.18942597180194</v>
      </c>
      <c r="AE22">
        <f t="shared" si="12"/>
        <v>-2205.8960067860453</v>
      </c>
      <c r="AH22" t="s">
        <v>1024</v>
      </c>
    </row>
    <row r="23" spans="2:47" ht="18.75">
      <c r="B23" s="7" t="s">
        <v>835</v>
      </c>
      <c r="C23" s="421" t="s">
        <v>887</v>
      </c>
      <c r="D23" s="421"/>
      <c r="E23" s="421"/>
      <c r="F23" s="421"/>
      <c r="G23" s="421"/>
      <c r="H23" s="421"/>
      <c r="I23" s="1042">
        <v>-56.28090000000001</v>
      </c>
      <c r="J23" s="1042">
        <v>-3.8752499999999994</v>
      </c>
      <c r="K23" s="1042">
        <v>-134.8819</v>
      </c>
      <c r="L23" s="1042">
        <v>75.9739</v>
      </c>
      <c r="M23" s="1042">
        <v>-48.763199999999991</v>
      </c>
      <c r="N23" s="1042">
        <v>253.67160000000001</v>
      </c>
      <c r="O23" s="1042">
        <v>250.3793</v>
      </c>
      <c r="P23" s="1042">
        <v>315.5421</v>
      </c>
      <c r="Q23" s="1042">
        <v>358.20863368314627</v>
      </c>
      <c r="R23" s="1048">
        <v>485.88102802979972</v>
      </c>
      <c r="S23" s="1042">
        <v>187.31464183911629</v>
      </c>
      <c r="T23" s="1042">
        <v>380.28894290439439</v>
      </c>
      <c r="U23" s="1046">
        <v>365.23166888002584</v>
      </c>
      <c r="V23">
        <f>V77</f>
        <v>370.26405921883486</v>
      </c>
      <c r="W23">
        <f t="shared" ref="W23:AE23" si="13">W77</f>
        <v>317.17416503257772</v>
      </c>
      <c r="X23">
        <f t="shared" si="13"/>
        <v>341.21404441904275</v>
      </c>
      <c r="Y23">
        <f t="shared" si="13"/>
        <v>351.89556613594857</v>
      </c>
      <c r="Z23">
        <f t="shared" si="13"/>
        <v>375.59976875660681</v>
      </c>
      <c r="AA23">
        <f t="shared" si="13"/>
        <v>369.5243484113621</v>
      </c>
      <c r="AB23">
        <f t="shared" si="13"/>
        <v>404.57016489194393</v>
      </c>
      <c r="AC23">
        <f t="shared" si="13"/>
        <v>481.00210638269817</v>
      </c>
      <c r="AD23">
        <f t="shared" si="13"/>
        <v>538.83972909393583</v>
      </c>
      <c r="AE23">
        <f t="shared" si="13"/>
        <v>630.69775463822032</v>
      </c>
      <c r="AH23" t="s">
        <v>1025</v>
      </c>
    </row>
    <row r="24" spans="2:47">
      <c r="C24" s="421"/>
      <c r="D24" s="421"/>
      <c r="E24" s="421"/>
      <c r="F24" s="421"/>
      <c r="G24" s="421"/>
      <c r="H24" s="421"/>
      <c r="I24" s="1042"/>
      <c r="J24" s="1042"/>
      <c r="K24" s="1042"/>
      <c r="L24" s="1042"/>
      <c r="M24" s="1042"/>
      <c r="N24" s="1042"/>
      <c r="O24" s="1042"/>
      <c r="P24" s="1042"/>
      <c r="Q24" s="1042"/>
      <c r="R24" s="1042"/>
      <c r="S24" s="1042"/>
      <c r="T24" s="1042"/>
      <c r="U24" s="1046"/>
    </row>
    <row r="25" spans="2:47">
      <c r="C25" s="421"/>
      <c r="D25" s="421"/>
      <c r="E25" s="421"/>
      <c r="F25" s="421"/>
      <c r="G25" s="421"/>
      <c r="H25" s="421"/>
      <c r="I25" s="1042"/>
      <c r="J25" s="1042"/>
      <c r="K25" s="1042"/>
      <c r="L25" s="1042"/>
      <c r="M25" s="1042"/>
      <c r="N25" s="1042"/>
      <c r="O25" s="1042"/>
      <c r="P25" s="1042"/>
      <c r="Q25" s="1042"/>
      <c r="R25" s="1042"/>
      <c r="S25" s="1042"/>
      <c r="T25" s="1042"/>
      <c r="U25" s="1046"/>
    </row>
    <row r="26" spans="2:47">
      <c r="C26" s="421"/>
      <c r="D26" s="421"/>
      <c r="E26" s="421"/>
      <c r="F26" s="421"/>
      <c r="G26" s="421"/>
      <c r="H26" s="421"/>
      <c r="I26" s="1042"/>
      <c r="J26" s="1042"/>
      <c r="K26" s="1042"/>
      <c r="L26" s="1042"/>
      <c r="M26" s="1042"/>
      <c r="N26" s="1042"/>
      <c r="O26" s="1042"/>
      <c r="P26" s="1042"/>
      <c r="Q26" s="1042"/>
      <c r="R26" s="1042"/>
      <c r="S26" s="1042"/>
      <c r="T26" s="1042"/>
      <c r="U26" s="1046"/>
    </row>
    <row r="27" spans="2:47" ht="18.75">
      <c r="B27" s="7" t="s">
        <v>836</v>
      </c>
      <c r="C27" s="426" t="s">
        <v>888</v>
      </c>
      <c r="D27" s="426"/>
      <c r="E27" s="426"/>
      <c r="F27" s="426"/>
      <c r="G27" s="495"/>
      <c r="H27" s="495"/>
      <c r="I27" s="495">
        <v>0.10651099999999999</v>
      </c>
      <c r="J27" s="1040">
        <v>-40.463799999999999</v>
      </c>
      <c r="K27" s="495">
        <v>-46.363300000000002</v>
      </c>
      <c r="L27" s="495">
        <v>-25.646599999999999</v>
      </c>
      <c r="M27" s="495">
        <v>-7.1136400000000002</v>
      </c>
      <c r="N27" s="495">
        <v>11.523899999999999</v>
      </c>
      <c r="O27" s="495">
        <v>169.53</v>
      </c>
      <c r="P27" s="495">
        <v>-145.70699999999999</v>
      </c>
      <c r="Q27" s="1045">
        <v>-164.8</v>
      </c>
      <c r="R27" s="1045">
        <v>-118.7</v>
      </c>
      <c r="S27" s="1045">
        <v>-115.17700000000001</v>
      </c>
      <c r="T27" s="1045">
        <v>-9.4830000000000005</v>
      </c>
      <c r="U27" s="482">
        <v>89.9</v>
      </c>
      <c r="V27" s="287">
        <f>-(V17+V4)</f>
        <v>-491.26136432312762</v>
      </c>
      <c r="W27" s="287">
        <f t="shared" ref="W27:AE27" si="14">-(W17+W4)</f>
        <v>-1014.3374664781826</v>
      </c>
      <c r="X27" s="287">
        <f t="shared" si="14"/>
        <v>-1484.0034438892749</v>
      </c>
      <c r="Y27" s="287">
        <f t="shared" si="14"/>
        <v>-737.55229769156449</v>
      </c>
      <c r="Z27" s="287">
        <f t="shared" si="14"/>
        <v>-544.60049463012649</v>
      </c>
      <c r="AA27" s="287">
        <f t="shared" si="14"/>
        <v>-977.69733477701163</v>
      </c>
      <c r="AB27" s="287">
        <f t="shared" si="14"/>
        <v>-2591.5603240301948</v>
      </c>
      <c r="AC27" s="287">
        <f t="shared" si="14"/>
        <v>-1734.5485243650294</v>
      </c>
      <c r="AD27" s="287">
        <f t="shared" si="14"/>
        <v>-1557.1533202821777</v>
      </c>
      <c r="AE27" s="287">
        <f t="shared" si="14"/>
        <v>-59.546670016398025</v>
      </c>
      <c r="AH27" t="s">
        <v>1026</v>
      </c>
    </row>
    <row r="28" spans="2:47" ht="18.75">
      <c r="B28" s="7" t="s">
        <v>837</v>
      </c>
      <c r="C28" s="427" t="s">
        <v>889</v>
      </c>
      <c r="D28" s="427"/>
      <c r="E28" s="427"/>
      <c r="F28" s="427"/>
      <c r="G28" s="93"/>
      <c r="I28" s="93"/>
      <c r="J28" s="93"/>
      <c r="K28" s="93"/>
      <c r="L28" s="93"/>
      <c r="M28" s="93"/>
      <c r="N28" s="93">
        <v>376.20647457627115</v>
      </c>
      <c r="O28" s="93">
        <v>206.67647457627118</v>
      </c>
      <c r="P28" s="95">
        <v>352.38347457627117</v>
      </c>
      <c r="Q28" s="85">
        <v>665.3</v>
      </c>
      <c r="R28" s="135">
        <v>801.6</v>
      </c>
      <c r="S28" s="135">
        <v>972</v>
      </c>
      <c r="T28" s="135">
        <v>1071</v>
      </c>
      <c r="U28" s="483">
        <v>981.1</v>
      </c>
      <c r="V28" s="93">
        <v>1472.3613643231276</v>
      </c>
      <c r="W28" s="93">
        <f>V28-W27</f>
        <v>2486.6988308013101</v>
      </c>
      <c r="X28" s="93">
        <f t="shared" ref="X28:AE28" si="15">W28-X27</f>
        <v>3970.702274690585</v>
      </c>
      <c r="Y28" s="93">
        <f t="shared" si="15"/>
        <v>4708.2545723821495</v>
      </c>
      <c r="Z28" s="93">
        <f t="shared" si="15"/>
        <v>5252.8550670122759</v>
      </c>
      <c r="AA28" s="93">
        <f t="shared" si="15"/>
        <v>6230.5524017892876</v>
      </c>
      <c r="AB28" s="93">
        <f t="shared" si="15"/>
        <v>8822.1127258194829</v>
      </c>
      <c r="AC28" s="93">
        <f t="shared" si="15"/>
        <v>10556.661250184512</v>
      </c>
      <c r="AD28" s="93">
        <f t="shared" si="15"/>
        <v>12113.814570466689</v>
      </c>
      <c r="AE28" s="93">
        <f t="shared" si="15"/>
        <v>12173.361240483087</v>
      </c>
      <c r="AH28" t="s">
        <v>1027</v>
      </c>
    </row>
    <row r="29" spans="2:47">
      <c r="C29" s="427" t="s">
        <v>890</v>
      </c>
      <c r="D29" s="427"/>
      <c r="E29" s="427"/>
      <c r="F29" s="427"/>
      <c r="G29" s="93"/>
      <c r="H29" s="93"/>
      <c r="I29" s="93"/>
      <c r="J29" s="93"/>
      <c r="K29" s="93"/>
      <c r="L29" s="93"/>
      <c r="M29" s="93"/>
      <c r="N29" s="93">
        <v>1.1888919664149735</v>
      </c>
      <c r="O29" s="93">
        <v>0.56361797180499773</v>
      </c>
      <c r="P29" s="93">
        <v>1.3728201124316217</v>
      </c>
      <c r="Q29" s="93">
        <v>2.2427279050456042</v>
      </c>
      <c r="R29" s="93">
        <v>2.2008494795770721</v>
      </c>
      <c r="S29" s="93">
        <v>2.1822908890477959</v>
      </c>
      <c r="T29" s="93">
        <v>2.3153298363181429</v>
      </c>
      <c r="U29" s="483">
        <v>3.382005268404225</v>
      </c>
      <c r="V29" s="483">
        <f>V28/(V8+V11/12)*10</f>
        <v>5.0755242392395736</v>
      </c>
      <c r="W29" s="483">
        <f t="shared" ref="W29:AE29" si="16">W28/(W8+W11/12)*10</f>
        <v>9.6235405946315637</v>
      </c>
      <c r="X29" s="483">
        <f t="shared" si="16"/>
        <v>16.401749519045254</v>
      </c>
      <c r="Y29" s="483">
        <f t="shared" si="16"/>
        <v>16.811892565325202</v>
      </c>
      <c r="Z29" s="483">
        <f t="shared" si="16"/>
        <v>17.736245224831684</v>
      </c>
      <c r="AA29" s="483">
        <f t="shared" si="16"/>
        <v>22.659300770236225</v>
      </c>
      <c r="AB29" s="483">
        <f t="shared" si="16"/>
        <v>23.394624040889639</v>
      </c>
      <c r="AC29" s="483">
        <f t="shared" si="16"/>
        <v>22.787224951724468</v>
      </c>
      <c r="AD29" s="483">
        <f t="shared" si="16"/>
        <v>23.093477294791811</v>
      </c>
      <c r="AE29" s="483">
        <f t="shared" si="16"/>
        <v>17.232693104995292</v>
      </c>
    </row>
    <row r="31" spans="2:47" ht="18.75">
      <c r="B31" s="417"/>
      <c r="C31" s="419" t="s">
        <v>891</v>
      </c>
      <c r="D31" s="419"/>
      <c r="E31" s="419"/>
      <c r="F31" s="419"/>
      <c r="G31" s="419"/>
      <c r="H31" s="419"/>
      <c r="I31" s="419"/>
      <c r="J31" s="419"/>
      <c r="K31" s="419"/>
      <c r="L31" s="419"/>
      <c r="M31" s="419"/>
      <c r="N31" s="419"/>
      <c r="O31" s="419"/>
      <c r="P31" s="419"/>
      <c r="Q31" s="419"/>
      <c r="R31" s="419"/>
      <c r="S31" s="419"/>
      <c r="T31" s="419"/>
      <c r="U31" s="419"/>
      <c r="V31" s="417"/>
      <c r="W31" s="417"/>
      <c r="X31" s="417"/>
      <c r="Y31" s="417"/>
      <c r="Z31" s="417"/>
      <c r="AA31" s="417"/>
      <c r="AB31" s="417"/>
      <c r="AC31" s="417"/>
      <c r="AD31" s="417"/>
      <c r="AE31" s="417"/>
      <c r="AF31" s="417"/>
      <c r="AG31" s="417"/>
      <c r="AH31" s="417"/>
      <c r="AI31" s="417"/>
      <c r="AJ31" s="417"/>
      <c r="AK31" s="417"/>
      <c r="AL31" s="417"/>
      <c r="AM31" s="417"/>
      <c r="AN31" s="417"/>
      <c r="AO31" s="417"/>
      <c r="AP31" s="417"/>
      <c r="AQ31" s="417"/>
      <c r="AR31" s="417"/>
      <c r="AS31" s="417"/>
      <c r="AT31" s="417"/>
      <c r="AU31" s="417"/>
    </row>
    <row r="33" spans="2:34" ht="18.75">
      <c r="B33" s="7" t="s">
        <v>827</v>
      </c>
      <c r="C33" s="428" t="s">
        <v>892</v>
      </c>
      <c r="D33" s="428"/>
      <c r="E33" s="428"/>
      <c r="F33" s="428"/>
      <c r="G33" s="491">
        <v>-20.582099999999997</v>
      </c>
      <c r="H33" s="491">
        <v>-18.4925</v>
      </c>
      <c r="I33" s="491">
        <v>-41.128399999999999</v>
      </c>
      <c r="J33" s="491">
        <v>-70.3018</v>
      </c>
      <c r="K33" s="491">
        <v>-57.538400000000003</v>
      </c>
      <c r="L33" s="491">
        <v>-40.7774</v>
      </c>
      <c r="M33" s="491">
        <v>-63.9236</v>
      </c>
      <c r="N33" s="491">
        <v>-50.742899999999999</v>
      </c>
      <c r="O33" s="1050">
        <v>-52.5</v>
      </c>
      <c r="P33" s="1050">
        <v>-71.3</v>
      </c>
      <c r="Q33" s="1050">
        <v>-78.7</v>
      </c>
      <c r="R33" s="1050">
        <v>-39.6</v>
      </c>
      <c r="S33" s="1050">
        <v>-65.099999999999994</v>
      </c>
      <c r="T33" s="1052">
        <v>-45.3</v>
      </c>
      <c r="U33" s="1052">
        <v>-96.5</v>
      </c>
      <c r="V33" s="133">
        <f>V34+V35</f>
        <v>-93.7229177221935</v>
      </c>
      <c r="W33" s="133">
        <f t="shared" ref="W33:AD33" si="17">W34+W35</f>
        <v>-99.2477858249392</v>
      </c>
      <c r="X33" s="133">
        <f t="shared" si="17"/>
        <v>-101.9561620079144</v>
      </c>
      <c r="Y33" s="133">
        <f t="shared" si="17"/>
        <v>-111.27783291880033</v>
      </c>
      <c r="Z33" s="133">
        <f t="shared" si="17"/>
        <v>-114.58058017275339</v>
      </c>
      <c r="AA33" s="133">
        <f t="shared" si="17"/>
        <v>-120.43325614765632</v>
      </c>
      <c r="AB33" s="133">
        <f t="shared" si="17"/>
        <v>-127.13212489449101</v>
      </c>
      <c r="AC33" s="133">
        <f t="shared" si="17"/>
        <v>-130.24709794609197</v>
      </c>
      <c r="AD33" s="133">
        <f t="shared" si="17"/>
        <v>-137.02321957766515</v>
      </c>
      <c r="AE33" s="133">
        <f>AE34+AE35</f>
        <v>-144.25609636058482</v>
      </c>
      <c r="AH33" t="s">
        <v>1028</v>
      </c>
    </row>
    <row r="34" spans="2:34" ht="18.75">
      <c r="B34" s="7" t="s">
        <v>838</v>
      </c>
      <c r="C34" t="s">
        <v>893</v>
      </c>
      <c r="G34" s="92">
        <v>-11.899999999999999</v>
      </c>
      <c r="H34" s="92">
        <v>-13.299999999999999</v>
      </c>
      <c r="I34" s="92">
        <v>-16.799999999999997</v>
      </c>
      <c r="J34" s="92">
        <v>-14.5</v>
      </c>
      <c r="K34" s="92">
        <v>-14.100000000000001</v>
      </c>
      <c r="L34" s="92">
        <v>-12.2</v>
      </c>
      <c r="M34" s="92">
        <v>-9.4999999999999982</v>
      </c>
      <c r="N34" s="92">
        <v>-11.799999999999999</v>
      </c>
      <c r="O34" s="92">
        <v>-17.099999999999998</v>
      </c>
      <c r="P34" s="92">
        <v>-29.6</v>
      </c>
      <c r="Q34" s="667">
        <v>-14.8</v>
      </c>
      <c r="R34" s="92">
        <v>-77.400000000000006</v>
      </c>
      <c r="S34" s="92">
        <v>-93.6</v>
      </c>
      <c r="T34" s="92">
        <v>-80.8</v>
      </c>
      <c r="U34" s="476">
        <v>-112</v>
      </c>
      <c r="V34">
        <f>-V84</f>
        <v>-30.374005169835055</v>
      </c>
      <c r="W34">
        <f t="shared" ref="W34:AE34" si="18">-W84</f>
        <v>-33.872981310636867</v>
      </c>
      <c r="X34">
        <f t="shared" si="18"/>
        <v>-39.493809597096408</v>
      </c>
      <c r="Y34">
        <f t="shared" si="18"/>
        <v>-47.377832918800316</v>
      </c>
      <c r="Z34">
        <f t="shared" si="18"/>
        <v>-50.680580172753388</v>
      </c>
      <c r="AA34">
        <f t="shared" si="18"/>
        <v>-56.533256147656317</v>
      </c>
      <c r="AB34">
        <f t="shared" si="18"/>
        <v>-63.232124894491051</v>
      </c>
      <c r="AC34">
        <f t="shared" si="18"/>
        <v>-66.347097946091978</v>
      </c>
      <c r="AD34">
        <f t="shared" si="18"/>
        <v>-69.013709042822626</v>
      </c>
      <c r="AE34">
        <f t="shared" si="18"/>
        <v>-71.795130679196475</v>
      </c>
      <c r="AH34" t="s">
        <v>1029</v>
      </c>
    </row>
    <row r="35" spans="2:34" ht="18.75">
      <c r="B35" s="7" t="s">
        <v>839</v>
      </c>
      <c r="C35" t="s">
        <v>894</v>
      </c>
      <c r="G35" s="92">
        <v>-8.6820999999999984</v>
      </c>
      <c r="H35" s="92">
        <v>-5.1925000000000008</v>
      </c>
      <c r="I35" s="92">
        <v>-24.328400000000002</v>
      </c>
      <c r="J35" s="92">
        <v>-55.8018</v>
      </c>
      <c r="K35" s="92">
        <v>-43.438400000000001</v>
      </c>
      <c r="L35" s="92">
        <v>-28.577400000000001</v>
      </c>
      <c r="M35" s="92">
        <v>-54.4236</v>
      </c>
      <c r="N35" s="92">
        <v>-38.942900000000002</v>
      </c>
      <c r="O35" s="92">
        <v>-35.400000000000006</v>
      </c>
      <c r="P35" s="92">
        <v>-41.699999999999996</v>
      </c>
      <c r="Q35" s="92">
        <v>-63.900000000000006</v>
      </c>
      <c r="R35" s="92">
        <v>37.800000000000004</v>
      </c>
      <c r="S35" s="92">
        <v>28.5</v>
      </c>
      <c r="T35" s="92">
        <v>35.5</v>
      </c>
      <c r="U35" s="92">
        <v>15.5</v>
      </c>
      <c r="V35" s="123">
        <v>-63.348912552358442</v>
      </c>
      <c r="W35" s="123">
        <v>-65.374804514302326</v>
      </c>
      <c r="X35" s="123">
        <v>-62.462352410817992</v>
      </c>
      <c r="Y35" s="123">
        <v>-63.900000000000013</v>
      </c>
      <c r="Z35" s="123">
        <v>-63.9</v>
      </c>
      <c r="AA35" s="123">
        <v>-63.900000000000006</v>
      </c>
      <c r="AB35" s="123">
        <v>-63.899999999999963</v>
      </c>
      <c r="AC35" s="123">
        <v>-63.899999999999991</v>
      </c>
      <c r="AD35" s="123">
        <v>-68.009510534842519</v>
      </c>
      <c r="AE35" s="123">
        <v>-72.460965681388359</v>
      </c>
      <c r="AH35" t="s">
        <v>1030</v>
      </c>
    </row>
    <row r="36" spans="2:34" ht="18.75">
      <c r="B36" s="7" t="s">
        <v>840</v>
      </c>
      <c r="C36" t="s">
        <v>895</v>
      </c>
      <c r="G36" s="92">
        <v>0.222</v>
      </c>
      <c r="H36" s="92">
        <v>-0.15369999999999998</v>
      </c>
      <c r="I36" s="92">
        <v>-0.29580000000000001</v>
      </c>
      <c r="J36" s="92">
        <v>-1.21E-2</v>
      </c>
      <c r="K36" s="92">
        <v>-3.73E-2</v>
      </c>
      <c r="L36" s="92">
        <v>0.15669999999999998</v>
      </c>
      <c r="M36" s="92">
        <v>1.7230999999999999</v>
      </c>
      <c r="N36" s="92">
        <v>1.6742999999999999</v>
      </c>
      <c r="O36" s="92">
        <v>1.7766999999999999</v>
      </c>
      <c r="P36" s="92">
        <v>2.3164000000000002</v>
      </c>
      <c r="Q36" s="1028">
        <v>3.6</v>
      </c>
      <c r="R36" s="1029">
        <v>14.7</v>
      </c>
      <c r="S36" s="1036">
        <v>7.2</v>
      </c>
      <c r="T36" s="1036">
        <v>24.3</v>
      </c>
      <c r="U36" s="1056">
        <v>22</v>
      </c>
      <c r="V36" s="93">
        <v>20.785158239359767</v>
      </c>
      <c r="W36" s="92">
        <f>V36*((W8+W11)/(V8+V11))/((W7+W10)/(V7+V10))</f>
        <v>16.775763191831537</v>
      </c>
      <c r="X36" s="92">
        <f t="shared" ref="X36:AE36" si="19">W36*((X8+X11)/(W8+W11))/((X7+X10)/(W7+W10))</f>
        <v>12.666481322906952</v>
      </c>
      <c r="Y36" s="92">
        <f t="shared" si="19"/>
        <v>14.872951901258286</v>
      </c>
      <c r="Z36" s="92">
        <f t="shared" si="19"/>
        <v>14.133311673805942</v>
      </c>
      <c r="AA36" s="92">
        <f t="shared" si="19"/>
        <v>11.435322842200598</v>
      </c>
      <c r="AB36" s="92">
        <f t="shared" si="19"/>
        <v>10.157619558865498</v>
      </c>
      <c r="AC36" s="92">
        <f t="shared" si="19"/>
        <v>15.473039304326125</v>
      </c>
      <c r="AD36" s="92">
        <f t="shared" si="19"/>
        <v>14.527195637426338</v>
      </c>
      <c r="AE36" s="92">
        <f t="shared" si="19"/>
        <v>18.793176357464915</v>
      </c>
      <c r="AH36" t="s">
        <v>1031</v>
      </c>
    </row>
    <row r="37" spans="2:34" ht="15.75">
      <c r="B37" s="488" t="s">
        <v>1065</v>
      </c>
      <c r="C37" s="123" t="s">
        <v>894</v>
      </c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487">
        <f>V33-V34</f>
        <v>-63.348912552358442</v>
      </c>
      <c r="W37" s="487">
        <f t="shared" ref="W37:AE37" si="20">W33-W34</f>
        <v>-65.374804514302326</v>
      </c>
      <c r="X37" s="487">
        <f t="shared" si="20"/>
        <v>-62.462352410817992</v>
      </c>
      <c r="Y37" s="487">
        <f t="shared" si="20"/>
        <v>-63.900000000000013</v>
      </c>
      <c r="Z37" s="487">
        <f t="shared" si="20"/>
        <v>-63.9</v>
      </c>
      <c r="AA37" s="487">
        <f t="shared" si="20"/>
        <v>-63.900000000000006</v>
      </c>
      <c r="AB37" s="487">
        <f t="shared" si="20"/>
        <v>-63.899999999999963</v>
      </c>
      <c r="AC37" s="487">
        <f t="shared" si="20"/>
        <v>-63.899999999999991</v>
      </c>
      <c r="AD37" s="487">
        <f t="shared" si="20"/>
        <v>-68.009510534842519</v>
      </c>
      <c r="AE37" s="487">
        <f t="shared" si="20"/>
        <v>-72.460965681388345</v>
      </c>
    </row>
    <row r="38" spans="2:34" ht="18.75">
      <c r="B38" s="7" t="s">
        <v>828</v>
      </c>
      <c r="C38" s="428" t="s">
        <v>896</v>
      </c>
      <c r="D38" s="428"/>
      <c r="E38" s="428"/>
      <c r="F38" s="428"/>
      <c r="G38" s="491">
        <v>34.613599999999998</v>
      </c>
      <c r="H38" s="491">
        <v>79.101699999999994</v>
      </c>
      <c r="I38" s="491">
        <v>184.04089999999999</v>
      </c>
      <c r="J38" s="491">
        <v>218.07820000000001</v>
      </c>
      <c r="K38" s="491">
        <v>225.61439999999999</v>
      </c>
      <c r="L38" s="491">
        <v>449.92790000000002</v>
      </c>
      <c r="M38" s="491">
        <v>801.98559999999998</v>
      </c>
      <c r="N38" s="491">
        <v>1557.1961999999999</v>
      </c>
      <c r="O38" s="1050">
        <v>2498.3000000000002</v>
      </c>
      <c r="P38" s="1050">
        <v>1734.9</v>
      </c>
      <c r="Q38" s="1050">
        <v>2240.1</v>
      </c>
      <c r="R38" s="1050">
        <v>2171.7000000000003</v>
      </c>
      <c r="S38" s="1050">
        <v>3450.5</v>
      </c>
      <c r="T38" s="1052">
        <v>4071.498</v>
      </c>
      <c r="U38" s="1056">
        <v>3720.1</v>
      </c>
      <c r="V38" s="133">
        <f>V39+V40</f>
        <v>2482.3272469997601</v>
      </c>
      <c r="W38" s="133">
        <f t="shared" ref="W38:AE38" si="21">W39+W40</f>
        <v>2072.1279021043879</v>
      </c>
      <c r="X38" s="133">
        <f t="shared" si="21"/>
        <v>2507.0561105045426</v>
      </c>
      <c r="Y38" s="133">
        <f t="shared" si="21"/>
        <v>2442.5971020697498</v>
      </c>
      <c r="Z38" s="133">
        <f t="shared" si="21"/>
        <v>2596.6797475249741</v>
      </c>
      <c r="AA38" s="133">
        <f t="shared" si="21"/>
        <v>2433.4582880488315</v>
      </c>
      <c r="AB38" s="133">
        <f t="shared" si="21"/>
        <v>1896.1227467118342</v>
      </c>
      <c r="AC38" s="133">
        <f t="shared" si="21"/>
        <v>3551.1673053026848</v>
      </c>
      <c r="AD38" s="133">
        <f t="shared" si="21"/>
        <v>3038.0101912048012</v>
      </c>
      <c r="AE38" s="133">
        <f t="shared" si="21"/>
        <v>2787.8285330174367</v>
      </c>
      <c r="AH38" t="s">
        <v>1032</v>
      </c>
    </row>
    <row r="39" spans="2:34" ht="18.75">
      <c r="B39" s="7" t="s">
        <v>719</v>
      </c>
      <c r="C39" s="429" t="s">
        <v>897</v>
      </c>
      <c r="D39" s="429"/>
      <c r="E39" s="429"/>
      <c r="F39" s="429"/>
      <c r="G39" s="92">
        <v>36.483599999999996</v>
      </c>
      <c r="H39" s="92">
        <v>93.028399999999991</v>
      </c>
      <c r="I39" s="92">
        <v>201.71960000000001</v>
      </c>
      <c r="J39" s="92">
        <v>285.10849999999999</v>
      </c>
      <c r="K39" s="92">
        <v>348.41059999999999</v>
      </c>
      <c r="L39" s="92">
        <v>599.91049999999996</v>
      </c>
      <c r="M39" s="92">
        <v>1202.3678</v>
      </c>
      <c r="N39" s="92">
        <v>1794.3315</v>
      </c>
      <c r="O39" s="92">
        <v>2705.1605</v>
      </c>
      <c r="P39" s="1036">
        <v>1861.7883999999999</v>
      </c>
      <c r="Q39" s="1028">
        <v>2420.6999999999998</v>
      </c>
      <c r="R39" s="1051">
        <v>3147.8</v>
      </c>
      <c r="S39" s="1051">
        <v>3715.2</v>
      </c>
      <c r="T39" s="1036">
        <v>4304.7</v>
      </c>
      <c r="U39" s="1056">
        <v>3919.1</v>
      </c>
      <c r="V39" s="93">
        <v>2659.49948650957</v>
      </c>
      <c r="W39" s="92">
        <f>V39*(W43+W44)/(V43+V44)</f>
        <v>2221.9401329704319</v>
      </c>
      <c r="X39" s="92">
        <f t="shared" ref="X39:AD39" si="22">W39*(X43+X44)/(W43+W44)</f>
        <v>2668.5224832144281</v>
      </c>
      <c r="Y39" s="92">
        <f t="shared" si="22"/>
        <v>2608.9606283393596</v>
      </c>
      <c r="Z39" s="92">
        <f t="shared" si="22"/>
        <v>2774.5276220133469</v>
      </c>
      <c r="AA39" s="92">
        <f t="shared" si="22"/>
        <v>2607.7272396216304</v>
      </c>
      <c r="AB39" s="92">
        <f t="shared" si="22"/>
        <v>2087.6129158005187</v>
      </c>
      <c r="AC39" s="92">
        <f t="shared" si="22"/>
        <v>3780.812819345389</v>
      </c>
      <c r="AD39" s="92">
        <f t="shared" si="22"/>
        <v>3296.4055830586117</v>
      </c>
      <c r="AE39" s="92">
        <f>AD39*(AE43+AE44)/(AD43+AD44)</f>
        <v>3092.1821653456523</v>
      </c>
      <c r="AH39" t="s">
        <v>1033</v>
      </c>
    </row>
    <row r="40" spans="2:34" ht="18.75">
      <c r="B40" s="7" t="s">
        <v>841</v>
      </c>
      <c r="C40" s="429" t="s">
        <v>898</v>
      </c>
      <c r="D40" s="429"/>
      <c r="E40" s="429"/>
      <c r="F40" s="429"/>
      <c r="G40" s="92">
        <v>-1.87</v>
      </c>
      <c r="H40" s="92">
        <v>-13.9267</v>
      </c>
      <c r="I40" s="92">
        <v>-17.678699999999999</v>
      </c>
      <c r="J40" s="92">
        <v>-67.030299999999997</v>
      </c>
      <c r="K40" s="92">
        <v>-122.7962</v>
      </c>
      <c r="L40" s="92">
        <v>-149.98260000000002</v>
      </c>
      <c r="M40" s="92">
        <v>-400.38220000000001</v>
      </c>
      <c r="N40" s="92">
        <v>-237.1353</v>
      </c>
      <c r="O40" s="92">
        <v>-206.8306</v>
      </c>
      <c r="P40" s="1036">
        <v>-126.9285</v>
      </c>
      <c r="Q40" s="1035">
        <v>-180.6</v>
      </c>
      <c r="R40" s="1051">
        <v>-976.1</v>
      </c>
      <c r="S40" s="1051">
        <v>-264.7</v>
      </c>
      <c r="T40" s="1029">
        <v>-233.2</v>
      </c>
      <c r="U40" s="1052">
        <v>-198</v>
      </c>
      <c r="V40" s="93">
        <v>-177.17223950980983</v>
      </c>
      <c r="W40" s="479">
        <f>V40*W2/V2</f>
        <v>-149.81223086604402</v>
      </c>
      <c r="X40" s="479">
        <f t="shared" ref="X40:AE40" si="23">W40*X2/W2</f>
        <v>-161.46637270988529</v>
      </c>
      <c r="Y40" s="479">
        <f t="shared" si="23"/>
        <v>-166.36352626960976</v>
      </c>
      <c r="Z40" s="479">
        <f t="shared" si="23"/>
        <v>-177.84787448837275</v>
      </c>
      <c r="AA40" s="479">
        <f t="shared" si="23"/>
        <v>-174.2689515727987</v>
      </c>
      <c r="AB40" s="479">
        <f t="shared" si="23"/>
        <v>-191.49016908868455</v>
      </c>
      <c r="AC40" s="479">
        <f t="shared" si="23"/>
        <v>-229.64551404270441</v>
      </c>
      <c r="AD40" s="479">
        <f t="shared" si="23"/>
        <v>-258.39539185381068</v>
      </c>
      <c r="AE40" s="479">
        <f t="shared" si="23"/>
        <v>-304.35363232821572</v>
      </c>
      <c r="AH40" t="s">
        <v>1034</v>
      </c>
    </row>
    <row r="41" spans="2:34">
      <c r="C41" s="429"/>
      <c r="D41" s="429"/>
      <c r="E41" s="429"/>
      <c r="F41" s="429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287"/>
      <c r="R41" s="92"/>
      <c r="S41" s="92"/>
      <c r="T41" s="92"/>
      <c r="U41" s="476"/>
    </row>
    <row r="42" spans="2:34">
      <c r="C42" s="430" t="s">
        <v>899</v>
      </c>
      <c r="D42" s="430"/>
      <c r="E42" s="430"/>
      <c r="F42" s="430"/>
      <c r="G42" s="1049"/>
      <c r="H42" s="1049"/>
      <c r="I42" s="1049"/>
      <c r="J42" s="1049"/>
      <c r="K42" s="1049"/>
      <c r="L42" s="1049"/>
      <c r="M42" s="1049"/>
      <c r="N42" s="1049"/>
      <c r="O42" s="1053"/>
      <c r="P42" s="1053"/>
      <c r="Q42" s="1053"/>
      <c r="R42" s="1053"/>
      <c r="S42" s="1053"/>
      <c r="T42" s="1053"/>
      <c r="U42" s="1057"/>
    </row>
    <row r="43" spans="2:34" ht="18.75">
      <c r="B43" s="7" t="s">
        <v>842</v>
      </c>
      <c r="C43" s="422" t="s">
        <v>900</v>
      </c>
      <c r="D43" s="422"/>
      <c r="E43" s="422"/>
      <c r="F43" s="422"/>
      <c r="G43" s="422"/>
      <c r="H43" s="1041">
        <v>36.162394917102745</v>
      </c>
      <c r="I43" s="1041">
        <v>78.413300000000007</v>
      </c>
      <c r="J43" s="1041">
        <v>145.97499999999999</v>
      </c>
      <c r="K43" s="1041">
        <v>251.977</v>
      </c>
      <c r="L43" s="1041">
        <v>465.21</v>
      </c>
      <c r="M43" s="1041">
        <v>1014.99</v>
      </c>
      <c r="N43" s="1044">
        <v>1505.088</v>
      </c>
      <c r="O43" s="1044">
        <v>2343.44</v>
      </c>
      <c r="P43" s="1044">
        <v>0</v>
      </c>
      <c r="Q43" s="1044">
        <v>0</v>
      </c>
      <c r="R43" s="1044">
        <v>0</v>
      </c>
      <c r="S43" s="1058">
        <v>0</v>
      </c>
      <c r="T43" s="1058">
        <v>0</v>
      </c>
      <c r="U43" s="490">
        <v>3900</v>
      </c>
      <c r="V43" s="490">
        <v>2629.2</v>
      </c>
      <c r="W43" s="490">
        <v>2185.6999999999998</v>
      </c>
      <c r="X43" s="490">
        <v>2632</v>
      </c>
      <c r="Y43" s="490">
        <v>2568.6</v>
      </c>
      <c r="Z43" s="490">
        <v>2731.6</v>
      </c>
      <c r="AA43" s="490">
        <v>2559.8000000000002</v>
      </c>
      <c r="AB43" s="490">
        <v>2032.1</v>
      </c>
      <c r="AC43" s="490">
        <v>3732.1</v>
      </c>
      <c r="AD43" s="490">
        <v>3239.8</v>
      </c>
      <c r="AE43" s="599">
        <f>AD43*(Assumptions!AE16/Assumptions!AD16*Assumptions!AE14/Assumptions!AD14)</f>
        <v>3029.2403720015345</v>
      </c>
      <c r="AH43" t="s">
        <v>1035</v>
      </c>
    </row>
    <row r="44" spans="2:34" ht="18.75">
      <c r="B44" s="7" t="s">
        <v>843</v>
      </c>
      <c r="C44" s="422" t="s">
        <v>901</v>
      </c>
      <c r="D44" s="422"/>
      <c r="E44" s="422"/>
      <c r="F44" s="422"/>
      <c r="G44" s="1049">
        <v>1.2081822192877333E-2</v>
      </c>
      <c r="H44" s="1049">
        <v>0.20569502351427227</v>
      </c>
      <c r="I44" s="1049">
        <v>3.3063818663296418</v>
      </c>
      <c r="J44" s="1049">
        <v>4.7921089590750237</v>
      </c>
      <c r="K44" s="1049">
        <v>13.675620182436299</v>
      </c>
      <c r="L44" s="1049">
        <v>9.9968876339600854</v>
      </c>
      <c r="M44" s="1049">
        <v>6.9449430026679604</v>
      </c>
      <c r="N44" s="1049">
        <v>10.601074800290485</v>
      </c>
      <c r="O44" s="491">
        <v>11.274871927427592</v>
      </c>
      <c r="P44" s="491">
        <v>11.991495143153921</v>
      </c>
      <c r="Q44" s="1052">
        <v>35.200000000000003</v>
      </c>
      <c r="R44" s="491">
        <v>37.437288135593221</v>
      </c>
      <c r="S44" s="491">
        <v>39.816776788279235</v>
      </c>
      <c r="T44" s="491">
        <v>42.347504126517322</v>
      </c>
      <c r="U44" s="491">
        <v>45.039082778626472</v>
      </c>
      <c r="V44" s="491">
        <v>47.901736345064599</v>
      </c>
      <c r="W44" s="491">
        <f t="shared" ref="W44:AE44" si="24">V44*25.1/23.6</f>
        <v>50.946338231403452</v>
      </c>
      <c r="X44" s="491">
        <f t="shared" si="24"/>
        <v>54.184452949501129</v>
      </c>
      <c r="Y44" s="491">
        <f t="shared" si="24"/>
        <v>57.628380043749083</v>
      </c>
      <c r="Z44" s="491">
        <f t="shared" si="24"/>
        <v>61.291200809241609</v>
      </c>
      <c r="AA44" s="491">
        <f t="shared" si="24"/>
        <v>65.186827979320526</v>
      </c>
      <c r="AB44" s="491">
        <f t="shared" si="24"/>
        <v>69.330058571226488</v>
      </c>
      <c r="AC44" s="491">
        <f t="shared" si="24"/>
        <v>73.7366300905841</v>
      </c>
      <c r="AD44" s="491">
        <f t="shared" si="24"/>
        <v>78.423280308205975</v>
      </c>
      <c r="AE44" s="491">
        <f t="shared" si="24"/>
        <v>83.407810836269917</v>
      </c>
      <c r="AH44" t="s">
        <v>1036</v>
      </c>
    </row>
    <row r="45" spans="2:34">
      <c r="B45" s="7"/>
      <c r="C45" s="422" t="s">
        <v>902</v>
      </c>
      <c r="D45" s="422"/>
      <c r="E45" s="422"/>
      <c r="F45" s="422"/>
      <c r="G45" s="1049">
        <v>23.4</v>
      </c>
      <c r="H45" s="1049">
        <v>485.2</v>
      </c>
      <c r="I45" s="1049">
        <v>9151.2999999999993</v>
      </c>
      <c r="J45" s="1049">
        <v>14672</v>
      </c>
      <c r="K45" s="1049">
        <v>40628.9</v>
      </c>
      <c r="L45" s="1049">
        <v>31156.3</v>
      </c>
      <c r="M45" s="1049">
        <v>22907.200000000001</v>
      </c>
      <c r="N45" s="1049">
        <v>36494.199999999997</v>
      </c>
      <c r="O45" s="1054">
        <v>24370.799999999999</v>
      </c>
      <c r="P45" s="1054">
        <v>317575.90000000002</v>
      </c>
      <c r="Q45" s="428"/>
      <c r="R45" s="422"/>
      <c r="S45" s="422"/>
      <c r="T45" s="422"/>
    </row>
    <row r="49" spans="2:34" ht="18.75">
      <c r="B49" s="7" t="s">
        <v>831</v>
      </c>
      <c r="C49" s="426" t="s">
        <v>903</v>
      </c>
      <c r="D49" s="426"/>
      <c r="E49" s="426"/>
      <c r="F49" s="426"/>
      <c r="G49" s="495">
        <v>4.49</v>
      </c>
      <c r="H49" s="495">
        <v>15.172000000000001</v>
      </c>
      <c r="I49" s="495">
        <v>45.397400000000005</v>
      </c>
      <c r="J49" s="1040">
        <v>13.87</v>
      </c>
      <c r="K49" s="495">
        <v>25.5</v>
      </c>
      <c r="L49" s="495">
        <v>0</v>
      </c>
      <c r="M49" s="495">
        <v>99.866399999999999</v>
      </c>
      <c r="N49" s="495">
        <v>32.838800000000006</v>
      </c>
      <c r="O49" s="495">
        <v>39.439399999999999</v>
      </c>
      <c r="P49" s="495">
        <v>120.40730000000001</v>
      </c>
      <c r="Q49" s="1052">
        <v>68.5</v>
      </c>
      <c r="R49" s="1055">
        <v>50.237000000000002</v>
      </c>
      <c r="S49" s="1050">
        <v>71.748999999999995</v>
      </c>
      <c r="T49" s="1052">
        <v>133.30000000000001</v>
      </c>
      <c r="U49" s="1052">
        <v>123.9</v>
      </c>
      <c r="V49">
        <v>144</v>
      </c>
      <c r="W49">
        <v>178.6</v>
      </c>
      <c r="X49">
        <v>134.9</v>
      </c>
      <c r="Y49">
        <v>175.9</v>
      </c>
      <c r="Z49">
        <v>166</v>
      </c>
      <c r="AA49">
        <v>188.9</v>
      </c>
      <c r="AB49">
        <v>266.60000000000002</v>
      </c>
      <c r="AC49">
        <v>282.60000000000002</v>
      </c>
      <c r="AD49">
        <v>481.7</v>
      </c>
      <c r="AE49" s="600">
        <f>AE50/100*AE2</f>
        <v>567.37522925890914</v>
      </c>
      <c r="AH49" t="s">
        <v>1037</v>
      </c>
    </row>
    <row r="50" spans="2:34" ht="18.75">
      <c r="B50" s="7" t="s">
        <v>844</v>
      </c>
      <c r="C50" s="427" t="s">
        <v>904</v>
      </c>
      <c r="D50" s="427"/>
      <c r="E50" s="427"/>
      <c r="F50" s="427"/>
      <c r="G50" s="93">
        <v>0.48669155965294286</v>
      </c>
      <c r="H50" s="93">
        <v>1.3959044711221835</v>
      </c>
      <c r="I50" s="93">
        <v>3.7226172336634695</v>
      </c>
      <c r="J50" s="93">
        <v>0.89185716685918293</v>
      </c>
      <c r="K50" s="93">
        <v>1.2284010572058632</v>
      </c>
      <c r="L50" s="93">
        <v>0</v>
      </c>
      <c r="M50" s="93">
        <v>3.528535063254528</v>
      </c>
      <c r="N50" s="93">
        <v>0.88288753778027718</v>
      </c>
      <c r="O50" s="93">
        <v>0.76397981577802998</v>
      </c>
      <c r="P50" s="492">
        <v>2.4164342527509817</v>
      </c>
      <c r="Q50" s="492">
        <v>1.2140700446430377</v>
      </c>
      <c r="R50" s="492">
        <v>0.77008315359265223</v>
      </c>
      <c r="S50" s="492">
        <v>0.94493824450890529</v>
      </c>
      <c r="T50" s="492">
        <v>1.5670937095930433</v>
      </c>
      <c r="U50" s="492">
        <v>1.3406702319401138</v>
      </c>
      <c r="V50" s="492">
        <f>V49/V2*100</f>
        <v>1.741336356895409</v>
      </c>
      <c r="W50" s="492">
        <f t="shared" ref="W50:AC50" si="25">W49/W2*100</f>
        <v>2.5541713770503174</v>
      </c>
      <c r="X50" s="492">
        <f t="shared" si="25"/>
        <v>1.7899698297335425</v>
      </c>
      <c r="Y50" s="492">
        <f t="shared" si="25"/>
        <v>2.2652887733045124</v>
      </c>
      <c r="Z50" s="492">
        <f t="shared" si="25"/>
        <v>1.9997479452608906</v>
      </c>
      <c r="AA50" s="492">
        <f t="shared" si="25"/>
        <v>2.3223506269977872</v>
      </c>
      <c r="AB50" s="492">
        <f t="shared" si="25"/>
        <v>2.9828369397390859</v>
      </c>
      <c r="AC50" s="492">
        <f t="shared" si="25"/>
        <v>2.6365137563323913</v>
      </c>
      <c r="AD50" s="492">
        <f>AD49/AD2*100</f>
        <v>3.993996981908031</v>
      </c>
      <c r="AE50" s="171">
        <f>AD50</f>
        <v>3.993996981908031</v>
      </c>
      <c r="AH50" t="s">
        <v>1038</v>
      </c>
    </row>
    <row r="51" spans="2:34">
      <c r="C51" s="427"/>
      <c r="D51" s="427"/>
      <c r="E51" s="427"/>
      <c r="F51" s="427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1059"/>
    </row>
    <row r="52" spans="2:34">
      <c r="C52" s="427"/>
      <c r="D52" s="427"/>
      <c r="E52" s="427"/>
      <c r="F52" s="427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1059"/>
    </row>
    <row r="53" spans="2:34">
      <c r="Q53" s="1060"/>
    </row>
    <row r="54" spans="2:34" ht="46.5">
      <c r="B54" s="7" t="s">
        <v>833</v>
      </c>
      <c r="C54" s="485" t="s">
        <v>905</v>
      </c>
      <c r="D54" s="485"/>
      <c r="E54" s="485"/>
      <c r="F54" s="485"/>
      <c r="G54" s="495"/>
      <c r="H54" s="495"/>
      <c r="I54" s="495">
        <v>-6.2730999999999923</v>
      </c>
      <c r="J54" s="495">
        <v>13.915000000000003</v>
      </c>
      <c r="K54" s="495">
        <v>-58.201999999999998</v>
      </c>
      <c r="L54" s="495">
        <v>-97.321300000000008</v>
      </c>
      <c r="M54" s="495">
        <v>-229.87029999999999</v>
      </c>
      <c r="N54" s="495">
        <v>-216.55499999999995</v>
      </c>
      <c r="O54" s="495">
        <v>-777.89649999999995</v>
      </c>
      <c r="P54" s="481">
        <v>73.797700000000006</v>
      </c>
      <c r="Q54" s="481">
        <v>7.4066411100310603</v>
      </c>
      <c r="R54" s="481">
        <v>-123.59240630046077</v>
      </c>
      <c r="S54" s="481">
        <v>63.726492223633244</v>
      </c>
      <c r="T54" s="481">
        <v>243.59721481952772</v>
      </c>
      <c r="U54" s="481">
        <v>-1014.3236006076457</v>
      </c>
      <c r="V54" s="133">
        <f>V55+V59+V62</f>
        <v>355.48331969428682</v>
      </c>
      <c r="W54" s="133">
        <f t="shared" ref="W54:AE54" si="26">W55+W59+W62</f>
        <v>486.16672289947712</v>
      </c>
      <c r="X54" s="133">
        <f t="shared" si="26"/>
        <v>401.61646419937665</v>
      </c>
      <c r="Y54" s="133">
        <f t="shared" si="26"/>
        <v>462.99986295377306</v>
      </c>
      <c r="Z54" s="133">
        <f t="shared" si="26"/>
        <v>-88.289116130298964</v>
      </c>
      <c r="AA54" s="133">
        <f t="shared" si="26"/>
        <v>-301.11427325039818</v>
      </c>
      <c r="AB54" s="133">
        <f t="shared" si="26"/>
        <v>807.72055572766135</v>
      </c>
      <c r="AC54" s="133">
        <f t="shared" si="26"/>
        <v>397.93397880709097</v>
      </c>
      <c r="AD54" s="133">
        <f t="shared" si="26"/>
        <v>237.33473605743123</v>
      </c>
      <c r="AE54" s="133">
        <f t="shared" si="26"/>
        <v>1935.4135025877385</v>
      </c>
      <c r="AH54" t="s">
        <v>1039</v>
      </c>
    </row>
    <row r="55" spans="2:34" ht="18.75">
      <c r="B55" s="7" t="s">
        <v>845</v>
      </c>
      <c r="C55" s="427" t="s">
        <v>906</v>
      </c>
      <c r="D55" s="427"/>
      <c r="E55" s="427"/>
      <c r="F55" s="427"/>
      <c r="G55" s="93"/>
      <c r="H55" s="93"/>
      <c r="I55" s="93">
        <v>-17.0273</v>
      </c>
      <c r="J55" s="93">
        <v>-0.8276</v>
      </c>
      <c r="K55" s="93">
        <v>-20.642499999999998</v>
      </c>
      <c r="L55" s="93">
        <v>-37.107100000000003</v>
      </c>
      <c r="M55" s="93">
        <v>-67.898300000000006</v>
      </c>
      <c r="N55" s="93">
        <v>-199.77699999999999</v>
      </c>
      <c r="O55" s="93">
        <v>-677.18899999999996</v>
      </c>
      <c r="P55" s="1024">
        <v>139.18600000000001</v>
      </c>
      <c r="Q55" s="1024">
        <v>-116.61091457680163</v>
      </c>
      <c r="R55" s="1024">
        <v>-155.88768491995029</v>
      </c>
      <c r="S55" s="1024">
        <v>-189.13780726285722</v>
      </c>
      <c r="T55" s="1024">
        <v>-161.51306660256432</v>
      </c>
      <c r="U55" s="483">
        <v>-130.0747808077806</v>
      </c>
      <c r="V55" s="93">
        <v>6.5447386019900478</v>
      </c>
      <c r="W55" s="484">
        <f>W56-V56</f>
        <v>111.55012506848425</v>
      </c>
      <c r="X55" s="484">
        <f t="shared" ref="X55:AE55" si="27">X56-W56</f>
        <v>-268.69301617492692</v>
      </c>
      <c r="Y55" s="484">
        <f t="shared" si="27"/>
        <v>-209.44118588001879</v>
      </c>
      <c r="Z55" s="484">
        <f t="shared" si="27"/>
        <v>-303.70774567191256</v>
      </c>
      <c r="AA55" s="484">
        <f t="shared" si="27"/>
        <v>-116.43106717033652</v>
      </c>
      <c r="AB55" s="484">
        <f t="shared" si="27"/>
        <v>-417.37463389449795</v>
      </c>
      <c r="AC55" s="484">
        <f t="shared" si="27"/>
        <v>-778.67565899814826</v>
      </c>
      <c r="AD55" s="484">
        <f t="shared" si="27"/>
        <v>-693.24871762008797</v>
      </c>
      <c r="AE55" s="484">
        <f t="shared" si="27"/>
        <v>-1049.6212335992632</v>
      </c>
      <c r="AH55" t="s">
        <v>1040</v>
      </c>
    </row>
    <row r="56" spans="2:34" ht="18.75">
      <c r="B56" s="7" t="s">
        <v>846</v>
      </c>
      <c r="C56" s="427" t="s">
        <v>907</v>
      </c>
      <c r="D56" s="427"/>
      <c r="E56" s="427"/>
      <c r="F56" s="427"/>
      <c r="G56" s="93"/>
      <c r="H56" s="93"/>
      <c r="I56" s="93">
        <v>-17.0273</v>
      </c>
      <c r="J56" s="93">
        <v>-17.854900000000001</v>
      </c>
      <c r="K56" s="93">
        <v>-38.497399999999999</v>
      </c>
      <c r="L56" s="93">
        <v>-75.604500000000002</v>
      </c>
      <c r="M56" s="93">
        <v>-143.50280000000001</v>
      </c>
      <c r="N56" s="93">
        <v>-343.27980000000002</v>
      </c>
      <c r="O56" s="93">
        <v>-1020.4688</v>
      </c>
      <c r="P56" s="1024">
        <v>-881.28279999999995</v>
      </c>
      <c r="Q56" s="1027">
        <v>-997.89371457680159</v>
      </c>
      <c r="R56" s="1027">
        <v>-1153.7813994967519</v>
      </c>
      <c r="S56" s="1027">
        <v>-1342.9192067596091</v>
      </c>
      <c r="T56" s="1027">
        <v>-1504.4322733621734</v>
      </c>
      <c r="U56" s="476">
        <v>-1634.507054169954</v>
      </c>
      <c r="V56">
        <f>V57/100*V2</f>
        <v>-1627.962315567964</v>
      </c>
      <c r="W56">
        <f t="shared" ref="W56:AE56" si="28">W57/100*W2</f>
        <v>-1516.4121904994797</v>
      </c>
      <c r="X56">
        <f t="shared" si="28"/>
        <v>-1785.1052066744066</v>
      </c>
      <c r="Y56">
        <f t="shared" si="28"/>
        <v>-1994.5463925544254</v>
      </c>
      <c r="Z56">
        <f t="shared" si="28"/>
        <v>-2298.254138226338</v>
      </c>
      <c r="AA56">
        <f t="shared" si="28"/>
        <v>-2414.6852053966745</v>
      </c>
      <c r="AB56">
        <f t="shared" si="28"/>
        <v>-2832.0598392911725</v>
      </c>
      <c r="AC56">
        <f t="shared" si="28"/>
        <v>-3610.7354982893207</v>
      </c>
      <c r="AD56">
        <f t="shared" si="28"/>
        <v>-4303.9842159094087</v>
      </c>
      <c r="AE56">
        <f t="shared" si="28"/>
        <v>-5353.6054495086719</v>
      </c>
      <c r="AH56" t="s">
        <v>1041</v>
      </c>
    </row>
    <row r="57" spans="2:34" ht="18.75">
      <c r="B57" s="7" t="s">
        <v>847</v>
      </c>
      <c r="C57" s="427" t="s">
        <v>908</v>
      </c>
      <c r="D57" s="427"/>
      <c r="E57" s="427"/>
      <c r="F57" s="427"/>
      <c r="G57" s="93"/>
      <c r="H57" s="93"/>
      <c r="I57" s="93">
        <v>-1.3962500148193064</v>
      </c>
      <c r="J57" s="93">
        <v>-1.1480908816549407</v>
      </c>
      <c r="K57" s="93">
        <v>-1.8545194846932158</v>
      </c>
      <c r="L57" s="93">
        <v>-3.2696276288402299</v>
      </c>
      <c r="M57" s="93">
        <v>-5.0703205630242199</v>
      </c>
      <c r="N57" s="93">
        <v>-9.2292488578055814</v>
      </c>
      <c r="O57" s="93">
        <v>-19.76748038335338</v>
      </c>
      <c r="P57" s="1024">
        <v>-17.686319220514807</v>
      </c>
      <c r="Q57" s="1024">
        <v>-17.686319220514807</v>
      </c>
      <c r="R57" s="1024">
        <v>-17.686319220514807</v>
      </c>
      <c r="S57" s="1024">
        <v>-17.686319220514807</v>
      </c>
      <c r="T57" s="1024">
        <v>-17.686319220514807</v>
      </c>
      <c r="U57" s="1024">
        <v>-17.686319220514807</v>
      </c>
      <c r="V57" s="93">
        <v>-19.686319220514807</v>
      </c>
      <c r="W57" s="484">
        <f>V57-2</f>
        <v>-21.686319220514807</v>
      </c>
      <c r="X57" s="484">
        <f t="shared" ref="X57:AE57" si="29">W57-2</f>
        <v>-23.686319220514807</v>
      </c>
      <c r="Y57" s="484">
        <f t="shared" si="29"/>
        <v>-25.686319220514807</v>
      </c>
      <c r="Z57" s="484">
        <f t="shared" si="29"/>
        <v>-27.686319220514807</v>
      </c>
      <c r="AA57" s="484">
        <f t="shared" si="29"/>
        <v>-29.686319220514807</v>
      </c>
      <c r="AB57" s="484">
        <f t="shared" si="29"/>
        <v>-31.686319220514807</v>
      </c>
      <c r="AC57" s="484">
        <f t="shared" si="29"/>
        <v>-33.686319220514804</v>
      </c>
      <c r="AD57" s="484">
        <f t="shared" si="29"/>
        <v>-35.686319220514804</v>
      </c>
      <c r="AE57" s="484">
        <f t="shared" si="29"/>
        <v>-37.686319220514804</v>
      </c>
      <c r="AH57" t="s">
        <v>1042</v>
      </c>
    </row>
    <row r="58" spans="2:34">
      <c r="C58" s="427"/>
      <c r="D58" s="427"/>
      <c r="E58" s="427"/>
      <c r="F58" s="427"/>
      <c r="G58" s="93"/>
      <c r="H58" s="93"/>
      <c r="I58" s="93"/>
      <c r="J58" s="93"/>
      <c r="K58" s="93"/>
      <c r="L58" s="93"/>
      <c r="M58" s="93"/>
      <c r="N58" s="93"/>
      <c r="O58" s="93"/>
      <c r="P58" s="1024"/>
      <c r="Q58" s="1024"/>
      <c r="R58" s="1024"/>
      <c r="S58" s="1024"/>
      <c r="T58" s="1024"/>
      <c r="U58" s="483"/>
    </row>
    <row r="59" spans="2:34" ht="18.75">
      <c r="B59" s="7" t="s">
        <v>848</v>
      </c>
      <c r="C59" s="427" t="s">
        <v>909</v>
      </c>
      <c r="D59" s="427"/>
      <c r="E59" s="427"/>
      <c r="F59" s="427"/>
      <c r="G59" s="93"/>
      <c r="H59" s="93"/>
      <c r="I59" s="93">
        <v>66.342200000000005</v>
      </c>
      <c r="J59" s="93">
        <v>44.7361</v>
      </c>
      <c r="K59" s="93">
        <v>-5.0698999999999996</v>
      </c>
      <c r="L59" s="93">
        <v>16.092700000000001</v>
      </c>
      <c r="M59" s="93">
        <v>102.723</v>
      </c>
      <c r="N59" s="93">
        <v>346.16500000000002</v>
      </c>
      <c r="O59" s="93">
        <v>-126.264</v>
      </c>
      <c r="P59" s="1024">
        <v>-96.085700000000003</v>
      </c>
      <c r="Q59" s="1024">
        <v>96.085699999999974</v>
      </c>
      <c r="R59" s="1024">
        <v>0</v>
      </c>
      <c r="S59" s="1024">
        <v>215.2749</v>
      </c>
      <c r="T59" s="1024">
        <v>363</v>
      </c>
      <c r="U59" s="483">
        <v>-930</v>
      </c>
      <c r="V59">
        <v>308</v>
      </c>
      <c r="W59" s="484">
        <f>W60-V60</f>
        <v>340</v>
      </c>
      <c r="X59" s="484">
        <f t="shared" ref="X59:AE59" si="30">X60-W60</f>
        <v>633</v>
      </c>
      <c r="Y59" s="484">
        <f t="shared" si="30"/>
        <v>634</v>
      </c>
      <c r="Z59" s="484">
        <f t="shared" si="30"/>
        <v>174.32393179449991</v>
      </c>
      <c r="AA59" s="484">
        <f t="shared" si="30"/>
        <v>-224.95093439670654</v>
      </c>
      <c r="AB59" s="484">
        <f t="shared" si="30"/>
        <v>1180.848213700287</v>
      </c>
      <c r="AC59" s="484">
        <f t="shared" si="30"/>
        <v>1123.5462373248333</v>
      </c>
      <c r="AD59" s="484">
        <f t="shared" si="30"/>
        <v>870.8769176391952</v>
      </c>
      <c r="AE59" s="484">
        <f t="shared" si="30"/>
        <v>2914.7087873121845</v>
      </c>
      <c r="AH59" t="s">
        <v>1043</v>
      </c>
    </row>
    <row r="60" spans="2:34" ht="18.75">
      <c r="B60" s="7" t="s">
        <v>849</v>
      </c>
      <c r="C60" s="427" t="s">
        <v>910</v>
      </c>
      <c r="D60" s="427"/>
      <c r="E60" s="427"/>
      <c r="F60" s="427"/>
      <c r="G60" s="93"/>
      <c r="H60" s="93"/>
      <c r="I60" s="93">
        <v>66.342200000000005</v>
      </c>
      <c r="J60" s="93">
        <v>111.07830000000001</v>
      </c>
      <c r="K60" s="93">
        <v>106.00840000000001</v>
      </c>
      <c r="L60" s="93">
        <v>122.1011</v>
      </c>
      <c r="M60" s="93">
        <v>224.82409999999999</v>
      </c>
      <c r="N60" s="93">
        <v>570.98910000000001</v>
      </c>
      <c r="O60" s="93">
        <v>444.7251</v>
      </c>
      <c r="P60" s="93">
        <v>348.63940000000002</v>
      </c>
      <c r="Q60" s="93">
        <v>444.7251</v>
      </c>
      <c r="R60" s="93">
        <v>444.7251</v>
      </c>
      <c r="S60" s="135">
        <v>660</v>
      </c>
      <c r="T60" s="135">
        <v>1023</v>
      </c>
      <c r="U60" s="482">
        <v>93</v>
      </c>
      <c r="V60">
        <v>401</v>
      </c>
      <c r="W60">
        <v>741</v>
      </c>
      <c r="X60">
        <v>1374</v>
      </c>
      <c r="Y60">
        <v>2008</v>
      </c>
      <c r="Z60" s="484">
        <f>Y60*EXP(1.4912567232*LN(Z8/Y8))</f>
        <v>2182.3239317944999</v>
      </c>
      <c r="AA60" s="484">
        <f t="shared" ref="AA60:AE60" si="31">Z60*EXP(1.4912567232*LN(AA8/Z8))</f>
        <v>1957.3729973977934</v>
      </c>
      <c r="AB60" s="484">
        <f t="shared" si="31"/>
        <v>3138.2212110980804</v>
      </c>
      <c r="AC60" s="484">
        <f t="shared" si="31"/>
        <v>4261.7674484229137</v>
      </c>
      <c r="AD60" s="484">
        <f t="shared" si="31"/>
        <v>5132.6443660621089</v>
      </c>
      <c r="AE60" s="484">
        <f t="shared" si="31"/>
        <v>8047.3531533742935</v>
      </c>
      <c r="AH60" t="s">
        <v>1044</v>
      </c>
    </row>
    <row r="61" spans="2:34">
      <c r="C61" s="427"/>
      <c r="D61" s="427"/>
      <c r="E61" s="427"/>
      <c r="F61" s="427"/>
      <c r="G61" s="93"/>
      <c r="H61" s="93"/>
      <c r="I61" s="93"/>
      <c r="J61" s="93"/>
      <c r="K61" s="93"/>
      <c r="L61" s="93"/>
      <c r="M61" s="93"/>
      <c r="N61" s="93"/>
      <c r="O61" s="93"/>
      <c r="P61" s="1024"/>
      <c r="Q61" s="1024"/>
      <c r="R61" s="1024"/>
      <c r="S61" s="1024"/>
      <c r="T61" s="1024"/>
      <c r="U61" s="483"/>
    </row>
    <row r="62" spans="2:34" ht="18.75">
      <c r="B62" s="7" t="s">
        <v>850</v>
      </c>
      <c r="C62" s="427" t="s">
        <v>911</v>
      </c>
      <c r="D62" s="427"/>
      <c r="E62" s="427"/>
      <c r="F62" s="427"/>
      <c r="G62" s="93"/>
      <c r="H62" s="93"/>
      <c r="I62" s="93">
        <v>-55.588000000000001</v>
      </c>
      <c r="J62" s="93">
        <v>-29.993500000000001</v>
      </c>
      <c r="K62" s="93">
        <v>-32.489600000000003</v>
      </c>
      <c r="L62" s="93">
        <v>-76.306899999999999</v>
      </c>
      <c r="M62" s="93">
        <v>-264.69499999999999</v>
      </c>
      <c r="N62" s="93">
        <v>-362.94299999999998</v>
      </c>
      <c r="O62" s="93">
        <v>25.5565</v>
      </c>
      <c r="P62" s="1024">
        <v>30.697399999999998</v>
      </c>
      <c r="Q62" s="1024">
        <v>27.931855686832719</v>
      </c>
      <c r="R62" s="1024">
        <v>32.29527861948953</v>
      </c>
      <c r="S62" s="1024">
        <v>37.589399486490464</v>
      </c>
      <c r="T62" s="1024">
        <v>42.110281422092029</v>
      </c>
      <c r="U62" s="483">
        <v>45.751180200134883</v>
      </c>
      <c r="V62" s="484">
        <f t="shared" ref="V62:AE62" si="32">V63*V2/100</f>
        <v>40.938581092296801</v>
      </c>
      <c r="W62" s="484">
        <f t="shared" si="32"/>
        <v>34.616597830992873</v>
      </c>
      <c r="X62" s="484">
        <f t="shared" si="32"/>
        <v>37.309480374303547</v>
      </c>
      <c r="Y62" s="484">
        <f t="shared" si="32"/>
        <v>38.441048833791861</v>
      </c>
      <c r="Z62" s="484">
        <f t="shared" si="32"/>
        <v>41.094697747113685</v>
      </c>
      <c r="AA62" s="484">
        <f t="shared" si="32"/>
        <v>40.267728316644892</v>
      </c>
      <c r="AB62" s="484">
        <f t="shared" si="32"/>
        <v>44.246975921872227</v>
      </c>
      <c r="AC62" s="484">
        <f t="shared" si="32"/>
        <v>53.06340048040591</v>
      </c>
      <c r="AD62" s="484">
        <f t="shared" si="32"/>
        <v>59.706536038324003</v>
      </c>
      <c r="AE62" s="484">
        <f t="shared" si="32"/>
        <v>70.325948874817144</v>
      </c>
      <c r="AH62" t="s">
        <v>1045</v>
      </c>
    </row>
    <row r="63" spans="2:34" ht="18.75">
      <c r="B63" s="7" t="s">
        <v>851</v>
      </c>
      <c r="C63" s="427" t="s">
        <v>912</v>
      </c>
      <c r="D63" s="427"/>
      <c r="E63" s="427"/>
      <c r="F63" s="427"/>
      <c r="G63" s="93"/>
      <c r="H63" s="93"/>
      <c r="I63" s="93">
        <v>-4.5582532652725689</v>
      </c>
      <c r="J63" s="93">
        <v>-1.9286170103958837</v>
      </c>
      <c r="K63" s="93">
        <v>-1.5651081956155146</v>
      </c>
      <c r="L63" s="93">
        <v>-3.3000039483251462</v>
      </c>
      <c r="M63" s="93">
        <v>-9.3523506261180671</v>
      </c>
      <c r="N63" s="93">
        <v>-9.7579038096576927</v>
      </c>
      <c r="O63" s="93">
        <v>0.49505444205366267</v>
      </c>
      <c r="P63" s="93">
        <v>0.6160610596732754</v>
      </c>
      <c r="Q63" s="93">
        <v>0.49505444205366256</v>
      </c>
      <c r="R63" s="93">
        <v>0.49505444205366267</v>
      </c>
      <c r="S63" s="93">
        <v>0.49505444205366284</v>
      </c>
      <c r="T63" s="93">
        <v>0.4950544420536625</v>
      </c>
      <c r="U63" s="483">
        <v>0.4950544420536625</v>
      </c>
      <c r="V63" s="493">
        <v>0.49505444205366239</v>
      </c>
      <c r="W63" s="493">
        <v>0.49505444205366239</v>
      </c>
      <c r="X63" s="493">
        <v>0.49505444205366239</v>
      </c>
      <c r="Y63" s="493">
        <v>0.49505444205366239</v>
      </c>
      <c r="Z63" s="493">
        <v>0.49505444205366234</v>
      </c>
      <c r="AA63" s="493">
        <v>0.49505444205366234</v>
      </c>
      <c r="AB63" s="493">
        <v>0.49505444205366234</v>
      </c>
      <c r="AC63" s="493">
        <v>0.49505444205366234</v>
      </c>
      <c r="AD63" s="493">
        <v>0.49505444205366234</v>
      </c>
      <c r="AE63" s="493">
        <v>0.4950544420536625</v>
      </c>
      <c r="AH63" t="s">
        <v>1046</v>
      </c>
    </row>
    <row r="64" spans="2:34" ht="15.75">
      <c r="B64" s="489" t="s">
        <v>1066</v>
      </c>
      <c r="C64" s="494" t="s">
        <v>912</v>
      </c>
      <c r="D64" s="494"/>
      <c r="E64" s="494"/>
      <c r="F64" s="494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133"/>
      <c r="V64" s="94">
        <f>V62/V2*100</f>
        <v>0.49505444205366239</v>
      </c>
      <c r="W64" s="94">
        <f t="shared" ref="W64:AE64" si="33">W62/W2*100</f>
        <v>0.49505444205366239</v>
      </c>
      <c r="X64" s="94">
        <f t="shared" si="33"/>
        <v>0.49505444205366239</v>
      </c>
      <c r="Y64" s="94">
        <f t="shared" si="33"/>
        <v>0.49505444205366239</v>
      </c>
      <c r="Z64" s="94">
        <f t="shared" si="33"/>
        <v>0.49505444205366234</v>
      </c>
      <c r="AA64" s="94">
        <f t="shared" si="33"/>
        <v>0.49505444205366234</v>
      </c>
      <c r="AB64" s="94">
        <f t="shared" si="33"/>
        <v>0.49505444205366234</v>
      </c>
      <c r="AC64" s="94">
        <f t="shared" si="33"/>
        <v>0.49505444205366234</v>
      </c>
      <c r="AD64" s="94">
        <f t="shared" si="33"/>
        <v>0.49505444205366234</v>
      </c>
      <c r="AE64" s="94">
        <f t="shared" si="33"/>
        <v>0.49505444205366256</v>
      </c>
    </row>
    <row r="67" spans="2:34" ht="46.5">
      <c r="B67" s="7" t="s">
        <v>834</v>
      </c>
      <c r="C67" s="486" t="s">
        <v>913</v>
      </c>
      <c r="D67" s="486"/>
      <c r="E67" s="486"/>
      <c r="F67" s="486"/>
      <c r="G67" s="495"/>
      <c r="H67" s="495"/>
      <c r="I67" s="495">
        <v>-3.8826000000000001</v>
      </c>
      <c r="J67" s="495">
        <v>-10.331900000000001</v>
      </c>
      <c r="K67" s="495">
        <v>-1.0358000000000001</v>
      </c>
      <c r="L67" s="495">
        <v>11.374399999999994</v>
      </c>
      <c r="M67" s="495">
        <v>-131.346</v>
      </c>
      <c r="N67" s="495">
        <v>53.615899999999996</v>
      </c>
      <c r="O67" s="495">
        <v>-104.81019999999999</v>
      </c>
      <c r="P67" s="495">
        <v>-200.0035</v>
      </c>
      <c r="Q67" s="495">
        <v>132.38047931600209</v>
      </c>
      <c r="R67" s="495">
        <v>-274.29706503049897</v>
      </c>
      <c r="S67" s="495">
        <v>-512.19377941977007</v>
      </c>
      <c r="T67" s="495">
        <v>56.136885752081298</v>
      </c>
      <c r="U67" s="483">
        <v>673.24806322968357</v>
      </c>
      <c r="V67" s="495">
        <f t="shared" ref="V67:AE67" si="34">V68+V71+V74</f>
        <v>6.8085498895654695</v>
      </c>
      <c r="W67" s="495">
        <f t="shared" si="34"/>
        <v>107.94224315658914</v>
      </c>
      <c r="X67" s="495">
        <f t="shared" si="34"/>
        <v>143.81426233623861</v>
      </c>
      <c r="Y67" s="495">
        <f t="shared" si="34"/>
        <v>-106.38675095720009</v>
      </c>
      <c r="Z67" s="495">
        <f t="shared" si="34"/>
        <v>35.810630160558105</v>
      </c>
      <c r="AA67" s="495">
        <f t="shared" si="34"/>
        <v>49.544370158871743</v>
      </c>
      <c r="AB67" s="495">
        <f t="shared" si="34"/>
        <v>293.96960341058991</v>
      </c>
      <c r="AC67" s="495">
        <f t="shared" si="34"/>
        <v>-1100.1247696728533</v>
      </c>
      <c r="AD67" s="495">
        <f t="shared" si="34"/>
        <v>-325.18942597180194</v>
      </c>
      <c r="AE67" s="495">
        <f t="shared" si="34"/>
        <v>-2205.8960067860453</v>
      </c>
      <c r="AH67" t="s">
        <v>1047</v>
      </c>
    </row>
    <row r="68" spans="2:34" ht="18.75">
      <c r="B68" s="7" t="s">
        <v>852</v>
      </c>
      <c r="C68" s="431" t="s">
        <v>906</v>
      </c>
      <c r="D68" s="431"/>
      <c r="E68" s="431"/>
      <c r="F68" s="431"/>
      <c r="G68" s="93"/>
      <c r="H68" s="93"/>
      <c r="I68" s="93">
        <v>-6.5853000000000002</v>
      </c>
      <c r="J68" s="93">
        <v>-14.3942</v>
      </c>
      <c r="K68" s="93">
        <v>-7.3478000000000003</v>
      </c>
      <c r="L68" s="93">
        <v>-33.666200000000003</v>
      </c>
      <c r="M68" s="93">
        <v>-233.48699999999999</v>
      </c>
      <c r="N68" s="93">
        <v>-186.721</v>
      </c>
      <c r="O68" s="93">
        <v>205.75700000000001</v>
      </c>
      <c r="P68" s="1024">
        <v>38.495399999999997</v>
      </c>
      <c r="Q68" s="1024">
        <v>-106.1955206839979</v>
      </c>
      <c r="R68" s="1024">
        <v>-274.29706503049897</v>
      </c>
      <c r="S68" s="1024">
        <v>-512.19377941977007</v>
      </c>
      <c r="T68" s="1024">
        <v>56.136885752081298</v>
      </c>
      <c r="U68" s="483">
        <v>730.49318487655501</v>
      </c>
      <c r="V68" s="93">
        <v>-12.816659056807907</v>
      </c>
      <c r="W68" s="484">
        <f>W69-V69</f>
        <v>57.765605032166093</v>
      </c>
      <c r="X68" s="484">
        <f t="shared" ref="X68:AE68" si="35">X69-W69</f>
        <v>-10.869478999134515</v>
      </c>
      <c r="Y68" s="484">
        <f t="shared" si="35"/>
        <v>-107.38176969356908</v>
      </c>
      <c r="Z68" s="484">
        <f t="shared" si="35"/>
        <v>-96.195104685713943</v>
      </c>
      <c r="AA68" s="484">
        <f t="shared" si="35"/>
        <v>-23.312190575472187</v>
      </c>
      <c r="AB68" s="484">
        <f t="shared" si="35"/>
        <v>-923.54983194468389</v>
      </c>
      <c r="AC68" s="484">
        <f t="shared" si="35"/>
        <v>-335.7551291104644</v>
      </c>
      <c r="AD68" s="484">
        <f t="shared" si="35"/>
        <v>-763.65429635173427</v>
      </c>
      <c r="AE68" s="484">
        <f t="shared" si="35"/>
        <v>-2383.6530229341606</v>
      </c>
      <c r="AH68" t="s">
        <v>1048</v>
      </c>
    </row>
    <row r="69" spans="2:34" ht="18.75">
      <c r="B69" s="7" t="s">
        <v>853</v>
      </c>
      <c r="C69" s="427" t="s">
        <v>907</v>
      </c>
      <c r="D69" s="427"/>
      <c r="E69" s="427"/>
      <c r="F69" s="427"/>
      <c r="G69" s="93"/>
      <c r="H69" s="93"/>
      <c r="I69" s="93">
        <v>-6.5853000000000002</v>
      </c>
      <c r="J69" s="93">
        <v>-20.979500000000002</v>
      </c>
      <c r="K69" s="93">
        <v>-28.327300000000001</v>
      </c>
      <c r="L69" s="93">
        <v>-61.993500000000004</v>
      </c>
      <c r="M69" s="93">
        <v>-295.48050000000001</v>
      </c>
      <c r="N69" s="93">
        <v>-482.20150000000001</v>
      </c>
      <c r="O69" s="93">
        <v>-276.44450000000001</v>
      </c>
      <c r="P69" s="1024">
        <v>-237.94910000000002</v>
      </c>
      <c r="Q69" s="1024">
        <v>-344.14462068399791</v>
      </c>
      <c r="R69" s="1024">
        <v>-618.44168571449688</v>
      </c>
      <c r="S69" s="1024">
        <v>-1130.635465134267</v>
      </c>
      <c r="T69" s="1024">
        <v>-1074.4985793821857</v>
      </c>
      <c r="U69" s="483">
        <v>-344.00539450563065</v>
      </c>
      <c r="V69" s="93">
        <v>-356.82205356243855</v>
      </c>
      <c r="W69" s="484">
        <f t="shared" ref="W69" si="36">V69*EXP(2.74297520242*LN((W7+W8)/(V7+V8)))</f>
        <v>-299.05644853027246</v>
      </c>
      <c r="X69" s="484">
        <f t="shared" ref="X69" si="37">W69*EXP(2.74297520242*LN((X7+X8)/(W7+W8)))</f>
        <v>-309.92592752940698</v>
      </c>
      <c r="Y69" s="484">
        <f t="shared" ref="Y69" si="38">X69*EXP(2.74297520242*LN((Y7+Y8)/(X7+X8)))</f>
        <v>-417.30769722297606</v>
      </c>
      <c r="Z69" s="484">
        <f t="shared" ref="Z69" si="39">Y69*EXP(2.74297520242*LN((Z7+Z8)/(Y7+Y8)))</f>
        <v>-513.50280190869</v>
      </c>
      <c r="AA69" s="484">
        <f t="shared" ref="AA69" si="40">Z69*EXP(2.74297520242*LN((AA7+AA8)/(Z7+Z8)))</f>
        <v>-536.81499248416219</v>
      </c>
      <c r="AB69" s="484">
        <f t="shared" ref="AB69" si="41">AA69*EXP(2.74297520242*LN((AB7+AB8)/(AA7+AA8)))</f>
        <v>-1460.3648244288461</v>
      </c>
      <c r="AC69" s="484">
        <f t="shared" ref="AC69" si="42">AB69*EXP(2.74297520242*LN((AC7+AC8)/(AB7+AB8)))</f>
        <v>-1796.1199535393105</v>
      </c>
      <c r="AD69" s="484">
        <f t="shared" ref="AD69" si="43">AC69*EXP(2.74297520242*LN((AD7+AD8)/(AC7+AC8)))</f>
        <v>-2559.7742498910447</v>
      </c>
      <c r="AE69" s="484">
        <f>AD69*EXP(2.74297520242*LN((AE7+AE8)/(AD7+AD8)))</f>
        <v>-4943.4272728252054</v>
      </c>
      <c r="AH69" t="s">
        <v>1049</v>
      </c>
    </row>
    <row r="70" spans="2:34">
      <c r="C70" s="431"/>
      <c r="D70" s="431"/>
      <c r="E70" s="431"/>
      <c r="F70" s="431"/>
      <c r="G70" s="93"/>
      <c r="H70" s="93"/>
      <c r="I70" s="93"/>
      <c r="J70" s="93"/>
      <c r="K70" s="93"/>
      <c r="L70" s="93"/>
      <c r="M70" s="93"/>
      <c r="N70" s="93"/>
      <c r="O70" s="93"/>
      <c r="P70" s="1024"/>
      <c r="Q70" s="1024"/>
      <c r="R70" s="1024"/>
      <c r="S70" s="1024"/>
      <c r="T70" s="1024"/>
      <c r="U70" s="483"/>
    </row>
    <row r="71" spans="2:34" ht="18.75">
      <c r="B71" s="7" t="s">
        <v>854</v>
      </c>
      <c r="C71" s="431" t="s">
        <v>909</v>
      </c>
      <c r="D71" s="431"/>
      <c r="E71" s="431"/>
      <c r="F71" s="431"/>
      <c r="G71" s="93"/>
      <c r="H71" s="93"/>
      <c r="I71" s="93">
        <v>1.1898</v>
      </c>
      <c r="J71" s="93">
        <v>3.7189999999999999</v>
      </c>
      <c r="K71" s="93">
        <v>1.0125</v>
      </c>
      <c r="L71" s="93">
        <v>45.040599999999998</v>
      </c>
      <c r="M71" s="93">
        <v>102.14100000000001</v>
      </c>
      <c r="N71" s="93">
        <v>240.137</v>
      </c>
      <c r="O71" s="93">
        <v>-310.625</v>
      </c>
      <c r="P71" s="1024">
        <v>-238.57599999999999</v>
      </c>
      <c r="Q71" s="1024">
        <v>238.57599999999999</v>
      </c>
      <c r="R71" s="1024">
        <v>0</v>
      </c>
      <c r="S71" s="1024">
        <v>0</v>
      </c>
      <c r="T71" s="1024">
        <v>0</v>
      </c>
      <c r="U71" s="483">
        <v>-57.245121646871411</v>
      </c>
      <c r="V71" s="93">
        <v>19.625208946373377</v>
      </c>
      <c r="W71" s="484">
        <f t="shared" ref="W71" si="44">W72-V72</f>
        <v>50.17663812442305</v>
      </c>
      <c r="X71" s="484">
        <f t="shared" ref="X71" si="45">X72-W72</f>
        <v>154.68374133537313</v>
      </c>
      <c r="Y71" s="484">
        <f t="shared" ref="Y71" si="46">Y72-X72</f>
        <v>0.99501873636899063</v>
      </c>
      <c r="Z71" s="484">
        <f t="shared" ref="Z71" si="47">Z72-Y72</f>
        <v>132.00573484627205</v>
      </c>
      <c r="AA71" s="484">
        <f t="shared" ref="AA71" si="48">AA72-Z72</f>
        <v>72.85656073434393</v>
      </c>
      <c r="AB71" s="484">
        <f t="shared" ref="AB71" si="49">AB72-AA72</f>
        <v>1217.5194353552738</v>
      </c>
      <c r="AC71" s="484">
        <f t="shared" ref="AC71" si="50">AC72-AB72</f>
        <v>-764.36964056238889</v>
      </c>
      <c r="AD71" s="484">
        <f t="shared" ref="AD71" si="51">AD72-AC72</f>
        <v>438.46487037993234</v>
      </c>
      <c r="AE71" s="484">
        <f t="shared" ref="AE71" si="52">AE72-AD72</f>
        <v>177.75701614811555</v>
      </c>
      <c r="AH71" t="s">
        <v>1050</v>
      </c>
    </row>
    <row r="72" spans="2:34" ht="18.75">
      <c r="B72" s="7" t="s">
        <v>855</v>
      </c>
      <c r="C72" s="427" t="s">
        <v>910</v>
      </c>
      <c r="D72" s="427"/>
      <c r="E72" s="427"/>
      <c r="F72" s="427"/>
      <c r="G72" s="93"/>
      <c r="H72" s="93"/>
      <c r="I72" s="95">
        <v>201.18979999999999</v>
      </c>
      <c r="J72" s="93">
        <v>204.90879999999999</v>
      </c>
      <c r="K72" s="93">
        <v>205.92129999999997</v>
      </c>
      <c r="L72" s="93">
        <v>250.96189999999996</v>
      </c>
      <c r="M72" s="93">
        <v>353.10289999999998</v>
      </c>
      <c r="N72" s="93">
        <v>593.23990000000003</v>
      </c>
      <c r="O72" s="93">
        <v>282.61490000000003</v>
      </c>
      <c r="P72" s="93">
        <v>44.038900000000041</v>
      </c>
      <c r="Q72" s="93">
        <v>282.61490000000003</v>
      </c>
      <c r="R72" s="93">
        <v>282.61490000000003</v>
      </c>
      <c r="S72" s="93">
        <v>282.61490000000003</v>
      </c>
      <c r="T72" s="93">
        <v>282.61490000000003</v>
      </c>
      <c r="U72" s="483">
        <v>225.36977835312862</v>
      </c>
      <c r="V72" s="93">
        <v>99.614030981130696</v>
      </c>
      <c r="W72" s="484">
        <f>V72*EXP(2.64617276621*LN(W7/V7))</f>
        <v>149.79066910555375</v>
      </c>
      <c r="X72" s="484">
        <f t="shared" ref="X72:AE72" si="53">W72*EXP(2.64617276621*LN(X7/W7))</f>
        <v>304.47441044092687</v>
      </c>
      <c r="Y72" s="484">
        <f t="shared" si="53"/>
        <v>305.46942917729586</v>
      </c>
      <c r="Z72" s="484">
        <f t="shared" si="53"/>
        <v>437.47516402356791</v>
      </c>
      <c r="AA72" s="484">
        <f>Z72*EXP(0.64617276621*LN(AA7/Z7))</f>
        <v>510.33172475791184</v>
      </c>
      <c r="AB72" s="484">
        <f t="shared" si="53"/>
        <v>1727.8511601131856</v>
      </c>
      <c r="AC72" s="484">
        <f t="shared" si="53"/>
        <v>963.48151955079675</v>
      </c>
      <c r="AD72" s="484">
        <f t="shared" si="53"/>
        <v>1401.9463899307291</v>
      </c>
      <c r="AE72" s="484">
        <f t="shared" si="53"/>
        <v>1579.7034060788446</v>
      </c>
      <c r="AH72" t="s">
        <v>1051</v>
      </c>
    </row>
    <row r="73" spans="2:34">
      <c r="C73" s="431"/>
      <c r="D73" s="431"/>
      <c r="E73" s="431"/>
      <c r="F73" s="431"/>
      <c r="G73" s="93"/>
      <c r="H73" s="93"/>
      <c r="I73" s="93"/>
      <c r="J73" s="93"/>
      <c r="K73" s="93"/>
      <c r="L73" s="93"/>
      <c r="M73" s="93"/>
      <c r="N73" s="93"/>
      <c r="O73" s="93"/>
      <c r="P73" s="1024"/>
      <c r="Q73" s="1024"/>
      <c r="R73" s="1024"/>
      <c r="S73" s="1024"/>
      <c r="T73" s="1024"/>
      <c r="U73" s="483"/>
    </row>
    <row r="74" spans="2:34" ht="18.75">
      <c r="B74" s="7" t="s">
        <v>856</v>
      </c>
      <c r="C74" s="427" t="s">
        <v>914</v>
      </c>
      <c r="D74" s="427"/>
      <c r="E74" s="427"/>
      <c r="F74" s="427"/>
      <c r="G74" s="93"/>
      <c r="H74" s="93"/>
      <c r="I74" s="93">
        <v>1.5128999999999999</v>
      </c>
      <c r="J74" s="93">
        <v>0.34329999999999999</v>
      </c>
      <c r="K74" s="93">
        <v>5.2995000000000001</v>
      </c>
      <c r="L74" s="93">
        <v>0</v>
      </c>
      <c r="M74" s="93">
        <v>0</v>
      </c>
      <c r="N74" s="93">
        <v>0.19989999999999999</v>
      </c>
      <c r="O74" s="93">
        <v>5.7799999999999997E-2</v>
      </c>
      <c r="P74" s="1024">
        <v>7.7100000000000002E-2</v>
      </c>
      <c r="Q74" s="1059">
        <v>0</v>
      </c>
      <c r="R74" s="1059">
        <v>0</v>
      </c>
      <c r="S74" s="1059">
        <v>0</v>
      </c>
      <c r="T74" s="1059">
        <v>0</v>
      </c>
      <c r="U74" s="1061">
        <v>0</v>
      </c>
      <c r="W74" s="46"/>
      <c r="X74" s="46"/>
      <c r="Y74" s="46"/>
      <c r="Z74" s="46"/>
      <c r="AH74" t="s">
        <v>1052</v>
      </c>
    </row>
    <row r="75" spans="2:34">
      <c r="C75" s="427"/>
      <c r="D75" s="427"/>
      <c r="E75" s="427"/>
      <c r="F75" s="427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133"/>
    </row>
    <row r="76" spans="2:34">
      <c r="C76" s="427"/>
      <c r="D76" s="427"/>
      <c r="E76" s="427"/>
      <c r="F76" s="427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133"/>
    </row>
    <row r="77" spans="2:34" ht="31.5">
      <c r="B77" s="7" t="s">
        <v>835</v>
      </c>
      <c r="C77" s="485" t="s">
        <v>915</v>
      </c>
      <c r="D77" s="485"/>
      <c r="E77" s="485"/>
      <c r="F77" s="485"/>
      <c r="G77" s="495"/>
      <c r="H77" s="495"/>
      <c r="I77" s="495">
        <v>-56.28090000000001</v>
      </c>
      <c r="J77" s="495">
        <v>-3.8752499999999994</v>
      </c>
      <c r="K77" s="495">
        <v>-134.8819</v>
      </c>
      <c r="L77" s="495">
        <v>75.9739</v>
      </c>
      <c r="M77" s="495">
        <v>-48.763199999999991</v>
      </c>
      <c r="N77" s="495">
        <v>253.67160000000001</v>
      </c>
      <c r="O77" s="495">
        <v>250.3793</v>
      </c>
      <c r="P77" s="495">
        <v>315.5421</v>
      </c>
      <c r="Q77" s="495">
        <v>358.20863368314627</v>
      </c>
      <c r="R77" s="495">
        <v>485.88102802979972</v>
      </c>
      <c r="S77" s="495">
        <v>187.31464183911629</v>
      </c>
      <c r="T77" s="495">
        <v>380.28894290439439</v>
      </c>
      <c r="U77" s="483">
        <v>365.23166888002584</v>
      </c>
      <c r="V77" s="495">
        <f>SUM(V78:V80)</f>
        <v>370.26405921883486</v>
      </c>
      <c r="W77" s="495">
        <f t="shared" ref="W77:AE77" si="54">SUM(W78:W80)</f>
        <v>317.17416503257772</v>
      </c>
      <c r="X77" s="495">
        <f t="shared" si="54"/>
        <v>341.21404441904275</v>
      </c>
      <c r="Y77" s="495">
        <f t="shared" si="54"/>
        <v>351.89556613594857</v>
      </c>
      <c r="Z77" s="495">
        <f t="shared" si="54"/>
        <v>375.59976875660681</v>
      </c>
      <c r="AA77" s="495">
        <f t="shared" si="54"/>
        <v>369.5243484113621</v>
      </c>
      <c r="AB77" s="495">
        <f t="shared" si="54"/>
        <v>404.57016489194393</v>
      </c>
      <c r="AC77" s="495">
        <f t="shared" si="54"/>
        <v>481.00210638269817</v>
      </c>
      <c r="AD77" s="495">
        <f t="shared" si="54"/>
        <v>538.83972909393583</v>
      </c>
      <c r="AE77" s="495">
        <f t="shared" si="54"/>
        <v>630.69775463822032</v>
      </c>
      <c r="AH77" t="s">
        <v>1053</v>
      </c>
    </row>
    <row r="78" spans="2:34" ht="18.75">
      <c r="B78" s="7" t="s">
        <v>857</v>
      </c>
      <c r="C78" s="427" t="s">
        <v>916</v>
      </c>
      <c r="D78" s="427"/>
      <c r="E78" s="427"/>
      <c r="F78" s="427"/>
      <c r="G78" s="93"/>
      <c r="H78" s="93"/>
      <c r="I78" s="93">
        <v>-47.171900000000008</v>
      </c>
      <c r="J78" s="94">
        <v>-1.3408499999999997</v>
      </c>
      <c r="K78" s="93">
        <v>16.981099999999998</v>
      </c>
      <c r="L78" s="93">
        <v>19.3263</v>
      </c>
      <c r="M78" s="93">
        <v>-82.60799999999999</v>
      </c>
      <c r="N78" s="93">
        <v>2.2964999999999947</v>
      </c>
      <c r="O78" s="93">
        <v>-58.5657</v>
      </c>
      <c r="P78" s="93">
        <v>30.866100000000003</v>
      </c>
      <c r="Q78" s="1059">
        <v>20</v>
      </c>
      <c r="R78" s="1059">
        <v>20</v>
      </c>
      <c r="S78" s="1059">
        <v>20</v>
      </c>
      <c r="T78" s="1059">
        <v>20</v>
      </c>
      <c r="U78" s="1061">
        <v>20</v>
      </c>
      <c r="V78">
        <v>20</v>
      </c>
      <c r="W78" s="478">
        <f t="shared" ref="W78" si="55">V78</f>
        <v>20</v>
      </c>
      <c r="X78" s="478">
        <f t="shared" ref="X78" si="56">W78</f>
        <v>20</v>
      </c>
      <c r="Y78" s="478">
        <f t="shared" ref="Y78" si="57">X78</f>
        <v>20</v>
      </c>
      <c r="Z78" s="478">
        <f t="shared" ref="Z78" si="58">Y78</f>
        <v>20</v>
      </c>
      <c r="AA78" s="478">
        <f t="shared" ref="AA78" si="59">Z78</f>
        <v>20</v>
      </c>
      <c r="AB78" s="478">
        <f t="shared" ref="AB78" si="60">AA78</f>
        <v>20</v>
      </c>
      <c r="AC78" s="478">
        <f t="shared" ref="AC78" si="61">AB78</f>
        <v>20</v>
      </c>
      <c r="AD78" s="478">
        <f t="shared" ref="AD78" si="62">AC78</f>
        <v>20</v>
      </c>
      <c r="AE78" s="478">
        <f t="shared" ref="AE78" si="63">AD78</f>
        <v>20</v>
      </c>
      <c r="AH78" t="s">
        <v>1054</v>
      </c>
    </row>
    <row r="79" spans="2:34" ht="15.75">
      <c r="B79" s="7" t="s">
        <v>858</v>
      </c>
      <c r="C79" s="427" t="s">
        <v>906</v>
      </c>
      <c r="D79" s="427"/>
      <c r="E79" s="427"/>
      <c r="F79" s="427"/>
      <c r="G79" s="93"/>
      <c r="H79" s="93"/>
      <c r="I79" s="93">
        <v>0.17399999999999999</v>
      </c>
      <c r="J79" s="93">
        <v>-0.41</v>
      </c>
      <c r="K79" s="93">
        <v>-0.44900000000000001</v>
      </c>
      <c r="L79" s="93">
        <v>-0.4914</v>
      </c>
      <c r="M79" s="93">
        <v>-0.5</v>
      </c>
      <c r="N79" s="93">
        <v>-0.16789999999999999</v>
      </c>
      <c r="O79" s="93">
        <v>-0.502</v>
      </c>
      <c r="P79" s="93">
        <v>0</v>
      </c>
      <c r="Q79" s="1059">
        <v>0</v>
      </c>
      <c r="R79" s="1059">
        <v>0</v>
      </c>
      <c r="S79" s="1059">
        <v>0</v>
      </c>
      <c r="T79" s="1059">
        <v>0</v>
      </c>
      <c r="U79" s="1061">
        <v>0</v>
      </c>
      <c r="V79" s="478">
        <v>0</v>
      </c>
      <c r="W79" s="478">
        <v>1</v>
      </c>
      <c r="X79" s="478">
        <v>2</v>
      </c>
      <c r="Y79" s="478">
        <v>3</v>
      </c>
      <c r="Z79" s="478">
        <v>4</v>
      </c>
      <c r="AA79" s="478">
        <v>5</v>
      </c>
      <c r="AB79" s="478">
        <v>6</v>
      </c>
      <c r="AC79" s="478">
        <v>7</v>
      </c>
      <c r="AD79" s="478">
        <v>8</v>
      </c>
      <c r="AE79" s="478">
        <v>9</v>
      </c>
    </row>
    <row r="80" spans="2:34" ht="18.75">
      <c r="B80" s="7" t="s">
        <v>859</v>
      </c>
      <c r="C80" s="427" t="s">
        <v>909</v>
      </c>
      <c r="D80" s="427"/>
      <c r="E80" s="427"/>
      <c r="F80" s="427"/>
      <c r="G80" s="93"/>
      <c r="H80" s="93"/>
      <c r="I80" s="93">
        <v>-9.2829999999999995</v>
      </c>
      <c r="J80" s="94">
        <v>-2.1244000000000001</v>
      </c>
      <c r="K80" s="93">
        <v>-151.41399999999999</v>
      </c>
      <c r="L80" s="93">
        <v>57.139000000000003</v>
      </c>
      <c r="M80" s="93">
        <v>34.344799999999999</v>
      </c>
      <c r="N80" s="93">
        <v>251.54300000000001</v>
      </c>
      <c r="O80" s="93">
        <v>309.447</v>
      </c>
      <c r="P80" s="93">
        <v>284.67599999999999</v>
      </c>
      <c r="Q80" s="483">
        <v>338.20863368314627</v>
      </c>
      <c r="R80" s="483">
        <v>465.88102802979972</v>
      </c>
      <c r="S80" s="483">
        <v>167.31464183911629</v>
      </c>
      <c r="T80" s="483">
        <v>360.28894290439439</v>
      </c>
      <c r="U80" s="483">
        <v>345.23166888002584</v>
      </c>
      <c r="V80" s="133">
        <f>V81/100*V2</f>
        <v>350.26405921883486</v>
      </c>
      <c r="W80" s="133">
        <f t="shared" ref="W80:AE80" si="64">W81/100*W2</f>
        <v>296.17416503257772</v>
      </c>
      <c r="X80" s="133">
        <f t="shared" si="64"/>
        <v>319.21404441904275</v>
      </c>
      <c r="Y80" s="133">
        <f t="shared" si="64"/>
        <v>328.89556613594857</v>
      </c>
      <c r="Z80" s="133">
        <f t="shared" si="64"/>
        <v>351.59976875660681</v>
      </c>
      <c r="AA80" s="133">
        <f t="shared" si="64"/>
        <v>344.5243484113621</v>
      </c>
      <c r="AB80" s="133">
        <f t="shared" si="64"/>
        <v>378.57016489194393</v>
      </c>
      <c r="AC80" s="133">
        <f t="shared" si="64"/>
        <v>454.00210638269817</v>
      </c>
      <c r="AD80" s="133">
        <f t="shared" si="64"/>
        <v>510.83972909393577</v>
      </c>
      <c r="AE80" s="133">
        <f t="shared" si="64"/>
        <v>601.69775463822032</v>
      </c>
      <c r="AH80" t="s">
        <v>1055</v>
      </c>
    </row>
    <row r="81" spans="2:47" ht="18.75">
      <c r="B81" s="7" t="s">
        <v>860</v>
      </c>
      <c r="C81" s="427" t="s">
        <v>917</v>
      </c>
      <c r="D81" s="427"/>
      <c r="E81" s="427"/>
      <c r="F81" s="427"/>
      <c r="G81" s="93"/>
      <c r="H81" s="93"/>
      <c r="I81" s="93">
        <v>-0.76121222316912385</v>
      </c>
      <c r="J81" s="93">
        <v>-0.13660139619867689</v>
      </c>
      <c r="K81" s="93">
        <v>-7.2940046147360231</v>
      </c>
      <c r="L81" s="93">
        <v>2.4710599644770075</v>
      </c>
      <c r="M81" s="93">
        <v>1.2134895324199544</v>
      </c>
      <c r="N81" s="93">
        <v>6.7628591762142403</v>
      </c>
      <c r="O81" s="93">
        <v>5.9942915473628924</v>
      </c>
      <c r="P81" s="93">
        <v>5.7131157108924322</v>
      </c>
      <c r="Q81" s="93">
        <v>5.9942915473628924</v>
      </c>
      <c r="R81" s="93">
        <v>7.1414919534242687</v>
      </c>
      <c r="S81" s="93">
        <v>2.2035429614362685</v>
      </c>
      <c r="T81" s="93">
        <v>4.2356079224411367</v>
      </c>
      <c r="U81" s="483">
        <v>3.7356079224411367</v>
      </c>
      <c r="V81" s="171">
        <v>4.2356079224411367</v>
      </c>
      <c r="W81" s="171">
        <v>4.2356079224411367</v>
      </c>
      <c r="X81" s="171">
        <v>4.2356079224411367</v>
      </c>
      <c r="Y81" s="171">
        <v>4.2356079224411367</v>
      </c>
      <c r="Z81" s="171">
        <v>4.2356079224411367</v>
      </c>
      <c r="AA81" s="171">
        <v>4.2356079224411367</v>
      </c>
      <c r="AB81" s="171">
        <v>4.2356079224411367</v>
      </c>
      <c r="AC81" s="171">
        <v>4.2356079224411367</v>
      </c>
      <c r="AD81" s="171">
        <v>4.2356079224411367</v>
      </c>
      <c r="AE81" s="171">
        <v>4.2356079224411349</v>
      </c>
      <c r="AH81" t="s">
        <v>1056</v>
      </c>
    </row>
    <row r="82" spans="2:47" ht="15.75">
      <c r="B82" s="489" t="s">
        <v>1067</v>
      </c>
      <c r="C82" s="494" t="s">
        <v>917</v>
      </c>
      <c r="D82" s="494"/>
      <c r="E82" s="494"/>
      <c r="F82" s="494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133"/>
      <c r="V82" s="487">
        <f>V80/V2*100</f>
        <v>4.2356079224411367</v>
      </c>
      <c r="W82" s="487">
        <f t="shared" ref="W82:AE82" si="65">W80/W2*100</f>
        <v>4.2356079224411367</v>
      </c>
      <c r="X82" s="487">
        <f t="shared" si="65"/>
        <v>4.2356079224411367</v>
      </c>
      <c r="Y82" s="487">
        <f t="shared" si="65"/>
        <v>4.2356079224411367</v>
      </c>
      <c r="Z82" s="487">
        <f t="shared" si="65"/>
        <v>4.2356079224411367</v>
      </c>
      <c r="AA82" s="487">
        <f t="shared" si="65"/>
        <v>4.2356079224411367</v>
      </c>
      <c r="AB82" s="487">
        <f t="shared" si="65"/>
        <v>4.2356079224411367</v>
      </c>
      <c r="AC82" s="487">
        <f t="shared" si="65"/>
        <v>4.2356079224411367</v>
      </c>
      <c r="AD82" s="487">
        <f t="shared" si="65"/>
        <v>4.2356079224411367</v>
      </c>
      <c r="AE82" s="487">
        <f t="shared" si="65"/>
        <v>4.2356079224411349</v>
      </c>
    </row>
    <row r="83" spans="2:47" ht="18.75">
      <c r="B83" s="417"/>
      <c r="C83" s="419" t="s">
        <v>918</v>
      </c>
      <c r="D83" s="419"/>
      <c r="E83" s="419"/>
      <c r="F83" s="419"/>
      <c r="G83" s="419"/>
      <c r="H83" s="419"/>
      <c r="I83" s="419"/>
      <c r="J83" s="419"/>
      <c r="K83" s="419"/>
      <c r="L83" s="419"/>
      <c r="M83" s="419"/>
      <c r="N83" s="419"/>
      <c r="O83" s="419"/>
      <c r="P83" s="419"/>
      <c r="Q83" s="419"/>
      <c r="R83" s="419"/>
      <c r="S83" s="419"/>
      <c r="T83" s="419"/>
      <c r="U83" s="419"/>
      <c r="AH83" s="417"/>
      <c r="AI83" s="417"/>
      <c r="AJ83" s="417"/>
      <c r="AK83" s="417"/>
      <c r="AL83" s="417"/>
      <c r="AM83" s="417"/>
      <c r="AN83" s="417"/>
      <c r="AO83" s="417"/>
      <c r="AP83" s="417"/>
      <c r="AQ83" s="417"/>
      <c r="AR83" s="417"/>
      <c r="AS83" s="417"/>
      <c r="AT83" s="417"/>
      <c r="AU83" s="417"/>
    </row>
    <row r="84" spans="2:47" ht="31.5">
      <c r="B84" s="7" t="s">
        <v>861</v>
      </c>
      <c r="C84" s="496" t="s">
        <v>919</v>
      </c>
      <c r="D84" s="496"/>
      <c r="E84" s="496"/>
      <c r="F84" s="496"/>
      <c r="G84" s="428">
        <v>11.899999999999999</v>
      </c>
      <c r="H84" s="428">
        <v>13.299999999999999</v>
      </c>
      <c r="I84" s="428">
        <v>16.799999999999997</v>
      </c>
      <c r="J84" s="428">
        <v>14.5</v>
      </c>
      <c r="K84" s="428">
        <v>14.100000000000001</v>
      </c>
      <c r="L84" s="428">
        <v>12.2</v>
      </c>
      <c r="M84" s="428">
        <v>9.4999999999999982</v>
      </c>
      <c r="N84" s="428">
        <v>11.799999999999999</v>
      </c>
      <c r="O84" s="428">
        <v>17.099999999999998</v>
      </c>
      <c r="P84" s="428">
        <v>29.6</v>
      </c>
      <c r="Q84" s="1063">
        <v>14.8</v>
      </c>
      <c r="R84" s="1065">
        <v>77.400000000000006</v>
      </c>
      <c r="S84" s="1065">
        <v>93.6</v>
      </c>
      <c r="T84" s="1065">
        <v>80.8</v>
      </c>
      <c r="U84" s="1065">
        <v>112</v>
      </c>
      <c r="V84" s="93">
        <v>30.374005169835055</v>
      </c>
      <c r="W84" s="495">
        <f t="shared" ref="W84" si="66">AVERAGE(V99:W99)*W90/100</f>
        <v>33.872981310636867</v>
      </c>
      <c r="X84" s="495">
        <f t="shared" ref="X84" si="67">AVERAGE(W99:X99)*X90/100</f>
        <v>39.493809597096408</v>
      </c>
      <c r="Y84" s="495">
        <f t="shared" ref="Y84" si="68">AVERAGE(X99:Y99)*Y90/100</f>
        <v>47.377832918800316</v>
      </c>
      <c r="Z84" s="495">
        <f t="shared" ref="Z84" si="69">AVERAGE(Y99:Z99)*Z90/100</f>
        <v>50.680580172753388</v>
      </c>
      <c r="AA84" s="495">
        <f t="shared" ref="AA84" si="70">AVERAGE(Z99:AA99)*AA90/100</f>
        <v>56.533256147656317</v>
      </c>
      <c r="AB84" s="495">
        <f t="shared" ref="AB84" si="71">AVERAGE(AA99:AB99)*AB90/100</f>
        <v>63.232124894491051</v>
      </c>
      <c r="AC84" s="495">
        <f t="shared" ref="AC84" si="72">AVERAGE(AB99:AC99)*AC90/100</f>
        <v>66.347097946091978</v>
      </c>
      <c r="AD84" s="495">
        <f t="shared" ref="AD84" si="73">AVERAGE(AC99:AD99)*AD90/100</f>
        <v>69.013709042822626</v>
      </c>
      <c r="AE84" s="495">
        <f t="shared" ref="AE84" si="74">AVERAGE(AD99:AE99)*AE90/100</f>
        <v>71.795130679196475</v>
      </c>
      <c r="AH84" t="s">
        <v>1057</v>
      </c>
    </row>
    <row r="85" spans="2:47">
      <c r="B85" s="7"/>
      <c r="C85" s="429" t="s">
        <v>920</v>
      </c>
      <c r="D85" s="429"/>
      <c r="E85" s="429"/>
      <c r="F85" s="429"/>
      <c r="G85">
        <v>4.3</v>
      </c>
      <c r="H85">
        <v>7.3</v>
      </c>
      <c r="I85">
        <v>10.1</v>
      </c>
      <c r="J85">
        <v>12.2</v>
      </c>
      <c r="K85">
        <v>10.1</v>
      </c>
      <c r="L85">
        <v>7.3</v>
      </c>
      <c r="M85">
        <v>8.6999999999999993</v>
      </c>
      <c r="N85">
        <v>10.5</v>
      </c>
      <c r="O85">
        <v>16</v>
      </c>
      <c r="P85">
        <v>22</v>
      </c>
      <c r="Q85" s="1022"/>
      <c r="U85" s="1066">
        <v>33.799999999999997</v>
      </c>
    </row>
    <row r="86" spans="2:47">
      <c r="B86" s="7"/>
      <c r="C86" s="429" t="s">
        <v>921</v>
      </c>
      <c r="D86" s="429"/>
      <c r="E86" s="429"/>
      <c r="F86" s="429"/>
      <c r="G86">
        <v>6.6</v>
      </c>
      <c r="H86">
        <v>4.9000000000000004</v>
      </c>
      <c r="I86">
        <v>5.3</v>
      </c>
      <c r="J86">
        <v>1.9</v>
      </c>
      <c r="K86">
        <v>3.7</v>
      </c>
      <c r="L86">
        <v>3.4</v>
      </c>
      <c r="M86">
        <v>0.2</v>
      </c>
      <c r="N86">
        <v>0.1</v>
      </c>
      <c r="O86">
        <v>0.2</v>
      </c>
      <c r="P86">
        <v>7.1</v>
      </c>
      <c r="U86" s="482">
        <v>3.927</v>
      </c>
    </row>
    <row r="87" spans="2:47">
      <c r="B87" s="7"/>
      <c r="C87" s="429" t="s">
        <v>922</v>
      </c>
      <c r="D87" s="429"/>
      <c r="E87" s="429"/>
      <c r="F87" s="429"/>
      <c r="G87">
        <v>0.8</v>
      </c>
      <c r="H87">
        <v>1</v>
      </c>
      <c r="I87">
        <v>0.9</v>
      </c>
      <c r="J87">
        <v>0.4</v>
      </c>
      <c r="K87">
        <v>0.3</v>
      </c>
      <c r="L87">
        <v>1.3</v>
      </c>
      <c r="M87">
        <v>0.6</v>
      </c>
      <c r="N87">
        <v>1.2</v>
      </c>
      <c r="O87">
        <v>0.9</v>
      </c>
      <c r="P87">
        <v>0.5</v>
      </c>
      <c r="U87" s="482">
        <v>3</v>
      </c>
    </row>
    <row r="88" spans="2:47">
      <c r="B88" s="7"/>
      <c r="C88" s="429" t="s">
        <v>923</v>
      </c>
      <c r="D88" s="429"/>
      <c r="E88" s="429"/>
      <c r="F88" s="429"/>
      <c r="G88">
        <v>0.2</v>
      </c>
      <c r="H88">
        <v>0.1</v>
      </c>
      <c r="I88">
        <v>0.5</v>
      </c>
      <c r="J88">
        <v>0</v>
      </c>
      <c r="K88">
        <v>0</v>
      </c>
      <c r="L88">
        <v>0.2</v>
      </c>
      <c r="M88">
        <v>0</v>
      </c>
      <c r="N88">
        <v>0</v>
      </c>
      <c r="O88">
        <v>0</v>
      </c>
      <c r="P88">
        <v>0</v>
      </c>
      <c r="U88" s="1066">
        <v>42.1</v>
      </c>
    </row>
    <row r="89" spans="2:47">
      <c r="G89" s="167"/>
      <c r="H89" s="167"/>
      <c r="I89" s="167"/>
      <c r="J89" s="167"/>
      <c r="K89" s="167"/>
      <c r="L89" s="167"/>
      <c r="M89" s="167"/>
      <c r="N89" s="167"/>
      <c r="O89" s="167"/>
      <c r="P89" s="167"/>
      <c r="Q89" s="1062"/>
      <c r="R89" s="92"/>
      <c r="S89" s="92"/>
      <c r="T89" s="92"/>
      <c r="U89" s="476"/>
    </row>
    <row r="90" spans="2:47" ht="18">
      <c r="B90" s="7" t="s">
        <v>862</v>
      </c>
      <c r="C90" s="427" t="s">
        <v>924</v>
      </c>
      <c r="D90" s="427"/>
      <c r="E90" s="427"/>
      <c r="F90" s="427"/>
      <c r="H90" s="93">
        <v>1.3003519749706687</v>
      </c>
      <c r="I90" s="93">
        <v>1.6775675270857253</v>
      </c>
      <c r="J90" s="93">
        <v>1.4392059553349876</v>
      </c>
      <c r="K90" s="93">
        <v>1.4825718942221757</v>
      </c>
      <c r="L90" s="93">
        <v>1.3812623832437021</v>
      </c>
      <c r="M90" s="93">
        <v>1.07868740774384</v>
      </c>
      <c r="N90" s="93">
        <v>1.1880789367700362</v>
      </c>
      <c r="O90" s="93">
        <v>1.3726670680313062</v>
      </c>
      <c r="P90" s="93">
        <v>1.9664507556884239</v>
      </c>
      <c r="Q90" s="93">
        <v>0.83281751167632678</v>
      </c>
      <c r="R90" s="93">
        <v>0.93281751167632676</v>
      </c>
      <c r="S90" s="93">
        <v>1.0328175116763267</v>
      </c>
      <c r="T90" s="93">
        <v>1.1328175116763268</v>
      </c>
      <c r="U90" s="483">
        <v>1.2328175116763269</v>
      </c>
      <c r="V90" s="93">
        <v>1.332817511676327</v>
      </c>
      <c r="W90" s="93">
        <f t="shared" ref="W90" si="75">V90+0.1</f>
        <v>1.4328175116763271</v>
      </c>
      <c r="X90" s="93">
        <f t="shared" ref="X90" si="76">W90+0.1</f>
        <v>1.5328175116763272</v>
      </c>
      <c r="Y90" s="93">
        <f t="shared" ref="Y90" si="77">X90+0.1</f>
        <v>1.6328175116763273</v>
      </c>
      <c r="Z90" s="93">
        <f t="shared" ref="Z90" si="78">Y90+0.1</f>
        <v>1.7328175116763274</v>
      </c>
      <c r="AA90" s="93">
        <f t="shared" ref="AA90" si="79">Z90+0.1</f>
        <v>1.8328175116763274</v>
      </c>
      <c r="AB90" s="93">
        <f t="shared" ref="AB90" si="80">AA90+0.1</f>
        <v>1.9328175116763275</v>
      </c>
      <c r="AC90" s="93">
        <f t="shared" ref="AC90" si="81">AB90+0.1</f>
        <v>2.0328175116763276</v>
      </c>
      <c r="AD90" s="93">
        <f t="shared" ref="AD90" si="82">AC90+0.1</f>
        <v>2.1328175116763277</v>
      </c>
      <c r="AE90" s="93">
        <f t="shared" ref="AE90" si="83">AD90+0.1</f>
        <v>2.2328175116763278</v>
      </c>
      <c r="AH90" t="s">
        <v>1058</v>
      </c>
    </row>
    <row r="92" spans="2:47">
      <c r="G92" s="167"/>
      <c r="H92" s="167"/>
      <c r="I92" s="167"/>
      <c r="J92" s="167"/>
      <c r="K92" s="167"/>
      <c r="L92" s="167"/>
      <c r="M92" s="167"/>
      <c r="N92" s="167"/>
      <c r="O92" s="167"/>
      <c r="P92" s="167"/>
      <c r="Q92" s="1062"/>
      <c r="R92" s="92"/>
      <c r="S92" s="92"/>
      <c r="T92" s="92"/>
      <c r="U92" s="476"/>
    </row>
    <row r="93" spans="2:47" ht="30">
      <c r="B93" s="7" t="s">
        <v>863</v>
      </c>
      <c r="C93" s="497" t="s">
        <v>925</v>
      </c>
      <c r="D93" s="497"/>
      <c r="E93" s="497"/>
      <c r="F93" s="497"/>
      <c r="G93" s="432">
        <v>40.9</v>
      </c>
      <c r="H93" s="432">
        <v>49.099999999999994</v>
      </c>
      <c r="I93" s="432">
        <v>71.3</v>
      </c>
      <c r="J93" s="432">
        <v>20.7</v>
      </c>
      <c r="K93" s="432">
        <v>22.3</v>
      </c>
      <c r="L93" s="432">
        <v>55.699999999999996</v>
      </c>
      <c r="M93" s="432">
        <v>39.6</v>
      </c>
      <c r="N93" s="432">
        <v>36.800000000000004</v>
      </c>
      <c r="O93" s="432">
        <v>72.400000000000006</v>
      </c>
      <c r="P93" s="432">
        <v>93.1</v>
      </c>
      <c r="Q93" s="1064">
        <v>60</v>
      </c>
      <c r="R93" s="1064">
        <v>1840</v>
      </c>
      <c r="S93" s="137">
        <v>2287.1</v>
      </c>
      <c r="T93" s="137">
        <v>2061.1999999999998</v>
      </c>
      <c r="U93" s="137">
        <v>2133.6999999999998</v>
      </c>
      <c r="V93" s="93">
        <v>2240.3849999999998</v>
      </c>
      <c r="W93" s="93">
        <f>V93*1.05</f>
        <v>2352.40425</v>
      </c>
      <c r="X93" s="93">
        <f t="shared" ref="X93:AE93" si="84">W93*1.05</f>
        <v>2470.0244625</v>
      </c>
      <c r="Y93" s="93">
        <f t="shared" si="84"/>
        <v>2593.5256856250003</v>
      </c>
      <c r="Z93" s="93">
        <f t="shared" si="84"/>
        <v>2723.2019699062503</v>
      </c>
      <c r="AA93" s="93">
        <f t="shared" si="84"/>
        <v>2859.3620684015627</v>
      </c>
      <c r="AB93" s="93">
        <f t="shared" si="84"/>
        <v>3002.3301718216412</v>
      </c>
      <c r="AC93" s="93">
        <f t="shared" si="84"/>
        <v>3152.4466804127233</v>
      </c>
      <c r="AD93" s="93">
        <f t="shared" si="84"/>
        <v>3310.0690144333594</v>
      </c>
      <c r="AE93" s="93">
        <f t="shared" si="84"/>
        <v>3475.5724651550277</v>
      </c>
    </row>
    <row r="94" spans="2:47">
      <c r="B94" s="7"/>
      <c r="C94" s="429" t="s">
        <v>926</v>
      </c>
      <c r="D94" s="429"/>
      <c r="E94" s="429"/>
      <c r="F94" s="429"/>
      <c r="G94">
        <v>14.8</v>
      </c>
      <c r="H94">
        <v>34.4</v>
      </c>
      <c r="I94">
        <v>15.8</v>
      </c>
      <c r="J94">
        <v>12.6</v>
      </c>
      <c r="K94">
        <v>4</v>
      </c>
      <c r="L94">
        <v>37.799999999999997</v>
      </c>
      <c r="M94">
        <v>36.9</v>
      </c>
      <c r="N94">
        <v>34.6</v>
      </c>
      <c r="O94">
        <v>40.5</v>
      </c>
      <c r="P94">
        <v>47.3</v>
      </c>
      <c r="U94" s="1066"/>
    </row>
    <row r="95" spans="2:47">
      <c r="B95" s="7"/>
      <c r="C95" s="429" t="s">
        <v>927</v>
      </c>
      <c r="D95" s="429"/>
      <c r="E95" s="429"/>
      <c r="F95" s="429"/>
      <c r="G95">
        <v>14.5</v>
      </c>
      <c r="H95">
        <v>2.4</v>
      </c>
      <c r="I95">
        <v>42.5</v>
      </c>
      <c r="J95">
        <v>2.7</v>
      </c>
      <c r="K95">
        <v>15</v>
      </c>
      <c r="L95">
        <v>14.3</v>
      </c>
      <c r="M95">
        <v>0</v>
      </c>
      <c r="N95">
        <v>0</v>
      </c>
      <c r="O95">
        <v>29.7</v>
      </c>
      <c r="P95">
        <v>43.8</v>
      </c>
      <c r="U95" s="1066"/>
    </row>
    <row r="96" spans="2:47">
      <c r="B96" s="7"/>
      <c r="C96" s="429" t="s">
        <v>928</v>
      </c>
      <c r="D96" s="429"/>
      <c r="E96" s="429"/>
      <c r="F96" s="429"/>
      <c r="G96">
        <v>11.6</v>
      </c>
      <c r="H96">
        <v>11.9</v>
      </c>
      <c r="I96">
        <v>12.6</v>
      </c>
      <c r="J96">
        <v>5</v>
      </c>
      <c r="K96">
        <v>3.1</v>
      </c>
      <c r="L96">
        <v>3.6</v>
      </c>
      <c r="M96">
        <v>2.7</v>
      </c>
      <c r="N96">
        <v>2.2000000000000002</v>
      </c>
      <c r="O96">
        <v>2.2000000000000002</v>
      </c>
      <c r="P96">
        <v>2</v>
      </c>
      <c r="U96" s="1066"/>
    </row>
    <row r="97" spans="2:34">
      <c r="B97" s="7"/>
      <c r="C97" s="429" t="s">
        <v>929</v>
      </c>
      <c r="D97" s="429"/>
      <c r="E97" s="429"/>
      <c r="F97" s="429"/>
      <c r="H97">
        <v>0.4</v>
      </c>
      <c r="I97">
        <v>0.4</v>
      </c>
      <c r="J97">
        <v>0.4</v>
      </c>
      <c r="K97">
        <v>0.2</v>
      </c>
      <c r="L97">
        <v>0</v>
      </c>
      <c r="M97">
        <v>0</v>
      </c>
      <c r="N97">
        <v>0</v>
      </c>
      <c r="O97">
        <v>0</v>
      </c>
      <c r="P97">
        <v>0</v>
      </c>
      <c r="U97" s="1066"/>
    </row>
    <row r="99" spans="2:34" ht="31.5">
      <c r="B99" s="7" t="s">
        <v>864</v>
      </c>
      <c r="C99" s="498" t="s">
        <v>930</v>
      </c>
      <c r="D99" s="498"/>
      <c r="E99" s="498"/>
      <c r="F99" s="498"/>
      <c r="G99" s="432">
        <v>1027.0999999999999</v>
      </c>
      <c r="H99" s="432">
        <v>1018.5</v>
      </c>
      <c r="I99" s="432">
        <v>984.4</v>
      </c>
      <c r="J99" s="432">
        <v>1030.5999999999999</v>
      </c>
      <c r="K99" s="432">
        <v>871.5</v>
      </c>
      <c r="L99" s="432">
        <v>895</v>
      </c>
      <c r="M99" s="432">
        <v>866.4</v>
      </c>
      <c r="N99" s="432">
        <v>1120</v>
      </c>
      <c r="O99" s="432">
        <v>1371.5000000000002</v>
      </c>
      <c r="P99" s="137">
        <v>1639</v>
      </c>
      <c r="Q99" s="137">
        <v>1915.2</v>
      </c>
      <c r="R99" s="1067">
        <v>2179.5</v>
      </c>
      <c r="S99" s="1067">
        <v>2252.9</v>
      </c>
      <c r="T99" s="1068">
        <v>2239.8000000000002</v>
      </c>
      <c r="U99" s="482">
        <v>2103.8000000000002</v>
      </c>
      <c r="V99">
        <v>2454.0640592188352</v>
      </c>
      <c r="W99">
        <v>2274.1</v>
      </c>
      <c r="X99">
        <v>2879</v>
      </c>
      <c r="Y99">
        <v>2924.2</v>
      </c>
      <c r="Z99">
        <v>2925.3</v>
      </c>
      <c r="AA99">
        <v>3243.7</v>
      </c>
      <c r="AB99">
        <v>3299.3</v>
      </c>
      <c r="AC99">
        <v>3228.3</v>
      </c>
      <c r="AD99">
        <v>3243.3</v>
      </c>
      <c r="AE99" s="159">
        <v>3187.6</v>
      </c>
      <c r="AH99" t="s">
        <v>1059</v>
      </c>
    </row>
    <row r="100" spans="2:34">
      <c r="B100" s="7"/>
      <c r="C100" s="429" t="s">
        <v>926</v>
      </c>
      <c r="D100" s="429"/>
      <c r="E100" s="429"/>
      <c r="F100" s="429"/>
      <c r="G100">
        <v>788.3</v>
      </c>
      <c r="H100">
        <v>808.3</v>
      </c>
      <c r="I100">
        <v>784.5</v>
      </c>
      <c r="J100">
        <v>827.4</v>
      </c>
      <c r="K100">
        <v>683.3</v>
      </c>
      <c r="L100">
        <v>708.2</v>
      </c>
      <c r="M100">
        <v>770.6</v>
      </c>
      <c r="N100">
        <v>1026.3</v>
      </c>
      <c r="O100">
        <v>1309.4000000000001</v>
      </c>
      <c r="P100">
        <v>1572.4</v>
      </c>
      <c r="Q100">
        <v>1979</v>
      </c>
    </row>
    <row r="101" spans="2:34">
      <c r="B101" s="7"/>
      <c r="C101" s="429" t="s">
        <v>927</v>
      </c>
      <c r="D101" s="429"/>
      <c r="E101" s="429"/>
      <c r="F101" s="429"/>
      <c r="G101">
        <v>111</v>
      </c>
      <c r="H101">
        <v>100</v>
      </c>
      <c r="I101">
        <v>89</v>
      </c>
      <c r="J101">
        <v>99.8</v>
      </c>
      <c r="K101">
        <v>119.9</v>
      </c>
      <c r="L101">
        <v>135.6</v>
      </c>
      <c r="M101">
        <v>44.4</v>
      </c>
      <c r="N101">
        <v>44.4</v>
      </c>
      <c r="O101">
        <v>15.2</v>
      </c>
      <c r="P101">
        <v>73</v>
      </c>
      <c r="Q101">
        <v>109.5</v>
      </c>
    </row>
    <row r="102" spans="2:34">
      <c r="B102" s="7"/>
      <c r="C102" s="429" t="s">
        <v>928</v>
      </c>
      <c r="D102" s="429"/>
      <c r="E102" s="429"/>
      <c r="F102" s="429"/>
      <c r="G102">
        <v>122.5</v>
      </c>
      <c r="H102">
        <v>105.2</v>
      </c>
      <c r="I102">
        <v>106.5</v>
      </c>
      <c r="J102">
        <v>98.8</v>
      </c>
      <c r="K102">
        <v>65.099999999999994</v>
      </c>
      <c r="L102">
        <v>47.9</v>
      </c>
      <c r="M102">
        <v>48.1</v>
      </c>
      <c r="N102">
        <v>46.3</v>
      </c>
      <c r="O102">
        <v>44.4</v>
      </c>
      <c r="P102">
        <v>43.6</v>
      </c>
      <c r="Q102">
        <v>42.7</v>
      </c>
    </row>
    <row r="103" spans="2:34">
      <c r="B103" s="7"/>
      <c r="C103" s="429" t="s">
        <v>929</v>
      </c>
      <c r="D103" s="429"/>
      <c r="E103" s="429"/>
      <c r="F103" s="429"/>
      <c r="G103">
        <v>5.3</v>
      </c>
      <c r="H103">
        <v>5</v>
      </c>
      <c r="I103">
        <v>4.4000000000000004</v>
      </c>
      <c r="J103">
        <v>4.5999999999999996</v>
      </c>
      <c r="K103">
        <v>3.2</v>
      </c>
      <c r="L103">
        <v>3.3</v>
      </c>
      <c r="M103">
        <v>3.3</v>
      </c>
      <c r="N103">
        <v>3</v>
      </c>
      <c r="O103">
        <v>2.5</v>
      </c>
      <c r="P103">
        <v>2.2999999999999998</v>
      </c>
      <c r="Q103">
        <v>2.2999999999999998</v>
      </c>
    </row>
    <row r="105" spans="2:34" ht="18.75">
      <c r="B105" s="7" t="s">
        <v>865</v>
      </c>
      <c r="C105" s="433" t="s">
        <v>931</v>
      </c>
      <c r="D105" s="433"/>
      <c r="E105" s="433"/>
      <c r="F105" s="433"/>
      <c r="G105" s="133">
        <v>108.2</v>
      </c>
      <c r="H105" s="133">
        <v>97</v>
      </c>
      <c r="I105" s="133">
        <v>82.5</v>
      </c>
      <c r="J105" s="133">
        <v>66.3</v>
      </c>
      <c r="K105" s="133">
        <v>42.2</v>
      </c>
      <c r="L105" s="133">
        <v>38.9</v>
      </c>
      <c r="M105" s="133">
        <v>31</v>
      </c>
      <c r="N105" s="133">
        <v>30.2</v>
      </c>
      <c r="O105" s="133">
        <v>26.7</v>
      </c>
      <c r="P105" s="133">
        <v>35.799999999999997</v>
      </c>
      <c r="Q105" s="133">
        <v>31.6</v>
      </c>
      <c r="R105" s="287">
        <v>33.409230032522593</v>
      </c>
      <c r="S105" s="287">
        <v>29.672292837923418</v>
      </c>
      <c r="T105" s="287">
        <v>26.331406532231799</v>
      </c>
      <c r="U105" s="287">
        <v>22.764342485517446</v>
      </c>
      <c r="V105" s="287">
        <f>V99/V2*100</f>
        <v>29.676048392139482</v>
      </c>
      <c r="W105" s="287">
        <f t="shared" ref="W105:AE105" si="85">W99/W2*100</f>
        <v>32.52206678919444</v>
      </c>
      <c r="X105" s="287">
        <f t="shared" si="85"/>
        <v>38.201061080821859</v>
      </c>
      <c r="Y105" s="287">
        <f t="shared" si="85"/>
        <v>37.658655093218044</v>
      </c>
      <c r="Z105" s="287">
        <f t="shared" si="85"/>
        <v>35.24013653175713</v>
      </c>
      <c r="AA105" s="287">
        <f t="shared" si="85"/>
        <v>39.878288664863533</v>
      </c>
      <c r="AB105" s="287">
        <f t="shared" si="85"/>
        <v>36.914005683725307</v>
      </c>
      <c r="AC105" s="287">
        <f t="shared" si="85"/>
        <v>30.1183912228162</v>
      </c>
      <c r="AD105" s="287">
        <f t="shared" si="85"/>
        <v>26.89169693050097</v>
      </c>
      <c r="AE105" s="287">
        <f t="shared" si="85"/>
        <v>22.438880167819956</v>
      </c>
      <c r="AH105" t="s">
        <v>1060</v>
      </c>
    </row>
    <row r="106" spans="2:34" ht="18.75">
      <c r="B106" s="7" t="s">
        <v>866</v>
      </c>
      <c r="C106" s="133" t="s">
        <v>932</v>
      </c>
      <c r="D106" s="133"/>
      <c r="E106" s="133"/>
      <c r="F106" s="133"/>
      <c r="G106" s="287">
        <v>5.7232325945824902</v>
      </c>
      <c r="H106" s="287">
        <v>5.7411309648051825</v>
      </c>
      <c r="I106" s="287">
        <v>7.2242590607777446</v>
      </c>
      <c r="J106" s="287">
        <v>2.2634010290874729</v>
      </c>
      <c r="K106" s="287">
        <v>1.7534822934232717</v>
      </c>
      <c r="L106" s="287">
        <v>2.9364352121666246</v>
      </c>
      <c r="M106" s="287">
        <v>1.7348284468629824</v>
      </c>
      <c r="N106" s="287">
        <v>1.3066352709636608</v>
      </c>
      <c r="O106" s="287">
        <v>1.7337026808758167</v>
      </c>
      <c r="P106" s="287">
        <v>2.4624460710650049</v>
      </c>
      <c r="Q106" s="287">
        <v>1.3257290414496237</v>
      </c>
      <c r="R106" s="287">
        <v>29.391831492695651</v>
      </c>
      <c r="S106" s="287">
        <v>31.35394888712527</v>
      </c>
      <c r="T106" s="287">
        <v>25.181655858576885</v>
      </c>
      <c r="U106" s="483">
        <v>24.299783211201884</v>
      </c>
      <c r="V106" s="287">
        <f t="shared" ref="V106:AE106" si="86">(V84+V93)/V2*100</f>
        <v>27.459411204513078</v>
      </c>
      <c r="W106" s="287">
        <f t="shared" si="86"/>
        <v>34.126321399330955</v>
      </c>
      <c r="X106" s="287">
        <f t="shared" si="86"/>
        <v>33.298458074268744</v>
      </c>
      <c r="Y106" s="287">
        <f t="shared" si="86"/>
        <v>34.010284775086163</v>
      </c>
      <c r="Z106" s="287">
        <f t="shared" si="86"/>
        <v>33.416059818768233</v>
      </c>
      <c r="AA106" s="287">
        <f t="shared" si="86"/>
        <v>35.848233643339306</v>
      </c>
      <c r="AB106" s="287">
        <f t="shared" si="86"/>
        <v>34.298846435544903</v>
      </c>
      <c r="AC106" s="287">
        <f t="shared" si="86"/>
        <v>30.029703027035136</v>
      </c>
      <c r="AD106" s="287">
        <f t="shared" si="86"/>
        <v>28.017534148186506</v>
      </c>
      <c r="AE106" s="287">
        <f t="shared" si="86"/>
        <v>24.971438196176351</v>
      </c>
      <c r="AH106" t="s">
        <v>1061</v>
      </c>
    </row>
    <row r="107" spans="2:34">
      <c r="B107" s="133"/>
      <c r="C107" s="133"/>
      <c r="D107" s="133"/>
      <c r="E107" s="133"/>
      <c r="F107" s="133"/>
      <c r="G107" s="287"/>
      <c r="H107" s="287"/>
      <c r="I107" s="287"/>
      <c r="J107" s="287"/>
      <c r="K107" s="287"/>
      <c r="L107" s="287"/>
      <c r="M107" s="287"/>
      <c r="N107" s="287"/>
      <c r="O107" s="287"/>
      <c r="P107" s="287"/>
      <c r="Q107" s="133"/>
      <c r="R107" s="133"/>
      <c r="S107" s="133"/>
      <c r="T107" s="133"/>
    </row>
    <row r="108" spans="2:34" ht="18.75">
      <c r="B108" s="7" t="s">
        <v>867</v>
      </c>
      <c r="C108" s="432" t="s">
        <v>933</v>
      </c>
      <c r="D108" s="432"/>
      <c r="E108" s="432"/>
      <c r="F108" s="432"/>
      <c r="G108" s="432"/>
      <c r="H108" s="432"/>
      <c r="I108" s="432"/>
      <c r="J108" s="432"/>
      <c r="K108" s="432"/>
      <c r="L108" s="133">
        <v>298.8</v>
      </c>
      <c r="M108" s="133">
        <v>521.4</v>
      </c>
      <c r="N108" s="133">
        <v>969.9</v>
      </c>
      <c r="O108" s="133">
        <v>926.8</v>
      </c>
      <c r="P108" s="138">
        <v>873.8</v>
      </c>
      <c r="Q108" s="1069">
        <v>927.3</v>
      </c>
      <c r="R108" s="1069">
        <v>1096.7</v>
      </c>
      <c r="S108" s="1069">
        <v>1358</v>
      </c>
      <c r="T108" s="499">
        <v>2081.2889429043944</v>
      </c>
      <c r="U108" s="1070">
        <v>1496.5206117844202</v>
      </c>
      <c r="V108" s="93">
        <v>2200.9929021730863</v>
      </c>
      <c r="W108" s="499">
        <f t="shared" ref="W108" si="87">V108+W59+W80</f>
        <v>2837.1670672056639</v>
      </c>
      <c r="X108" s="499">
        <f t="shared" ref="X108" si="88">W108+X59+X80</f>
        <v>3789.3811116247066</v>
      </c>
      <c r="Y108" s="499">
        <f t="shared" ref="Y108" si="89">X108+Y59+Y80</f>
        <v>4752.2766777606557</v>
      </c>
      <c r="Z108" s="499">
        <f t="shared" ref="Z108" si="90">Y108+Z59+Z80</f>
        <v>5278.2003783117625</v>
      </c>
      <c r="AA108" s="499">
        <f t="shared" ref="AA108" si="91">Z108+AA59+AA80</f>
        <v>5397.7737923264176</v>
      </c>
      <c r="AB108" s="499">
        <f t="shared" ref="AB108" si="92">AA108+AB59+AB80</f>
        <v>6957.1921709186481</v>
      </c>
      <c r="AC108" s="499">
        <f t="shared" ref="AC108" si="93">AB108+AC59+AC80</f>
        <v>8534.7405146261808</v>
      </c>
      <c r="AD108" s="499">
        <f t="shared" ref="AD108" si="94">AC108+AD59+AD80</f>
        <v>9916.4571613593107</v>
      </c>
      <c r="AE108" s="499">
        <f t="shared" ref="AE108" si="95">AD108+AE59+AE80</f>
        <v>13432.863703309717</v>
      </c>
      <c r="AH108" t="s">
        <v>1062</v>
      </c>
    </row>
    <row r="109" spans="2:34">
      <c r="C109" s="429" t="s">
        <v>934</v>
      </c>
      <c r="D109" s="429"/>
      <c r="E109" s="429"/>
      <c r="F109" s="429"/>
      <c r="L109">
        <v>51.9</v>
      </c>
      <c r="M109">
        <v>237.8</v>
      </c>
      <c r="N109">
        <v>405.5</v>
      </c>
      <c r="O109">
        <v>229.3</v>
      </c>
      <c r="P109">
        <v>161.1</v>
      </c>
    </row>
    <row r="110" spans="2:34">
      <c r="C110" s="429" t="s">
        <v>935</v>
      </c>
      <c r="D110" s="429"/>
      <c r="E110" s="429"/>
      <c r="F110" s="429"/>
      <c r="L110">
        <v>28.9</v>
      </c>
      <c r="M110">
        <v>139.4</v>
      </c>
      <c r="N110">
        <v>197.3</v>
      </c>
      <c r="O110">
        <v>258.39999999999998</v>
      </c>
      <c r="P110">
        <v>257.39999999999998</v>
      </c>
    </row>
    <row r="111" spans="2:34">
      <c r="C111" s="429" t="s">
        <v>615</v>
      </c>
      <c r="D111" s="429"/>
      <c r="E111" s="429"/>
      <c r="F111" s="429"/>
      <c r="L111">
        <v>0.04</v>
      </c>
      <c r="M111">
        <v>0.04</v>
      </c>
      <c r="N111">
        <v>115</v>
      </c>
      <c r="O111">
        <v>186.4</v>
      </c>
      <c r="P111">
        <v>213.1</v>
      </c>
    </row>
    <row r="112" spans="2:34">
      <c r="C112" s="429" t="s">
        <v>13</v>
      </c>
      <c r="D112" s="429"/>
      <c r="E112" s="429"/>
      <c r="F112" s="429"/>
      <c r="L112">
        <v>109.8</v>
      </c>
      <c r="M112">
        <v>111.2</v>
      </c>
      <c r="N112">
        <v>105</v>
      </c>
      <c r="O112">
        <v>103.8</v>
      </c>
      <c r="P112">
        <v>93.1</v>
      </c>
    </row>
    <row r="113" spans="2:34">
      <c r="C113" s="429" t="s">
        <v>936</v>
      </c>
      <c r="D113" s="429"/>
      <c r="E113" s="429"/>
      <c r="F113" s="429"/>
      <c r="L113">
        <v>0.2</v>
      </c>
      <c r="M113">
        <v>0</v>
      </c>
      <c r="N113">
        <v>45.6</v>
      </c>
      <c r="O113">
        <v>83.4</v>
      </c>
      <c r="P113">
        <v>85.4</v>
      </c>
    </row>
    <row r="114" spans="2:34">
      <c r="C114" s="429" t="s">
        <v>330</v>
      </c>
      <c r="D114" s="429"/>
      <c r="E114" s="429"/>
      <c r="F114" s="429"/>
      <c r="L114">
        <v>107.9</v>
      </c>
      <c r="M114">
        <v>32.9</v>
      </c>
      <c r="N114">
        <v>35.799999999999997</v>
      </c>
      <c r="O114">
        <v>31.8</v>
      </c>
      <c r="P114">
        <v>14.6</v>
      </c>
    </row>
    <row r="115" spans="2:34">
      <c r="C115" s="429" t="s">
        <v>937</v>
      </c>
      <c r="D115" s="429"/>
      <c r="E115" s="429"/>
      <c r="F115" s="429"/>
      <c r="L115">
        <v>6.0000000000002274E-2</v>
      </c>
      <c r="M115">
        <v>5.999999999994543E-2</v>
      </c>
      <c r="N115">
        <v>65.700000000000045</v>
      </c>
      <c r="O115">
        <v>33.700000000000045</v>
      </c>
      <c r="P115">
        <v>49.099999999999909</v>
      </c>
    </row>
    <row r="116" spans="2:34" ht="18.75">
      <c r="B116" s="7" t="s">
        <v>868</v>
      </c>
      <c r="C116" s="427" t="s">
        <v>938</v>
      </c>
      <c r="D116" s="427"/>
      <c r="E116" s="427"/>
      <c r="F116" s="427"/>
      <c r="O116">
        <v>17.3</v>
      </c>
      <c r="P116" s="93">
        <v>18</v>
      </c>
      <c r="Q116" s="93">
        <v>19.581974313161496</v>
      </c>
      <c r="R116" s="93">
        <v>23.777533391753373</v>
      </c>
      <c r="S116" s="93">
        <v>30.986551673510281</v>
      </c>
      <c r="T116" s="93">
        <v>46.426681406757226</v>
      </c>
      <c r="U116" s="483">
        <v>51.429156461011559</v>
      </c>
      <c r="V116" s="93">
        <v>57.091921256145035</v>
      </c>
      <c r="W116" s="93">
        <f>AVERAGE(V108:W108)*W118/100</f>
        <v>81.243386049990235</v>
      </c>
      <c r="X116" s="93">
        <f t="shared" ref="X116:AE116" si="96">AVERAGE(W108:X108)*X118/100</f>
        <v>112.65906798475874</v>
      </c>
      <c r="Y116" s="93">
        <f t="shared" si="96"/>
        <v>152.69692781066706</v>
      </c>
      <c r="Z116" s="93">
        <f t="shared" si="96"/>
        <v>188.09446253035563</v>
      </c>
      <c r="AA116" s="93">
        <f t="shared" si="96"/>
        <v>209.54649947351299</v>
      </c>
      <c r="AB116" s="93">
        <f t="shared" si="96"/>
        <v>253.31905844690689</v>
      </c>
      <c r="AC116" s="93">
        <f t="shared" si="96"/>
        <v>331.20176365607063</v>
      </c>
      <c r="AD116" s="93">
        <f t="shared" si="96"/>
        <v>410.62301968140213</v>
      </c>
      <c r="AE116" s="93">
        <f t="shared" si="96"/>
        <v>540.07231986260626</v>
      </c>
      <c r="AH116" t="s">
        <v>1063</v>
      </c>
    </row>
    <row r="117" spans="2:34">
      <c r="H117" s="92"/>
      <c r="I117" s="242"/>
      <c r="J117" s="242"/>
      <c r="K117" s="242"/>
      <c r="L117" s="242"/>
      <c r="M117" s="242"/>
      <c r="N117" s="242"/>
      <c r="O117" s="242"/>
      <c r="P117" s="242"/>
      <c r="Q117" s="242"/>
      <c r="R117" s="92"/>
      <c r="S117" s="92"/>
      <c r="T117" s="92"/>
      <c r="U117" s="476"/>
    </row>
    <row r="118" spans="2:34" ht="18">
      <c r="B118" s="7" t="s">
        <v>869</v>
      </c>
      <c r="C118" s="427" t="s">
        <v>939</v>
      </c>
      <c r="D118" s="427"/>
      <c r="E118" s="427"/>
      <c r="F118" s="427"/>
      <c r="H118" s="93"/>
      <c r="I118" s="93"/>
      <c r="J118" s="93"/>
      <c r="K118" s="93"/>
      <c r="L118" s="93"/>
      <c r="M118" s="93"/>
      <c r="N118" s="93"/>
      <c r="O118" s="93">
        <v>1.8242210154478835</v>
      </c>
      <c r="P118" s="93">
        <v>1.9993335554815064</v>
      </c>
      <c r="Q118" s="93">
        <v>2.1744460955151292</v>
      </c>
      <c r="R118" s="93">
        <v>2.3495586355487523</v>
      </c>
      <c r="S118" s="93">
        <v>2.5246711755823754</v>
      </c>
      <c r="T118" s="93">
        <v>2.6997837156159985</v>
      </c>
      <c r="U118" s="483">
        <v>2.8748962556496216</v>
      </c>
      <c r="V118" s="93">
        <v>3.0500087956832447</v>
      </c>
      <c r="W118" s="93">
        <v>3.2251213357168678</v>
      </c>
      <c r="X118" s="93">
        <f>W118+W118-V118</f>
        <v>3.4002338757504909</v>
      </c>
      <c r="Y118" s="93">
        <f t="shared" ref="Y118:AE118" si="97">X118+X118-W118</f>
        <v>3.5753464157841139</v>
      </c>
      <c r="Z118" s="93">
        <f t="shared" si="97"/>
        <v>3.750458955817737</v>
      </c>
      <c r="AA118" s="93">
        <f t="shared" si="97"/>
        <v>3.9255714958513601</v>
      </c>
      <c r="AB118" s="93">
        <f t="shared" si="97"/>
        <v>4.1006840358849832</v>
      </c>
      <c r="AC118" s="93">
        <f t="shared" si="97"/>
        <v>4.2757965759186067</v>
      </c>
      <c r="AD118" s="93">
        <f t="shared" si="97"/>
        <v>4.4509091159522303</v>
      </c>
      <c r="AE118" s="93">
        <f t="shared" si="97"/>
        <v>4.6260216559858538</v>
      </c>
      <c r="AH118" t="s">
        <v>1064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ADBBE-050F-4202-9675-87C679C3B160}">
  <dimension ref="C1:AE47"/>
  <sheetViews>
    <sheetView zoomScale="80" zoomScaleNormal="80" workbookViewId="0">
      <pane xSplit="3" ySplit="1" topLeftCell="O2" activePane="bottomRight" state="frozen"/>
      <selection pane="topRight" activeCell="D1" sqref="D1"/>
      <selection pane="bottomLeft" activeCell="A2" sqref="A2"/>
      <selection pane="bottomRight" activeCell="A48" sqref="A48:XFD67"/>
    </sheetView>
  </sheetViews>
  <sheetFormatPr defaultRowHeight="15"/>
  <cols>
    <col min="1" max="1" width="3.42578125" customWidth="1"/>
    <col min="2" max="2" width="5" customWidth="1"/>
    <col min="3" max="3" width="39.7109375" style="413" customWidth="1"/>
    <col min="4" max="20" width="13.5703125" style="413" customWidth="1"/>
    <col min="21" max="21" width="14" style="413" customWidth="1"/>
    <col min="22" max="22" width="13.28515625" customWidth="1"/>
    <col min="26" max="26" width="10.7109375" customWidth="1"/>
    <col min="30" max="31" width="10.5703125" bestFit="1" customWidth="1"/>
  </cols>
  <sheetData>
    <row r="1" spans="3:31" ht="36">
      <c r="C1" s="500" t="s">
        <v>796</v>
      </c>
      <c r="D1" s="293">
        <v>1997</v>
      </c>
      <c r="E1" s="293">
        <v>1998</v>
      </c>
      <c r="F1" s="293">
        <v>1999</v>
      </c>
      <c r="G1" s="293">
        <v>2000</v>
      </c>
      <c r="H1" s="293">
        <v>2001</v>
      </c>
      <c r="I1" s="293">
        <v>2002</v>
      </c>
      <c r="J1" s="293">
        <v>2003</v>
      </c>
      <c r="K1" s="293">
        <v>2004</v>
      </c>
      <c r="L1" s="293">
        <v>2005</v>
      </c>
      <c r="M1" s="293">
        <v>2006</v>
      </c>
      <c r="N1" s="293">
        <v>2007</v>
      </c>
      <c r="O1" s="293">
        <v>2008</v>
      </c>
      <c r="P1" s="293">
        <v>2009</v>
      </c>
      <c r="Q1" s="293">
        <v>2010</v>
      </c>
      <c r="R1" s="293">
        <v>2011</v>
      </c>
      <c r="S1" s="293">
        <v>2012</v>
      </c>
      <c r="T1" s="293">
        <v>2013</v>
      </c>
      <c r="U1" s="293">
        <v>2014</v>
      </c>
      <c r="V1" s="293">
        <v>2015</v>
      </c>
      <c r="W1" s="293">
        <v>2016</v>
      </c>
      <c r="X1" s="293">
        <v>2017</v>
      </c>
      <c r="Y1" s="293">
        <v>2018</v>
      </c>
      <c r="Z1" s="293">
        <v>2019</v>
      </c>
      <c r="AA1" s="293">
        <v>2020</v>
      </c>
      <c r="AB1" s="293">
        <v>2021</v>
      </c>
      <c r="AC1" s="293">
        <v>2022</v>
      </c>
      <c r="AD1" s="293">
        <v>2023</v>
      </c>
      <c r="AE1" s="293">
        <v>2024</v>
      </c>
    </row>
    <row r="2" spans="3:31" ht="18">
      <c r="C2" s="402"/>
      <c r="D2" s="805"/>
      <c r="E2" s="805"/>
      <c r="F2" s="805"/>
      <c r="G2" s="805"/>
      <c r="H2" s="805"/>
      <c r="I2" s="805"/>
      <c r="J2" s="805"/>
      <c r="K2" s="805"/>
      <c r="L2" s="805"/>
      <c r="M2" s="805"/>
      <c r="N2" s="805"/>
      <c r="O2" s="805"/>
      <c r="P2" s="805"/>
      <c r="Q2" s="805"/>
      <c r="R2" s="805"/>
      <c r="S2" s="805"/>
      <c r="T2" s="805"/>
      <c r="U2" s="805"/>
    </row>
    <row r="3" spans="3:31">
      <c r="C3" s="403" t="s">
        <v>722</v>
      </c>
      <c r="D3" s="804"/>
      <c r="E3" s="804"/>
      <c r="F3" s="804"/>
      <c r="G3" s="804"/>
      <c r="H3" s="804"/>
      <c r="I3" s="804"/>
      <c r="J3" s="804"/>
      <c r="K3" s="804"/>
      <c r="L3" s="804"/>
      <c r="M3" s="804"/>
      <c r="N3" s="804"/>
      <c r="O3" s="804"/>
      <c r="P3" s="804"/>
      <c r="Q3" s="804"/>
      <c r="R3" s="804"/>
      <c r="S3" s="804"/>
      <c r="T3" s="804"/>
      <c r="U3" s="804"/>
    </row>
    <row r="4" spans="3:31" ht="15.75">
      <c r="C4" s="404" t="s">
        <v>797</v>
      </c>
      <c r="D4" s="803"/>
      <c r="E4" s="803"/>
      <c r="F4" s="803"/>
      <c r="G4" s="803"/>
      <c r="H4" s="803"/>
      <c r="I4" s="803"/>
      <c r="J4" s="803"/>
      <c r="K4" s="803"/>
      <c r="L4" s="803"/>
      <c r="M4" s="803"/>
      <c r="N4" s="803"/>
      <c r="O4" s="803"/>
      <c r="P4" s="803"/>
      <c r="Q4" s="803"/>
      <c r="R4" s="803"/>
      <c r="S4" s="803"/>
      <c r="T4" s="803"/>
      <c r="U4" s="803"/>
    </row>
    <row r="5" spans="3:31">
      <c r="C5" s="405"/>
      <c r="D5" s="802"/>
      <c r="E5" s="802"/>
      <c r="F5" s="802"/>
      <c r="G5" s="802"/>
      <c r="H5" s="802"/>
      <c r="I5" s="802"/>
      <c r="J5" s="802"/>
      <c r="K5" s="802"/>
      <c r="L5" s="802"/>
      <c r="M5" s="802"/>
      <c r="N5" s="802"/>
      <c r="O5" s="802"/>
      <c r="P5" s="802"/>
      <c r="Q5" s="802"/>
      <c r="R5" s="802"/>
      <c r="S5" s="802"/>
      <c r="T5" s="802"/>
      <c r="U5" s="802"/>
    </row>
    <row r="6" spans="3:31" ht="18.75">
      <c r="C6" s="406" t="s">
        <v>798</v>
      </c>
      <c r="D6" s="801"/>
      <c r="E6" s="801"/>
      <c r="F6" s="801"/>
      <c r="G6" s="1074">
        <v>1806.7670000000001</v>
      </c>
      <c r="H6" s="1075">
        <v>2512.1127000000001</v>
      </c>
      <c r="I6" s="1075">
        <v>3344.5518999999999</v>
      </c>
      <c r="J6" s="1075">
        <v>4757.8</v>
      </c>
      <c r="K6" s="1075">
        <v>6157.5</v>
      </c>
      <c r="L6" s="1075">
        <v>7206.5999999999995</v>
      </c>
      <c r="M6" s="1075">
        <v>9335.3000000000011</v>
      </c>
      <c r="N6" s="1075">
        <v>12804.3</v>
      </c>
      <c r="O6" s="1075">
        <v>17706.900000000001</v>
      </c>
      <c r="P6" s="1076">
        <v>20629</v>
      </c>
      <c r="Q6" s="1079">
        <v>24707.100000000002</v>
      </c>
      <c r="R6" s="1080">
        <v>30071.1</v>
      </c>
      <c r="S6" s="1080">
        <v>36163.1</v>
      </c>
      <c r="T6" s="1080">
        <v>40525.199999999997</v>
      </c>
      <c r="U6" s="1080">
        <v>45606.6</v>
      </c>
      <c r="V6" s="133">
        <f>gateway!V3</f>
        <v>50977.399999999994</v>
      </c>
      <c r="W6" s="133">
        <f>gateway!W3</f>
        <v>54790.299999999996</v>
      </c>
      <c r="X6" s="133">
        <f>gateway!X3</f>
        <v>64434.3</v>
      </c>
      <c r="Y6" s="133">
        <f>gateway!Y3</f>
        <v>71059.199999999997</v>
      </c>
      <c r="Z6" s="133">
        <f>gateway!Z3</f>
        <v>79109.799999999988</v>
      </c>
      <c r="AA6" s="133">
        <f>gateway!AA3</f>
        <v>83958.3</v>
      </c>
      <c r="AB6" s="133">
        <f>gateway!AB3</f>
        <v>101076.30000000002</v>
      </c>
      <c r="AC6" s="133">
        <f>gateway!AC3</f>
        <v>118181.70000000001</v>
      </c>
      <c r="AD6" s="133">
        <f>gateway!AD3</f>
        <v>132781.90000000002</v>
      </c>
      <c r="AE6" s="133">
        <f>gateway!AE3</f>
        <v>153402.19999999998</v>
      </c>
    </row>
    <row r="7" spans="3:31" ht="18.75">
      <c r="C7" s="406" t="s">
        <v>799</v>
      </c>
      <c r="D7" s="801"/>
      <c r="E7" s="801"/>
      <c r="F7" s="801"/>
      <c r="G7" s="1074">
        <v>1244.8223651333335</v>
      </c>
      <c r="H7" s="1075">
        <v>1633.8607349999997</v>
      </c>
      <c r="I7" s="1075">
        <v>1997.7292689866667</v>
      </c>
      <c r="J7" s="1075">
        <v>2696.3122551083334</v>
      </c>
      <c r="K7" s="1075">
        <v>4088.59566</v>
      </c>
      <c r="L7" s="1075">
        <v>5243.5077753400001</v>
      </c>
      <c r="M7" s="1075">
        <v>7819.7655793599997</v>
      </c>
      <c r="N7" s="1075">
        <v>12761.634948750001</v>
      </c>
      <c r="O7" s="1075">
        <v>14004.9</v>
      </c>
      <c r="P7" s="1076">
        <v>12686.7</v>
      </c>
      <c r="Q7" s="1079">
        <v>14577.7</v>
      </c>
      <c r="R7" s="1080">
        <v>22286.1</v>
      </c>
      <c r="S7" s="1080">
        <v>25114</v>
      </c>
      <c r="T7" s="1080">
        <v>26051.9</v>
      </c>
      <c r="U7" s="1080">
        <v>26676.2</v>
      </c>
      <c r="V7" s="133">
        <f>gateway!V4</f>
        <v>20460</v>
      </c>
      <c r="W7" s="133">
        <f>gateway!W4</f>
        <v>23299.3</v>
      </c>
      <c r="X7" s="133">
        <f>gateway!X4</f>
        <v>25037.599999999999</v>
      </c>
      <c r="Y7" s="133">
        <f>gateway!Y4</f>
        <v>29468.7</v>
      </c>
      <c r="Z7" s="133">
        <f>gateway!Z4</f>
        <v>32486.5</v>
      </c>
      <c r="AA7" s="133">
        <f>gateway!AA4</f>
        <v>32260.799999999999</v>
      </c>
      <c r="AB7" s="133">
        <f>gateway!AB4</f>
        <v>48156.800000000003</v>
      </c>
      <c r="AC7" s="133">
        <f>gateway!AC4</f>
        <v>58006.400000000001</v>
      </c>
      <c r="AD7" s="133">
        <f>gateway!AD4</f>
        <v>64323.5</v>
      </c>
      <c r="AE7" s="133">
        <f>gateway!AE4</f>
        <v>82020.777098600011</v>
      </c>
    </row>
    <row r="8" spans="3:31" ht="18.75">
      <c r="C8" s="406" t="s">
        <v>575</v>
      </c>
      <c r="D8" s="801"/>
      <c r="E8" s="801"/>
      <c r="F8" s="801"/>
      <c r="G8" s="1074">
        <v>1448.6062281333334</v>
      </c>
      <c r="H8" s="1075">
        <v>1559.7607978333335</v>
      </c>
      <c r="I8" s="1075">
        <v>2047.9835360133329</v>
      </c>
      <c r="J8" s="1075">
        <v>2441.1369090333333</v>
      </c>
      <c r="K8" s="1075">
        <v>2720.0815658333331</v>
      </c>
      <c r="L8" s="1075">
        <v>3909.5708743600007</v>
      </c>
      <c r="M8" s="1075">
        <v>5243.2217387199998</v>
      </c>
      <c r="N8" s="1075">
        <v>5871.4188727500004</v>
      </c>
      <c r="O8" s="1075">
        <v>5782.4</v>
      </c>
      <c r="P8" s="1076">
        <v>5048</v>
      </c>
      <c r="Q8" s="1079">
        <v>6620.7</v>
      </c>
      <c r="R8" s="1080">
        <v>5335</v>
      </c>
      <c r="S8" s="1080">
        <v>7829.5</v>
      </c>
      <c r="T8" s="1080">
        <v>7582.6</v>
      </c>
      <c r="U8" s="1080">
        <v>5143.3999999999996</v>
      </c>
      <c r="V8" s="133">
        <f>gateway!V5</f>
        <v>4997.2</v>
      </c>
      <c r="W8" s="133">
        <f>gateway!W5</f>
        <v>7232.5</v>
      </c>
      <c r="X8" s="133">
        <f>gateway!X5</f>
        <v>9619.1</v>
      </c>
      <c r="Y8" s="133">
        <f>gateway!Y5</f>
        <v>10215.1</v>
      </c>
      <c r="Z8" s="133">
        <f>gateway!Z5</f>
        <v>11850.6</v>
      </c>
      <c r="AA8" s="133">
        <f>gateway!AA5</f>
        <v>14545.2</v>
      </c>
      <c r="AB8" s="133">
        <f>gateway!AB5</f>
        <v>24442.2</v>
      </c>
      <c r="AC8" s="133">
        <f>gateway!AC5</f>
        <v>19326.400000000001</v>
      </c>
      <c r="AD8" s="133">
        <f>gateway!AD5</f>
        <v>22827.7</v>
      </c>
      <c r="AE8" s="133">
        <f>gateway!AE5</f>
        <v>28747.75831889674</v>
      </c>
    </row>
    <row r="9" spans="3:31" ht="18.75">
      <c r="C9" s="406" t="s">
        <v>565</v>
      </c>
      <c r="D9" s="801"/>
      <c r="E9" s="801"/>
      <c r="F9" s="801"/>
      <c r="G9" s="1074">
        <v>1947.9911758666667</v>
      </c>
      <c r="H9" s="1075">
        <v>2803.0056259166668</v>
      </c>
      <c r="I9" s="1075">
        <v>3788.7655730299998</v>
      </c>
      <c r="J9" s="1075">
        <v>5224.4900801125004</v>
      </c>
      <c r="K9" s="1075">
        <v>6827.9491174558334</v>
      </c>
      <c r="L9" s="1075">
        <v>7701.1369009799982</v>
      </c>
      <c r="M9" s="1075">
        <v>10421.343840640002</v>
      </c>
      <c r="N9" s="1075">
        <v>16540.416076000001</v>
      </c>
      <c r="O9" s="1075">
        <v>17156.5</v>
      </c>
      <c r="P9" s="1076">
        <v>20380.2</v>
      </c>
      <c r="Q9" s="1079">
        <v>23726.2</v>
      </c>
      <c r="R9" s="1080">
        <v>33314.9</v>
      </c>
      <c r="S9" s="1080">
        <v>41047.699999999997</v>
      </c>
      <c r="T9" s="1080">
        <v>46141.599999999999</v>
      </c>
      <c r="U9" s="1080">
        <v>51376.3</v>
      </c>
      <c r="V9" s="133">
        <f>gateway!V6</f>
        <v>42206.3</v>
      </c>
      <c r="W9" s="133">
        <f>gateway!W6</f>
        <v>50109.599999999999</v>
      </c>
      <c r="X9" s="133">
        <f>gateway!X6</f>
        <v>59167.4</v>
      </c>
      <c r="Y9" s="133">
        <f>gateway!Y6</f>
        <v>62273.399999999994</v>
      </c>
      <c r="Z9" s="133">
        <f>gateway!Z6</f>
        <v>69139</v>
      </c>
      <c r="AA9" s="133">
        <f>gateway!AA6</f>
        <v>74861.600000000006</v>
      </c>
      <c r="AB9" s="133">
        <f>gateway!AB6</f>
        <v>92235.3</v>
      </c>
      <c r="AC9" s="133">
        <f>gateway!AC6</f>
        <v>115547</v>
      </c>
      <c r="AD9" s="133">
        <f>gateway!AD6</f>
        <v>133104.30000000002</v>
      </c>
      <c r="AE9" s="133">
        <f>gateway!AE6</f>
        <v>110815.29103372099</v>
      </c>
    </row>
    <row r="10" spans="3:31" ht="18.75">
      <c r="C10" s="406" t="s">
        <v>800</v>
      </c>
      <c r="D10" s="801"/>
      <c r="E10" s="801"/>
      <c r="F10" s="801"/>
      <c r="G10" s="1074">
        <v>1695.4281758666666</v>
      </c>
      <c r="H10" s="1075">
        <v>2425.6756259166668</v>
      </c>
      <c r="I10" s="1075">
        <v>3340.9854730299999</v>
      </c>
      <c r="J10" s="1075">
        <v>4552.3796801125</v>
      </c>
      <c r="K10" s="1075">
        <v>5740.349117455833</v>
      </c>
      <c r="L10" s="1075">
        <v>6648.8369009799981</v>
      </c>
      <c r="M10" s="1075">
        <v>9384.7438406400015</v>
      </c>
      <c r="N10" s="1075">
        <v>15400.316076000001</v>
      </c>
      <c r="O10" s="1075">
        <v>15145</v>
      </c>
      <c r="P10" s="1076">
        <v>17605.3</v>
      </c>
      <c r="Q10" s="1079">
        <v>20717.099999999999</v>
      </c>
      <c r="R10" s="1080">
        <v>28935.7</v>
      </c>
      <c r="S10" s="1080">
        <v>27407.100000000002</v>
      </c>
      <c r="T10" s="1080">
        <v>41354.9</v>
      </c>
      <c r="U10" s="1080">
        <v>44082</v>
      </c>
      <c r="V10" s="133">
        <f>gateway!V7</f>
        <v>36003</v>
      </c>
      <c r="W10" s="133">
        <f>gateway!W7</f>
        <v>43219.8</v>
      </c>
      <c r="X10" s="133">
        <f>gateway!X7</f>
        <v>51499.4</v>
      </c>
      <c r="Y10" s="133">
        <f>gateway!Y7</f>
        <v>53938.7</v>
      </c>
      <c r="Z10" s="133">
        <f>gateway!Z7</f>
        <v>59925</v>
      </c>
      <c r="AA10" s="133">
        <f>gateway!AA7</f>
        <v>64584</v>
      </c>
      <c r="AB10" s="133">
        <f>gateway!AB7</f>
        <v>80377.100000000006</v>
      </c>
      <c r="AC10" s="133">
        <f>gateway!AC7</f>
        <v>102715.8</v>
      </c>
      <c r="AD10" s="133">
        <f>gateway!AD7</f>
        <v>118160.2</v>
      </c>
      <c r="AE10" s="133">
        <f>gateway!AE7</f>
        <v>94514.530816654515</v>
      </c>
    </row>
    <row r="11" spans="3:31" ht="18.75">
      <c r="C11" s="406" t="s">
        <v>801</v>
      </c>
      <c r="D11" s="801"/>
      <c r="E11" s="801"/>
      <c r="F11" s="801"/>
      <c r="G11" s="1074">
        <v>67</v>
      </c>
      <c r="H11" s="1075">
        <v>82</v>
      </c>
      <c r="I11" s="1075">
        <v>108</v>
      </c>
      <c r="J11" s="1075">
        <v>133</v>
      </c>
      <c r="K11" s="1075">
        <v>168</v>
      </c>
      <c r="L11" s="1075">
        <v>260.60000000000002</v>
      </c>
      <c r="M11" s="1075">
        <v>365.7</v>
      </c>
      <c r="N11" s="1075">
        <v>526.5</v>
      </c>
      <c r="O11" s="1075">
        <v>652</v>
      </c>
      <c r="P11" s="1076">
        <v>919.3</v>
      </c>
      <c r="Q11" s="1079">
        <v>1138.2</v>
      </c>
      <c r="R11" s="1080">
        <v>1328.9</v>
      </c>
      <c r="S11" s="1080">
        <v>1744.4</v>
      </c>
      <c r="T11" s="1080">
        <v>2401.1999999999998</v>
      </c>
      <c r="U11" s="1080">
        <v>3177.3</v>
      </c>
      <c r="V11" s="133">
        <f>gateway!V8</f>
        <v>3403.7</v>
      </c>
      <c r="W11" s="133">
        <f>gateway!W8</f>
        <v>3915.2</v>
      </c>
      <c r="X11" s="133">
        <f>gateway!X8</f>
        <v>4496.8999999999996</v>
      </c>
      <c r="Y11" s="133">
        <f>gateway!Y8</f>
        <v>4923.8999999999996</v>
      </c>
      <c r="Z11" s="133">
        <f>gateway!Z8</f>
        <v>4980.3</v>
      </c>
      <c r="AA11" s="133">
        <f>gateway!AA8</f>
        <v>5417.4</v>
      </c>
      <c r="AB11" s="133">
        <f>gateway!AB8</f>
        <v>6169.5</v>
      </c>
      <c r="AC11" s="133">
        <f>gateway!AC8</f>
        <v>7053.8</v>
      </c>
      <c r="AD11" s="133">
        <f>gateway!AD8</f>
        <v>10667.5</v>
      </c>
      <c r="AE11" s="133">
        <f>gateway!AE8</f>
        <v>11211.5425</v>
      </c>
    </row>
    <row r="12" spans="3:31" ht="18.75">
      <c r="C12" s="407"/>
      <c r="D12" s="800"/>
      <c r="E12" s="800"/>
      <c r="F12" s="800"/>
      <c r="G12" s="1071"/>
      <c r="H12" s="1072"/>
      <c r="I12" s="1072"/>
      <c r="J12" s="1072"/>
      <c r="K12" s="1072"/>
      <c r="L12" s="1072"/>
      <c r="M12" s="1072"/>
      <c r="N12" s="1072"/>
      <c r="O12" s="1072"/>
      <c r="P12" s="1073"/>
      <c r="Q12" s="1077"/>
      <c r="R12" s="1078"/>
      <c r="S12" s="1078"/>
      <c r="T12" s="1078"/>
      <c r="U12" s="1078"/>
    </row>
    <row r="13" spans="3:31" ht="18.75">
      <c r="C13" s="408" t="s">
        <v>802</v>
      </c>
      <c r="D13" s="801"/>
      <c r="E13" s="801"/>
      <c r="F13" s="801"/>
      <c r="G13" s="801"/>
      <c r="H13" s="801"/>
      <c r="I13" s="801"/>
      <c r="J13" s="801"/>
      <c r="K13" s="801"/>
      <c r="L13" s="801"/>
      <c r="M13" s="801"/>
      <c r="N13" s="801"/>
      <c r="O13" s="801"/>
      <c r="P13" s="801"/>
      <c r="Q13" s="801"/>
      <c r="R13" s="801"/>
      <c r="S13" s="801"/>
      <c r="T13" s="801"/>
      <c r="U13" s="801"/>
    </row>
    <row r="14" spans="3:31" ht="18.75">
      <c r="C14" s="406"/>
      <c r="D14" s="801"/>
      <c r="E14" s="801"/>
      <c r="F14" s="801"/>
      <c r="G14" s="801"/>
      <c r="H14" s="801"/>
      <c r="I14" s="801"/>
      <c r="J14" s="801"/>
      <c r="K14" s="801"/>
      <c r="L14" s="801"/>
      <c r="M14" s="801"/>
      <c r="N14" s="801"/>
      <c r="O14" s="801"/>
      <c r="P14" s="801"/>
      <c r="Q14" s="801"/>
      <c r="R14" s="801"/>
      <c r="S14" s="801"/>
      <c r="T14" s="801"/>
      <c r="U14" s="801"/>
    </row>
    <row r="15" spans="3:31" ht="18.75">
      <c r="C15" s="406" t="s">
        <v>803</v>
      </c>
      <c r="D15" s="801"/>
      <c r="E15" s="801"/>
      <c r="F15" s="801"/>
      <c r="G15" s="1074">
        <v>249.31956999999997</v>
      </c>
      <c r="H15" s="1075">
        <v>380.65429999999998</v>
      </c>
      <c r="I15" s="1075">
        <v>553.90949999999998</v>
      </c>
      <c r="J15" s="1075">
        <v>809.59320000000014</v>
      </c>
      <c r="K15" s="1075">
        <v>1061.2023999999999</v>
      </c>
      <c r="L15" s="1075">
        <v>1381.3762000000002</v>
      </c>
      <c r="M15" s="1075">
        <v>1799.7165</v>
      </c>
      <c r="N15" s="1075">
        <v>2413.0744</v>
      </c>
      <c r="O15" s="1075">
        <v>3461.5952000000007</v>
      </c>
      <c r="P15" s="1075">
        <v>3859.9500000000003</v>
      </c>
      <c r="Q15" s="501">
        <v>4604.1546239999998</v>
      </c>
      <c r="R15" s="501">
        <v>6394.1351779999995</v>
      </c>
      <c r="S15" s="501">
        <v>7780.9346099999993</v>
      </c>
      <c r="T15" s="501">
        <v>9395.7999999999993</v>
      </c>
      <c r="U15" s="501">
        <v>11470.3</v>
      </c>
      <c r="V15" s="504">
        <v>12105.799000000001</v>
      </c>
      <c r="W15" s="504">
        <v>12636.370999999999</v>
      </c>
      <c r="X15" s="504">
        <v>14525.284</v>
      </c>
      <c r="Y15" s="504">
        <v>16584.107</v>
      </c>
      <c r="Z15" s="504">
        <v>17800.838</v>
      </c>
      <c r="AA15" s="504">
        <v>17261.928</v>
      </c>
      <c r="AB15" s="504">
        <v>21270.772000000001</v>
      </c>
      <c r="AC15" s="504">
        <v>24234.499</v>
      </c>
      <c r="AD15" s="504">
        <v>28644.656999999999</v>
      </c>
      <c r="AE15" s="588">
        <v>32762.292000000001</v>
      </c>
    </row>
    <row r="16" spans="3:31" ht="18.75">
      <c r="C16" s="406" t="s">
        <v>804</v>
      </c>
      <c r="D16" s="801"/>
      <c r="E16" s="801"/>
      <c r="F16" s="801"/>
      <c r="G16" s="1071"/>
      <c r="H16" s="1072"/>
      <c r="I16" s="1072"/>
      <c r="J16" s="1072"/>
      <c r="K16" s="1072"/>
      <c r="L16" s="1072"/>
      <c r="M16" s="1072"/>
      <c r="N16" s="1072"/>
      <c r="O16" s="1072"/>
      <c r="P16" s="1072"/>
      <c r="Q16" s="1078"/>
      <c r="R16" s="1078"/>
      <c r="S16" s="1087"/>
      <c r="T16" s="1087"/>
      <c r="U16" s="1078"/>
      <c r="V16" s="502">
        <v>10603.405000000001</v>
      </c>
      <c r="W16" s="502">
        <v>10791.670999999998</v>
      </c>
      <c r="X16" s="502">
        <v>12401.483000000002</v>
      </c>
      <c r="Y16" s="502">
        <v>13813.563306799477</v>
      </c>
      <c r="Z16" s="502">
        <v>14970.204999999998</v>
      </c>
      <c r="AA16" s="502">
        <v>14654.817999999999</v>
      </c>
      <c r="AB16" s="502">
        <v>18676.68</v>
      </c>
      <c r="AC16" s="502">
        <v>20646.96</v>
      </c>
      <c r="AD16" s="502">
        <v>25769.144</v>
      </c>
      <c r="AE16" s="588">
        <v>29124.723000000002</v>
      </c>
    </row>
    <row r="17" spans="3:31" ht="18.75">
      <c r="C17" s="406" t="s">
        <v>805</v>
      </c>
      <c r="D17" s="801"/>
      <c r="E17" s="801"/>
      <c r="F17" s="801"/>
      <c r="G17" s="1074">
        <v>72.722470000000001</v>
      </c>
      <c r="H17" s="1075">
        <v>101.973</v>
      </c>
      <c r="I17" s="1075">
        <v>138.57599999999999</v>
      </c>
      <c r="J17" s="1075">
        <v>182.31200000000001</v>
      </c>
      <c r="K17" s="1075">
        <v>246.53099999999998</v>
      </c>
      <c r="L17" s="1075">
        <v>362.95</v>
      </c>
      <c r="M17" s="1075">
        <v>484.67200000000003</v>
      </c>
      <c r="N17" s="1075">
        <v>651.93399999999997</v>
      </c>
      <c r="O17" s="1075">
        <v>922.07</v>
      </c>
      <c r="P17" s="1075">
        <v>1233.6400000000001</v>
      </c>
      <c r="Q17" s="501">
        <v>1496.9877489999999</v>
      </c>
      <c r="R17" s="501">
        <v>1941.3826369999999</v>
      </c>
      <c r="S17" s="501">
        <v>2363.3139999999999</v>
      </c>
      <c r="T17" s="501">
        <v>2788.8042850000002</v>
      </c>
      <c r="U17" s="501">
        <v>3415.5920000000001</v>
      </c>
      <c r="V17" s="504">
        <v>3849.7180000000003</v>
      </c>
      <c r="W17" s="504">
        <v>3953.2219999999998</v>
      </c>
      <c r="X17" s="504">
        <v>4861.7000000000007</v>
      </c>
      <c r="Y17" s="504">
        <v>5430.3950000000004</v>
      </c>
      <c r="Z17" s="504">
        <v>5890.1610000000001</v>
      </c>
      <c r="AA17" s="504">
        <v>5626.6379999999999</v>
      </c>
      <c r="AB17" s="504">
        <v>7176.1640000000007</v>
      </c>
      <c r="AC17" s="504">
        <v>8651.3629999999994</v>
      </c>
      <c r="AD17" s="504">
        <v>8997.1769999999997</v>
      </c>
      <c r="AE17" s="504">
        <f>AE18+AE21+AE22</f>
        <v>11303.819</v>
      </c>
    </row>
    <row r="18" spans="3:31" ht="18.75">
      <c r="C18" s="409" t="s">
        <v>806</v>
      </c>
      <c r="D18" s="799"/>
      <c r="E18" s="799"/>
      <c r="F18" s="799"/>
      <c r="G18" s="1074">
        <v>35.856999999999999</v>
      </c>
      <c r="H18" s="1075">
        <v>51.887</v>
      </c>
      <c r="I18" s="1075">
        <v>65.965000000000003</v>
      </c>
      <c r="J18" s="1075">
        <v>85.2</v>
      </c>
      <c r="K18" s="1075">
        <v>120.6</v>
      </c>
      <c r="L18" s="1075">
        <v>150.9</v>
      </c>
      <c r="M18" s="1075">
        <v>194.1</v>
      </c>
      <c r="N18" s="1075">
        <v>304.89999999999998</v>
      </c>
      <c r="O18" s="1075">
        <v>452.85</v>
      </c>
      <c r="P18" s="1075">
        <v>609.46</v>
      </c>
      <c r="Q18" s="1085">
        <v>778.68974900000001</v>
      </c>
      <c r="R18" s="1085">
        <v>987.36663700000008</v>
      </c>
      <c r="S18" s="1085">
        <v>1306.3</v>
      </c>
      <c r="T18" s="1085">
        <v>1616.533285</v>
      </c>
      <c r="U18" s="1085">
        <v>1900.9</v>
      </c>
      <c r="V18" s="502">
        <v>2306.9119999999998</v>
      </c>
      <c r="W18" s="502">
        <v>2384.5129999999999</v>
      </c>
      <c r="X18" s="502">
        <v>3071.7</v>
      </c>
      <c r="Y18" s="502">
        <v>3434.8</v>
      </c>
      <c r="Z18" s="502">
        <v>3812.9659999999999</v>
      </c>
      <c r="AA18" s="502">
        <v>3575.6549999999997</v>
      </c>
      <c r="AB18" s="502">
        <v>4681.8950000000004</v>
      </c>
      <c r="AC18" s="502">
        <v>5791.6459999999997</v>
      </c>
      <c r="AD18" s="502">
        <v>6861.2209999999995</v>
      </c>
      <c r="AE18" s="588">
        <v>7975.0959999999995</v>
      </c>
    </row>
    <row r="19" spans="3:31" ht="18.75">
      <c r="C19" s="410" t="s">
        <v>807</v>
      </c>
      <c r="D19" s="798"/>
      <c r="E19" s="798"/>
      <c r="F19" s="798"/>
      <c r="G19" s="1081">
        <v>22.288</v>
      </c>
      <c r="H19" s="1082">
        <v>33.024000000000001</v>
      </c>
      <c r="I19" s="1082">
        <v>38.965000000000003</v>
      </c>
      <c r="J19" s="1082">
        <v>51</v>
      </c>
      <c r="K19" s="1082">
        <v>68.599999999999994</v>
      </c>
      <c r="L19" s="1082">
        <v>84.4</v>
      </c>
      <c r="M19" s="1082">
        <v>107</v>
      </c>
      <c r="N19" s="1082">
        <v>168.1</v>
      </c>
      <c r="O19" s="1082">
        <v>246.49</v>
      </c>
      <c r="P19" s="1083">
        <v>366.85</v>
      </c>
      <c r="Q19" s="1086">
        <v>447.9</v>
      </c>
      <c r="R19" s="1086">
        <v>580.18527800000004</v>
      </c>
      <c r="S19" s="1086">
        <v>730.3</v>
      </c>
      <c r="T19" s="1086">
        <v>916.24466900000004</v>
      </c>
      <c r="U19" s="1086">
        <v>1092.7</v>
      </c>
      <c r="V19" s="505">
        <v>1297.7349999999999</v>
      </c>
      <c r="W19" s="505">
        <v>1352.22</v>
      </c>
      <c r="X19" s="502">
        <v>1568.7</v>
      </c>
      <c r="Y19" s="502">
        <v>1767.7</v>
      </c>
      <c r="Z19" s="502">
        <v>1912.9659999999999</v>
      </c>
      <c r="AA19" s="502">
        <v>1878.172</v>
      </c>
      <c r="AB19" s="504">
        <v>2345.2559999999999</v>
      </c>
      <c r="AC19" s="504">
        <v>2742.1329999999998</v>
      </c>
      <c r="AD19" s="504">
        <v>3341.0259999999998</v>
      </c>
      <c r="AE19" s="588">
        <v>4064.9050000000002</v>
      </c>
    </row>
    <row r="20" spans="3:31" ht="37.5">
      <c r="C20" s="410" t="s">
        <v>808</v>
      </c>
      <c r="D20" s="798"/>
      <c r="E20" s="798"/>
      <c r="F20" s="798"/>
      <c r="G20" s="1081">
        <v>13.568999999999999</v>
      </c>
      <c r="H20" s="1082">
        <v>18.863</v>
      </c>
      <c r="I20" s="1082">
        <v>27</v>
      </c>
      <c r="J20" s="1082">
        <v>34.200000000000003</v>
      </c>
      <c r="K20" s="1082">
        <v>52</v>
      </c>
      <c r="L20" s="1082">
        <v>66.5</v>
      </c>
      <c r="M20" s="1082">
        <v>87.1</v>
      </c>
      <c r="N20" s="1082">
        <v>136.80000000000001</v>
      </c>
      <c r="O20" s="1082">
        <v>206.36</v>
      </c>
      <c r="P20" s="1083">
        <v>242.61</v>
      </c>
      <c r="Q20" s="1086">
        <v>330.78974900000003</v>
      </c>
      <c r="R20" s="1086">
        <v>407.18135899999999</v>
      </c>
      <c r="S20" s="1086">
        <v>576</v>
      </c>
      <c r="T20" s="1086">
        <v>700.28861600000005</v>
      </c>
      <c r="U20" s="1086">
        <v>807.4</v>
      </c>
      <c r="V20" s="505">
        <v>1009.177</v>
      </c>
      <c r="W20" s="505">
        <v>1032.2929999999999</v>
      </c>
      <c r="X20" s="502">
        <v>1503</v>
      </c>
      <c r="Y20" s="502">
        <v>1667.1</v>
      </c>
      <c r="Z20" s="502">
        <v>1900</v>
      </c>
      <c r="AA20" s="502">
        <v>1697.4829999999999</v>
      </c>
      <c r="AB20" s="504">
        <v>2336.6390000000001</v>
      </c>
      <c r="AC20" s="504">
        <v>3049.5129999999999</v>
      </c>
      <c r="AD20" s="504">
        <v>3520.1</v>
      </c>
      <c r="AE20" s="588">
        <v>3910.2</v>
      </c>
    </row>
    <row r="21" spans="3:31" ht="18.75">
      <c r="C21" s="409" t="s">
        <v>809</v>
      </c>
      <c r="D21" s="799"/>
      <c r="E21" s="799"/>
      <c r="F21" s="799"/>
      <c r="G21" s="1074">
        <v>28.33</v>
      </c>
      <c r="H21" s="1075">
        <v>39.6</v>
      </c>
      <c r="I21" s="1075">
        <v>59.6</v>
      </c>
      <c r="J21" s="1075">
        <v>79.599999999999994</v>
      </c>
      <c r="K21" s="1075">
        <v>106.6</v>
      </c>
      <c r="L21" s="1075">
        <v>151.49</v>
      </c>
      <c r="M21" s="1075">
        <v>213.9</v>
      </c>
      <c r="N21" s="1075">
        <v>254.79</v>
      </c>
      <c r="O21" s="1075">
        <v>347.92200000000003</v>
      </c>
      <c r="P21" s="1076">
        <v>481.42</v>
      </c>
      <c r="Q21" s="1085">
        <v>567.298</v>
      </c>
      <c r="R21" s="1085">
        <v>782.73400000000004</v>
      </c>
      <c r="S21" s="1085">
        <v>865.904</v>
      </c>
      <c r="T21" s="1085">
        <v>986.77099999999996</v>
      </c>
      <c r="U21" s="1085">
        <v>1333.2919999999999</v>
      </c>
      <c r="V21" s="502">
        <v>1335.8430000000001</v>
      </c>
      <c r="W21" s="506">
        <v>1326.7339999999999</v>
      </c>
      <c r="X21" s="502">
        <v>1489.4</v>
      </c>
      <c r="Y21" s="502">
        <v>1638</v>
      </c>
      <c r="Z21" s="502">
        <v>1706.2</v>
      </c>
      <c r="AA21" s="502">
        <v>1676.7</v>
      </c>
      <c r="AB21" s="504">
        <v>2037.288</v>
      </c>
      <c r="AC21" s="504">
        <v>1990.201</v>
      </c>
      <c r="AD21" s="504">
        <v>2250.9</v>
      </c>
      <c r="AE21" s="588">
        <v>2554.4490000000001</v>
      </c>
    </row>
    <row r="22" spans="3:31" ht="37.5">
      <c r="C22" s="409" t="s">
        <v>810</v>
      </c>
      <c r="D22" s="799"/>
      <c r="E22" s="799"/>
      <c r="F22" s="799"/>
      <c r="G22" s="1074">
        <v>8.5354700000000001</v>
      </c>
      <c r="H22" s="1075">
        <v>10.486000000000001</v>
      </c>
      <c r="I22" s="1075">
        <v>13.010999999999999</v>
      </c>
      <c r="J22" s="1075">
        <v>17.512</v>
      </c>
      <c r="K22" s="1075">
        <v>19.331</v>
      </c>
      <c r="L22" s="1075">
        <v>60.56</v>
      </c>
      <c r="M22" s="1075">
        <v>76.671999999999997</v>
      </c>
      <c r="N22" s="1075">
        <v>92.244</v>
      </c>
      <c r="O22" s="1075">
        <v>121.298</v>
      </c>
      <c r="P22" s="1076">
        <v>142.76</v>
      </c>
      <c r="Q22" s="1084">
        <v>151</v>
      </c>
      <c r="R22" s="1085">
        <v>171.28200000000001</v>
      </c>
      <c r="S22" s="1085">
        <v>191.11</v>
      </c>
      <c r="T22" s="1085">
        <v>185.5</v>
      </c>
      <c r="U22" s="1085">
        <v>181.4</v>
      </c>
      <c r="V22" s="502">
        <v>206.96299999999999</v>
      </c>
      <c r="W22" s="506">
        <v>241.97499999999999</v>
      </c>
      <c r="X22" s="502">
        <v>300.60000000000002</v>
      </c>
      <c r="Y22" s="502">
        <v>357.59500000000003</v>
      </c>
      <c r="Z22" s="502">
        <v>370.995</v>
      </c>
      <c r="AA22" s="502">
        <v>374.28300000000002</v>
      </c>
      <c r="AB22" s="504">
        <v>456.98099999999999</v>
      </c>
      <c r="AC22" s="504">
        <v>869.51599999999996</v>
      </c>
      <c r="AD22" s="504">
        <f>555.171+121.411</f>
        <v>676.58200000000011</v>
      </c>
      <c r="AE22" s="588">
        <f>140.983+633.291</f>
        <v>774.27400000000011</v>
      </c>
    </row>
    <row r="23" spans="3:31" ht="18.75">
      <c r="C23" s="407"/>
      <c r="D23" s="800"/>
      <c r="E23" s="800"/>
      <c r="F23" s="800"/>
      <c r="G23" s="1071"/>
      <c r="H23" s="1072"/>
      <c r="I23" s="1072"/>
      <c r="J23" s="1072"/>
      <c r="K23" s="1072"/>
      <c r="L23" s="1072"/>
      <c r="M23" s="1072"/>
      <c r="N23" s="1072"/>
      <c r="O23" s="1072"/>
      <c r="P23" s="1073"/>
      <c r="Q23" s="1077"/>
      <c r="R23" s="1078"/>
      <c r="S23" s="1078"/>
      <c r="T23" s="1078"/>
      <c r="U23" s="1078"/>
    </row>
    <row r="24" spans="3:31" ht="18.75">
      <c r="C24" s="409" t="s">
        <v>811</v>
      </c>
      <c r="D24" s="799"/>
      <c r="E24" s="799"/>
      <c r="F24" s="799"/>
      <c r="G24" s="1074">
        <v>158.39699999999999</v>
      </c>
      <c r="H24" s="1075">
        <v>248.23899999999998</v>
      </c>
      <c r="I24" s="1075">
        <v>354.05099999999999</v>
      </c>
      <c r="J24" s="1075">
        <v>530.1880000000001</v>
      </c>
      <c r="K24" s="1075">
        <v>685.21600000000001</v>
      </c>
      <c r="L24" s="1075">
        <v>829.42100000000005</v>
      </c>
      <c r="M24" s="1075">
        <v>1082.742</v>
      </c>
      <c r="N24" s="1075">
        <v>1635.78</v>
      </c>
      <c r="O24" s="1075">
        <v>2369.5352000000003</v>
      </c>
      <c r="P24" s="1076">
        <v>2412.5300000000002</v>
      </c>
      <c r="Q24" s="1089">
        <v>2946.5000000000005</v>
      </c>
      <c r="R24" s="501">
        <v>3949.1486450000002</v>
      </c>
      <c r="S24" s="501">
        <v>4739.2492669999992</v>
      </c>
      <c r="T24" s="501">
        <v>5662.6769940000004</v>
      </c>
      <c r="U24" s="501">
        <v>6943.0728280000003</v>
      </c>
      <c r="V24" s="502">
        <v>6753.6869999999999</v>
      </c>
      <c r="W24" s="502">
        <v>6838.4489999999996</v>
      </c>
      <c r="X24" s="502">
        <v>7539.7830000000013</v>
      </c>
      <c r="Y24" s="502">
        <v>8383.1683067994763</v>
      </c>
      <c r="Z24" s="502">
        <v>9080.0439999999981</v>
      </c>
      <c r="AA24" s="502">
        <v>9028.18</v>
      </c>
      <c r="AB24" s="502">
        <v>11500.516</v>
      </c>
      <c r="AC24" s="502">
        <v>11995.597</v>
      </c>
      <c r="AD24" s="588">
        <f>AD25+AD28+AD32+AD33+AD36+AD37</f>
        <v>15923.520000000002</v>
      </c>
      <c r="AE24" s="621">
        <f>AE25+AE28+AE34+AE35+AE36-AE40</f>
        <v>14425.929</v>
      </c>
    </row>
    <row r="25" spans="3:31" ht="18.75">
      <c r="C25" s="410" t="s">
        <v>1091</v>
      </c>
      <c r="D25" s="798"/>
      <c r="E25" s="798"/>
      <c r="F25" s="798"/>
      <c r="G25" s="1081">
        <v>62</v>
      </c>
      <c r="H25" s="1082">
        <v>67.831999999999994</v>
      </c>
      <c r="I25" s="1082">
        <v>70.92</v>
      </c>
      <c r="J25" s="1082">
        <v>100.32</v>
      </c>
      <c r="K25" s="1082">
        <v>105.35600000000001</v>
      </c>
      <c r="L25" s="1082">
        <v>80.784999999999997</v>
      </c>
      <c r="M25" s="1082">
        <v>87.69</v>
      </c>
      <c r="N25" s="1082">
        <v>107.21</v>
      </c>
      <c r="O25" s="1082">
        <v>114.52199999999999</v>
      </c>
      <c r="P25" s="1083">
        <v>141.54999999999998</v>
      </c>
      <c r="Q25" s="1088">
        <v>228.7</v>
      </c>
      <c r="R25" s="1086">
        <v>271.33833099999998</v>
      </c>
      <c r="S25" s="1086">
        <v>312.89999999999998</v>
      </c>
      <c r="T25" s="1086">
        <v>116.089202</v>
      </c>
      <c r="U25" s="1086">
        <v>76.255935000000008</v>
      </c>
      <c r="V25">
        <v>104.991</v>
      </c>
      <c r="W25">
        <v>65.137</v>
      </c>
      <c r="X25">
        <v>19.440999999999999</v>
      </c>
      <c r="Y25">
        <v>19.614000000000001</v>
      </c>
      <c r="Z25">
        <v>11.512</v>
      </c>
      <c r="AA25">
        <v>2.2839999999999998</v>
      </c>
      <c r="AB25">
        <v>12.141</v>
      </c>
      <c r="AC25" s="589">
        <f>AC26+AC27</f>
        <v>14.085000000000001</v>
      </c>
      <c r="AD25" s="589">
        <f>AD26+AD27</f>
        <v>22.385999999999999</v>
      </c>
      <c r="AE25" s="619">
        <f>AE26+AE27</f>
        <v>26.696999999999999</v>
      </c>
    </row>
    <row r="26" spans="3:31" ht="56.25">
      <c r="C26" s="411" t="s">
        <v>1092</v>
      </c>
      <c r="D26" s="797"/>
      <c r="E26" s="797"/>
      <c r="F26" s="797"/>
      <c r="G26" s="1074">
        <v>58.92</v>
      </c>
      <c r="H26" s="1075">
        <v>62.78</v>
      </c>
      <c r="I26" s="1075">
        <v>63.17</v>
      </c>
      <c r="J26" s="1075">
        <v>88.49</v>
      </c>
      <c r="K26" s="1075">
        <v>86.853000000000009</v>
      </c>
      <c r="L26" s="1075">
        <v>55.224999999999994</v>
      </c>
      <c r="M26" s="1075">
        <v>53.86</v>
      </c>
      <c r="N26" s="1075">
        <v>58.879999999999995</v>
      </c>
      <c r="O26" s="1075">
        <v>46.774999999999999</v>
      </c>
      <c r="P26" s="1076">
        <v>56.029999999999994</v>
      </c>
      <c r="Q26" s="1084">
        <v>108</v>
      </c>
      <c r="R26" s="1085">
        <v>107.3</v>
      </c>
      <c r="S26" s="1085">
        <v>131.30000000000001</v>
      </c>
      <c r="T26" s="1085">
        <v>116.089202</v>
      </c>
      <c r="U26" s="1085">
        <v>76.255935000000008</v>
      </c>
      <c r="V26">
        <v>114.8</v>
      </c>
      <c r="W26">
        <v>114.0072</v>
      </c>
      <c r="X26">
        <v>132.69999999999999</v>
      </c>
      <c r="Y26">
        <v>143.46741866886876</v>
      </c>
      <c r="Z26">
        <v>166.16749631374128</v>
      </c>
      <c r="AA26">
        <v>195.23676914168178</v>
      </c>
      <c r="AB26">
        <v>203.04623990734905</v>
      </c>
      <c r="AC26" s="588">
        <v>9.7270000000000003</v>
      </c>
      <c r="AD26" s="588">
        <v>16.448</v>
      </c>
      <c r="AE26" s="588">
        <f>19.688</f>
        <v>19.687999999999999</v>
      </c>
    </row>
    <row r="27" spans="3:31" ht="37.5">
      <c r="C27" s="411" t="s">
        <v>1093</v>
      </c>
      <c r="D27" s="797"/>
      <c r="E27" s="797"/>
      <c r="F27" s="797"/>
      <c r="G27" s="1074">
        <v>3.08</v>
      </c>
      <c r="H27" s="1075">
        <v>5.0519999999999996</v>
      </c>
      <c r="I27" s="1075">
        <v>7.75</v>
      </c>
      <c r="J27" s="1075">
        <v>11.83</v>
      </c>
      <c r="K27" s="1075">
        <v>18.503</v>
      </c>
      <c r="L27" s="1075">
        <v>25.56</v>
      </c>
      <c r="M27" s="1075">
        <v>33.83</v>
      </c>
      <c r="N27" s="1075">
        <v>48.33</v>
      </c>
      <c r="O27" s="1075">
        <v>67.747</v>
      </c>
      <c r="P27" s="1076">
        <v>85.52</v>
      </c>
      <c r="Q27" s="1084">
        <v>120.7</v>
      </c>
      <c r="R27" s="1085">
        <v>164.038331</v>
      </c>
      <c r="S27" s="1085">
        <v>181.6</v>
      </c>
      <c r="T27" s="1085">
        <v>0</v>
      </c>
      <c r="U27" s="1085">
        <v>0</v>
      </c>
      <c r="V27" s="502">
        <v>6.17</v>
      </c>
      <c r="W27" s="506">
        <v>20.238</v>
      </c>
      <c r="X27" s="506">
        <v>19.440999999999999</v>
      </c>
      <c r="Y27" s="502">
        <v>19.614000000000001</v>
      </c>
      <c r="Z27" s="507">
        <v>11.512</v>
      </c>
      <c r="AA27" s="502">
        <v>2.2839999999999998</v>
      </c>
      <c r="AB27" s="504">
        <v>12.141</v>
      </c>
      <c r="AC27" s="504">
        <v>4.3579999999999997</v>
      </c>
      <c r="AD27" s="504">
        <v>5.9379999999999997</v>
      </c>
      <c r="AE27" s="588">
        <v>7.0090000000000003</v>
      </c>
    </row>
    <row r="28" spans="3:31" ht="18.75">
      <c r="C28" s="410" t="s">
        <v>812</v>
      </c>
      <c r="D28" s="798"/>
      <c r="E28" s="798"/>
      <c r="F28" s="798"/>
      <c r="G28" s="1081">
        <v>53.677</v>
      </c>
      <c r="H28" s="1082">
        <v>103.38099999999999</v>
      </c>
      <c r="I28" s="1082">
        <v>180.381</v>
      </c>
      <c r="J28" s="1082">
        <v>279.30500000000001</v>
      </c>
      <c r="K28" s="1082">
        <v>387.86</v>
      </c>
      <c r="L28" s="1082">
        <v>540.726</v>
      </c>
      <c r="M28" s="1082">
        <v>756.15200000000004</v>
      </c>
      <c r="N28" s="1082">
        <v>1162.635</v>
      </c>
      <c r="O28" s="1082">
        <v>1723.1502</v>
      </c>
      <c r="P28" s="1083">
        <v>1722.82</v>
      </c>
      <c r="Q28" s="1088">
        <v>2053.3000000000002</v>
      </c>
      <c r="R28" s="1086">
        <v>2804.9678210000002</v>
      </c>
      <c r="S28" s="1086">
        <v>3403.1095179999998</v>
      </c>
      <c r="T28" s="1086">
        <v>4127.8</v>
      </c>
      <c r="U28" s="1086">
        <v>5157.8</v>
      </c>
      <c r="V28" s="505">
        <v>4560.8519999999999</v>
      </c>
      <c r="W28" s="507">
        <v>4751.3729999999996</v>
      </c>
      <c r="X28" s="507">
        <v>5359.9650000000001</v>
      </c>
      <c r="Y28" s="502">
        <v>5939.866</v>
      </c>
      <c r="Z28" s="502">
        <v>6417.5339999999997</v>
      </c>
      <c r="AA28" s="502">
        <v>6393.1659999999993</v>
      </c>
      <c r="AB28" s="502">
        <v>8215.9670000000006</v>
      </c>
      <c r="AC28" s="502">
        <v>8949.0030000000006</v>
      </c>
      <c r="AD28" s="502">
        <v>10619.281000000001</v>
      </c>
      <c r="AE28" s="620">
        <v>12150.894</v>
      </c>
    </row>
    <row r="29" spans="3:31" ht="18.75">
      <c r="C29" s="411" t="s">
        <v>813</v>
      </c>
      <c r="D29" s="797"/>
      <c r="E29" s="797"/>
      <c r="F29" s="797"/>
      <c r="G29" s="1074">
        <v>27.073</v>
      </c>
      <c r="H29" s="1075">
        <v>38.799999999999997</v>
      </c>
      <c r="I29" s="1075">
        <v>45.15</v>
      </c>
      <c r="J29" s="1075">
        <v>59.508000000000003</v>
      </c>
      <c r="K29" s="1075">
        <v>82.33</v>
      </c>
      <c r="L29" s="1075">
        <v>145.096</v>
      </c>
      <c r="M29" s="1075">
        <v>175.78200000000001</v>
      </c>
      <c r="N29" s="1075">
        <v>219.755</v>
      </c>
      <c r="O29" s="1075">
        <v>339.44799999999998</v>
      </c>
      <c r="P29" s="1076">
        <v>406.84</v>
      </c>
      <c r="Q29" s="1084">
        <v>537.6</v>
      </c>
      <c r="R29" s="1085">
        <v>748.50250700000004</v>
      </c>
      <c r="S29" s="1085">
        <v>944.90475200000003</v>
      </c>
      <c r="T29" s="1085">
        <v>1200.907584</v>
      </c>
      <c r="U29" s="1085">
        <v>1483.777394</v>
      </c>
      <c r="V29" s="502">
        <v>1652.8520000000001</v>
      </c>
      <c r="W29" s="507">
        <v>1792.0039999999999</v>
      </c>
      <c r="X29" s="502">
        <v>1949.2370000000001</v>
      </c>
      <c r="Y29" s="502">
        <v>2179.1080000000002</v>
      </c>
      <c r="Z29" s="507">
        <v>2222.7629999999999</v>
      </c>
      <c r="AA29" s="502">
        <v>2150.3449999999998</v>
      </c>
      <c r="AB29" s="504">
        <v>2916.17</v>
      </c>
      <c r="AC29" s="504">
        <v>3376.8449999999998</v>
      </c>
      <c r="AD29" s="504">
        <v>4081.741</v>
      </c>
      <c r="AE29" s="588">
        <v>4806.6329999999998</v>
      </c>
    </row>
    <row r="30" spans="3:31" ht="18.75">
      <c r="C30" s="411" t="s">
        <v>814</v>
      </c>
      <c r="D30" s="797"/>
      <c r="E30" s="797"/>
      <c r="F30" s="797"/>
      <c r="G30" s="1074">
        <v>18.744</v>
      </c>
      <c r="H30" s="1075">
        <v>52.121000000000002</v>
      </c>
      <c r="I30" s="1075">
        <v>114.14100000000001</v>
      </c>
      <c r="J30" s="1075">
        <v>188.19</v>
      </c>
      <c r="K30" s="1075">
        <v>267.97000000000003</v>
      </c>
      <c r="L30" s="1075">
        <v>347.69</v>
      </c>
      <c r="M30" s="1075">
        <v>512.98</v>
      </c>
      <c r="N30" s="1075">
        <v>853.07</v>
      </c>
      <c r="O30" s="1075">
        <v>1231.3782000000001</v>
      </c>
      <c r="P30" s="1076">
        <v>1128.49</v>
      </c>
      <c r="Q30" s="1084">
        <v>1297.4000000000001</v>
      </c>
      <c r="R30" s="1085">
        <v>1778.28917</v>
      </c>
      <c r="S30" s="1085">
        <v>2132.1116809999999</v>
      </c>
      <c r="T30" s="1085">
        <v>2926.8924160000001</v>
      </c>
      <c r="U30" s="1085">
        <v>3674.0226060000005</v>
      </c>
      <c r="V30" s="502">
        <v>2908</v>
      </c>
      <c r="W30" s="502">
        <v>2959.3690000000001</v>
      </c>
      <c r="X30" s="502">
        <v>3410.7280000000001</v>
      </c>
      <c r="Y30" s="502">
        <v>3760.7579999999998</v>
      </c>
      <c r="Z30" s="507">
        <v>4194.7709999999997</v>
      </c>
      <c r="AA30" s="502">
        <v>4242.8209999999999</v>
      </c>
      <c r="AB30" s="504">
        <v>5299.7969999999996</v>
      </c>
      <c r="AC30" s="504">
        <v>5572.1580000000004</v>
      </c>
      <c r="AD30" s="504">
        <v>6537.5389999999998</v>
      </c>
      <c r="AE30" s="588">
        <v>7344.26</v>
      </c>
    </row>
    <row r="31" spans="3:31" ht="37.5">
      <c r="C31" s="411" t="s">
        <v>815</v>
      </c>
      <c r="D31" s="797"/>
      <c r="E31" s="797"/>
      <c r="F31" s="797"/>
      <c r="G31" s="1074">
        <v>7.8599999999999994</v>
      </c>
      <c r="H31" s="1075">
        <v>12.459999999999999</v>
      </c>
      <c r="I31" s="1075">
        <v>21.09</v>
      </c>
      <c r="J31" s="1075">
        <v>31.606999999999999</v>
      </c>
      <c r="K31" s="1075">
        <v>37.559999999999995</v>
      </c>
      <c r="L31" s="1075">
        <v>47.94</v>
      </c>
      <c r="M31" s="1075">
        <v>67.39</v>
      </c>
      <c r="N31" s="1075">
        <v>89.81</v>
      </c>
      <c r="O31" s="1075">
        <v>152.32400000000001</v>
      </c>
      <c r="P31" s="1076">
        <v>187.49</v>
      </c>
      <c r="Q31" s="1084">
        <v>218.3</v>
      </c>
      <c r="R31" s="1085">
        <v>278.17614400000002</v>
      </c>
      <c r="S31" s="1085">
        <v>326.09308499999997</v>
      </c>
      <c r="T31" s="1085">
        <v>426.37262700000002</v>
      </c>
      <c r="U31" s="1085">
        <v>514.89952800000003</v>
      </c>
      <c r="V31">
        <v>383.16199999999998</v>
      </c>
      <c r="W31">
        <v>338</v>
      </c>
      <c r="X31">
        <v>371.28300000000002</v>
      </c>
      <c r="Y31">
        <v>393.99299999999999</v>
      </c>
      <c r="Z31">
        <v>444.73899999999998</v>
      </c>
      <c r="AA31">
        <v>403.13499999999999</v>
      </c>
      <c r="AB31">
        <v>520.38300000000004</v>
      </c>
      <c r="AC31" s="504">
        <v>282.63400000000001</v>
      </c>
      <c r="AD31" s="504">
        <v>342.48200000000003</v>
      </c>
      <c r="AE31" s="588">
        <v>396.12299999999999</v>
      </c>
    </row>
    <row r="32" spans="3:31" ht="37.5">
      <c r="C32" s="410" t="s">
        <v>1094</v>
      </c>
      <c r="D32" s="798"/>
      <c r="E32" s="798"/>
      <c r="F32" s="798"/>
      <c r="G32" s="1081">
        <v>1.43</v>
      </c>
      <c r="H32" s="1082">
        <v>2.4700000000000002</v>
      </c>
      <c r="I32" s="1082">
        <v>3.22</v>
      </c>
      <c r="J32" s="1082">
        <v>4.2130000000000001</v>
      </c>
      <c r="K32" s="1082">
        <v>5.0199999999999996</v>
      </c>
      <c r="L32" s="1082">
        <v>4.78</v>
      </c>
      <c r="M32" s="1082">
        <v>5.76</v>
      </c>
      <c r="N32" s="1082">
        <v>8.6050000000000004</v>
      </c>
      <c r="O32" s="1082">
        <v>20.803000000000001</v>
      </c>
      <c r="P32" s="1083">
        <v>51.92</v>
      </c>
      <c r="Q32" s="1088">
        <v>81.900000000000006</v>
      </c>
      <c r="R32" s="1086">
        <v>118.18989000000001</v>
      </c>
      <c r="S32" s="1086">
        <v>141.12919600000001</v>
      </c>
      <c r="T32" s="1086">
        <v>331.94542300000001</v>
      </c>
      <c r="U32" s="1086">
        <v>409.507745</v>
      </c>
      <c r="V32" s="505">
        <v>489.35199999999998</v>
      </c>
      <c r="W32" s="507">
        <v>529.822</v>
      </c>
      <c r="X32" s="502">
        <v>581.45600000000002</v>
      </c>
      <c r="Y32" s="502">
        <v>642.40200000000004</v>
      </c>
      <c r="Z32" s="507">
        <v>681.15899999999999</v>
      </c>
      <c r="AA32" s="502">
        <v>645.94000000000005</v>
      </c>
      <c r="AB32" s="504">
        <v>709.73900000000003</v>
      </c>
      <c r="AC32" s="504">
        <v>849.41200000000003</v>
      </c>
      <c r="AD32" s="504">
        <v>934.30399999999997</v>
      </c>
      <c r="AE32" s="589">
        <v>1060.518</v>
      </c>
    </row>
    <row r="33" spans="3:31" ht="18.75">
      <c r="C33" s="409" t="s">
        <v>816</v>
      </c>
      <c r="D33" s="799"/>
      <c r="E33" s="799"/>
      <c r="F33" s="799"/>
      <c r="G33" s="1071">
        <v>9.1</v>
      </c>
      <c r="H33" s="1072">
        <v>15.67</v>
      </c>
      <c r="I33" s="1072">
        <v>29.37</v>
      </c>
      <c r="J33" s="1072">
        <v>48.86</v>
      </c>
      <c r="K33" s="1072">
        <v>57.31</v>
      </c>
      <c r="L33" s="1072">
        <v>57.089999999999996</v>
      </c>
      <c r="M33" s="1072">
        <v>68.06</v>
      </c>
      <c r="N33" s="1072">
        <v>106.25</v>
      </c>
      <c r="O33" s="1072">
        <v>148.60399999999998</v>
      </c>
      <c r="P33" s="1073">
        <v>165.64999999999998</v>
      </c>
      <c r="Q33" s="1084">
        <v>168.3</v>
      </c>
      <c r="R33" s="1085">
        <v>189.22425900000002</v>
      </c>
      <c r="S33" s="1085">
        <v>186.253512</v>
      </c>
      <c r="T33" s="1085">
        <v>283.89999999999998</v>
      </c>
      <c r="U33" s="1085">
        <v>364.465104</v>
      </c>
      <c r="V33" s="502">
        <v>327.23399999999998</v>
      </c>
      <c r="W33" s="502">
        <v>339.06400000000002</v>
      </c>
      <c r="X33" s="502">
        <v>390.18299999999999</v>
      </c>
      <c r="Y33" s="502">
        <v>420.71730679947603</v>
      </c>
      <c r="Z33" s="507">
        <v>593.46</v>
      </c>
      <c r="AA33" s="507">
        <v>621.03499999999997</v>
      </c>
      <c r="AB33" s="507">
        <v>745.24399999999991</v>
      </c>
      <c r="AC33" s="507">
        <v>902.01499999999999</v>
      </c>
      <c r="AD33" s="589">
        <f t="shared" ref="AD33:AE33" si="0">AD34+AD35</f>
        <v>1253.77</v>
      </c>
      <c r="AE33" s="589">
        <f t="shared" si="0"/>
        <v>1181.7760000000001</v>
      </c>
    </row>
    <row r="34" spans="3:31" ht="18.75">
      <c r="C34" s="410" t="s">
        <v>817</v>
      </c>
      <c r="D34" s="798"/>
      <c r="E34" s="798"/>
      <c r="F34" s="798"/>
      <c r="G34" s="1081">
        <v>1.76</v>
      </c>
      <c r="H34" s="1082">
        <v>2.72</v>
      </c>
      <c r="I34" s="1082">
        <v>3.32</v>
      </c>
      <c r="J34" s="1082">
        <v>4.79</v>
      </c>
      <c r="K34" s="1082">
        <v>6.04</v>
      </c>
      <c r="L34" s="1082">
        <v>7.83</v>
      </c>
      <c r="M34" s="1082">
        <v>9.51</v>
      </c>
      <c r="N34" s="1082">
        <v>9.11</v>
      </c>
      <c r="O34" s="1082">
        <v>11.808</v>
      </c>
      <c r="P34" s="1083">
        <v>12.39</v>
      </c>
      <c r="Q34" s="1088">
        <v>12.9</v>
      </c>
      <c r="R34" s="1086">
        <v>41.339312</v>
      </c>
      <c r="S34" s="1086">
        <v>50.571331999999998</v>
      </c>
      <c r="T34" s="1086">
        <v>74.099999999999994</v>
      </c>
      <c r="U34" s="1086">
        <v>97.6</v>
      </c>
      <c r="V34" s="505">
        <v>135.91499999999999</v>
      </c>
      <c r="W34" s="507">
        <v>152.07300000000001</v>
      </c>
      <c r="X34" s="502">
        <v>168.23500000000001</v>
      </c>
      <c r="Y34" s="502">
        <v>158.739</v>
      </c>
      <c r="Z34" s="507">
        <v>182.833</v>
      </c>
      <c r="AA34" s="502">
        <v>187.44300000000001</v>
      </c>
      <c r="AB34" s="504">
        <v>258.39499999999998</v>
      </c>
      <c r="AC34" s="504">
        <v>314.23099999999999</v>
      </c>
      <c r="AD34" s="504">
        <v>403.98599999999999</v>
      </c>
      <c r="AE34" s="619">
        <v>420.94400000000002</v>
      </c>
    </row>
    <row r="35" spans="3:31" ht="18.75">
      <c r="C35" s="410" t="s">
        <v>818</v>
      </c>
      <c r="D35" s="798"/>
      <c r="E35" s="798"/>
      <c r="F35" s="798"/>
      <c r="G35" s="1081">
        <v>7.34</v>
      </c>
      <c r="H35" s="1082">
        <v>12.95</v>
      </c>
      <c r="I35" s="1082">
        <v>26.05</v>
      </c>
      <c r="J35" s="1082">
        <v>44.07</v>
      </c>
      <c r="K35" s="1082">
        <v>51.27</v>
      </c>
      <c r="L35" s="1082">
        <v>49.26</v>
      </c>
      <c r="M35" s="1082">
        <v>58.55</v>
      </c>
      <c r="N35" s="1082">
        <v>97.14</v>
      </c>
      <c r="O35" s="1082">
        <v>136.79599999999999</v>
      </c>
      <c r="P35" s="1083">
        <v>153.26</v>
      </c>
      <c r="Q35" s="1088">
        <v>155.4</v>
      </c>
      <c r="R35" s="1086">
        <v>147.88494700000001</v>
      </c>
      <c r="S35" s="1086">
        <v>135.68217999999999</v>
      </c>
      <c r="T35" s="1086">
        <v>209.8</v>
      </c>
      <c r="U35" s="1086">
        <v>266.86510399999997</v>
      </c>
      <c r="V35" s="505">
        <v>191.31899999999999</v>
      </c>
      <c r="W35" s="507">
        <v>186.99100000000001</v>
      </c>
      <c r="X35" s="502">
        <v>221.94800000000001</v>
      </c>
      <c r="Y35" s="502">
        <v>266.60399999999998</v>
      </c>
      <c r="Z35" s="507">
        <v>410.62700000000001</v>
      </c>
      <c r="AA35" s="502">
        <v>433.59199999999998</v>
      </c>
      <c r="AB35" s="504">
        <v>486.84899999999999</v>
      </c>
      <c r="AC35" s="504">
        <v>587.78399999999999</v>
      </c>
      <c r="AD35" s="504">
        <v>849.78399999999999</v>
      </c>
      <c r="AE35" s="619">
        <v>760.83199999999999</v>
      </c>
    </row>
    <row r="36" spans="3:31" ht="112.5">
      <c r="C36" s="409" t="s">
        <v>1100</v>
      </c>
      <c r="D36" s="799"/>
      <c r="E36" s="799"/>
      <c r="F36" s="799"/>
      <c r="G36" s="1074">
        <v>23.62</v>
      </c>
      <c r="H36" s="1075">
        <v>44.92</v>
      </c>
      <c r="I36" s="1075">
        <v>51.81</v>
      </c>
      <c r="J36" s="1075">
        <v>72.48</v>
      </c>
      <c r="K36" s="1075">
        <v>96.56</v>
      </c>
      <c r="L36" s="1075">
        <v>98.84</v>
      </c>
      <c r="M36" s="1075">
        <v>78.989999999999995</v>
      </c>
      <c r="N36" s="1075">
        <v>131.05000000000001</v>
      </c>
      <c r="O36" s="1075">
        <v>211.35499999999999</v>
      </c>
      <c r="P36" s="1076">
        <v>196.96</v>
      </c>
      <c r="Q36" s="1084">
        <v>223.3</v>
      </c>
      <c r="R36" s="1085">
        <v>332.434597</v>
      </c>
      <c r="S36" s="1085">
        <v>415.23431199999999</v>
      </c>
      <c r="T36" s="1085">
        <v>462.68942099999998</v>
      </c>
      <c r="U36" s="1085">
        <v>521.34404400000005</v>
      </c>
      <c r="V36" s="502">
        <v>450.596</v>
      </c>
      <c r="W36" s="506">
        <v>599.5</v>
      </c>
      <c r="X36" s="502">
        <v>508.70299999999997</v>
      </c>
      <c r="Y36" s="502">
        <v>645.63099999999997</v>
      </c>
      <c r="Z36" s="507">
        <v>580.53300000000002</v>
      </c>
      <c r="AA36" s="502">
        <v>631.06299999999999</v>
      </c>
      <c r="AB36" s="504">
        <v>907.49099999999999</v>
      </c>
      <c r="AC36" s="504">
        <f>1092.981+875.3</f>
        <v>1968.2809999999999</v>
      </c>
      <c r="AD36" s="504">
        <f>1547.564+1325.4</f>
        <v>2872.9639999999999</v>
      </c>
      <c r="AE36" s="620">
        <f>189.306+1271.5</f>
        <v>1460.806</v>
      </c>
    </row>
    <row r="37" spans="3:31" ht="37.5">
      <c r="C37" s="409" t="s">
        <v>819</v>
      </c>
      <c r="D37" s="799"/>
      <c r="E37" s="799"/>
      <c r="F37" s="799"/>
      <c r="G37" s="1074">
        <v>8.57</v>
      </c>
      <c r="H37" s="1075">
        <v>13.966000000000001</v>
      </c>
      <c r="I37" s="1075">
        <v>18.350000000000001</v>
      </c>
      <c r="J37" s="1075">
        <v>25.009999999999998</v>
      </c>
      <c r="K37" s="1075">
        <v>33.11</v>
      </c>
      <c r="L37" s="1075">
        <v>47.199999999999996</v>
      </c>
      <c r="M37" s="1075">
        <v>86.09</v>
      </c>
      <c r="N37" s="1075">
        <v>120.03</v>
      </c>
      <c r="O37" s="1075">
        <v>151.101</v>
      </c>
      <c r="P37" s="1076">
        <v>133.63</v>
      </c>
      <c r="Q37" s="1084">
        <v>191</v>
      </c>
      <c r="R37" s="1085">
        <v>232.99374699999998</v>
      </c>
      <c r="S37" s="1085">
        <v>280.62272899999999</v>
      </c>
      <c r="T37" s="1085">
        <v>340.252948</v>
      </c>
      <c r="U37" s="1085">
        <v>413.7</v>
      </c>
      <c r="V37" s="502">
        <v>437.5</v>
      </c>
      <c r="W37" s="506">
        <v>215.553</v>
      </c>
      <c r="X37" s="502">
        <v>308.75200000000001</v>
      </c>
      <c r="Y37" s="502">
        <v>320.94499999999999</v>
      </c>
      <c r="Z37" s="507">
        <v>351.10700000000003</v>
      </c>
      <c r="AA37" s="502">
        <v>331.55700000000002</v>
      </c>
      <c r="AB37" s="504">
        <v>389.55099999999999</v>
      </c>
      <c r="AC37" s="504">
        <v>188.1</v>
      </c>
      <c r="AD37" s="504">
        <v>220.815</v>
      </c>
      <c r="AE37" s="588">
        <v>245.245</v>
      </c>
    </row>
    <row r="38" spans="3:31" ht="18.75">
      <c r="C38" s="407"/>
      <c r="D38" s="800"/>
      <c r="E38" s="800"/>
      <c r="F38" s="800"/>
      <c r="G38" s="1071"/>
      <c r="H38" s="1072"/>
      <c r="I38" s="1072"/>
      <c r="J38" s="1072"/>
      <c r="K38" s="1072"/>
      <c r="L38" s="1072"/>
      <c r="M38" s="1072"/>
      <c r="N38" s="1072"/>
      <c r="O38" s="1072"/>
      <c r="P38" s="1073"/>
      <c r="Q38" s="1077"/>
      <c r="R38" s="1078"/>
      <c r="S38" s="1078"/>
      <c r="T38" s="1078"/>
      <c r="U38" s="1078"/>
      <c r="V38" s="508"/>
      <c r="W38" s="506"/>
      <c r="X38" s="502"/>
      <c r="Y38" s="504"/>
      <c r="Z38" s="507"/>
      <c r="AA38" s="502"/>
      <c r="AB38" s="504"/>
      <c r="AC38" s="504"/>
      <c r="AD38" s="504"/>
      <c r="AE38" s="503"/>
    </row>
    <row r="39" spans="3:31" ht="19.5" thickBot="1">
      <c r="C39" s="412" t="s">
        <v>820</v>
      </c>
      <c r="D39" s="796"/>
      <c r="E39" s="796"/>
      <c r="F39" s="796"/>
      <c r="G39" s="1090">
        <v>18.200099999999999</v>
      </c>
      <c r="H39" s="1091">
        <v>30.442299999999999</v>
      </c>
      <c r="I39" s="1091">
        <v>61.282499999999999</v>
      </c>
      <c r="J39" s="1091">
        <v>97.093199999999996</v>
      </c>
      <c r="K39" s="1091">
        <v>129.45540000000003</v>
      </c>
      <c r="L39" s="1091">
        <v>189.0052</v>
      </c>
      <c r="M39" s="1091">
        <v>232.30250000000001</v>
      </c>
      <c r="N39" s="1091">
        <v>125.36039999999998</v>
      </c>
      <c r="O39" s="1091">
        <v>169.99</v>
      </c>
      <c r="P39" s="1092">
        <v>213.78</v>
      </c>
      <c r="Q39" s="1093">
        <v>160.666875</v>
      </c>
      <c r="R39" s="1094">
        <v>503.60389600000002</v>
      </c>
      <c r="S39" s="1094">
        <v>678.37134300000002</v>
      </c>
      <c r="T39" s="1094">
        <v>768</v>
      </c>
      <c r="U39" s="1094">
        <v>1072</v>
      </c>
      <c r="V39" s="509">
        <v>1411.8</v>
      </c>
      <c r="W39" s="506">
        <v>1448</v>
      </c>
      <c r="X39" s="502">
        <v>1425.6089999999999</v>
      </c>
      <c r="Y39" s="502">
        <v>2019.18</v>
      </c>
      <c r="Z39" s="507">
        <v>2025.421</v>
      </c>
      <c r="AA39" s="502">
        <v>1895.4169999999999</v>
      </c>
      <c r="AB39" s="504">
        <v>1601.2049999999999</v>
      </c>
      <c r="AC39" s="504">
        <v>2420.5450000000001</v>
      </c>
      <c r="AD39" s="504">
        <v>2332.3690000000001</v>
      </c>
      <c r="AE39" s="588">
        <v>1611.3019999999999</v>
      </c>
    </row>
    <row r="40" spans="3:31" ht="19.5" thickBot="1">
      <c r="C40" s="622" t="s">
        <v>1097</v>
      </c>
      <c r="D40" s="801"/>
      <c r="E40" s="801"/>
      <c r="F40" s="801"/>
      <c r="G40" s="801"/>
      <c r="H40" s="801"/>
      <c r="I40" s="801"/>
      <c r="J40" s="801"/>
      <c r="K40" s="801"/>
      <c r="L40" s="801"/>
      <c r="M40" s="801"/>
      <c r="N40" s="801"/>
      <c r="O40" s="801"/>
      <c r="P40" s="801"/>
      <c r="Q40" s="801"/>
      <c r="R40" s="801"/>
      <c r="S40" s="801"/>
      <c r="T40" s="801"/>
      <c r="U40" s="801"/>
      <c r="AE40" s="623">
        <v>394.24400000000003</v>
      </c>
    </row>
    <row r="41" spans="3:31" ht="19.5" thickBot="1">
      <c r="C41" s="412" t="s">
        <v>821</v>
      </c>
      <c r="D41" s="801"/>
      <c r="E41" s="801"/>
      <c r="F41" s="801"/>
      <c r="G41" s="801"/>
      <c r="H41" s="801"/>
      <c r="I41" s="801"/>
      <c r="J41" s="801"/>
      <c r="K41" s="801"/>
      <c r="L41" s="801"/>
      <c r="M41" s="801"/>
      <c r="N41" s="801"/>
      <c r="O41" s="801"/>
      <c r="P41" s="801"/>
      <c r="Q41" s="801"/>
      <c r="R41" s="801"/>
      <c r="S41" s="801"/>
      <c r="T41" s="801"/>
      <c r="U41" s="801"/>
      <c r="V41" s="510"/>
      <c r="W41" s="510">
        <v>396.7</v>
      </c>
      <c r="X41" s="510">
        <v>508.70299999999997</v>
      </c>
      <c r="Y41" s="510">
        <v>645.63099999999997</v>
      </c>
      <c r="Z41" s="510">
        <v>580.53300000000002</v>
      </c>
      <c r="AA41" s="510">
        <v>631.06299999999999</v>
      </c>
      <c r="AB41" s="510">
        <v>962.05899999999997</v>
      </c>
      <c r="AC41" s="510">
        <v>1051.992</v>
      </c>
      <c r="AD41" s="510">
        <v>1240.011</v>
      </c>
      <c r="AE41" s="503">
        <v>1356.027</v>
      </c>
    </row>
    <row r="42" spans="3:31" ht="19.5" thickBot="1">
      <c r="C42" s="412" t="s">
        <v>822</v>
      </c>
      <c r="D42" s="801"/>
      <c r="E42" s="801"/>
      <c r="F42" s="801"/>
      <c r="G42" s="801"/>
      <c r="H42" s="801"/>
      <c r="I42" s="801"/>
      <c r="J42" s="801"/>
      <c r="K42" s="801"/>
      <c r="L42" s="801"/>
      <c r="M42" s="801"/>
      <c r="N42" s="801"/>
      <c r="O42" s="801"/>
      <c r="P42" s="801"/>
      <c r="Q42" s="801"/>
      <c r="R42" s="801"/>
      <c r="S42" s="801"/>
      <c r="T42" s="801"/>
      <c r="U42" s="801"/>
      <c r="V42" s="510">
        <v>90.59400000000096</v>
      </c>
      <c r="W42" s="510">
        <v>0</v>
      </c>
      <c r="X42" s="510">
        <v>189.4889999999973</v>
      </c>
      <c r="Y42" s="510">
        <v>105.73269320052293</v>
      </c>
      <c r="Z42" s="510">
        <v>224.67900000000316</v>
      </c>
      <c r="AA42" s="510">
        <v>80.629999999999313</v>
      </c>
      <c r="AB42" s="510">
        <v>30.827999999998838</v>
      </c>
      <c r="AC42" s="510">
        <v>115.00200000000245</v>
      </c>
      <c r="AD42" s="510">
        <v>2.2737367544323206E-12</v>
      </c>
      <c r="AE42" s="503"/>
    </row>
    <row r="45" spans="3:31" ht="18.75">
      <c r="C45" s="1122" t="s">
        <v>1095</v>
      </c>
      <c r="D45" s="1122"/>
      <c r="E45" s="1122"/>
      <c r="F45" s="1122"/>
      <c r="G45" s="1122"/>
      <c r="H45" s="1122"/>
      <c r="I45" s="1122"/>
      <c r="J45" s="1122"/>
      <c r="K45" s="1122"/>
      <c r="L45" s="1122"/>
      <c r="M45" s="1122"/>
      <c r="N45" s="1122"/>
      <c r="O45" s="1122"/>
      <c r="P45" s="1122"/>
      <c r="Q45" s="1122"/>
      <c r="R45" s="1122"/>
      <c r="S45" s="1122"/>
      <c r="T45" s="1122"/>
      <c r="U45" s="1122"/>
      <c r="V45" s="1122"/>
      <c r="W45" s="1122"/>
    </row>
    <row r="46" spans="3:31" ht="18.75">
      <c r="C46" s="1123"/>
      <c r="D46" s="1123"/>
      <c r="E46" s="1123"/>
      <c r="F46" s="1123"/>
      <c r="G46" s="1123"/>
      <c r="H46" s="1123"/>
      <c r="I46" s="1123"/>
      <c r="J46" s="1123"/>
      <c r="K46" s="1123"/>
      <c r="L46" s="1123"/>
      <c r="M46" s="1123"/>
      <c r="N46" s="1123"/>
      <c r="O46" s="1123"/>
      <c r="P46" s="1123"/>
      <c r="Q46" s="1123"/>
      <c r="R46" s="1123"/>
      <c r="S46" s="1123"/>
      <c r="T46" s="1123"/>
      <c r="U46" s="1123"/>
      <c r="V46" s="1124"/>
      <c r="W46" s="1124"/>
      <c r="X46" s="590"/>
    </row>
    <row r="47" spans="3:31" ht="18.75">
      <c r="C47" s="1122" t="s">
        <v>1096</v>
      </c>
      <c r="D47" s="1122"/>
      <c r="E47" s="1122"/>
      <c r="F47" s="1122"/>
      <c r="G47" s="1122"/>
      <c r="H47" s="1122"/>
      <c r="I47" s="1122"/>
      <c r="J47" s="1122"/>
      <c r="K47" s="1122"/>
      <c r="L47" s="1122"/>
      <c r="M47" s="1122"/>
      <c r="N47" s="1122"/>
      <c r="O47" s="1122"/>
      <c r="P47" s="1122"/>
      <c r="Q47" s="1122"/>
      <c r="R47" s="1122"/>
      <c r="S47" s="1122"/>
      <c r="T47" s="1122"/>
      <c r="U47" s="1122"/>
      <c r="V47" s="1122"/>
      <c r="W47" s="1122"/>
    </row>
  </sheetData>
  <mergeCells count="3">
    <mergeCell ref="C45:W45"/>
    <mergeCell ref="C46:W46"/>
    <mergeCell ref="C47:W47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F809A-45C9-4970-9D8A-AFE97748D193}">
  <dimension ref="B1:AE27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F1" sqref="AF1:AP1048576"/>
    </sheetView>
  </sheetViews>
  <sheetFormatPr defaultRowHeight="15"/>
  <cols>
    <col min="1" max="1" width="3.5703125" customWidth="1"/>
    <col min="2" max="2" width="6.5703125" customWidth="1"/>
    <col min="3" max="3" width="33.5703125" customWidth="1"/>
    <col min="4" max="20" width="8.42578125" customWidth="1"/>
    <col min="21" max="21" width="8.28515625" customWidth="1"/>
  </cols>
  <sheetData>
    <row r="1" spans="2:31">
      <c r="B1" s="189"/>
      <c r="C1" s="190"/>
      <c r="D1" s="5">
        <v>1997</v>
      </c>
      <c r="E1" s="5">
        <v>1998</v>
      </c>
      <c r="F1" s="5">
        <v>1999</v>
      </c>
      <c r="G1" s="5">
        <v>2000</v>
      </c>
      <c r="H1" s="5">
        <v>2001</v>
      </c>
      <c r="I1" s="5">
        <v>2002</v>
      </c>
      <c r="J1" s="5">
        <v>2003</v>
      </c>
      <c r="K1" s="5">
        <v>2004</v>
      </c>
      <c r="L1" s="5">
        <v>2005</v>
      </c>
      <c r="M1" s="5">
        <v>2006</v>
      </c>
      <c r="N1" s="5">
        <v>2007</v>
      </c>
      <c r="O1" s="5">
        <v>2008</v>
      </c>
      <c r="P1" s="5">
        <v>2009</v>
      </c>
      <c r="Q1" s="5">
        <v>2010</v>
      </c>
      <c r="R1" s="5">
        <v>2011</v>
      </c>
      <c r="S1" s="5">
        <v>2012</v>
      </c>
      <c r="T1" s="5">
        <v>2013</v>
      </c>
      <c r="U1" s="5">
        <v>2014</v>
      </c>
      <c r="V1" s="5">
        <v>2015</v>
      </c>
      <c r="W1" s="5">
        <v>2016</v>
      </c>
      <c r="X1" s="5">
        <v>2017</v>
      </c>
      <c r="Y1" s="5">
        <v>2018</v>
      </c>
      <c r="Z1" s="5">
        <v>2019</v>
      </c>
      <c r="AA1" s="5">
        <v>2020</v>
      </c>
      <c r="AB1" s="5">
        <v>2021</v>
      </c>
      <c r="AC1" s="5">
        <v>2022</v>
      </c>
      <c r="AD1" s="5">
        <v>2023</v>
      </c>
      <c r="AE1" s="5">
        <v>2024</v>
      </c>
    </row>
    <row r="2" spans="2:31">
      <c r="B2" s="189" t="s">
        <v>700</v>
      </c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Y2" s="190"/>
      <c r="Z2" s="190"/>
      <c r="AA2" s="190"/>
      <c r="AB2" s="190"/>
      <c r="AC2" s="190"/>
      <c r="AD2" s="190"/>
      <c r="AE2" s="190"/>
    </row>
    <row r="3" spans="2:31">
      <c r="B3" s="7" t="s">
        <v>621</v>
      </c>
      <c r="C3" t="s">
        <v>701</v>
      </c>
      <c r="G3">
        <v>0</v>
      </c>
      <c r="H3">
        <v>0</v>
      </c>
      <c r="I3">
        <v>0</v>
      </c>
      <c r="J3">
        <v>4761.5</v>
      </c>
      <c r="K3">
        <v>6167.2</v>
      </c>
      <c r="L3">
        <v>7206.5999999999995</v>
      </c>
      <c r="M3">
        <v>9335.3000000000011</v>
      </c>
      <c r="N3">
        <v>12804.3</v>
      </c>
      <c r="O3">
        <v>17706.900000000001</v>
      </c>
      <c r="P3">
        <v>20629</v>
      </c>
      <c r="Q3">
        <v>24932.9</v>
      </c>
      <c r="R3">
        <v>30071.1</v>
      </c>
      <c r="S3">
        <v>36163.1</v>
      </c>
      <c r="T3">
        <v>40525.199999999997</v>
      </c>
      <c r="U3">
        <v>45606.6</v>
      </c>
      <c r="V3">
        <f>GDP!V93</f>
        <v>50977.399999999994</v>
      </c>
      <c r="W3">
        <f>GDP!W93</f>
        <v>54790.299999999996</v>
      </c>
      <c r="X3">
        <f>GDP!X93</f>
        <v>64434.3</v>
      </c>
      <c r="Y3">
        <f>GDP!Y93</f>
        <v>71059.199999999997</v>
      </c>
      <c r="Z3">
        <f>GDP!Z93</f>
        <v>79109.799999999988</v>
      </c>
      <c r="AA3">
        <f>GDP!AA93</f>
        <v>83958.3</v>
      </c>
      <c r="AB3">
        <f>GDP!AB93</f>
        <v>101076.30000000002</v>
      </c>
      <c r="AC3">
        <f>GDP!AC93</f>
        <v>118181.70000000001</v>
      </c>
      <c r="AD3">
        <f>GDP!AD93</f>
        <v>132781.90000000002</v>
      </c>
      <c r="AE3" s="159">
        <f>GDP!AE93</f>
        <v>153402.19999999998</v>
      </c>
    </row>
    <row r="4" spans="2:31" ht="15.75">
      <c r="B4" s="7" t="s">
        <v>702</v>
      </c>
      <c r="C4" t="s">
        <v>703</v>
      </c>
      <c r="L4">
        <v>5243.5077753400001</v>
      </c>
      <c r="M4">
        <v>7819.7655793599997</v>
      </c>
      <c r="N4">
        <v>12761.634948750001</v>
      </c>
      <c r="O4">
        <v>14004.9</v>
      </c>
      <c r="P4">
        <v>12686.7</v>
      </c>
      <c r="Q4">
        <v>14577.7</v>
      </c>
      <c r="R4">
        <v>22286.1</v>
      </c>
      <c r="S4">
        <v>25114</v>
      </c>
      <c r="T4">
        <v>26051.9</v>
      </c>
      <c r="U4">
        <v>26676.2</v>
      </c>
      <c r="V4" s="92">
        <f>-GDP!V105</f>
        <v>20460</v>
      </c>
      <c r="W4" s="92">
        <f>-GDP!W105</f>
        <v>23299.3</v>
      </c>
      <c r="X4" s="92">
        <f>-GDP!X105</f>
        <v>25037.599999999999</v>
      </c>
      <c r="Y4" s="92">
        <f>-GDP!Y105</f>
        <v>29468.7</v>
      </c>
      <c r="Z4" s="92">
        <f>-GDP!Z105</f>
        <v>32486.5</v>
      </c>
      <c r="AA4" s="92">
        <f>-GDP!AA105</f>
        <v>32260.799999999999</v>
      </c>
      <c r="AB4" s="92">
        <f>-GDP!AB105</f>
        <v>48156.800000000003</v>
      </c>
      <c r="AC4" s="92">
        <f>-GDP!AC105</f>
        <v>58006.400000000001</v>
      </c>
      <c r="AD4" s="92">
        <f>-GDP!AD105</f>
        <v>64323.5</v>
      </c>
      <c r="AE4" s="631">
        <f>-GDP!AE105</f>
        <v>82020.777098600011</v>
      </c>
    </row>
    <row r="5" spans="2:31" ht="15.75">
      <c r="B5" s="7" t="s">
        <v>704</v>
      </c>
      <c r="C5" t="s">
        <v>705</v>
      </c>
      <c r="L5">
        <v>3909.5708743600007</v>
      </c>
      <c r="M5">
        <v>5243.2217387199998</v>
      </c>
      <c r="N5">
        <v>5871.4188727500004</v>
      </c>
      <c r="O5">
        <v>5782.4</v>
      </c>
      <c r="P5">
        <v>5048</v>
      </c>
      <c r="Q5">
        <v>6620.7</v>
      </c>
      <c r="R5">
        <v>5335</v>
      </c>
      <c r="S5">
        <v>7829.5</v>
      </c>
      <c r="T5">
        <v>7582.6</v>
      </c>
      <c r="U5">
        <v>5143.3999999999996</v>
      </c>
      <c r="V5" s="92">
        <f>GDP!V104</f>
        <v>4997.2</v>
      </c>
      <c r="W5" s="92">
        <f>GDP!W104</f>
        <v>7232.5</v>
      </c>
      <c r="X5" s="92">
        <f>GDP!X104</f>
        <v>9619.1</v>
      </c>
      <c r="Y5" s="92">
        <f>GDP!Y104</f>
        <v>10215.1</v>
      </c>
      <c r="Z5" s="92">
        <f>GDP!Z104</f>
        <v>11850.6</v>
      </c>
      <c r="AA5" s="92">
        <f>GDP!AA104</f>
        <v>14545.2</v>
      </c>
      <c r="AB5" s="92">
        <f>GDP!AB104</f>
        <v>24442.2</v>
      </c>
      <c r="AC5" s="92">
        <f>GDP!AC104</f>
        <v>19326.400000000001</v>
      </c>
      <c r="AD5" s="92">
        <f>GDP!AD104</f>
        <v>22827.7</v>
      </c>
      <c r="AE5" s="631">
        <f>GDP!AE104</f>
        <v>28747.75831889674</v>
      </c>
    </row>
    <row r="6" spans="2:31">
      <c r="B6" s="7" t="s">
        <v>706</v>
      </c>
      <c r="C6" t="s">
        <v>707</v>
      </c>
      <c r="L6">
        <v>7701.1369009799982</v>
      </c>
      <c r="M6">
        <v>10421.343840640002</v>
      </c>
      <c r="N6">
        <v>16540.416076000001</v>
      </c>
      <c r="O6">
        <v>17156.5</v>
      </c>
      <c r="P6">
        <v>20380.2</v>
      </c>
      <c r="Q6">
        <v>23726.2</v>
      </c>
      <c r="R6">
        <v>33314.9</v>
      </c>
      <c r="S6">
        <v>41047.699999999997</v>
      </c>
      <c r="T6">
        <v>46141.599999999999</v>
      </c>
      <c r="U6">
        <v>51376.3</v>
      </c>
      <c r="V6">
        <f>GDP!V94</f>
        <v>42206.3</v>
      </c>
      <c r="W6">
        <f>GDP!W94</f>
        <v>50109.599999999999</v>
      </c>
      <c r="X6">
        <f>GDP!X94</f>
        <v>59167.4</v>
      </c>
      <c r="Y6">
        <f>GDP!Y94</f>
        <v>62273.399999999994</v>
      </c>
      <c r="Z6">
        <f>GDP!Z94</f>
        <v>69139</v>
      </c>
      <c r="AA6">
        <f>GDP!AA94</f>
        <v>74861.600000000006</v>
      </c>
      <c r="AB6">
        <f>GDP!AB94</f>
        <v>92235.3</v>
      </c>
      <c r="AC6">
        <f>GDP!AC94</f>
        <v>115547</v>
      </c>
      <c r="AD6">
        <f>GDP!AD94</f>
        <v>133104.30000000002</v>
      </c>
      <c r="AE6" s="159">
        <f>GDP!AE94</f>
        <v>110815.29103372099</v>
      </c>
    </row>
    <row r="7" spans="2:31">
      <c r="B7" s="7" t="s">
        <v>708</v>
      </c>
      <c r="C7" t="s">
        <v>709</v>
      </c>
      <c r="L7">
        <v>6648.8369009799981</v>
      </c>
      <c r="M7">
        <v>9384.7438406400015</v>
      </c>
      <c r="N7">
        <v>15400.316076000001</v>
      </c>
      <c r="O7">
        <v>15145</v>
      </c>
      <c r="P7">
        <v>17605.3</v>
      </c>
      <c r="Q7">
        <v>20717.099999999999</v>
      </c>
      <c r="R7">
        <v>28935.7</v>
      </c>
      <c r="S7">
        <v>36067.9</v>
      </c>
      <c r="T7">
        <v>40396.6</v>
      </c>
      <c r="U7">
        <v>44710.8</v>
      </c>
      <c r="V7" s="92">
        <f>GDP!V95</f>
        <v>36003</v>
      </c>
      <c r="W7" s="92">
        <f>GDP!W95</f>
        <v>43219.8</v>
      </c>
      <c r="X7" s="92">
        <f>GDP!X95</f>
        <v>51499.4</v>
      </c>
      <c r="Y7" s="92">
        <f>GDP!Y95</f>
        <v>53938.7</v>
      </c>
      <c r="Z7" s="92">
        <f>GDP!Z95</f>
        <v>59925</v>
      </c>
      <c r="AA7" s="92">
        <f>GDP!AA95</f>
        <v>64584</v>
      </c>
      <c r="AB7" s="92">
        <f>GDP!AB95</f>
        <v>80377.100000000006</v>
      </c>
      <c r="AC7" s="92">
        <f>GDP!AC95</f>
        <v>102715.8</v>
      </c>
      <c r="AD7" s="92">
        <f>GDP!AD95</f>
        <v>118160.2</v>
      </c>
      <c r="AE7" s="631">
        <f>GDP!AE95</f>
        <v>94514.530816654515</v>
      </c>
    </row>
    <row r="8" spans="2:31">
      <c r="B8" s="65" t="s">
        <v>324</v>
      </c>
      <c r="C8" t="s">
        <v>710</v>
      </c>
      <c r="L8">
        <v>260.60000000000002</v>
      </c>
      <c r="M8">
        <v>365.7</v>
      </c>
      <c r="N8">
        <v>526.5</v>
      </c>
      <c r="O8">
        <v>652</v>
      </c>
      <c r="P8">
        <v>919.3</v>
      </c>
      <c r="Q8">
        <v>1138.2</v>
      </c>
      <c r="R8">
        <v>1328.9</v>
      </c>
      <c r="S8">
        <v>1744.4</v>
      </c>
      <c r="T8">
        <v>2401.1999999999998</v>
      </c>
      <c r="U8">
        <v>3177.3</v>
      </c>
      <c r="V8">
        <f>Household!V34</f>
        <v>3403.7</v>
      </c>
      <c r="W8">
        <f>Household!W34</f>
        <v>3915.2</v>
      </c>
      <c r="X8">
        <f>Household!X34</f>
        <v>4496.8999999999996</v>
      </c>
      <c r="Y8">
        <f>Household!Y34</f>
        <v>4923.8999999999996</v>
      </c>
      <c r="Z8">
        <f>Household!Z34</f>
        <v>4980.3</v>
      </c>
      <c r="AA8">
        <f>Household!AA34</f>
        <v>5417.4</v>
      </c>
      <c r="AB8">
        <f>Household!AB34</f>
        <v>6169.5</v>
      </c>
      <c r="AC8">
        <f>Household!AC34</f>
        <v>7053.8</v>
      </c>
      <c r="AD8">
        <f>Household!AD34</f>
        <v>10667.5</v>
      </c>
      <c r="AE8" s="159">
        <f>Household!AE34</f>
        <v>11211.5425</v>
      </c>
    </row>
    <row r="11" spans="2:31">
      <c r="B11" s="189" t="s">
        <v>711</v>
      </c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</row>
    <row r="12" spans="2:31">
      <c r="B12" s="40" t="s">
        <v>712</v>
      </c>
      <c r="C12" s="144" t="s">
        <v>548</v>
      </c>
      <c r="D12" s="144"/>
      <c r="E12" s="144"/>
      <c r="F12" s="144" t="s">
        <v>1110</v>
      </c>
      <c r="G12" s="144">
        <v>149.69999999999999</v>
      </c>
      <c r="H12" s="144">
        <v>230.3</v>
      </c>
      <c r="I12" s="144">
        <v>332.8</v>
      </c>
      <c r="J12" s="144">
        <v>508.4</v>
      </c>
      <c r="K12" s="144">
        <v>679.7</v>
      </c>
      <c r="L12" s="144">
        <v>831.2</v>
      </c>
      <c r="M12" s="144">
        <v>1059.7</v>
      </c>
      <c r="N12" s="144">
        <v>1603.5</v>
      </c>
      <c r="O12" s="144">
        <v>2235.8999999999996</v>
      </c>
      <c r="P12" s="144">
        <v>2286.6</v>
      </c>
      <c r="Q12" s="144">
        <v>2781.7</v>
      </c>
      <c r="R12" s="144">
        <v>3727.5</v>
      </c>
      <c r="S12" s="144">
        <v>4455.8</v>
      </c>
      <c r="T12" s="144">
        <v>5159.5</v>
      </c>
      <c r="U12" s="144">
        <v>6361.6</v>
      </c>
      <c r="V12" s="92">
        <f>GDP!V14</f>
        <v>5370.2000000000007</v>
      </c>
      <c r="W12" s="92">
        <f>GDP!W14</f>
        <v>5660.1</v>
      </c>
      <c r="X12" s="92">
        <f>GDP!X14</f>
        <v>6337.0999999999995</v>
      </c>
      <c r="Y12" s="92">
        <f>GDP!Y14</f>
        <v>7019.1</v>
      </c>
      <c r="Z12" s="92">
        <f>GDP!Z14</f>
        <v>7692.7000000000007</v>
      </c>
      <c r="AA12" s="92">
        <f>GDP!AA14</f>
        <v>7542.7</v>
      </c>
      <c r="AB12" s="92">
        <f>GDP!AB14</f>
        <v>9696.5</v>
      </c>
      <c r="AC12" s="92">
        <f>GDP!AC14</f>
        <v>10687.4</v>
      </c>
      <c r="AD12" s="92">
        <f>GDP!AD14</f>
        <v>13197.199999999999</v>
      </c>
      <c r="AE12" s="631">
        <f>GDP!AE14</f>
        <v>14425.9</v>
      </c>
    </row>
    <row r="13" spans="2:31" ht="18.75">
      <c r="B13" t="s">
        <v>713</v>
      </c>
      <c r="C13" t="s">
        <v>714</v>
      </c>
      <c r="G13">
        <v>47.3</v>
      </c>
      <c r="H13">
        <v>100.5</v>
      </c>
      <c r="I13">
        <v>117.2</v>
      </c>
      <c r="J13">
        <v>180.2</v>
      </c>
      <c r="K13">
        <v>349</v>
      </c>
      <c r="L13">
        <v>319.2</v>
      </c>
      <c r="M13">
        <v>429.3</v>
      </c>
      <c r="N13">
        <v>547.5</v>
      </c>
      <c r="O13">
        <v>1015</v>
      </c>
      <c r="P13">
        <v>1219.3</v>
      </c>
      <c r="Q13">
        <v>1629.9</v>
      </c>
      <c r="R13">
        <v>2183.3169336919509</v>
      </c>
      <c r="S13">
        <v>2239.7685000000001</v>
      </c>
      <c r="T13">
        <v>2394.5</v>
      </c>
      <c r="U13">
        <v>3089</v>
      </c>
      <c r="V13" s="92">
        <f>OEA!V23</f>
        <v>3446</v>
      </c>
      <c r="W13" s="92">
        <f>OEA!W23</f>
        <v>4399.8999999999996</v>
      </c>
      <c r="X13" s="92">
        <f>OEA!X23</f>
        <v>5013.8</v>
      </c>
      <c r="Y13" s="92">
        <f>OEA!Y23</f>
        <v>6468.8</v>
      </c>
      <c r="Z13" s="92">
        <f>OEA!Z23</f>
        <v>6261.4</v>
      </c>
      <c r="AA13" s="92">
        <f>OEA!AA23</f>
        <v>5686.9</v>
      </c>
      <c r="AB13" s="92">
        <f>OEA!AB23</f>
        <v>6108.8</v>
      </c>
      <c r="AC13" s="92">
        <f>OEA!AC23</f>
        <v>6736.9</v>
      </c>
      <c r="AD13" s="92">
        <f>OEA!AD23</f>
        <v>7922.5</v>
      </c>
      <c r="AE13" s="631">
        <f>OEA!AE23</f>
        <v>9830.5</v>
      </c>
    </row>
    <row r="19" spans="2:31">
      <c r="B19" s="189" t="s">
        <v>715</v>
      </c>
      <c r="C19" s="190"/>
      <c r="D19" s="190"/>
      <c r="E19" s="190"/>
      <c r="F19" s="190"/>
      <c r="G19" s="190"/>
      <c r="H19" s="190"/>
      <c r="I19" s="190"/>
      <c r="J19" s="190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</row>
    <row r="20" spans="2:31" ht="15.75">
      <c r="B20" s="7" t="s">
        <v>400</v>
      </c>
      <c r="C20" s="191" t="s">
        <v>401</v>
      </c>
      <c r="D20" s="191"/>
      <c r="E20" s="191"/>
      <c r="F20" s="191" t="s">
        <v>1111</v>
      </c>
      <c r="G20" s="191">
        <v>62.6</v>
      </c>
      <c r="H20" s="191">
        <v>62.2</v>
      </c>
      <c r="I20" s="191">
        <v>68.989199999999997</v>
      </c>
      <c r="J20" s="191">
        <v>88.526499999999999</v>
      </c>
      <c r="K20" s="191">
        <v>122.907</v>
      </c>
      <c r="L20" s="191">
        <v>146.34200000000001</v>
      </c>
      <c r="M20" s="191">
        <v>134.215</v>
      </c>
      <c r="N20" s="191">
        <v>148.69200000000001</v>
      </c>
      <c r="O20" s="191">
        <v>181.40899999999999</v>
      </c>
      <c r="P20" s="191">
        <v>179.74799999999999</v>
      </c>
      <c r="Q20" s="191">
        <v>333.74732999999998</v>
      </c>
      <c r="R20" s="191">
        <v>564.5</v>
      </c>
      <c r="S20" s="191">
        <v>818</v>
      </c>
      <c r="T20" s="191">
        <v>797.4</v>
      </c>
      <c r="U20" s="191">
        <v>515.4</v>
      </c>
      <c r="V20" s="93">
        <f>Trade!V4</f>
        <v>252.4</v>
      </c>
      <c r="W20" s="93">
        <f>Trade!W4</f>
        <v>231.8</v>
      </c>
      <c r="X20" s="93">
        <f>Trade!X4</f>
        <v>252</v>
      </c>
      <c r="Y20" s="93">
        <f>Trade!Y4</f>
        <v>242.2</v>
      </c>
      <c r="Z20" s="93">
        <f>Trade!Z4</f>
        <v>242.35</v>
      </c>
      <c r="AA20" s="93">
        <f>Trade!AA4</f>
        <v>138.5</v>
      </c>
      <c r="AB20" s="93">
        <f>Trade!AB4</f>
        <v>146.80000000000001</v>
      </c>
      <c r="AC20" s="93">
        <f>Trade!AC4</f>
        <v>137.4</v>
      </c>
      <c r="AD20" s="93">
        <f>Trade!AD4</f>
        <v>243.5</v>
      </c>
      <c r="AE20" s="564">
        <f>Trade!AE4</f>
        <v>161.005</v>
      </c>
    </row>
    <row r="21" spans="2:31" ht="15.75">
      <c r="B21" s="7" t="s">
        <v>402</v>
      </c>
      <c r="C21" s="191" t="s">
        <v>403</v>
      </c>
      <c r="D21" s="191"/>
      <c r="E21" s="191"/>
      <c r="F21" s="191" t="s">
        <v>1111</v>
      </c>
      <c r="G21" s="191">
        <v>838.92650000000003</v>
      </c>
      <c r="H21" s="191">
        <v>651.57069999999999</v>
      </c>
      <c r="I21" s="191">
        <v>699.14800000000002</v>
      </c>
      <c r="J21" s="191">
        <v>906.19819999999993</v>
      </c>
      <c r="K21" s="191">
        <v>1096.9347</v>
      </c>
      <c r="L21" s="191">
        <v>1108.0926000000002</v>
      </c>
      <c r="M21" s="191">
        <v>1455.4108000000001</v>
      </c>
      <c r="N21" s="191">
        <v>1556.8763000000001</v>
      </c>
      <c r="O21" s="191">
        <v>1504.9</v>
      </c>
      <c r="P21" s="191">
        <v>1038.8</v>
      </c>
      <c r="Q21" s="191">
        <v>1194.7</v>
      </c>
      <c r="R21" s="191">
        <v>1257.3</v>
      </c>
      <c r="S21" s="191">
        <v>1359.7</v>
      </c>
      <c r="T21" s="191">
        <v>943.4</v>
      </c>
      <c r="U21" s="191">
        <v>977.3</v>
      </c>
      <c r="V21" s="93">
        <f>Trade!V5</f>
        <v>890.6</v>
      </c>
      <c r="W21" s="93">
        <f>Trade!W5</f>
        <v>898.7</v>
      </c>
      <c r="X21" s="93">
        <f>Trade!X5</f>
        <v>1198</v>
      </c>
      <c r="Y21" s="93">
        <f>Trade!Y5</f>
        <v>1073.3</v>
      </c>
      <c r="Z21" s="93">
        <f>Trade!Z5</f>
        <v>1174.4000000000001</v>
      </c>
      <c r="AA21" s="93">
        <f>Trade!AA5</f>
        <v>1406.9</v>
      </c>
      <c r="AB21" s="93">
        <f>Trade!AB5</f>
        <v>2149.6</v>
      </c>
      <c r="AC21" s="93">
        <f>Trade!AC5</f>
        <v>2142</v>
      </c>
      <c r="AD21" s="93">
        <f>Trade!AD5</f>
        <v>2448.8000000000002</v>
      </c>
      <c r="AE21" s="564">
        <f>Trade!AE5</f>
        <v>1947.4</v>
      </c>
    </row>
    <row r="22" spans="2:31" ht="15.75">
      <c r="B22" s="7" t="s">
        <v>440</v>
      </c>
      <c r="C22" s="191" t="s">
        <v>441</v>
      </c>
      <c r="D22" s="191"/>
      <c r="E22" s="191"/>
      <c r="F22" s="191" t="s">
        <v>1111</v>
      </c>
      <c r="G22" s="191">
        <v>57</v>
      </c>
      <c r="H22" s="191">
        <v>69.599999999999994</v>
      </c>
      <c r="I22" s="191">
        <v>104.878</v>
      </c>
      <c r="J22" s="191">
        <v>121.533</v>
      </c>
      <c r="K22" s="191">
        <v>212.52600000000001</v>
      </c>
      <c r="L22" s="191">
        <v>251.51900000000001</v>
      </c>
      <c r="M22" s="191">
        <v>240.8</v>
      </c>
      <c r="N22" s="191">
        <v>592.07799999999997</v>
      </c>
      <c r="O22" s="191">
        <v>455.524</v>
      </c>
      <c r="P22" s="191">
        <v>291.30099999999999</v>
      </c>
      <c r="Q22" s="191">
        <v>528.125</v>
      </c>
      <c r="R22" s="191">
        <v>670.8</v>
      </c>
      <c r="S22" s="191">
        <v>890.3</v>
      </c>
      <c r="T22" s="191">
        <v>1063.9000000000001</v>
      </c>
      <c r="U22" s="191">
        <v>896.8</v>
      </c>
      <c r="V22" s="93">
        <f>Trade!V42</f>
        <v>462.54</v>
      </c>
      <c r="W22" s="93">
        <f>Trade!W42</f>
        <v>374.1</v>
      </c>
      <c r="X22" s="93">
        <f>Trade!X42</f>
        <v>374.18</v>
      </c>
      <c r="Y22" s="93">
        <f>Trade!Y42</f>
        <v>457.8</v>
      </c>
      <c r="Z22" s="93">
        <f>Trade!Z42</f>
        <v>487.8</v>
      </c>
      <c r="AA22" s="93">
        <f>Trade!AA42</f>
        <v>410</v>
      </c>
      <c r="AB22" s="93">
        <f>Trade!AB42</f>
        <v>531.6</v>
      </c>
      <c r="AC22" s="93">
        <f>Trade!AC42</f>
        <v>685.32399999999996</v>
      </c>
      <c r="AD22" s="93">
        <f>Trade!AD42</f>
        <v>748.28099999999995</v>
      </c>
      <c r="AE22" s="564">
        <f>Trade!AE42</f>
        <v>678.101</v>
      </c>
    </row>
    <row r="23" spans="2:31" ht="15.75">
      <c r="B23" s="7" t="s">
        <v>442</v>
      </c>
      <c r="C23" s="191" t="s">
        <v>443</v>
      </c>
      <c r="D23" s="191"/>
      <c r="E23" s="191"/>
      <c r="F23" s="191" t="s">
        <v>1111</v>
      </c>
      <c r="G23" s="191">
        <v>920.47500000000002</v>
      </c>
      <c r="H23" s="191">
        <v>765.6807</v>
      </c>
      <c r="I23" s="191">
        <v>822.9011999999999</v>
      </c>
      <c r="J23" s="191">
        <v>1025.7317</v>
      </c>
      <c r="K23" s="191">
        <v>1232.4333000000001</v>
      </c>
      <c r="L23" s="191">
        <v>1430.9259</v>
      </c>
      <c r="M23" s="191">
        <v>2129.9753999999998</v>
      </c>
      <c r="N23" s="191">
        <v>3115.0055000000002</v>
      </c>
      <c r="O23" s="191">
        <v>3629</v>
      </c>
      <c r="P23" s="191">
        <v>2771.2</v>
      </c>
      <c r="Q23" s="191">
        <v>2656.9</v>
      </c>
      <c r="R23" s="191">
        <v>3206</v>
      </c>
      <c r="S23" s="191">
        <v>3778.4</v>
      </c>
      <c r="T23" s="191">
        <v>4045.4</v>
      </c>
      <c r="U23" s="191">
        <v>4297.3999999999996</v>
      </c>
      <c r="V23" s="92">
        <f>Trade!V43</f>
        <v>3435.6</v>
      </c>
      <c r="W23" s="92">
        <f>Trade!W43</f>
        <v>3031.2</v>
      </c>
      <c r="X23" s="92">
        <f>Trade!X43</f>
        <v>2774.9</v>
      </c>
      <c r="Y23" s="92">
        <f>Trade!Y43</f>
        <v>3151</v>
      </c>
      <c r="Z23" s="92">
        <f>Trade!Z43</f>
        <v>3349.3</v>
      </c>
      <c r="AA23" s="92">
        <f>Trade!AA43</f>
        <v>3150</v>
      </c>
      <c r="AB23" s="92">
        <f>Trade!AB43</f>
        <v>4209.5</v>
      </c>
      <c r="AC23" s="92">
        <f>Trade!AC43</f>
        <v>5167.5</v>
      </c>
      <c r="AD23" s="92">
        <f>Trade!AD43</f>
        <v>5880.1</v>
      </c>
      <c r="AE23" s="631">
        <f>Trade!AE43</f>
        <v>7007.6</v>
      </c>
    </row>
    <row r="24" spans="2:31" ht="15.75">
      <c r="B24" s="7" t="s">
        <v>716</v>
      </c>
      <c r="C24" s="191" t="s">
        <v>717</v>
      </c>
      <c r="D24" s="191"/>
      <c r="E24" s="191"/>
      <c r="F24" s="191" t="s">
        <v>1112</v>
      </c>
      <c r="G24" s="191">
        <v>922.55555103560766</v>
      </c>
      <c r="H24" s="191">
        <v>1086.8938608530323</v>
      </c>
      <c r="I24" s="191">
        <v>1219.5022251945015</v>
      </c>
      <c r="J24" s="191">
        <v>1555.1817617663389</v>
      </c>
      <c r="K24" s="191">
        <v>2075.8692652058298</v>
      </c>
      <c r="L24" s="191">
        <v>2312.3275364178912</v>
      </c>
      <c r="M24" s="191">
        <v>2830.2510308028136</v>
      </c>
      <c r="N24" s="191">
        <v>3719.4771241830063</v>
      </c>
      <c r="O24" s="191">
        <v>5162.3615160349855</v>
      </c>
      <c r="P24" s="191">
        <v>4982.8502415458943</v>
      </c>
      <c r="Q24" s="191">
        <v>5640.3424657534251</v>
      </c>
      <c r="R24" s="191">
        <v>6523.5812217979856</v>
      </c>
      <c r="S24" s="191">
        <v>7592.9829718437022</v>
      </c>
      <c r="T24" s="191">
        <v>8506.1920154485542</v>
      </c>
      <c r="U24" s="191">
        <v>9241.6462339662412</v>
      </c>
      <c r="V24" s="93">
        <f>GDP!V2/Assumptions!V12</f>
        <v>8269.5109092383791</v>
      </c>
      <c r="W24" s="93">
        <f>GDP!W2/Assumptions!W12</f>
        <v>6992.4830261881661</v>
      </c>
      <c r="X24" s="93">
        <f>GDP!X2/Assumptions!X12</f>
        <v>7536.439875083337</v>
      </c>
      <c r="Y24" s="93">
        <f>GDP!Y2/Assumptions!Y12</f>
        <v>7765.0144243377918</v>
      </c>
      <c r="Z24" s="93">
        <f>GDP!Z2/Assumptions!Z12</f>
        <v>8301.0461590119721</v>
      </c>
      <c r="AA24" s="93">
        <f>GDP!AA2/Assumptions!AA12</f>
        <v>8133.9966479039722</v>
      </c>
      <c r="AB24" s="93">
        <f>GDP!AB2/Assumptions!AB12</f>
        <v>8937.7658304521228</v>
      </c>
      <c r="AC24" s="93">
        <f>GDP!AC2/Assumptions!AC12</f>
        <v>10718.650800848918</v>
      </c>
      <c r="AD24" s="93">
        <f>GDP!AD2/Assumptions!AD12</f>
        <v>12244.169855687216</v>
      </c>
      <c r="AE24" s="564">
        <f>GDP!AE2/Assumptions!AE12</f>
        <v>14205.748893375065</v>
      </c>
    </row>
    <row r="26" spans="2:31">
      <c r="B26" s="189" t="s">
        <v>718</v>
      </c>
      <c r="C26" s="190"/>
      <c r="D26" s="190"/>
      <c r="E26" s="190"/>
      <c r="F26" s="190"/>
      <c r="G26" s="190"/>
      <c r="H26" s="190"/>
      <c r="I26" s="190"/>
      <c r="J26" s="190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</row>
    <row r="27" spans="2:31" ht="15.75">
      <c r="B27" s="7" t="s">
        <v>719</v>
      </c>
      <c r="C27" t="s">
        <v>720</v>
      </c>
      <c r="G27">
        <v>36.483599999999996</v>
      </c>
      <c r="H27">
        <v>93.028399999999991</v>
      </c>
      <c r="I27">
        <v>201.71960000000001</v>
      </c>
      <c r="J27">
        <v>285.10849999999999</v>
      </c>
      <c r="K27">
        <v>348.41059999999999</v>
      </c>
      <c r="L27">
        <v>599.91049999999996</v>
      </c>
      <c r="M27">
        <v>1202.3678</v>
      </c>
      <c r="N27">
        <v>1794.3315</v>
      </c>
      <c r="O27">
        <v>2705.1605</v>
      </c>
      <c r="P27">
        <v>1861.7883999999999</v>
      </c>
      <c r="Q27">
        <v>2420.6999999999998</v>
      </c>
      <c r="R27">
        <v>3147.8</v>
      </c>
      <c r="S27">
        <v>3715.2</v>
      </c>
      <c r="T27">
        <v>4304.7</v>
      </c>
      <c r="U27">
        <v>3919.1</v>
      </c>
      <c r="V27" s="93">
        <f>BoP!V39</f>
        <v>2659.49948650957</v>
      </c>
      <c r="W27" s="93">
        <f>BoP!W39</f>
        <v>2221.9401329704319</v>
      </c>
      <c r="X27" s="93">
        <f>BoP!X39</f>
        <v>2668.5224832144281</v>
      </c>
      <c r="Y27" s="93">
        <f>BoP!Y39</f>
        <v>2608.9606283393596</v>
      </c>
      <c r="Z27" s="93">
        <f>BoP!Z39</f>
        <v>2774.5276220133469</v>
      </c>
      <c r="AA27" s="93">
        <f>BoP!AA39</f>
        <v>2607.7272396216304</v>
      </c>
      <c r="AB27" s="93">
        <f>BoP!AB39</f>
        <v>2087.6129158005187</v>
      </c>
      <c r="AC27" s="93">
        <f>BoP!AC39</f>
        <v>3780.812819345389</v>
      </c>
      <c r="AD27" s="93">
        <f>BoP!AD39</f>
        <v>3296.4055830586117</v>
      </c>
      <c r="AE27" s="564">
        <f>BoP!AE39</f>
        <v>3092.1821653456523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337F8-6DA1-4BAB-95F8-6B4FC40C64BD}">
  <dimension ref="A1:M50"/>
  <sheetViews>
    <sheetView workbookViewId="0">
      <pane xSplit="8" ySplit="2" topLeftCell="I3" activePane="bottomRight" state="frozen"/>
      <selection pane="topRight" activeCell="I1" sqref="I1"/>
      <selection pane="bottomLeft" activeCell="A3" sqref="A3"/>
      <selection pane="bottomRight" activeCell="J16" sqref="J16"/>
    </sheetView>
  </sheetViews>
  <sheetFormatPr defaultRowHeight="15"/>
  <cols>
    <col min="1" max="1" width="26.140625" customWidth="1"/>
    <col min="2" max="2" width="9.5703125" customWidth="1"/>
    <col min="3" max="3" width="7.85546875" customWidth="1"/>
    <col min="4" max="4" width="8.5703125" customWidth="1"/>
    <col min="5" max="5" width="8.28515625" customWidth="1"/>
    <col min="6" max="6" width="7.85546875" style="46" customWidth="1"/>
    <col min="7" max="7" width="9.7109375" customWidth="1"/>
    <col min="8" max="8" width="10.5703125" style="532" customWidth="1"/>
    <col min="9" max="9" width="9.42578125" style="46" bestFit="1" customWidth="1"/>
  </cols>
  <sheetData>
    <row r="1" spans="1:13" ht="18.75">
      <c r="A1" s="1125" t="s">
        <v>1068</v>
      </c>
      <c r="B1" s="1125"/>
      <c r="C1" s="1125"/>
      <c r="D1" s="1125"/>
      <c r="E1" s="1125"/>
      <c r="F1" s="1125"/>
      <c r="G1" s="1125"/>
      <c r="H1" s="1125"/>
      <c r="I1" s="1125"/>
      <c r="J1" s="1125"/>
    </row>
    <row r="2" spans="1:13" s="133" customFormat="1" ht="20.25" customHeight="1">
      <c r="A2" s="511"/>
      <c r="B2" s="512">
        <f>[2]GDP!AA1</f>
        <v>2013</v>
      </c>
      <c r="C2" s="512">
        <f>[2]GDP!AB1</f>
        <v>2014</v>
      </c>
      <c r="D2" s="512">
        <f>[2]GDP!AC1</f>
        <v>2015</v>
      </c>
      <c r="E2" s="512">
        <v>2016</v>
      </c>
      <c r="F2" s="512">
        <v>2017</v>
      </c>
      <c r="G2" s="512">
        <v>2018</v>
      </c>
      <c r="H2" s="513">
        <v>2019</v>
      </c>
      <c r="I2" s="512">
        <v>2020</v>
      </c>
      <c r="J2" s="512">
        <v>2021</v>
      </c>
      <c r="K2" s="512">
        <v>2022</v>
      </c>
      <c r="L2" s="512">
        <v>2023</v>
      </c>
      <c r="M2" s="512">
        <v>2024</v>
      </c>
    </row>
    <row r="3" spans="1:13" s="133" customFormat="1" ht="30">
      <c r="A3" s="514" t="s">
        <v>542</v>
      </c>
      <c r="B3" s="515">
        <f>GDP!T2</f>
        <v>40525.199999999997</v>
      </c>
      <c r="C3" s="515">
        <f>GDP!U2</f>
        <v>45606.6</v>
      </c>
      <c r="D3" s="515">
        <f>GDP!V2</f>
        <v>50977.399999999994</v>
      </c>
      <c r="E3" s="515">
        <f>GDP!W2</f>
        <v>54790.299999999996</v>
      </c>
      <c r="F3" s="515">
        <f>GDP!X2</f>
        <v>64434.3</v>
      </c>
      <c r="G3" s="515">
        <f>GDP!Y2</f>
        <v>71059.199999999997</v>
      </c>
      <c r="H3" s="515">
        <f>GDP!Z2</f>
        <v>79109.799999999988</v>
      </c>
      <c r="I3" s="515">
        <f>GDP!AA2</f>
        <v>83958.3</v>
      </c>
      <c r="J3" s="515">
        <f>GDP!AB2</f>
        <v>101076.30000000002</v>
      </c>
      <c r="K3" s="515">
        <f>GDP!AC2</f>
        <v>118181.70000000001</v>
      </c>
      <c r="L3" s="515">
        <f>GDP!AD2</f>
        <v>132781.90000000002</v>
      </c>
      <c r="M3" s="515">
        <f>GDP!AE2</f>
        <v>153402.19999999998</v>
      </c>
    </row>
    <row r="4" spans="1:13" s="133" customFormat="1">
      <c r="A4" s="514" t="s">
        <v>543</v>
      </c>
      <c r="B4" s="515">
        <f>GDP!T3</f>
        <v>107.4</v>
      </c>
      <c r="C4" s="515">
        <f>GDP!U3</f>
        <v>106.7</v>
      </c>
      <c r="D4" s="515">
        <f>GDP!V3</f>
        <v>106</v>
      </c>
      <c r="E4" s="515">
        <f>GDP!W3</f>
        <v>106.89999999999999</v>
      </c>
      <c r="F4" s="515">
        <f>GDP!X3</f>
        <v>107.1</v>
      </c>
      <c r="G4" s="515">
        <f>GDP!Y3</f>
        <v>107.56588649213229</v>
      </c>
      <c r="H4" s="515">
        <f>GDP!Z3</f>
        <v>107.42265829055211</v>
      </c>
      <c r="I4" s="515">
        <f>GDP!AA3</f>
        <v>104.44609011778569</v>
      </c>
      <c r="J4" s="515">
        <f>GDP!AB3</f>
        <v>109.41560608063764</v>
      </c>
      <c r="K4" s="515">
        <f>GDP!AC3</f>
        <v>108.03592118033602</v>
      </c>
      <c r="L4" s="515">
        <f>GDP!AD3</f>
        <v>108.31976837361451</v>
      </c>
      <c r="M4" s="515">
        <f>GDP!AE3</f>
        <v>108.35354052046063</v>
      </c>
    </row>
    <row r="5" spans="1:13" s="133" customFormat="1">
      <c r="A5" s="514" t="s">
        <v>544</v>
      </c>
      <c r="B5" s="515">
        <f>GDP!T4</f>
        <v>104.34105730386703</v>
      </c>
      <c r="C5" s="515">
        <f>GDP!U4</f>
        <v>105.47222559175718</v>
      </c>
      <c r="D5" s="515">
        <f>GDP!V4</f>
        <v>105.44940160514669</v>
      </c>
      <c r="E5" s="515">
        <f>GDP!W4</f>
        <v>100.54217866635985</v>
      </c>
      <c r="F5" s="515">
        <f>GDP!X4</f>
        <v>109.80546757006118</v>
      </c>
      <c r="G5" s="515">
        <f>GDP!Y4</f>
        <v>102.52473094313454</v>
      </c>
      <c r="H5" s="515">
        <f>GDP!Z4</f>
        <v>103.63681973908618</v>
      </c>
      <c r="I5" s="515">
        <f>GDP!AA4</f>
        <v>101.61110230514826</v>
      </c>
      <c r="J5" s="515">
        <f>GDP!AB4</f>
        <v>110.02881332080305</v>
      </c>
      <c r="K5" s="515">
        <f>GDP!AC4</f>
        <v>108.22627671327531</v>
      </c>
      <c r="L5" s="515">
        <f>GDP!AD4</f>
        <v>103.72439807211711</v>
      </c>
      <c r="M5" s="515">
        <f>GDP!AE4</f>
        <v>106.62268198320136</v>
      </c>
    </row>
    <row r="6" spans="1:13" s="133" customFormat="1" ht="30">
      <c r="A6" s="514" t="s">
        <v>1069</v>
      </c>
      <c r="B6" s="517">
        <f>Agriculture!T2</f>
        <v>16756.599999999999</v>
      </c>
      <c r="C6" s="517">
        <f>Agriculture!U2</f>
        <v>21021.9</v>
      </c>
      <c r="D6" s="517">
        <f>Agriculture!V2</f>
        <v>21577.8</v>
      </c>
      <c r="E6" s="517">
        <f>Agriculture!W2</f>
        <v>22907.671731113471</v>
      </c>
      <c r="F6" s="517">
        <f>Agriculture!X2</f>
        <v>24576</v>
      </c>
      <c r="G6" s="517">
        <f>Agriculture!Y2</f>
        <v>26370.300000000003</v>
      </c>
      <c r="H6" s="517">
        <f>Agriculture!Z2</f>
        <v>27750.400000000001</v>
      </c>
      <c r="I6" s="517">
        <f>Agriculture!AA2</f>
        <v>37298.400000000001</v>
      </c>
      <c r="J6" s="517">
        <f>Agriculture!AB2</f>
        <v>39769.4</v>
      </c>
      <c r="K6" s="517">
        <f>Agriculture!AC2</f>
        <v>49272.4</v>
      </c>
      <c r="L6" s="517">
        <f>Agriculture!AD2</f>
        <v>63028.399999999994</v>
      </c>
      <c r="M6" s="517">
        <f>Agriculture!AE2</f>
        <v>73981.3</v>
      </c>
    </row>
    <row r="7" spans="1:13" s="133" customFormat="1" ht="30">
      <c r="A7" s="514" t="s">
        <v>1070</v>
      </c>
      <c r="B7" s="517">
        <f>Agriculture!T3</f>
        <v>107.6</v>
      </c>
      <c r="C7" s="517">
        <f>Agriculture!U3</f>
        <v>104.5</v>
      </c>
      <c r="D7" s="517">
        <f>Agriculture!V3</f>
        <v>103.2</v>
      </c>
      <c r="E7" s="517">
        <f>Agriculture!W3</f>
        <v>105.2</v>
      </c>
      <c r="F7" s="517">
        <f>Agriculture!X3</f>
        <v>106.8</v>
      </c>
      <c r="G7" s="517">
        <f>Agriculture!Y3</f>
        <v>107</v>
      </c>
      <c r="H7" s="517">
        <f>Agriculture!Z3</f>
        <v>107</v>
      </c>
      <c r="I7" s="517">
        <f>Agriculture!AA3</f>
        <v>107.9</v>
      </c>
      <c r="J7" s="517">
        <f>Agriculture!AB3</f>
        <v>99.7</v>
      </c>
      <c r="K7" s="517">
        <f>Agriculture!AC3</f>
        <v>108</v>
      </c>
      <c r="L7" s="517">
        <f>Agriculture!AD3</f>
        <v>109</v>
      </c>
      <c r="M7" s="517">
        <f>Agriculture!AE3</f>
        <v>110.6</v>
      </c>
    </row>
    <row r="8" spans="1:13" s="133" customFormat="1">
      <c r="A8" s="514" t="s">
        <v>725</v>
      </c>
      <c r="B8" s="517">
        <f>Agriculture!T4</f>
        <v>94.510989695873448</v>
      </c>
      <c r="C8" s="517">
        <f>Agriculture!U4</f>
        <v>120.05210315758181</v>
      </c>
      <c r="D8" s="517">
        <f>Agriculture!V4</f>
        <v>99.461613508924287</v>
      </c>
      <c r="E8" s="517">
        <f>Agriculture!W4</f>
        <v>100.9155398445242</v>
      </c>
      <c r="F8" s="517">
        <f>Agriculture!X4</f>
        <v>100.45209406332661</v>
      </c>
      <c r="G8" s="517">
        <f>Agriculture!Y4</f>
        <v>100.28133214077103</v>
      </c>
      <c r="H8" s="517">
        <f>Agriculture!Z4</f>
        <v>98.349102099816974</v>
      </c>
      <c r="I8" s="517">
        <f>Agriculture!AA4</f>
        <v>124.56599745561866</v>
      </c>
      <c r="J8" s="517">
        <f>Agriculture!AB4</f>
        <v>106.94578641873329</v>
      </c>
      <c r="K8" s="517">
        <f>Agriculture!AC4</f>
        <v>114.71782977010615</v>
      </c>
      <c r="L8" s="517">
        <f>Agriculture!AD4</f>
        <v>117.35620790439725</v>
      </c>
      <c r="M8" s="517">
        <f>Agriculture!AE4</f>
        <v>106.12813904964544</v>
      </c>
    </row>
    <row r="9" spans="1:13" s="133" customFormat="1">
      <c r="A9" s="514" t="s">
        <v>1071</v>
      </c>
      <c r="B9" s="517">
        <f>Agriculture!T5</f>
        <v>11502.5</v>
      </c>
      <c r="C9" s="517">
        <f>Agriculture!U5</f>
        <v>14532.8</v>
      </c>
      <c r="D9" s="517">
        <f>Agriculture!V5</f>
        <v>14623.7</v>
      </c>
      <c r="E9" s="517">
        <f>Agriculture!W5</f>
        <v>15066.6</v>
      </c>
      <c r="F9" s="517">
        <f>Agriculture!X5</f>
        <v>16977.8</v>
      </c>
      <c r="G9" s="517">
        <f>Agriculture!Y5</f>
        <v>18229.2</v>
      </c>
      <c r="H9" s="517">
        <f>Agriculture!Z5</f>
        <v>19279.7</v>
      </c>
      <c r="I9" s="517">
        <f>Agriculture!AA5</f>
        <v>27130</v>
      </c>
      <c r="J9" s="517">
        <f>Agriculture!AB5</f>
        <v>28743.9</v>
      </c>
      <c r="K9" s="517">
        <f>Agriculture!AC5</f>
        <v>33902</v>
      </c>
      <c r="L9" s="517">
        <f>Agriculture!AD5</f>
        <v>43365.7</v>
      </c>
      <c r="M9" s="517">
        <f>Agriculture!AE5</f>
        <v>50984.800000000003</v>
      </c>
    </row>
    <row r="10" spans="1:13" s="133" customFormat="1" ht="30">
      <c r="A10" s="514" t="s">
        <v>1070</v>
      </c>
      <c r="B10" s="517">
        <f>Agriculture!T6</f>
        <v>107.6</v>
      </c>
      <c r="C10" s="517">
        <f>Agriculture!U6</f>
        <v>104.5</v>
      </c>
      <c r="D10" s="517">
        <f>Agriculture!V6</f>
        <v>101.4</v>
      </c>
      <c r="E10" s="517">
        <f>Agriculture!W6</f>
        <v>105.1</v>
      </c>
      <c r="F10" s="517">
        <f>Agriculture!X6</f>
        <v>107.4</v>
      </c>
      <c r="G10" s="517">
        <f>Agriculture!Y6</f>
        <v>103.4</v>
      </c>
      <c r="H10" s="517">
        <f>Agriculture!Z6</f>
        <v>107.8</v>
      </c>
      <c r="I10" s="517">
        <f>Agriculture!AA6</f>
        <v>108.1</v>
      </c>
      <c r="J10" s="517">
        <f>Agriculture!AB6</f>
        <v>105.9</v>
      </c>
      <c r="K10" s="517">
        <f>Agriculture!AC6</f>
        <v>107.7</v>
      </c>
      <c r="L10" s="517">
        <f>Agriculture!AD6</f>
        <v>106.8</v>
      </c>
      <c r="M10" s="517">
        <f>Agriculture!AE6</f>
        <v>113.4</v>
      </c>
    </row>
    <row r="11" spans="1:13" s="133" customFormat="1">
      <c r="A11" s="514" t="s">
        <v>1072</v>
      </c>
      <c r="B11" s="517">
        <f>Agriculture!T8</f>
        <v>3958.6</v>
      </c>
      <c r="C11" s="517">
        <f>Agriculture!U8</f>
        <v>3958.6</v>
      </c>
      <c r="D11" s="517">
        <f>Agriculture!V8</f>
        <v>6954.1</v>
      </c>
      <c r="E11" s="517">
        <f>Agriculture!W8</f>
        <v>7841.0717311134686</v>
      </c>
      <c r="F11" s="517">
        <f>Agriculture!X8</f>
        <v>7598.2</v>
      </c>
      <c r="G11" s="517">
        <f>Agriculture!Y8</f>
        <v>8141.1</v>
      </c>
      <c r="H11" s="517">
        <f>Agriculture!Z8</f>
        <v>8470.7000000000007</v>
      </c>
      <c r="I11" s="517">
        <f>Agriculture!AA8</f>
        <v>10168.4</v>
      </c>
      <c r="J11" s="517">
        <f>Agriculture!AB8</f>
        <v>11025.5</v>
      </c>
      <c r="K11" s="517">
        <f>Agriculture!AC8</f>
        <v>15370.4</v>
      </c>
      <c r="L11" s="517">
        <f>Agriculture!AD8</f>
        <v>19662.7</v>
      </c>
      <c r="M11" s="517">
        <f>Agriculture!AE8</f>
        <v>22996.5</v>
      </c>
    </row>
    <row r="12" spans="1:13" s="133" customFormat="1" ht="30">
      <c r="A12" s="514" t="s">
        <v>1070</v>
      </c>
      <c r="B12" s="517">
        <f>Agriculture!T9</f>
        <v>107.5</v>
      </c>
      <c r="C12" s="517">
        <f>Agriculture!U9</f>
        <v>112.5</v>
      </c>
      <c r="D12" s="517">
        <f>Agriculture!V9</f>
        <v>107.2</v>
      </c>
      <c r="E12" s="517">
        <f>Agriculture!W9</f>
        <v>105.5</v>
      </c>
      <c r="F12" s="517">
        <f>Agriculture!X9</f>
        <v>105.6</v>
      </c>
      <c r="G12" s="517">
        <f>Agriculture!Y9</f>
        <v>105.3</v>
      </c>
      <c r="H12" s="517">
        <f>Agriculture!Z9</f>
        <v>105.7</v>
      </c>
      <c r="I12" s="517">
        <f>Agriculture!AA9</f>
        <v>110.7</v>
      </c>
      <c r="J12" s="517">
        <f>Agriculture!AB9</f>
        <v>108.4</v>
      </c>
      <c r="K12" s="517">
        <f>Agriculture!AC9</f>
        <v>108.7</v>
      </c>
      <c r="L12" s="517">
        <f>Agriculture!AD9</f>
        <v>114.1</v>
      </c>
      <c r="M12" s="517">
        <f>Agriculture!AE9</f>
        <v>104.9</v>
      </c>
    </row>
    <row r="13" spans="1:13" s="133" customFormat="1" ht="30">
      <c r="A13" s="514" t="s">
        <v>1073</v>
      </c>
      <c r="B13" s="515">
        <f>Industry!T4</f>
        <v>9952</v>
      </c>
      <c r="C13" s="515">
        <f>Industry!U4</f>
        <v>10534.656999999999</v>
      </c>
      <c r="D13" s="515">
        <f>Industry!V4</f>
        <v>12196</v>
      </c>
      <c r="E13" s="515">
        <f>Industry!W4</f>
        <v>15090</v>
      </c>
      <c r="F13" s="515">
        <f>Industry!X4</f>
        <v>20028.511999999999</v>
      </c>
      <c r="G13" s="515">
        <f>Industry!Y4</f>
        <v>23893.9</v>
      </c>
      <c r="H13" s="515">
        <f>Industry!Z4</f>
        <v>27613.3</v>
      </c>
      <c r="I13" s="515">
        <f>Industry!AA4</f>
        <v>30890</v>
      </c>
      <c r="J13" s="515">
        <f>Industry!AB4</f>
        <v>38829</v>
      </c>
      <c r="K13" s="515">
        <f>Industry!AC4</f>
        <v>42221.4</v>
      </c>
      <c r="L13" s="515">
        <f>Industry!AD4</f>
        <v>46816</v>
      </c>
      <c r="M13" s="515">
        <f>Industry!AE4</f>
        <v>53818.999999999993</v>
      </c>
    </row>
    <row r="14" spans="1:13" s="133" customFormat="1" ht="30">
      <c r="A14" s="514" t="s">
        <v>1070</v>
      </c>
      <c r="B14" s="515">
        <f>GDP!T34</f>
        <v>103.8</v>
      </c>
      <c r="C14" s="515">
        <f>GDP!U34</f>
        <v>105</v>
      </c>
      <c r="D14" s="515">
        <f>GDP!V34</f>
        <v>111.3</v>
      </c>
      <c r="E14" s="515">
        <f>GDP!W34</f>
        <v>116</v>
      </c>
      <c r="F14" s="515">
        <f>GDP!X34</f>
        <v>121.3</v>
      </c>
      <c r="G14" s="515">
        <f>GDP!Y34</f>
        <v>110.6</v>
      </c>
      <c r="H14" s="515">
        <f>GDP!Z34</f>
        <v>113.2</v>
      </c>
      <c r="I14" s="515">
        <f>GDP!AA34</f>
        <v>108.8</v>
      </c>
      <c r="J14" s="515">
        <f>GDP!AB34</f>
        <v>120.8</v>
      </c>
      <c r="K14" s="515">
        <f>GDP!AC34</f>
        <v>115.4</v>
      </c>
      <c r="L14" s="515">
        <f>GDP!AD34</f>
        <v>109.7</v>
      </c>
      <c r="M14" s="515">
        <f>GDP!AE34</f>
        <v>120</v>
      </c>
    </row>
    <row r="15" spans="1:13" s="133" customFormat="1">
      <c r="A15" s="514" t="s">
        <v>47</v>
      </c>
      <c r="B15" s="515" t="e">
        <f t="shared" ref="B15:H15" si="0">B13/A13/B14*10000</f>
        <v>#VALUE!</v>
      </c>
      <c r="C15" s="515">
        <f t="shared" si="0"/>
        <v>100.81397374062163</v>
      </c>
      <c r="D15" s="515">
        <f t="shared" si="0"/>
        <v>104.01640782381872</v>
      </c>
      <c r="E15" s="515">
        <f t="shared" si="0"/>
        <v>106.66300991845827</v>
      </c>
      <c r="F15" s="515">
        <f t="shared" si="0"/>
        <v>109.4204872441635</v>
      </c>
      <c r="G15" s="515">
        <f t="shared" si="0"/>
        <v>107.86566612770653</v>
      </c>
      <c r="H15" s="515">
        <f t="shared" si="0"/>
        <v>102.09038523767106</v>
      </c>
      <c r="I15" s="515">
        <f>I13/H13/I14*10000</f>
        <v>102.81836693784177</v>
      </c>
      <c r="J15" s="515">
        <f>J13/I13/J14*10000</f>
        <v>104.05701495801165</v>
      </c>
      <c r="K15" s="515">
        <f>K13/J13/K14*10000</f>
        <v>94.225969592578366</v>
      </c>
      <c r="L15" s="515">
        <f t="shared" ref="L15" si="1">L13/K13/L14*10000</f>
        <v>101.07762924717819</v>
      </c>
      <c r="M15" s="515">
        <f>M13/L13/M14*10000</f>
        <v>95.798800979722017</v>
      </c>
    </row>
    <row r="16" spans="1:13" s="133" customFormat="1" ht="30">
      <c r="A16" s="514" t="s">
        <v>7</v>
      </c>
      <c r="B16" s="515">
        <f>Industry!T5</f>
        <v>1117</v>
      </c>
      <c r="C16" s="515">
        <f>Industry!U5</f>
        <v>1402</v>
      </c>
      <c r="D16" s="515">
        <f>Industry!V5</f>
        <v>1641</v>
      </c>
      <c r="E16" s="515">
        <f>Industry!W5</f>
        <v>3004</v>
      </c>
      <c r="F16" s="515">
        <f>Industry!X5</f>
        <v>4523.5119999999997</v>
      </c>
      <c r="G16" s="515">
        <f>Industry!Y5</f>
        <v>4685.8999999999996</v>
      </c>
      <c r="H16" s="515">
        <f>Industry!Z5</f>
        <v>4853.3</v>
      </c>
      <c r="I16" s="515">
        <f>Industry!AA5</f>
        <v>4309</v>
      </c>
      <c r="J16" s="515">
        <f>Industry!AB5</f>
        <v>8409</v>
      </c>
      <c r="K16" s="515">
        <f>Industry!AC5</f>
        <v>8890.9</v>
      </c>
      <c r="L16" s="515">
        <f>Industry!AD5</f>
        <v>9373</v>
      </c>
      <c r="M16" s="515">
        <f>Industry!AE5</f>
        <v>13363.1</v>
      </c>
    </row>
    <row r="17" spans="1:13" s="133" customFormat="1" ht="30">
      <c r="A17" s="514" t="s">
        <v>1070</v>
      </c>
      <c r="B17" s="515">
        <f>Industry!T19</f>
        <v>143.1</v>
      </c>
      <c r="C17" s="515">
        <f>Industry!U19</f>
        <v>124.5</v>
      </c>
      <c r="D17" s="515">
        <f>Industry!V19</f>
        <v>117.9</v>
      </c>
      <c r="E17" s="515">
        <f>Industry!W19</f>
        <v>153.30000000000001</v>
      </c>
      <c r="F17" s="515">
        <f>Industry!X19</f>
        <v>121.7</v>
      </c>
      <c r="G17" s="515">
        <f>Industry!Y19</f>
        <v>112</v>
      </c>
      <c r="H17" s="515">
        <f>Industry!Z19</f>
        <v>112.6</v>
      </c>
      <c r="I17" s="515">
        <f>Industry!AA19</f>
        <v>97.4</v>
      </c>
      <c r="J17" s="515">
        <f>Industry!AB19</f>
        <v>155.19999999999999</v>
      </c>
      <c r="K17" s="515">
        <f>Industry!AC19</f>
        <v>97.7</v>
      </c>
      <c r="L17" s="515">
        <f>Industry!AD19</f>
        <v>111.7</v>
      </c>
      <c r="M17" s="515">
        <f>Industry!AE19</f>
        <v>143</v>
      </c>
    </row>
    <row r="18" spans="1:13" s="133" customFormat="1" ht="30">
      <c r="A18" s="514" t="s">
        <v>13</v>
      </c>
      <c r="B18" s="515">
        <f>Industry!T8</f>
        <v>6916</v>
      </c>
      <c r="C18" s="515">
        <f>Industry!U8</f>
        <v>6959</v>
      </c>
      <c r="D18" s="515">
        <f>Industry!V8</f>
        <v>8006</v>
      </c>
      <c r="E18" s="515">
        <f>Industry!W8</f>
        <v>9368</v>
      </c>
      <c r="F18" s="515">
        <f>Industry!X8</f>
        <v>11776</v>
      </c>
      <c r="G18" s="515">
        <f>Industry!Y8</f>
        <v>13520</v>
      </c>
      <c r="H18" s="515">
        <f>Industry!Z8</f>
        <v>15952</v>
      </c>
      <c r="I18" s="515">
        <f>Industry!AA8</f>
        <v>19054</v>
      </c>
      <c r="J18" s="515">
        <f>Industry!AB8</f>
        <v>22313</v>
      </c>
      <c r="K18" s="515">
        <f>Industry!AC8</f>
        <v>25708.7</v>
      </c>
      <c r="L18" s="515">
        <f>Industry!AD8</f>
        <v>28459.8</v>
      </c>
      <c r="M18" s="515">
        <f>Industry!AE8</f>
        <v>30275.599999999999</v>
      </c>
    </row>
    <row r="19" spans="1:13" s="133" customFormat="1" ht="30">
      <c r="A19" s="514" t="s">
        <v>1070</v>
      </c>
      <c r="B19" s="515">
        <f>Industry!T22</f>
        <v>99</v>
      </c>
      <c r="C19" s="515">
        <f>Industry!U22</f>
        <v>100.9</v>
      </c>
      <c r="D19" s="515">
        <f>Industry!V22</f>
        <v>110.1</v>
      </c>
      <c r="E19" s="515">
        <f>Industry!W22</f>
        <v>112.5</v>
      </c>
      <c r="F19" s="515">
        <f>Industry!X22</f>
        <v>122.9</v>
      </c>
      <c r="G19" s="515">
        <f>Industry!Y22</f>
        <v>112.1</v>
      </c>
      <c r="H19" s="515">
        <f>Industry!Z22</f>
        <v>115.3</v>
      </c>
      <c r="I19" s="515">
        <f>Industry!AA22</f>
        <v>114.1</v>
      </c>
      <c r="J19" s="515">
        <f>Industry!AB22</f>
        <v>115.3</v>
      </c>
      <c r="K19" s="515">
        <f>Industry!AC22</f>
        <v>116.4</v>
      </c>
      <c r="L19" s="515">
        <f>Industry!AD22</f>
        <v>112.4</v>
      </c>
      <c r="M19" s="515">
        <f>Industry!AE22</f>
        <v>107.6</v>
      </c>
    </row>
    <row r="20" spans="1:13" s="133" customFormat="1" ht="60">
      <c r="A20" s="514" t="s">
        <v>27</v>
      </c>
      <c r="B20" s="515">
        <f>Industry!T15</f>
        <v>1919</v>
      </c>
      <c r="C20" s="515">
        <f>Industry!U15</f>
        <v>2173.6570000000002</v>
      </c>
      <c r="D20" s="515">
        <f>Industry!V15</f>
        <v>2549</v>
      </c>
      <c r="E20" s="515">
        <f>Industry!W15</f>
        <v>2718</v>
      </c>
      <c r="F20" s="515">
        <f>Industry!X15</f>
        <v>3729</v>
      </c>
      <c r="G20" s="515">
        <f>Industry!Y15</f>
        <v>5688</v>
      </c>
      <c r="H20" s="515">
        <f>Industry!Z15</f>
        <v>6808</v>
      </c>
      <c r="I20" s="515">
        <f>Industry!AA15</f>
        <v>7527</v>
      </c>
      <c r="J20" s="515">
        <f>Industry!AB15</f>
        <v>8107</v>
      </c>
      <c r="K20" s="515">
        <f>Industry!AC15</f>
        <v>7621.8</v>
      </c>
      <c r="L20" s="515">
        <f>Industry!AD15+Industry!AD17</f>
        <v>9212</v>
      </c>
      <c r="M20" s="515">
        <f>Industry!AE15+Industry!AE17</f>
        <v>10180.300000000001</v>
      </c>
    </row>
    <row r="21" spans="1:13" s="133" customFormat="1" ht="30">
      <c r="A21" s="514" t="s">
        <v>1070</v>
      </c>
      <c r="B21" s="515">
        <f>Industry!T29</f>
        <v>105.6</v>
      </c>
      <c r="C21" s="515">
        <f>Industry!U29</f>
        <v>106.8</v>
      </c>
      <c r="D21" s="515">
        <f>Industry!V29</f>
        <v>111.5</v>
      </c>
      <c r="E21" s="515">
        <f>Industry!W29</f>
        <v>103.7</v>
      </c>
      <c r="F21" s="515">
        <f>Industry!X29</f>
        <v>116.5</v>
      </c>
      <c r="G21" s="515">
        <f>Industry!Y29</f>
        <v>107.5</v>
      </c>
      <c r="H21" s="515">
        <f>Industry!Z29</f>
        <v>105.6</v>
      </c>
      <c r="I21" s="515">
        <f>Industry!AA29</f>
        <v>100.1</v>
      </c>
      <c r="J21" s="515">
        <f>Industry!AB29</f>
        <v>112.7</v>
      </c>
      <c r="K21" s="515">
        <f>Industry!AC29</f>
        <v>117.5</v>
      </c>
      <c r="L21" s="515">
        <f>Industry!AD29</f>
        <v>107.1</v>
      </c>
      <c r="M21" s="515">
        <f>Industry!AE29</f>
        <v>105.7</v>
      </c>
    </row>
    <row r="22" spans="1:13" s="133" customFormat="1" ht="30">
      <c r="A22" s="514" t="s">
        <v>1074</v>
      </c>
      <c r="B22" s="515">
        <f>OEA!T22</f>
        <v>5796.7999999999993</v>
      </c>
      <c r="C22" s="515">
        <f>OEA!U22</f>
        <v>7495.2</v>
      </c>
      <c r="D22" s="515">
        <f>OEA!V22</f>
        <v>9749.9</v>
      </c>
      <c r="E22" s="515">
        <f>OEA!W22</f>
        <v>11509.2</v>
      </c>
      <c r="F22" s="515">
        <f>OEA!X22</f>
        <v>11806.3</v>
      </c>
      <c r="G22" s="515">
        <f>OEA!Y22</f>
        <v>13361</v>
      </c>
      <c r="H22" s="515">
        <f>OEA!Z22</f>
        <v>12517.8</v>
      </c>
      <c r="I22" s="515">
        <f>OEA!AA22</f>
        <v>11616.9</v>
      </c>
      <c r="J22" s="515">
        <f>OEA!AB22</f>
        <v>14757.2</v>
      </c>
      <c r="K22" s="515">
        <f>OEA!AC22</f>
        <v>16279.5</v>
      </c>
      <c r="L22" s="515">
        <f>OEA!AD22</f>
        <v>19859</v>
      </c>
      <c r="M22" s="515">
        <f>OEA!AE22</f>
        <v>22543</v>
      </c>
    </row>
    <row r="23" spans="1:13" s="133" customFormat="1" ht="30">
      <c r="A23" s="514" t="s">
        <v>1070</v>
      </c>
      <c r="B23" s="515">
        <f>GDP!T35</f>
        <v>117.2</v>
      </c>
      <c r="C23" s="515">
        <f>GDP!U35</f>
        <v>125.3</v>
      </c>
      <c r="D23" s="515">
        <f>GDP!V35</f>
        <v>121.2</v>
      </c>
      <c r="E23" s="515">
        <f>GDP!W35</f>
        <v>120.3</v>
      </c>
      <c r="F23" s="515">
        <f>GDP!X35</f>
        <v>104.1</v>
      </c>
      <c r="G23" s="515">
        <f>GDP!Y35</f>
        <v>110.2</v>
      </c>
      <c r="H23" s="515">
        <f>GDP!Z35</f>
        <v>104.6</v>
      </c>
      <c r="I23" s="515">
        <f>GDP!AA35</f>
        <v>104</v>
      </c>
      <c r="J23" s="515">
        <f>GDP!AB35</f>
        <v>132.1</v>
      </c>
      <c r="K23" s="515">
        <f>GDP!AC35</f>
        <v>111.4</v>
      </c>
      <c r="L23" s="515">
        <f>GDP!AD35</f>
        <v>112.3</v>
      </c>
      <c r="M23" s="515">
        <f>GDP!AE35</f>
        <v>79.690833078037485</v>
      </c>
    </row>
    <row r="24" spans="1:13" s="133" customFormat="1" ht="30">
      <c r="A24" s="514" t="s">
        <v>1075</v>
      </c>
      <c r="B24" s="515">
        <f>Household!T3</f>
        <v>11586.3</v>
      </c>
      <c r="C24" s="515">
        <f>Household!U3</f>
        <v>13122.1</v>
      </c>
      <c r="D24" s="515">
        <f>Household!V3</f>
        <v>14696.7</v>
      </c>
      <c r="E24" s="515">
        <f>Household!W3</f>
        <v>16573.400000000001</v>
      </c>
      <c r="F24" s="515">
        <f>Household!X3</f>
        <v>18959.599999999999</v>
      </c>
      <c r="G24" s="515">
        <f>Household!Y3</f>
        <v>20989</v>
      </c>
      <c r="H24" s="515">
        <f>Household!Z3</f>
        <v>25456.799999999999</v>
      </c>
      <c r="I24" s="515">
        <f>Household!AA3</f>
        <v>27599.7</v>
      </c>
      <c r="J24" s="515">
        <f>Household!AB3</f>
        <v>33797.9</v>
      </c>
      <c r="K24" s="515">
        <f>Household!AC3</f>
        <v>47563.399999999994</v>
      </c>
      <c r="L24" s="515">
        <f>Household!AD3</f>
        <v>56124.4</v>
      </c>
      <c r="M24" s="515">
        <f>Household!AE3</f>
        <v>65783.8</v>
      </c>
    </row>
    <row r="25" spans="1:13" s="133" customFormat="1" ht="30">
      <c r="A25" s="514" t="s">
        <v>1070</v>
      </c>
      <c r="B25" s="515">
        <f>Household!T4</f>
        <v>0</v>
      </c>
      <c r="C25" s="515">
        <f>Household!U4</f>
        <v>0</v>
      </c>
      <c r="D25" s="515">
        <f>Household!V4</f>
        <v>0</v>
      </c>
      <c r="E25" s="515">
        <f>Household!W4</f>
        <v>0</v>
      </c>
      <c r="F25" s="515">
        <f>Household!X4</f>
        <v>0</v>
      </c>
      <c r="G25" s="515">
        <f>Household!Y4</f>
        <v>115.4</v>
      </c>
      <c r="H25" s="515">
        <f>Household!Z4</f>
        <v>109</v>
      </c>
      <c r="I25" s="515">
        <f>Household!AA4</f>
        <v>93.2</v>
      </c>
      <c r="J25" s="515">
        <f>Household!AB4</f>
        <v>113</v>
      </c>
      <c r="K25" s="515">
        <f>Household!AC4</f>
        <v>111.2</v>
      </c>
      <c r="L25" s="515">
        <f>Household!AD4</f>
        <v>113.4</v>
      </c>
      <c r="M25" s="515">
        <f>Household!AE4</f>
        <v>113.6</v>
      </c>
    </row>
    <row r="26" spans="1:13" s="133" customFormat="1" ht="30">
      <c r="A26" s="518" t="s">
        <v>364</v>
      </c>
      <c r="B26" s="515">
        <f>Household!T15</f>
        <v>11566.3</v>
      </c>
      <c r="C26" s="515">
        <f>Household!U15</f>
        <v>12757.6</v>
      </c>
      <c r="D26" s="515">
        <f>Household!V15</f>
        <v>11782.9</v>
      </c>
      <c r="E26" s="515">
        <f>Household!W15</f>
        <v>11729</v>
      </c>
      <c r="F26" s="515">
        <f>Household!X15</f>
        <v>11998.8</v>
      </c>
      <c r="G26" s="515">
        <f>Household!Y15</f>
        <v>12130.8</v>
      </c>
      <c r="H26" s="515">
        <f>Household!Z15</f>
        <v>12983.6</v>
      </c>
      <c r="I26" s="515">
        <f>Household!AA15</f>
        <v>13110.4</v>
      </c>
      <c r="J26" s="515">
        <f>Household!AB15</f>
        <v>15111.8</v>
      </c>
      <c r="K26" s="515">
        <f>Household!AC15</f>
        <v>18696.8</v>
      </c>
      <c r="L26" s="515">
        <f>Household!AD15</f>
        <v>21760.3</v>
      </c>
      <c r="M26" s="515">
        <f>Household!AE15</f>
        <v>25722.9</v>
      </c>
    </row>
    <row r="27" spans="1:13" s="133" customFormat="1" ht="30">
      <c r="A27" s="518" t="s">
        <v>1070</v>
      </c>
      <c r="B27" s="515">
        <f>Household!T16</f>
        <v>0</v>
      </c>
      <c r="C27" s="515">
        <f>Household!U16</f>
        <v>106.08200283030205</v>
      </c>
      <c r="D27" s="515">
        <f>Household!V16</f>
        <v>89.100849388148731</v>
      </c>
      <c r="E27" s="515">
        <f>Household!W16</f>
        <v>94.919662453915919</v>
      </c>
      <c r="F27" s="515">
        <f>Household!X16</f>
        <v>96.005736770956531</v>
      </c>
      <c r="G27" s="515">
        <f>Household!Y16</f>
        <v>92.613961396139615</v>
      </c>
      <c r="H27" s="515">
        <f>Household!Z16</f>
        <v>102.9</v>
      </c>
      <c r="I27" s="515">
        <f>Household!AA16</f>
        <v>97.4</v>
      </c>
      <c r="J27" s="515">
        <f>Household!AB16</f>
        <v>107.9</v>
      </c>
      <c r="K27" s="515">
        <f>Household!AC16</f>
        <v>116</v>
      </c>
      <c r="L27" s="515">
        <f>Household!AD16</f>
        <v>114.1</v>
      </c>
      <c r="M27" s="515">
        <f>Household!AE16</f>
        <v>113</v>
      </c>
    </row>
    <row r="28" spans="1:13" s="133" customFormat="1">
      <c r="A28" s="514" t="s">
        <v>1076</v>
      </c>
      <c r="B28" s="515">
        <f>Monetary!T15</f>
        <v>103.7</v>
      </c>
      <c r="C28" s="515">
        <f>Monetary!U15</f>
        <v>107.4</v>
      </c>
      <c r="D28" s="515">
        <f>Monetary!V15</f>
        <v>105.1</v>
      </c>
      <c r="E28" s="515">
        <f>Monetary!W15</f>
        <v>106.1</v>
      </c>
      <c r="F28" s="515">
        <f>Monetary!X15</f>
        <v>106.7411</v>
      </c>
      <c r="G28" s="515">
        <f>Monetary!Y15</f>
        <v>105.37888685927308</v>
      </c>
      <c r="H28" s="515">
        <f>Monetary!Z15</f>
        <v>108</v>
      </c>
      <c r="I28" s="515">
        <f>Monetary!AA15</f>
        <v>109.4</v>
      </c>
      <c r="J28" s="515">
        <f>Monetary!AB15</f>
        <v>108</v>
      </c>
      <c r="K28" s="515">
        <f>Monetary!AC15</f>
        <v>104.2</v>
      </c>
      <c r="L28" s="515">
        <f>Monetary!AD15</f>
        <v>103.8</v>
      </c>
      <c r="M28" s="515">
        <f>Monetary!AE15</f>
        <v>103.6</v>
      </c>
    </row>
    <row r="29" spans="1:13" s="133" customFormat="1">
      <c r="A29" s="519" t="s">
        <v>1077</v>
      </c>
      <c r="B29" s="520">
        <f t="shared" ref="B29:H29" si="2">B31+B33</f>
        <v>4988.8</v>
      </c>
      <c r="C29" s="520">
        <f t="shared" si="2"/>
        <v>5274.7</v>
      </c>
      <c r="D29" s="520">
        <f t="shared" si="2"/>
        <v>4326.2</v>
      </c>
      <c r="E29" s="520">
        <f t="shared" si="2"/>
        <v>3929.8999999999996</v>
      </c>
      <c r="F29" s="520">
        <f t="shared" si="2"/>
        <v>3972.9</v>
      </c>
      <c r="G29" s="520">
        <f t="shared" si="2"/>
        <v>4224.3</v>
      </c>
      <c r="H29" s="520">
        <f t="shared" si="2"/>
        <v>4523.7000000000007</v>
      </c>
      <c r="I29" s="520">
        <f>I31+I33</f>
        <v>4556.8999999999996</v>
      </c>
      <c r="J29" s="520">
        <f t="shared" ref="J29:M29" si="3">J31+J33</f>
        <v>6359.1</v>
      </c>
      <c r="K29" s="520">
        <f t="shared" si="3"/>
        <v>7309.5</v>
      </c>
      <c r="L29" s="520">
        <f t="shared" si="3"/>
        <v>8328.9000000000015</v>
      </c>
      <c r="M29" s="520">
        <f t="shared" si="3"/>
        <v>8955</v>
      </c>
    </row>
    <row r="30" spans="1:13" s="133" customFormat="1" ht="30">
      <c r="A30" s="519" t="s">
        <v>1070</v>
      </c>
      <c r="B30" s="515">
        <f>Trade!T91</f>
        <v>0</v>
      </c>
      <c r="C30" s="515">
        <f>Trade!U91</f>
        <v>0</v>
      </c>
      <c r="D30" s="515">
        <f>Trade!V91</f>
        <v>0</v>
      </c>
      <c r="E30" s="515">
        <f>Trade!W91</f>
        <v>90.839535851324484</v>
      </c>
      <c r="F30" s="515">
        <f>Trade!X91</f>
        <v>101.09417542431108</v>
      </c>
      <c r="G30" s="515">
        <f>Trade!Y91</f>
        <v>106.32787132824888</v>
      </c>
      <c r="H30" s="515">
        <f>Trade!Z91</f>
        <v>107.08756480363613</v>
      </c>
      <c r="I30" s="515">
        <f>Trade!AA91</f>
        <v>100.7339125052501</v>
      </c>
      <c r="J30" s="515">
        <f>Trade!AB91</f>
        <v>139.54881608110779</v>
      </c>
      <c r="K30" s="515">
        <f t="shared" ref="K30" si="4">K29/J29*100</f>
        <v>114.94551115723924</v>
      </c>
      <c r="L30" s="515">
        <f t="shared" ref="L30" si="5">L29/K29*100</f>
        <v>113.94623435255491</v>
      </c>
      <c r="M30" s="515">
        <f t="shared" ref="M30" si="6">M29/L29*100</f>
        <v>107.51719914994776</v>
      </c>
    </row>
    <row r="31" spans="1:13" ht="30">
      <c r="A31" s="514" t="s">
        <v>1078</v>
      </c>
      <c r="B31" s="515">
        <f>Trade!T5</f>
        <v>943.4</v>
      </c>
      <c r="C31" s="515">
        <f>Trade!U5</f>
        <v>977.3</v>
      </c>
      <c r="D31" s="515">
        <f>Trade!V5</f>
        <v>890.6</v>
      </c>
      <c r="E31" s="515">
        <f>Trade!W5</f>
        <v>898.7</v>
      </c>
      <c r="F31" s="515">
        <f>Trade!X5</f>
        <v>1198</v>
      </c>
      <c r="G31" s="515">
        <f>Trade!Y5</f>
        <v>1073.3</v>
      </c>
      <c r="H31" s="515">
        <f>Trade!Z5</f>
        <v>1174.4000000000001</v>
      </c>
      <c r="I31" s="515">
        <f>Trade!AA5</f>
        <v>1406.9</v>
      </c>
      <c r="J31" s="515">
        <f>Trade!AB5</f>
        <v>2149.6</v>
      </c>
      <c r="K31" s="515">
        <f>Trade!AC5</f>
        <v>2142</v>
      </c>
      <c r="L31" s="515">
        <f>Trade!AD5</f>
        <v>2448.8000000000002</v>
      </c>
      <c r="M31" s="515">
        <f>Trade!AE5</f>
        <v>1947.4</v>
      </c>
    </row>
    <row r="32" spans="1:13" ht="30">
      <c r="A32" s="514" t="s">
        <v>1070</v>
      </c>
      <c r="B32" s="515">
        <f>Trade!T12</f>
        <v>0</v>
      </c>
      <c r="C32" s="515">
        <f>Trade!U12</f>
        <v>0</v>
      </c>
      <c r="D32" s="515">
        <f>Trade!V12</f>
        <v>91.128619666427923</v>
      </c>
      <c r="E32" s="515">
        <f>Trade!W12</f>
        <v>100.90949921401302</v>
      </c>
      <c r="F32" s="515">
        <f>Trade!X12</f>
        <v>133.30366084344053</v>
      </c>
      <c r="G32" s="515">
        <f>Trade!Y12</f>
        <v>89.590984974958261</v>
      </c>
      <c r="H32" s="515">
        <f>Trade!Z12</f>
        <v>109.41954719090657</v>
      </c>
      <c r="I32" s="515">
        <f>Trade!AA12</f>
        <v>119.79734332425068</v>
      </c>
      <c r="J32" s="515">
        <f>Trade!AB12</f>
        <v>152.78982159357452</v>
      </c>
      <c r="K32" s="515">
        <f t="shared" ref="K32" si="7">K31/J31*100</f>
        <v>99.646445850390776</v>
      </c>
      <c r="L32" s="515">
        <f t="shared" ref="L32" si="8">L31/K31*100</f>
        <v>114.3230625583567</v>
      </c>
      <c r="M32" s="515">
        <f t="shared" ref="M32" si="9">M31/L31*100</f>
        <v>79.524665142110422</v>
      </c>
    </row>
    <row r="33" spans="1:13" ht="30">
      <c r="A33" s="514" t="s">
        <v>1079</v>
      </c>
      <c r="B33" s="515">
        <f>Trade!T43</f>
        <v>4045.4</v>
      </c>
      <c r="C33" s="515">
        <f>Trade!U43</f>
        <v>4297.3999999999996</v>
      </c>
      <c r="D33" s="515">
        <f>Trade!V43</f>
        <v>3435.6</v>
      </c>
      <c r="E33" s="515">
        <f>Trade!W43</f>
        <v>3031.2</v>
      </c>
      <c r="F33" s="515">
        <f>Trade!X43</f>
        <v>2774.9</v>
      </c>
      <c r="G33" s="515">
        <f>Trade!Y43</f>
        <v>3151</v>
      </c>
      <c r="H33" s="515">
        <f>Trade!Z43</f>
        <v>3349.3</v>
      </c>
      <c r="I33" s="515">
        <f>Trade!AA43</f>
        <v>3150</v>
      </c>
      <c r="J33" s="515">
        <f>Trade!AB43</f>
        <v>4209.5</v>
      </c>
      <c r="K33" s="515">
        <f>Trade!AC43</f>
        <v>5167.5</v>
      </c>
      <c r="L33" s="515">
        <f>Trade!AD43</f>
        <v>5880.1</v>
      </c>
      <c r="M33" s="515">
        <f>Trade!AE43</f>
        <v>7007.6</v>
      </c>
    </row>
    <row r="34" spans="1:13" ht="30">
      <c r="A34" s="514" t="s">
        <v>1070</v>
      </c>
      <c r="B34" s="515"/>
      <c r="C34" s="515">
        <f>C33/B33*100</f>
        <v>106.2292974736738</v>
      </c>
      <c r="D34" s="515">
        <f>D33/C33*100</f>
        <v>79.94601386885094</v>
      </c>
      <c r="E34" s="515">
        <f>E33/D33*100</f>
        <v>88.229130282920011</v>
      </c>
      <c r="F34" s="515">
        <f>F33/E33*100</f>
        <v>91.544602797571926</v>
      </c>
      <c r="G34" s="515">
        <f>G33/F33*100</f>
        <v>113.55364157266928</v>
      </c>
      <c r="H34" s="515">
        <f>Trade!Z93</f>
        <v>106.29324024119329</v>
      </c>
      <c r="I34" s="515">
        <f>Trade!AA93</f>
        <v>94.049502881199061</v>
      </c>
      <c r="J34" s="515">
        <f>Trade!AB93</f>
        <v>133.63492063492063</v>
      </c>
      <c r="K34" s="515">
        <f t="shared" ref="K34" si="10">K33/J33*100</f>
        <v>122.75804727402304</v>
      </c>
      <c r="L34" s="515">
        <f t="shared" ref="L34" si="11">L33/K33*100</f>
        <v>113.79003386550556</v>
      </c>
      <c r="M34" s="515">
        <f t="shared" ref="M34" si="12">M33/L33*100</f>
        <v>119.17484396523868</v>
      </c>
    </row>
    <row r="35" spans="1:13" hidden="1">
      <c r="A35" s="514" t="s">
        <v>1080</v>
      </c>
      <c r="B35" s="515"/>
      <c r="C35" s="515">
        <v>5.16</v>
      </c>
      <c r="D35" s="515">
        <v>6.16</v>
      </c>
      <c r="E35" s="515">
        <v>7.84</v>
      </c>
      <c r="F35" s="521"/>
      <c r="G35" s="515"/>
      <c r="H35" s="516"/>
      <c r="I35" s="521"/>
      <c r="J35" s="515"/>
      <c r="K35" s="93"/>
    </row>
    <row r="36" spans="1:13" hidden="1">
      <c r="A36" s="514" t="s">
        <v>1081</v>
      </c>
      <c r="B36" s="515"/>
      <c r="C36" s="515">
        <f>[2]Assumptions!AB6</f>
        <v>97.387119094673437</v>
      </c>
      <c r="D36" s="515">
        <f>[2]Assumptions!AC6</f>
        <v>50.793041982976774</v>
      </c>
      <c r="E36" s="515">
        <f>[2]Assumptions!AD6</f>
        <v>42.7</v>
      </c>
      <c r="F36" s="521">
        <f>[2]Assumptions!AE6</f>
        <v>54.4</v>
      </c>
      <c r="G36" s="515">
        <f>[2]Assumptions!AF6</f>
        <v>71.069999999999993</v>
      </c>
      <c r="H36" s="516">
        <f>[2]Assumptions!AG6</f>
        <v>64.03</v>
      </c>
      <c r="I36" s="521">
        <f>[2]Assumptions!AH6</f>
        <v>42.8</v>
      </c>
      <c r="J36" s="515">
        <f>[2]Assumptions!AI6</f>
        <v>71</v>
      </c>
      <c r="K36" s="93"/>
    </row>
    <row r="37" spans="1:13" hidden="1">
      <c r="A37" s="514" t="s">
        <v>1082</v>
      </c>
      <c r="B37" s="515"/>
      <c r="C37" s="515">
        <f>[2]Assumptions!AB19</f>
        <v>44.45</v>
      </c>
      <c r="D37" s="515">
        <f>[2]Assumptions!AC19</f>
        <v>61</v>
      </c>
      <c r="E37" s="515">
        <f>[2]Assumptions!AD19</f>
        <v>67.03</v>
      </c>
      <c r="F37" s="521">
        <f>[2]Assumptions!AE19</f>
        <v>61</v>
      </c>
      <c r="G37" s="515">
        <f>[2]Assumptions!AF19</f>
        <v>63</v>
      </c>
      <c r="H37" s="516">
        <f>[2]Assumptions!AG19</f>
        <v>65.400000000000006</v>
      </c>
      <c r="I37" s="521">
        <f>[2]Assumptions!AH19</f>
        <v>71.900000000000006</v>
      </c>
      <c r="J37" s="515">
        <f>[2]Assumptions!AI19</f>
        <v>73.599999999999994</v>
      </c>
      <c r="K37" s="93"/>
    </row>
    <row r="38" spans="1:13" ht="30" hidden="1">
      <c r="A38" s="522" t="s">
        <v>1083</v>
      </c>
      <c r="B38" s="523">
        <f>[2]BoP!AZ43</f>
        <v>0</v>
      </c>
      <c r="C38" s="523">
        <f>[2]BoP!BA43</f>
        <v>3900</v>
      </c>
      <c r="D38" s="523">
        <f>[2]BoP!BB43</f>
        <v>2629.2</v>
      </c>
      <c r="E38" s="524">
        <f>[2]BoP!BC43</f>
        <v>2185.6999999999998</v>
      </c>
      <c r="F38" s="524">
        <f>[2]BoP!BD43</f>
        <v>2632</v>
      </c>
      <c r="G38" s="525">
        <f>[2]BoP!BE43</f>
        <v>2568.6</v>
      </c>
      <c r="H38" s="526">
        <f>[2]BoP!BF43</f>
        <v>2731.6</v>
      </c>
      <c r="I38" s="524">
        <f>[2]BoP!BG43</f>
        <v>2559.8000000000002</v>
      </c>
    </row>
    <row r="39" spans="1:13" hidden="1">
      <c r="A39" s="522" t="s">
        <v>1084</v>
      </c>
      <c r="B39" s="525" t="e">
        <f>B38/#REF!*100</f>
        <v>#REF!</v>
      </c>
      <c r="C39" s="525" t="e">
        <f t="shared" ref="C39:E39" si="13">C38/B38*100</f>
        <v>#DIV/0!</v>
      </c>
      <c r="D39" s="525">
        <f>D38/C38*100</f>
        <v>67.41538461538461</v>
      </c>
      <c r="E39" s="524">
        <f t="shared" si="13"/>
        <v>83.131751102997114</v>
      </c>
      <c r="F39" s="524">
        <f>F38/E38*100</f>
        <v>120.41908770645561</v>
      </c>
      <c r="G39" s="525">
        <f>G38/F38*100</f>
        <v>97.591185410334347</v>
      </c>
      <c r="H39" s="526">
        <f>H38/G38*100</f>
        <v>106.34586934516857</v>
      </c>
      <c r="I39" s="524">
        <f>I38/H38*100</f>
        <v>93.710645775369755</v>
      </c>
    </row>
    <row r="40" spans="1:13" hidden="1">
      <c r="A40" s="522"/>
      <c r="B40" s="525"/>
      <c r="C40" s="525"/>
      <c r="D40" s="525"/>
      <c r="E40" s="524"/>
      <c r="F40" s="524"/>
      <c r="G40" s="525"/>
      <c r="H40" s="526"/>
      <c r="I40" s="524"/>
    </row>
    <row r="41" spans="1:13" hidden="1">
      <c r="A41" s="527"/>
      <c r="B41" s="93"/>
      <c r="C41" s="93"/>
      <c r="D41" s="93"/>
      <c r="E41" s="528">
        <f>E31-E33</f>
        <v>-2132.5</v>
      </c>
      <c r="F41" s="114">
        <f>F31-F33</f>
        <v>-1576.9</v>
      </c>
      <c r="G41" s="93">
        <f>G31-G33</f>
        <v>-2077.6999999999998</v>
      </c>
      <c r="H41" s="528">
        <f>H31-H33</f>
        <v>-2174.9</v>
      </c>
      <c r="I41" s="114">
        <f>I31-I33</f>
        <v>-1743.1</v>
      </c>
    </row>
    <row r="42" spans="1:13" hidden="1">
      <c r="A42" s="527" t="s">
        <v>1085</v>
      </c>
      <c r="B42" s="529">
        <f>B38/(B3/[2]Assumptions!AA12)</f>
        <v>0</v>
      </c>
      <c r="C42" s="529">
        <f>C38/(C3/[2]Assumptions!AB12)</f>
        <v>0.42200273644604069</v>
      </c>
      <c r="D42" s="529">
        <f>D38/(D3/[2]Assumptions!AC12)</f>
        <v>0.31793899649648671</v>
      </c>
      <c r="E42" s="530">
        <f>E38/(E3/[2]Assumptions!AD12)</f>
        <v>0.31257852065055314</v>
      </c>
      <c r="F42" s="531">
        <f>F38/(F3/[2]Assumptions!AE12)</f>
        <v>0.34923651533422412</v>
      </c>
      <c r="G42" s="529">
        <f>G38/(G3/[2]Assumptions!AF12)</f>
        <v>0.33079140097271009</v>
      </c>
    </row>
    <row r="43" spans="1:13" hidden="1">
      <c r="A43" s="527" t="s">
        <v>546</v>
      </c>
      <c r="B43" s="533">
        <f>[2]GDP!AA6</f>
        <v>1053.5032114520802</v>
      </c>
      <c r="C43" s="533">
        <f>[2]GDP!AB6</f>
        <v>1119.3134612656791</v>
      </c>
      <c r="D43" s="533">
        <f>[2]GDP!AC6</f>
        <v>978.45729580663465</v>
      </c>
      <c r="E43" s="533">
        <f>[2]GDP!AD6</f>
        <v>808.65536780846389</v>
      </c>
      <c r="F43" s="534">
        <f>[2]GDP!AE6</f>
        <v>852.82524533024548</v>
      </c>
      <c r="G43" s="533">
        <f>[2]GDP!AF6</f>
        <v>860.01835824809871</v>
      </c>
    </row>
    <row r="44" spans="1:13" ht="15.75">
      <c r="B44" s="535"/>
      <c r="F44"/>
    </row>
    <row r="45" spans="1:13" ht="15.75">
      <c r="B45" s="535"/>
      <c r="F45"/>
    </row>
    <row r="46" spans="1:13" ht="15.75">
      <c r="B46" s="535"/>
      <c r="F46"/>
    </row>
    <row r="47" spans="1:13" ht="15.75">
      <c r="B47" s="535"/>
      <c r="F47"/>
    </row>
    <row r="48" spans="1:13" ht="15.75">
      <c r="B48" s="535"/>
    </row>
    <row r="50" spans="12:12">
      <c r="L50" t="s">
        <v>358</v>
      </c>
    </row>
  </sheetData>
  <mergeCells count="1">
    <mergeCell ref="A1:J1"/>
  </mergeCells>
  <pageMargins left="0.70866141732283472" right="0.70866141732283472" top="0.74803149606299213" bottom="0.74803149606299213" header="0.31496062992125984" footer="0.31496062992125984"/>
  <pageSetup paperSize="9" scale="75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GDP</vt:lpstr>
      <vt:lpstr>Agriculture</vt:lpstr>
      <vt:lpstr>Industry</vt:lpstr>
      <vt:lpstr>OEA</vt:lpstr>
      <vt:lpstr>Household</vt:lpstr>
      <vt:lpstr>Assumptions</vt:lpstr>
      <vt:lpstr>Trade</vt:lpstr>
      <vt:lpstr>Monetary</vt:lpstr>
      <vt:lpstr>BoP</vt:lpstr>
      <vt:lpstr>Revenue Model</vt:lpstr>
      <vt:lpstr>gateway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Jaolov Muhammad</dc:creator>
  <cp:lastModifiedBy>Jalolov Muhammad</cp:lastModifiedBy>
  <cp:lastPrinted>2025-03-20T08:39:55Z</cp:lastPrinted>
  <dcterms:created xsi:type="dcterms:W3CDTF">2015-06-05T18:19:34Z</dcterms:created>
  <dcterms:modified xsi:type="dcterms:W3CDTF">2025-04-11T13:46:38Z</dcterms:modified>
</cp:coreProperties>
</file>