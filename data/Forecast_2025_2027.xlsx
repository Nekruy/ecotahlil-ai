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stiev Abduqodir\Desktop\Дурнамо 2024-2027\"/>
    </mc:Choice>
  </mc:AlternateContent>
  <bookViews>
    <workbookView xWindow="0" yWindow="0" windowWidth="28800" windowHeight="10410" tabRatio="831" firstSheet="2" activeTab="1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19A" sheetId="20" r:id="rId20"/>
    <sheet name="19Б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</sheets>
  <externalReferences>
    <externalReference r:id="rId40"/>
    <externalReference r:id="rId41"/>
  </externalReferences>
  <definedNames>
    <definedName name="_xlnm.Print_Titles" localSheetId="0">'1'!$2:$3</definedName>
    <definedName name="_xlnm.Print_Titles" localSheetId="11">'12'!$2:$4</definedName>
    <definedName name="_xlnm.Print_Titles" localSheetId="12">'13'!$3:$5</definedName>
    <definedName name="_xlnm.Print_Titles" localSheetId="13">'14'!$2:$4</definedName>
    <definedName name="_xlnm.Print_Titles" localSheetId="14">'15'!$3:$5</definedName>
    <definedName name="_xlnm.Print_Titles" localSheetId="16">'17'!$2:$4</definedName>
    <definedName name="_xlnm.Print_Titles" localSheetId="17">'18'!$2:$4</definedName>
    <definedName name="_xlnm.Print_Titles" localSheetId="20">'19Б'!$3:$5</definedName>
    <definedName name="_xlnm.Print_Titles" localSheetId="1">'2'!$3:$5</definedName>
    <definedName name="_xlnm.Print_Titles" localSheetId="22">'21'!$3:$5</definedName>
    <definedName name="_xlnm.Print_Titles" localSheetId="23">'22'!$2:$4</definedName>
    <definedName name="_xlnm.Print_Titles" localSheetId="24">'23'!$3:$5</definedName>
    <definedName name="_xlnm.Print_Titles" localSheetId="25">'24'!$2:$4</definedName>
    <definedName name="_xlnm.Print_Titles" localSheetId="26">'25'!$3:$5</definedName>
    <definedName name="_xlnm.Print_Titles" localSheetId="29">'28'!$2:$4</definedName>
    <definedName name="_xlnm.Print_Titles" localSheetId="2">'3'!$2:$5</definedName>
    <definedName name="_xlnm.Print_Titles" localSheetId="33">'32'!$2:$4</definedName>
    <definedName name="_xlnm.Print_Titles" localSheetId="35">'34'!$2:$4</definedName>
    <definedName name="_xlnm.Print_Titles" localSheetId="36">'35'!$2:$4</definedName>
    <definedName name="_xlnm.Print_Titles" localSheetId="37">'36'!$2:$4</definedName>
    <definedName name="_xlnm.Print_Titles" localSheetId="38">'37'!$2:$4</definedName>
    <definedName name="_xlnm.Print_Titles" localSheetId="3">'4'!$2:$4</definedName>
    <definedName name="_xlnm.Print_Titles" localSheetId="5">'6'!$2:$4</definedName>
    <definedName name="_xlnm.Print_Titles" localSheetId="7">'8'!$2:$4</definedName>
    <definedName name="_xlnm.Print_Area" localSheetId="0">'1'!$A$1:$M$145</definedName>
    <definedName name="_xlnm.Print_Area" localSheetId="9">'10'!$A$1:$L$13</definedName>
    <definedName name="_xlnm.Print_Area" localSheetId="10">'11'!$A$1:$K$8</definedName>
    <definedName name="_xlnm.Print_Area" localSheetId="11">'12'!$A$1:$K$60</definedName>
    <definedName name="_xlnm.Print_Area" localSheetId="12">'13'!$A$1:$K$227</definedName>
    <definedName name="_xlnm.Print_Area" localSheetId="13">'14'!$A$1:$K$15</definedName>
    <definedName name="_xlnm.Print_Area" localSheetId="14">'15'!$A$1:$O$12</definedName>
    <definedName name="_xlnm.Print_Area" localSheetId="15">'16'!$A$1:$K$10</definedName>
    <definedName name="_xlnm.Print_Area" localSheetId="16">'17'!$A$1:$L$65</definedName>
    <definedName name="_xlnm.Print_Area" localSheetId="17">'18'!$A$1:$K$15</definedName>
    <definedName name="_xlnm.Print_Area" localSheetId="18">'19'!$A$1:$L$19</definedName>
    <definedName name="_xlnm.Print_Area" localSheetId="19">'19A'!$A$1:$L$14</definedName>
    <definedName name="_xlnm.Print_Area" localSheetId="20">'19Б'!$A$1:$L$27</definedName>
    <definedName name="_xlnm.Print_Area" localSheetId="1">'2'!$A$1:$O$48</definedName>
    <definedName name="_xlnm.Print_Area" localSheetId="21">'20'!$A$1:$K$15</definedName>
    <definedName name="_xlnm.Print_Area" localSheetId="22">'21'!$A$1:$K$24</definedName>
    <definedName name="_xlnm.Print_Area" localSheetId="23">'22'!$A$1:$K$18</definedName>
    <definedName name="_xlnm.Print_Area" localSheetId="24">'23'!$A$1:$K$41</definedName>
    <definedName name="_xlnm.Print_Area" localSheetId="25">'24'!$A$1:$K$22</definedName>
    <definedName name="_xlnm.Print_Area" localSheetId="26">'25'!$A$1:$K$35</definedName>
    <definedName name="_xlnm.Print_Area" localSheetId="27">'26'!$A$1:$K$10</definedName>
    <definedName name="_xlnm.Print_Area" localSheetId="28">'27'!$A$1:$K$17</definedName>
    <definedName name="_xlnm.Print_Area" localSheetId="29">'28'!$A$1:$K$18</definedName>
    <definedName name="_xlnm.Print_Area" localSheetId="30">'29'!$A$1:$K$13</definedName>
    <definedName name="_xlnm.Print_Area" localSheetId="2">'3'!$A$1:$O$89</definedName>
    <definedName name="_xlnm.Print_Area" localSheetId="31">'30'!$A$1:$K$9</definedName>
    <definedName name="_xlnm.Print_Area" localSheetId="32">'31'!$A$1:$K$14</definedName>
    <definedName name="_xlnm.Print_Area" localSheetId="33">'32'!$A$1:$K$30</definedName>
    <definedName name="_xlnm.Print_Area" localSheetId="34">'33'!$A$1:$K$9</definedName>
    <definedName name="_xlnm.Print_Area" localSheetId="35">'34'!$A$1:$L$50</definedName>
    <definedName name="_xlnm.Print_Area" localSheetId="36">'35'!$A$1:$K$59</definedName>
    <definedName name="_xlnm.Print_Area" localSheetId="37">'36'!$A$1:$K$30</definedName>
    <definedName name="_xlnm.Print_Area" localSheetId="38">'37'!$A$1:$K$38</definedName>
    <definedName name="_xlnm.Print_Area" localSheetId="3">'4'!$A$1:$L$86</definedName>
    <definedName name="_xlnm.Print_Area" localSheetId="4">'5'!$A$1:$K$15</definedName>
    <definedName name="_xlnm.Print_Area" localSheetId="5">'6'!$A$1:$K$41</definedName>
    <definedName name="_xlnm.Print_Area" localSheetId="6">'7'!$A$1:$K$16</definedName>
    <definedName name="_xlnm.Print_Area" localSheetId="7">'8'!$A$1:$K$31</definedName>
    <definedName name="_xlnm.Print_Area" localSheetId="8">'9'!$A$1:$K$16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21" l="1"/>
  <c r="L18" i="21"/>
  <c r="L19" i="21"/>
  <c r="L20" i="21"/>
  <c r="L21" i="21"/>
  <c r="L22" i="21"/>
  <c r="L23" i="21"/>
  <c r="L24" i="21"/>
  <c r="L25" i="21"/>
  <c r="L26" i="21"/>
  <c r="L27" i="21"/>
  <c r="L7" i="21"/>
  <c r="L8" i="21"/>
  <c r="L9" i="21"/>
  <c r="L10" i="21"/>
  <c r="L11" i="21"/>
  <c r="L12" i="21"/>
  <c r="L13" i="21"/>
  <c r="L14" i="21"/>
  <c r="L15" i="21"/>
  <c r="L16" i="21"/>
  <c r="L6" i="21"/>
  <c r="K227" i="13"/>
  <c r="K226" i="13"/>
  <c r="K225" i="13"/>
  <c r="K224" i="13"/>
  <c r="K223" i="13"/>
  <c r="K222" i="13"/>
  <c r="K221" i="13"/>
  <c r="K220" i="13"/>
  <c r="K219" i="13"/>
  <c r="K218" i="13"/>
  <c r="K217" i="13"/>
  <c r="K216" i="13"/>
  <c r="K215" i="13"/>
  <c r="K214" i="13"/>
  <c r="K213" i="13"/>
  <c r="K212" i="13"/>
  <c r="K211" i="13"/>
  <c r="K210" i="13"/>
  <c r="K209" i="13"/>
  <c r="K208" i="13"/>
  <c r="K207" i="13"/>
  <c r="K206" i="13"/>
  <c r="K205" i="13"/>
  <c r="K204" i="13"/>
  <c r="K203" i="13"/>
  <c r="K202" i="13"/>
  <c r="K201" i="13"/>
  <c r="K200" i="13"/>
  <c r="K199" i="13"/>
  <c r="K198" i="13"/>
  <c r="K197" i="13"/>
  <c r="K196" i="13"/>
  <c r="K195" i="13"/>
  <c r="K194" i="13"/>
  <c r="K193" i="13"/>
  <c r="K192" i="13"/>
  <c r="K191" i="13"/>
  <c r="K190" i="13"/>
  <c r="K189" i="13"/>
  <c r="K188" i="13"/>
  <c r="K187" i="13"/>
  <c r="K186" i="13"/>
  <c r="K185" i="13"/>
  <c r="K184" i="13"/>
  <c r="K183" i="13"/>
  <c r="K182" i="13"/>
  <c r="K181" i="13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I227" i="13"/>
  <c r="I226" i="13"/>
  <c r="I225" i="13"/>
  <c r="I224" i="13"/>
  <c r="I223" i="13"/>
  <c r="I222" i="13"/>
  <c r="I221" i="13"/>
  <c r="I220" i="13"/>
  <c r="I219" i="13"/>
  <c r="I218" i="13"/>
  <c r="I217" i="13"/>
  <c r="I216" i="13"/>
  <c r="I215" i="13"/>
  <c r="I214" i="13"/>
  <c r="I213" i="13"/>
  <c r="I212" i="13"/>
  <c r="I211" i="13"/>
  <c r="I210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8" i="13"/>
  <c r="I187" i="13"/>
  <c r="I186" i="13"/>
  <c r="I185" i="13"/>
  <c r="I184" i="13"/>
  <c r="I183" i="13"/>
  <c r="I182" i="13"/>
  <c r="I181" i="13"/>
  <c r="I180" i="13"/>
  <c r="I179" i="13"/>
  <c r="I178" i="13"/>
  <c r="I177" i="13"/>
  <c r="I176" i="13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E227" i="13" l="1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B26" i="13"/>
  <c r="E26" i="13" s="1"/>
  <c r="K50" i="17" l="1"/>
  <c r="K49" i="17"/>
  <c r="I50" i="17"/>
  <c r="I49" i="17"/>
  <c r="G50" i="17"/>
  <c r="E50" i="17"/>
  <c r="F50" i="17" s="1"/>
  <c r="G49" i="17"/>
  <c r="F49" i="17"/>
  <c r="E49" i="17"/>
  <c r="K48" i="17"/>
  <c r="K47" i="17"/>
  <c r="L47" i="17"/>
  <c r="I48" i="17"/>
  <c r="I47" i="17"/>
  <c r="J47" i="17" s="1"/>
  <c r="G48" i="17"/>
  <c r="G47" i="17"/>
  <c r="L48" i="17"/>
  <c r="H48" i="17"/>
  <c r="H47" i="17"/>
  <c r="F48" i="17"/>
  <c r="E48" i="17"/>
  <c r="F47" i="17"/>
  <c r="E47" i="17"/>
  <c r="D50" i="17"/>
  <c r="D49" i="17"/>
  <c r="D48" i="17"/>
  <c r="D47" i="17"/>
  <c r="J50" i="17" l="1"/>
  <c r="L50" i="17"/>
  <c r="H50" i="17"/>
  <c r="L49" i="17"/>
  <c r="J49" i="17"/>
  <c r="H49" i="17"/>
  <c r="J48" i="17"/>
  <c r="K6" i="17"/>
  <c r="I6" i="17"/>
  <c r="G6" i="17"/>
  <c r="E6" i="17"/>
  <c r="C6" i="17"/>
  <c r="J19" i="8"/>
  <c r="H19" i="8"/>
  <c r="I19" i="8" s="1"/>
  <c r="F19" i="8"/>
  <c r="G19" i="8" s="1"/>
  <c r="E19" i="8"/>
  <c r="B19" i="8"/>
  <c r="K19" i="8" l="1"/>
  <c r="F11" i="14"/>
  <c r="H11" i="14" s="1"/>
  <c r="J11" i="14" s="1"/>
  <c r="F12" i="14"/>
  <c r="H12" i="14" s="1"/>
  <c r="J12" i="14" s="1"/>
  <c r="F10" i="14"/>
  <c r="H10" i="14" s="1"/>
  <c r="J10" i="14" s="1"/>
  <c r="E11" i="14"/>
  <c r="E12" i="14"/>
  <c r="E10" i="14"/>
  <c r="L7" i="20" l="1"/>
  <c r="L8" i="20"/>
  <c r="L9" i="20"/>
  <c r="L10" i="20"/>
  <c r="L11" i="20"/>
  <c r="L12" i="20"/>
  <c r="L13" i="20"/>
  <c r="L14" i="20"/>
  <c r="L6" i="20"/>
  <c r="L19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6" i="19"/>
  <c r="K9" i="16"/>
  <c r="I9" i="16"/>
  <c r="G9" i="16"/>
  <c r="E9" i="16"/>
  <c r="C9" i="16"/>
  <c r="D9" i="16"/>
  <c r="F9" i="16"/>
  <c r="H9" i="16"/>
  <c r="J9" i="16"/>
  <c r="B9" i="16"/>
  <c r="N9" i="15"/>
  <c r="K9" i="15"/>
  <c r="H9" i="15"/>
  <c r="E9" i="15"/>
  <c r="N8" i="15"/>
  <c r="K8" i="15"/>
  <c r="L14" i="36"/>
  <c r="L15" i="36"/>
  <c r="L16" i="36"/>
  <c r="L17" i="36"/>
  <c r="J14" i="36"/>
  <c r="J15" i="36"/>
  <c r="J16" i="36"/>
  <c r="J17" i="36"/>
  <c r="H14" i="36"/>
  <c r="H15" i="36"/>
  <c r="H16" i="36"/>
  <c r="H17" i="36"/>
  <c r="F14" i="36"/>
  <c r="F15" i="36"/>
  <c r="F16" i="36"/>
  <c r="F17" i="36"/>
  <c r="L13" i="36"/>
  <c r="J13" i="36"/>
  <c r="H13" i="36"/>
  <c r="F13" i="36"/>
  <c r="L7" i="36"/>
  <c r="L8" i="36"/>
  <c r="L9" i="36"/>
  <c r="L10" i="36"/>
  <c r="L6" i="36"/>
  <c r="J9" i="36"/>
  <c r="J10" i="36"/>
  <c r="J11" i="36"/>
  <c r="J6" i="36"/>
  <c r="J7" i="36"/>
  <c r="F6" i="36"/>
  <c r="H9" i="36"/>
  <c r="H10" i="36"/>
  <c r="H6" i="36"/>
  <c r="H7" i="36"/>
  <c r="F9" i="36"/>
  <c r="F10" i="36"/>
  <c r="F11" i="36"/>
  <c r="F7" i="36"/>
  <c r="J8" i="36"/>
  <c r="H8" i="36"/>
  <c r="F8" i="36"/>
  <c r="D11" i="36"/>
  <c r="D10" i="36"/>
  <c r="D9" i="36"/>
  <c r="D8" i="36"/>
  <c r="D7" i="36"/>
  <c r="D6" i="36"/>
  <c r="E6" i="36"/>
  <c r="G6" i="36"/>
  <c r="I6" i="36"/>
  <c r="K6" i="36"/>
  <c r="E7" i="36"/>
  <c r="G7" i="36"/>
  <c r="I7" i="36"/>
  <c r="K7" i="36"/>
  <c r="E8" i="36"/>
  <c r="G8" i="36"/>
  <c r="I8" i="36"/>
  <c r="K8" i="36"/>
  <c r="E9" i="36"/>
  <c r="G9" i="36"/>
  <c r="I9" i="36"/>
  <c r="K9" i="36"/>
  <c r="E10" i="36"/>
  <c r="G10" i="36"/>
  <c r="I10" i="36"/>
  <c r="K10" i="36"/>
  <c r="E11" i="36"/>
  <c r="G11" i="36"/>
  <c r="I11" i="36"/>
  <c r="K11" i="36"/>
  <c r="C11" i="36"/>
  <c r="C7" i="36"/>
  <c r="C8" i="36"/>
  <c r="C9" i="36"/>
  <c r="C10" i="36"/>
  <c r="C6" i="36"/>
  <c r="E8" i="35"/>
  <c r="D8" i="35"/>
  <c r="I12" i="29"/>
  <c r="K14" i="26"/>
  <c r="J14" i="26"/>
  <c r="K12" i="26"/>
  <c r="J12" i="26"/>
  <c r="N40" i="2"/>
  <c r="M40" i="2"/>
  <c r="L36" i="2"/>
  <c r="N26" i="2"/>
  <c r="M26" i="2"/>
  <c r="N24" i="2"/>
  <c r="M24" i="2"/>
  <c r="N22" i="2"/>
  <c r="M22" i="2"/>
  <c r="N20" i="2"/>
  <c r="M20" i="2"/>
  <c r="K38" i="2"/>
  <c r="K24" i="2"/>
  <c r="K26" i="2" s="1"/>
  <c r="K20" i="2"/>
  <c r="K22" i="2" s="1"/>
  <c r="K32" i="2"/>
  <c r="J32" i="2"/>
  <c r="K33" i="2"/>
  <c r="J33" i="2"/>
  <c r="K34" i="2"/>
  <c r="J34" i="2"/>
  <c r="K35" i="2"/>
  <c r="J35" i="2"/>
  <c r="K36" i="2"/>
  <c r="J36" i="2"/>
  <c r="J24" i="2"/>
  <c r="J26" i="2" s="1"/>
  <c r="J20" i="2"/>
  <c r="K40" i="2"/>
  <c r="J37" i="2"/>
  <c r="K37" i="2"/>
  <c r="J38" i="2"/>
  <c r="J40" i="2" s="1"/>
  <c r="J30" i="2"/>
  <c r="K30" i="2"/>
  <c r="J31" i="2"/>
  <c r="K31" i="2"/>
  <c r="J22" i="2"/>
  <c r="K29" i="2"/>
  <c r="J29" i="2"/>
  <c r="H20" i="2"/>
  <c r="H22" i="2" s="1"/>
  <c r="G36" i="2"/>
  <c r="G35" i="2"/>
  <c r="G34" i="2"/>
  <c r="G33" i="2"/>
  <c r="G32" i="2"/>
  <c r="G31" i="2"/>
  <c r="G30" i="2"/>
  <c r="G29" i="2"/>
  <c r="G20" i="2"/>
  <c r="G24" i="2"/>
  <c r="G26" i="2" s="1"/>
  <c r="G38" i="2"/>
  <c r="G40" i="2" s="1"/>
  <c r="H38" i="2"/>
  <c r="H40" i="2" s="1"/>
  <c r="H24" i="2"/>
  <c r="H26" i="2" s="1"/>
  <c r="H30" i="2"/>
  <c r="H31" i="2"/>
  <c r="H32" i="2"/>
  <c r="H33" i="2"/>
  <c r="H34" i="2"/>
  <c r="H35" i="2"/>
  <c r="H36" i="2"/>
  <c r="G37" i="2"/>
  <c r="H37" i="2"/>
  <c r="H29" i="2"/>
  <c r="E29" i="2"/>
  <c r="G22" i="2"/>
  <c r="E37" i="2"/>
  <c r="E38" i="2"/>
  <c r="E40" i="2" s="1"/>
  <c r="E36" i="2"/>
  <c r="E35" i="2"/>
  <c r="E33" i="2"/>
  <c r="E32" i="2"/>
  <c r="E31" i="2"/>
  <c r="E30" i="2"/>
  <c r="E20" i="2"/>
  <c r="E22" i="2" s="1"/>
  <c r="D36" i="2"/>
  <c r="D35" i="2"/>
  <c r="D34" i="2"/>
  <c r="D33" i="2"/>
  <c r="D32" i="2"/>
  <c r="D31" i="2"/>
  <c r="D30" i="2"/>
  <c r="D29" i="2"/>
  <c r="D20" i="2"/>
  <c r="D22" i="2" s="1"/>
  <c r="D37" i="2"/>
  <c r="D38" i="2"/>
  <c r="D40" i="2" s="1"/>
  <c r="E26" i="2"/>
  <c r="E34" i="2"/>
  <c r="C29" i="2"/>
  <c r="B29" i="2"/>
  <c r="B28" i="2"/>
  <c r="B34" i="2"/>
  <c r="D26" i="2"/>
  <c r="B20" i="2"/>
  <c r="B22" i="2" s="1"/>
  <c r="B37" i="2"/>
  <c r="B38" i="2"/>
  <c r="B40" i="2" s="1"/>
  <c r="B24" i="2"/>
  <c r="B31" i="2"/>
  <c r="B32" i="2"/>
  <c r="B33" i="2"/>
  <c r="B35" i="2"/>
  <c r="B36" i="2"/>
  <c r="B30" i="2"/>
  <c r="L11" i="36" l="1"/>
  <c r="H11" i="36"/>
  <c r="B26" i="2"/>
  <c r="M10" i="2" l="1"/>
  <c r="M12" i="2" s="1"/>
  <c r="N10" i="2"/>
  <c r="N12" i="2" s="1"/>
  <c r="K10" i="2"/>
  <c r="K12" i="2" s="1"/>
  <c r="J10" i="2"/>
  <c r="J14" i="2" s="1"/>
  <c r="J16" i="2" s="1"/>
  <c r="D14" i="2"/>
  <c r="D16" i="2" s="1"/>
  <c r="D12" i="2"/>
  <c r="D13" i="2"/>
  <c r="E14" i="2"/>
  <c r="H10" i="2"/>
  <c r="H14" i="2" s="1"/>
  <c r="H16" i="2" s="1"/>
  <c r="G10" i="2"/>
  <c r="G12" i="2" s="1"/>
  <c r="E13" i="2"/>
  <c r="E16" i="2"/>
  <c r="B7" i="3"/>
  <c r="K14" i="2" l="1"/>
  <c r="K16" i="2" s="1"/>
  <c r="H12" i="2"/>
  <c r="G14" i="2"/>
  <c r="G16" i="2" s="1"/>
  <c r="J12" i="2"/>
  <c r="N14" i="2"/>
  <c r="N16" i="2" s="1"/>
  <c r="M14" i="2"/>
  <c r="M16" i="2" s="1"/>
  <c r="B10" i="2" l="1"/>
  <c r="B16" i="2"/>
  <c r="B17" i="2"/>
  <c r="B14" i="2"/>
  <c r="B6" i="2"/>
  <c r="N13" i="3"/>
  <c r="N8" i="3"/>
  <c r="M8" i="3"/>
  <c r="K8" i="3"/>
  <c r="J8" i="3"/>
  <c r="H8" i="3"/>
  <c r="G8" i="3"/>
  <c r="D7" i="3"/>
  <c r="E7" i="3"/>
  <c r="G7" i="3"/>
  <c r="H7" i="3"/>
  <c r="J7" i="3"/>
  <c r="K7" i="3"/>
  <c r="M7" i="3"/>
  <c r="N7" i="3"/>
  <c r="B8" i="3"/>
  <c r="D8" i="3"/>
  <c r="E8" i="3"/>
  <c r="B9" i="3"/>
  <c r="D9" i="3"/>
  <c r="E9" i="3"/>
  <c r="G9" i="3"/>
  <c r="H9" i="3"/>
  <c r="J9" i="3"/>
  <c r="K9" i="3"/>
  <c r="M9" i="3"/>
  <c r="N9" i="3"/>
  <c r="B10" i="3"/>
  <c r="D10" i="3"/>
  <c r="E10" i="3"/>
  <c r="G10" i="3"/>
  <c r="H10" i="3"/>
  <c r="J10" i="3"/>
  <c r="K10" i="3"/>
  <c r="M10" i="3"/>
  <c r="N10" i="3"/>
  <c r="B11" i="3"/>
  <c r="D11" i="3"/>
  <c r="E11" i="3"/>
  <c r="G11" i="3"/>
  <c r="H11" i="3"/>
  <c r="J11" i="3"/>
  <c r="K11" i="3"/>
  <c r="M11" i="3"/>
  <c r="N11" i="3"/>
  <c r="B12" i="3"/>
  <c r="D12" i="3"/>
  <c r="E12" i="3"/>
  <c r="G12" i="3"/>
  <c r="H12" i="3"/>
  <c r="J12" i="3"/>
  <c r="K12" i="3"/>
  <c r="M12" i="3"/>
  <c r="N12" i="3"/>
  <c r="B13" i="3"/>
  <c r="D13" i="3"/>
  <c r="E13" i="3"/>
  <c r="G13" i="3"/>
  <c r="H13" i="3"/>
  <c r="J13" i="3"/>
  <c r="K13" i="3"/>
  <c r="M13" i="3"/>
  <c r="B14" i="3"/>
  <c r="D14" i="3"/>
  <c r="E14" i="3"/>
  <c r="G14" i="3"/>
  <c r="H14" i="3"/>
  <c r="J14" i="3"/>
  <c r="K14" i="3"/>
  <c r="M14" i="3"/>
  <c r="N14" i="3"/>
  <c r="B15" i="3"/>
  <c r="D15" i="3"/>
  <c r="E15" i="3"/>
  <c r="G15" i="3"/>
  <c r="H15" i="3"/>
  <c r="J15" i="3"/>
  <c r="K15" i="3"/>
  <c r="M15" i="3"/>
  <c r="N15" i="3"/>
  <c r="B16" i="3"/>
  <c r="D16" i="3"/>
  <c r="E16" i="3"/>
  <c r="G16" i="3"/>
  <c r="H16" i="3"/>
  <c r="J16" i="3"/>
  <c r="K16" i="3"/>
  <c r="M16" i="3"/>
  <c r="N16" i="3"/>
  <c r="B17" i="3"/>
  <c r="D17" i="3"/>
  <c r="E17" i="3"/>
  <c r="G17" i="3"/>
  <c r="H17" i="3"/>
  <c r="J17" i="3"/>
  <c r="K17" i="3"/>
  <c r="M17" i="3"/>
  <c r="N17" i="3"/>
  <c r="B18" i="3"/>
  <c r="D18" i="3"/>
  <c r="E18" i="3"/>
  <c r="G18" i="3"/>
  <c r="H18" i="3"/>
  <c r="J18" i="3"/>
  <c r="K18" i="3"/>
  <c r="M18" i="3"/>
  <c r="N18" i="3"/>
  <c r="M6" i="2"/>
  <c r="D6" i="2"/>
  <c r="N23" i="3"/>
  <c r="M23" i="3"/>
  <c r="K23" i="3"/>
  <c r="J23" i="3"/>
  <c r="H23" i="3"/>
  <c r="G23" i="3"/>
  <c r="E23" i="3"/>
  <c r="D23" i="3"/>
  <c r="B23" i="3"/>
  <c r="N20" i="3"/>
  <c r="M20" i="3"/>
  <c r="K20" i="3"/>
  <c r="J20" i="3"/>
  <c r="H20" i="3"/>
  <c r="G20" i="3"/>
  <c r="E20" i="3"/>
  <c r="D20" i="3"/>
  <c r="B20" i="3"/>
  <c r="N19" i="3"/>
  <c r="M19" i="3"/>
  <c r="K19" i="3"/>
  <c r="J19" i="3"/>
  <c r="H19" i="3"/>
  <c r="G19" i="3"/>
  <c r="E19" i="3"/>
  <c r="D19" i="3"/>
  <c r="B19" i="3"/>
  <c r="E6" i="2"/>
  <c r="G6" i="2"/>
  <c r="H6" i="2"/>
  <c r="J6" i="2"/>
  <c r="K6" i="2"/>
  <c r="N6" i="2"/>
  <c r="B12" i="2" l="1"/>
  <c r="B13" i="2"/>
  <c r="M21" i="3" l="1"/>
  <c r="N21" i="3"/>
  <c r="M22" i="3"/>
  <c r="N22" i="3"/>
  <c r="J21" i="3"/>
  <c r="K21" i="3"/>
  <c r="J22" i="3"/>
  <c r="K22" i="3"/>
  <c r="G21" i="3"/>
  <c r="H21" i="3"/>
  <c r="G22" i="3"/>
  <c r="H22" i="3"/>
  <c r="D21" i="3"/>
  <c r="E21" i="3"/>
  <c r="D22" i="3"/>
  <c r="E22" i="3"/>
  <c r="B21" i="3"/>
  <c r="B22" i="3"/>
  <c r="J9" i="14" l="1"/>
  <c r="H9" i="14"/>
  <c r="J8" i="14"/>
  <c r="F9" i="14"/>
  <c r="H8" i="14"/>
  <c r="K8" i="14" s="1"/>
  <c r="F8" i="14"/>
  <c r="D9" i="14"/>
  <c r="C9" i="14"/>
  <c r="B9" i="14"/>
  <c r="I9" i="14"/>
  <c r="G9" i="14"/>
  <c r="E9" i="14"/>
  <c r="D8" i="14"/>
  <c r="C8" i="14"/>
  <c r="B8" i="14"/>
  <c r="J7" i="14"/>
  <c r="H7" i="14"/>
  <c r="F7" i="14"/>
  <c r="D7" i="14"/>
  <c r="G7" i="14" s="1"/>
  <c r="C7" i="14"/>
  <c r="B7" i="14"/>
  <c r="J9" i="35"/>
  <c r="H9" i="35"/>
  <c r="F9" i="35"/>
  <c r="E9" i="35"/>
  <c r="D9" i="35"/>
  <c r="C9" i="35"/>
  <c r="B9" i="35"/>
  <c r="F8" i="35"/>
  <c r="C8" i="35"/>
  <c r="J8" i="35"/>
  <c r="H8" i="35"/>
  <c r="B8" i="35"/>
  <c r="E8" i="14" l="1"/>
  <c r="G8" i="14"/>
  <c r="K9" i="14"/>
  <c r="I7" i="14"/>
  <c r="K7" i="14"/>
  <c r="E7" i="14"/>
  <c r="I8" i="14"/>
  <c r="G13" i="31"/>
  <c r="F13" i="31"/>
  <c r="H13" i="31" s="1"/>
  <c r="E13" i="31"/>
  <c r="F12" i="31"/>
  <c r="H12" i="31" s="1"/>
  <c r="E12" i="31"/>
  <c r="J10" i="31"/>
  <c r="K10" i="31" s="1"/>
  <c r="H10" i="31"/>
  <c r="I10" i="31" s="1"/>
  <c r="F10" i="31"/>
  <c r="G10" i="31" s="1"/>
  <c r="E10" i="31"/>
  <c r="G9" i="31"/>
  <c r="F9" i="31"/>
  <c r="H9" i="31" s="1"/>
  <c r="E9" i="31"/>
  <c r="H7" i="31"/>
  <c r="I7" i="31" s="1"/>
  <c r="F7" i="31"/>
  <c r="G7" i="31" s="1"/>
  <c r="E7" i="31"/>
  <c r="H6" i="31"/>
  <c r="J6" i="31" s="1"/>
  <c r="K6" i="31" s="1"/>
  <c r="F6" i="31"/>
  <c r="G6" i="31" s="1"/>
  <c r="E6" i="31"/>
  <c r="F8" i="32"/>
  <c r="H8" i="32" s="1"/>
  <c r="E8" i="32"/>
  <c r="F7" i="32"/>
  <c r="G7" i="32" s="1"/>
  <c r="E7" i="32"/>
  <c r="F41" i="25"/>
  <c r="H41" i="25" s="1"/>
  <c r="E41" i="25"/>
  <c r="D41" i="25"/>
  <c r="F40" i="25"/>
  <c r="H40" i="25" s="1"/>
  <c r="E40" i="25"/>
  <c r="D40" i="25"/>
  <c r="H39" i="25"/>
  <c r="J39" i="25" s="1"/>
  <c r="K39" i="25" s="1"/>
  <c r="G39" i="25"/>
  <c r="F39" i="25"/>
  <c r="E39" i="25"/>
  <c r="F38" i="25"/>
  <c r="G38" i="25" s="1"/>
  <c r="E38" i="25"/>
  <c r="H37" i="25"/>
  <c r="J37" i="25" s="1"/>
  <c r="K37" i="25" s="1"/>
  <c r="G37" i="25"/>
  <c r="F37" i="25"/>
  <c r="E37" i="25"/>
  <c r="F36" i="25"/>
  <c r="G36" i="25" s="1"/>
  <c r="E36" i="25"/>
  <c r="D35" i="25"/>
  <c r="F35" i="25" s="1"/>
  <c r="G34" i="25"/>
  <c r="F34" i="25"/>
  <c r="H34" i="25" s="1"/>
  <c r="E34" i="25"/>
  <c r="H33" i="25"/>
  <c r="J33" i="25" s="1"/>
  <c r="K33" i="25" s="1"/>
  <c r="F33" i="25"/>
  <c r="G33" i="25" s="1"/>
  <c r="E33" i="25"/>
  <c r="H32" i="25"/>
  <c r="J32" i="25" s="1"/>
  <c r="K32" i="25" s="1"/>
  <c r="G32" i="25"/>
  <c r="F32" i="25"/>
  <c r="E32" i="25"/>
  <c r="H31" i="25"/>
  <c r="J31" i="25" s="1"/>
  <c r="K31" i="25" s="1"/>
  <c r="F31" i="25"/>
  <c r="G31" i="25" s="1"/>
  <c r="E31" i="25"/>
  <c r="D30" i="25"/>
  <c r="F30" i="25" s="1"/>
  <c r="F29" i="25"/>
  <c r="H29" i="25" s="1"/>
  <c r="E29" i="25"/>
  <c r="D29" i="25"/>
  <c r="B28" i="25"/>
  <c r="F27" i="25"/>
  <c r="H27" i="25" s="1"/>
  <c r="E27" i="25"/>
  <c r="H26" i="25"/>
  <c r="J26" i="25" s="1"/>
  <c r="K26" i="25" s="1"/>
  <c r="F26" i="25"/>
  <c r="G26" i="25" s="1"/>
  <c r="E26" i="25"/>
  <c r="F25" i="25"/>
  <c r="H25" i="25" s="1"/>
  <c r="E25" i="25"/>
  <c r="H24" i="25"/>
  <c r="J24" i="25" s="1"/>
  <c r="K24" i="25" s="1"/>
  <c r="F24" i="25"/>
  <c r="G24" i="25" s="1"/>
  <c r="E24" i="25"/>
  <c r="D23" i="25"/>
  <c r="D18" i="25" s="1"/>
  <c r="E18" i="25" s="1"/>
  <c r="B23" i="25"/>
  <c r="H22" i="25"/>
  <c r="J22" i="25" s="1"/>
  <c r="F22" i="25"/>
  <c r="G22" i="25" s="1"/>
  <c r="G21" i="25"/>
  <c r="F21" i="25"/>
  <c r="H21" i="25" s="1"/>
  <c r="E21" i="25"/>
  <c r="F20" i="25"/>
  <c r="H20" i="25" s="1"/>
  <c r="E20" i="25"/>
  <c r="G19" i="25"/>
  <c r="F19" i="25"/>
  <c r="H19" i="25" s="1"/>
  <c r="E19" i="25"/>
  <c r="B18" i="25"/>
  <c r="D17" i="25"/>
  <c r="F17" i="25" s="1"/>
  <c r="F16" i="25"/>
  <c r="H16" i="25" s="1"/>
  <c r="E16" i="25"/>
  <c r="D16" i="25"/>
  <c r="D15" i="25"/>
  <c r="D14" i="25" s="1"/>
  <c r="B14" i="25"/>
  <c r="F13" i="25"/>
  <c r="H13" i="25" s="1"/>
  <c r="E13" i="25"/>
  <c r="H12" i="25"/>
  <c r="J12" i="25" s="1"/>
  <c r="K12" i="25" s="1"/>
  <c r="G12" i="25"/>
  <c r="F12" i="25"/>
  <c r="E12" i="25"/>
  <c r="F11" i="25"/>
  <c r="G11" i="25" s="1"/>
  <c r="E11" i="25"/>
  <c r="H10" i="25"/>
  <c r="J10" i="25" s="1"/>
  <c r="K10" i="25" s="1"/>
  <c r="G10" i="25"/>
  <c r="F10" i="25"/>
  <c r="E10" i="25"/>
  <c r="F9" i="25"/>
  <c r="F8" i="25" s="1"/>
  <c r="G8" i="25" s="1"/>
  <c r="E9" i="25"/>
  <c r="D8" i="25"/>
  <c r="E8" i="25" s="1"/>
  <c r="B8" i="25"/>
  <c r="F7" i="25"/>
  <c r="G7" i="25" s="1"/>
  <c r="E7" i="25"/>
  <c r="B6" i="25"/>
  <c r="F18" i="24"/>
  <c r="G18" i="24" s="1"/>
  <c r="E18" i="24"/>
  <c r="D18" i="24"/>
  <c r="G17" i="24"/>
  <c r="F17" i="24"/>
  <c r="H17" i="24" s="1"/>
  <c r="E17" i="24"/>
  <c r="D17" i="24"/>
  <c r="D16" i="24"/>
  <c r="C16" i="24"/>
  <c r="D15" i="24"/>
  <c r="F15" i="24" s="1"/>
  <c r="D14" i="24"/>
  <c r="F14" i="24" s="1"/>
  <c r="D13" i="24"/>
  <c r="E13" i="24" s="1"/>
  <c r="D12" i="24"/>
  <c r="F12" i="24" s="1"/>
  <c r="D11" i="24"/>
  <c r="F11" i="24" s="1"/>
  <c r="D10" i="24"/>
  <c r="E10" i="24" s="1"/>
  <c r="F9" i="24"/>
  <c r="H9" i="24" s="1"/>
  <c r="E9" i="24"/>
  <c r="D9" i="24"/>
  <c r="F8" i="24"/>
  <c r="H8" i="24" s="1"/>
  <c r="E8" i="24"/>
  <c r="D8" i="24"/>
  <c r="F7" i="24"/>
  <c r="H7" i="24" s="1"/>
  <c r="E7" i="24"/>
  <c r="D7" i="24"/>
  <c r="F6" i="24"/>
  <c r="G6" i="24" s="1"/>
  <c r="E6" i="24"/>
  <c r="D6" i="24"/>
  <c r="D5" i="24"/>
  <c r="F5" i="24" s="1"/>
  <c r="J24" i="23"/>
  <c r="K24" i="23" s="1"/>
  <c r="J23" i="23"/>
  <c r="K23" i="23" s="1"/>
  <c r="J22" i="23"/>
  <c r="K22" i="23" s="1"/>
  <c r="K21" i="23"/>
  <c r="J21" i="23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K13" i="23"/>
  <c r="J13" i="23"/>
  <c r="J12" i="23"/>
  <c r="K12" i="23" s="1"/>
  <c r="J11" i="23"/>
  <c r="K11" i="23" s="1"/>
  <c r="J10" i="23"/>
  <c r="K10" i="23" s="1"/>
  <c r="J9" i="23"/>
  <c r="K9" i="23" s="1"/>
  <c r="J8" i="23"/>
  <c r="K8" i="23" s="1"/>
  <c r="J7" i="23"/>
  <c r="K7" i="23" s="1"/>
  <c r="J6" i="23"/>
  <c r="K6" i="23" s="1"/>
  <c r="F24" i="23"/>
  <c r="H24" i="23" s="1"/>
  <c r="I24" i="23" s="1"/>
  <c r="E24" i="23"/>
  <c r="H23" i="23"/>
  <c r="I23" i="23" s="1"/>
  <c r="G23" i="23"/>
  <c r="E23" i="23"/>
  <c r="H22" i="23"/>
  <c r="I22" i="23" s="1"/>
  <c r="G22" i="23"/>
  <c r="E22" i="23"/>
  <c r="H21" i="23"/>
  <c r="I21" i="23" s="1"/>
  <c r="G21" i="23"/>
  <c r="F21" i="23"/>
  <c r="D21" i="23"/>
  <c r="E21" i="23" s="1"/>
  <c r="F20" i="23"/>
  <c r="H20" i="23" s="1"/>
  <c r="I20" i="23" s="1"/>
  <c r="E20" i="23"/>
  <c r="F19" i="23"/>
  <c r="H19" i="23" s="1"/>
  <c r="I19" i="23" s="1"/>
  <c r="E19" i="23"/>
  <c r="H18" i="23"/>
  <c r="I18" i="23" s="1"/>
  <c r="G18" i="23"/>
  <c r="F18" i="23"/>
  <c r="E18" i="23"/>
  <c r="F17" i="23"/>
  <c r="G17" i="23" s="1"/>
  <c r="E17" i="23"/>
  <c r="D16" i="23"/>
  <c r="E16" i="23" s="1"/>
  <c r="D15" i="23"/>
  <c r="F15" i="23" s="1"/>
  <c r="F14" i="23"/>
  <c r="H14" i="23" s="1"/>
  <c r="I14" i="23" s="1"/>
  <c r="E14" i="23"/>
  <c r="F13" i="23"/>
  <c r="H13" i="23" s="1"/>
  <c r="I13" i="23" s="1"/>
  <c r="E13" i="23"/>
  <c r="D12" i="23"/>
  <c r="F12" i="23" s="1"/>
  <c r="D11" i="23"/>
  <c r="F11" i="23" s="1"/>
  <c r="F10" i="23"/>
  <c r="G10" i="23" s="1"/>
  <c r="E10" i="23"/>
  <c r="H9" i="23"/>
  <c r="I9" i="23" s="1"/>
  <c r="F9" i="23"/>
  <c r="G9" i="23" s="1"/>
  <c r="E9" i="23"/>
  <c r="E8" i="23"/>
  <c r="D8" i="23"/>
  <c r="F7" i="23"/>
  <c r="H7" i="23" s="1"/>
  <c r="I7" i="23" s="1"/>
  <c r="E7" i="23"/>
  <c r="H6" i="23"/>
  <c r="I6" i="23" s="1"/>
  <c r="F6" i="23"/>
  <c r="G6" i="23" s="1"/>
  <c r="E6" i="23"/>
  <c r="D14" i="22"/>
  <c r="F14" i="22" s="1"/>
  <c r="D13" i="22"/>
  <c r="F13" i="22" s="1"/>
  <c r="D12" i="22"/>
  <c r="F12" i="22" s="1"/>
  <c r="F11" i="22"/>
  <c r="H11" i="22" s="1"/>
  <c r="I11" i="22" s="1"/>
  <c r="E11" i="22"/>
  <c r="D11" i="22"/>
  <c r="D10" i="22"/>
  <c r="E10" i="22" s="1"/>
  <c r="B9" i="22"/>
  <c r="D9" i="22" s="1"/>
  <c r="D8" i="22"/>
  <c r="F8" i="22" s="1"/>
  <c r="K7" i="22"/>
  <c r="I7" i="22"/>
  <c r="G7" i="22"/>
  <c r="B7" i="22"/>
  <c r="F6" i="22"/>
  <c r="H6" i="22" s="1"/>
  <c r="E6" i="22"/>
  <c r="F5" i="22"/>
  <c r="H5" i="22" s="1"/>
  <c r="E5" i="22"/>
  <c r="J9" i="31" l="1"/>
  <c r="K9" i="31" s="1"/>
  <c r="I9" i="31"/>
  <c r="J13" i="31"/>
  <c r="K13" i="31" s="1"/>
  <c r="I13" i="31"/>
  <c r="I12" i="31"/>
  <c r="J12" i="31"/>
  <c r="K12" i="31" s="1"/>
  <c r="J7" i="31"/>
  <c r="K7" i="31" s="1"/>
  <c r="G12" i="31"/>
  <c r="I6" i="31"/>
  <c r="J8" i="32"/>
  <c r="K8" i="32" s="1"/>
  <c r="I8" i="32"/>
  <c r="H7" i="32"/>
  <c r="G8" i="32"/>
  <c r="H18" i="25"/>
  <c r="J19" i="25"/>
  <c r="I19" i="25"/>
  <c r="H28" i="25"/>
  <c r="I28" i="25" s="1"/>
  <c r="I29" i="25"/>
  <c r="J29" i="25"/>
  <c r="H30" i="25"/>
  <c r="F28" i="25"/>
  <c r="G30" i="25"/>
  <c r="J34" i="25"/>
  <c r="K34" i="25" s="1"/>
  <c r="I34" i="25"/>
  <c r="H17" i="25"/>
  <c r="G17" i="25"/>
  <c r="J41" i="25"/>
  <c r="K41" i="25" s="1"/>
  <c r="I41" i="25"/>
  <c r="J20" i="25"/>
  <c r="K20" i="25" s="1"/>
  <c r="I20" i="25"/>
  <c r="J25" i="25"/>
  <c r="K25" i="25" s="1"/>
  <c r="I25" i="25"/>
  <c r="I27" i="25"/>
  <c r="J27" i="25"/>
  <c r="K27" i="25" s="1"/>
  <c r="G35" i="25"/>
  <c r="H35" i="25"/>
  <c r="J21" i="25"/>
  <c r="K21" i="25" s="1"/>
  <c r="I21" i="25"/>
  <c r="J40" i="25"/>
  <c r="K40" i="25" s="1"/>
  <c r="I40" i="25"/>
  <c r="J13" i="25"/>
  <c r="K13" i="25" s="1"/>
  <c r="I13" i="25"/>
  <c r="F14" i="25"/>
  <c r="E14" i="25"/>
  <c r="J16" i="25"/>
  <c r="K16" i="25" s="1"/>
  <c r="I16" i="25"/>
  <c r="G13" i="25"/>
  <c r="H9" i="25"/>
  <c r="H11" i="25"/>
  <c r="F15" i="25"/>
  <c r="E17" i="25"/>
  <c r="E23" i="25"/>
  <c r="I32" i="25"/>
  <c r="H36" i="25"/>
  <c r="H38" i="25"/>
  <c r="G40" i="25"/>
  <c r="G20" i="25"/>
  <c r="G9" i="25"/>
  <c r="F23" i="25"/>
  <c r="D6" i="25"/>
  <c r="E6" i="25" s="1"/>
  <c r="G25" i="25"/>
  <c r="G27" i="25"/>
  <c r="H7" i="25"/>
  <c r="E15" i="25"/>
  <c r="F18" i="25"/>
  <c r="G18" i="25" s="1"/>
  <c r="I26" i="25"/>
  <c r="F6" i="25"/>
  <c r="G29" i="25"/>
  <c r="E35" i="25"/>
  <c r="I24" i="25"/>
  <c r="I31" i="25"/>
  <c r="I33" i="25"/>
  <c r="I10" i="25"/>
  <c r="I12" i="25"/>
  <c r="G16" i="25"/>
  <c r="D28" i="25"/>
  <c r="E28" i="25" s="1"/>
  <c r="I37" i="25"/>
  <c r="I39" i="25"/>
  <c r="G41" i="25"/>
  <c r="E30" i="25"/>
  <c r="J7" i="24"/>
  <c r="K7" i="24" s="1"/>
  <c r="I7" i="24"/>
  <c r="H14" i="24"/>
  <c r="G14" i="24"/>
  <c r="J8" i="24"/>
  <c r="K8" i="24" s="1"/>
  <c r="I8" i="24"/>
  <c r="I17" i="24"/>
  <c r="J17" i="24"/>
  <c r="K17" i="24" s="1"/>
  <c r="G15" i="24"/>
  <c r="H15" i="24"/>
  <c r="H16" i="24"/>
  <c r="G16" i="24"/>
  <c r="I9" i="24"/>
  <c r="J9" i="24"/>
  <c r="K9" i="24" s="1"/>
  <c r="H5" i="24"/>
  <c r="G5" i="24"/>
  <c r="H11" i="24"/>
  <c r="G11" i="24"/>
  <c r="H12" i="24"/>
  <c r="G12" i="24"/>
  <c r="H6" i="24"/>
  <c r="E14" i="24"/>
  <c r="G8" i="24"/>
  <c r="E12" i="24"/>
  <c r="F10" i="24"/>
  <c r="E5" i="24"/>
  <c r="E16" i="24"/>
  <c r="G7" i="24"/>
  <c r="E11" i="24"/>
  <c r="H18" i="24"/>
  <c r="F13" i="24"/>
  <c r="E15" i="24"/>
  <c r="G9" i="24"/>
  <c r="H12" i="23"/>
  <c r="I12" i="23" s="1"/>
  <c r="G12" i="23"/>
  <c r="H11" i="23"/>
  <c r="I11" i="23" s="1"/>
  <c r="G11" i="23"/>
  <c r="G15" i="23"/>
  <c r="H15" i="23"/>
  <c r="I15" i="23" s="1"/>
  <c r="G7" i="23"/>
  <c r="H10" i="23"/>
  <c r="I10" i="23" s="1"/>
  <c r="F8" i="23"/>
  <c r="G14" i="23"/>
  <c r="G20" i="23"/>
  <c r="F16" i="23"/>
  <c r="H17" i="23"/>
  <c r="I17" i="23" s="1"/>
  <c r="G24" i="23"/>
  <c r="G13" i="23"/>
  <c r="E11" i="23"/>
  <c r="E12" i="23"/>
  <c r="E15" i="23"/>
  <c r="G19" i="23"/>
  <c r="H8" i="22"/>
  <c r="I8" i="22" s="1"/>
  <c r="G8" i="22"/>
  <c r="E9" i="22"/>
  <c r="F9" i="22"/>
  <c r="H12" i="22"/>
  <c r="I12" i="22" s="1"/>
  <c r="G12" i="22"/>
  <c r="J6" i="22"/>
  <c r="K6" i="22" s="1"/>
  <c r="I6" i="22"/>
  <c r="G13" i="22"/>
  <c r="H13" i="22"/>
  <c r="I13" i="22" s="1"/>
  <c r="J13" i="22" s="1"/>
  <c r="K13" i="22" s="1"/>
  <c r="H14" i="22"/>
  <c r="I14" i="22" s="1"/>
  <c r="G14" i="22"/>
  <c r="E13" i="22"/>
  <c r="G11" i="22"/>
  <c r="J11" i="22" s="1"/>
  <c r="K11" i="22" s="1"/>
  <c r="F10" i="22"/>
  <c r="G6" i="22"/>
  <c r="E12" i="22"/>
  <c r="E8" i="22"/>
  <c r="E14" i="22"/>
  <c r="I5" i="22"/>
  <c r="J5" i="22"/>
  <c r="K5" i="22" s="1"/>
  <c r="G5" i="22"/>
  <c r="J7" i="32" l="1"/>
  <c r="K7" i="32" s="1"/>
  <c r="I7" i="32"/>
  <c r="H8" i="25"/>
  <c r="I8" i="25" s="1"/>
  <c r="J9" i="25"/>
  <c r="I9" i="25"/>
  <c r="I18" i="25"/>
  <c r="I11" i="25"/>
  <c r="J11" i="25"/>
  <c r="K11" i="25" s="1"/>
  <c r="H23" i="25"/>
  <c r="G23" i="25"/>
  <c r="H14" i="25"/>
  <c r="G14" i="25"/>
  <c r="J17" i="25"/>
  <c r="K17" i="25" s="1"/>
  <c r="I17" i="25"/>
  <c r="H6" i="25"/>
  <c r="I6" i="25" s="1"/>
  <c r="I7" i="25"/>
  <c r="J7" i="25"/>
  <c r="G28" i="25"/>
  <c r="K19" i="25"/>
  <c r="J18" i="25"/>
  <c r="K18" i="25" s="1"/>
  <c r="J38" i="25"/>
  <c r="K38" i="25" s="1"/>
  <c r="I38" i="25"/>
  <c r="J36" i="25"/>
  <c r="K36" i="25" s="1"/>
  <c r="I36" i="25"/>
  <c r="J35" i="25"/>
  <c r="K35" i="25" s="1"/>
  <c r="I35" i="25"/>
  <c r="J30" i="25"/>
  <c r="K30" i="25" s="1"/>
  <c r="I30" i="25"/>
  <c r="G6" i="25"/>
  <c r="K29" i="25"/>
  <c r="J28" i="25"/>
  <c r="K28" i="25" s="1"/>
  <c r="H15" i="25"/>
  <c r="G15" i="25"/>
  <c r="J18" i="24"/>
  <c r="K18" i="24" s="1"/>
  <c r="I18" i="24"/>
  <c r="J5" i="24"/>
  <c r="K5" i="24" s="1"/>
  <c r="I5" i="24"/>
  <c r="H13" i="24"/>
  <c r="G13" i="24"/>
  <c r="I15" i="24"/>
  <c r="J15" i="24"/>
  <c r="K15" i="24" s="1"/>
  <c r="I14" i="24"/>
  <c r="J14" i="24"/>
  <c r="K14" i="24" s="1"/>
  <c r="J16" i="24"/>
  <c r="K16" i="24" s="1"/>
  <c r="I16" i="24"/>
  <c r="H10" i="24"/>
  <c r="G10" i="24"/>
  <c r="J6" i="24"/>
  <c r="K6" i="24" s="1"/>
  <c r="I6" i="24"/>
  <c r="J12" i="24"/>
  <c r="K12" i="24" s="1"/>
  <c r="I12" i="24"/>
  <c r="J11" i="24"/>
  <c r="K11" i="24" s="1"/>
  <c r="I11" i="24"/>
  <c r="G16" i="23"/>
  <c r="H16" i="23"/>
  <c r="I16" i="23" s="1"/>
  <c r="G8" i="23"/>
  <c r="H8" i="23"/>
  <c r="I8" i="23" s="1"/>
  <c r="H10" i="22"/>
  <c r="I10" i="22" s="1"/>
  <c r="G10" i="22"/>
  <c r="J14" i="22"/>
  <c r="K14" i="22" s="1"/>
  <c r="J12" i="22"/>
  <c r="K12" i="22" s="1"/>
  <c r="H9" i="22"/>
  <c r="I9" i="22" s="1"/>
  <c r="J9" i="22" s="1"/>
  <c r="G9" i="22"/>
  <c r="J8" i="22"/>
  <c r="K8" i="22" s="1"/>
  <c r="J6" i="25" l="1"/>
  <c r="K6" i="25" s="1"/>
  <c r="K7" i="25"/>
  <c r="J15" i="25"/>
  <c r="K15" i="25" s="1"/>
  <c r="I15" i="25"/>
  <c r="I14" i="25"/>
  <c r="J14" i="25"/>
  <c r="K14" i="25" s="1"/>
  <c r="I23" i="25"/>
  <c r="J23" i="25"/>
  <c r="K23" i="25" s="1"/>
  <c r="J8" i="25"/>
  <c r="K8" i="25" s="1"/>
  <c r="K9" i="25"/>
  <c r="J10" i="24"/>
  <c r="K10" i="24" s="1"/>
  <c r="I10" i="24"/>
  <c r="I13" i="24"/>
  <c r="J13" i="24"/>
  <c r="K13" i="24" s="1"/>
  <c r="J10" i="22"/>
  <c r="K10" i="22" s="1"/>
  <c r="E83" i="4" l="1"/>
  <c r="G83" i="4" s="1"/>
  <c r="I83" i="4" s="1"/>
  <c r="K83" i="4" s="1"/>
  <c r="E85" i="4"/>
  <c r="G85" i="4" s="1"/>
  <c r="I85" i="4" s="1"/>
  <c r="K85" i="4" s="1"/>
  <c r="E84" i="4"/>
  <c r="G84" i="4" s="1"/>
  <c r="I84" i="4" s="1"/>
  <c r="K84" i="4" s="1"/>
  <c r="E82" i="4"/>
  <c r="G82" i="4" s="1"/>
  <c r="I82" i="4" s="1"/>
  <c r="K82" i="4" s="1"/>
  <c r="G86" i="4"/>
  <c r="I86" i="4" s="1"/>
  <c r="K86" i="4" s="1"/>
  <c r="E86" i="4"/>
  <c r="G81" i="4"/>
  <c r="I81" i="4" s="1"/>
  <c r="K81" i="4" s="1"/>
  <c r="E81" i="4"/>
  <c r="G79" i="4"/>
  <c r="I79" i="4" s="1"/>
  <c r="K79" i="4" s="1"/>
  <c r="E79" i="4"/>
  <c r="E78" i="4"/>
  <c r="G78" i="4" s="1"/>
  <c r="I78" i="4" s="1"/>
  <c r="K78" i="4" s="1"/>
  <c r="E77" i="4"/>
  <c r="G77" i="4" s="1"/>
  <c r="I77" i="4" s="1"/>
  <c r="K77" i="4" s="1"/>
  <c r="E76" i="4"/>
  <c r="G76" i="4" s="1"/>
  <c r="I76" i="4" s="1"/>
  <c r="K76" i="4" s="1"/>
  <c r="G75" i="4"/>
  <c r="I75" i="4" s="1"/>
  <c r="K75" i="4" s="1"/>
  <c r="E75" i="4"/>
  <c r="E74" i="4"/>
  <c r="G74" i="4" s="1"/>
  <c r="I74" i="4" s="1"/>
  <c r="K74" i="4" s="1"/>
  <c r="E73" i="4"/>
  <c r="G73" i="4" s="1"/>
  <c r="I73" i="4" s="1"/>
  <c r="K73" i="4" s="1"/>
  <c r="E72" i="4"/>
  <c r="G72" i="4" s="1"/>
  <c r="I72" i="4" s="1"/>
  <c r="K72" i="4" s="1"/>
  <c r="G71" i="4"/>
  <c r="I71" i="4" s="1"/>
  <c r="K71" i="4" s="1"/>
  <c r="E71" i="4"/>
  <c r="E70" i="4"/>
  <c r="G70" i="4" s="1"/>
  <c r="I70" i="4" s="1"/>
  <c r="K70" i="4" s="1"/>
  <c r="E69" i="4"/>
  <c r="G69" i="4" s="1"/>
  <c r="I69" i="4" s="1"/>
  <c r="K69" i="4" s="1"/>
  <c r="G68" i="4"/>
  <c r="I68" i="4" s="1"/>
  <c r="K68" i="4" s="1"/>
  <c r="E68" i="4"/>
  <c r="E67" i="4"/>
  <c r="G67" i="4" s="1"/>
  <c r="I67" i="4" s="1"/>
  <c r="K67" i="4" s="1"/>
  <c r="E66" i="4"/>
  <c r="G66" i="4" s="1"/>
  <c r="I66" i="4" s="1"/>
  <c r="K66" i="4" s="1"/>
  <c r="E65" i="4"/>
  <c r="G65" i="4" s="1"/>
  <c r="I65" i="4" s="1"/>
  <c r="K65" i="4" s="1"/>
  <c r="G64" i="4"/>
  <c r="I64" i="4" s="1"/>
  <c r="K64" i="4" s="1"/>
  <c r="E64" i="4"/>
  <c r="E63" i="4"/>
  <c r="G63" i="4" s="1"/>
  <c r="I63" i="4" s="1"/>
  <c r="K63" i="4" s="1"/>
  <c r="E62" i="4"/>
  <c r="G62" i="4" s="1"/>
  <c r="I62" i="4" s="1"/>
  <c r="K62" i="4" s="1"/>
  <c r="E61" i="4"/>
  <c r="G61" i="4" s="1"/>
  <c r="I61" i="4" s="1"/>
  <c r="K61" i="4" s="1"/>
  <c r="G60" i="4"/>
  <c r="I60" i="4" s="1"/>
  <c r="K60" i="4" s="1"/>
  <c r="E60" i="4"/>
  <c r="E59" i="4"/>
  <c r="G59" i="4" s="1"/>
  <c r="I59" i="4" s="1"/>
  <c r="K59" i="4" s="1"/>
  <c r="E58" i="4"/>
  <c r="G58" i="4" s="1"/>
  <c r="I58" i="4" s="1"/>
  <c r="K58" i="4" s="1"/>
  <c r="E57" i="4"/>
  <c r="G57" i="4" s="1"/>
  <c r="I57" i="4" s="1"/>
  <c r="K57" i="4" s="1"/>
  <c r="G56" i="4"/>
  <c r="I56" i="4" s="1"/>
  <c r="K56" i="4" s="1"/>
  <c r="E56" i="4"/>
  <c r="E55" i="4"/>
  <c r="G55" i="4" s="1"/>
  <c r="I55" i="4" s="1"/>
  <c r="K55" i="4" s="1"/>
  <c r="E54" i="4"/>
  <c r="G54" i="4" s="1"/>
  <c r="I54" i="4" s="1"/>
  <c r="K54" i="4" s="1"/>
  <c r="E53" i="4"/>
  <c r="G53" i="4" s="1"/>
  <c r="I53" i="4" s="1"/>
  <c r="K53" i="4" s="1"/>
  <c r="G51" i="4"/>
  <c r="I51" i="4" s="1"/>
  <c r="K51" i="4" s="1"/>
  <c r="E51" i="4"/>
  <c r="E50" i="4"/>
  <c r="G50" i="4" s="1"/>
  <c r="I50" i="4" s="1"/>
  <c r="K50" i="4" s="1"/>
  <c r="E49" i="4"/>
  <c r="G49" i="4" s="1"/>
  <c r="I49" i="4" s="1"/>
  <c r="K49" i="4" s="1"/>
  <c r="E48" i="4"/>
  <c r="G48" i="4" s="1"/>
  <c r="I48" i="4" s="1"/>
  <c r="K48" i="4" s="1"/>
  <c r="G47" i="4"/>
  <c r="I47" i="4" s="1"/>
  <c r="K47" i="4" s="1"/>
  <c r="E47" i="4"/>
  <c r="E46" i="4"/>
  <c r="G46" i="4" s="1"/>
  <c r="I46" i="4" s="1"/>
  <c r="K46" i="4" s="1"/>
  <c r="L45" i="4"/>
  <c r="L44" i="4"/>
  <c r="J44" i="4"/>
  <c r="H44" i="4"/>
  <c r="F44" i="4"/>
  <c r="E43" i="4"/>
  <c r="G43" i="4" s="1"/>
  <c r="I43" i="4" s="1"/>
  <c r="K43" i="4" s="1"/>
  <c r="G42" i="4"/>
  <c r="I42" i="4" s="1"/>
  <c r="K42" i="4" s="1"/>
  <c r="E42" i="4"/>
  <c r="E41" i="4"/>
  <c r="G41" i="4" s="1"/>
  <c r="I41" i="4" s="1"/>
  <c r="K41" i="4" s="1"/>
  <c r="E40" i="4"/>
  <c r="G40" i="4" s="1"/>
  <c r="I40" i="4" s="1"/>
  <c r="K40" i="4" s="1"/>
  <c r="E35" i="4"/>
  <c r="G35" i="4" s="1"/>
  <c r="I35" i="4" s="1"/>
  <c r="K35" i="4" s="1"/>
  <c r="G34" i="4"/>
  <c r="I34" i="4" s="1"/>
  <c r="K34" i="4" s="1"/>
  <c r="E34" i="4"/>
  <c r="E33" i="4"/>
  <c r="G33" i="4" s="1"/>
  <c r="I33" i="4" s="1"/>
  <c r="K33" i="4" s="1"/>
  <c r="E32" i="4"/>
  <c r="G32" i="4" s="1"/>
  <c r="I32" i="4" s="1"/>
  <c r="K32" i="4" s="1"/>
  <c r="E31" i="4"/>
  <c r="G31" i="4" s="1"/>
  <c r="I31" i="4" s="1"/>
  <c r="K31" i="4" s="1"/>
  <c r="E30" i="4"/>
  <c r="G30" i="4" s="1"/>
  <c r="I30" i="4" s="1"/>
  <c r="K30" i="4" s="1"/>
  <c r="E29" i="4"/>
  <c r="G29" i="4" s="1"/>
  <c r="I29" i="4" s="1"/>
  <c r="K29" i="4" s="1"/>
  <c r="E28" i="4"/>
  <c r="G28" i="4" s="1"/>
  <c r="I28" i="4" s="1"/>
  <c r="K28" i="4" s="1"/>
  <c r="G25" i="4"/>
  <c r="I25" i="4" s="1"/>
  <c r="K25" i="4" s="1"/>
  <c r="E25" i="4"/>
  <c r="E23" i="4"/>
  <c r="G23" i="4" s="1"/>
  <c r="I23" i="4" s="1"/>
  <c r="K23" i="4" s="1"/>
  <c r="L21" i="4"/>
  <c r="J21" i="4"/>
  <c r="H21" i="4"/>
  <c r="F21" i="4"/>
  <c r="E20" i="4"/>
  <c r="G20" i="4" s="1"/>
  <c r="I20" i="4" s="1"/>
  <c r="K20" i="4" s="1"/>
  <c r="E19" i="4"/>
  <c r="G19" i="4" s="1"/>
  <c r="I19" i="4" s="1"/>
  <c r="K19" i="4" s="1"/>
  <c r="E17" i="4"/>
  <c r="G17" i="4" s="1"/>
  <c r="I17" i="4" s="1"/>
  <c r="K17" i="4" s="1"/>
  <c r="E18" i="4"/>
  <c r="G18" i="4" s="1"/>
  <c r="I18" i="4" s="1"/>
  <c r="K18" i="4" s="1"/>
  <c r="E16" i="4"/>
  <c r="G16" i="4" s="1"/>
  <c r="I16" i="4" s="1"/>
  <c r="K16" i="4" s="1"/>
  <c r="E14" i="4"/>
  <c r="G14" i="4" s="1"/>
  <c r="I14" i="4" s="1"/>
  <c r="K14" i="4" s="1"/>
  <c r="E13" i="4"/>
  <c r="G13" i="4" s="1"/>
  <c r="I13" i="4" s="1"/>
  <c r="K13" i="4" s="1"/>
  <c r="E10" i="4"/>
  <c r="G10" i="4" s="1"/>
  <c r="I10" i="4" s="1"/>
  <c r="K10" i="4" s="1"/>
  <c r="E9" i="4"/>
  <c r="G9" i="4" s="1"/>
  <c r="I9" i="4" s="1"/>
  <c r="K9" i="4" s="1"/>
  <c r="E8" i="4"/>
  <c r="G8" i="4" s="1"/>
  <c r="I8" i="4" s="1"/>
  <c r="K8" i="4" s="1"/>
  <c r="E7" i="4"/>
  <c r="G7" i="4" s="1"/>
  <c r="I7" i="4" s="1"/>
  <c r="K7" i="4" s="1"/>
  <c r="E6" i="4"/>
  <c r="G6" i="4" s="1"/>
  <c r="I6" i="4" s="1"/>
  <c r="K6" i="4" s="1"/>
  <c r="E5" i="4"/>
  <c r="G5" i="4" s="1"/>
  <c r="I5" i="4" s="1"/>
  <c r="K5" i="4" s="1"/>
  <c r="K65" i="17" l="1"/>
  <c r="I65" i="17"/>
  <c r="G65" i="17"/>
  <c r="E65" i="17"/>
  <c r="C65" i="17"/>
  <c r="J65" i="17" l="1"/>
  <c r="H65" i="17"/>
  <c r="L65" i="17"/>
  <c r="F65" i="17"/>
  <c r="L34" i="36"/>
  <c r="J34" i="36"/>
  <c r="H34" i="36"/>
  <c r="F34" i="36"/>
  <c r="A29" i="6"/>
</calcChain>
</file>

<file path=xl/sharedStrings.xml><?xml version="1.0" encoding="utf-8"?>
<sst xmlns="http://schemas.openxmlformats.org/spreadsheetml/2006/main" count="2453" uniqueCount="1000">
  <si>
    <t>р/т</t>
  </si>
  <si>
    <t>Нишондињандањо</t>
  </si>
  <si>
    <t>Воњиди
 ченак</t>
  </si>
  <si>
    <t>Соли 2023</t>
  </si>
  <si>
    <t>Параметрњои дурнамо</t>
  </si>
  <si>
    <t>Ҳисобот</t>
  </si>
  <si>
    <t>Бањодињӣ</t>
  </si>
  <si>
    <t>нисбат ба соли 2022 (бо фоиз)</t>
  </si>
  <si>
    <t>Дурнамо</t>
  </si>
  <si>
    <t>нисбат ба соли 2023 (бо фоиз)</t>
  </si>
  <si>
    <t>Дурнамои соли 2025</t>
  </si>
  <si>
    <t>нисбат ба соли 2024 (бо фоиз)</t>
  </si>
  <si>
    <t>Дурнамои соли 2026</t>
  </si>
  <si>
    <t>нисбат ба соли 2025 (бо фоиз)</t>
  </si>
  <si>
    <t>БОБИ 1. НИШОНДИҲАНДАҲОИ АСОСИИ МАКРОИҚТИСОДӢ</t>
  </si>
  <si>
    <t>1.</t>
  </si>
  <si>
    <t>Шумораи ањолии доимӣ 
(ба њисоби миёнаи  солона)</t>
  </si>
  <si>
    <r>
      <rPr>
        <sz val="8"/>
        <rFont val="Times New Roman Tj"/>
        <family val="1"/>
        <charset val="204"/>
      </rPr>
      <t>Њ</t>
    </r>
    <r>
      <rPr>
        <sz val="12"/>
        <rFont val="Times New Roman Tj"/>
        <family val="1"/>
        <charset val="204"/>
      </rPr>
      <t>азор нафар</t>
    </r>
  </si>
  <si>
    <t>2.</t>
  </si>
  <si>
    <t>Маљмўи мањсулоти дохилї (ММД) бо нархњои дурнамои солњои дахлдор</t>
  </si>
  <si>
    <t>млн сомонї</t>
  </si>
  <si>
    <t>3.</t>
  </si>
  <si>
    <t>Индекс-дефлятори ММД</t>
  </si>
  <si>
    <t xml:space="preserve">бо фоиз </t>
  </si>
  <si>
    <t>4.</t>
  </si>
  <si>
    <t>ММД ба њар сари ањолї</t>
  </si>
  <si>
    <t>сомонї</t>
  </si>
  <si>
    <t>5.</t>
  </si>
  <si>
    <t>Индекси нархњои истеъмолї (сатњи таваррум)*</t>
  </si>
  <si>
    <t>-</t>
  </si>
  <si>
    <t>6.</t>
  </si>
  <si>
    <t>Ќурби расмии сомонї нисбат ба як доллари ИМА (миёнасолона)*</t>
  </si>
  <si>
    <t>Саноат</t>
  </si>
  <si>
    <t>7.</t>
  </si>
  <si>
    <t>Њаљми мањсулоти саноатї бо нархњои дурнамои солњои дахлдор</t>
  </si>
  <si>
    <t>Кишоварзї</t>
  </si>
  <si>
    <t>8.</t>
  </si>
  <si>
    <t>Њаљми мањсулоти умумии кишоварзї бо нархњои дурнамои солњои дахлдор</t>
  </si>
  <si>
    <t>Наќлиёт</t>
  </si>
  <si>
    <t>9.</t>
  </si>
  <si>
    <t>Њаљми боркашонї тавассути њамаи намудњои наќлиёт</t>
  </si>
  <si>
    <t>млн  тонна</t>
  </si>
  <si>
    <t>10.</t>
  </si>
  <si>
    <t>Мусофиркашонї тавассути њамаи намудњои наќлиёт</t>
  </si>
  <si>
    <t>млн
мусофир</t>
  </si>
  <si>
    <t>Бозори истеъмолї</t>
  </si>
  <si>
    <t>11.</t>
  </si>
  <si>
    <t>Њаљми умумии гардиши савдои дохилӣ бо нархњои дурнамои солњои дахлдор</t>
  </si>
  <si>
    <t>12.</t>
  </si>
  <si>
    <t>аз он љумла:                                         гардиши савдои чакана</t>
  </si>
  <si>
    <t>13.</t>
  </si>
  <si>
    <t>Ҳаљми умумии хизматрасонии пулакї бо нархњои дурнамои солњои дахлдор</t>
  </si>
  <si>
    <t>14.</t>
  </si>
  <si>
    <t>аз он љумла:                                         хизматрасонињои пулакї ба ањолї</t>
  </si>
  <si>
    <t>Фаъолияти иќтисодии хориљї</t>
  </si>
  <si>
    <t>15.</t>
  </si>
  <si>
    <t xml:space="preserve">Гардиши савдои хориљї - ҳамагӣ </t>
  </si>
  <si>
    <t>млн доллар</t>
  </si>
  <si>
    <t>16.</t>
  </si>
  <si>
    <t>аз љумла:                                              - содирот</t>
  </si>
  <si>
    <t>17.</t>
  </si>
  <si>
    <t xml:space="preserve"> - воридот</t>
  </si>
  <si>
    <t>Намудњои асосии захирањои содиротї</t>
  </si>
  <si>
    <t>18.</t>
  </si>
  <si>
    <t>Неруи барќ</t>
  </si>
  <si>
    <t>млн кВт/с</t>
  </si>
  <si>
    <t>19.</t>
  </si>
  <si>
    <t>Алюминийи аввалия</t>
  </si>
  <si>
    <t>њазор тонна</t>
  </si>
  <si>
    <t>20.</t>
  </si>
  <si>
    <t>Нахи пахта</t>
  </si>
  <si>
    <t>21.</t>
  </si>
  <si>
    <t>Мањсулоти меваю сабзавот</t>
  </si>
  <si>
    <t>22.</t>
  </si>
  <si>
    <t>аз он љумла:                                                                         хушкмева</t>
  </si>
  <si>
    <t>23.</t>
  </si>
  <si>
    <t>меваҳои тару тоза</t>
  </si>
  <si>
    <t>24.</t>
  </si>
  <si>
    <t>пиёз</t>
  </si>
  <si>
    <t>25.</t>
  </si>
  <si>
    <t>Маъданњо ва консентратњо</t>
  </si>
  <si>
    <t>26.</t>
  </si>
  <si>
    <t>Семент</t>
  </si>
  <si>
    <t>27.</t>
  </si>
  <si>
    <t>Мањсулоти љўроббофї</t>
  </si>
  <si>
    <t>28.</t>
  </si>
  <si>
    <t>Калобаи пахтагин</t>
  </si>
  <si>
    <t>29.</t>
  </si>
  <si>
    <t>Матоъњои пахтагини тайёр</t>
  </si>
  <si>
    <t>Намудњои асосии захирањои воридотї</t>
  </si>
  <si>
    <t>30.</t>
  </si>
  <si>
    <t>Чӯбу тахта ва маснуот аз он</t>
  </si>
  <si>
    <t>31.</t>
  </si>
  <si>
    <t xml:space="preserve">Какао ва маҳсулот аз он </t>
  </si>
  <si>
    <t>32.</t>
  </si>
  <si>
    <t xml:space="preserve">Мањсулоти макаронї </t>
  </si>
  <si>
    <t>33.</t>
  </si>
  <si>
    <t>Гӯшт ва маҳсулоти гӯштӣ</t>
  </si>
  <si>
    <t>34.</t>
  </si>
  <si>
    <t>35.</t>
  </si>
  <si>
    <t>Гилхок</t>
  </si>
  <si>
    <t>36.</t>
  </si>
  <si>
    <t>Гази моеъ</t>
  </si>
  <si>
    <t>37.</t>
  </si>
  <si>
    <t>Гази табиї</t>
  </si>
  <si>
    <r>
      <t>млн м</t>
    </r>
    <r>
      <rPr>
        <vertAlign val="superscript"/>
        <sz val="13.5"/>
        <rFont val="Times New Roman Tj"/>
        <family val="1"/>
        <charset val="204"/>
      </rPr>
      <t>3</t>
    </r>
  </si>
  <si>
    <t>38.</t>
  </si>
  <si>
    <t>Мањсулоти нафтї                                                      аз он љумла:</t>
  </si>
  <si>
    <t>39.</t>
  </si>
  <si>
    <t>бензин</t>
  </si>
  <si>
    <t>40.</t>
  </si>
  <si>
    <t>сўзишвории дизелї</t>
  </si>
  <si>
    <t>41.</t>
  </si>
  <si>
    <t>Гандум</t>
  </si>
  <si>
    <t>42.</t>
  </si>
  <si>
    <t>Орд</t>
  </si>
  <si>
    <t>43.</t>
  </si>
  <si>
    <t>Равғани растанӣ ва чарбуҳо</t>
  </si>
  <si>
    <t>44.</t>
  </si>
  <si>
    <t>Шакар</t>
  </si>
  <si>
    <t>45.</t>
  </si>
  <si>
    <t>Нурињои минералї</t>
  </si>
  <si>
    <t>Фаъолияти сармоягузорї</t>
  </si>
  <si>
    <t>46.</t>
  </si>
  <si>
    <t>Маблаѓгузорї ба сармояи асосї аз њисоби њамаи манбаъњои маблаѓгузорї</t>
  </si>
  <si>
    <t>47.</t>
  </si>
  <si>
    <t>аз љумла,
аз њисоби маблаѓњои буљети давлатї</t>
  </si>
  <si>
    <t>48.</t>
  </si>
  <si>
    <t>Сармоягузорињои хориљӣ                                                                          (қарз, грант, мустақим)</t>
  </si>
  <si>
    <t>БОБИ 2. НИШОНДИҲАНДАҲОИ АСОСИИ РУШДИ СОҲАҲОИ ИҚТИСОДИЁТ</t>
  </si>
  <si>
    <t>Истењсоли муњимтарин намудњои мањсулоти саноатї</t>
  </si>
  <si>
    <t>49.</t>
  </si>
  <si>
    <t>50.</t>
  </si>
  <si>
    <t>Нафт</t>
  </si>
  <si>
    <t>51.</t>
  </si>
  <si>
    <t>њазор  м3</t>
  </si>
  <si>
    <t>52.</t>
  </si>
  <si>
    <t>Ангишт</t>
  </si>
  <si>
    <t>53.</t>
  </si>
  <si>
    <t>54.</t>
  </si>
  <si>
    <t>55.</t>
  </si>
  <si>
    <t xml:space="preserve">Нахи пахта </t>
  </si>
  <si>
    <t>56.</t>
  </si>
  <si>
    <t>Калобаи (ресмони) пахтагин</t>
  </si>
  <si>
    <t>57.</t>
  </si>
  <si>
    <t>Матоъњои тайёри пахтагин</t>
  </si>
  <si>
    <t>млн. м2</t>
  </si>
  <si>
    <t>58.</t>
  </si>
  <si>
    <t>Қолинҳо ва маснуоти қолин</t>
  </si>
  <si>
    <t>59.</t>
  </si>
  <si>
    <t>Пойафзол</t>
  </si>
  <si>
    <t>њазор ҷуфт</t>
  </si>
  <si>
    <t>60.</t>
  </si>
  <si>
    <t>Консерваи меваю сабзавот</t>
  </si>
  <si>
    <t>млн ќуттии шартї</t>
  </si>
  <si>
    <t>61.</t>
  </si>
  <si>
    <t>Равѓани растанї</t>
  </si>
  <si>
    <t>62.</t>
  </si>
  <si>
    <t>Мањсулоти ќаннодї</t>
  </si>
  <si>
    <t>63.</t>
  </si>
  <si>
    <t>Мањсулоти макаронї</t>
  </si>
  <si>
    <t>64.</t>
  </si>
  <si>
    <t>Гўшт ва каллапочаи навъи якум</t>
  </si>
  <si>
    <t>65.</t>
  </si>
  <si>
    <t>Мањсулоти шири холис</t>
  </si>
  <si>
    <t>66.</t>
  </si>
  <si>
    <t>Либосњои мактабї</t>
  </si>
  <si>
    <t>њазор дона</t>
  </si>
  <si>
    <t>67.</t>
  </si>
  <si>
    <t>Истењсоли намудњои асосии мањсулоти кишоварзї</t>
  </si>
  <si>
    <t>68.</t>
  </si>
  <si>
    <t>Ѓалладонагиҳо</t>
  </si>
  <si>
    <t>69.</t>
  </si>
  <si>
    <t>аз љумла:                                                                                      гандум</t>
  </si>
  <si>
    <t>70.</t>
  </si>
  <si>
    <t>Пахта</t>
  </si>
  <si>
    <t>71.</t>
  </si>
  <si>
    <t>Картошка</t>
  </si>
  <si>
    <t>72.</t>
  </si>
  <si>
    <t xml:space="preserve">Сабзавот </t>
  </si>
  <si>
    <t>73.</t>
  </si>
  <si>
    <t>аз он љумла:                                                                                       пиёз</t>
  </si>
  <si>
    <t>74.</t>
  </si>
  <si>
    <t>Мевагї</t>
  </si>
  <si>
    <t>75.</t>
  </si>
  <si>
    <t>Ангур</t>
  </si>
  <si>
    <t>76.</t>
  </si>
  <si>
    <t>Полезии хўрокворї</t>
  </si>
  <si>
    <t>77.</t>
  </si>
  <si>
    <t>Гўшти чорво ва паранда (бо вазни зинда)</t>
  </si>
  <si>
    <t>78.</t>
  </si>
  <si>
    <t>аз љумла гӯшти паранда</t>
  </si>
  <si>
    <t>79.</t>
  </si>
  <si>
    <t>Моњї</t>
  </si>
  <si>
    <t>80.</t>
  </si>
  <si>
    <t>Шир</t>
  </si>
  <si>
    <t>81.</t>
  </si>
  <si>
    <t>Асал</t>
  </si>
  <si>
    <t>82.</t>
  </si>
  <si>
    <t>Пилла</t>
  </si>
  <si>
    <t>тонна</t>
  </si>
  <si>
    <t>83.</t>
  </si>
  <si>
    <t>Тухм</t>
  </si>
  <si>
    <t>млрд. дона</t>
  </si>
  <si>
    <t>БОБИ 3. НИШОНДИҲАНДАҲОИ РУШДИ СОҲАИ ИҶТИМОӢ</t>
  </si>
  <si>
    <t>84.</t>
  </si>
  <si>
    <t>Ќабули донишљўён ба муассисањои тањсилоти олии касбї аз њисоби њамаи манбаъњои маблаѓгузорӣ</t>
  </si>
  <si>
    <t>нафар</t>
  </si>
  <si>
    <t>85.</t>
  </si>
  <si>
    <t>аз љумла аз њисоби маблаѓњои буљети давлатӣ</t>
  </si>
  <si>
    <t>86.</t>
  </si>
  <si>
    <t>Ќабули донишљўён ба муассисањои тањсилоти олии касбии давлатњои хориљї</t>
  </si>
  <si>
    <t>87.</t>
  </si>
  <si>
    <t>аз љумла аз њисоби маблаѓњои буљети давлатӣ (Дурахшандагон)</t>
  </si>
  <si>
    <t>88.</t>
  </si>
  <si>
    <t>Ќабули донишљўён ба муассисањои тањсилоти миёнаи касбї</t>
  </si>
  <si>
    <t>89.</t>
  </si>
  <si>
    <t>аз љумла аз њисоби буљети давлатӣ</t>
  </si>
  <si>
    <t>90.</t>
  </si>
  <si>
    <t>Ќабули донишљўён ба муассисањои тањсилоти ибтидоии касбї</t>
  </si>
  <si>
    <t>91.</t>
  </si>
  <si>
    <t>92.</t>
  </si>
  <si>
    <t>Ќабули магистрон ба муассисањои тањсилоти олии касбї ва илмии љумњурӣ</t>
  </si>
  <si>
    <t>93.</t>
  </si>
  <si>
    <t>94.</t>
  </si>
  <si>
    <t>Ќабули докторон аз рўи ихтисос (PhD) ба муассисањои тањсилоти олии касбї ва илмии љумњурї</t>
  </si>
  <si>
    <t>95.</t>
  </si>
  <si>
    <t>96.</t>
  </si>
  <si>
    <t>Шумораи муассисањои тандурустӣ</t>
  </si>
  <si>
    <t>адад</t>
  </si>
  <si>
    <t>97.</t>
  </si>
  <si>
    <t>Маблаѓгузорї барои гузаронидани корњои илмию тањќиќотї ва таљрибавию конструкторї аз њисоби маблаѓњои буљети давлатї</t>
  </si>
  <si>
    <t>млн сомонӣ</t>
  </si>
  <si>
    <t>Шуғли аҳолӣ</t>
  </si>
  <si>
    <t>98.</t>
  </si>
  <si>
    <t>Захирањои мењнатї</t>
  </si>
  <si>
    <t>ҳазор нафар</t>
  </si>
  <si>
    <t>99.</t>
  </si>
  <si>
    <t>Ањолии ба кор машѓул</t>
  </si>
  <si>
    <t>100.</t>
  </si>
  <si>
    <t>Шумораи љойњои нави кории ташкилшаванда</t>
  </si>
  <si>
    <t xml:space="preserve">ҳазор љой </t>
  </si>
  <si>
    <t xml:space="preserve">  (млн. сомонї)</t>
  </si>
  <si>
    <t>бо нархњои дурнамои солњои дахлдор</t>
  </si>
  <si>
    <t>суръати афзоиши воќеї (бо фоиз)</t>
  </si>
  <si>
    <t>бо нархњои муќоисавї</t>
  </si>
  <si>
    <t>соли 2025</t>
  </si>
  <si>
    <t>соли 2026</t>
  </si>
  <si>
    <t xml:space="preserve">Саноати љумњурї њамагї </t>
  </si>
  <si>
    <t>аз он љумла:</t>
  </si>
  <si>
    <t xml:space="preserve">Саноати истихрољи маъдан (С) </t>
  </si>
  <si>
    <t>аз он:</t>
  </si>
  <si>
    <t xml:space="preserve">истихрољи маводњои энергетикї (СА) </t>
  </si>
  <si>
    <r>
      <t>аз он љумла</t>
    </r>
    <r>
      <rPr>
        <sz val="14"/>
        <rFont val="Times New Roman Tj"/>
        <family val="1"/>
        <charset val="204"/>
      </rPr>
      <t>:</t>
    </r>
  </si>
  <si>
    <t xml:space="preserve">истихрољи ангиштсанг ва бур (С10) </t>
  </si>
  <si>
    <t xml:space="preserve">истихрољи нафти хом ва гази табиї (С11) </t>
  </si>
  <si>
    <t>истихрољи маводњои ѓайриэнергетикї (СВ)</t>
  </si>
  <si>
    <t xml:space="preserve">истихрочи маъдани филизї (С13) </t>
  </si>
  <si>
    <t xml:space="preserve">истихрољи дигар канданињои фоиданок (С14) </t>
  </si>
  <si>
    <t xml:space="preserve">Саноати коркард (D) </t>
  </si>
  <si>
    <t>Аз он:</t>
  </si>
  <si>
    <t>истењсоли маводи хўрока, якљоя бо нўшокињо ва тамоку (DА)</t>
  </si>
  <si>
    <t>истењсоли мањсулоти хўрока</t>
  </si>
  <si>
    <t xml:space="preserve">истењсоли маснуоти тамоку (D16) </t>
  </si>
  <si>
    <t xml:space="preserve">истењсоли нассољї ва дўзандагї, чарм ва истехсоли пойафзол  (DВ) </t>
  </si>
  <si>
    <t xml:space="preserve">истењсоли нассољї (D17) </t>
  </si>
  <si>
    <t xml:space="preserve">истењсоли дўзандагї (D18) </t>
  </si>
  <si>
    <t xml:space="preserve">истењсоли чарм ва истехсоли пойафзол </t>
  </si>
  <si>
    <t xml:space="preserve">Коркарди чўбу тахта ва истењсолоти маснуот аз чўб фаъолияти табу нашр (DD) </t>
  </si>
  <si>
    <t xml:space="preserve">Коркарди чўбу  ва истењсолоти маснуот аз чўб ғайр аз мебел(DD) </t>
  </si>
  <si>
    <t>истењсоли ќоѓаз, ва картон</t>
  </si>
  <si>
    <t>истењсоли селулоза, ќоѓаз, фаъолияти табъу нашр (DЕ)</t>
  </si>
  <si>
    <t>истењсоли махсулоти нафт</t>
  </si>
  <si>
    <t>истењсоли махсулоти фармасевтики</t>
  </si>
  <si>
    <t xml:space="preserve">Истењсоли кимиёвї (DG) </t>
  </si>
  <si>
    <t xml:space="preserve">Истењсоли маснуоти резинї ва пластмассї (DH) </t>
  </si>
  <si>
    <t>Истењсоли њаргуна мањсулоти ѓайрифилизии маъданї (DI)</t>
  </si>
  <si>
    <t xml:space="preserve">Истењсоли металлургї ва истењсоли маснуоти тайёри филизї (DJ) </t>
  </si>
  <si>
    <t xml:space="preserve">истењсоли металлургї </t>
  </si>
  <si>
    <t>истењсоли маснуоти тайёри филизї мошинсозї</t>
  </si>
  <si>
    <t>истењсоли мошинолот ва таљњизот (DK)</t>
  </si>
  <si>
    <t xml:space="preserve">истењсоли таљњизоти барќї (DL) </t>
  </si>
  <si>
    <t xml:space="preserve">истењсоли воситањои наќлиёт ва дастгоњњо (DM) </t>
  </si>
  <si>
    <t xml:space="preserve">Дигар соњањои саноат (DN) </t>
  </si>
  <si>
    <t xml:space="preserve">Таъминоти нерўи барќ, газ, буѓ  ва тозакунии њаво </t>
  </si>
  <si>
    <t xml:space="preserve">Таъминоти об, тозакунї, коркарди партовњо ва дастрасии коркарди дуюминдараља </t>
  </si>
  <si>
    <t xml:space="preserve">Нишондињандањо </t>
  </si>
  <si>
    <t>Ҳаҷми истеҳсоли маҳсулоти саноатӣ - млн. сомонӣ</t>
  </si>
  <si>
    <t>ВМКБ</t>
  </si>
  <si>
    <t>вилояти Суғд</t>
  </si>
  <si>
    <t>вилояти Хатлон</t>
  </si>
  <si>
    <t>шањри Душанбе</t>
  </si>
  <si>
    <t>ноњияи Рўдакї</t>
  </si>
  <si>
    <t>ноњияи Варзоб</t>
  </si>
  <si>
    <t>шањри Њисор</t>
  </si>
  <si>
    <t>шањри Турсунзода</t>
  </si>
  <si>
    <t>шањри Вањдат</t>
  </si>
  <si>
    <t>ноњияи Лахш</t>
  </si>
  <si>
    <t>ноњияи Тољикобод</t>
  </si>
  <si>
    <t>ноњияи Нуробод</t>
  </si>
  <si>
    <t>ноњияи Шањринав</t>
  </si>
  <si>
    <t>ноњияи Файзобод</t>
  </si>
  <si>
    <t>шањри Роѓун</t>
  </si>
  <si>
    <t>ноњияи Рашт</t>
  </si>
  <si>
    <t>ноњияи Сангвор</t>
  </si>
  <si>
    <t xml:space="preserve"> В.Саноати истихрољ  - млн. сомонӣ </t>
  </si>
  <si>
    <t xml:space="preserve">С. Саноати коркард - млн. сомонӣ  </t>
  </si>
  <si>
    <t xml:space="preserve">D. Таъминоти нерӯи барқ, газ, буғ ва тозакунии ҳаво - млн. сомонӣ  </t>
  </si>
  <si>
    <t>Е. Таъминоти об, тозакунӣ, коркарди партовњо ва дастрасии коркарди дуюминдараља - млн. сомонӣ</t>
  </si>
  <si>
    <t xml:space="preserve">        </t>
  </si>
  <si>
    <t>Номгўи молу мањсулот</t>
  </si>
  <si>
    <t>Воњиди ченак</t>
  </si>
  <si>
    <t>Соли 2024</t>
  </si>
  <si>
    <t>Соли 2025</t>
  </si>
  <si>
    <t>Соли 2026</t>
  </si>
  <si>
    <t>бо њаљм</t>
  </si>
  <si>
    <t>бо фоиз</t>
  </si>
  <si>
    <t>Консентрати сурб</t>
  </si>
  <si>
    <t>Консентрати руњ</t>
  </si>
  <si>
    <t>Консентрати сурма</t>
  </si>
  <si>
    <t>Консентрати мис</t>
  </si>
  <si>
    <t>Намаки ошї, истихрољ</t>
  </si>
  <si>
    <t>њазор метри мукааб</t>
  </si>
  <si>
    <t>Рег</t>
  </si>
  <si>
    <t>Регу сангмайда</t>
  </si>
  <si>
    <t>Каогулянт</t>
  </si>
  <si>
    <t>Кислотаи сулфат</t>
  </si>
  <si>
    <t>Автобусњо</t>
  </si>
  <si>
    <t>Мошинњои кишоварзї</t>
  </si>
  <si>
    <t>Маснуоти кабелї (сими печї)</t>
  </si>
  <si>
    <t>њазор километр</t>
  </si>
  <si>
    <t>Симњои печї</t>
  </si>
  <si>
    <t>Маснуоти заргарї</t>
  </si>
  <si>
    <t>њазор сомони</t>
  </si>
  <si>
    <t>Плитањои тарабхонањо</t>
  </si>
  <si>
    <t>њазор адад</t>
  </si>
  <si>
    <t>Трансформаторњои ќуввагї</t>
  </si>
  <si>
    <t>Кабелњои ќуввагї барои шиддатнокии то 1 квт (км)</t>
  </si>
  <si>
    <t>Маснуоти кабелї (симњои луч)</t>
  </si>
  <si>
    <t>Зарфњои шишагин</t>
  </si>
  <si>
    <t>Тахтасангњои мармарї</t>
  </si>
  <si>
    <t>њазор метри мураббаъ</t>
  </si>
  <si>
    <t>Оњаки бинокорї</t>
  </si>
  <si>
    <t>Оњану бетони васлшаванда</t>
  </si>
  <si>
    <t>Гаљи сохтмонї</t>
  </si>
  <si>
    <t>Маснуот аз пластикаи филизї</t>
  </si>
  <si>
    <t>Бензин</t>
  </si>
  <si>
    <t>Сўзишвории дизелї</t>
  </si>
  <si>
    <t>Мазут</t>
  </si>
  <si>
    <t>Битум</t>
  </si>
  <si>
    <t>Асфалт</t>
  </si>
  <si>
    <t>њазор љуфт</t>
  </si>
  <si>
    <t>Пойафзоли резинӣ</t>
  </si>
  <si>
    <t>Мебел</t>
  </si>
  <si>
    <t>Чигити пахта</t>
  </si>
  <si>
    <t>Ресмони пахтагин (калоба)</t>
  </si>
  <si>
    <t>млн. метри мураббаъ</t>
  </si>
  <si>
    <t>Пахтаи курпабоб</t>
  </si>
  <si>
    <t>Мањсулоти дўзандагї</t>
  </si>
  <si>
    <t>Либоси мактабї</t>
  </si>
  <si>
    <t>Маснуоти љўробу пайпоќ</t>
  </si>
  <si>
    <t>Матоъи абрешимии тайёр</t>
  </si>
  <si>
    <t>Матоъи адрас</t>
  </si>
  <si>
    <t>Ќолин ва маснуоти ќолин</t>
  </si>
  <si>
    <t>Мањсулоти доруворї</t>
  </si>
  <si>
    <t>Гўшт ва калапочаи навъи якум</t>
  </si>
  <si>
    <t>Мањсулоти њасиб</t>
  </si>
  <si>
    <t>Маснуоти макаронї</t>
  </si>
  <si>
    <t>Маснуоти ќаннодї</t>
  </si>
  <si>
    <t>Нон ва мањсулоти нонї</t>
  </si>
  <si>
    <t>Консервањои меваю сабзавот</t>
  </si>
  <si>
    <t>млн ќутии шарти</t>
  </si>
  <si>
    <t>Меваи хушк</t>
  </si>
  <si>
    <t>Оби маъданї</t>
  </si>
  <si>
    <t>њазор декалитр</t>
  </si>
  <si>
    <t>Нўшокињои беспирт</t>
  </si>
  <si>
    <t xml:space="preserve"> њазор декалитр</t>
  </si>
  <si>
    <t>Спирти этилии хом</t>
  </si>
  <si>
    <t>Араќ ва мањсулоти ликёру араќ</t>
  </si>
  <si>
    <t>Шароби ангурї</t>
  </si>
  <si>
    <t>њазор дал</t>
  </si>
  <si>
    <t>Оби љав</t>
  </si>
  <si>
    <t>Коняк</t>
  </si>
  <si>
    <t>декалитр</t>
  </si>
  <si>
    <t>Папиросу сигаретњо</t>
  </si>
  <si>
    <t>млн дона</t>
  </si>
  <si>
    <t>Маргарин</t>
  </si>
  <si>
    <t>Панири равѓанї</t>
  </si>
  <si>
    <t>Майонез</t>
  </si>
  <si>
    <t>Равѓани маска</t>
  </si>
  <si>
    <t>Биринљ</t>
  </si>
  <si>
    <t>Хӯроки паранда</t>
  </si>
  <si>
    <t>Ниќоби тиббї</t>
  </si>
  <si>
    <t>Мањлул барои бењдошти шахсї (антисептик)</t>
  </si>
  <si>
    <t>Дастпушакњои тиббї</t>
  </si>
  <si>
    <t>Матои нобофта</t>
  </si>
  <si>
    <t>Тахтањои асбестї(шифер)</t>
  </si>
  <si>
    <t>њазор тахтаи шартї</t>
  </si>
  <si>
    <t>Номгўи корхонањои истењсолї (новобаста аз шакли моликият)</t>
  </si>
  <si>
    <t>бо шумора</t>
  </si>
  <si>
    <t>Њамагї</t>
  </si>
  <si>
    <t>аз он дар соњаи саноат:</t>
  </si>
  <si>
    <t xml:space="preserve">     - саноати истихрољи маъдан</t>
  </si>
  <si>
    <t xml:space="preserve">     - саноати коркард</t>
  </si>
  <si>
    <t xml:space="preserve">    -истењсоли маводи хўрока, якљо бо нўшокињо ва тамоку</t>
  </si>
  <si>
    <t xml:space="preserve">    -истењсоли нассољї ва дузандагї</t>
  </si>
  <si>
    <t xml:space="preserve">    -истењсоли маводи сохтмонї</t>
  </si>
  <si>
    <t xml:space="preserve">    -таъминоти нерўи барќ, газ, буғ ва тозакунии ҳаво</t>
  </si>
  <si>
    <t xml:space="preserve"> -таъминоти об, тозакунї, коркарди партовњо ва дастрасии коркарди дуюмдараља</t>
  </si>
  <si>
    <t>соли 2024</t>
  </si>
  <si>
    <t>Истењсоли нерўи барќ – млн. кВт/с њамагї</t>
  </si>
  <si>
    <t>млн. сомонї</t>
  </si>
  <si>
    <t>Истењсоли нерўи барќ њамагї, бе НБО-њои хурд млн. кВт/с</t>
  </si>
  <si>
    <t>млн.сомонї</t>
  </si>
  <si>
    <t>НБО-и Норак млн. кВт.с</t>
  </si>
  <si>
    <t>млн. сомонӣ</t>
  </si>
  <si>
    <t>НБО-и Бойѓозї млн. кВт.с</t>
  </si>
  <si>
    <t>Силсилаи НБО-и Вахш млн. кВт.с</t>
  </si>
  <si>
    <t>НБО-и Қайроққум млн. кВт.с</t>
  </si>
  <si>
    <t>НБО-и Варзоб млн. кВт.с</t>
  </si>
  <si>
    <t>НБО-и Роѓун млн. кВт.с</t>
  </si>
  <si>
    <t>Ширкати «Помир Энерљї» млн.
кВт/с</t>
  </si>
  <si>
    <t>ЉСК НБО «Сангтўда-1» млн. кВт/с</t>
  </si>
  <si>
    <t>НБО «Сангтўда-2» млн. кВт/с.</t>
  </si>
  <si>
    <t>НБО-ии Хурд млн. кВт.соат</t>
  </si>
  <si>
    <t>Марказњои барќу гармдињї-њамагї, млн. кВт. с</t>
  </si>
  <si>
    <t>МБГ-1 ш.Душанбе млн.кВт.с</t>
  </si>
  <si>
    <t>МБГ-2 ш.Душанбе млн. кВт.с</t>
  </si>
  <si>
    <t>Истењсоли ќувваи гармї-њамагї њаз. Гкал</t>
  </si>
  <si>
    <t>МБГ-1 ш. Душанбе ҳаз. Гкал</t>
  </si>
  <si>
    <t>МБГ-2 ш. Душанбе ҳаз. Гкал</t>
  </si>
  <si>
    <t>Истихрољи нафт (якљоя бо конденсати газї) - њамагї, тонна</t>
  </si>
  <si>
    <t>ЉСК «Нафту газ»</t>
  </si>
  <si>
    <t>ЉДММ «Петролеум - Суѓд»</t>
  </si>
  <si>
    <t>ЉДММ «Салоса»</t>
  </si>
  <si>
    <t>ЉДММ «Азизї-1»</t>
  </si>
  <si>
    <t>ЉСП «Њасан ва К»</t>
  </si>
  <si>
    <t>ЉДММ «Сетос»</t>
  </si>
  <si>
    <r>
      <t>Истихрољи гази табиї –њамагї њаз.м</t>
    </r>
    <r>
      <rPr>
        <b/>
        <vertAlign val="superscript"/>
        <sz val="14"/>
        <color indexed="8"/>
        <rFont val="Times New Roman Tj"/>
        <family val="1"/>
        <charset val="204"/>
      </rPr>
      <t>3</t>
    </r>
    <r>
      <rPr>
        <b/>
        <sz val="14"/>
        <color indexed="8"/>
        <rFont val="Times New Roman Tj"/>
        <family val="1"/>
        <charset val="204"/>
      </rPr>
      <t>,                                                           аз љумла</t>
    </r>
  </si>
  <si>
    <t>ЉДММ «Петролеум – Суѓд»</t>
  </si>
  <si>
    <t>ЉСП «Суѓднафтугаз»</t>
  </si>
  <si>
    <t>Њаљми боркашонї –њамагї (ҳаз. тонна)</t>
  </si>
  <si>
    <t>аз он љумла: бо наќлиёти роњи оњан</t>
  </si>
  <si>
    <t>бо наќлиёти автомобилї њамагї</t>
  </si>
  <si>
    <t xml:space="preserve"> - аз ҷумла бо нақлиёти автомобилии истифодаи умум</t>
  </si>
  <si>
    <t>аз он - боркашонии байналхалќї</t>
  </si>
  <si>
    <t>Гардиши бор – њамагї (млн.т/км)</t>
  </si>
  <si>
    <t>бо наќлиёти роњи оњан</t>
  </si>
  <si>
    <t>Мусофиркашонї – њамагї (њазор мусофир)</t>
  </si>
  <si>
    <t>- бо наќлиёти роњи оњан</t>
  </si>
  <si>
    <t xml:space="preserve"> - бо нақлиёти ҳавоӣ</t>
  </si>
  <si>
    <t>- бо наќлиёти автомобилї – њамагї</t>
  </si>
  <si>
    <t>- мусофиркашонии байналхалќї</t>
  </si>
  <si>
    <t>Бо наќлиёти барќї -троллейбусњо</t>
  </si>
  <si>
    <t>Гардиши мусофирон - њамагї (млн. мусс/км)</t>
  </si>
  <si>
    <t>аз он - мусофиргардиши байналхалќї</t>
  </si>
  <si>
    <t>бо наќлиёти баркї -троллейбусњо</t>
  </si>
  <si>
    <t>Дарозии умумии роњњои автомобилгард – њамагї</t>
  </si>
  <si>
    <t>Роњњои истифодаи умум – њамагї (км)</t>
  </si>
  <si>
    <t>аз он љумла: бо болопўши сахт</t>
  </si>
  <si>
    <t>аз онњо: бо болопўши мукаммал</t>
  </si>
  <si>
    <t>Роњњо аз рўи ањамияташон</t>
  </si>
  <si>
    <r>
      <t>ҷ</t>
    </r>
    <r>
      <rPr>
        <sz val="12"/>
        <color indexed="8"/>
        <rFont val="Times New Roman Tj"/>
        <family val="1"/>
        <charset val="204"/>
      </rPr>
      <t>умњуриявї</t>
    </r>
  </si>
  <si>
    <t>мањаллї</t>
  </si>
  <si>
    <t>Дарозии роњњои оњан – њамагї: (км)</t>
  </si>
  <si>
    <t>аз он дар:</t>
  </si>
  <si>
    <t>вилояти Суѓд</t>
  </si>
  <si>
    <t>ноњияњои тобеи љумњурї</t>
  </si>
  <si>
    <t>Дарозии каналњои телефонии байнишањрї (њаз. канал/км)</t>
  </si>
  <si>
    <t>Шумораи истгоњњои телефонї (адад)</t>
  </si>
  <si>
    <t>Ѓунљоиши истгоњњои телефонї (њаз. раќам)</t>
  </si>
  <si>
    <t>Шумораи дастгоњњои телефонњои асосї (њаз. адад)</t>
  </si>
  <si>
    <t>Шумораи истифодабарандагони алоќаи сотї (њаз. мушт)</t>
  </si>
  <si>
    <t>Шумораи истифодабарандагони шабакаи «Интернет» (њаз. муштарї)</t>
  </si>
  <si>
    <t xml:space="preserve">Фарогирии Интернет дар љумњурї (бо фоиз) </t>
  </si>
  <si>
    <t>Даромад аз фаъолияти асосии соњаи алоќа (млн. сомонї)</t>
  </si>
  <si>
    <t>(њазор сомонӣ)</t>
  </si>
  <si>
    <t>Корњои љустуљўию геологї, аз љумла:</t>
  </si>
  <si>
    <t>-њаљми маблаѓгузории корњои љустуљўї-геологї аз њисоби Буљети давлатї</t>
  </si>
  <si>
    <t>-дигар сарчашмаҳо</t>
  </si>
  <si>
    <t>Майдони умумии кишоварзї аз рўи њамаи шаклњои хољагидории  заминдорї - га</t>
  </si>
  <si>
    <t>аз љумла обї</t>
  </si>
  <si>
    <t>Ѓалладона</t>
  </si>
  <si>
    <t>аз он љумла гандум</t>
  </si>
  <si>
    <t>пахта</t>
  </si>
  <si>
    <t>картошка</t>
  </si>
  <si>
    <t>сабзавот</t>
  </si>
  <si>
    <t xml:space="preserve">аз он љумла: пиёз </t>
  </si>
  <si>
    <t>сабзї</t>
  </si>
  <si>
    <t>полизї</t>
  </si>
  <si>
    <t>Майдони боѓњои мевадињанда</t>
  </si>
  <si>
    <t xml:space="preserve">аз он љумла: тухмакдор </t>
  </si>
  <si>
    <t>донакдор</t>
  </si>
  <si>
    <t>Майдони ангур</t>
  </si>
  <si>
    <t>Њосилнокии зироатњои кишоварзї с/га</t>
  </si>
  <si>
    <t>ангур</t>
  </si>
  <si>
    <t>Истењсоли мањсулоти зироатњои кишоварзї (тонна)</t>
  </si>
  <si>
    <t>аз он: гандум</t>
  </si>
  <si>
    <t>Сабзавот</t>
  </si>
  <si>
    <t>Полизї</t>
  </si>
  <si>
    <t>Саршумори чорво ва парранда - сар</t>
  </si>
  <si>
    <t>Њайвони калони шохдор</t>
  </si>
  <si>
    <t>аз он љумла: модагов</t>
  </si>
  <si>
    <t>бузу гўсфанд</t>
  </si>
  <si>
    <t>парранда</t>
  </si>
  <si>
    <t>Асп</t>
  </si>
  <si>
    <t>Истењсоли мањсулоти чорводорї - ҳазор тонна</t>
  </si>
  <si>
    <t xml:space="preserve">Гўшти чорво ва парранда бо вазни зинда </t>
  </si>
  <si>
    <t xml:space="preserve">       аз он љумла: гўшти мурѓ</t>
  </si>
  <si>
    <t>Тухм – млн. дона</t>
  </si>
  <si>
    <t xml:space="preserve">Пашм бо вазни физикї </t>
  </si>
  <si>
    <t>Пилла (бо тонна)</t>
  </si>
  <si>
    <t>Эзоҳ:  Истеҳсол ва ҳосилнокии зироатҳои ғалладонагиҳо, сабзавот ва полизихо бо назардошти кишти такрорӣ ба инобат гирифта шудааст.</t>
  </si>
  <si>
    <t>(ҳазор тонна)</t>
  </si>
  <si>
    <t xml:space="preserve">Ѓалладона  дар љумњурї-њамагї </t>
  </si>
  <si>
    <t>Пахта  дар љумњурї -њамагї</t>
  </si>
  <si>
    <t xml:space="preserve">Картошка  дар љумњурї - њамагї </t>
  </si>
  <si>
    <t xml:space="preserve">Сабзавот дар љумњурї - њамагї </t>
  </si>
  <si>
    <t xml:space="preserve">аз он пиёз дар љумњурї - њамагї </t>
  </si>
  <si>
    <t>шањри  Роѓун</t>
  </si>
  <si>
    <t>Полезї дар љумњурї њамагї</t>
  </si>
  <si>
    <t>ноҳияи Сангвор</t>
  </si>
  <si>
    <t>Мева дар љумњурї њамагї</t>
  </si>
  <si>
    <t xml:space="preserve">Ангур дар љумњурї њамагї </t>
  </si>
  <si>
    <t xml:space="preserve">Гушт бо вазни зинда дар љумњурї њамагї </t>
  </si>
  <si>
    <t xml:space="preserve">Шир дар љумњурї њамагї </t>
  </si>
  <si>
    <t xml:space="preserve">Тухм -млн. дона дар љумњурї њамагї </t>
  </si>
  <si>
    <t xml:space="preserve">Пашм бо вазни физикӣ дар љумњурї њамагї </t>
  </si>
  <si>
    <t>ноҳияи Лахш</t>
  </si>
  <si>
    <t xml:space="preserve">Асал бо тонна дар љумњурї њамагї </t>
  </si>
  <si>
    <t xml:space="preserve">Пилла бо тонна дар љумњурї њамагї </t>
  </si>
  <si>
    <t>Њаљми умумии њудуди обгирї аз иншоотњои табии (млн.куб.м.)</t>
  </si>
  <si>
    <t>Њаљми гардиши об ва оби дубора истифодабаранда-њамагї: (млн.куб.м.)</t>
  </si>
  <si>
    <t>Амнияти зироатњои кишоварзї аз касалї ва њашаротњои зараркунанда –њамагї :(га)</t>
  </si>
  <si>
    <t>-бо методи биологї</t>
  </si>
  <si>
    <t>-бо методи кимиёвї</t>
  </si>
  <si>
    <t>Обтаъминкунї – њамагї км: аз љумла:</t>
  </si>
  <si>
    <t>водопроводњои магистралї (км)</t>
  </si>
  <si>
    <t>њавлигї (км)</t>
  </si>
  <si>
    <t>Сохтмони шабакањои обї (км)</t>
  </si>
  <si>
    <t>Заминњои нави аз худашаванда (гектар)</t>
  </si>
  <si>
    <t>Заминњои барќароршаванда (гектар)</t>
  </si>
  <si>
    <t xml:space="preserve">Њаљми умумии гардиши савдо дар њамаи соњањо </t>
  </si>
  <si>
    <t xml:space="preserve">гардиши савдои чакана </t>
  </si>
  <si>
    <t>Њаљми умумии хизматрасонии пулакї дар њамаи соњањо</t>
  </si>
  <si>
    <t xml:space="preserve">хизматрасонии пулакї ба ањолї </t>
  </si>
  <si>
    <t>Њаљми хизматросонии мењмонхонањо ва тарабхонањо</t>
  </si>
  <si>
    <t>(млн. доллар)</t>
  </si>
  <si>
    <t>Гардиши савдои хориљї</t>
  </si>
  <si>
    <t>аз он: содирот</t>
  </si>
  <si>
    <t>воридот</t>
  </si>
  <si>
    <t>Тавозуни  савдои хориљї</t>
  </si>
  <si>
    <t>млн. доллар</t>
  </si>
  <si>
    <t>Содирот</t>
  </si>
  <si>
    <t>Аллюминийи аввалия</t>
  </si>
  <si>
    <t>хушкмева</t>
  </si>
  <si>
    <r>
      <t>ҳ</t>
    </r>
    <r>
      <rPr>
        <sz val="12"/>
        <color indexed="8"/>
        <rFont val="Times New Roman Tj"/>
        <family val="1"/>
        <charset val="204"/>
      </rPr>
      <t>азор тонна</t>
    </r>
  </si>
  <si>
    <t>Нерўи барќ</t>
  </si>
  <si>
    <t>млн.кВт/с</t>
  </si>
  <si>
    <t>Дигар маҳсулот</t>
  </si>
  <si>
    <t>Воридот</t>
  </si>
  <si>
    <t>Мањсулоти нафтї</t>
  </si>
  <si>
    <t>Равѓани растанї  ва чорво (чарбухо)</t>
  </si>
  <si>
    <t>Чўбу тахта ва маснуот аз он</t>
  </si>
  <si>
    <t>Гўшт ва мањсулоти гўштї</t>
  </si>
  <si>
    <t>Шир ва мањсулоти ширї</t>
  </si>
  <si>
    <t xml:space="preserve">Гази табии </t>
  </si>
  <si>
    <t>млн. метри мукааб</t>
  </si>
  <si>
    <t>Маблаѓгузорї ба сармояи асосї аз њисоби њамаи манбаъњои маблаѓгузорї (млн. сомонї)</t>
  </si>
  <si>
    <t>буљети давлатї</t>
  </si>
  <si>
    <t>сармояи хориљї</t>
  </si>
  <si>
    <t>манбаъњои дигар</t>
  </si>
  <si>
    <t>Њаљми умумии сармояи хориљї (ќарз, грант, мустаќим) (млн. доллар)</t>
  </si>
  <si>
    <t>аз љумла:</t>
  </si>
  <si>
    <t>сармоягузории мустаќим</t>
  </si>
  <si>
    <t>ќарзњо</t>
  </si>
  <si>
    <t>грантњо</t>
  </si>
  <si>
    <t>Ба истифода додани фондњои асосї аз њисоби њамаи манбањои маблаѓгузорї                                  (млн. сомонї)</t>
  </si>
  <si>
    <t>(њазор доллар)</t>
  </si>
  <si>
    <t>Номгўи бо соха</t>
  </si>
  <si>
    <t>Сохтмон</t>
  </si>
  <si>
    <t>Фаъолияти бонкӣ</t>
  </si>
  <si>
    <t>Маориф</t>
  </si>
  <si>
    <t>Тандурустї</t>
  </si>
  <si>
    <t>Ирригатсия</t>
  </si>
  <si>
    <t>Обтаъминкунї</t>
  </si>
  <si>
    <t>Энергетика</t>
  </si>
  <si>
    <t xml:space="preserve">Наќлиёт </t>
  </si>
  <si>
    <t xml:space="preserve">Экология </t>
  </si>
  <si>
    <t xml:space="preserve">Инфраструктураи мањаллӣ </t>
  </si>
  <si>
    <t xml:space="preserve">Дигар соњањо </t>
  </si>
  <si>
    <t xml:space="preserve">Ҳамагї </t>
  </si>
  <si>
    <t>Номгўи соҳа</t>
  </si>
  <si>
    <t xml:space="preserve">Сохтмон </t>
  </si>
  <si>
    <t xml:space="preserve">Кишоварзї </t>
  </si>
  <si>
    <t xml:space="preserve">Тандурустї </t>
  </si>
  <si>
    <t xml:space="preserve">Фаъолияти бонкӣ </t>
  </si>
  <si>
    <t>Нақлиёт</t>
  </si>
  <si>
    <t xml:space="preserve">Њамагї </t>
  </si>
  <si>
    <t xml:space="preserve">Номгўи соҳа
</t>
  </si>
  <si>
    <t>Қарз-ҳамагӣ</t>
  </si>
  <si>
    <t>Иррагатсия</t>
  </si>
  <si>
    <t>Экология</t>
  </si>
  <si>
    <t>Инфраструктураи мањаллї</t>
  </si>
  <si>
    <t>Дигар соњањо</t>
  </si>
  <si>
    <t>Грант-ҳамагї</t>
  </si>
  <si>
    <t>Маблаѓгузории КИТ (корњои илми татќиќотї) – њамагї                                   (млн. сомонї)</t>
  </si>
  <si>
    <t>аз он љумла, аз њисоби маблаѓњои буљети давлатї                               (млн. сомонї)</t>
  </si>
  <si>
    <t>Шумораи муассисањои илмї                       (адад)</t>
  </si>
  <si>
    <t>Шумораи кормандони муассисањои илмї                                                                              (нафар)</t>
  </si>
  <si>
    <t>- докторњои илм</t>
  </si>
  <si>
    <t>- номзадњои илм</t>
  </si>
  <si>
    <t>Шумораи ихтироъот (адад)</t>
  </si>
  <si>
    <t>таклифњои навоварї</t>
  </si>
  <si>
    <t>татбиќ дар истењсолот</t>
  </si>
  <si>
    <t>(нафар)</t>
  </si>
  <si>
    <t>Ќабули донишљўён дар зинаи  магистратура</t>
  </si>
  <si>
    <t>аз љумла: аз њисоби буљет</t>
  </si>
  <si>
    <t>Шумораи хатмкунандагон дар зинаи магистратура</t>
  </si>
  <si>
    <t>шартномавї</t>
  </si>
  <si>
    <t>Ќабул ба аспирантура – њамагї</t>
  </si>
  <si>
    <t>Шумораи хатмкунандагон дар зинаи аспирантура</t>
  </si>
  <si>
    <t>Ќабули унвонљуён</t>
  </si>
  <si>
    <t>Ќабул ба докторантура PhD</t>
  </si>
  <si>
    <t>Ќабул ба докторантура(анъанавї)</t>
  </si>
  <si>
    <t>Шумораи хатмкунандагон дар зинаи докторантура аз рўи ихтисос (PhD)</t>
  </si>
  <si>
    <t>Шумораи хатмкунандагон дар зинаи докторантура (анъанавї)</t>
  </si>
  <si>
    <t xml:space="preserve">Шумораи муассисањои томактабї (адад) </t>
  </si>
  <si>
    <t>аз он љумла: хусусї</t>
  </si>
  <si>
    <r>
      <t xml:space="preserve">Шумораи  кўдакон дар муассисањои томактабї новобаста аз шакли моликият (ҳазор </t>
    </r>
    <r>
      <rPr>
        <sz val="14"/>
        <color indexed="8"/>
        <rFont val="Times New Roman Tj"/>
        <family val="1"/>
        <charset val="204"/>
      </rPr>
      <t>нафар)</t>
    </r>
  </si>
  <si>
    <r>
      <t>Шумораи кўдакони синни томактаб</t>
    </r>
    <r>
      <rPr>
        <sz val="14"/>
        <rFont val="Times New Roman Tj"/>
        <family val="1"/>
        <charset val="204"/>
      </rPr>
      <t>ї (</t>
    </r>
    <r>
      <rPr>
        <sz val="14"/>
        <color indexed="8"/>
        <rFont val="Times New Roman Tj"/>
        <family val="1"/>
        <charset val="204"/>
      </rPr>
      <t xml:space="preserve"> ҳазор нафар)</t>
    </r>
  </si>
  <si>
    <r>
      <t>Шумораи кўдакони синни мактабї (ҳазор</t>
    </r>
    <r>
      <rPr>
        <sz val="14"/>
        <color indexed="8"/>
        <rFont val="Times New Roman Tj"/>
        <family val="1"/>
        <charset val="204"/>
      </rPr>
      <t xml:space="preserve"> нафар)</t>
    </r>
  </si>
  <si>
    <t>Миќдори љойњо дар муассисањои томактабї (њазор љой)</t>
  </si>
  <si>
    <t xml:space="preserve">Шумораи муассисањои тањсилоти умумї (адад) </t>
  </si>
  <si>
    <r>
      <t>Шумораи хонандагони муассисањои тањсилоти умумї – њамагї (</t>
    </r>
    <r>
      <rPr>
        <sz val="14"/>
        <color indexed="8"/>
        <rFont val="Times New Roman Tj"/>
        <family val="1"/>
        <charset val="204"/>
      </rPr>
      <t xml:space="preserve"> ҳазор нафар)</t>
    </r>
  </si>
  <si>
    <r>
      <t>Шумораи хатмкунандагони муассисањои тањсилоти умумї – њамагї</t>
    </r>
    <r>
      <rPr>
        <sz val="14"/>
        <rFont val="Times New Roman Tj"/>
        <family val="1"/>
        <charset val="204"/>
      </rPr>
      <t xml:space="preserve"> (</t>
    </r>
    <r>
      <rPr>
        <sz val="14"/>
        <color indexed="8"/>
        <rFont val="Times New Roman Tj"/>
        <family val="1"/>
        <charset val="204"/>
      </rPr>
      <t xml:space="preserve"> ҳазор нафар)</t>
    </r>
  </si>
  <si>
    <r>
      <t xml:space="preserve">Шумораи муаллимони муассисањои  тањсилоти умумии рўзона (ҳазор </t>
    </r>
    <r>
      <rPr>
        <sz val="14"/>
        <color indexed="8"/>
        <rFont val="Times New Roman Tj"/>
        <family val="1"/>
        <charset val="204"/>
      </rPr>
      <t>нафар)</t>
    </r>
  </si>
  <si>
    <t>Таъмин будан:</t>
  </si>
  <si>
    <t>бо муассисањои томактабї ба 1000 кўдакони синни томактабї (љой)</t>
  </si>
  <si>
    <t>бо муассисањои тањсилоти умумї барои 1000 бачагони синни мактабї (љой)</t>
  </si>
  <si>
    <t>Ќабули донишљўён ба муассисањои тањсилоти олии касбии љумњурї аз њисоби њамаи манбањои маблаѓгузорї -  њамагї</t>
  </si>
  <si>
    <t>аз љумла аз њисоби буљет</t>
  </si>
  <si>
    <t>аз њисоби квотаи Президентї –њамагї</t>
  </si>
  <si>
    <t>аз љумла: - духтарон</t>
  </si>
  <si>
    <t>- писарон</t>
  </si>
  <si>
    <t>аз њисоби шартнома</t>
  </si>
  <si>
    <t>Тањсилоти дуюми олии касбї</t>
  </si>
  <si>
    <t>идомаи тањсилот (пас аз хатми тањсилоти миёнаи касбї)</t>
  </si>
  <si>
    <t>Ќабули донишљўён ба муассисањои тањсилоти олии давлатњои хориљї</t>
  </si>
  <si>
    <t>аз љумла аз њисоби буљети давлатї</t>
  </si>
  <si>
    <t>аз њисоби бурсияњо (тибќи созишномањои байналмилалї)</t>
  </si>
  <si>
    <t>аз њисоби корхонањо (Шартномавї)</t>
  </si>
  <si>
    <t>Шумораи хатмкунандагони муассисањои тањсилоти олии касбї</t>
  </si>
  <si>
    <t>аз њисоби шартномањо</t>
  </si>
  <si>
    <t>тањсилоти дуюми олии касбї</t>
  </si>
  <si>
    <t>Шумораи хатмкунандагони муассисањои тањсилоти олии касбии давлатњои хориљї</t>
  </si>
  <si>
    <t>аз љумла, аз њисоби  буљет</t>
  </si>
  <si>
    <t>Шумораи умумии донишљўён –муассисањои тањсилоти олї њамагї</t>
  </si>
  <si>
    <t>Шумораи ќабули донишљўён ба муассисањои тањсилоти миёнаи касбї – њамагї</t>
  </si>
  <si>
    <t>Шумораи хатмкунандагони муассисањои тањсилоти миёнаи касбї – њамагї</t>
  </si>
  <si>
    <t>Шумораи умумии донишљўёни муассисањои тањсилоти миёнаи касбї</t>
  </si>
  <si>
    <t>Шумораи ќабули хонандагони муассисањои тањсилоти ибтидоии касбї – њамагї</t>
  </si>
  <si>
    <t>аз љумла, аз њисоби буљет</t>
  </si>
  <si>
    <t>Шумораи хатмкунандагони  муассисањои тањсилоти  ибтидоии касбї – њамагї</t>
  </si>
  <si>
    <t>Шумораи умумии хонандагони  муассисањои тањсилоти ибтидоии касбї њамагї</t>
  </si>
  <si>
    <t>Шумораи кати беморхонањо (кат)</t>
  </si>
  <si>
    <t>Иќтидори муассисањои амбулаторию дармонгоњї (нафар ќабул дар як баст)</t>
  </si>
  <si>
    <t>Миќдори муассисањои тиббї (адад)</t>
  </si>
  <si>
    <t>Миќдори хонањои тиббї(воњид) (бунгоњњои тиббї)</t>
  </si>
  <si>
    <t>- аз њисоби хољагидорї амалкунанда (КВД)</t>
  </si>
  <si>
    <t>- клиникањои (беморхонањои) хусусї</t>
  </si>
  <si>
    <t>Шумораи кормандони тиббї(нафар)</t>
  </si>
  <si>
    <t>духтурон</t>
  </si>
  <si>
    <t>кормандони миёнаи тиббї</t>
  </si>
  <si>
    <t>Миќдори љой дар хонањои кўдакон (љой)</t>
  </si>
  <si>
    <t>Миќдори љой дар хонањои пиронсолон ва маъюбон (љой)</t>
  </si>
  <si>
    <t>Таъминот барои 10 њазор ањолї:</t>
  </si>
  <si>
    <t>бо катњо дар беморхонањо (кат)</t>
  </si>
  <si>
    <t>бо табибон (нафар табиб)</t>
  </si>
  <si>
    <t>бо кормандони миёнаи тиббї (нафар к,м,т,)</t>
  </si>
  <si>
    <t>бо муассисањои амбулаторию дармонгоњї (ќабул дар як баст)</t>
  </si>
  <si>
    <t xml:space="preserve"> (њазор нафар)</t>
  </si>
  <si>
    <t>Шумораи кормандон аз рўи фаъолият– њамагї</t>
  </si>
  <si>
    <t>-дар бахши воќеї</t>
  </si>
  <si>
    <t>-кишоварзї, шикор ва љангалпарварї</t>
  </si>
  <si>
    <t>Ќувваи барќ, газ, буѓ  ватаъминоти об</t>
  </si>
  <si>
    <t>-саноат</t>
  </si>
  <si>
    <t>-сохтмон</t>
  </si>
  <si>
    <t>Бахши хизматрасонї</t>
  </si>
  <si>
    <t>Савдо, хўроки умумї, таъминоти моддию техникї</t>
  </si>
  <si>
    <t>Наќлиёт ва хољагии анбор</t>
  </si>
  <si>
    <t>Маълумот ва коммуникатсияњо</t>
  </si>
  <si>
    <t>Идоракунии фаъолияти ёрирасон</t>
  </si>
  <si>
    <t>Мењмонхонањо ва тарабхонањо</t>
  </si>
  <si>
    <t>Миёнаравињои молиявї ва фаъолияти суѓуртавї</t>
  </si>
  <si>
    <t>Амалиётњо бо амволи ѓайриманќул</t>
  </si>
  <si>
    <t>Фаъолияти касбї, илмї ва техникї</t>
  </si>
  <si>
    <t>Идоракунии давлатї ва мудофиа, таъминоти њатмии иљтимої</t>
  </si>
  <si>
    <t>Тандурустї ва хизматњои иљтимої</t>
  </si>
  <si>
    <t>Санъат ваќхушї ва истироњат</t>
  </si>
  <si>
    <t>Дигар фаъолияти хизматрасонї</t>
  </si>
  <si>
    <t>Фаъолияти ташкилотњои экстерриториалї</t>
  </si>
  <si>
    <t>Ањолии ба кор машѓул, аз љумла:</t>
  </si>
  <si>
    <t>- дар корхонаю ташкилоти бахши давлатї</t>
  </si>
  <si>
    <t>- бахши коллективї</t>
  </si>
  <si>
    <t xml:space="preserve"> - хусусї</t>
  </si>
  <si>
    <t>- омехта бо хориљиён</t>
  </si>
  <si>
    <t>- омехта бе хориљиён</t>
  </si>
  <si>
    <t>Ташкили љойњои нави корї                                                                - њамагї  (љои корї)</t>
  </si>
  <si>
    <t>аз љумла аз њисоби:</t>
  </si>
  <si>
    <t xml:space="preserve">бхши вокеї </t>
  </si>
  <si>
    <t xml:space="preserve">бахши хизматрасонї </t>
  </si>
  <si>
    <t xml:space="preserve">бо шумора </t>
  </si>
  <si>
    <t>Миќдори муассисањои оммавї – фарњангї (воњид)</t>
  </si>
  <si>
    <t>Марказњои фарњангї</t>
  </si>
  <si>
    <t xml:space="preserve">аз он љумла: </t>
  </si>
  <si>
    <t>љумњуриявї</t>
  </si>
  <si>
    <t>китобхонањои оммавї</t>
  </si>
  <si>
    <t>осорхонањо</t>
  </si>
  <si>
    <t>театрњо</t>
  </si>
  <si>
    <t>аз он љумла, театрњои касбї</t>
  </si>
  <si>
    <t>Мактабњои мусиќї (воњид)</t>
  </si>
  <si>
    <t>Шумораи хонандагон (ҳазор нафар)</t>
  </si>
  <si>
    <t>Теъдоди кадрњо                                              (њазор нафар)</t>
  </si>
  <si>
    <t>Шумораи умумии телевизионњо (адад)</t>
  </si>
  <si>
    <t>аз он: давлатї (адад)</t>
  </si>
  <si>
    <t>хусусї</t>
  </si>
  <si>
    <t>Миќдори намоиши барномањои телевизионї дар як шабонарўз (соат)</t>
  </si>
  <si>
    <t>аз он љумла, љумњуриявї (соат)</t>
  </si>
  <si>
    <t>Фоизи фарогирии ќаламрави љумњурї бо намоишњои телевизионї (бо фоиз)</t>
  </si>
  <si>
    <t>Миќдори телетрансляторњо (воњид)</t>
  </si>
  <si>
    <t>Шумораи умумии радиоњо (адад)</t>
  </si>
  <si>
    <t>Миќдори радиошунавонї дар як шабонарўз (соат)</t>
  </si>
  <si>
    <t>аз љумла, љумњуриявї (соат)</t>
  </si>
  <si>
    <t>Фоизи фарогирии ќаламрави љумњурї бо радиошунавонї  (бо фоиз)</t>
  </si>
  <si>
    <t>Миќдори радиотрансляторњо (воњид)</t>
  </si>
  <si>
    <t>Китобњо (китобњои дарсї, илмї, адабиётњои бадеї ва кўдакона, нашри содироти обунавї, теъдоди нашри шартии солона 10 вараќ ва зиёда) (њазор дона)</t>
  </si>
  <si>
    <t>Номгўй(адад)</t>
  </si>
  <si>
    <t>млн. нусха</t>
  </si>
  <si>
    <t>Маљаллањо (теъдоди шартии нашри солона 4 вараќ бо формати А-2)</t>
  </si>
  <si>
    <t>Рўзномањо (теъдоди шартии нашри солона 4 вараќ бо формати А-2)</t>
  </si>
  <si>
    <t xml:space="preserve"> (нафар)</t>
  </si>
  <si>
    <t>Тайёркунии касбии хизматчиёни давлатї ҳамагӣ</t>
  </si>
  <si>
    <t>Азнавтайёркунии касбии хизматчиёни давлатї</t>
  </si>
  <si>
    <t>Такмили ихтисоси хизматчиёни давлатї</t>
  </si>
  <si>
    <t>Таљрибаомўзии хизматчиёни давлатї</t>
  </si>
  <si>
    <t>бо шумора/ њаљм</t>
  </si>
  <si>
    <t>Сайёњии беруна</t>
  </si>
  <si>
    <t>Шумораи умумии сайёњони ба ќаламрави љумњурї воридшаванда (њазор нафар)</t>
  </si>
  <si>
    <t>аз он љумла, сайёњоне, ки тибќи ширкатњои сайёњии ватанї хизмат расонида шудаанд (њазор нафар)</t>
  </si>
  <si>
    <t>Њаљми умумии маблаѓњои даромадшуда аз њисоби сайёњони ба ќаламрави љумњурї воридшаванда (млн. сомонї)</t>
  </si>
  <si>
    <t>аз он љумла, сайёњоне, ки тибќи ширкатњои сайёњии ватанї хизмат расонида шудаанд (млн.сомонї)</t>
  </si>
  <si>
    <t>Шумораи сайёњоне, ки аз ќаламрави љумњурї берун сафар менамоянд (њазор нафар)</t>
  </si>
  <si>
    <t>Сайёњии дохилї</t>
  </si>
  <si>
    <t>Шумораи сайёњони дохилї                                            (њазор нафар)</t>
  </si>
  <si>
    <t>Њаљми умумии маблаѓњои даромадшуда аз њисоби сайёњони дохилї (млн. сомонї)</t>
  </si>
  <si>
    <t>Шумораи ширкатњои сайёњї</t>
  </si>
  <si>
    <t>Хусусигардонии объектњои моликияти давлатї (адад)</t>
  </si>
  <si>
    <t>корхонањои хурд</t>
  </si>
  <si>
    <t>корхонањои миёна ва калон</t>
  </si>
  <si>
    <t>аз љумла  аз рўи соњањо:</t>
  </si>
  <si>
    <t>савдо</t>
  </si>
  <si>
    <t>хўроки умумї</t>
  </si>
  <si>
    <t>хизматрасонии маишї</t>
  </si>
  <si>
    <t>хизматрасонии коммуналї</t>
  </si>
  <si>
    <t>саноат</t>
  </si>
  <si>
    <t>сохтмон</t>
  </si>
  <si>
    <t>сохтмонњои нотамом</t>
  </si>
  <si>
    <t>хољагии ќишлоќ</t>
  </si>
  <si>
    <t>наќлиёт</t>
  </si>
  <si>
    <t>тандурустї</t>
  </si>
  <si>
    <t>иншоотњои иљтимої</t>
  </si>
  <si>
    <t>дигар иншоотњо</t>
  </si>
  <si>
    <t>Даромади умумї аз хусусигардони (млн.сомонї)</t>
  </si>
  <si>
    <t>Рушди соњибкорї</t>
  </si>
  <si>
    <t>Шумораи соњибкорони инфиродї (њаз. нафар)</t>
  </si>
  <si>
    <t>бо шањодатнома фаъолиятдошта (њазор нафар)</t>
  </si>
  <si>
    <t>- бо патент фаъолият дошта (њазор нафар)</t>
  </si>
  <si>
    <t>Шумораи шахсони њуќуќї</t>
  </si>
  <si>
    <t>Шумораи филиал/ намояндагињои шахсони њуќуќии хориљї</t>
  </si>
  <si>
    <t>бо арзиш</t>
  </si>
  <si>
    <t>Тарифњои миёнаи ќувваи барќ – дирам ба 1 кВт. Соат</t>
  </si>
  <si>
    <t>аз љумла:- барои ањолї</t>
  </si>
  <si>
    <t>Алоќаи телефонї-дирам ба 1 даќиќа</t>
  </si>
  <si>
    <t>Тарифњои таъминоти оби нушокї ва системаи фозилоб дар ш. Душанбе барои 1 м3 ба њисоби сомонї</t>
  </si>
  <si>
    <t>аз љумла барои ањолї</t>
  </si>
  <si>
    <t xml:space="preserve">Њамагї дар МОИ </t>
  </si>
  <si>
    <r>
      <t>Шумораи субъект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 МОИ (адад)</t>
    </r>
  </si>
  <si>
    <t>Њаљми хизматрасонињо (млн.сом)</t>
  </si>
  <si>
    <r>
      <t xml:space="preserve">Микдори </t>
    </r>
    <r>
      <rPr>
        <sz val="14"/>
        <rFont val="Times New Roman"/>
        <family val="1"/>
        <charset val="204"/>
      </rPr>
      <t>ҷ</t>
    </r>
    <r>
      <rPr>
        <sz val="14"/>
        <rFont val="Times New Roman Tj"/>
        <family val="1"/>
        <charset val="204"/>
      </rPr>
      <t>ой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ои кори дар субъект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 (адад)</t>
    </r>
  </si>
  <si>
    <t>Хаҷми содирот  (млн.доллари ИМА)</t>
  </si>
  <si>
    <r>
      <t>Ха</t>
    </r>
    <r>
      <rPr>
        <sz val="14"/>
        <rFont val="Times New Roman"/>
        <family val="1"/>
        <charset val="204"/>
      </rPr>
      <t>ҷ</t>
    </r>
    <r>
      <rPr>
        <sz val="14"/>
        <rFont val="Times New Roman Tj"/>
        <family val="1"/>
        <charset val="204"/>
      </rPr>
      <t>ми сармоягузории субъект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 (млн. сомонї)</t>
    </r>
  </si>
  <si>
    <t>МОИ «Данѓара»</t>
  </si>
  <si>
    <r>
      <t>Ҳ</t>
    </r>
    <r>
      <rPr>
        <sz val="14"/>
        <rFont val="Times New Roman Tj"/>
        <family val="1"/>
        <charset val="204"/>
      </rPr>
      <t>а</t>
    </r>
    <r>
      <rPr>
        <sz val="14"/>
        <rFont val="Times New Roman"/>
        <family val="1"/>
        <charset val="204"/>
      </rPr>
      <t>ҷ</t>
    </r>
    <r>
      <rPr>
        <sz val="14"/>
        <rFont val="Times New Roman Tj"/>
        <family val="1"/>
        <charset val="204"/>
      </rPr>
      <t>ми ма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сулоти исте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солшуда (млн.сом)</t>
    </r>
  </si>
  <si>
    <t>Њаљми содирот (млн. доллар)</t>
  </si>
  <si>
    <t>МОИ «Кўлоб»</t>
  </si>
  <si>
    <r>
      <t>Ха</t>
    </r>
    <r>
      <rPr>
        <sz val="14"/>
        <rFont val="Times New Roman"/>
        <family val="1"/>
        <charset val="204"/>
      </rPr>
      <t>ҷ</t>
    </r>
    <r>
      <rPr>
        <sz val="14"/>
        <rFont val="Times New Roman Tj"/>
        <family val="1"/>
        <charset val="204"/>
      </rPr>
      <t>ми сармоягузории субъект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 (млн.сомонї)</t>
    </r>
  </si>
  <si>
    <r>
      <t>Ха</t>
    </r>
    <r>
      <rPr>
        <sz val="14"/>
        <rFont val="Times New Roman"/>
        <family val="1"/>
        <charset val="204"/>
      </rPr>
      <t>ҷ</t>
    </r>
    <r>
      <rPr>
        <sz val="14"/>
        <rFont val="Times New Roman Tj"/>
        <family val="1"/>
        <charset val="204"/>
      </rPr>
      <t>ми содирот (млн.доллари ИМА)</t>
    </r>
  </si>
  <si>
    <t>МОИ «Суѓд»</t>
  </si>
  <si>
    <t>МОИ «Ишкошим»</t>
  </si>
  <si>
    <t>Шумораи субъектҳо МОИ (адад)</t>
  </si>
  <si>
    <t>Ҳаҷми маҳсулоти истеҳсолшуда (млн.сом)</t>
  </si>
  <si>
    <t>Њаљми хизматрасонињо (млн. сом)</t>
  </si>
  <si>
    <t>Микдори ҷойҳои кори дар субъектҳо (адад)</t>
  </si>
  <si>
    <t>Хаҷми сармоягузории субъектҳо (млн.сомонї)</t>
  </si>
  <si>
    <t>МОИ «Панљ»</t>
  </si>
  <si>
    <t>Нишондиҳандаҳои асосии истеҳсолї (номгӯи молу маҳсулот дар шакли аслї (тонна, кв.с, метр ва ғайра)</t>
  </si>
  <si>
    <t>Семент (тонна)</t>
  </si>
  <si>
    <t>Сангхои сохтмони ва ороиши (метр-квадрати)</t>
  </si>
  <si>
    <t>Коркарди меваи хушк (адад)</t>
  </si>
  <si>
    <t>Махсулоти гарминигахдор (адад)</t>
  </si>
  <si>
    <t>Дигар намуди мањсулот</t>
  </si>
  <si>
    <t>Сузишвории нафти (тонн)</t>
  </si>
  <si>
    <t>Аз љумла:</t>
  </si>
  <si>
    <t>Сузишвории дизелӣ</t>
  </si>
  <si>
    <t>электро скутерхо (адад)</t>
  </si>
  <si>
    <t>Ќубурњои полиэтиленї (ҳаз. метр)</t>
  </si>
  <si>
    <t>Мањсулоти бетони (ҳаз. тонна)</t>
  </si>
  <si>
    <t>Хишт (њаз.дона)</t>
  </si>
  <si>
    <t>Барқ кВт/с</t>
  </si>
  <si>
    <t>Рангњои синтетикї ва андовањои декоративї  (тонна)</t>
  </si>
  <si>
    <t xml:space="preserve">Равғанҳои муҳарик (тонна) </t>
  </si>
  <si>
    <t>Истеҳсоли тол  (ҳаз. м2)</t>
  </si>
  <si>
    <t>Ҳавотозакунакҳо (филтер) (адад)</t>
  </si>
  <si>
    <t>Намак (тонна)</t>
  </si>
  <si>
    <t>Набот (тонна)</t>
  </si>
  <si>
    <t>Равған (тонна)</t>
  </si>
  <si>
    <t>МОИ «Суғд»</t>
  </si>
  <si>
    <r>
      <t>Ќубур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ои полиэтилен</t>
    </r>
    <r>
      <rPr>
        <sz val="14"/>
        <rFont val="Times New Roman"/>
        <family val="1"/>
        <charset val="204"/>
      </rPr>
      <t>ӣ</t>
    </r>
    <r>
      <rPr>
        <sz val="14"/>
        <rFont val="Times New Roman Tj"/>
        <family val="1"/>
        <charset val="204"/>
      </rPr>
      <t xml:space="preserve"> (метр)</t>
    </r>
  </si>
  <si>
    <t>Шланг ПВХ (метри тулонӣ)</t>
  </si>
  <si>
    <r>
      <t>Қубур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ои полиэтилен</t>
    </r>
    <r>
      <rPr>
        <sz val="14"/>
        <rFont val="Times New Roman"/>
        <family val="1"/>
        <charset val="204"/>
      </rPr>
      <t>ӣ</t>
    </r>
    <r>
      <rPr>
        <sz val="14"/>
        <rFont val="Times New Roman Tj"/>
        <family val="1"/>
        <charset val="204"/>
      </rPr>
      <t xml:space="preserve"> (метр)</t>
    </r>
  </si>
  <si>
    <r>
      <t>Зарф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ои пластикї (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аз.дона)</t>
    </r>
  </si>
  <si>
    <r>
      <t>Ранги акрил</t>
    </r>
    <r>
      <rPr>
        <sz val="14"/>
        <rFont val="Times New Roman"/>
        <family val="1"/>
        <charset val="204"/>
      </rPr>
      <t>ӣ</t>
    </r>
    <r>
      <rPr>
        <sz val="14"/>
        <rFont val="Times New Roman Tj"/>
        <family val="1"/>
        <charset val="204"/>
      </rPr>
      <t xml:space="preserve"> (тонна)</t>
    </r>
  </si>
  <si>
    <r>
      <t>Андоваи минерал</t>
    </r>
    <r>
      <rPr>
        <sz val="14"/>
        <rFont val="Times New Roman"/>
        <family val="1"/>
        <charset val="204"/>
      </rPr>
      <t>ӣ</t>
    </r>
    <r>
      <rPr>
        <sz val="14"/>
        <rFont val="Times New Roman Tj"/>
        <family val="1"/>
        <charset val="204"/>
      </rPr>
      <t xml:space="preserve"> (тонна)</t>
    </r>
  </si>
  <si>
    <t>Омехтаи хушки сохтмони (тонна)</t>
  </si>
  <si>
    <r>
      <t>Профил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ои пластикї (тонна)</t>
    </r>
  </si>
  <si>
    <r>
      <t>Профилњои алюмин</t>
    </r>
    <r>
      <rPr>
        <sz val="14"/>
        <rFont val="Times New Roman"/>
        <family val="1"/>
        <charset val="204"/>
      </rPr>
      <t>ӣ</t>
    </r>
    <r>
      <rPr>
        <sz val="14"/>
        <rFont val="Times New Roman Tj"/>
        <family val="1"/>
        <charset val="204"/>
      </rPr>
      <t xml:space="preserve"> (тонна)</t>
    </r>
  </si>
  <si>
    <t>Зичкунак барои профил (тонна)</t>
  </si>
  <si>
    <t>Мебел (ҳазор сомонӣ)</t>
  </si>
  <si>
    <r>
      <t>Дару тереза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ои байниҳуҷравии  тахтаг</t>
    </r>
    <r>
      <rPr>
        <sz val="14"/>
        <rFont val="Times New Roman"/>
        <family val="1"/>
        <charset val="204"/>
      </rPr>
      <t>ӣ м2</t>
    </r>
  </si>
  <si>
    <r>
      <t>Ма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сулот аз тахта (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аз.сомон</t>
    </r>
    <r>
      <rPr>
        <sz val="14"/>
        <rFont val="Times New Roman"/>
        <family val="1"/>
        <charset val="204"/>
      </rPr>
      <t>ӣ</t>
    </r>
    <r>
      <rPr>
        <sz val="14"/>
        <rFont val="Times New Roman Tj"/>
        <family val="1"/>
        <charset val="204"/>
      </rPr>
      <t>)</t>
    </r>
  </si>
  <si>
    <t>Бозичаҳои кӯдакона  (ҳаз.дона)</t>
  </si>
  <si>
    <t>Аробачаҳои кӯдакона (адад)</t>
  </si>
  <si>
    <t>Фойтунчаҳои кӯдакона (адад)</t>
  </si>
  <si>
    <t>Маҳсулоти пластмассагӣ (ҳаз.дона)</t>
  </si>
  <si>
    <t>Рамкаҳои фосилавӣ (ҳаз.метр)</t>
  </si>
  <si>
    <r>
      <t>Халта</t>
    </r>
    <r>
      <rPr>
        <sz val="14"/>
        <rFont val="Times New Roman"/>
        <family val="1"/>
        <charset val="204"/>
      </rPr>
      <t>ҳ</t>
    </r>
    <r>
      <rPr>
        <sz val="14"/>
        <rFont val="Times New Roman Tj"/>
        <family val="1"/>
        <charset val="204"/>
      </rPr>
      <t>ои полиэтилен</t>
    </r>
    <r>
      <rPr>
        <sz val="14"/>
        <rFont val="Times New Roman"/>
        <family val="1"/>
        <charset val="204"/>
      </rPr>
      <t>ӣ</t>
    </r>
    <r>
      <rPr>
        <sz val="14"/>
        <rFont val="Times New Roman Tj"/>
        <family val="1"/>
        <charset val="204"/>
      </rPr>
      <t xml:space="preserve"> (тонна)</t>
    </r>
  </si>
  <si>
    <t>Нишондиҳандаҳо (номгӯи хизматрасониҳо)</t>
  </si>
  <si>
    <t>Хизматрасони барои ворид шудан ба њудуди МОИ (њаз.сом)</t>
  </si>
  <si>
    <t xml:space="preserve">ҶДММ "Идораи сохтмонии №1" ҶДММ "Хуҷандсоз"         хизматрасонии сохтмонӣ (њаз.сом) </t>
  </si>
  <si>
    <t>МОИ «Панҷ»</t>
  </si>
  <si>
    <t>Дигар намуди хизматрасонї</t>
  </si>
  <si>
    <t>Аз ҳисоби рухсатномаҳо, хизматрасонї бо њаз.сом нақлиётӣ, њаз. сом. бехатарй, суғуртавӣ ва ғайра (сомонї)</t>
  </si>
  <si>
    <t>МОИ«Кўлоб»</t>
  </si>
  <si>
    <t>Номгўи асосии молу мањсулоти содиротї (дар шакли арзиши ва аслї)</t>
  </si>
  <si>
    <t xml:space="preserve">Сузишвории нафти тонна </t>
  </si>
  <si>
    <t>сузишвории дизели тонна</t>
  </si>
  <si>
    <t>Меваи хушк (тонна)</t>
  </si>
  <si>
    <t>Афшураи мева (тонна)</t>
  </si>
  <si>
    <t>Маводҳои доруворӣ аз гиёҳҳои шифобахш</t>
  </si>
  <si>
    <t>Никотини моеъ</t>
  </si>
  <si>
    <t>Маҳсулот аз пластмасса (адад)</t>
  </si>
  <si>
    <t>Профилњои алюминї
(њаз.дол.ИМА)</t>
  </si>
  <si>
    <t>Зичкунак барои профил
(њаз.дол.ИМА)</t>
  </si>
  <si>
    <t xml:space="preserve"> Дучарха ва бозичаҳои кӯдакона (њаз.дол.ИМА) </t>
  </si>
  <si>
    <t>Қубурҳои полиэтиленӣ (ҳаз.дол.ИМА)</t>
  </si>
  <si>
    <t>Меваи хушк (ҳаз.дол.ИМА)</t>
  </si>
  <si>
    <t>Чаҳорчӯба барои дару тирезаҳои пластикӣ (ҳаз.дол.ИМА)</t>
  </si>
  <si>
    <t>Семент (сомонӣ)</t>
  </si>
  <si>
    <t>Сангхои сохтмони ва ороиши (сомони)</t>
  </si>
  <si>
    <t>Коркарди меваи хушк (сомони)</t>
  </si>
  <si>
    <t>Махсулоти гарминигахдор (сомони)</t>
  </si>
  <si>
    <t>Дурнамои соли 2027</t>
  </si>
  <si>
    <t>нисбат ба соли 2026 (бо фоиз)</t>
  </si>
  <si>
    <t xml:space="preserve"> Њисоботи соли 2023</t>
  </si>
  <si>
    <t>Бањодињии соли 2024</t>
  </si>
  <si>
    <t>Дурнамо барои соли 2025</t>
  </si>
  <si>
    <t>соли 2027</t>
  </si>
  <si>
    <t>соли 2023 Њисобот</t>
  </si>
  <si>
    <t>соли 2024                                                                  Бањодињї</t>
  </si>
  <si>
    <t>соли 2025                                                               Дурнамо</t>
  </si>
  <si>
    <t>Соли 2023                                                      Њисобот</t>
  </si>
  <si>
    <t>Соли 2024                 Бањодињї</t>
  </si>
  <si>
    <t>Соли 2027</t>
  </si>
  <si>
    <t xml:space="preserve">Соли 2024                                                 Бањодињӣ                     </t>
  </si>
  <si>
    <t xml:space="preserve">соли 2025 </t>
  </si>
  <si>
    <t xml:space="preserve">Љадвали 6. Дурнамои нишондињандањои рушди соњаи энергетика барои солњои 2025-2027                              </t>
  </si>
  <si>
    <t>соли 2024 Бањодињї</t>
  </si>
  <si>
    <t>соли 2023
Њисобот</t>
  </si>
  <si>
    <t>соли 2025                                  Дурнамо</t>
  </si>
  <si>
    <t>соли 2024                                            Бањодињї</t>
  </si>
  <si>
    <t xml:space="preserve">Љадвали 1. Дурнамои нишондињандањои асосии макроиќтисодии Љумњурии Тољикистон                                                                 барои соли 2025 ва параметрњои он барои солњои  2026-2027           </t>
  </si>
  <si>
    <t>Љадвали 2. Дурнамои нишондињандањои рушди њаљми истењсоли мањсулоти соњањои саноатии Љумњурии Тољикистон барои солњои 2025-2027</t>
  </si>
  <si>
    <t xml:space="preserve">Љадвали 3. Дурнамои нишондињандањои зерсоҳаҳои саноат  аз рўи минтаќањо барои солњои 2025-2027  </t>
  </si>
  <si>
    <t>Љадвали 4. Дурнамои нишондињандањои рушди њаљми истењсоли намудњои асосии                                                                                     мањсулоти саноатї барои солњои 2025-2027</t>
  </si>
  <si>
    <t xml:space="preserve">Љадвали 7. Дурнамои нишондињандањои рушди соњаи нафту газ барои солњои 2025-2027                          </t>
  </si>
  <si>
    <t xml:space="preserve">Љадвали 8. Дурнамои нишондињандањои рушди соњаи наќлиёт барои солњои 2025-2027                                                               </t>
  </si>
  <si>
    <t>Љадвали 10. Дурнамои нишондињандањои рушди соњаи алоќа барои солњои 2025-2027</t>
  </si>
  <si>
    <t>соли 2024 Бањодињӣ</t>
  </si>
  <si>
    <t xml:space="preserve"> соли 2023 Њисобот</t>
  </si>
  <si>
    <t>соли 2025 Дурнамо</t>
  </si>
  <si>
    <t>Љадвали 16. Нишондињандањои дурнамои рушди гардиши савдои хориљї  барои солњои 2025-2027</t>
  </si>
  <si>
    <t xml:space="preserve">Љадвали 18. Дурнамои нишондињандањои њаљми сармоягузорињо ва ба истифода додани иқтидорҳо дар Љумњурии Тољикистон барои солњои 2025-2027 </t>
  </si>
  <si>
    <t>Хамагї                                            2025-2027</t>
  </si>
  <si>
    <t>Ҳамагї                                                           2025-2027</t>
  </si>
  <si>
    <t>соли 2024                                                Бањодињї</t>
  </si>
  <si>
    <t>соли 2024                                     Бањодињї</t>
  </si>
  <si>
    <t>Хамагї 2025-2027</t>
  </si>
  <si>
    <t>соли 2024  Бањодињї</t>
  </si>
  <si>
    <t>соли 2024                                                 Бањодињї</t>
  </si>
  <si>
    <t>Њисобот                         соли 2023</t>
  </si>
  <si>
    <t>Бањодињӣ                 соли 2024</t>
  </si>
  <si>
    <t>Дурнамо                                   соли 2025</t>
  </si>
  <si>
    <t>*</t>
  </si>
  <si>
    <t xml:space="preserve"> </t>
  </si>
  <si>
    <t xml:space="preserve">  </t>
  </si>
  <si>
    <t>ЉДММ «Љалоли»</t>
  </si>
  <si>
    <t xml:space="preserve">  Нушокињои ташнашикан (њаз литр)</t>
  </si>
  <si>
    <t>Хизматрасони барои ворид шудан ба њудуди МОИ (њаз.сомонї)</t>
  </si>
  <si>
    <t>Комунали : аз ҷумла обу корези  (њаз.сомонї)</t>
  </si>
  <si>
    <t>Хизматрасонии логистикї ва наќлиётї (њаз.сомонї)</t>
  </si>
  <si>
    <t xml:space="preserve">ҶДММ КФ "Дусти Амирхон"   хизматрасонии  иҷораи биноҳо (њаз.сомонї) </t>
  </si>
  <si>
    <t>Муассисаи таълимии ѓайридавлатии Коллељи техникии шањри Хуљанд (њаз.сомонї)</t>
  </si>
  <si>
    <t xml:space="preserve">воридшавии автомошинањо (њаз.сомонї) </t>
  </si>
  <si>
    <t>хизматрасонињои сохтмони (њаз.сомонї)</t>
  </si>
  <si>
    <t>кашондани партовњо (њаз.сомонї)</t>
  </si>
  <si>
    <t>бензин (млн сомонї)</t>
  </si>
  <si>
    <t>бандубасти равганхои истеъмоли (млн сомонї)</t>
  </si>
  <si>
    <t>Кутихои пластики ва дигар маводхои пластики (млн сомонї)</t>
  </si>
  <si>
    <t>Нушокихои ташнашикан млн сомонї)</t>
  </si>
  <si>
    <r>
      <t>Ха</t>
    </r>
    <r>
      <rPr>
        <sz val="14"/>
        <rFont val="Times New Roman"/>
        <family val="1"/>
        <charset val="204"/>
      </rPr>
      <t>ҷ</t>
    </r>
    <r>
      <rPr>
        <sz val="14"/>
        <rFont val="Times New Roman Tj"/>
        <family val="1"/>
        <charset val="204"/>
      </rPr>
      <t>ми содирот (млн. доллар)</t>
    </r>
  </si>
  <si>
    <t>њуҷат гузорињо (њаз.сом)</t>
  </si>
  <si>
    <t>бандубасти равганхои истеъмоли (тонна)</t>
  </si>
  <si>
    <t>Маводи шустушўї (тонна)</t>
  </si>
  <si>
    <t>Мањсулотњои донагї(тонна)</t>
  </si>
  <si>
    <t>Мањсулотњои ороишї сохтмонї (м.м.ҳаз)</t>
  </si>
  <si>
    <t>Конструксияњо метталї (тонна)</t>
  </si>
  <si>
    <t>Сангу, шаѓал, шебен кум  (ҳаз. куб)</t>
  </si>
  <si>
    <t>Рухсатномањо</t>
  </si>
  <si>
    <t xml:space="preserve">    </t>
  </si>
  <si>
    <t>Рамкаи фосилавї дару тирезањои пластикї (ҳаз.дол.ИМА)</t>
  </si>
  <si>
    <t>Асали табиї (ҳаз.дол.ИМА)</t>
  </si>
  <si>
    <t xml:space="preserve">МОИ «Ишкошим»   </t>
  </si>
  <si>
    <t>дигар намуди махсулоти пластики  (њаз тонна)</t>
  </si>
  <si>
    <t>Кутихои пластики ва дигар маводхои пластики  (њаз адад)</t>
  </si>
  <si>
    <t xml:space="preserve">Дигар намуди махсулоти  пластики </t>
  </si>
  <si>
    <t>Намаки оши (тонна)</t>
  </si>
  <si>
    <t>Суперфосфат</t>
  </si>
  <si>
    <t>Фториди калси (флюорит)</t>
  </si>
  <si>
    <t>Хишти бинокори</t>
  </si>
  <si>
    <t>Хишти сементи</t>
  </si>
  <si>
    <t>Шумораи умумии корхонањои истењсолї ба 01.01.2023 (адад)</t>
  </si>
  <si>
    <t xml:space="preserve">    -истењсоли нерўи барќ</t>
  </si>
  <si>
    <t>Даромад аз фаъолияти асосии соњаи алоќа (бо фоиз)</t>
  </si>
  <si>
    <t>10 марот</t>
  </si>
  <si>
    <t>4 марот</t>
  </si>
  <si>
    <t>2,2 мар</t>
  </si>
  <si>
    <t>2,1 мар</t>
  </si>
  <si>
    <t xml:space="preserve">9,2 мар </t>
  </si>
  <si>
    <t>5,2 мар</t>
  </si>
  <si>
    <t>2,5 мар</t>
  </si>
  <si>
    <t>1802,,4</t>
  </si>
  <si>
    <t xml:space="preserve"> муассисањои амбулаторию дармонгоњњои хусусї</t>
  </si>
  <si>
    <t>Шир ва маҳсулоти ширӣ</t>
  </si>
  <si>
    <t>Ҳаҷми маҳсулоти истеҳсолшуда (млн. сомонӣ)</t>
  </si>
  <si>
    <t>Хаҷми сармоягузории субъектҳо (млн. сомонї)</t>
  </si>
  <si>
    <t>Миќдори ҷойҳои кори дар субъектҳо (адад)</t>
  </si>
  <si>
    <t>Хаҷми сармоягузории субъектњо (млн.сомонї)</t>
  </si>
  <si>
    <t>Хаҷми содирот (млн.доллари ИМА)</t>
  </si>
  <si>
    <r>
      <t>Шумораи хољагињои дењќон</t>
    </r>
    <r>
      <rPr>
        <sz val="14"/>
        <color indexed="8"/>
        <rFont val="Times New Roman Tj"/>
        <family val="1"/>
        <charset val="204"/>
      </rPr>
      <t>ӣ (фермерӣ)</t>
    </r>
  </si>
  <si>
    <r>
      <t>ЉСК «Су</t>
    </r>
    <r>
      <rPr>
        <sz val="14"/>
        <color indexed="8"/>
        <rFont val="Times New Roman Tj"/>
        <family val="1"/>
        <charset val="204"/>
      </rPr>
      <t>ғднафтугаз»</t>
    </r>
  </si>
  <si>
    <r>
      <rPr>
        <b/>
        <sz val="18"/>
        <rFont val="Times New Roman Tj"/>
        <family val="1"/>
        <charset val="204"/>
      </rPr>
      <t xml:space="preserve">Љадвали 37. Нишондињандањои дурнамои молу мањсулоти содиротии субъектњои                                                                                                                      Минтаќањои Озоди Иќтисодї (МОИ) барои солњои 2025-2027                                                                                                                                                                                                                           </t>
    </r>
    <r>
      <rPr>
        <sz val="18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</si>
  <si>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8"/>
        <rFont val="Times New Roman Tj"/>
        <family val="1"/>
        <charset val="204"/>
      </rPr>
      <t xml:space="preserve">Љадвали 36. Нишондињандањои дурнамои рушди хизматрасонӣ дар Минтаќањои Озоди Иќтисодї (МОИ) барои солњои 2025-2027                                                                                                                                                                                                                </t>
    </r>
    <r>
      <rPr>
        <sz val="18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</si>
  <si>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8"/>
        <rFont val="Times New Roman Tj"/>
        <family val="1"/>
        <charset val="204"/>
      </rPr>
      <t xml:space="preserve">Љадвали 35. Нишондињандањои дурнамои рушди истеҳсол дар Минтаќањои Озоди Иќтисодї (МОИ) барои солњои 2025-2027                                                                                                                                                                                                       </t>
    </r>
    <r>
      <rPr>
        <sz val="18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</si>
  <si>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8"/>
        <color indexed="8"/>
        <rFont val="Times New Roman Tj"/>
        <family val="1"/>
        <charset val="204"/>
      </rPr>
      <t xml:space="preserve">Љадвали 32. Дурнамои хусусигардонии объектњои моликияти давлатї ва рушди соњибкорї барои солњои 2025-2027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</si>
  <si>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18"/>
        <color indexed="8"/>
        <rFont val="Times New Roman Tj"/>
        <family val="1"/>
        <charset val="204"/>
      </rPr>
      <t xml:space="preserve">Љадвали 31. Дурнамои нишондињандањои рушди соњаи туризм барои солњои 2025-2027                                                                                                                                                                                                                    </t>
    </r>
    <r>
      <rPr>
        <sz val="18"/>
        <color theme="1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</t>
    </r>
    <r>
      <rPr>
        <sz val="18"/>
        <color indexed="8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</si>
  <si>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8"/>
        <color indexed="8"/>
        <rFont val="Times New Roman Tj"/>
        <family val="1"/>
        <charset val="204"/>
      </rPr>
      <t xml:space="preserve">Љадвали 28. Дурнамои нишондињандањои соњаи телевизион, радиошунавонї ва информатика барои солњои 2025-2027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8"/>
        <color theme="1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</t>
    </r>
    <r>
      <rPr>
        <sz val="18"/>
        <color indexed="8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</si>
  <si>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8"/>
        <color indexed="8"/>
        <rFont val="Times New Roman Tj"/>
        <family val="1"/>
        <charset val="204"/>
      </rPr>
      <t xml:space="preserve">Љадвали 23. Дурнамои нишондињандањои тайёр намудани кадрњои дорои маълумоти олї, миёнаю ибтидоии касбї барои солњои 2025-2027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</si>
  <si>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18"/>
        <color indexed="8"/>
        <rFont val="Times New Roman Tj"/>
        <family val="1"/>
        <charset val="204"/>
      </rPr>
      <t xml:space="preserve">Љадвали 21. Дурнамои нишондињандањои рушди тайёр кардани кадрњои илмию педагогї (магистрантура, аспирантура ва докторантура) барои солњои 2025-2027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</si>
  <si>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18"/>
        <color indexed="8"/>
        <rFont val="Times New Roman Tj"/>
        <family val="1"/>
        <charset val="204"/>
      </rPr>
      <t xml:space="preserve">Љадвали 20. Дурнамои нишондињандањои соњаи илму техника  барои солњои 2025-2027                </t>
    </r>
    <r>
      <rPr>
        <sz val="18"/>
        <color theme="1"/>
        <rFont val="Times New Roman Tj"/>
        <family val="1"/>
        <charset val="204"/>
      </rPr>
      <t xml:space="preserve">                                                 </t>
    </r>
  </si>
  <si>
    <r>
      <rPr>
        <b/>
        <sz val="18"/>
        <color indexed="8"/>
        <rFont val="Times New Roman Tj"/>
        <family val="1"/>
        <charset val="204"/>
      </rPr>
      <t xml:space="preserve">Љадвали 19(Б). Дурнамои љалби сармояи хориљї (ќарз ва грант) барои солњои 2025-2027                </t>
    </r>
    <r>
      <rPr>
        <sz val="18"/>
        <color theme="1"/>
        <rFont val="Times New Roman Tj"/>
        <family val="1"/>
        <charset val="204"/>
      </rPr>
      <t xml:space="preserve">            </t>
    </r>
    <r>
      <rPr>
        <b/>
        <sz val="18"/>
        <color indexed="8"/>
        <rFont val="Times New Roman Tj"/>
        <family val="1"/>
        <charset val="204"/>
      </rPr>
      <t xml:space="preserve">                                                                                                                                     (соњавї)</t>
    </r>
    <r>
      <rPr>
        <sz val="18"/>
        <color theme="1"/>
        <rFont val="Times New Roman Tj"/>
        <family val="1"/>
        <charset val="204"/>
      </rPr>
      <t xml:space="preserve">                                  </t>
    </r>
    <r>
      <rPr>
        <b/>
        <sz val="18"/>
        <color indexed="8"/>
        <rFont val="Times New Roman Tj"/>
        <family val="1"/>
        <charset val="204"/>
      </rPr>
      <t xml:space="preserve">                                   </t>
    </r>
  </si>
  <si>
    <r>
      <rPr>
        <b/>
        <sz val="18"/>
        <color indexed="8"/>
        <rFont val="Times New Roman Tj"/>
        <family val="1"/>
        <charset val="204"/>
      </rPr>
      <t xml:space="preserve">Љадвали 19. Дурнамои љалби сармояи хориљї  барои солњои 2025-2027                                                               </t>
    </r>
    <r>
      <rPr>
        <sz val="18"/>
        <color theme="1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</t>
    </r>
    <r>
      <rPr>
        <b/>
        <sz val="18"/>
        <color indexed="8"/>
        <rFont val="Times New Roman Tj"/>
        <family val="1"/>
        <charset val="204"/>
      </rPr>
      <t xml:space="preserve">                                                      (соњавї)</t>
    </r>
  </si>
  <si>
    <r>
      <rPr>
        <b/>
        <sz val="18"/>
        <color indexed="8"/>
        <rFont val="Times New Roman Tj"/>
        <family val="1"/>
        <charset val="204"/>
      </rPr>
      <t xml:space="preserve">Љадвали 17. Дурнамои нишондињандањои рушди молњои асосии содиротиву воридотї барои солњои 2025-2027                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</si>
  <si>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18"/>
        <color indexed="8"/>
        <rFont val="Times New Roman Tj"/>
        <family val="1"/>
        <charset val="204"/>
      </rPr>
      <t xml:space="preserve">Љадвали 14. Дурнамои нишондињандањои соњаи њифзи муњити зист барои солњои 2025-2027                                                                                                          </t>
    </r>
    <r>
      <rPr>
        <sz val="11"/>
        <color indexed="8"/>
        <rFont val="Times New Roman Tj"/>
        <family val="1"/>
        <charset val="204"/>
      </rPr>
      <t/>
    </r>
  </si>
  <si>
    <t xml:space="preserve">Љадвали 11. Дурнамои нишондињандањои корњои геологї-иктишофї                                                                                              барои солњои 2025-2027                                    </t>
  </si>
  <si>
    <r>
      <t>Ҷ</t>
    </r>
    <r>
      <rPr>
        <b/>
        <sz val="18"/>
        <color indexed="8"/>
        <rFont val="Times New Roman Tj"/>
        <family val="1"/>
        <charset val="204"/>
      </rPr>
      <t>адвали 9. Дурнамои нишондињандањои рушди соњаи хољагии роҳҳо                                                                       барои солњои 2025-2027</t>
    </r>
  </si>
  <si>
    <t xml:space="preserve">Љадвали 5. Дурнамои таъсиси корхонањои нави истењсолии саноатї дар солњои 2025-2027                                                                                                                                                                                                                  </t>
  </si>
  <si>
    <t xml:space="preserve">Љадвали 12. Дурнамои нишондињандањои рушди соњаи кишоварзї барои солњои 2025-2027 (аз рӯи ҳамаи шаклҳои хоҷагидорӣ)                                                                                                       </t>
  </si>
  <si>
    <r>
      <t xml:space="preserve">
</t>
    </r>
    <r>
      <rPr>
        <b/>
        <sz val="16"/>
        <color indexed="8"/>
        <rFont val="Times New Roman Tj"/>
        <family val="1"/>
        <charset val="204"/>
      </rPr>
      <t>Љадвали 13. Нишондињандањои дурнамои истењсоли мањсулоти асосии кишоварзї дар њамаи шаклњои хољагидорї аз рўи минтаќањо барои солњои 2025-2027</t>
    </r>
    <r>
      <rPr>
        <sz val="16"/>
        <color indexed="8"/>
        <rFont val="Times New Roman Tj"/>
        <family val="1"/>
        <charset val="204"/>
      </rPr>
      <t xml:space="preserve">
</t>
    </r>
  </si>
  <si>
    <r>
      <rPr>
        <b/>
        <sz val="16"/>
        <color indexed="8"/>
        <rFont val="Times New Roman Tj"/>
        <family val="1"/>
        <charset val="204"/>
      </rPr>
      <t xml:space="preserve">Љадвали 15. Нишондињандањои дурнамои рушди бозори истеъмолї  барои солњои 2025-2027                </t>
    </r>
    <r>
      <rPr>
        <sz val="11"/>
        <color theme="1"/>
        <rFont val="Calibri"/>
        <family val="2"/>
        <charset val="204"/>
        <scheme val="minor"/>
      </rPr>
      <t/>
    </r>
  </si>
  <si>
    <t xml:space="preserve">Љадвали 19 (А). Дурнамои љалби сармояи мустаќими хориљї  барои солњои 2025-2027 (соњавї) </t>
  </si>
  <si>
    <r>
      <rPr>
        <b/>
        <sz val="18"/>
        <color indexed="8"/>
        <rFont val="Times New Roman Tj"/>
        <family val="1"/>
        <charset val="204"/>
      </rPr>
      <t xml:space="preserve">Љадвали 22. Дурнамои нишондињандањои рушди соњаи Маориф  барои солњои 2025-2027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/>
    </r>
  </si>
  <si>
    <t xml:space="preserve">Љадвали 24. Дурнамои нишондињандањои соњаи тандурустї барои солњои 2025-2027                                                                 </t>
  </si>
  <si>
    <r>
      <rPr>
        <b/>
        <sz val="18"/>
        <color indexed="8"/>
        <rFont val="Times New Roman Tj"/>
        <family val="1"/>
        <charset val="204"/>
      </rPr>
      <t xml:space="preserve">Љадвали 25. Дурнамои нишондињандањои соњаи меҳнат барои солњои 2025-2027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/>
    </r>
  </si>
  <si>
    <t xml:space="preserve">Љадвали 26. Дурнамои нишондињандањои соњаи шуғл барои солњои 2025-2027                                                                                                                                      </t>
  </si>
  <si>
    <r>
      <rPr>
        <b/>
        <sz val="18"/>
        <color indexed="8"/>
        <rFont val="Times New Roman Tj"/>
        <family val="1"/>
        <charset val="204"/>
      </rPr>
      <t xml:space="preserve">Љадвали 27. Дурнамои нишондињандањои соњаи фарҳанг барои солњои 2025-2027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</si>
  <si>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18"/>
        <color indexed="8"/>
        <rFont val="Times New Roman Tj"/>
        <family val="1"/>
        <charset val="204"/>
      </rPr>
      <t xml:space="preserve">Љадвали 29. Дурнамои нишондињандањои соњаи таъбу нашр барои солњои 2025-2027                                                                                                                                                                                                                                   </t>
    </r>
    <r>
      <rPr>
        <sz val="18"/>
        <color theme="1"/>
        <rFont val="Times New Roman Tj"/>
        <family val="1"/>
        <charset val="204"/>
      </rPr>
      <t xml:space="preserve">                                         </t>
    </r>
    <r>
      <rPr>
        <sz val="18"/>
        <color indexed="8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</si>
  <si>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8"/>
        <color indexed="8"/>
        <rFont val="Times New Roman Tj"/>
        <family val="1"/>
        <charset val="204"/>
      </rPr>
      <t xml:space="preserve">Љадвали 30. Дурнамои нишондињандањоиТайёркунии касбї, азнавтайёркунї, такмили ихтисос ва таљрибаомўзии хизматчиёни давлатї барои солњои 2025-2027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</si>
  <si>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18"/>
        <color indexed="8"/>
        <rFont val="Times New Roman Tj"/>
        <family val="1"/>
        <charset val="204"/>
      </rPr>
      <t xml:space="preserve">Љадвали 33. Афзоиши миёнаи тарифњои хизматрасонии субъектњои монополияњои табиї барои солњои 2025-2027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</si>
  <si>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20"/>
        <rFont val="Times New Roman Tj"/>
        <family val="1"/>
        <charset val="204"/>
      </rPr>
      <t xml:space="preserve">Љадвали 34. Нишондињандањои дурнамои рушди минтаќањои озоди иќтисодї (МОИ) барои солњои 2025-2027                                                                                                                                                                                                                           </t>
    </r>
    <r>
      <rPr>
        <sz val="20"/>
        <rFont val="Times New Roman Tj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</si>
</sst>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0.0000"/>
    <numFmt numFmtId="166" formatCode="#,##0.0"/>
    <numFmt numFmtId="167" formatCode="0.000000"/>
    <numFmt numFmtId="168" formatCode="#,##0.00_р_."/>
    <numFmt numFmtId="169" formatCode="0.000"/>
    <numFmt numFmtId="170" formatCode="#,##0.0\ _₽"/>
    <numFmt numFmtId="171" formatCode="0.0%"/>
    <numFmt numFmtId="172" formatCode="_-* #,##0.0\ _₽_-;\-* #,##0.0\ _₽_-;_-* &quot;-&quot;??\ _₽_-;_-@_-"/>
    <numFmt numFmtId="173" formatCode="#,##0\ _₽"/>
    <numFmt numFmtId="174" formatCode="_-* #,##0\ _₽_-;\-* #,##0\ _₽_-;_-* &quot;-&quot;??\ _₽_-;_-@_-"/>
  </numFmts>
  <fonts count="8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name val="Times New Roman Tj"/>
      <family val="1"/>
      <charset val="204"/>
    </font>
    <font>
      <sz val="14"/>
      <color theme="1"/>
      <name val="Times New Roman Tj"/>
      <family val="1"/>
      <charset val="204"/>
    </font>
    <font>
      <b/>
      <sz val="14"/>
      <name val="Times New Roman Tj"/>
      <family val="1"/>
      <charset val="204"/>
    </font>
    <font>
      <b/>
      <sz val="12"/>
      <name val="Times New Roman Tj"/>
      <family val="1"/>
      <charset val="204"/>
    </font>
    <font>
      <sz val="18"/>
      <name val="Times New Roman Tj"/>
      <family val="1"/>
      <charset val="204"/>
    </font>
    <font>
      <sz val="14"/>
      <name val="Times New Roman Tj"/>
      <family val="1"/>
      <charset val="204"/>
    </font>
    <font>
      <sz val="12"/>
      <name val="Times New Roman Tj"/>
      <family val="1"/>
      <charset val="204"/>
    </font>
    <font>
      <sz val="8"/>
      <name val="Times New Roman Tj"/>
      <family val="1"/>
      <charset val="204"/>
    </font>
    <font>
      <sz val="13.5"/>
      <name val="Times New Roman Tj"/>
      <family val="1"/>
      <charset val="204"/>
    </font>
    <font>
      <vertAlign val="superscript"/>
      <sz val="13.5"/>
      <name val="Times New Roman Tj"/>
      <family val="1"/>
      <charset val="204"/>
    </font>
    <font>
      <sz val="12"/>
      <color theme="1"/>
      <name val="Times New Roman Tj"/>
      <family val="1"/>
      <charset val="204"/>
    </font>
    <font>
      <sz val="13.5"/>
      <color rgb="FF000000"/>
      <name val="Times New Roman Tj"/>
      <family val="1"/>
      <charset val="204"/>
    </font>
    <font>
      <b/>
      <sz val="16"/>
      <name val="Times New Roman Tj"/>
      <family val="1"/>
      <charset val="204"/>
    </font>
    <font>
      <sz val="16"/>
      <name val="Times New Roman Tj"/>
      <family val="1"/>
      <charset val="204"/>
    </font>
    <font>
      <i/>
      <sz val="14"/>
      <name val="Times New Roman Tj"/>
      <family val="1"/>
      <charset val="204"/>
    </font>
    <font>
      <b/>
      <sz val="16"/>
      <color indexed="8"/>
      <name val="Times New Roman Tj"/>
      <family val="1"/>
      <charset val="204"/>
    </font>
    <font>
      <sz val="11"/>
      <color rgb="FF000000"/>
      <name val="Times New Roman Tj"/>
      <family val="1"/>
      <charset val="204"/>
    </font>
    <font>
      <sz val="11"/>
      <color theme="1"/>
      <name val="Times New Roman Tj"/>
      <family val="1"/>
      <charset val="204"/>
    </font>
    <font>
      <sz val="12"/>
      <color indexed="8"/>
      <name val="Times New Roman Tj"/>
      <family val="1"/>
      <charset val="204"/>
    </font>
    <font>
      <sz val="11"/>
      <color theme="1"/>
      <name val="Calibri"/>
      <family val="2"/>
      <scheme val="minor"/>
    </font>
    <font>
      <sz val="14"/>
      <color rgb="FF000000"/>
      <name val="Times New Roman Tj"/>
      <family val="1"/>
      <charset val="204"/>
    </font>
    <font>
      <sz val="12"/>
      <color rgb="FF000000"/>
      <name val="Times New Roman Tj"/>
      <family val="1"/>
      <charset val="204"/>
    </font>
    <font>
      <b/>
      <sz val="14"/>
      <color theme="1"/>
      <name val="Times New Roman Tj"/>
      <family val="1"/>
      <charset val="204"/>
    </font>
    <font>
      <b/>
      <sz val="14"/>
      <color rgb="FF000000"/>
      <name val="Times New Roman Tj"/>
      <family val="1"/>
      <charset val="204"/>
    </font>
    <font>
      <sz val="14"/>
      <color indexed="8"/>
      <name val="Times New Roman Tj"/>
      <family val="1"/>
      <charset val="204"/>
    </font>
    <font>
      <b/>
      <vertAlign val="superscript"/>
      <sz val="14"/>
      <color indexed="8"/>
      <name val="Times New Roman Tj"/>
      <family val="1"/>
      <charset val="204"/>
    </font>
    <font>
      <b/>
      <sz val="14"/>
      <color indexed="8"/>
      <name val="Times New Roman Tj"/>
      <family val="1"/>
      <charset val="204"/>
    </font>
    <font>
      <sz val="14"/>
      <color theme="1"/>
      <name val="Calibri"/>
      <family val="2"/>
      <charset val="204"/>
      <scheme val="minor"/>
    </font>
    <font>
      <sz val="11"/>
      <color indexed="8"/>
      <name val="Times New Roman Tj"/>
      <family val="1"/>
      <charset val="204"/>
    </font>
    <font>
      <b/>
      <sz val="11"/>
      <color indexed="8"/>
      <name val="Calibri"/>
      <family val="2"/>
      <charset val="204"/>
    </font>
    <font>
      <sz val="14"/>
      <color theme="1"/>
      <name val="Times New Roman"/>
      <family val="1"/>
      <charset val="204"/>
    </font>
    <font>
      <sz val="16"/>
      <color rgb="FF000000"/>
      <name val="Times New Roman Tj"/>
      <family val="1"/>
      <charset val="204"/>
    </font>
    <font>
      <b/>
      <i/>
      <sz val="14"/>
      <color theme="1"/>
      <name val="Times New Roman Tj"/>
      <family val="1"/>
      <charset val="204"/>
    </font>
    <font>
      <i/>
      <sz val="12"/>
      <color theme="1"/>
      <name val="Times New Roman Tj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 Tj"/>
      <family val="1"/>
      <charset val="204"/>
    </font>
    <font>
      <sz val="13"/>
      <color theme="1"/>
      <name val="Times New Roman Tj"/>
      <family val="1"/>
      <charset val="204"/>
    </font>
    <font>
      <b/>
      <sz val="16"/>
      <color theme="1"/>
      <name val="Times New Roman Tj"/>
      <family val="1"/>
      <charset val="204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color rgb="FF00B050"/>
      <name val="Calibri"/>
      <family val="2"/>
      <charset val="204"/>
      <scheme val="minor"/>
    </font>
    <font>
      <sz val="14"/>
      <color rgb="FF191919"/>
      <name val="Times New Roman Tj"/>
      <family val="1"/>
      <charset val="204"/>
    </font>
    <font>
      <sz val="13.5"/>
      <color theme="1"/>
      <name val="Times New Roman Tj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3"/>
      <name val="Times New Roman Tj"/>
      <family val="1"/>
      <charset val="204"/>
    </font>
    <font>
      <b/>
      <sz val="13"/>
      <color theme="1"/>
      <name val="Times New Roman Tj"/>
      <family val="1"/>
      <charset val="204"/>
    </font>
    <font>
      <b/>
      <sz val="13"/>
      <name val="Times New Roman Tj"/>
      <family val="1"/>
      <charset val="204"/>
    </font>
    <font>
      <i/>
      <sz val="12"/>
      <name val="Times New Roman Tj"/>
      <family val="1"/>
      <charset val="204"/>
    </font>
    <font>
      <b/>
      <sz val="10"/>
      <name val="Times New Roman Tj"/>
      <family val="1"/>
      <charset val="204"/>
    </font>
    <font>
      <sz val="10"/>
      <color theme="1"/>
      <name val="Times New Roman Tj"/>
      <family val="1"/>
      <charset val="204"/>
    </font>
    <font>
      <i/>
      <sz val="10"/>
      <name val="Times New Roman Tj"/>
      <family val="1"/>
      <charset val="204"/>
    </font>
    <font>
      <sz val="10"/>
      <name val="Times New Roman Tj"/>
      <family val="1"/>
      <charset val="204"/>
    </font>
    <font>
      <b/>
      <sz val="10"/>
      <color theme="1"/>
      <name val="Times New Roman Tj"/>
      <family val="1"/>
      <charset val="204"/>
    </font>
    <font>
      <sz val="12"/>
      <color theme="0"/>
      <name val="Times New Roman Tj"/>
      <family val="1"/>
      <charset val="204"/>
    </font>
    <font>
      <sz val="9"/>
      <color theme="1"/>
      <name val="Times New Roman Tj"/>
      <family val="1"/>
      <charset val="204"/>
    </font>
    <font>
      <sz val="8"/>
      <color theme="1"/>
      <name val="Times New Roman Tj"/>
      <family val="1"/>
      <charset val="204"/>
    </font>
    <font>
      <b/>
      <sz val="9"/>
      <color theme="1"/>
      <name val="Times New Roman Tj"/>
      <family val="1"/>
      <charset val="204"/>
    </font>
    <font>
      <b/>
      <sz val="8"/>
      <color theme="1"/>
      <name val="Times New Roman Tj"/>
      <family val="1"/>
      <charset val="204"/>
    </font>
    <font>
      <sz val="14"/>
      <color theme="0"/>
      <name val="Times New Roman Tj"/>
      <family val="1"/>
      <charset val="204"/>
    </font>
    <font>
      <sz val="14"/>
      <color theme="1"/>
      <name val="Times New Roman Tj"/>
      <charset val="204"/>
    </font>
    <font>
      <sz val="12.5"/>
      <name val="Times New Roman Tj"/>
      <family val="1"/>
      <charset val="204"/>
    </font>
    <font>
      <sz val="12.5"/>
      <color theme="1"/>
      <name val="Times New Roman Tj"/>
      <family val="1"/>
      <charset val="204"/>
    </font>
    <font>
      <b/>
      <sz val="12.5"/>
      <name val="Times New Roman Tj"/>
      <family val="1"/>
      <charset val="204"/>
    </font>
    <font>
      <sz val="11"/>
      <name val="Times New Roman Tj"/>
      <family val="1"/>
      <charset val="204"/>
    </font>
    <font>
      <sz val="11"/>
      <color rgb="FF00B050"/>
      <name val="Times New Roman Tj"/>
      <family val="1"/>
      <charset val="204"/>
    </font>
    <font>
      <b/>
      <sz val="11"/>
      <color theme="1"/>
      <name val="Times New Roman Tj"/>
      <family val="1"/>
      <charset val="204"/>
    </font>
    <font>
      <b/>
      <sz val="11"/>
      <color indexed="8"/>
      <name val="Times New Roman Tj"/>
      <family val="1"/>
      <charset val="204"/>
    </font>
    <font>
      <sz val="18"/>
      <color theme="1"/>
      <name val="Times New Roman Tj"/>
      <family val="1"/>
      <charset val="204"/>
    </font>
    <font>
      <b/>
      <sz val="18"/>
      <color indexed="8"/>
      <name val="Times New Roman Tj"/>
      <family val="1"/>
      <charset val="204"/>
    </font>
    <font>
      <sz val="18"/>
      <color indexed="8"/>
      <name val="Times New Roman Tj"/>
      <family val="1"/>
      <charset val="204"/>
    </font>
    <font>
      <b/>
      <sz val="18"/>
      <color theme="1"/>
      <name val="Times New Roman Tj"/>
      <family val="1"/>
      <charset val="204"/>
    </font>
    <font>
      <b/>
      <sz val="20"/>
      <color indexed="8"/>
      <name val="Times New Roman Tj"/>
      <family val="1"/>
      <charset val="204"/>
    </font>
    <font>
      <sz val="16"/>
      <color indexed="8"/>
      <name val="Times New Roman Tj"/>
      <family val="1"/>
      <charset val="204"/>
    </font>
    <font>
      <sz val="16"/>
      <color theme="1"/>
      <name val="Times New Roman Tj"/>
      <family val="1"/>
      <charset val="204"/>
    </font>
    <font>
      <sz val="16"/>
      <color theme="1"/>
      <name val="Calibri"/>
      <family val="2"/>
      <charset val="204"/>
      <scheme val="minor"/>
    </font>
    <font>
      <sz val="20"/>
      <name val="Times New Roman Tj"/>
      <family val="1"/>
      <charset val="204"/>
    </font>
    <font>
      <b/>
      <sz val="20"/>
      <name val="Times New Roman Tj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2" fillId="0" borderId="0"/>
    <xf numFmtId="0" fontId="46" fillId="0" borderId="0"/>
    <xf numFmtId="0" fontId="46" fillId="0" borderId="0"/>
    <xf numFmtId="0" fontId="1" fillId="0" borderId="0"/>
    <xf numFmtId="43" fontId="46" fillId="0" borderId="0" applyFont="0" applyFill="0" applyBorder="0" applyAlignment="0" applyProtection="0"/>
    <xf numFmtId="0" fontId="47" fillId="0" borderId="0"/>
    <xf numFmtId="0" fontId="1" fillId="0" borderId="0"/>
    <xf numFmtId="9" fontId="46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7">
    <xf numFmtId="0" fontId="0" fillId="0" borderId="0" xfId="0"/>
    <xf numFmtId="0" fontId="4" fillId="0" borderId="0" xfId="0" applyFont="1"/>
    <xf numFmtId="0" fontId="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/>
    </xf>
    <xf numFmtId="165" fontId="8" fillId="2" borderId="3" xfId="0" applyNumberFormat="1" applyFont="1" applyFill="1" applyBorder="1" applyAlignment="1">
      <alignment horizontal="center" vertical="center" wrapText="1"/>
    </xf>
    <xf numFmtId="2" fontId="8" fillId="2" borderId="3" xfId="0" applyNumberFormat="1" applyFont="1" applyFill="1" applyBorder="1" applyAlignment="1">
      <alignment horizontal="center" vertical="center" wrapText="1"/>
    </xf>
    <xf numFmtId="2" fontId="8" fillId="2" borderId="3" xfId="0" applyNumberFormat="1" applyFont="1" applyFill="1" applyBorder="1" applyAlignment="1">
      <alignment horizontal="center" vertical="center"/>
    </xf>
    <xf numFmtId="1" fontId="8" fillId="2" borderId="3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11" fillId="2" borderId="3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66" fontId="8" fillId="2" borderId="3" xfId="0" applyNumberFormat="1" applyFont="1" applyFill="1" applyBorder="1" applyAlignment="1">
      <alignment horizontal="center" vertical="center" wrapText="1"/>
    </xf>
    <xf numFmtId="166" fontId="8" fillId="2" borderId="6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/>
    </xf>
    <xf numFmtId="164" fontId="8" fillId="0" borderId="3" xfId="0" applyNumberFormat="1" applyFont="1" applyBorder="1" applyAlignment="1">
      <alignment horizontal="center" vertical="center" wrapText="1"/>
    </xf>
    <xf numFmtId="0" fontId="1" fillId="0" borderId="0" xfId="3"/>
    <xf numFmtId="167" fontId="1" fillId="0" borderId="0" xfId="3" applyNumberFormat="1"/>
    <xf numFmtId="164" fontId="1" fillId="0" borderId="0" xfId="3" applyNumberFormat="1"/>
    <xf numFmtId="164" fontId="1" fillId="3" borderId="0" xfId="3" applyNumberFormat="1" applyFill="1"/>
    <xf numFmtId="164" fontId="23" fillId="2" borderId="3" xfId="0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164" fontId="26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/>
    </xf>
    <xf numFmtId="164" fontId="5" fillId="2" borderId="3" xfId="2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164" fontId="8" fillId="2" borderId="3" xfId="0" applyNumberFormat="1" applyFont="1" applyFill="1" applyBorder="1" applyAlignment="1">
      <alignment horizontal="center"/>
    </xf>
    <xf numFmtId="164" fontId="8" fillId="2" borderId="3" xfId="2" applyNumberFormat="1" applyFont="1" applyFill="1" applyBorder="1" applyAlignment="1">
      <alignment horizontal="center"/>
    </xf>
    <xf numFmtId="164" fontId="8" fillId="2" borderId="3" xfId="2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166" fontId="25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164" fontId="25" fillId="2" borderId="3" xfId="0" applyNumberFormat="1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 wrapText="1"/>
    </xf>
    <xf numFmtId="164" fontId="13" fillId="2" borderId="3" xfId="0" applyNumberFormat="1" applyFont="1" applyFill="1" applyBorder="1" applyAlignment="1">
      <alignment horizont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wrapText="1"/>
    </xf>
    <xf numFmtId="1" fontId="13" fillId="2" borderId="3" xfId="0" applyNumberFormat="1" applyFont="1" applyFill="1" applyBorder="1" applyAlignment="1">
      <alignment horizontal="center" wrapText="1"/>
    </xf>
    <xf numFmtId="1" fontId="9" fillId="2" borderId="3" xfId="0" applyNumberFormat="1" applyFont="1" applyFill="1" applyBorder="1" applyAlignment="1">
      <alignment horizontal="center" wrapText="1"/>
    </xf>
    <xf numFmtId="164" fontId="9" fillId="2" borderId="3" xfId="0" applyNumberFormat="1" applyFont="1" applyFill="1" applyBorder="1" applyAlignment="1">
      <alignment horizontal="center" wrapText="1"/>
    </xf>
    <xf numFmtId="1" fontId="13" fillId="2" borderId="3" xfId="0" applyNumberFormat="1" applyFont="1" applyFill="1" applyBorder="1" applyAlignment="1">
      <alignment horizontal="center" vertical="center" wrapText="1"/>
    </xf>
    <xf numFmtId="0" fontId="32" fillId="0" borderId="0" xfId="0" applyFont="1"/>
    <xf numFmtId="2" fontId="8" fillId="0" borderId="3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6" xfId="0" applyFont="1" applyBorder="1" applyAlignment="1">
      <alignment horizontal="center" vertical="center" textRotation="90" wrapText="1"/>
    </xf>
    <xf numFmtId="1" fontId="9" fillId="2" borderId="3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/>
    </xf>
    <xf numFmtId="1" fontId="13" fillId="2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vertical="center" wrapText="1"/>
    </xf>
    <xf numFmtId="164" fontId="0" fillId="0" borderId="0" xfId="0" applyNumberFormat="1"/>
    <xf numFmtId="0" fontId="20" fillId="2" borderId="3" xfId="0" applyFont="1" applyFill="1" applyBorder="1" applyAlignment="1">
      <alignment horizontal="center" vertical="center"/>
    </xf>
    <xf numFmtId="164" fontId="20" fillId="2" borderId="3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164" fontId="20" fillId="2" borderId="3" xfId="0" applyNumberFormat="1" applyFont="1" applyFill="1" applyBorder="1" applyAlignment="1">
      <alignment horizontal="center" vertical="center" wrapText="1"/>
    </xf>
    <xf numFmtId="1" fontId="20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43" fillId="0" borderId="0" xfId="0" applyFont="1"/>
    <xf numFmtId="1" fontId="44" fillId="2" borderId="3" xfId="0" applyNumberFormat="1" applyFont="1" applyFill="1" applyBorder="1" applyAlignment="1">
      <alignment horizontal="center" vertical="center" wrapText="1"/>
    </xf>
    <xf numFmtId="164" fontId="44" fillId="2" borderId="3" xfId="0" applyNumberFormat="1" applyFont="1" applyFill="1" applyBorder="1" applyAlignment="1">
      <alignment horizontal="center" vertical="center"/>
    </xf>
    <xf numFmtId="164" fontId="44" fillId="2" borderId="3" xfId="0" applyNumberFormat="1" applyFont="1" applyFill="1" applyBorder="1" applyAlignment="1">
      <alignment horizontal="center" vertical="center" wrapText="1"/>
    </xf>
    <xf numFmtId="0" fontId="45" fillId="2" borderId="3" xfId="0" applyFont="1" applyFill="1" applyBorder="1" applyAlignment="1">
      <alignment horizontal="center" vertical="center" wrapText="1"/>
    </xf>
    <xf numFmtId="164" fontId="45" fillId="2" borderId="3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 wrapText="1"/>
    </xf>
    <xf numFmtId="164" fontId="25" fillId="2" borderId="3" xfId="0" applyNumberFormat="1" applyFont="1" applyFill="1" applyBorder="1" applyAlignment="1">
      <alignment horizontal="center" vertical="center" wrapText="1"/>
    </xf>
    <xf numFmtId="16" fontId="8" fillId="2" borderId="3" xfId="0" applyNumberFormat="1" applyFont="1" applyFill="1" applyBorder="1" applyAlignment="1">
      <alignment horizontal="center" vertical="center" wrapText="1"/>
    </xf>
    <xf numFmtId="169" fontId="8" fillId="2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top" wrapText="1"/>
    </xf>
    <xf numFmtId="164" fontId="4" fillId="0" borderId="3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right"/>
    </xf>
    <xf numFmtId="164" fontId="8" fillId="0" borderId="3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1" fontId="38" fillId="2" borderId="3" xfId="0" applyNumberFormat="1" applyFont="1" applyFill="1" applyBorder="1" applyAlignment="1">
      <alignment horizontal="center" vertical="center"/>
    </xf>
    <xf numFmtId="0" fontId="58" fillId="2" borderId="3" xfId="0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74" fontId="58" fillId="2" borderId="3" xfId="1" applyNumberFormat="1" applyFont="1" applyFill="1" applyBorder="1" applyAlignment="1">
      <alignment horizontal="center" vertical="center"/>
    </xf>
    <xf numFmtId="174" fontId="58" fillId="2" borderId="3" xfId="0" applyNumberFormat="1" applyFont="1" applyFill="1" applyBorder="1" applyAlignment="1">
      <alignment horizontal="center" vertical="center"/>
    </xf>
    <xf numFmtId="174" fontId="60" fillId="2" borderId="3" xfId="1" applyNumberFormat="1" applyFont="1" applyFill="1" applyBorder="1" applyAlignment="1">
      <alignment horizontal="center" vertical="center"/>
    </xf>
    <xf numFmtId="0" fontId="0" fillId="0" borderId="0" xfId="0" applyBorder="1"/>
    <xf numFmtId="0" fontId="29" fillId="2" borderId="3" xfId="0" applyFont="1" applyFill="1" applyBorder="1" applyAlignment="1">
      <alignment horizontal="left" vertical="center" wrapText="1"/>
    </xf>
    <xf numFmtId="164" fontId="8" fillId="2" borderId="3" xfId="3" applyNumberFormat="1" applyFont="1" applyFill="1" applyBorder="1" applyAlignment="1">
      <alignment horizontal="center" vertical="center" wrapText="1"/>
    </xf>
    <xf numFmtId="164" fontId="4" fillId="2" borderId="3" xfId="3" applyNumberFormat="1" applyFont="1" applyFill="1" applyBorder="1" applyAlignment="1">
      <alignment horizontal="center" vertical="center" wrapText="1"/>
    </xf>
    <xf numFmtId="164" fontId="4" fillId="2" borderId="3" xfId="3" applyNumberFormat="1" applyFont="1" applyFill="1" applyBorder="1" applyAlignment="1">
      <alignment horizontal="center" vertical="center"/>
    </xf>
    <xf numFmtId="164" fontId="8" fillId="2" borderId="3" xfId="3" applyNumberFormat="1" applyFont="1" applyFill="1" applyBorder="1" applyAlignment="1">
      <alignment horizontal="center" vertical="center"/>
    </xf>
    <xf numFmtId="0" fontId="30" fillId="0" borderId="0" xfId="3" applyFont="1" applyAlignment="1">
      <alignment horizontal="center" vertical="center"/>
    </xf>
    <xf numFmtId="164" fontId="4" fillId="2" borderId="3" xfId="3" applyNumberFormat="1" applyFont="1" applyFill="1" applyBorder="1" applyAlignment="1">
      <alignment horizontal="left" wrapText="1"/>
    </xf>
    <xf numFmtId="164" fontId="4" fillId="0" borderId="3" xfId="3" applyNumberFormat="1" applyFont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center" vertical="top" wrapText="1"/>
    </xf>
    <xf numFmtId="166" fontId="8" fillId="2" borderId="3" xfId="0" applyNumberFormat="1" applyFont="1" applyFill="1" applyBorder="1" applyAlignment="1">
      <alignment horizontal="center"/>
    </xf>
    <xf numFmtId="174" fontId="8" fillId="2" borderId="3" xfId="1" applyNumberFormat="1" applyFont="1" applyFill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164" fontId="63" fillId="2" borderId="3" xfId="0" applyNumberFormat="1" applyFont="1" applyFill="1" applyBorder="1" applyAlignment="1">
      <alignment horizontal="center" vertical="center"/>
    </xf>
    <xf numFmtId="164" fontId="63" fillId="2" borderId="3" xfId="3" applyNumberFormat="1" applyFont="1" applyFill="1" applyBorder="1" applyAlignment="1">
      <alignment horizontal="center" vertical="center" wrapText="1"/>
    </xf>
    <xf numFmtId="164" fontId="63" fillId="2" borderId="3" xfId="3" applyNumberFormat="1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top" wrapText="1"/>
    </xf>
    <xf numFmtId="3" fontId="8" fillId="2" borderId="3" xfId="0" applyNumberFormat="1" applyFont="1" applyFill="1" applyBorder="1" applyAlignment="1">
      <alignment horizontal="center" vertical="center" wrapText="1"/>
    </xf>
    <xf numFmtId="166" fontId="5" fillId="2" borderId="3" xfId="0" applyNumberFormat="1" applyFont="1" applyFill="1" applyBorder="1" applyAlignment="1">
      <alignment horizontal="center" vertical="center" wrapText="1"/>
    </xf>
    <xf numFmtId="166" fontId="4" fillId="2" borderId="3" xfId="0" applyNumberFormat="1" applyFont="1" applyFill="1" applyBorder="1" applyAlignment="1">
      <alignment horizontal="center" vertical="center" wrapText="1"/>
    </xf>
    <xf numFmtId="166" fontId="4" fillId="2" borderId="3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textRotation="90" wrapText="1"/>
    </xf>
    <xf numFmtId="166" fontId="5" fillId="2" borderId="6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/>
    </xf>
    <xf numFmtId="164" fontId="23" fillId="2" borderId="3" xfId="3" applyNumberFormat="1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textRotation="90" wrapText="1"/>
    </xf>
    <xf numFmtId="0" fontId="8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textRotation="90" wrapText="1"/>
    </xf>
    <xf numFmtId="0" fontId="0" fillId="0" borderId="3" xfId="0" applyBorder="1"/>
    <xf numFmtId="0" fontId="13" fillId="2" borderId="3" xfId="0" applyFont="1" applyFill="1" applyBorder="1" applyAlignment="1">
      <alignment horizontal="center" vertical="center" wrapText="1"/>
    </xf>
    <xf numFmtId="174" fontId="4" fillId="2" borderId="3" xfId="1" applyNumberFormat="1" applyFont="1" applyFill="1" applyBorder="1" applyAlignment="1">
      <alignment horizontal="center" vertical="center"/>
    </xf>
    <xf numFmtId="170" fontId="52" fillId="2" borderId="3" xfId="5" applyNumberFormat="1" applyFont="1" applyFill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1" fontId="26" fillId="2" borderId="3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164" fontId="33" fillId="0" borderId="3" xfId="0" applyNumberFormat="1" applyFont="1" applyBorder="1" applyAlignment="1">
      <alignment horizontal="center" vertical="top" wrapText="1"/>
    </xf>
    <xf numFmtId="164" fontId="42" fillId="0" borderId="3" xfId="0" applyNumberFormat="1" applyFont="1" applyBorder="1" applyAlignment="1">
      <alignment horizontal="center" vertical="top" wrapText="1"/>
    </xf>
    <xf numFmtId="164" fontId="42" fillId="0" borderId="3" xfId="0" applyNumberFormat="1" applyFont="1" applyFill="1" applyBorder="1" applyAlignment="1">
      <alignment horizontal="center" vertical="top" wrapText="1"/>
    </xf>
    <xf numFmtId="0" fontId="33" fillId="0" borderId="3" xfId="0" applyFont="1" applyBorder="1" applyAlignment="1">
      <alignment horizontal="center" vertical="top"/>
    </xf>
    <xf numFmtId="2" fontId="4" fillId="2" borderId="3" xfId="0" applyNumberFormat="1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center" vertical="center"/>
    </xf>
    <xf numFmtId="171" fontId="53" fillId="2" borderId="3" xfId="8" applyNumberFormat="1" applyFont="1" applyFill="1" applyBorder="1" applyAlignment="1">
      <alignment horizontal="center" vertical="center"/>
    </xf>
    <xf numFmtId="164" fontId="23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/>
    <xf numFmtId="169" fontId="8" fillId="2" borderId="3" xfId="0" applyNumberFormat="1" applyFont="1" applyFill="1" applyBorder="1" applyAlignment="1">
      <alignment horizontal="center" vertical="center"/>
    </xf>
    <xf numFmtId="1" fontId="27" fillId="2" borderId="3" xfId="0" applyNumberFormat="1" applyFont="1" applyFill="1" applyBorder="1" applyAlignment="1">
      <alignment horizontal="center" vertical="center"/>
    </xf>
    <xf numFmtId="1" fontId="21" fillId="2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1" fontId="27" fillId="2" borderId="3" xfId="0" applyNumberFormat="1" applyFont="1" applyFill="1" applyBorder="1" applyAlignment="1">
      <alignment horizontal="center" vertical="center" wrapText="1"/>
    </xf>
    <xf numFmtId="169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 wrapText="1"/>
    </xf>
    <xf numFmtId="0" fontId="8" fillId="2" borderId="3" xfId="0" applyFont="1" applyFill="1" applyBorder="1" applyAlignment="1">
      <alignment vertical="center" wrapText="1"/>
    </xf>
    <xf numFmtId="169" fontId="4" fillId="2" borderId="3" xfId="0" applyNumberFormat="1" applyFont="1" applyFill="1" applyBorder="1" applyAlignment="1">
      <alignment horizontal="center" vertical="center"/>
    </xf>
    <xf numFmtId="174" fontId="9" fillId="2" borderId="3" xfId="1" applyNumberFormat="1" applyFont="1" applyFill="1" applyBorder="1" applyAlignment="1">
      <alignment horizontal="center" vertical="center"/>
    </xf>
    <xf numFmtId="174" fontId="13" fillId="2" borderId="3" xfId="1" applyNumberFormat="1" applyFont="1" applyFill="1" applyBorder="1" applyAlignment="1">
      <alignment horizontal="center" vertical="center"/>
    </xf>
    <xf numFmtId="164" fontId="20" fillId="2" borderId="3" xfId="1" applyNumberFormat="1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" fontId="9" fillId="2" borderId="3" xfId="1" applyNumberFormat="1" applyFont="1" applyFill="1" applyBorder="1" applyAlignment="1">
      <alignment horizontal="center" vertical="center"/>
    </xf>
    <xf numFmtId="164" fontId="13" fillId="2" borderId="3" xfId="1" applyNumberFormat="1" applyFont="1" applyFill="1" applyBorder="1" applyAlignment="1">
      <alignment horizontal="center" vertical="center"/>
    </xf>
    <xf numFmtId="1" fontId="20" fillId="2" borderId="3" xfId="1" applyNumberFormat="1" applyFont="1" applyFill="1" applyBorder="1" applyAlignment="1">
      <alignment horizontal="center" vertical="center"/>
    </xf>
    <xf numFmtId="1" fontId="13" fillId="2" borderId="3" xfId="1" applyNumberFormat="1" applyFont="1" applyFill="1" applyBorder="1" applyAlignment="1">
      <alignment horizontal="center" vertical="center"/>
    </xf>
    <xf numFmtId="2" fontId="20" fillId="2" borderId="3" xfId="1" applyNumberFormat="1" applyFont="1" applyFill="1" applyBorder="1" applyAlignment="1">
      <alignment horizontal="center" vertical="center"/>
    </xf>
    <xf numFmtId="2" fontId="9" fillId="2" borderId="3" xfId="1" applyNumberFormat="1" applyFont="1" applyFill="1" applyBorder="1" applyAlignment="1">
      <alignment horizontal="center" vertical="center"/>
    </xf>
    <xf numFmtId="2" fontId="13" fillId="2" borderId="3" xfId="1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1" fontId="25" fillId="2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172" fontId="58" fillId="2" borderId="3" xfId="1" applyNumberFormat="1" applyFont="1" applyFill="1" applyBorder="1" applyAlignment="1">
      <alignment horizontal="center" vertical="center"/>
    </xf>
    <xf numFmtId="43" fontId="58" fillId="2" borderId="3" xfId="1" applyFont="1" applyFill="1" applyBorder="1" applyAlignment="1">
      <alignment horizontal="center" vertical="center"/>
    </xf>
    <xf numFmtId="172" fontId="60" fillId="2" borderId="3" xfId="1" applyNumberFormat="1" applyFont="1" applyFill="1" applyBorder="1" applyAlignment="1">
      <alignment horizontal="center" vertical="center"/>
    </xf>
    <xf numFmtId="174" fontId="61" fillId="2" borderId="3" xfId="1" applyNumberFormat="1" applyFont="1" applyFill="1" applyBorder="1" applyAlignment="1">
      <alignment horizontal="center" vertical="center"/>
    </xf>
    <xf numFmtId="174" fontId="59" fillId="2" borderId="3" xfId="1" applyNumberFormat="1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174" fontId="56" fillId="2" borderId="3" xfId="1" applyNumberFormat="1" applyFont="1" applyFill="1" applyBorder="1" applyAlignment="1">
      <alignment horizontal="center" vertical="center"/>
    </xf>
    <xf numFmtId="174" fontId="53" fillId="2" borderId="3" xfId="1" applyNumberFormat="1" applyFont="1" applyFill="1" applyBorder="1" applyAlignment="1">
      <alignment horizontal="center" vertical="center"/>
    </xf>
    <xf numFmtId="164" fontId="13" fillId="2" borderId="3" xfId="1" applyNumberFormat="1" applyFont="1" applyFill="1" applyBorder="1" applyAlignment="1">
      <alignment horizontal="center" vertical="center" wrapText="1"/>
    </xf>
    <xf numFmtId="164" fontId="57" fillId="2" borderId="3" xfId="1" applyNumberFormat="1" applyFont="1" applyFill="1" applyBorder="1" applyAlignment="1">
      <alignment horizontal="center" vertical="center" wrapText="1"/>
    </xf>
    <xf numFmtId="164" fontId="57" fillId="2" borderId="3" xfId="1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172" fontId="4" fillId="2" borderId="3" xfId="1" applyNumberFormat="1" applyFont="1" applyFill="1" applyBorder="1" applyAlignment="1">
      <alignment horizontal="center" vertical="center"/>
    </xf>
    <xf numFmtId="174" fontId="62" fillId="2" borderId="3" xfId="1" applyNumberFormat="1" applyFont="1" applyFill="1" applyBorder="1" applyAlignment="1">
      <alignment horizontal="center" vertical="center"/>
    </xf>
    <xf numFmtId="172" fontId="62" fillId="2" borderId="3" xfId="1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vertical="center"/>
    </xf>
    <xf numFmtId="174" fontId="53" fillId="2" borderId="3" xfId="8" applyNumberFormat="1" applyFont="1" applyFill="1" applyBorder="1" applyAlignment="1">
      <alignment horizontal="center" vertical="center"/>
    </xf>
    <xf numFmtId="1" fontId="53" fillId="2" borderId="3" xfId="8" applyNumberFormat="1" applyFont="1" applyFill="1" applyBorder="1" applyAlignment="1">
      <alignment horizontal="center" vertical="center"/>
    </xf>
    <xf numFmtId="173" fontId="55" fillId="2" borderId="3" xfId="5" applyNumberFormat="1" applyFont="1" applyFill="1" applyBorder="1" applyAlignment="1">
      <alignment horizontal="center"/>
    </xf>
    <xf numFmtId="174" fontId="56" fillId="2" borderId="3" xfId="5" applyNumberFormat="1" applyFont="1" applyFill="1" applyBorder="1" applyAlignment="1">
      <alignment horizontal="center" vertical="center" wrapText="1"/>
    </xf>
    <xf numFmtId="173" fontId="56" fillId="2" borderId="3" xfId="5" applyNumberFormat="1" applyFont="1" applyFill="1" applyBorder="1" applyAlignment="1">
      <alignment horizontal="center" vertical="center" wrapText="1"/>
    </xf>
    <xf numFmtId="174" fontId="53" fillId="2" borderId="3" xfId="8" applyNumberFormat="1" applyFont="1" applyFill="1" applyBorder="1" applyAlignment="1">
      <alignment horizontal="right" vertical="center"/>
    </xf>
    <xf numFmtId="173" fontId="55" fillId="2" borderId="3" xfId="5" applyNumberFormat="1" applyFont="1" applyFill="1" applyBorder="1" applyAlignment="1">
      <alignment horizontal="center" vertical="center"/>
    </xf>
    <xf numFmtId="174" fontId="56" fillId="2" borderId="3" xfId="5" applyNumberFormat="1" applyFont="1" applyFill="1" applyBorder="1" applyAlignment="1">
      <alignment horizontal="center" vertical="center"/>
    </xf>
    <xf numFmtId="1" fontId="56" fillId="2" borderId="3" xfId="8" applyNumberFormat="1" applyFont="1" applyFill="1" applyBorder="1" applyAlignment="1">
      <alignment horizontal="center" vertical="center"/>
    </xf>
    <xf numFmtId="173" fontId="56" fillId="2" borderId="3" xfId="5" applyNumberFormat="1" applyFont="1" applyFill="1" applyBorder="1" applyAlignment="1">
      <alignment horizontal="center" vertical="center"/>
    </xf>
    <xf numFmtId="170" fontId="64" fillId="2" borderId="3" xfId="9" applyNumberFormat="1" applyFont="1" applyFill="1" applyBorder="1" applyAlignment="1">
      <alignment horizontal="center" vertical="center" wrapText="1"/>
    </xf>
    <xf numFmtId="171" fontId="64" fillId="2" borderId="3" xfId="9" applyNumberFormat="1" applyFont="1" applyFill="1" applyBorder="1" applyAlignment="1">
      <alignment horizontal="center" vertical="center" wrapText="1"/>
    </xf>
    <xf numFmtId="0" fontId="64" fillId="2" borderId="3" xfId="9" applyFont="1" applyFill="1" applyBorder="1" applyAlignment="1">
      <alignment horizontal="center" vertical="center" wrapText="1"/>
    </xf>
    <xf numFmtId="173" fontId="64" fillId="2" borderId="3" xfId="9" applyNumberFormat="1" applyFont="1" applyFill="1" applyBorder="1" applyAlignment="1">
      <alignment horizontal="center" vertical="center" wrapText="1"/>
    </xf>
    <xf numFmtId="171" fontId="65" fillId="2" borderId="3" xfId="5" applyNumberFormat="1" applyFont="1" applyFill="1" applyBorder="1" applyAlignment="1">
      <alignment horizontal="center" vertical="center" wrapText="1"/>
    </xf>
    <xf numFmtId="173" fontId="64" fillId="2" borderId="3" xfId="5" applyNumberFormat="1" applyFont="1" applyFill="1" applyBorder="1" applyAlignment="1">
      <alignment horizontal="center" vertical="center"/>
    </xf>
    <xf numFmtId="171" fontId="64" fillId="2" borderId="3" xfId="5" applyNumberFormat="1" applyFont="1" applyFill="1" applyBorder="1" applyAlignment="1">
      <alignment horizontal="center" vertical="center"/>
    </xf>
    <xf numFmtId="1" fontId="65" fillId="2" borderId="3" xfId="0" applyNumberFormat="1" applyFont="1" applyFill="1" applyBorder="1" applyAlignment="1">
      <alignment horizontal="center" vertical="center"/>
    </xf>
    <xf numFmtId="16" fontId="64" fillId="2" borderId="3" xfId="9" applyNumberFormat="1" applyFont="1" applyFill="1" applyBorder="1" applyAlignment="1">
      <alignment horizontal="center" vertical="center" wrapText="1"/>
    </xf>
    <xf numFmtId="0" fontId="25" fillId="2" borderId="3" xfId="0" applyFont="1" applyFill="1" applyBorder="1"/>
    <xf numFmtId="170" fontId="66" fillId="2" borderId="3" xfId="5" applyNumberFormat="1" applyFont="1" applyFill="1" applyBorder="1" applyAlignment="1">
      <alignment horizontal="center" vertical="center"/>
    </xf>
    <xf numFmtId="0" fontId="66" fillId="2" borderId="3" xfId="9" applyFont="1" applyFill="1" applyBorder="1" applyAlignment="1">
      <alignment horizontal="center" vertical="center" wrapText="1"/>
    </xf>
    <xf numFmtId="173" fontId="66" fillId="2" borderId="3" xfId="5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170" fontId="39" fillId="2" borderId="3" xfId="5" applyNumberFormat="1" applyFont="1" applyFill="1" applyBorder="1" applyAlignment="1">
      <alignment horizontal="center" vertical="center" wrapText="1"/>
    </xf>
    <xf numFmtId="9" fontId="39" fillId="2" borderId="3" xfId="11" applyFont="1" applyFill="1" applyBorder="1" applyAlignment="1">
      <alignment horizontal="center" vertical="center" wrapText="1"/>
    </xf>
    <xf numFmtId="1" fontId="48" fillId="2" borderId="3" xfId="9" applyNumberFormat="1" applyFont="1" applyFill="1" applyBorder="1" applyAlignment="1">
      <alignment horizontal="center" vertical="center" wrapText="1"/>
    </xf>
    <xf numFmtId="171" fontId="48" fillId="2" borderId="3" xfId="9" applyNumberFormat="1" applyFont="1" applyFill="1" applyBorder="1" applyAlignment="1">
      <alignment horizontal="center" vertical="center" wrapText="1"/>
    </xf>
    <xf numFmtId="173" fontId="48" fillId="2" borderId="3" xfId="9" applyNumberFormat="1" applyFont="1" applyFill="1" applyBorder="1" applyAlignment="1">
      <alignment horizontal="center" vertical="center" wrapText="1"/>
    </xf>
    <xf numFmtId="171" fontId="39" fillId="2" borderId="3" xfId="5" applyNumberFormat="1" applyFont="1" applyFill="1" applyBorder="1" applyAlignment="1">
      <alignment horizontal="center" vertical="center" wrapText="1"/>
    </xf>
    <xf numFmtId="173" fontId="48" fillId="2" borderId="3" xfId="5" applyNumberFormat="1" applyFont="1" applyFill="1" applyBorder="1" applyAlignment="1">
      <alignment horizontal="center" vertical="center"/>
    </xf>
    <xf numFmtId="171" fontId="48" fillId="2" borderId="3" xfId="5" applyNumberFormat="1" applyFont="1" applyFill="1" applyBorder="1" applyAlignment="1">
      <alignment horizontal="center" vertical="center"/>
    </xf>
    <xf numFmtId="0" fontId="13" fillId="2" borderId="3" xfId="12" applyNumberFormat="1" applyFont="1" applyFill="1" applyBorder="1" applyAlignment="1">
      <alignment horizontal="center" vertical="center"/>
    </xf>
    <xf numFmtId="170" fontId="48" fillId="2" borderId="3" xfId="9" applyNumberFormat="1" applyFont="1" applyFill="1" applyBorder="1" applyAlignment="1">
      <alignment horizontal="center" vertical="center" wrapText="1"/>
    </xf>
    <xf numFmtId="0" fontId="39" fillId="2" borderId="3" xfId="11" applyNumberFormat="1" applyFont="1" applyFill="1" applyBorder="1" applyAlignment="1">
      <alignment horizontal="center" vertical="center" wrapText="1"/>
    </xf>
    <xf numFmtId="168" fontId="8" fillId="2" borderId="3" xfId="0" applyNumberFormat="1" applyFont="1" applyFill="1" applyBorder="1" applyAlignment="1">
      <alignment horizontal="left" vertical="center" wrapText="1"/>
    </xf>
    <xf numFmtId="1" fontId="39" fillId="2" borderId="3" xfId="5" applyNumberFormat="1" applyFont="1" applyFill="1" applyBorder="1" applyAlignment="1">
      <alignment horizontal="center" vertical="center" wrapText="1"/>
    </xf>
    <xf numFmtId="173" fontId="39" fillId="2" borderId="3" xfId="5" applyNumberFormat="1" applyFont="1" applyFill="1" applyBorder="1" applyAlignment="1">
      <alignment horizontal="center" vertical="center" wrapText="1"/>
    </xf>
    <xf numFmtId="16" fontId="48" fillId="2" borderId="3" xfId="9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vertical="center" wrapText="1"/>
    </xf>
    <xf numFmtId="170" fontId="49" fillId="2" borderId="3" xfId="5" applyNumberFormat="1" applyFont="1" applyFill="1" applyBorder="1" applyAlignment="1">
      <alignment horizontal="center" wrapText="1"/>
    </xf>
    <xf numFmtId="9" fontId="49" fillId="2" borderId="3" xfId="11" applyFont="1" applyFill="1" applyBorder="1" applyAlignment="1">
      <alignment horizontal="center" vertical="center" wrapText="1"/>
    </xf>
    <xf numFmtId="1" fontId="50" fillId="2" borderId="3" xfId="9" applyNumberFormat="1" applyFont="1" applyFill="1" applyBorder="1" applyAlignment="1">
      <alignment horizontal="center" vertical="center" wrapText="1"/>
    </xf>
    <xf numFmtId="171" fontId="50" fillId="2" borderId="3" xfId="9" applyNumberFormat="1" applyFont="1" applyFill="1" applyBorder="1" applyAlignment="1">
      <alignment horizontal="center" vertical="center" wrapText="1"/>
    </xf>
    <xf numFmtId="173" fontId="50" fillId="2" borderId="3" xfId="9" applyNumberFormat="1" applyFont="1" applyFill="1" applyBorder="1" applyAlignment="1">
      <alignment horizontal="center" vertical="center" wrapText="1"/>
    </xf>
    <xf numFmtId="171" fontId="49" fillId="2" borderId="3" xfId="5" applyNumberFormat="1" applyFont="1" applyFill="1" applyBorder="1" applyAlignment="1">
      <alignment horizontal="center" vertical="center" wrapText="1"/>
    </xf>
    <xf numFmtId="171" fontId="50" fillId="2" borderId="3" xfId="5" applyNumberFormat="1" applyFont="1" applyFill="1" applyBorder="1" applyAlignment="1">
      <alignment horizontal="center" vertical="center"/>
    </xf>
    <xf numFmtId="9" fontId="52" fillId="2" borderId="3" xfId="11" applyFont="1" applyFill="1" applyBorder="1" applyAlignment="1">
      <alignment horizontal="center" vertical="center" wrapText="1"/>
    </xf>
    <xf numFmtId="171" fontId="52" fillId="2" borderId="3" xfId="5" applyNumberFormat="1" applyFont="1" applyFill="1" applyBorder="1" applyAlignment="1">
      <alignment horizontal="center" vertical="center" wrapText="1"/>
    </xf>
    <xf numFmtId="173" fontId="52" fillId="2" borderId="3" xfId="5" applyNumberFormat="1" applyFont="1" applyFill="1" applyBorder="1" applyAlignment="1">
      <alignment horizontal="center" vertical="center" wrapText="1"/>
    </xf>
    <xf numFmtId="170" fontId="54" fillId="2" borderId="3" xfId="5" applyNumberFormat="1" applyFont="1" applyFill="1" applyBorder="1" applyAlignment="1">
      <alignment horizontal="center" vertical="center" wrapText="1"/>
    </xf>
    <xf numFmtId="9" fontId="55" fillId="2" borderId="3" xfId="11" applyFont="1" applyFill="1" applyBorder="1" applyAlignment="1">
      <alignment horizontal="center" vertical="center" wrapText="1"/>
    </xf>
    <xf numFmtId="170" fontId="52" fillId="2" borderId="3" xfId="5" applyNumberFormat="1" applyFont="1" applyFill="1" applyBorder="1" applyAlignment="1">
      <alignment horizontal="center" vertical="center"/>
    </xf>
    <xf numFmtId="170" fontId="55" fillId="2" borderId="3" xfId="5" applyNumberFormat="1" applyFont="1" applyFill="1" applyBorder="1" applyAlignment="1">
      <alignment horizontal="center" vertical="center"/>
    </xf>
    <xf numFmtId="171" fontId="55" fillId="2" borderId="3" xfId="5" applyNumberFormat="1" applyFont="1" applyFill="1" applyBorder="1" applyAlignment="1">
      <alignment horizontal="center" vertical="center"/>
    </xf>
    <xf numFmtId="171" fontId="55" fillId="2" borderId="3" xfId="5" applyNumberFormat="1" applyFont="1" applyFill="1" applyBorder="1" applyAlignment="1">
      <alignment horizontal="center" vertical="center" wrapText="1"/>
    </xf>
    <xf numFmtId="170" fontId="51" fillId="2" borderId="3" xfId="5" applyNumberFormat="1" applyFont="1" applyFill="1" applyBorder="1" applyAlignment="1">
      <alignment horizontal="center" vertical="center" wrapText="1"/>
    </xf>
    <xf numFmtId="9" fontId="9" fillId="2" borderId="3" xfId="11" applyFont="1" applyFill="1" applyBorder="1" applyAlignment="1">
      <alignment horizontal="center" vertical="center"/>
    </xf>
    <xf numFmtId="170" fontId="51" fillId="2" borderId="3" xfId="5" applyNumberFormat="1" applyFont="1" applyFill="1" applyBorder="1" applyAlignment="1">
      <alignment horizontal="center" vertical="center"/>
    </xf>
    <xf numFmtId="171" fontId="51" fillId="2" borderId="3" xfId="5" applyNumberFormat="1" applyFont="1" applyFill="1" applyBorder="1" applyAlignment="1">
      <alignment horizontal="center" vertical="center" wrapText="1"/>
    </xf>
    <xf numFmtId="170" fontId="9" fillId="2" borderId="3" xfId="5" applyNumberFormat="1" applyFont="1" applyFill="1" applyBorder="1" applyAlignment="1">
      <alignment horizontal="center" vertical="center"/>
    </xf>
    <xf numFmtId="170" fontId="55" fillId="2" borderId="3" xfId="5" applyNumberFormat="1" applyFont="1" applyFill="1" applyBorder="1" applyAlignment="1">
      <alignment horizontal="center" vertical="center" wrapText="1"/>
    </xf>
    <xf numFmtId="0" fontId="35" fillId="2" borderId="3" xfId="0" applyFont="1" applyFill="1" applyBorder="1" applyAlignment="1">
      <alignment horizontal="center" vertical="center" wrapText="1"/>
    </xf>
    <xf numFmtId="0" fontId="37" fillId="2" borderId="3" xfId="0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center" vertical="center" textRotation="90" wrapText="1"/>
    </xf>
    <xf numFmtId="0" fontId="27" fillId="2" borderId="3" xfId="0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center"/>
    </xf>
    <xf numFmtId="0" fontId="27" fillId="2" borderId="3" xfId="0" applyFont="1" applyFill="1" applyBorder="1" applyAlignment="1">
      <alignment horizontal="left" wrapText="1"/>
    </xf>
    <xf numFmtId="164" fontId="4" fillId="2" borderId="3" xfId="0" applyNumberFormat="1" applyFont="1" applyFill="1" applyBorder="1" applyAlignment="1">
      <alignment horizontal="center" vertical="top" wrapText="1"/>
    </xf>
    <xf numFmtId="0" fontId="23" fillId="2" borderId="3" xfId="0" applyFont="1" applyFill="1" applyBorder="1" applyAlignment="1">
      <alignment horizontal="left" vertical="center" wrapText="1"/>
    </xf>
    <xf numFmtId="49" fontId="23" fillId="2" borderId="3" xfId="0" applyNumberFormat="1" applyFont="1" applyFill="1" applyBorder="1" applyAlignment="1">
      <alignment horizontal="left" vertical="center" wrapText="1"/>
    </xf>
    <xf numFmtId="0" fontId="38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top" wrapText="1"/>
    </xf>
    <xf numFmtId="3" fontId="25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left" vertical="center" wrapText="1"/>
    </xf>
    <xf numFmtId="1" fontId="23" fillId="2" borderId="3" xfId="0" applyNumberFormat="1" applyFont="1" applyFill="1" applyBorder="1" applyAlignment="1">
      <alignment horizontal="center" vertical="center" wrapText="1"/>
    </xf>
    <xf numFmtId="174" fontId="38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41" fillId="2" borderId="3" xfId="0" applyFont="1" applyFill="1" applyBorder="1"/>
    <xf numFmtId="0" fontId="37" fillId="2" borderId="3" xfId="0" applyFont="1" applyFill="1" applyBorder="1"/>
    <xf numFmtId="0" fontId="0" fillId="0" borderId="3" xfId="0" applyBorder="1" applyAlignment="1">
      <alignment horizontal="center" vertical="center"/>
    </xf>
    <xf numFmtId="0" fontId="20" fillId="2" borderId="3" xfId="0" applyFont="1" applyFill="1" applyBorder="1"/>
    <xf numFmtId="164" fontId="20" fillId="2" borderId="3" xfId="0" applyNumberFormat="1" applyFont="1" applyFill="1" applyBorder="1"/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 shrinkToFit="1"/>
    </xf>
    <xf numFmtId="0" fontId="4" fillId="2" borderId="3" xfId="0" applyFont="1" applyFill="1" applyBorder="1" applyAlignment="1">
      <alignment horizontal="left" vertical="distributed"/>
    </xf>
    <xf numFmtId="0" fontId="4" fillId="2" borderId="3" xfId="0" applyFont="1" applyFill="1" applyBorder="1" applyAlignment="1">
      <alignment horizontal="left" vertical="distributed" wrapText="1"/>
    </xf>
    <xf numFmtId="0" fontId="13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wrapText="1"/>
    </xf>
    <xf numFmtId="0" fontId="1" fillId="0" borderId="3" xfId="3" applyBorder="1" applyAlignment="1">
      <alignment horizontal="left"/>
    </xf>
    <xf numFmtId="0" fontId="30" fillId="0" borderId="3" xfId="3" applyFont="1" applyBorder="1" applyAlignment="1">
      <alignment horizontal="center" vertical="center"/>
    </xf>
    <xf numFmtId="0" fontId="1" fillId="0" borderId="3" xfId="3" applyBorder="1"/>
    <xf numFmtId="0" fontId="17" fillId="2" borderId="3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textRotation="90" wrapText="1"/>
    </xf>
    <xf numFmtId="1" fontId="9" fillId="2" borderId="4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/>
    </xf>
    <xf numFmtId="164" fontId="4" fillId="0" borderId="4" xfId="3" applyNumberFormat="1" applyFont="1" applyBorder="1" applyAlignment="1">
      <alignment horizontal="center" vertical="center"/>
    </xf>
    <xf numFmtId="164" fontId="4" fillId="2" borderId="4" xfId="3" applyNumberFormat="1" applyFont="1" applyFill="1" applyBorder="1" applyAlignment="1">
      <alignment horizontal="center" vertical="center" wrapText="1"/>
    </xf>
    <xf numFmtId="164" fontId="4" fillId="2" borderId="4" xfId="3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 wrapText="1"/>
    </xf>
    <xf numFmtId="3" fontId="8" fillId="2" borderId="4" xfId="0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 wrapText="1"/>
    </xf>
    <xf numFmtId="166" fontId="5" fillId="2" borderId="4" xfId="0" applyNumberFormat="1" applyFont="1" applyFill="1" applyBorder="1" applyAlignment="1">
      <alignment horizontal="center" vertical="center" wrapText="1"/>
    </xf>
    <xf numFmtId="166" fontId="8" fillId="2" borderId="4" xfId="0" applyNumberFormat="1" applyFont="1" applyFill="1" applyBorder="1" applyAlignment="1">
      <alignment horizontal="center" vertical="center"/>
    </xf>
    <xf numFmtId="166" fontId="8" fillId="2" borderId="4" xfId="0" applyNumberFormat="1" applyFont="1" applyFill="1" applyBorder="1" applyAlignment="1">
      <alignment horizontal="center" vertical="top" wrapText="1"/>
    </xf>
    <xf numFmtId="166" fontId="4" fillId="2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20" fillId="0" borderId="3" xfId="0" applyFont="1" applyBorder="1"/>
    <xf numFmtId="0" fontId="68" fillId="2" borderId="3" xfId="0" applyFont="1" applyFill="1" applyBorder="1"/>
    <xf numFmtId="0" fontId="68" fillId="0" borderId="3" xfId="0" applyFont="1" applyBorder="1"/>
    <xf numFmtId="0" fontId="67" fillId="2" borderId="3" xfId="0" applyFont="1" applyFill="1" applyBorder="1"/>
    <xf numFmtId="1" fontId="20" fillId="0" borderId="3" xfId="0" applyNumberFormat="1" applyFont="1" applyBorder="1"/>
    <xf numFmtId="164" fontId="20" fillId="0" borderId="3" xfId="0" applyNumberFormat="1" applyFont="1" applyBorder="1"/>
    <xf numFmtId="0" fontId="69" fillId="0" borderId="3" xfId="0" applyFont="1" applyBorder="1"/>
    <xf numFmtId="1" fontId="20" fillId="2" borderId="3" xfId="0" applyNumberFormat="1" applyFont="1" applyFill="1" applyBorder="1"/>
    <xf numFmtId="0" fontId="70" fillId="0" borderId="3" xfId="0" applyFont="1" applyBorder="1"/>
    <xf numFmtId="164" fontId="5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1" fontId="4" fillId="2" borderId="3" xfId="0" applyNumberFormat="1" applyFont="1" applyFill="1" applyBorder="1"/>
    <xf numFmtId="49" fontId="8" fillId="2" borderId="3" xfId="0" applyNumberFormat="1" applyFont="1" applyFill="1" applyBorder="1" applyAlignment="1">
      <alignment horizontal="center" vertical="center" wrapText="1"/>
    </xf>
    <xf numFmtId="1" fontId="8" fillId="2" borderId="3" xfId="1" applyNumberFormat="1" applyFont="1" applyFill="1" applyBorder="1" applyAlignment="1">
      <alignment horizontal="center" vertical="center"/>
    </xf>
    <xf numFmtId="164" fontId="8" fillId="2" borderId="3" xfId="1" applyNumberFormat="1" applyFont="1" applyFill="1" applyBorder="1" applyAlignment="1">
      <alignment horizontal="center" vertical="center"/>
    </xf>
    <xf numFmtId="1" fontId="20" fillId="2" borderId="3" xfId="0" applyNumberFormat="1" applyFont="1" applyFill="1" applyBorder="1" applyAlignment="1">
      <alignment vertical="center" wrapText="1"/>
    </xf>
    <xf numFmtId="0" fontId="20" fillId="2" borderId="3" xfId="0" applyFont="1" applyFill="1" applyBorder="1" applyAlignment="1">
      <alignment vertical="center" wrapText="1"/>
    </xf>
    <xf numFmtId="164" fontId="20" fillId="2" borderId="3" xfId="0" applyNumberFormat="1" applyFont="1" applyFill="1" applyBorder="1" applyAlignment="1">
      <alignment vertical="center" wrapText="1"/>
    </xf>
    <xf numFmtId="0" fontId="71" fillId="2" borderId="0" xfId="0" applyFont="1" applyFill="1" applyBorder="1"/>
    <xf numFmtId="0" fontId="71" fillId="0" borderId="0" xfId="0" applyFont="1" applyBorder="1"/>
    <xf numFmtId="0" fontId="7" fillId="2" borderId="0" xfId="0" applyFont="1" applyFill="1" applyBorder="1"/>
    <xf numFmtId="0" fontId="72" fillId="0" borderId="0" xfId="0" applyFont="1" applyBorder="1" applyAlignment="1">
      <alignment vertical="center" wrapText="1"/>
    </xf>
    <xf numFmtId="0" fontId="4" fillId="0" borderId="3" xfId="0" applyFont="1" applyBorder="1"/>
    <xf numFmtId="0" fontId="3" fillId="2" borderId="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textRotation="90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2" fillId="0" borderId="0" xfId="3" applyFont="1" applyBorder="1" applyAlignment="1">
      <alignment horizontal="center" vertical="center" wrapText="1"/>
    </xf>
    <xf numFmtId="0" fontId="29" fillId="0" borderId="0" xfId="3" applyFont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 wrapText="1"/>
    </xf>
    <xf numFmtId="0" fontId="23" fillId="0" borderId="3" xfId="3" applyFont="1" applyBorder="1" applyAlignment="1">
      <alignment horizontal="center" vertical="center" textRotation="90" wrapText="1"/>
    </xf>
    <xf numFmtId="0" fontId="4" fillId="2" borderId="3" xfId="3" applyFont="1" applyFill="1" applyBorder="1" applyAlignment="1">
      <alignment horizontal="center" vertical="center"/>
    </xf>
    <xf numFmtId="164" fontId="25" fillId="2" borderId="3" xfId="3" applyNumberFormat="1" applyFont="1" applyFill="1" applyBorder="1" applyAlignment="1">
      <alignment horizontal="center" vertical="center" wrapText="1"/>
    </xf>
    <xf numFmtId="164" fontId="25" fillId="2" borderId="4" xfId="3" applyNumberFormat="1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textRotation="90" wrapText="1"/>
    </xf>
    <xf numFmtId="0" fontId="4" fillId="0" borderId="4" xfId="3" applyFont="1" applyBorder="1" applyAlignment="1">
      <alignment horizontal="center" vertical="center"/>
    </xf>
    <xf numFmtId="0" fontId="25" fillId="0" borderId="3" xfId="3" applyFont="1" applyBorder="1" applyAlignment="1">
      <alignment horizontal="center" vertical="center" wrapText="1"/>
    </xf>
    <xf numFmtId="0" fontId="25" fillId="0" borderId="4" xfId="3" applyFont="1" applyBorder="1" applyAlignment="1">
      <alignment horizontal="center" vertical="center" wrapText="1"/>
    </xf>
    <xf numFmtId="164" fontId="25" fillId="0" borderId="3" xfId="3" applyNumberFormat="1" applyFont="1" applyBorder="1" applyAlignment="1">
      <alignment horizontal="center" vertical="center" wrapText="1"/>
    </xf>
    <xf numFmtId="164" fontId="25" fillId="0" borderId="4" xfId="3" applyNumberFormat="1" applyFont="1" applyBorder="1" applyAlignment="1">
      <alignment horizontal="center" vertical="center" wrapText="1"/>
    </xf>
    <xf numFmtId="164" fontId="25" fillId="2" borderId="3" xfId="3" applyNumberFormat="1" applyFont="1" applyFill="1" applyBorder="1" applyAlignment="1">
      <alignment horizontal="center" wrapText="1"/>
    </xf>
    <xf numFmtId="164" fontId="25" fillId="2" borderId="4" xfId="3" applyNumberFormat="1" applyFont="1" applyFill="1" applyBorder="1" applyAlignment="1">
      <alignment horizontal="center" wrapText="1"/>
    </xf>
    <xf numFmtId="0" fontId="72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top" wrapText="1"/>
    </xf>
    <xf numFmtId="0" fontId="18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 wrapText="1"/>
    </xf>
    <xf numFmtId="0" fontId="74" fillId="2" borderId="0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right" vertical="center" wrapText="1"/>
    </xf>
    <xf numFmtId="0" fontId="75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76" fillId="2" borderId="0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right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/>
    </xf>
    <xf numFmtId="0" fontId="73" fillId="2" borderId="0" xfId="0" applyFont="1" applyFill="1" applyBorder="1" applyAlignment="1">
      <alignment horizontal="center" vertical="center" wrapText="1"/>
    </xf>
    <xf numFmtId="0" fontId="71" fillId="2" borderId="0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0" borderId="0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textRotation="90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center" vertical="center" wrapText="1"/>
    </xf>
    <xf numFmtId="0" fontId="40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/>
    <xf numFmtId="0" fontId="20" fillId="2" borderId="3" xfId="0" applyFont="1" applyFill="1" applyBorder="1"/>
    <xf numFmtId="0" fontId="79" fillId="2" borderId="0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42" fillId="2" borderId="3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</cellXfs>
  <cellStyles count="13">
    <cellStyle name="Normal_Sheet1" xfId="6"/>
    <cellStyle name="Normal_Таблица 4. ПГИ 2004 - 2006" xfId="9"/>
    <cellStyle name="Денежный" xfId="12" builtinId="4"/>
    <cellStyle name="Обычный" xfId="0" builtinId="0"/>
    <cellStyle name="Обычный 2" xfId="7"/>
    <cellStyle name="Обычный 2 2" xfId="3"/>
    <cellStyle name="Обычный 3" xfId="4"/>
    <cellStyle name="Обычный 3 2" xfId="10"/>
    <cellStyle name="Обычный 4" xfId="5"/>
    <cellStyle name="Процентный" xfId="2" builtinId="5"/>
    <cellStyle name="Процентный 2" xfId="11"/>
    <cellStyle name="Финансовый" xfId="1" builtinId="3"/>
    <cellStyle name="Финансовый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stiev%20Abduqodir/Desktop/&#1052;.&#1041;/&#1063;&#1072;&#1076;&#1074;&#1083;&#1072;&#1093;&#1086;&#1080;%20&#1084;&#1072;&#1095;&#1084;&#1091;&#1072;&#1080;%20&#1076;&#1091;&#1088;&#1085;&#1072;&#1084;&#1086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STIE~1/AppData/Local/Temp/Rar$DIa0.088/&#1063;&#1072;&#1076;&#1074;&#1083;&#1072;&#1093;&#1086;&#1080;%20&#1084;&#1072;&#1095;&#1084;&#1091;&#1072;&#1080;%20&#1076;&#1091;&#1088;&#1085;&#1072;&#1084;&#1086;&#1080;%20202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19A"/>
      <sheetName val="19Б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Лист1"/>
    </sheetNames>
    <sheetDataSet>
      <sheetData sheetId="0"/>
      <sheetData sheetId="1">
        <row r="8">
          <cell r="G8">
            <v>14099</v>
          </cell>
          <cell r="J8">
            <v>17051</v>
          </cell>
        </row>
        <row r="10">
          <cell r="G10">
            <v>834</v>
          </cell>
          <cell r="J10">
            <v>989</v>
          </cell>
        </row>
        <row r="18">
          <cell r="D18">
            <v>35430</v>
          </cell>
        </row>
        <row r="20">
          <cell r="D20">
            <v>13960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19A"/>
      <sheetName val="19Б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</sheetNames>
    <sheetDataSet>
      <sheetData sheetId="0"/>
      <sheetData sheetId="1">
        <row r="18">
          <cell r="B18">
            <v>26479.9</v>
          </cell>
          <cell r="C18">
            <v>116.4</v>
          </cell>
          <cell r="D18">
            <v>32874</v>
          </cell>
          <cell r="J18">
            <v>49234.5</v>
          </cell>
          <cell r="M18">
            <v>60377</v>
          </cell>
          <cell r="N18">
            <v>59860</v>
          </cell>
        </row>
        <row r="20">
          <cell r="B20">
            <v>10381.200000000001</v>
          </cell>
          <cell r="J20">
            <v>17533.8</v>
          </cell>
          <cell r="K20">
            <v>17242.3</v>
          </cell>
          <cell r="M20">
            <v>20910.400000000001</v>
          </cell>
          <cell r="N20">
            <v>20573</v>
          </cell>
        </row>
        <row r="24">
          <cell r="J24">
            <v>11244.2</v>
          </cell>
          <cell r="K24">
            <v>11067.9</v>
          </cell>
          <cell r="M24">
            <v>14854.5</v>
          </cell>
          <cell r="N24">
            <v>14628.9</v>
          </cell>
        </row>
        <row r="28">
          <cell r="B28">
            <v>137.30000000000001</v>
          </cell>
        </row>
        <row r="29">
          <cell r="B29">
            <v>417.2</v>
          </cell>
          <cell r="C29">
            <v>122.9</v>
          </cell>
          <cell r="D29">
            <v>495.2</v>
          </cell>
          <cell r="E29">
            <v>481.6</v>
          </cell>
          <cell r="G29">
            <v>575.5</v>
          </cell>
          <cell r="H29">
            <v>572</v>
          </cell>
          <cell r="M29">
            <v>787.2</v>
          </cell>
          <cell r="N29">
            <v>779</v>
          </cell>
        </row>
        <row r="30">
          <cell r="B30">
            <v>146.9</v>
          </cell>
          <cell r="D30">
            <v>167.5</v>
          </cell>
          <cell r="E30">
            <v>163.30000000000001</v>
          </cell>
          <cell r="G30">
            <v>187.1</v>
          </cell>
          <cell r="H30">
            <v>186.4</v>
          </cell>
          <cell r="M30">
            <v>236.7</v>
          </cell>
          <cell r="N30">
            <v>234.7</v>
          </cell>
        </row>
        <row r="31">
          <cell r="B31">
            <v>51.6</v>
          </cell>
          <cell r="D31">
            <v>62.9</v>
          </cell>
          <cell r="E31">
            <v>61.2</v>
          </cell>
          <cell r="G31">
            <v>75.099999999999994</v>
          </cell>
          <cell r="H31">
            <v>74.7</v>
          </cell>
          <cell r="M31">
            <v>108.5</v>
          </cell>
          <cell r="N31">
            <v>107.5</v>
          </cell>
        </row>
        <row r="32">
          <cell r="B32">
            <v>218.7</v>
          </cell>
          <cell r="D32">
            <v>264.89999999999998</v>
          </cell>
          <cell r="E32">
            <v>257.10000000000002</v>
          </cell>
          <cell r="G32">
            <v>314.60000000000002</v>
          </cell>
          <cell r="H32">
            <v>311.89999999999998</v>
          </cell>
          <cell r="M32">
            <v>449.6</v>
          </cell>
          <cell r="N32">
            <v>443.6</v>
          </cell>
        </row>
        <row r="33">
          <cell r="B33">
            <v>77.3</v>
          </cell>
          <cell r="D33">
            <v>93.7</v>
          </cell>
          <cell r="E33">
            <v>90</v>
          </cell>
          <cell r="G33">
            <v>111.4</v>
          </cell>
          <cell r="H33">
            <v>109.3</v>
          </cell>
          <cell r="M33">
            <v>159.5</v>
          </cell>
          <cell r="N33">
            <v>155.80000000000001</v>
          </cell>
        </row>
        <row r="34">
          <cell r="B34">
            <v>94.6</v>
          </cell>
          <cell r="D34">
            <v>105.9</v>
          </cell>
          <cell r="E34">
            <v>103.6</v>
          </cell>
          <cell r="G34">
            <v>116.3</v>
          </cell>
          <cell r="H34">
            <v>116.2</v>
          </cell>
          <cell r="M34">
            <v>142</v>
          </cell>
          <cell r="N34">
            <v>141.19999999999999</v>
          </cell>
        </row>
        <row r="35">
          <cell r="B35">
            <v>343</v>
          </cell>
          <cell r="D35">
            <v>452.6</v>
          </cell>
          <cell r="E35">
            <v>444.3</v>
          </cell>
          <cell r="G35">
            <v>585.6</v>
          </cell>
          <cell r="H35">
            <v>587.29999999999995</v>
          </cell>
          <cell r="M35">
            <v>993.1</v>
          </cell>
          <cell r="N35">
            <v>991.4</v>
          </cell>
        </row>
        <row r="36">
          <cell r="B36">
            <v>523.6</v>
          </cell>
          <cell r="D36">
            <v>688.9</v>
          </cell>
          <cell r="E36">
            <v>669.7</v>
          </cell>
          <cell r="G36">
            <v>888.6</v>
          </cell>
          <cell r="H36">
            <v>882.5</v>
          </cell>
          <cell r="M36">
            <v>1497.9</v>
          </cell>
          <cell r="N36">
            <v>1480.9</v>
          </cell>
        </row>
        <row r="37">
          <cell r="B37">
            <v>2915.9</v>
          </cell>
          <cell r="D37">
            <v>3381.2</v>
          </cell>
          <cell r="E37">
            <v>3365.3</v>
          </cell>
          <cell r="G37">
            <v>3844.6</v>
          </cell>
          <cell r="H37">
            <v>3908.5</v>
          </cell>
          <cell r="M37">
            <v>5034.7</v>
          </cell>
          <cell r="N37">
            <v>5095.6000000000004</v>
          </cell>
        </row>
        <row r="38">
          <cell r="B38">
            <v>6090.4</v>
          </cell>
          <cell r="D38">
            <v>7778.5</v>
          </cell>
          <cell r="E38">
            <v>7420.1</v>
          </cell>
          <cell r="G38">
            <v>9745.7000000000007</v>
          </cell>
          <cell r="H38">
            <v>9494.7000000000007</v>
          </cell>
          <cell r="M38">
            <v>15496.4</v>
          </cell>
          <cell r="N38">
            <v>15029.6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57"/>
  <sheetViews>
    <sheetView view="pageBreakPreview" topLeftCell="A4" zoomScale="40" zoomScaleNormal="80" zoomScaleSheetLayoutView="40" zoomScalePageLayoutView="25" workbookViewId="0">
      <selection activeCell="C30" sqref="C30"/>
    </sheetView>
  </sheetViews>
  <sheetFormatPr defaultRowHeight="18" x14ac:dyDescent="0.25"/>
  <cols>
    <col min="1" max="1" width="4.85546875" style="25" customWidth="1"/>
    <col min="2" max="2" width="40.5703125" style="31" customWidth="1"/>
    <col min="3" max="3" width="11.140625" style="27" customWidth="1"/>
    <col min="4" max="4" width="12.42578125" style="27" customWidth="1"/>
    <col min="5" max="5" width="11.140625" style="27" customWidth="1"/>
    <col min="6" max="6" width="12.85546875" style="1" customWidth="1"/>
    <col min="7" max="7" width="11.7109375" style="1" customWidth="1"/>
    <col min="8" max="8" width="11.140625" style="1" customWidth="1"/>
    <col min="9" max="9" width="11.85546875" style="1" customWidth="1"/>
    <col min="10" max="10" width="12.140625" style="1" customWidth="1"/>
    <col min="11" max="13" width="11.7109375" style="1" customWidth="1"/>
    <col min="14" max="14" width="9.140625" style="1"/>
    <col min="15" max="15" width="10.140625" style="1" bestFit="1" customWidth="1"/>
    <col min="16" max="16384" width="9.140625" style="1"/>
  </cols>
  <sheetData>
    <row r="1" spans="1:13" ht="45.75" customHeight="1" x14ac:dyDescent="0.25">
      <c r="A1" s="350" t="s">
        <v>891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</row>
    <row r="2" spans="1:13" ht="34.5" customHeight="1" x14ac:dyDescent="0.25">
      <c r="A2" s="351" t="s">
        <v>0</v>
      </c>
      <c r="B2" s="352" t="s">
        <v>1</v>
      </c>
      <c r="C2" s="353" t="s">
        <v>2</v>
      </c>
      <c r="D2" s="353" t="s">
        <v>3</v>
      </c>
      <c r="E2" s="353"/>
      <c r="F2" s="353" t="s">
        <v>312</v>
      </c>
      <c r="G2" s="353"/>
      <c r="H2" s="353" t="s">
        <v>10</v>
      </c>
      <c r="I2" s="353"/>
      <c r="J2" s="353" t="s">
        <v>4</v>
      </c>
      <c r="K2" s="353"/>
      <c r="L2" s="353"/>
      <c r="M2" s="353"/>
    </row>
    <row r="3" spans="1:13" ht="49.5" customHeight="1" x14ac:dyDescent="0.25">
      <c r="A3" s="351"/>
      <c r="B3" s="352"/>
      <c r="C3" s="353"/>
      <c r="D3" s="143" t="s">
        <v>5</v>
      </c>
      <c r="E3" s="143" t="s">
        <v>7</v>
      </c>
      <c r="F3" s="143" t="s">
        <v>6</v>
      </c>
      <c r="G3" s="143" t="s">
        <v>9</v>
      </c>
      <c r="H3" s="143" t="s">
        <v>8</v>
      </c>
      <c r="I3" s="143" t="s">
        <v>11</v>
      </c>
      <c r="J3" s="143" t="s">
        <v>12</v>
      </c>
      <c r="K3" s="143" t="s">
        <v>13</v>
      </c>
      <c r="L3" s="143" t="s">
        <v>872</v>
      </c>
      <c r="M3" s="143" t="s">
        <v>873</v>
      </c>
    </row>
    <row r="4" spans="1:13" ht="26.25" customHeight="1" x14ac:dyDescent="0.25">
      <c r="A4" s="355" t="s">
        <v>14</v>
      </c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</row>
    <row r="5" spans="1:13" ht="44.25" customHeight="1" x14ac:dyDescent="0.25">
      <c r="A5" s="2" t="s">
        <v>15</v>
      </c>
      <c r="B5" s="3" t="s">
        <v>16</v>
      </c>
      <c r="C5" s="4" t="s">
        <v>17</v>
      </c>
      <c r="D5" s="5">
        <v>10163</v>
      </c>
      <c r="E5" s="5">
        <v>101.8</v>
      </c>
      <c r="F5" s="96">
        <v>10375.299036000002</v>
      </c>
      <c r="G5" s="96">
        <v>101.9</v>
      </c>
      <c r="H5" s="96">
        <v>10593.180315756001</v>
      </c>
      <c r="I5" s="97">
        <v>102.1</v>
      </c>
      <c r="J5" s="19">
        <v>10837</v>
      </c>
      <c r="K5" s="97">
        <v>102.30166651540283</v>
      </c>
      <c r="L5" s="19">
        <v>11097.088</v>
      </c>
      <c r="M5" s="97">
        <v>102.4</v>
      </c>
    </row>
    <row r="6" spans="1:13" ht="61.5" customHeight="1" x14ac:dyDescent="0.25">
      <c r="A6" s="2" t="s">
        <v>18</v>
      </c>
      <c r="B6" s="3" t="s">
        <v>19</v>
      </c>
      <c r="C6" s="4" t="s">
        <v>20</v>
      </c>
      <c r="D6" s="5">
        <v>130791.5</v>
      </c>
      <c r="E6" s="7">
        <v>108.3</v>
      </c>
      <c r="F6" s="96">
        <v>146475</v>
      </c>
      <c r="G6" s="98">
        <v>108.07264620066772</v>
      </c>
      <c r="H6" s="96">
        <v>166065</v>
      </c>
      <c r="I6" s="98">
        <v>108.4</v>
      </c>
      <c r="J6" s="96">
        <v>187536</v>
      </c>
      <c r="K6" s="98">
        <v>108</v>
      </c>
      <c r="L6" s="96">
        <v>211197</v>
      </c>
      <c r="M6" s="98">
        <v>108.16660821313135</v>
      </c>
    </row>
    <row r="7" spans="1:13" ht="27" customHeight="1" x14ac:dyDescent="0.25">
      <c r="A7" s="2" t="s">
        <v>21</v>
      </c>
      <c r="B7" s="8" t="s">
        <v>22</v>
      </c>
      <c r="C7" s="4" t="s">
        <v>23</v>
      </c>
      <c r="D7" s="7" t="s">
        <v>29</v>
      </c>
      <c r="E7" s="7">
        <v>104.3</v>
      </c>
      <c r="F7" s="7"/>
      <c r="G7" s="7">
        <v>103.6</v>
      </c>
      <c r="H7" s="7"/>
      <c r="I7" s="7">
        <v>104.6</v>
      </c>
      <c r="J7" s="7"/>
      <c r="K7" s="7">
        <v>104.5</v>
      </c>
      <c r="L7" s="7"/>
      <c r="M7" s="7">
        <v>104.1</v>
      </c>
    </row>
    <row r="8" spans="1:13" ht="24.75" customHeight="1" x14ac:dyDescent="0.25">
      <c r="A8" s="2" t="s">
        <v>24</v>
      </c>
      <c r="B8" s="8" t="s">
        <v>25</v>
      </c>
      <c r="C8" s="4" t="s">
        <v>26</v>
      </c>
      <c r="D8" s="5">
        <v>12869</v>
      </c>
      <c r="E8" s="7">
        <v>108.70005912661543</v>
      </c>
      <c r="F8" s="5">
        <v>14118</v>
      </c>
      <c r="G8" s="7">
        <v>109.9</v>
      </c>
      <c r="H8" s="5">
        <v>15677</v>
      </c>
      <c r="I8" s="7">
        <v>111</v>
      </c>
      <c r="J8" s="5">
        <v>17305</v>
      </c>
      <c r="K8" s="7">
        <v>110.4</v>
      </c>
      <c r="L8" s="5">
        <v>19032</v>
      </c>
      <c r="M8" s="7">
        <v>110</v>
      </c>
    </row>
    <row r="9" spans="1:13" ht="36" customHeight="1" x14ac:dyDescent="0.25">
      <c r="A9" s="2" t="s">
        <v>27</v>
      </c>
      <c r="B9" s="3" t="s">
        <v>28</v>
      </c>
      <c r="C9" s="4" t="s">
        <v>23</v>
      </c>
      <c r="D9" s="5" t="s">
        <v>29</v>
      </c>
      <c r="E9" s="7">
        <v>3.8</v>
      </c>
      <c r="F9" s="7"/>
      <c r="G9" s="7" t="s">
        <v>913</v>
      </c>
      <c r="H9" s="6"/>
      <c r="I9" s="6" t="s">
        <v>913</v>
      </c>
      <c r="J9" s="7"/>
      <c r="K9" s="7" t="s">
        <v>913</v>
      </c>
      <c r="L9" s="7"/>
      <c r="M9" s="6" t="s">
        <v>913</v>
      </c>
    </row>
    <row r="10" spans="1:13" ht="61.5" customHeight="1" x14ac:dyDescent="0.25">
      <c r="A10" s="2" t="s">
        <v>30</v>
      </c>
      <c r="B10" s="3" t="s">
        <v>31</v>
      </c>
      <c r="C10" s="4" t="s">
        <v>26</v>
      </c>
      <c r="D10" s="9" t="s">
        <v>913</v>
      </c>
      <c r="E10" s="7" t="s">
        <v>913</v>
      </c>
      <c r="F10" s="10" t="s">
        <v>913</v>
      </c>
      <c r="G10" s="10" t="s">
        <v>913</v>
      </c>
      <c r="H10" s="11" t="s">
        <v>913</v>
      </c>
      <c r="I10" s="12" t="s">
        <v>913</v>
      </c>
      <c r="J10" s="10" t="s">
        <v>913</v>
      </c>
      <c r="K10" s="7" t="s">
        <v>913</v>
      </c>
      <c r="L10" s="10" t="s">
        <v>913</v>
      </c>
      <c r="M10" s="10" t="s">
        <v>913</v>
      </c>
    </row>
    <row r="11" spans="1:13" ht="30" customHeight="1" x14ac:dyDescent="0.25">
      <c r="A11" s="356" t="s">
        <v>32</v>
      </c>
      <c r="B11" s="356"/>
      <c r="C11" s="356"/>
      <c r="D11" s="356"/>
      <c r="E11" s="356"/>
      <c r="F11" s="356"/>
      <c r="G11" s="356"/>
      <c r="H11" s="356"/>
      <c r="I11" s="356"/>
      <c r="J11" s="356"/>
      <c r="K11" s="356"/>
      <c r="L11" s="356"/>
      <c r="M11" s="356"/>
    </row>
    <row r="12" spans="1:13" ht="57.75" customHeight="1" x14ac:dyDescent="0.25">
      <c r="A12" s="2" t="s">
        <v>33</v>
      </c>
      <c r="B12" s="3" t="s">
        <v>34</v>
      </c>
      <c r="C12" s="4" t="s">
        <v>20</v>
      </c>
      <c r="D12" s="5">
        <v>46815.5</v>
      </c>
      <c r="E12" s="7">
        <v>112</v>
      </c>
      <c r="F12" s="5">
        <v>57807</v>
      </c>
      <c r="G12" s="7">
        <v>119.1</v>
      </c>
      <c r="H12" s="5">
        <v>71495</v>
      </c>
      <c r="I12" s="7">
        <v>120.5</v>
      </c>
      <c r="J12" s="5">
        <v>87116</v>
      </c>
      <c r="K12" s="7">
        <v>120.1</v>
      </c>
      <c r="L12" s="5">
        <v>106434</v>
      </c>
      <c r="M12" s="7">
        <v>120.3</v>
      </c>
    </row>
    <row r="13" spans="1:13" ht="28.5" customHeight="1" x14ac:dyDescent="0.25">
      <c r="A13" s="356" t="s">
        <v>35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6"/>
    </row>
    <row r="14" spans="1:13" ht="61.5" customHeight="1" x14ac:dyDescent="0.25">
      <c r="A14" s="2" t="s">
        <v>36</v>
      </c>
      <c r="B14" s="3" t="s">
        <v>37</v>
      </c>
      <c r="C14" s="4" t="s">
        <v>20</v>
      </c>
      <c r="D14" s="12">
        <v>63028.4</v>
      </c>
      <c r="E14" s="6">
        <v>109</v>
      </c>
      <c r="F14" s="12">
        <v>69238</v>
      </c>
      <c r="G14" s="6">
        <v>107.8</v>
      </c>
      <c r="H14" s="12">
        <v>75429</v>
      </c>
      <c r="I14" s="6">
        <v>107</v>
      </c>
      <c r="J14" s="12">
        <v>82454</v>
      </c>
      <c r="K14" s="6">
        <v>107.1</v>
      </c>
      <c r="L14" s="12">
        <v>90861</v>
      </c>
      <c r="M14" s="6">
        <v>107.5</v>
      </c>
    </row>
    <row r="15" spans="1:13" ht="21" customHeight="1" x14ac:dyDescent="0.25">
      <c r="A15" s="356" t="s">
        <v>38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6"/>
    </row>
    <row r="16" spans="1:13" ht="36.75" customHeight="1" x14ac:dyDescent="0.25">
      <c r="A16" s="2" t="s">
        <v>39</v>
      </c>
      <c r="B16" s="3" t="s">
        <v>40</v>
      </c>
      <c r="C16" s="4" t="s">
        <v>41</v>
      </c>
      <c r="D16" s="126">
        <v>120.6</v>
      </c>
      <c r="E16" s="126">
        <v>116.6</v>
      </c>
      <c r="F16" s="6">
        <v>124.6</v>
      </c>
      <c r="G16" s="6">
        <v>103.3</v>
      </c>
      <c r="H16" s="6">
        <v>128.9</v>
      </c>
      <c r="I16" s="6">
        <v>103.5</v>
      </c>
      <c r="J16" s="6">
        <v>133.69999999999999</v>
      </c>
      <c r="K16" s="6">
        <v>103.7</v>
      </c>
      <c r="L16" s="6">
        <v>139.1</v>
      </c>
      <c r="M16" s="6">
        <v>104</v>
      </c>
    </row>
    <row r="17" spans="1:13" s="13" customFormat="1" ht="36" customHeight="1" x14ac:dyDescent="0.25">
      <c r="A17" s="2" t="s">
        <v>42</v>
      </c>
      <c r="B17" s="3" t="s">
        <v>43</v>
      </c>
      <c r="C17" s="4" t="s">
        <v>44</v>
      </c>
      <c r="D17" s="126">
        <v>899.3</v>
      </c>
      <c r="E17" s="126">
        <v>109.8</v>
      </c>
      <c r="F17" s="12">
        <v>952</v>
      </c>
      <c r="G17" s="6">
        <v>105.9</v>
      </c>
      <c r="H17" s="12">
        <v>1012</v>
      </c>
      <c r="I17" s="6">
        <v>106.3</v>
      </c>
      <c r="J17" s="12">
        <v>1076</v>
      </c>
      <c r="K17" s="6">
        <v>106.3</v>
      </c>
      <c r="L17" s="12">
        <v>1147</v>
      </c>
      <c r="M17" s="6">
        <v>106.6</v>
      </c>
    </row>
    <row r="18" spans="1:13" ht="23.25" customHeight="1" x14ac:dyDescent="0.25">
      <c r="A18" s="356" t="s">
        <v>45</v>
      </c>
      <c r="B18" s="356"/>
      <c r="C18" s="356"/>
      <c r="D18" s="356"/>
      <c r="E18" s="356"/>
      <c r="F18" s="356"/>
      <c r="G18" s="356"/>
      <c r="H18" s="356"/>
      <c r="I18" s="356"/>
      <c r="J18" s="356"/>
      <c r="K18" s="356"/>
      <c r="L18" s="356"/>
      <c r="M18" s="356"/>
    </row>
    <row r="19" spans="1:13" ht="54" x14ac:dyDescent="0.25">
      <c r="A19" s="2" t="s">
        <v>46</v>
      </c>
      <c r="B19" s="3" t="s">
        <v>47</v>
      </c>
      <c r="C19" s="14" t="s">
        <v>20</v>
      </c>
      <c r="D19" s="15">
        <v>56124.4</v>
      </c>
      <c r="E19" s="15">
        <v>113.4</v>
      </c>
      <c r="F19" s="16">
        <v>66591</v>
      </c>
      <c r="G19" s="6">
        <v>109.1</v>
      </c>
      <c r="H19" s="16">
        <v>75910</v>
      </c>
      <c r="I19" s="15">
        <v>108.4</v>
      </c>
      <c r="J19" s="16">
        <v>85619</v>
      </c>
      <c r="K19" s="15">
        <v>109.1</v>
      </c>
      <c r="L19" s="16">
        <v>94942</v>
      </c>
      <c r="M19" s="15">
        <v>108.6</v>
      </c>
    </row>
    <row r="20" spans="1:13" ht="36.75" customHeight="1" x14ac:dyDescent="0.25">
      <c r="A20" s="2" t="s">
        <v>48</v>
      </c>
      <c r="B20" s="3" t="s">
        <v>49</v>
      </c>
      <c r="C20" s="14" t="s">
        <v>20</v>
      </c>
      <c r="D20" s="15">
        <v>47540.5</v>
      </c>
      <c r="E20" s="15">
        <v>115.4</v>
      </c>
      <c r="F20" s="16">
        <v>55632</v>
      </c>
      <c r="G20" s="6">
        <v>107.6</v>
      </c>
      <c r="H20" s="16">
        <v>63469</v>
      </c>
      <c r="I20" s="15">
        <v>108.6</v>
      </c>
      <c r="J20" s="16">
        <v>71707</v>
      </c>
      <c r="K20" s="15">
        <v>108.6</v>
      </c>
      <c r="L20" s="16">
        <v>79516</v>
      </c>
      <c r="M20" s="15">
        <v>107.5</v>
      </c>
    </row>
    <row r="21" spans="1:13" ht="55.5" customHeight="1" x14ac:dyDescent="0.25">
      <c r="A21" s="2" t="s">
        <v>50</v>
      </c>
      <c r="B21" s="3" t="s">
        <v>51</v>
      </c>
      <c r="C21" s="14" t="s">
        <v>20</v>
      </c>
      <c r="D21" s="15">
        <v>21760.3</v>
      </c>
      <c r="E21" s="15">
        <v>114.1</v>
      </c>
      <c r="F21" s="16">
        <v>24776</v>
      </c>
      <c r="G21" s="6">
        <v>110.5</v>
      </c>
      <c r="H21" s="16">
        <v>28296</v>
      </c>
      <c r="I21" s="15">
        <v>110</v>
      </c>
      <c r="J21" s="16">
        <v>31573</v>
      </c>
      <c r="K21" s="17">
        <v>108.6</v>
      </c>
      <c r="L21" s="16">
        <v>35146</v>
      </c>
      <c r="M21" s="17">
        <v>108.6</v>
      </c>
    </row>
    <row r="22" spans="1:13" ht="52.5" customHeight="1" x14ac:dyDescent="0.25">
      <c r="A22" s="2" t="s">
        <v>52</v>
      </c>
      <c r="B22" s="3" t="s">
        <v>53</v>
      </c>
      <c r="C22" s="4" t="s">
        <v>20</v>
      </c>
      <c r="D22" s="15">
        <v>16740.8</v>
      </c>
      <c r="E22" s="15">
        <v>118.4</v>
      </c>
      <c r="F22" s="16">
        <v>18353</v>
      </c>
      <c r="G22" s="6">
        <v>107.5</v>
      </c>
      <c r="H22" s="16">
        <v>21550</v>
      </c>
      <c r="I22" s="15">
        <v>112.9</v>
      </c>
      <c r="J22" s="16">
        <v>24381</v>
      </c>
      <c r="K22" s="15">
        <v>110.4</v>
      </c>
      <c r="L22" s="16">
        <v>27035</v>
      </c>
      <c r="M22" s="15">
        <v>108.2</v>
      </c>
    </row>
    <row r="23" spans="1:13" ht="24" customHeight="1" x14ac:dyDescent="0.25">
      <c r="A23" s="356" t="s">
        <v>54</v>
      </c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</row>
    <row r="24" spans="1:13" ht="36" x14ac:dyDescent="0.25">
      <c r="A24" s="2" t="s">
        <v>55</v>
      </c>
      <c r="B24" s="3" t="s">
        <v>56</v>
      </c>
      <c r="C24" s="148" t="s">
        <v>57</v>
      </c>
      <c r="D24" s="18">
        <v>8328.9</v>
      </c>
      <c r="E24" s="18">
        <v>113.9</v>
      </c>
      <c r="F24" s="5">
        <v>8510</v>
      </c>
      <c r="G24" s="7">
        <v>102.2</v>
      </c>
      <c r="H24" s="5">
        <v>8903</v>
      </c>
      <c r="I24" s="7">
        <v>104.6</v>
      </c>
      <c r="J24" s="5">
        <v>9271</v>
      </c>
      <c r="K24" s="7">
        <v>104.1</v>
      </c>
      <c r="L24" s="5">
        <v>9715</v>
      </c>
      <c r="M24" s="7">
        <v>104.8</v>
      </c>
    </row>
    <row r="25" spans="1:13" ht="39" customHeight="1" x14ac:dyDescent="0.25">
      <c r="A25" s="2" t="s">
        <v>58</v>
      </c>
      <c r="B25" s="3" t="s">
        <v>59</v>
      </c>
      <c r="C25" s="148" t="s">
        <v>57</v>
      </c>
      <c r="D25" s="19">
        <v>2448.8000000000002</v>
      </c>
      <c r="E25" s="18">
        <v>114.3</v>
      </c>
      <c r="F25" s="5">
        <v>2615</v>
      </c>
      <c r="G25" s="7">
        <v>106.8</v>
      </c>
      <c r="H25" s="5">
        <v>2954</v>
      </c>
      <c r="I25" s="7">
        <v>113</v>
      </c>
      <c r="J25" s="5">
        <v>3189</v>
      </c>
      <c r="K25" s="7">
        <v>108</v>
      </c>
      <c r="L25" s="5">
        <v>3505</v>
      </c>
      <c r="M25" s="7">
        <v>109.9</v>
      </c>
    </row>
    <row r="26" spans="1:13" ht="36" x14ac:dyDescent="0.25">
      <c r="A26" s="2" t="s">
        <v>60</v>
      </c>
      <c r="B26" s="3" t="s">
        <v>61</v>
      </c>
      <c r="C26" s="148" t="s">
        <v>57</v>
      </c>
      <c r="D26" s="18">
        <v>5880.1</v>
      </c>
      <c r="E26" s="18">
        <v>113.8</v>
      </c>
      <c r="F26" s="5">
        <v>5895</v>
      </c>
      <c r="G26" s="7">
        <v>100.3</v>
      </c>
      <c r="H26" s="5">
        <v>5949</v>
      </c>
      <c r="I26" s="7">
        <v>100.9</v>
      </c>
      <c r="J26" s="5">
        <v>6082</v>
      </c>
      <c r="K26" s="7">
        <v>102.2</v>
      </c>
      <c r="L26" s="5">
        <v>6210</v>
      </c>
      <c r="M26" s="7">
        <v>102.1</v>
      </c>
    </row>
    <row r="27" spans="1:13" ht="21" customHeight="1" x14ac:dyDescent="0.25">
      <c r="A27" s="356" t="s">
        <v>62</v>
      </c>
      <c r="B27" s="356"/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</row>
    <row r="28" spans="1:13" ht="33" customHeight="1" x14ac:dyDescent="0.25">
      <c r="A28" s="351" t="s">
        <v>63</v>
      </c>
      <c r="B28" s="357" t="s">
        <v>64</v>
      </c>
      <c r="C28" s="14" t="s">
        <v>65</v>
      </c>
      <c r="D28" s="7">
        <v>3606.6</v>
      </c>
      <c r="E28" s="7">
        <v>107.88190601537495</v>
      </c>
      <c r="F28" s="5">
        <v>4012</v>
      </c>
      <c r="G28" s="7">
        <v>111.2</v>
      </c>
      <c r="H28" s="5">
        <v>4420</v>
      </c>
      <c r="I28" s="7">
        <v>110.2</v>
      </c>
      <c r="J28" s="5">
        <v>4976</v>
      </c>
      <c r="K28" s="7">
        <v>112.6</v>
      </c>
      <c r="L28" s="5">
        <v>5560</v>
      </c>
      <c r="M28" s="7">
        <v>111.7</v>
      </c>
    </row>
    <row r="29" spans="1:13" ht="37.5" customHeight="1" x14ac:dyDescent="0.25">
      <c r="A29" s="351"/>
      <c r="B29" s="357"/>
      <c r="C29" s="148" t="s">
        <v>57</v>
      </c>
      <c r="D29" s="7">
        <v>110.4</v>
      </c>
      <c r="E29" s="7">
        <v>103.954802259887</v>
      </c>
      <c r="F29" s="5">
        <v>128</v>
      </c>
      <c r="G29" s="7">
        <v>116</v>
      </c>
      <c r="H29" s="5">
        <v>144</v>
      </c>
      <c r="I29" s="7">
        <v>112.4</v>
      </c>
      <c r="J29" s="5">
        <v>167</v>
      </c>
      <c r="K29" s="7">
        <v>116</v>
      </c>
      <c r="L29" s="5">
        <v>190</v>
      </c>
      <c r="M29" s="7">
        <v>113.8</v>
      </c>
    </row>
    <row r="30" spans="1:13" ht="33.75" customHeight="1" x14ac:dyDescent="0.25">
      <c r="A30" s="351" t="s">
        <v>66</v>
      </c>
      <c r="B30" s="354" t="s">
        <v>67</v>
      </c>
      <c r="C30" s="14" t="s">
        <v>68</v>
      </c>
      <c r="D30" s="148">
        <v>59.1</v>
      </c>
      <c r="E30" s="7">
        <v>115.88235294117648</v>
      </c>
      <c r="F30" s="7">
        <v>72.2</v>
      </c>
      <c r="G30" s="7">
        <v>122.1</v>
      </c>
      <c r="H30" s="7">
        <v>89.6</v>
      </c>
      <c r="I30" s="7">
        <v>124.1</v>
      </c>
      <c r="J30" s="7">
        <v>107.6</v>
      </c>
      <c r="K30" s="7">
        <v>120.1</v>
      </c>
      <c r="L30" s="7">
        <v>128.1</v>
      </c>
      <c r="M30" s="7">
        <v>119.1</v>
      </c>
    </row>
    <row r="31" spans="1:13" ht="34.5" customHeight="1" x14ac:dyDescent="0.25">
      <c r="A31" s="351"/>
      <c r="B31" s="354"/>
      <c r="C31" s="148" t="s">
        <v>57</v>
      </c>
      <c r="D31" s="7">
        <v>132.30000000000001</v>
      </c>
      <c r="E31" s="7">
        <v>94.567548248749105</v>
      </c>
      <c r="F31" s="5">
        <v>161</v>
      </c>
      <c r="G31" s="7">
        <v>121.9</v>
      </c>
      <c r="H31" s="5">
        <v>202</v>
      </c>
      <c r="I31" s="7">
        <v>125.5</v>
      </c>
      <c r="J31" s="5">
        <v>244</v>
      </c>
      <c r="K31" s="7">
        <v>120.4</v>
      </c>
      <c r="L31" s="5">
        <v>292</v>
      </c>
      <c r="M31" s="7">
        <v>119.8</v>
      </c>
    </row>
    <row r="32" spans="1:13" ht="39.75" customHeight="1" x14ac:dyDescent="0.25">
      <c r="A32" s="351" t="s">
        <v>69</v>
      </c>
      <c r="B32" s="354" t="s">
        <v>70</v>
      </c>
      <c r="C32" s="14" t="s">
        <v>68</v>
      </c>
      <c r="D32" s="7">
        <v>109.3</v>
      </c>
      <c r="E32" s="7">
        <v>134.93827160493828</v>
      </c>
      <c r="F32" s="7">
        <v>88.9</v>
      </c>
      <c r="G32" s="7">
        <v>81.3</v>
      </c>
      <c r="H32" s="7">
        <v>71.099999999999994</v>
      </c>
      <c r="I32" s="7">
        <v>80</v>
      </c>
      <c r="J32" s="7">
        <v>47.8</v>
      </c>
      <c r="K32" s="7">
        <v>67.3</v>
      </c>
      <c r="L32" s="7">
        <v>26.9</v>
      </c>
      <c r="M32" s="7">
        <v>56.2</v>
      </c>
    </row>
    <row r="33" spans="1:13" ht="39" customHeight="1" x14ac:dyDescent="0.25">
      <c r="A33" s="351"/>
      <c r="B33" s="354"/>
      <c r="C33" s="148" t="s">
        <v>57</v>
      </c>
      <c r="D33" s="7">
        <v>198.6</v>
      </c>
      <c r="E33" s="7">
        <v>102.00308166409862</v>
      </c>
      <c r="F33" s="5">
        <v>162</v>
      </c>
      <c r="G33" s="7">
        <v>81.7</v>
      </c>
      <c r="H33" s="5">
        <v>135</v>
      </c>
      <c r="I33" s="7">
        <v>82.9</v>
      </c>
      <c r="J33" s="5">
        <v>95</v>
      </c>
      <c r="K33" s="7">
        <v>70.900000000000006</v>
      </c>
      <c r="L33" s="5">
        <v>58</v>
      </c>
      <c r="M33" s="7">
        <v>60.5</v>
      </c>
    </row>
    <row r="34" spans="1:13" ht="36" customHeight="1" x14ac:dyDescent="0.25">
      <c r="A34" s="351" t="s">
        <v>71</v>
      </c>
      <c r="B34" s="357" t="s">
        <v>72</v>
      </c>
      <c r="C34" s="14" t="s">
        <v>68</v>
      </c>
      <c r="D34" s="7">
        <v>177.1</v>
      </c>
      <c r="E34" s="7">
        <v>93.555203380876904</v>
      </c>
      <c r="F34" s="5">
        <v>203</v>
      </c>
      <c r="G34" s="7">
        <v>114.7</v>
      </c>
      <c r="H34" s="5">
        <v>223</v>
      </c>
      <c r="I34" s="7">
        <v>109.9</v>
      </c>
      <c r="J34" s="5">
        <v>238</v>
      </c>
      <c r="K34" s="7">
        <v>106.4</v>
      </c>
      <c r="L34" s="5">
        <v>255</v>
      </c>
      <c r="M34" s="7">
        <v>107.5</v>
      </c>
    </row>
    <row r="35" spans="1:13" ht="45" customHeight="1" x14ac:dyDescent="0.25">
      <c r="A35" s="351"/>
      <c r="B35" s="357"/>
      <c r="C35" s="148" t="s">
        <v>57</v>
      </c>
      <c r="D35" s="7">
        <v>46.3</v>
      </c>
      <c r="E35" s="7">
        <v>89.902912621359221</v>
      </c>
      <c r="F35" s="7">
        <v>54</v>
      </c>
      <c r="G35" s="7">
        <v>116.7</v>
      </c>
      <c r="H35" s="7">
        <v>60.2</v>
      </c>
      <c r="I35" s="7">
        <v>111.4</v>
      </c>
      <c r="J35" s="7">
        <v>64.7</v>
      </c>
      <c r="K35" s="7">
        <v>107.5</v>
      </c>
      <c r="L35" s="7">
        <v>70.099999999999994</v>
      </c>
      <c r="M35" s="7">
        <v>108.3</v>
      </c>
    </row>
    <row r="36" spans="1:13" ht="38.25" customHeight="1" x14ac:dyDescent="0.25">
      <c r="A36" s="351" t="s">
        <v>73</v>
      </c>
      <c r="B36" s="357" t="s">
        <v>74</v>
      </c>
      <c r="C36" s="14" t="s">
        <v>68</v>
      </c>
      <c r="D36" s="7">
        <v>81.099999999999994</v>
      </c>
      <c r="E36" s="7">
        <v>162.19999999999999</v>
      </c>
      <c r="F36" s="7">
        <v>83.9</v>
      </c>
      <c r="G36" s="7">
        <v>103.4</v>
      </c>
      <c r="H36" s="7">
        <v>94</v>
      </c>
      <c r="I36" s="7">
        <v>112.1</v>
      </c>
      <c r="J36" s="7">
        <v>108.1</v>
      </c>
      <c r="K36" s="7">
        <v>115</v>
      </c>
      <c r="L36" s="7">
        <v>127.1</v>
      </c>
      <c r="M36" s="7">
        <v>117.6</v>
      </c>
    </row>
    <row r="37" spans="1:13" ht="42" customHeight="1" x14ac:dyDescent="0.25">
      <c r="A37" s="351"/>
      <c r="B37" s="357"/>
      <c r="C37" s="14" t="s">
        <v>57</v>
      </c>
      <c r="D37" s="7">
        <v>29</v>
      </c>
      <c r="E37" s="7">
        <v>115.07936507936509</v>
      </c>
      <c r="F37" s="7">
        <v>31.4</v>
      </c>
      <c r="G37" s="7">
        <v>108.3</v>
      </c>
      <c r="H37" s="7">
        <v>36.4</v>
      </c>
      <c r="I37" s="7">
        <v>115.9</v>
      </c>
      <c r="J37" s="7">
        <v>42.3</v>
      </c>
      <c r="K37" s="7">
        <v>116.1</v>
      </c>
      <c r="L37" s="7">
        <v>50.4</v>
      </c>
      <c r="M37" s="7">
        <v>119.2</v>
      </c>
    </row>
    <row r="38" spans="1:13" ht="42" customHeight="1" x14ac:dyDescent="0.25">
      <c r="A38" s="351" t="s">
        <v>75</v>
      </c>
      <c r="B38" s="357" t="s">
        <v>76</v>
      </c>
      <c r="C38" s="14" t="s">
        <v>68</v>
      </c>
      <c r="D38" s="7">
        <v>0.6</v>
      </c>
      <c r="E38" s="7">
        <v>26.086956521739129</v>
      </c>
      <c r="F38" s="7">
        <v>0.8</v>
      </c>
      <c r="G38" s="7">
        <v>129.9</v>
      </c>
      <c r="H38" s="7">
        <v>1</v>
      </c>
      <c r="I38" s="7">
        <v>132.69999999999999</v>
      </c>
      <c r="J38" s="7">
        <v>1.4</v>
      </c>
      <c r="K38" s="7">
        <v>137.9</v>
      </c>
      <c r="L38" s="7">
        <v>2</v>
      </c>
      <c r="M38" s="7">
        <v>140.19999999999999</v>
      </c>
    </row>
    <row r="39" spans="1:13" ht="37.5" customHeight="1" x14ac:dyDescent="0.25">
      <c r="A39" s="351"/>
      <c r="B39" s="357"/>
      <c r="C39" s="14" t="s">
        <v>57</v>
      </c>
      <c r="D39" s="7">
        <v>0.09</v>
      </c>
      <c r="E39" s="7">
        <v>11.249999999999998</v>
      </c>
      <c r="F39" s="7">
        <v>0.1</v>
      </c>
      <c r="G39" s="7">
        <v>135.5</v>
      </c>
      <c r="H39" s="7">
        <v>0.2</v>
      </c>
      <c r="I39" s="7">
        <v>138.1</v>
      </c>
      <c r="J39" s="7">
        <v>0.2</v>
      </c>
      <c r="K39" s="7">
        <v>139.69999999999999</v>
      </c>
      <c r="L39" s="7">
        <v>0.3</v>
      </c>
      <c r="M39" s="7">
        <v>143.5</v>
      </c>
    </row>
    <row r="40" spans="1:13" ht="36" customHeight="1" x14ac:dyDescent="0.25">
      <c r="A40" s="351" t="s">
        <v>77</v>
      </c>
      <c r="B40" s="354" t="s">
        <v>78</v>
      </c>
      <c r="C40" s="14" t="s">
        <v>68</v>
      </c>
      <c r="D40" s="7">
        <v>59.7</v>
      </c>
      <c r="E40" s="7">
        <v>89.371257485029957</v>
      </c>
      <c r="F40" s="7">
        <v>63.6</v>
      </c>
      <c r="G40" s="7">
        <v>106.5</v>
      </c>
      <c r="H40" s="7">
        <v>68.2</v>
      </c>
      <c r="I40" s="7">
        <v>107.2</v>
      </c>
      <c r="J40" s="7">
        <v>75.099999999999994</v>
      </c>
      <c r="K40" s="7">
        <v>110.2</v>
      </c>
      <c r="L40" s="7">
        <v>84.8</v>
      </c>
      <c r="M40" s="7">
        <v>112.9</v>
      </c>
    </row>
    <row r="41" spans="1:13" ht="34.5" x14ac:dyDescent="0.25">
      <c r="A41" s="351"/>
      <c r="B41" s="354"/>
      <c r="C41" s="14" t="s">
        <v>57</v>
      </c>
      <c r="D41" s="7">
        <v>6.1</v>
      </c>
      <c r="E41" s="7">
        <v>89.705882352941174</v>
      </c>
      <c r="F41" s="7">
        <v>6.5</v>
      </c>
      <c r="G41" s="7">
        <v>107</v>
      </c>
      <c r="H41" s="7">
        <v>7</v>
      </c>
      <c r="I41" s="7">
        <v>107.9</v>
      </c>
      <c r="J41" s="7">
        <v>7.9</v>
      </c>
      <c r="K41" s="7">
        <v>112.2</v>
      </c>
      <c r="L41" s="7">
        <v>9.1</v>
      </c>
      <c r="M41" s="7">
        <v>115.1</v>
      </c>
    </row>
    <row r="42" spans="1:13" ht="32.25" customHeight="1" x14ac:dyDescent="0.25">
      <c r="A42" s="351" t="s">
        <v>79</v>
      </c>
      <c r="B42" s="357" t="s">
        <v>80</v>
      </c>
      <c r="C42" s="14" t="s">
        <v>68</v>
      </c>
      <c r="D42" s="7">
        <v>243.9</v>
      </c>
      <c r="E42" s="7">
        <v>59.314202334630352</v>
      </c>
      <c r="F42" s="5">
        <v>159</v>
      </c>
      <c r="G42" s="7">
        <v>65.099999999999994</v>
      </c>
      <c r="H42" s="5">
        <v>136</v>
      </c>
      <c r="I42" s="7">
        <v>85.7</v>
      </c>
      <c r="J42" s="5">
        <v>113</v>
      </c>
      <c r="K42" s="7">
        <v>83.3</v>
      </c>
      <c r="L42" s="5">
        <v>90</v>
      </c>
      <c r="M42" s="7">
        <v>79.400000000000006</v>
      </c>
    </row>
    <row r="43" spans="1:13" ht="34.5" x14ac:dyDescent="0.25">
      <c r="A43" s="351"/>
      <c r="B43" s="357"/>
      <c r="C43" s="14" t="s">
        <v>57</v>
      </c>
      <c r="D43" s="7">
        <v>378.2</v>
      </c>
      <c r="E43" s="7">
        <v>51.751505199781064</v>
      </c>
      <c r="F43" s="5">
        <v>250</v>
      </c>
      <c r="G43" s="7">
        <v>66.2</v>
      </c>
      <c r="H43" s="5">
        <v>215</v>
      </c>
      <c r="I43" s="7">
        <v>85.8</v>
      </c>
      <c r="J43" s="5">
        <v>186</v>
      </c>
      <c r="K43" s="7">
        <v>86.7</v>
      </c>
      <c r="L43" s="5">
        <v>158</v>
      </c>
      <c r="M43" s="7">
        <v>84.9</v>
      </c>
    </row>
    <row r="44" spans="1:13" ht="33.75" customHeight="1" x14ac:dyDescent="0.25">
      <c r="A44" s="351" t="s">
        <v>81</v>
      </c>
      <c r="B44" s="354" t="s">
        <v>82</v>
      </c>
      <c r="C44" s="14" t="s">
        <v>68</v>
      </c>
      <c r="D44" s="7">
        <v>939.9</v>
      </c>
      <c r="E44" s="7">
        <v>68.108695652173907</v>
      </c>
      <c r="F44" s="5">
        <v>1064</v>
      </c>
      <c r="G44" s="7">
        <v>113.2</v>
      </c>
      <c r="H44" s="5">
        <v>1282</v>
      </c>
      <c r="I44" s="7">
        <v>120.5</v>
      </c>
      <c r="J44" s="5">
        <v>1545</v>
      </c>
      <c r="K44" s="7">
        <v>120.5</v>
      </c>
      <c r="L44" s="5">
        <v>1980</v>
      </c>
      <c r="M44" s="7">
        <v>128.19999999999999</v>
      </c>
    </row>
    <row r="45" spans="1:13" ht="34.5" x14ac:dyDescent="0.25">
      <c r="A45" s="351"/>
      <c r="B45" s="354"/>
      <c r="C45" s="14" t="s">
        <v>57</v>
      </c>
      <c r="D45" s="7">
        <v>34.700000000000003</v>
      </c>
      <c r="E45" s="7">
        <v>78.15315315315317</v>
      </c>
      <c r="F45" s="7">
        <v>39.5</v>
      </c>
      <c r="G45" s="7">
        <v>113.8</v>
      </c>
      <c r="H45" s="7">
        <v>48.2</v>
      </c>
      <c r="I45" s="7">
        <v>122</v>
      </c>
      <c r="J45" s="7">
        <v>59.8</v>
      </c>
      <c r="K45" s="7">
        <v>124.1</v>
      </c>
      <c r="L45" s="7">
        <v>77.5</v>
      </c>
      <c r="M45" s="7">
        <v>129.6</v>
      </c>
    </row>
    <row r="46" spans="1:13" ht="34.5" x14ac:dyDescent="0.25">
      <c r="A46" s="351" t="s">
        <v>83</v>
      </c>
      <c r="B46" s="354" t="s">
        <v>84</v>
      </c>
      <c r="C46" s="14" t="s">
        <v>68</v>
      </c>
      <c r="D46" s="7">
        <v>1</v>
      </c>
      <c r="E46" s="7">
        <v>500</v>
      </c>
      <c r="F46" s="7">
        <v>1.6</v>
      </c>
      <c r="G46" s="7">
        <v>157.1</v>
      </c>
      <c r="H46" s="7">
        <v>2.4</v>
      </c>
      <c r="I46" s="7">
        <v>154.5</v>
      </c>
      <c r="J46" s="7">
        <v>3.5</v>
      </c>
      <c r="K46" s="7">
        <v>142.9</v>
      </c>
      <c r="L46" s="7">
        <v>5.3</v>
      </c>
      <c r="M46" s="7">
        <v>152.9</v>
      </c>
    </row>
    <row r="47" spans="1:13" ht="42" customHeight="1" x14ac:dyDescent="0.25">
      <c r="A47" s="351"/>
      <c r="B47" s="354"/>
      <c r="C47" s="14" t="s">
        <v>57</v>
      </c>
      <c r="D47" s="7">
        <v>11</v>
      </c>
      <c r="E47" s="7">
        <v>846.15384615384619</v>
      </c>
      <c r="F47" s="7">
        <v>17.399999999999999</v>
      </c>
      <c r="G47" s="7">
        <v>158.5</v>
      </c>
      <c r="H47" s="7">
        <v>27.4</v>
      </c>
      <c r="I47" s="7">
        <v>156.9</v>
      </c>
      <c r="J47" s="7">
        <v>41.1</v>
      </c>
      <c r="K47" s="7">
        <v>150.4</v>
      </c>
      <c r="L47" s="7">
        <v>65.7</v>
      </c>
      <c r="M47" s="7">
        <v>159.80000000000001</v>
      </c>
    </row>
    <row r="48" spans="1:13" ht="33" customHeight="1" x14ac:dyDescent="0.25">
      <c r="A48" s="351" t="s">
        <v>85</v>
      </c>
      <c r="B48" s="354" t="s">
        <v>86</v>
      </c>
      <c r="C48" s="14" t="s">
        <v>68</v>
      </c>
      <c r="D48" s="7">
        <v>13.7</v>
      </c>
      <c r="E48" s="7">
        <v>107.03124999999997</v>
      </c>
      <c r="F48" s="7">
        <v>17.7</v>
      </c>
      <c r="G48" s="7">
        <v>129.5</v>
      </c>
      <c r="H48" s="7">
        <v>19.600000000000001</v>
      </c>
      <c r="I48" s="7">
        <v>110.5</v>
      </c>
      <c r="J48" s="7">
        <v>22</v>
      </c>
      <c r="K48" s="7">
        <v>112</v>
      </c>
      <c r="L48" s="7">
        <v>25.1</v>
      </c>
      <c r="M48" s="7">
        <v>114.5</v>
      </c>
    </row>
    <row r="49" spans="1:13" ht="34.5" x14ac:dyDescent="0.25">
      <c r="A49" s="351"/>
      <c r="B49" s="354"/>
      <c r="C49" s="14" t="s">
        <v>57</v>
      </c>
      <c r="D49" s="7">
        <v>38.9</v>
      </c>
      <c r="E49" s="7">
        <v>80.206185567010309</v>
      </c>
      <c r="F49" s="7">
        <v>50.6</v>
      </c>
      <c r="G49" s="7">
        <v>130.19999999999999</v>
      </c>
      <c r="H49" s="7">
        <v>56.1</v>
      </c>
      <c r="I49" s="7">
        <v>110.8</v>
      </c>
      <c r="J49" s="7">
        <v>64.5</v>
      </c>
      <c r="K49" s="7">
        <v>114.9</v>
      </c>
      <c r="L49" s="7">
        <v>74.900000000000006</v>
      </c>
      <c r="M49" s="7">
        <v>116.2</v>
      </c>
    </row>
    <row r="50" spans="1:13" ht="34.5" x14ac:dyDescent="0.25">
      <c r="A50" s="351" t="s">
        <v>87</v>
      </c>
      <c r="B50" s="354" t="s">
        <v>88</v>
      </c>
      <c r="C50" s="14" t="s">
        <v>68</v>
      </c>
      <c r="D50" s="7">
        <v>4</v>
      </c>
      <c r="E50" s="7">
        <v>250</v>
      </c>
      <c r="F50" s="7">
        <v>5.0999999999999996</v>
      </c>
      <c r="G50" s="7">
        <v>127.3</v>
      </c>
      <c r="H50" s="7">
        <v>5.8</v>
      </c>
      <c r="I50" s="7">
        <v>114.3</v>
      </c>
      <c r="J50" s="7">
        <v>6.5</v>
      </c>
      <c r="K50" s="7">
        <v>112.5</v>
      </c>
      <c r="L50" s="7">
        <v>7.2</v>
      </c>
      <c r="M50" s="7">
        <v>110</v>
      </c>
    </row>
    <row r="51" spans="1:13" ht="34.5" x14ac:dyDescent="0.25">
      <c r="A51" s="351"/>
      <c r="B51" s="354"/>
      <c r="C51" s="14" t="s">
        <v>57</v>
      </c>
      <c r="D51" s="7">
        <v>12.2</v>
      </c>
      <c r="E51" s="7">
        <v>193.65079365079364</v>
      </c>
      <c r="F51" s="7">
        <v>15.7</v>
      </c>
      <c r="G51" s="7">
        <v>128.9</v>
      </c>
      <c r="H51" s="7">
        <v>17.600000000000001</v>
      </c>
      <c r="I51" s="7">
        <v>112.2</v>
      </c>
      <c r="J51" s="7">
        <v>20.5</v>
      </c>
      <c r="K51" s="7">
        <v>116.4</v>
      </c>
      <c r="L51" s="7">
        <v>23.8</v>
      </c>
      <c r="M51" s="7">
        <v>115.9</v>
      </c>
    </row>
    <row r="52" spans="1:13" ht="27" customHeight="1" x14ac:dyDescent="0.25">
      <c r="A52" s="355" t="s">
        <v>89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</row>
    <row r="53" spans="1:13" ht="34.5" x14ac:dyDescent="0.25">
      <c r="A53" s="351" t="s">
        <v>90</v>
      </c>
      <c r="B53" s="354" t="s">
        <v>91</v>
      </c>
      <c r="C53" s="14" t="s">
        <v>68</v>
      </c>
      <c r="D53" s="5">
        <v>583.9</v>
      </c>
      <c r="E53" s="7">
        <v>105.15036916981812</v>
      </c>
      <c r="F53" s="5">
        <v>603</v>
      </c>
      <c r="G53" s="7">
        <v>103.2</v>
      </c>
      <c r="H53" s="5">
        <v>613</v>
      </c>
      <c r="I53" s="7">
        <v>101.8</v>
      </c>
      <c r="J53" s="5">
        <v>621</v>
      </c>
      <c r="K53" s="7">
        <v>101.2</v>
      </c>
      <c r="L53" s="7">
        <v>629</v>
      </c>
      <c r="M53" s="7">
        <v>101.4</v>
      </c>
    </row>
    <row r="54" spans="1:13" ht="34.5" x14ac:dyDescent="0.25">
      <c r="A54" s="351"/>
      <c r="B54" s="354"/>
      <c r="C54" s="20" t="s">
        <v>57</v>
      </c>
      <c r="D54" s="5">
        <v>247.2</v>
      </c>
      <c r="E54" s="7">
        <v>114.9767441860465</v>
      </c>
      <c r="F54" s="5">
        <v>255</v>
      </c>
      <c r="G54" s="7">
        <v>103.2</v>
      </c>
      <c r="H54" s="5">
        <v>260</v>
      </c>
      <c r="I54" s="7">
        <v>101.8</v>
      </c>
      <c r="J54" s="5">
        <v>263</v>
      </c>
      <c r="K54" s="7">
        <v>101.2</v>
      </c>
      <c r="L54" s="7">
        <v>267</v>
      </c>
      <c r="M54" s="7">
        <v>101.5</v>
      </c>
    </row>
    <row r="55" spans="1:13" ht="37.5" customHeight="1" x14ac:dyDescent="0.25">
      <c r="A55" s="351" t="s">
        <v>92</v>
      </c>
      <c r="B55" s="354" t="s">
        <v>93</v>
      </c>
      <c r="C55" s="14" t="s">
        <v>68</v>
      </c>
      <c r="D55" s="7">
        <v>12.2</v>
      </c>
      <c r="E55" s="7">
        <v>107.9646017699115</v>
      </c>
      <c r="F55" s="7">
        <v>12.9</v>
      </c>
      <c r="G55" s="7">
        <v>105.4</v>
      </c>
      <c r="H55" s="7">
        <v>13.6</v>
      </c>
      <c r="I55" s="7">
        <v>105</v>
      </c>
      <c r="J55" s="7">
        <v>14.2</v>
      </c>
      <c r="K55" s="7">
        <v>104</v>
      </c>
      <c r="L55" s="7">
        <v>14.8</v>
      </c>
      <c r="M55" s="7">
        <v>104.6</v>
      </c>
    </row>
    <row r="56" spans="1:13" ht="41.25" customHeight="1" x14ac:dyDescent="0.25">
      <c r="A56" s="351"/>
      <c r="B56" s="354"/>
      <c r="C56" s="20" t="s">
        <v>57</v>
      </c>
      <c r="D56" s="7">
        <v>46.3</v>
      </c>
      <c r="E56" s="7">
        <v>108.17757009345794</v>
      </c>
      <c r="F56" s="7">
        <v>48.4</v>
      </c>
      <c r="G56" s="7">
        <v>104.5</v>
      </c>
      <c r="H56" s="7">
        <v>50.5</v>
      </c>
      <c r="I56" s="7">
        <v>104.3</v>
      </c>
      <c r="J56" s="7">
        <v>52.6</v>
      </c>
      <c r="K56" s="7">
        <v>104.2</v>
      </c>
      <c r="L56" s="7">
        <v>55.3</v>
      </c>
      <c r="M56" s="7">
        <v>105.2</v>
      </c>
    </row>
    <row r="57" spans="1:13" ht="36.75" customHeight="1" x14ac:dyDescent="0.25">
      <c r="A57" s="351" t="s">
        <v>94</v>
      </c>
      <c r="B57" s="354" t="s">
        <v>95</v>
      </c>
      <c r="C57" s="14" t="s">
        <v>68</v>
      </c>
      <c r="D57" s="148">
        <v>11.3</v>
      </c>
      <c r="E57" s="7">
        <v>100.89285714285717</v>
      </c>
      <c r="F57" s="7">
        <v>7.8</v>
      </c>
      <c r="G57" s="7">
        <v>68.8</v>
      </c>
      <c r="H57" s="7">
        <v>5.3</v>
      </c>
      <c r="I57" s="7">
        <v>68</v>
      </c>
      <c r="J57" s="7">
        <v>3.5</v>
      </c>
      <c r="K57" s="7">
        <v>66.7</v>
      </c>
      <c r="L57" s="7">
        <v>2.2999999999999998</v>
      </c>
      <c r="M57" s="7">
        <v>65.400000000000006</v>
      </c>
    </row>
    <row r="58" spans="1:13" ht="37.5" customHeight="1" x14ac:dyDescent="0.25">
      <c r="A58" s="351"/>
      <c r="B58" s="354"/>
      <c r="C58" s="20" t="s">
        <v>57</v>
      </c>
      <c r="D58" s="7">
        <v>23.7</v>
      </c>
      <c r="E58" s="7">
        <v>106.27802690582959</v>
      </c>
      <c r="F58" s="7">
        <v>16.8</v>
      </c>
      <c r="G58" s="7">
        <v>70.8</v>
      </c>
      <c r="H58" s="7">
        <v>11.6</v>
      </c>
      <c r="I58" s="7">
        <v>68.900000000000006</v>
      </c>
      <c r="J58" s="7">
        <v>8.3000000000000007</v>
      </c>
      <c r="K58" s="7">
        <v>72</v>
      </c>
      <c r="L58" s="7">
        <v>5.9</v>
      </c>
      <c r="M58" s="7">
        <v>70.5</v>
      </c>
    </row>
    <row r="59" spans="1:13" ht="34.5" x14ac:dyDescent="0.25">
      <c r="A59" s="351" t="s">
        <v>96</v>
      </c>
      <c r="B59" s="354" t="s">
        <v>97</v>
      </c>
      <c r="C59" s="14" t="s">
        <v>68</v>
      </c>
      <c r="D59" s="148">
        <v>2.8</v>
      </c>
      <c r="E59" s="7">
        <v>127.27272727272725</v>
      </c>
      <c r="F59" s="7">
        <v>2.6</v>
      </c>
      <c r="G59" s="7">
        <v>94.1</v>
      </c>
      <c r="H59" s="7">
        <v>2.5</v>
      </c>
      <c r="I59" s="7">
        <v>93.8</v>
      </c>
      <c r="J59" s="7">
        <v>2.1</v>
      </c>
      <c r="K59" s="7">
        <v>86.7</v>
      </c>
      <c r="L59" s="7">
        <v>1.8</v>
      </c>
      <c r="M59" s="7">
        <v>85.2</v>
      </c>
    </row>
    <row r="60" spans="1:13" ht="35.25" customHeight="1" x14ac:dyDescent="0.25">
      <c r="A60" s="351"/>
      <c r="B60" s="354"/>
      <c r="C60" s="20" t="s">
        <v>57</v>
      </c>
      <c r="D60" s="7">
        <v>8.4</v>
      </c>
      <c r="E60" s="7">
        <v>123.52941176470588</v>
      </c>
      <c r="F60" s="7">
        <v>7.9</v>
      </c>
      <c r="G60" s="7">
        <v>94.5</v>
      </c>
      <c r="H60" s="7">
        <v>7.5</v>
      </c>
      <c r="I60" s="7">
        <v>94.9</v>
      </c>
      <c r="J60" s="7">
        <v>6.8</v>
      </c>
      <c r="K60" s="7">
        <v>90.1</v>
      </c>
      <c r="L60" s="7">
        <v>6.1</v>
      </c>
      <c r="M60" s="7">
        <v>89.7</v>
      </c>
    </row>
    <row r="61" spans="1:13" ht="39" customHeight="1" x14ac:dyDescent="0.25">
      <c r="A61" s="351" t="s">
        <v>98</v>
      </c>
      <c r="B61" s="354" t="s">
        <v>963</v>
      </c>
      <c r="C61" s="14" t="s">
        <v>68</v>
      </c>
      <c r="D61" s="7">
        <v>11</v>
      </c>
      <c r="E61" s="7">
        <v>113.40206185567013</v>
      </c>
      <c r="F61" s="7">
        <v>10.9</v>
      </c>
      <c r="G61" s="7">
        <v>98.9</v>
      </c>
      <c r="H61" s="7">
        <v>10.199999999999999</v>
      </c>
      <c r="I61" s="7">
        <v>93.4</v>
      </c>
      <c r="J61" s="7">
        <v>9.4</v>
      </c>
      <c r="K61" s="7">
        <v>92.9</v>
      </c>
      <c r="L61" s="7">
        <v>8.6</v>
      </c>
      <c r="M61" s="7">
        <v>90.8</v>
      </c>
    </row>
    <row r="62" spans="1:13" ht="33.75" customHeight="1" x14ac:dyDescent="0.25">
      <c r="A62" s="351"/>
      <c r="B62" s="354"/>
      <c r="C62" s="20" t="s">
        <v>57</v>
      </c>
      <c r="D62" s="7">
        <v>23.7</v>
      </c>
      <c r="E62" s="7">
        <v>122.16494845360826</v>
      </c>
      <c r="F62" s="7">
        <v>24</v>
      </c>
      <c r="G62" s="7">
        <v>101.2</v>
      </c>
      <c r="H62" s="7">
        <v>22.4</v>
      </c>
      <c r="I62" s="7">
        <v>93.5</v>
      </c>
      <c r="J62" s="7">
        <v>21.1</v>
      </c>
      <c r="K62" s="7">
        <v>94.3</v>
      </c>
      <c r="L62" s="7">
        <v>19.8</v>
      </c>
      <c r="M62" s="7">
        <v>93.6</v>
      </c>
    </row>
    <row r="63" spans="1:13" ht="34.5" customHeight="1" x14ac:dyDescent="0.25">
      <c r="A63" s="351" t="s">
        <v>99</v>
      </c>
      <c r="B63" s="354" t="s">
        <v>100</v>
      </c>
      <c r="C63" s="14" t="s">
        <v>68</v>
      </c>
      <c r="D63" s="7">
        <v>123.1</v>
      </c>
      <c r="E63" s="7">
        <v>106.76496097137903</v>
      </c>
      <c r="F63" s="5">
        <v>148</v>
      </c>
      <c r="G63" s="7">
        <v>120.6</v>
      </c>
      <c r="H63" s="5">
        <v>183</v>
      </c>
      <c r="I63" s="7">
        <v>123.5</v>
      </c>
      <c r="J63" s="5">
        <v>239</v>
      </c>
      <c r="K63" s="7">
        <v>130.19999999999999</v>
      </c>
      <c r="L63" s="5">
        <v>300</v>
      </c>
      <c r="M63" s="7">
        <v>125.5</v>
      </c>
    </row>
    <row r="64" spans="1:13" ht="33" customHeight="1" x14ac:dyDescent="0.25">
      <c r="A64" s="351"/>
      <c r="B64" s="354"/>
      <c r="C64" s="20" t="s">
        <v>57</v>
      </c>
      <c r="D64" s="7">
        <v>76.900000000000006</v>
      </c>
      <c r="E64" s="7">
        <v>109.38833570412518</v>
      </c>
      <c r="F64" s="5">
        <v>94</v>
      </c>
      <c r="G64" s="7">
        <v>121.6</v>
      </c>
      <c r="H64" s="5">
        <v>116</v>
      </c>
      <c r="I64" s="7">
        <v>124.3</v>
      </c>
      <c r="J64" s="5">
        <v>153</v>
      </c>
      <c r="K64" s="7">
        <v>131.4</v>
      </c>
      <c r="L64" s="5">
        <v>193</v>
      </c>
      <c r="M64" s="7">
        <v>126.4</v>
      </c>
    </row>
    <row r="65" spans="1:13" ht="36" customHeight="1" x14ac:dyDescent="0.25">
      <c r="A65" s="351" t="s">
        <v>101</v>
      </c>
      <c r="B65" s="354" t="s">
        <v>102</v>
      </c>
      <c r="C65" s="14" t="s">
        <v>68</v>
      </c>
      <c r="D65" s="148">
        <v>411</v>
      </c>
      <c r="E65" s="7">
        <v>103.60473909755483</v>
      </c>
      <c r="F65" s="5">
        <v>429</v>
      </c>
      <c r="G65" s="7">
        <v>103.6</v>
      </c>
      <c r="H65" s="5">
        <v>433</v>
      </c>
      <c r="I65" s="7">
        <v>101.6</v>
      </c>
      <c r="J65" s="5">
        <v>448</v>
      </c>
      <c r="K65" s="7">
        <v>103.6</v>
      </c>
      <c r="L65" s="5">
        <v>465</v>
      </c>
      <c r="M65" s="7">
        <v>103.8</v>
      </c>
    </row>
    <row r="66" spans="1:13" ht="36.75" customHeight="1" x14ac:dyDescent="0.25">
      <c r="A66" s="351"/>
      <c r="B66" s="354"/>
      <c r="C66" s="20" t="s">
        <v>57</v>
      </c>
      <c r="D66" s="7">
        <v>182.2</v>
      </c>
      <c r="E66" s="7">
        <v>92.159838138593827</v>
      </c>
      <c r="F66" s="5">
        <v>189</v>
      </c>
      <c r="G66" s="7">
        <v>103.9</v>
      </c>
      <c r="H66" s="5">
        <v>195</v>
      </c>
      <c r="I66" s="7">
        <v>102.9</v>
      </c>
      <c r="J66" s="5">
        <v>210</v>
      </c>
      <c r="K66" s="7">
        <v>107.9</v>
      </c>
      <c r="L66" s="5">
        <v>226</v>
      </c>
      <c r="M66" s="7">
        <v>107.6</v>
      </c>
    </row>
    <row r="67" spans="1:13" ht="23.25" customHeight="1" x14ac:dyDescent="0.25">
      <c r="A67" s="351" t="s">
        <v>103</v>
      </c>
      <c r="B67" s="354" t="s">
        <v>104</v>
      </c>
      <c r="C67" s="21" t="s">
        <v>105</v>
      </c>
      <c r="D67" s="7">
        <v>219.8</v>
      </c>
      <c r="E67" s="7">
        <v>113.59173126614988</v>
      </c>
      <c r="F67" s="5">
        <v>261</v>
      </c>
      <c r="G67" s="7">
        <v>118.8</v>
      </c>
      <c r="H67" s="5">
        <v>284</v>
      </c>
      <c r="I67" s="7">
        <v>108.9</v>
      </c>
      <c r="J67" s="7">
        <v>317</v>
      </c>
      <c r="K67" s="7">
        <v>111.5</v>
      </c>
      <c r="L67" s="5">
        <v>355</v>
      </c>
      <c r="M67" s="7">
        <v>112</v>
      </c>
    </row>
    <row r="68" spans="1:13" ht="37.5" customHeight="1" x14ac:dyDescent="0.25">
      <c r="A68" s="351"/>
      <c r="B68" s="354"/>
      <c r="C68" s="20" t="s">
        <v>57</v>
      </c>
      <c r="D68" s="7">
        <v>27.8</v>
      </c>
      <c r="E68" s="7">
        <v>113.46938775510205</v>
      </c>
      <c r="F68" s="7">
        <v>34.1</v>
      </c>
      <c r="G68" s="7">
        <v>122.5</v>
      </c>
      <c r="H68" s="7">
        <v>37.1</v>
      </c>
      <c r="I68" s="7">
        <v>109</v>
      </c>
      <c r="J68" s="7">
        <v>42.7</v>
      </c>
      <c r="K68" s="7">
        <v>115.1</v>
      </c>
      <c r="L68" s="7">
        <v>49</v>
      </c>
      <c r="M68" s="7">
        <v>114.8</v>
      </c>
    </row>
    <row r="69" spans="1:13" ht="35.25" customHeight="1" x14ac:dyDescent="0.25">
      <c r="A69" s="351" t="s">
        <v>106</v>
      </c>
      <c r="B69" s="357" t="s">
        <v>107</v>
      </c>
      <c r="C69" s="14" t="s">
        <v>68</v>
      </c>
      <c r="D69" s="7">
        <v>899</v>
      </c>
      <c r="E69" s="7">
        <v>114.71226234528518</v>
      </c>
      <c r="F69" s="5">
        <v>917</v>
      </c>
      <c r="G69" s="7">
        <v>102</v>
      </c>
      <c r="H69" s="5">
        <v>940</v>
      </c>
      <c r="I69" s="7">
        <v>102.5</v>
      </c>
      <c r="J69" s="5">
        <v>972</v>
      </c>
      <c r="K69" s="7">
        <v>103.4</v>
      </c>
      <c r="L69" s="5">
        <v>1009</v>
      </c>
      <c r="M69" s="7">
        <v>103.8</v>
      </c>
    </row>
    <row r="70" spans="1:13" ht="34.5" customHeight="1" x14ac:dyDescent="0.25">
      <c r="A70" s="351"/>
      <c r="B70" s="357"/>
      <c r="C70" s="20" t="s">
        <v>57</v>
      </c>
      <c r="D70" s="7">
        <v>667</v>
      </c>
      <c r="E70" s="7">
        <v>97.85798122065728</v>
      </c>
      <c r="F70" s="5">
        <v>682</v>
      </c>
      <c r="G70" s="7">
        <v>102.2</v>
      </c>
      <c r="H70" s="5">
        <v>699</v>
      </c>
      <c r="I70" s="7">
        <v>102.6</v>
      </c>
      <c r="J70" s="5">
        <v>725</v>
      </c>
      <c r="K70" s="7">
        <v>103.7</v>
      </c>
      <c r="L70" s="5">
        <v>761</v>
      </c>
      <c r="M70" s="7">
        <v>104.9</v>
      </c>
    </row>
    <row r="71" spans="1:13" ht="36.75" customHeight="1" x14ac:dyDescent="0.25">
      <c r="A71" s="351" t="s">
        <v>108</v>
      </c>
      <c r="B71" s="354" t="s">
        <v>109</v>
      </c>
      <c r="C71" s="14" t="s">
        <v>68</v>
      </c>
      <c r="D71" s="7">
        <v>348.1</v>
      </c>
      <c r="E71" s="7">
        <v>108.84928080050031</v>
      </c>
      <c r="F71" s="5">
        <v>377</v>
      </c>
      <c r="G71" s="7">
        <v>108.2</v>
      </c>
      <c r="H71" s="5">
        <v>398</v>
      </c>
      <c r="I71" s="7">
        <v>105.7</v>
      </c>
      <c r="J71" s="5">
        <v>410</v>
      </c>
      <c r="K71" s="7">
        <v>102.9</v>
      </c>
      <c r="L71" s="5">
        <v>416</v>
      </c>
      <c r="M71" s="7">
        <v>101.5</v>
      </c>
    </row>
    <row r="72" spans="1:13" ht="37.5" customHeight="1" x14ac:dyDescent="0.25">
      <c r="A72" s="351"/>
      <c r="B72" s="354"/>
      <c r="C72" s="20" t="s">
        <v>57</v>
      </c>
      <c r="D72" s="7">
        <v>228.1</v>
      </c>
      <c r="E72" s="7">
        <v>92.836792836792839</v>
      </c>
      <c r="F72" s="5">
        <v>245</v>
      </c>
      <c r="G72" s="7">
        <v>107.2</v>
      </c>
      <c r="H72" s="5">
        <v>259</v>
      </c>
      <c r="I72" s="7">
        <v>105.9</v>
      </c>
      <c r="J72" s="5">
        <v>272</v>
      </c>
      <c r="K72" s="7">
        <v>105</v>
      </c>
      <c r="L72" s="5">
        <v>282</v>
      </c>
      <c r="M72" s="7">
        <v>103.7</v>
      </c>
    </row>
    <row r="73" spans="1:13" ht="30.75" customHeight="1" x14ac:dyDescent="0.25">
      <c r="A73" s="351" t="s">
        <v>110</v>
      </c>
      <c r="B73" s="354" t="s">
        <v>111</v>
      </c>
      <c r="C73" s="14" t="s">
        <v>68</v>
      </c>
      <c r="D73" s="7">
        <v>436.5</v>
      </c>
      <c r="E73" s="7">
        <v>112.73243801652893</v>
      </c>
      <c r="F73" s="5">
        <v>448</v>
      </c>
      <c r="G73" s="7">
        <v>102.6</v>
      </c>
      <c r="H73" s="5">
        <v>464</v>
      </c>
      <c r="I73" s="7">
        <v>103.7</v>
      </c>
      <c r="J73" s="5">
        <v>484</v>
      </c>
      <c r="K73" s="7">
        <v>104.2</v>
      </c>
      <c r="L73" s="5">
        <v>497</v>
      </c>
      <c r="M73" s="7">
        <v>102.8</v>
      </c>
    </row>
    <row r="74" spans="1:13" ht="38.25" customHeight="1" x14ac:dyDescent="0.25">
      <c r="A74" s="351"/>
      <c r="B74" s="354"/>
      <c r="C74" s="20" t="s">
        <v>57</v>
      </c>
      <c r="D74" s="7">
        <v>327.7</v>
      </c>
      <c r="E74" s="7">
        <v>96.638159834856964</v>
      </c>
      <c r="F74" s="5">
        <v>338</v>
      </c>
      <c r="G74" s="7">
        <v>103</v>
      </c>
      <c r="H74" s="5">
        <v>353</v>
      </c>
      <c r="I74" s="7">
        <v>104.5</v>
      </c>
      <c r="J74" s="5">
        <v>372</v>
      </c>
      <c r="K74" s="7">
        <v>105.4</v>
      </c>
      <c r="L74" s="5">
        <v>386</v>
      </c>
      <c r="M74" s="7">
        <v>103.8</v>
      </c>
    </row>
    <row r="75" spans="1:13" ht="32.25" customHeight="1" x14ac:dyDescent="0.25">
      <c r="A75" s="351" t="s">
        <v>112</v>
      </c>
      <c r="B75" s="354" t="s">
        <v>113</v>
      </c>
      <c r="C75" s="14" t="s">
        <v>68</v>
      </c>
      <c r="D75" s="7">
        <v>1023.6</v>
      </c>
      <c r="E75" s="7">
        <v>102.82270215971874</v>
      </c>
      <c r="F75" s="5">
        <v>1078</v>
      </c>
      <c r="G75" s="7">
        <v>105.3</v>
      </c>
      <c r="H75" s="5">
        <v>1138</v>
      </c>
      <c r="I75" s="7">
        <v>105.6</v>
      </c>
      <c r="J75" s="5">
        <v>1207</v>
      </c>
      <c r="K75" s="7">
        <v>106</v>
      </c>
      <c r="L75" s="5">
        <v>1285</v>
      </c>
      <c r="M75" s="7">
        <v>106.5</v>
      </c>
    </row>
    <row r="76" spans="1:13" ht="34.5" customHeight="1" x14ac:dyDescent="0.25">
      <c r="A76" s="351"/>
      <c r="B76" s="354"/>
      <c r="C76" s="20" t="s">
        <v>57</v>
      </c>
      <c r="D76" s="7">
        <v>288.8</v>
      </c>
      <c r="E76" s="7">
        <v>87.75448192038894</v>
      </c>
      <c r="F76" s="5">
        <v>305</v>
      </c>
      <c r="G76" s="7">
        <v>105.5</v>
      </c>
      <c r="H76" s="5">
        <v>323</v>
      </c>
      <c r="I76" s="7">
        <v>106</v>
      </c>
      <c r="J76" s="5">
        <v>345</v>
      </c>
      <c r="K76" s="7">
        <v>106.9</v>
      </c>
      <c r="L76" s="5">
        <v>371</v>
      </c>
      <c r="M76" s="7">
        <v>107.6</v>
      </c>
    </row>
    <row r="77" spans="1:13" ht="38.25" customHeight="1" x14ac:dyDescent="0.25">
      <c r="A77" s="351" t="s">
        <v>114</v>
      </c>
      <c r="B77" s="354" t="s">
        <v>115</v>
      </c>
      <c r="C77" s="14" t="s">
        <v>68</v>
      </c>
      <c r="D77" s="148">
        <v>56.7</v>
      </c>
      <c r="E77" s="7">
        <v>83.382352941176478</v>
      </c>
      <c r="F77" s="7">
        <v>54.6</v>
      </c>
      <c r="G77" s="7">
        <v>96.3</v>
      </c>
      <c r="H77" s="7">
        <v>50.6</v>
      </c>
      <c r="I77" s="7">
        <v>92.6</v>
      </c>
      <c r="J77" s="7">
        <v>48.5</v>
      </c>
      <c r="K77" s="7">
        <v>96</v>
      </c>
      <c r="L77" s="7">
        <v>46.3</v>
      </c>
      <c r="M77" s="7">
        <v>95.3</v>
      </c>
    </row>
    <row r="78" spans="1:13" ht="33.75" customHeight="1" x14ac:dyDescent="0.25">
      <c r="A78" s="351"/>
      <c r="B78" s="354"/>
      <c r="C78" s="20" t="s">
        <v>57</v>
      </c>
      <c r="D78" s="7">
        <v>17.2</v>
      </c>
      <c r="E78" s="7">
        <v>69.918699186991859</v>
      </c>
      <c r="F78" s="7">
        <v>16.7</v>
      </c>
      <c r="G78" s="7">
        <v>96.9</v>
      </c>
      <c r="H78" s="7">
        <v>15.5</v>
      </c>
      <c r="I78" s="7">
        <v>93</v>
      </c>
      <c r="J78" s="7">
        <v>15.1</v>
      </c>
      <c r="K78" s="7">
        <v>97.3</v>
      </c>
      <c r="L78" s="7">
        <v>14.6</v>
      </c>
      <c r="M78" s="7">
        <v>97.1</v>
      </c>
    </row>
    <row r="79" spans="1:13" ht="33" customHeight="1" x14ac:dyDescent="0.25">
      <c r="A79" s="351" t="s">
        <v>116</v>
      </c>
      <c r="B79" s="354" t="s">
        <v>117</v>
      </c>
      <c r="C79" s="14" t="s">
        <v>68</v>
      </c>
      <c r="D79" s="148">
        <v>106.4</v>
      </c>
      <c r="E79" s="7">
        <v>139.63254593175853</v>
      </c>
      <c r="F79" s="5">
        <v>104</v>
      </c>
      <c r="G79" s="7">
        <v>98</v>
      </c>
      <c r="H79" s="5">
        <v>102</v>
      </c>
      <c r="I79" s="7">
        <v>97.9</v>
      </c>
      <c r="J79" s="5">
        <v>100</v>
      </c>
      <c r="K79" s="7">
        <v>97.9</v>
      </c>
      <c r="L79" s="5">
        <v>96</v>
      </c>
      <c r="M79" s="7">
        <v>96.1</v>
      </c>
    </row>
    <row r="80" spans="1:13" ht="30" customHeight="1" x14ac:dyDescent="0.25">
      <c r="A80" s="351"/>
      <c r="B80" s="354"/>
      <c r="C80" s="20" t="s">
        <v>57</v>
      </c>
      <c r="D80" s="7">
        <v>96.1</v>
      </c>
      <c r="E80" s="7">
        <v>104.00432900432899</v>
      </c>
      <c r="F80" s="5">
        <v>95</v>
      </c>
      <c r="G80" s="7">
        <v>98.4</v>
      </c>
      <c r="H80" s="5">
        <v>93</v>
      </c>
      <c r="I80" s="7">
        <v>98</v>
      </c>
      <c r="J80" s="5">
        <v>91</v>
      </c>
      <c r="K80" s="7">
        <v>98.4</v>
      </c>
      <c r="L80" s="5">
        <v>89</v>
      </c>
      <c r="M80" s="7">
        <v>97.8</v>
      </c>
    </row>
    <row r="81" spans="1:13" ht="37.5" customHeight="1" x14ac:dyDescent="0.25">
      <c r="A81" s="351" t="s">
        <v>118</v>
      </c>
      <c r="B81" s="354" t="s">
        <v>119</v>
      </c>
      <c r="C81" s="14" t="s">
        <v>68</v>
      </c>
      <c r="D81" s="7">
        <v>141.5</v>
      </c>
      <c r="E81" s="7">
        <v>91.172680412371136</v>
      </c>
      <c r="F81" s="5">
        <v>154</v>
      </c>
      <c r="G81" s="7">
        <v>108.6</v>
      </c>
      <c r="H81" s="5">
        <v>166</v>
      </c>
      <c r="I81" s="7">
        <v>107.9</v>
      </c>
      <c r="J81" s="5">
        <v>181</v>
      </c>
      <c r="K81" s="7">
        <v>109.4</v>
      </c>
      <c r="L81" s="5">
        <v>200</v>
      </c>
      <c r="M81" s="7">
        <v>110</v>
      </c>
    </row>
    <row r="82" spans="1:13" ht="34.5" customHeight="1" x14ac:dyDescent="0.25">
      <c r="A82" s="351"/>
      <c r="B82" s="354"/>
      <c r="C82" s="20" t="s">
        <v>57</v>
      </c>
      <c r="D82" s="7">
        <v>94.7</v>
      </c>
      <c r="E82" s="7">
        <v>100.42417815482503</v>
      </c>
      <c r="F82" s="5">
        <v>104</v>
      </c>
      <c r="G82" s="7">
        <v>109.5</v>
      </c>
      <c r="H82" s="5">
        <v>112</v>
      </c>
      <c r="I82" s="7">
        <v>108.2</v>
      </c>
      <c r="J82" s="5">
        <v>124</v>
      </c>
      <c r="K82" s="7">
        <v>110.5</v>
      </c>
      <c r="L82" s="5">
        <v>137</v>
      </c>
      <c r="M82" s="7">
        <v>110.8</v>
      </c>
    </row>
    <row r="83" spans="1:13" ht="34.5" customHeight="1" x14ac:dyDescent="0.25">
      <c r="A83" s="351" t="s">
        <v>120</v>
      </c>
      <c r="B83" s="354" t="s">
        <v>121</v>
      </c>
      <c r="C83" s="14" t="s">
        <v>68</v>
      </c>
      <c r="D83" s="7">
        <v>175.7</v>
      </c>
      <c r="E83" s="7">
        <v>88.158554942298025</v>
      </c>
      <c r="F83" s="5">
        <v>180</v>
      </c>
      <c r="G83" s="7">
        <v>102.4</v>
      </c>
      <c r="H83" s="5">
        <v>171</v>
      </c>
      <c r="I83" s="7">
        <v>95</v>
      </c>
      <c r="J83" s="5">
        <v>162</v>
      </c>
      <c r="K83" s="7">
        <v>94.7</v>
      </c>
      <c r="L83" s="5">
        <v>150</v>
      </c>
      <c r="M83" s="7">
        <v>92.6</v>
      </c>
    </row>
    <row r="84" spans="1:13" ht="33" customHeight="1" x14ac:dyDescent="0.25">
      <c r="A84" s="351"/>
      <c r="B84" s="354"/>
      <c r="C84" s="20" t="s">
        <v>57</v>
      </c>
      <c r="D84" s="7">
        <v>63</v>
      </c>
      <c r="E84" s="7">
        <v>78.358208955223873</v>
      </c>
      <c r="F84" s="7">
        <v>65.2</v>
      </c>
      <c r="G84" s="7">
        <v>103.4</v>
      </c>
      <c r="H84" s="7">
        <v>62.5</v>
      </c>
      <c r="I84" s="7">
        <v>95.8</v>
      </c>
      <c r="J84" s="7">
        <v>59.5</v>
      </c>
      <c r="K84" s="7">
        <v>95.3</v>
      </c>
      <c r="L84" s="7">
        <v>56</v>
      </c>
      <c r="M84" s="7">
        <v>94.1</v>
      </c>
    </row>
    <row r="85" spans="1:13" ht="27" customHeight="1" x14ac:dyDescent="0.25">
      <c r="A85" s="355" t="s">
        <v>122</v>
      </c>
      <c r="B85" s="355"/>
      <c r="C85" s="355"/>
      <c r="D85" s="355"/>
      <c r="E85" s="355"/>
      <c r="F85" s="355"/>
      <c r="G85" s="355"/>
      <c r="H85" s="355"/>
      <c r="I85" s="355"/>
      <c r="J85" s="355"/>
      <c r="K85" s="355"/>
      <c r="L85" s="355"/>
      <c r="M85" s="355"/>
    </row>
    <row r="86" spans="1:13" ht="52.5" customHeight="1" x14ac:dyDescent="0.25">
      <c r="A86" s="2" t="s">
        <v>123</v>
      </c>
      <c r="B86" s="3" t="s">
        <v>124</v>
      </c>
      <c r="C86" s="14" t="s">
        <v>20</v>
      </c>
      <c r="D86" s="22">
        <v>19859</v>
      </c>
      <c r="E86" s="6">
        <v>122.5</v>
      </c>
      <c r="F86" s="12">
        <v>21499</v>
      </c>
      <c r="G86" s="6">
        <v>108.3</v>
      </c>
      <c r="H86" s="12">
        <v>26742</v>
      </c>
      <c r="I86" s="6">
        <v>124.4</v>
      </c>
      <c r="J86" s="12">
        <v>31293</v>
      </c>
      <c r="K86" s="6">
        <v>117</v>
      </c>
      <c r="L86" s="12">
        <v>36005</v>
      </c>
      <c r="M86" s="6">
        <v>115.1</v>
      </c>
    </row>
    <row r="87" spans="1:13" ht="54" customHeight="1" x14ac:dyDescent="0.25">
      <c r="A87" s="2" t="s">
        <v>125</v>
      </c>
      <c r="B87" s="3" t="s">
        <v>126</v>
      </c>
      <c r="C87" s="14" t="s">
        <v>20</v>
      </c>
      <c r="D87" s="22">
        <v>7922.5</v>
      </c>
      <c r="E87" s="6">
        <v>118.1</v>
      </c>
      <c r="F87" s="12">
        <v>6042</v>
      </c>
      <c r="G87" s="6">
        <v>76.3</v>
      </c>
      <c r="H87" s="12">
        <v>6882</v>
      </c>
      <c r="I87" s="6">
        <v>113.9</v>
      </c>
      <c r="J87" s="12">
        <v>7866</v>
      </c>
      <c r="K87" s="6">
        <v>114.3</v>
      </c>
      <c r="L87" s="12">
        <v>8818</v>
      </c>
      <c r="M87" s="6">
        <v>112.1</v>
      </c>
    </row>
    <row r="88" spans="1:13" ht="39.75" customHeight="1" x14ac:dyDescent="0.25">
      <c r="A88" s="2" t="s">
        <v>127</v>
      </c>
      <c r="B88" s="3" t="s">
        <v>128</v>
      </c>
      <c r="C88" s="148" t="s">
        <v>57</v>
      </c>
      <c r="D88" s="12">
        <v>2690.4</v>
      </c>
      <c r="E88" s="6">
        <v>104.4</v>
      </c>
      <c r="F88" s="12">
        <v>3222</v>
      </c>
      <c r="G88" s="6">
        <v>119.8</v>
      </c>
      <c r="H88" s="12">
        <v>3790</v>
      </c>
      <c r="I88" s="6">
        <v>117.6</v>
      </c>
      <c r="J88" s="12">
        <v>4077</v>
      </c>
      <c r="K88" s="6">
        <v>107.6</v>
      </c>
      <c r="L88" s="12">
        <v>4428</v>
      </c>
      <c r="M88" s="6">
        <v>108.6</v>
      </c>
    </row>
    <row r="89" spans="1:13" ht="22.5" customHeight="1" x14ac:dyDescent="0.25">
      <c r="A89" s="355" t="s">
        <v>129</v>
      </c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</row>
    <row r="90" spans="1:13" ht="26.25" customHeight="1" x14ac:dyDescent="0.25">
      <c r="A90" s="355" t="s">
        <v>130</v>
      </c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5"/>
    </row>
    <row r="91" spans="1:13" ht="36" x14ac:dyDescent="0.25">
      <c r="A91" s="2" t="s">
        <v>131</v>
      </c>
      <c r="B91" s="8" t="s">
        <v>64</v>
      </c>
      <c r="C91" s="148" t="s">
        <v>65</v>
      </c>
      <c r="D91" s="6">
        <v>21860.5</v>
      </c>
      <c r="E91" s="6">
        <v>102.2</v>
      </c>
      <c r="F91" s="12">
        <v>22511</v>
      </c>
      <c r="G91" s="6">
        <v>103</v>
      </c>
      <c r="H91" s="12">
        <v>25500</v>
      </c>
      <c r="I91" s="6">
        <v>113.3</v>
      </c>
      <c r="J91" s="12">
        <v>28443</v>
      </c>
      <c r="K91" s="6">
        <v>111.5</v>
      </c>
      <c r="L91" s="12">
        <v>30040</v>
      </c>
      <c r="M91" s="6">
        <v>105.6</v>
      </c>
    </row>
    <row r="92" spans="1:13" ht="36" x14ac:dyDescent="0.25">
      <c r="A92" s="2" t="s">
        <v>132</v>
      </c>
      <c r="B92" s="8" t="s">
        <v>133</v>
      </c>
      <c r="C92" s="148" t="s">
        <v>68</v>
      </c>
      <c r="D92" s="6">
        <v>18</v>
      </c>
      <c r="E92" s="6">
        <v>72.599999999999994</v>
      </c>
      <c r="F92" s="6">
        <v>19.2</v>
      </c>
      <c r="G92" s="6">
        <v>106.7</v>
      </c>
      <c r="H92" s="6">
        <v>21</v>
      </c>
      <c r="I92" s="6">
        <v>109.3</v>
      </c>
      <c r="J92" s="6">
        <v>22.3</v>
      </c>
      <c r="K92" s="6">
        <v>106.3</v>
      </c>
      <c r="L92" s="6">
        <v>23.5</v>
      </c>
      <c r="M92" s="6">
        <v>105.1</v>
      </c>
    </row>
    <row r="93" spans="1:13" ht="36" x14ac:dyDescent="0.25">
      <c r="A93" s="2" t="s">
        <v>134</v>
      </c>
      <c r="B93" s="8" t="s">
        <v>104</v>
      </c>
      <c r="C93" s="148" t="s">
        <v>135</v>
      </c>
      <c r="D93" s="6">
        <v>390.4</v>
      </c>
      <c r="E93" s="6">
        <v>46</v>
      </c>
      <c r="F93" s="12">
        <v>450</v>
      </c>
      <c r="G93" s="6">
        <v>115.3</v>
      </c>
      <c r="H93" s="12">
        <v>567</v>
      </c>
      <c r="I93" s="6">
        <v>126</v>
      </c>
      <c r="J93" s="12">
        <v>720</v>
      </c>
      <c r="K93" s="6">
        <v>127</v>
      </c>
      <c r="L93" s="12">
        <v>813</v>
      </c>
      <c r="M93" s="6">
        <v>112.9</v>
      </c>
    </row>
    <row r="94" spans="1:13" ht="36" x14ac:dyDescent="0.25">
      <c r="A94" s="2" t="s">
        <v>136</v>
      </c>
      <c r="B94" s="8" t="s">
        <v>137</v>
      </c>
      <c r="C94" s="148" t="s">
        <v>68</v>
      </c>
      <c r="D94" s="6">
        <v>2084.1999999999998</v>
      </c>
      <c r="E94" s="6">
        <v>87.1</v>
      </c>
      <c r="F94" s="12">
        <v>2510</v>
      </c>
      <c r="G94" s="6">
        <v>120.4</v>
      </c>
      <c r="H94" s="12">
        <v>2843</v>
      </c>
      <c r="I94" s="6">
        <v>113.3</v>
      </c>
      <c r="J94" s="12">
        <v>3054</v>
      </c>
      <c r="K94" s="6">
        <v>107.4</v>
      </c>
      <c r="L94" s="12">
        <v>3320</v>
      </c>
      <c r="M94" s="6">
        <v>108.7</v>
      </c>
    </row>
    <row r="95" spans="1:13" ht="36" x14ac:dyDescent="0.25">
      <c r="A95" s="2" t="s">
        <v>138</v>
      </c>
      <c r="B95" s="8" t="s">
        <v>67</v>
      </c>
      <c r="C95" s="148" t="s">
        <v>68</v>
      </c>
      <c r="D95" s="148">
        <v>66.599999999999994</v>
      </c>
      <c r="E95" s="6">
        <v>107.4</v>
      </c>
      <c r="F95" s="12">
        <v>84</v>
      </c>
      <c r="G95" s="6">
        <v>125.6</v>
      </c>
      <c r="H95" s="12">
        <v>109</v>
      </c>
      <c r="I95" s="6">
        <v>130.19999999999999</v>
      </c>
      <c r="J95" s="12">
        <v>141</v>
      </c>
      <c r="K95" s="6">
        <v>129.9</v>
      </c>
      <c r="L95" s="12">
        <v>184</v>
      </c>
      <c r="M95" s="6">
        <v>130</v>
      </c>
    </row>
    <row r="96" spans="1:13" ht="30.75" customHeight="1" x14ac:dyDescent="0.25">
      <c r="A96" s="2" t="s">
        <v>139</v>
      </c>
      <c r="B96" s="8" t="s">
        <v>82</v>
      </c>
      <c r="C96" s="148" t="s">
        <v>68</v>
      </c>
      <c r="D96" s="6">
        <v>4455.6000000000004</v>
      </c>
      <c r="E96" s="6">
        <v>102.4</v>
      </c>
      <c r="F96" s="12">
        <v>4650</v>
      </c>
      <c r="G96" s="6">
        <v>104.4</v>
      </c>
      <c r="H96" s="12">
        <v>4845</v>
      </c>
      <c r="I96" s="6">
        <v>104.2</v>
      </c>
      <c r="J96" s="12">
        <v>5074</v>
      </c>
      <c r="K96" s="6">
        <v>104.7</v>
      </c>
      <c r="L96" s="12">
        <v>5012</v>
      </c>
      <c r="M96" s="6">
        <v>102.7</v>
      </c>
    </row>
    <row r="97" spans="1:13" ht="36" x14ac:dyDescent="0.25">
      <c r="A97" s="2" t="s">
        <v>140</v>
      </c>
      <c r="B97" s="8" t="s">
        <v>141</v>
      </c>
      <c r="C97" s="148" t="s">
        <v>68</v>
      </c>
      <c r="D97" s="6">
        <v>127.4</v>
      </c>
      <c r="E97" s="6">
        <v>100.2</v>
      </c>
      <c r="F97" s="6">
        <v>135</v>
      </c>
      <c r="G97" s="6">
        <v>106.1</v>
      </c>
      <c r="H97" s="12">
        <v>139</v>
      </c>
      <c r="I97" s="6">
        <v>102.5</v>
      </c>
      <c r="J97" s="12">
        <v>143</v>
      </c>
      <c r="K97" s="6">
        <v>103.1</v>
      </c>
      <c r="L97" s="12">
        <v>147</v>
      </c>
      <c r="M97" s="6">
        <v>103.2</v>
      </c>
    </row>
    <row r="98" spans="1:13" ht="36" x14ac:dyDescent="0.25">
      <c r="A98" s="2" t="s">
        <v>142</v>
      </c>
      <c r="B98" s="8" t="s">
        <v>143</v>
      </c>
      <c r="C98" s="148" t="s">
        <v>68</v>
      </c>
      <c r="D98" s="6">
        <v>20.3</v>
      </c>
      <c r="E98" s="6">
        <v>108.2</v>
      </c>
      <c r="F98" s="6">
        <v>25.6</v>
      </c>
      <c r="G98" s="6">
        <v>126.1</v>
      </c>
      <c r="H98" s="6">
        <v>32.6</v>
      </c>
      <c r="I98" s="6">
        <v>127.2</v>
      </c>
      <c r="J98" s="6">
        <v>42</v>
      </c>
      <c r="K98" s="6">
        <v>128.9</v>
      </c>
      <c r="L98" s="6">
        <v>54.3</v>
      </c>
      <c r="M98" s="6">
        <v>129.30000000000001</v>
      </c>
    </row>
    <row r="99" spans="1:13" ht="30.75" customHeight="1" x14ac:dyDescent="0.25">
      <c r="A99" s="2" t="s">
        <v>144</v>
      </c>
      <c r="B99" s="8" t="s">
        <v>145</v>
      </c>
      <c r="C99" s="148" t="s">
        <v>146</v>
      </c>
      <c r="D99" s="6">
        <v>24.5</v>
      </c>
      <c r="E99" s="6">
        <v>95.4</v>
      </c>
      <c r="F99" s="6">
        <v>38.1</v>
      </c>
      <c r="G99" s="6">
        <v>155.69999999999999</v>
      </c>
      <c r="H99" s="6">
        <v>55.4</v>
      </c>
      <c r="I99" s="6">
        <v>145.30000000000001</v>
      </c>
      <c r="J99" s="6">
        <v>77.7</v>
      </c>
      <c r="K99" s="6">
        <v>140.19999999999999</v>
      </c>
      <c r="L99" s="6">
        <v>107.3</v>
      </c>
      <c r="M99" s="6">
        <v>138.1</v>
      </c>
    </row>
    <row r="100" spans="1:13" ht="36" customHeight="1" x14ac:dyDescent="0.25">
      <c r="A100" s="2" t="s">
        <v>147</v>
      </c>
      <c r="B100" s="8" t="s">
        <v>148</v>
      </c>
      <c r="C100" s="148" t="s">
        <v>146</v>
      </c>
      <c r="D100" s="6">
        <v>5.74</v>
      </c>
      <c r="E100" s="6">
        <v>89.7</v>
      </c>
      <c r="F100" s="6">
        <v>8.1</v>
      </c>
      <c r="G100" s="6">
        <v>141.6</v>
      </c>
      <c r="H100" s="6">
        <v>11</v>
      </c>
      <c r="I100" s="6">
        <v>135.80000000000001</v>
      </c>
      <c r="J100" s="6">
        <v>14.4</v>
      </c>
      <c r="K100" s="6">
        <v>130.9</v>
      </c>
      <c r="L100" s="6">
        <v>18.2</v>
      </c>
      <c r="M100" s="6">
        <v>125.7</v>
      </c>
    </row>
    <row r="101" spans="1:13" ht="39" customHeight="1" x14ac:dyDescent="0.25">
      <c r="A101" s="2" t="s">
        <v>149</v>
      </c>
      <c r="B101" s="8" t="s">
        <v>150</v>
      </c>
      <c r="C101" s="148" t="s">
        <v>151</v>
      </c>
      <c r="D101" s="6">
        <v>977.5</v>
      </c>
      <c r="E101" s="6">
        <v>91.3</v>
      </c>
      <c r="F101" s="6">
        <v>1253</v>
      </c>
      <c r="G101" s="6">
        <v>128.19999999999999</v>
      </c>
      <c r="H101" s="12">
        <v>1620</v>
      </c>
      <c r="I101" s="6">
        <v>129.30000000000001</v>
      </c>
      <c r="J101" s="12">
        <v>2113</v>
      </c>
      <c r="K101" s="6">
        <v>130.4</v>
      </c>
      <c r="L101" s="12">
        <v>2785</v>
      </c>
      <c r="M101" s="6">
        <v>131.80000000000001</v>
      </c>
    </row>
    <row r="102" spans="1:13" ht="51.75" x14ac:dyDescent="0.25">
      <c r="A102" s="2" t="s">
        <v>152</v>
      </c>
      <c r="B102" s="8" t="s">
        <v>153</v>
      </c>
      <c r="C102" s="14" t="s">
        <v>154</v>
      </c>
      <c r="D102" s="6">
        <v>70</v>
      </c>
      <c r="E102" s="6">
        <v>105.5</v>
      </c>
      <c r="F102" s="6">
        <v>79.7</v>
      </c>
      <c r="G102" s="6">
        <v>113.9</v>
      </c>
      <c r="H102" s="6">
        <v>91.5</v>
      </c>
      <c r="I102" s="6">
        <v>114.7</v>
      </c>
      <c r="J102" s="6">
        <v>105.9</v>
      </c>
      <c r="K102" s="6">
        <v>115.8</v>
      </c>
      <c r="L102" s="6">
        <v>123.2</v>
      </c>
      <c r="M102" s="6">
        <v>116.3</v>
      </c>
    </row>
    <row r="103" spans="1:13" ht="36" x14ac:dyDescent="0.25">
      <c r="A103" s="2" t="s">
        <v>155</v>
      </c>
      <c r="B103" s="8" t="s">
        <v>156</v>
      </c>
      <c r="C103" s="148" t="s">
        <v>68</v>
      </c>
      <c r="D103" s="6">
        <v>25.5</v>
      </c>
      <c r="E103" s="6">
        <v>100.6</v>
      </c>
      <c r="F103" s="6">
        <v>29.4</v>
      </c>
      <c r="G103" s="6">
        <v>115.1</v>
      </c>
      <c r="H103" s="6">
        <v>34.1</v>
      </c>
      <c r="I103" s="6">
        <v>116.3</v>
      </c>
      <c r="J103" s="6">
        <v>40.200000000000003</v>
      </c>
      <c r="K103" s="6">
        <v>117.7</v>
      </c>
      <c r="L103" s="6">
        <v>47.4</v>
      </c>
      <c r="M103" s="6">
        <v>118.1</v>
      </c>
    </row>
    <row r="104" spans="1:13" ht="36" x14ac:dyDescent="0.25">
      <c r="A104" s="2" t="s">
        <v>157</v>
      </c>
      <c r="B104" s="8" t="s">
        <v>158</v>
      </c>
      <c r="C104" s="148" t="s">
        <v>68</v>
      </c>
      <c r="D104" s="6">
        <v>27.7</v>
      </c>
      <c r="E104" s="6">
        <v>107.3</v>
      </c>
      <c r="F104" s="6">
        <v>35</v>
      </c>
      <c r="G104" s="6">
        <v>126.2</v>
      </c>
      <c r="H104" s="6">
        <v>44.5</v>
      </c>
      <c r="I104" s="6">
        <v>127.3</v>
      </c>
      <c r="J104" s="6">
        <v>57.1</v>
      </c>
      <c r="K104" s="6">
        <v>128.4</v>
      </c>
      <c r="L104" s="6">
        <v>74.099999999999994</v>
      </c>
      <c r="M104" s="6">
        <v>129.69999999999999</v>
      </c>
    </row>
    <row r="105" spans="1:13" ht="36" x14ac:dyDescent="0.25">
      <c r="A105" s="2" t="s">
        <v>159</v>
      </c>
      <c r="B105" s="8" t="s">
        <v>160</v>
      </c>
      <c r="C105" s="148" t="s">
        <v>68</v>
      </c>
      <c r="D105" s="6">
        <v>13</v>
      </c>
      <c r="E105" s="6">
        <v>130.19999999999999</v>
      </c>
      <c r="F105" s="6">
        <v>17.600000000000001</v>
      </c>
      <c r="G105" s="6">
        <v>135.30000000000001</v>
      </c>
      <c r="H105" s="6">
        <v>24.7</v>
      </c>
      <c r="I105" s="6">
        <v>140.4</v>
      </c>
      <c r="J105" s="6">
        <v>36</v>
      </c>
      <c r="K105" s="6">
        <v>145.69999999999999</v>
      </c>
      <c r="L105" s="6">
        <v>54.1</v>
      </c>
      <c r="M105" s="6">
        <v>150.30000000000001</v>
      </c>
    </row>
    <row r="106" spans="1:13" ht="36" x14ac:dyDescent="0.25">
      <c r="A106" s="2" t="s">
        <v>161</v>
      </c>
      <c r="B106" s="3" t="s">
        <v>162</v>
      </c>
      <c r="C106" s="148" t="s">
        <v>68</v>
      </c>
      <c r="D106" s="6">
        <v>57.5</v>
      </c>
      <c r="E106" s="6">
        <v>101.4</v>
      </c>
      <c r="F106" s="6">
        <v>61.6</v>
      </c>
      <c r="G106" s="6">
        <v>107.2</v>
      </c>
      <c r="H106" s="6">
        <v>66.8</v>
      </c>
      <c r="I106" s="6">
        <v>108.3</v>
      </c>
      <c r="J106" s="6">
        <v>73</v>
      </c>
      <c r="K106" s="6">
        <v>109.4</v>
      </c>
      <c r="L106" s="6">
        <v>80.8</v>
      </c>
      <c r="M106" s="6">
        <v>110.7</v>
      </c>
    </row>
    <row r="107" spans="1:13" ht="36" x14ac:dyDescent="0.25">
      <c r="A107" s="2" t="s">
        <v>163</v>
      </c>
      <c r="B107" s="8" t="s">
        <v>164</v>
      </c>
      <c r="C107" s="148" t="s">
        <v>68</v>
      </c>
      <c r="D107" s="6">
        <v>19</v>
      </c>
      <c r="E107" s="6">
        <v>109.5</v>
      </c>
      <c r="F107" s="6">
        <v>21.1</v>
      </c>
      <c r="G107" s="6">
        <v>111.3</v>
      </c>
      <c r="H107" s="6">
        <v>23.8</v>
      </c>
      <c r="I107" s="6">
        <v>112.7</v>
      </c>
      <c r="J107" s="6">
        <v>27.1</v>
      </c>
      <c r="K107" s="6">
        <v>113.8</v>
      </c>
      <c r="L107" s="6">
        <v>31.1</v>
      </c>
      <c r="M107" s="6">
        <v>114.7</v>
      </c>
    </row>
    <row r="108" spans="1:13" ht="39" customHeight="1" x14ac:dyDescent="0.25">
      <c r="A108" s="2" t="s">
        <v>165</v>
      </c>
      <c r="B108" s="8" t="s">
        <v>166</v>
      </c>
      <c r="C108" s="20" t="s">
        <v>167</v>
      </c>
      <c r="D108" s="6">
        <v>3188.9</v>
      </c>
      <c r="E108" s="6">
        <v>94.6</v>
      </c>
      <c r="F108" s="12">
        <v>4110</v>
      </c>
      <c r="G108" s="6">
        <v>128.9</v>
      </c>
      <c r="H108" s="12">
        <v>5459</v>
      </c>
      <c r="I108" s="6">
        <v>132.80000000000001</v>
      </c>
      <c r="J108" s="12">
        <v>7375</v>
      </c>
      <c r="K108" s="6">
        <v>135.1</v>
      </c>
      <c r="L108" s="12">
        <v>10192</v>
      </c>
      <c r="M108" s="6">
        <v>138.19999999999999</v>
      </c>
    </row>
    <row r="109" spans="1:13" ht="31.5" customHeight="1" x14ac:dyDescent="0.25">
      <c r="A109" s="2" t="s">
        <v>168</v>
      </c>
      <c r="B109" s="8" t="s">
        <v>115</v>
      </c>
      <c r="C109" s="148" t="s">
        <v>68</v>
      </c>
      <c r="D109" s="6">
        <v>605.6</v>
      </c>
      <c r="E109" s="6">
        <v>101.3</v>
      </c>
      <c r="F109" s="12">
        <v>618</v>
      </c>
      <c r="G109" s="6">
        <v>102.1</v>
      </c>
      <c r="H109" s="12">
        <v>640</v>
      </c>
      <c r="I109" s="6">
        <v>103.5</v>
      </c>
      <c r="J109" s="12">
        <v>670</v>
      </c>
      <c r="K109" s="6">
        <v>104.7</v>
      </c>
      <c r="L109" s="12">
        <v>706</v>
      </c>
      <c r="M109" s="6">
        <v>105.3</v>
      </c>
    </row>
    <row r="110" spans="1:13" ht="21.75" customHeight="1" x14ac:dyDescent="0.25">
      <c r="A110" s="355" t="s">
        <v>169</v>
      </c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</row>
    <row r="111" spans="1:13" ht="37.5" customHeight="1" x14ac:dyDescent="0.25">
      <c r="A111" s="2" t="s">
        <v>170</v>
      </c>
      <c r="B111" s="3" t="s">
        <v>171</v>
      </c>
      <c r="C111" s="14" t="s">
        <v>68</v>
      </c>
      <c r="D111" s="7">
        <v>1754.9</v>
      </c>
      <c r="E111" s="7">
        <v>100</v>
      </c>
      <c r="F111" s="5">
        <v>1790</v>
      </c>
      <c r="G111" s="7">
        <v>102</v>
      </c>
      <c r="H111" s="5">
        <v>1817</v>
      </c>
      <c r="I111" s="7">
        <v>101.5</v>
      </c>
      <c r="J111" s="5">
        <v>1844</v>
      </c>
      <c r="K111" s="7">
        <v>101.5</v>
      </c>
      <c r="L111" s="5">
        <v>1872</v>
      </c>
      <c r="M111" s="7">
        <v>101.5</v>
      </c>
    </row>
    <row r="112" spans="1:13" ht="36.75" customHeight="1" x14ac:dyDescent="0.25">
      <c r="A112" s="2" t="s">
        <v>172</v>
      </c>
      <c r="B112" s="23" t="s">
        <v>173</v>
      </c>
      <c r="C112" s="14" t="s">
        <v>68</v>
      </c>
      <c r="D112" s="148">
        <v>860.8</v>
      </c>
      <c r="E112" s="148">
        <v>92.133147811195542</v>
      </c>
      <c r="F112" s="12">
        <v>917</v>
      </c>
      <c r="G112" s="6">
        <v>106.5</v>
      </c>
      <c r="H112" s="12">
        <v>956</v>
      </c>
      <c r="I112" s="6">
        <v>104.3</v>
      </c>
      <c r="J112" s="12">
        <v>980</v>
      </c>
      <c r="K112" s="6">
        <v>102.5</v>
      </c>
      <c r="L112" s="12">
        <v>1032</v>
      </c>
      <c r="M112" s="6">
        <v>105.3</v>
      </c>
    </row>
    <row r="113" spans="1:13" ht="37.5" customHeight="1" x14ac:dyDescent="0.25">
      <c r="A113" s="2" t="s">
        <v>174</v>
      </c>
      <c r="B113" s="8" t="s">
        <v>175</v>
      </c>
      <c r="C113" s="14" t="s">
        <v>68</v>
      </c>
      <c r="D113" s="148">
        <v>344.4</v>
      </c>
      <c r="E113" s="148">
        <v>85.1</v>
      </c>
      <c r="F113" s="12">
        <v>362</v>
      </c>
      <c r="G113" s="6">
        <v>105</v>
      </c>
      <c r="H113" s="12">
        <v>390</v>
      </c>
      <c r="I113" s="6">
        <v>107.9</v>
      </c>
      <c r="J113" s="12">
        <v>402</v>
      </c>
      <c r="K113" s="6">
        <v>103.1</v>
      </c>
      <c r="L113" s="12">
        <v>412</v>
      </c>
      <c r="M113" s="6">
        <v>102.4</v>
      </c>
    </row>
    <row r="114" spans="1:13" ht="37.5" customHeight="1" x14ac:dyDescent="0.25">
      <c r="A114" s="2" t="s">
        <v>176</v>
      </c>
      <c r="B114" s="8" t="s">
        <v>177</v>
      </c>
      <c r="C114" s="14" t="s">
        <v>68</v>
      </c>
      <c r="D114" s="148">
        <v>1144.9000000000001</v>
      </c>
      <c r="E114" s="148">
        <v>104.6</v>
      </c>
      <c r="F114" s="12">
        <v>1163</v>
      </c>
      <c r="G114" s="6">
        <v>101.6</v>
      </c>
      <c r="H114" s="12">
        <v>1177</v>
      </c>
      <c r="I114" s="6">
        <v>101.2</v>
      </c>
      <c r="J114" s="12">
        <v>1184</v>
      </c>
      <c r="K114" s="6">
        <v>100.6</v>
      </c>
      <c r="L114" s="12">
        <v>1203</v>
      </c>
      <c r="M114" s="6">
        <v>101.6</v>
      </c>
    </row>
    <row r="115" spans="1:13" ht="34.5" customHeight="1" x14ac:dyDescent="0.25">
      <c r="A115" s="2" t="s">
        <v>178</v>
      </c>
      <c r="B115" s="8" t="s">
        <v>179</v>
      </c>
      <c r="C115" s="14" t="s">
        <v>68</v>
      </c>
      <c r="D115" s="148">
        <v>3026.2</v>
      </c>
      <c r="E115" s="148">
        <v>111.5</v>
      </c>
      <c r="F115" s="12">
        <v>3289</v>
      </c>
      <c r="G115" s="6">
        <v>108.7</v>
      </c>
      <c r="H115" s="12">
        <v>3459</v>
      </c>
      <c r="I115" s="6">
        <v>105.2</v>
      </c>
      <c r="J115" s="12">
        <v>3615</v>
      </c>
      <c r="K115" s="6">
        <v>104.5</v>
      </c>
      <c r="L115" s="12">
        <v>3859</v>
      </c>
      <c r="M115" s="6">
        <v>106.8</v>
      </c>
    </row>
    <row r="116" spans="1:13" ht="39" customHeight="1" x14ac:dyDescent="0.25">
      <c r="A116" s="2" t="s">
        <v>180</v>
      </c>
      <c r="B116" s="3" t="s">
        <v>181</v>
      </c>
      <c r="C116" s="14" t="s">
        <v>68</v>
      </c>
      <c r="D116" s="148">
        <v>779.8</v>
      </c>
      <c r="E116" s="148">
        <v>116</v>
      </c>
      <c r="F116" s="12">
        <v>867</v>
      </c>
      <c r="G116" s="6">
        <v>111.1</v>
      </c>
      <c r="H116" s="12">
        <v>876</v>
      </c>
      <c r="I116" s="6">
        <v>101.1</v>
      </c>
      <c r="J116" s="12">
        <v>920</v>
      </c>
      <c r="K116" s="6">
        <v>105</v>
      </c>
      <c r="L116" s="12">
        <v>980</v>
      </c>
      <c r="M116" s="6">
        <v>106.5</v>
      </c>
    </row>
    <row r="117" spans="1:13" ht="33" customHeight="1" x14ac:dyDescent="0.25">
      <c r="A117" s="2" t="s">
        <v>182</v>
      </c>
      <c r="B117" s="3" t="s">
        <v>183</v>
      </c>
      <c r="C117" s="14" t="s">
        <v>68</v>
      </c>
      <c r="D117" s="148">
        <v>664.3</v>
      </c>
      <c r="E117" s="148">
        <v>129.69999999999999</v>
      </c>
      <c r="F117" s="12">
        <v>670</v>
      </c>
      <c r="G117" s="6">
        <v>100.8</v>
      </c>
      <c r="H117" s="12">
        <v>702</v>
      </c>
      <c r="I117" s="6">
        <v>104.8</v>
      </c>
      <c r="J117" s="12">
        <v>726</v>
      </c>
      <c r="K117" s="6">
        <v>103.4</v>
      </c>
      <c r="L117" s="12">
        <v>757</v>
      </c>
      <c r="M117" s="6">
        <v>104.3</v>
      </c>
    </row>
    <row r="118" spans="1:13" ht="38.25" customHeight="1" x14ac:dyDescent="0.25">
      <c r="A118" s="2" t="s">
        <v>184</v>
      </c>
      <c r="B118" s="3" t="s">
        <v>185</v>
      </c>
      <c r="C118" s="14" t="s">
        <v>68</v>
      </c>
      <c r="D118" s="148">
        <v>190.4</v>
      </c>
      <c r="E118" s="148">
        <v>63.2</v>
      </c>
      <c r="F118" s="12">
        <v>197</v>
      </c>
      <c r="G118" s="6">
        <v>103.6</v>
      </c>
      <c r="H118" s="12">
        <v>207</v>
      </c>
      <c r="I118" s="6">
        <v>104.8</v>
      </c>
      <c r="J118" s="12">
        <v>221</v>
      </c>
      <c r="K118" s="6">
        <v>107</v>
      </c>
      <c r="L118" s="12">
        <v>233</v>
      </c>
      <c r="M118" s="6">
        <v>105.4</v>
      </c>
    </row>
    <row r="119" spans="1:13" ht="30.75" customHeight="1" x14ac:dyDescent="0.25">
      <c r="A119" s="2" t="s">
        <v>186</v>
      </c>
      <c r="B119" s="8" t="s">
        <v>187</v>
      </c>
      <c r="C119" s="14" t="s">
        <v>68</v>
      </c>
      <c r="D119" s="148">
        <v>1009.9</v>
      </c>
      <c r="E119" s="148">
        <v>119.9</v>
      </c>
      <c r="F119" s="12">
        <v>1067</v>
      </c>
      <c r="G119" s="6">
        <v>105.6</v>
      </c>
      <c r="H119" s="12">
        <v>1136</v>
      </c>
      <c r="I119" s="6">
        <v>106.5</v>
      </c>
      <c r="J119" s="12">
        <v>1194</v>
      </c>
      <c r="K119" s="6">
        <v>105.1</v>
      </c>
      <c r="L119" s="12">
        <v>137</v>
      </c>
      <c r="M119" s="6">
        <v>110.3</v>
      </c>
    </row>
    <row r="120" spans="1:13" ht="33" customHeight="1" x14ac:dyDescent="0.25">
      <c r="A120" s="24" t="s">
        <v>188</v>
      </c>
      <c r="B120" s="3" t="s">
        <v>189</v>
      </c>
      <c r="C120" s="14" t="s">
        <v>68</v>
      </c>
      <c r="D120" s="7">
        <v>398.09999999999997</v>
      </c>
      <c r="E120" s="7">
        <v>114.03609281008305</v>
      </c>
      <c r="F120" s="5">
        <v>430</v>
      </c>
      <c r="G120" s="7">
        <v>108</v>
      </c>
      <c r="H120" s="5">
        <v>462</v>
      </c>
      <c r="I120" s="7">
        <v>107.4</v>
      </c>
      <c r="J120" s="5">
        <v>485</v>
      </c>
      <c r="K120" s="7">
        <v>104.9</v>
      </c>
      <c r="L120" s="7">
        <v>510</v>
      </c>
      <c r="M120" s="7">
        <v>105.2</v>
      </c>
    </row>
    <row r="121" spans="1:13" ht="33" customHeight="1" x14ac:dyDescent="0.25">
      <c r="A121" s="2" t="s">
        <v>190</v>
      </c>
      <c r="B121" s="3" t="s">
        <v>191</v>
      </c>
      <c r="C121" s="14" t="s">
        <v>68</v>
      </c>
      <c r="D121" s="148">
        <v>55.4</v>
      </c>
      <c r="E121" s="148">
        <v>113.8</v>
      </c>
      <c r="F121" s="6">
        <v>62.8</v>
      </c>
      <c r="G121" s="6">
        <v>113.4</v>
      </c>
      <c r="H121" s="6">
        <v>68.5</v>
      </c>
      <c r="I121" s="6">
        <v>109</v>
      </c>
      <c r="J121" s="6">
        <v>75</v>
      </c>
      <c r="K121" s="6">
        <v>109.5</v>
      </c>
      <c r="L121" s="12">
        <v>83</v>
      </c>
      <c r="M121" s="6">
        <v>110.7</v>
      </c>
    </row>
    <row r="122" spans="1:13" ht="32.25" customHeight="1" x14ac:dyDescent="0.25">
      <c r="A122" s="2" t="s">
        <v>192</v>
      </c>
      <c r="B122" s="8" t="s">
        <v>193</v>
      </c>
      <c r="C122" s="14" t="s">
        <v>68</v>
      </c>
      <c r="D122" s="148">
        <v>5.5</v>
      </c>
      <c r="E122" s="148">
        <v>114.9</v>
      </c>
      <c r="F122" s="6">
        <v>6.6</v>
      </c>
      <c r="G122" s="6">
        <v>120.8</v>
      </c>
      <c r="H122" s="6">
        <v>7.7</v>
      </c>
      <c r="I122" s="6">
        <v>115.5</v>
      </c>
      <c r="J122" s="6">
        <v>8.9</v>
      </c>
      <c r="K122" s="6">
        <v>116.4</v>
      </c>
      <c r="L122" s="6">
        <v>10.5</v>
      </c>
      <c r="M122" s="6">
        <v>117.9</v>
      </c>
    </row>
    <row r="123" spans="1:13" ht="33.75" customHeight="1" x14ac:dyDescent="0.25">
      <c r="A123" s="2" t="s">
        <v>194</v>
      </c>
      <c r="B123" s="8" t="s">
        <v>195</v>
      </c>
      <c r="C123" s="14" t="s">
        <v>68</v>
      </c>
      <c r="D123" s="148">
        <v>1118.5</v>
      </c>
      <c r="E123" s="148">
        <v>105.1</v>
      </c>
      <c r="F123" s="12">
        <v>1148</v>
      </c>
      <c r="G123" s="6">
        <v>102.6</v>
      </c>
      <c r="H123" s="12">
        <v>1175</v>
      </c>
      <c r="I123" s="6">
        <v>102.4</v>
      </c>
      <c r="J123" s="12">
        <v>1209</v>
      </c>
      <c r="K123" s="6">
        <v>102.9</v>
      </c>
      <c r="L123" s="12">
        <v>1303</v>
      </c>
      <c r="M123" s="6">
        <v>107.8</v>
      </c>
    </row>
    <row r="124" spans="1:13" ht="34.5" customHeight="1" x14ac:dyDescent="0.25">
      <c r="A124" s="2" t="s">
        <v>196</v>
      </c>
      <c r="B124" s="8" t="s">
        <v>197</v>
      </c>
      <c r="C124" s="14" t="s">
        <v>68</v>
      </c>
      <c r="D124" s="148">
        <v>4.7</v>
      </c>
      <c r="E124" s="148">
        <v>102.9</v>
      </c>
      <c r="F124" s="12">
        <v>4901</v>
      </c>
      <c r="G124" s="6">
        <v>104.3</v>
      </c>
      <c r="H124" s="12">
        <v>5106</v>
      </c>
      <c r="I124" s="6">
        <v>104.2</v>
      </c>
      <c r="J124" s="12">
        <v>5310</v>
      </c>
      <c r="K124" s="6">
        <v>104</v>
      </c>
      <c r="L124" s="6">
        <v>5616</v>
      </c>
      <c r="M124" s="6">
        <v>105.8</v>
      </c>
    </row>
    <row r="125" spans="1:13" ht="26.25" customHeight="1" x14ac:dyDescent="0.25">
      <c r="A125" s="2" t="s">
        <v>198</v>
      </c>
      <c r="B125" s="8" t="s">
        <v>199</v>
      </c>
      <c r="C125" s="148" t="s">
        <v>200</v>
      </c>
      <c r="D125" s="148">
        <v>223.2</v>
      </c>
      <c r="E125" s="148">
        <v>56.8</v>
      </c>
      <c r="F125" s="12">
        <v>1200</v>
      </c>
      <c r="G125" s="6">
        <v>537.6</v>
      </c>
      <c r="H125" s="12">
        <v>1600</v>
      </c>
      <c r="I125" s="6">
        <v>133.30000000000001</v>
      </c>
      <c r="J125" s="12">
        <v>1733</v>
      </c>
      <c r="K125" s="6">
        <v>108.3</v>
      </c>
      <c r="L125" s="12">
        <v>1867</v>
      </c>
      <c r="M125" s="6">
        <v>107.7</v>
      </c>
    </row>
    <row r="126" spans="1:13" ht="33" customHeight="1" x14ac:dyDescent="0.25">
      <c r="A126" s="2" t="s">
        <v>201</v>
      </c>
      <c r="B126" s="8" t="s">
        <v>202</v>
      </c>
      <c r="C126" s="148" t="s">
        <v>203</v>
      </c>
      <c r="D126" s="7">
        <v>1.2</v>
      </c>
      <c r="E126" s="7">
        <v>101</v>
      </c>
      <c r="F126" s="5">
        <v>1326</v>
      </c>
      <c r="G126" s="7">
        <v>108.3</v>
      </c>
      <c r="H126" s="5">
        <v>1530</v>
      </c>
      <c r="I126" s="7">
        <v>115.4</v>
      </c>
      <c r="J126" s="5">
        <v>1632</v>
      </c>
      <c r="K126" s="7">
        <v>106.7</v>
      </c>
      <c r="L126" s="7">
        <v>1836</v>
      </c>
      <c r="M126" s="7">
        <v>112.5</v>
      </c>
    </row>
    <row r="127" spans="1:13" ht="24.75" customHeight="1" x14ac:dyDescent="0.25">
      <c r="A127" s="355" t="s">
        <v>204</v>
      </c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</row>
    <row r="128" spans="1:13" ht="66" customHeight="1" x14ac:dyDescent="0.25">
      <c r="A128" s="2" t="s">
        <v>205</v>
      </c>
      <c r="B128" s="3" t="s">
        <v>206</v>
      </c>
      <c r="C128" s="148" t="s">
        <v>207</v>
      </c>
      <c r="D128" s="22">
        <v>41824</v>
      </c>
      <c r="E128" s="6">
        <v>67.2</v>
      </c>
      <c r="F128" s="22">
        <v>69373</v>
      </c>
      <c r="G128" s="6">
        <v>141.5</v>
      </c>
      <c r="H128" s="12">
        <v>71273</v>
      </c>
      <c r="I128" s="6">
        <v>102.7</v>
      </c>
      <c r="J128" s="22">
        <v>72577</v>
      </c>
      <c r="K128" s="6">
        <v>101.8</v>
      </c>
      <c r="L128" s="22">
        <v>73303</v>
      </c>
      <c r="M128" s="6">
        <v>101</v>
      </c>
    </row>
    <row r="129" spans="1:13" ht="36" x14ac:dyDescent="0.25">
      <c r="A129" s="2" t="s">
        <v>208</v>
      </c>
      <c r="B129" s="3" t="s">
        <v>209</v>
      </c>
      <c r="C129" s="148" t="s">
        <v>207</v>
      </c>
      <c r="D129" s="22">
        <v>11620</v>
      </c>
      <c r="E129" s="6">
        <v>108.30459502283531</v>
      </c>
      <c r="F129" s="22">
        <v>11809</v>
      </c>
      <c r="G129" s="6">
        <v>84.4</v>
      </c>
      <c r="H129" s="12">
        <v>12163</v>
      </c>
      <c r="I129" s="6">
        <v>103</v>
      </c>
      <c r="J129" s="22">
        <v>12285</v>
      </c>
      <c r="K129" s="6">
        <v>101</v>
      </c>
      <c r="L129" s="22">
        <v>12408</v>
      </c>
      <c r="M129" s="6">
        <v>101</v>
      </c>
    </row>
    <row r="130" spans="1:13" ht="62.25" customHeight="1" x14ac:dyDescent="0.25">
      <c r="A130" s="2" t="s">
        <v>210</v>
      </c>
      <c r="B130" s="3" t="s">
        <v>211</v>
      </c>
      <c r="C130" s="148" t="s">
        <v>207</v>
      </c>
      <c r="D130" s="22"/>
      <c r="E130" s="6"/>
      <c r="F130" s="22">
        <v>2333</v>
      </c>
      <c r="G130" s="6">
        <v>104.2</v>
      </c>
      <c r="H130" s="12">
        <v>2426</v>
      </c>
      <c r="I130" s="6">
        <v>104</v>
      </c>
      <c r="J130" s="22">
        <v>2451</v>
      </c>
      <c r="K130" s="6">
        <v>101</v>
      </c>
      <c r="L130" s="22">
        <v>2475</v>
      </c>
      <c r="M130" s="6">
        <v>101</v>
      </c>
    </row>
    <row r="131" spans="1:13" ht="54" x14ac:dyDescent="0.25">
      <c r="A131" s="2" t="s">
        <v>212</v>
      </c>
      <c r="B131" s="3" t="s">
        <v>213</v>
      </c>
      <c r="C131" s="148" t="s">
        <v>207</v>
      </c>
      <c r="D131" s="22">
        <v>94</v>
      </c>
      <c r="E131" s="6">
        <v>125.33333333333334</v>
      </c>
      <c r="F131" s="22">
        <v>161</v>
      </c>
      <c r="G131" s="6">
        <v>107.3</v>
      </c>
      <c r="H131" s="12">
        <v>167</v>
      </c>
      <c r="I131" s="6">
        <v>103.7</v>
      </c>
      <c r="J131" s="12">
        <v>169</v>
      </c>
      <c r="K131" s="6">
        <v>101.2</v>
      </c>
      <c r="L131" s="12">
        <v>170</v>
      </c>
      <c r="M131" s="6">
        <v>100.6</v>
      </c>
    </row>
    <row r="132" spans="1:13" ht="54" x14ac:dyDescent="0.25">
      <c r="A132" s="2" t="s">
        <v>214</v>
      </c>
      <c r="B132" s="3" t="s">
        <v>215</v>
      </c>
      <c r="C132" s="148" t="s">
        <v>207</v>
      </c>
      <c r="D132" s="22">
        <v>25180</v>
      </c>
      <c r="E132" s="6">
        <v>64.133258621567919</v>
      </c>
      <c r="F132" s="22">
        <v>45438</v>
      </c>
      <c r="G132" s="6">
        <v>176.8</v>
      </c>
      <c r="H132" s="12">
        <v>47256</v>
      </c>
      <c r="I132" s="6">
        <v>104</v>
      </c>
      <c r="J132" s="22">
        <v>48673</v>
      </c>
      <c r="K132" s="6">
        <v>103</v>
      </c>
      <c r="L132" s="22">
        <v>50133</v>
      </c>
      <c r="M132" s="6">
        <v>103</v>
      </c>
    </row>
    <row r="133" spans="1:13" ht="36" x14ac:dyDescent="0.25">
      <c r="A133" s="2" t="s">
        <v>216</v>
      </c>
      <c r="B133" s="3" t="s">
        <v>217</v>
      </c>
      <c r="C133" s="148" t="s">
        <v>207</v>
      </c>
      <c r="D133" s="22">
        <v>5403</v>
      </c>
      <c r="E133" s="6">
        <v>57.114164904862577</v>
      </c>
      <c r="F133" s="22">
        <v>9800</v>
      </c>
      <c r="G133" s="6">
        <v>162.69999999999999</v>
      </c>
      <c r="H133" s="12">
        <v>10192</v>
      </c>
      <c r="I133" s="6">
        <v>104</v>
      </c>
      <c r="J133" s="22">
        <v>10600</v>
      </c>
      <c r="K133" s="6">
        <v>104</v>
      </c>
      <c r="L133" s="22">
        <v>11024</v>
      </c>
      <c r="M133" s="6">
        <v>104</v>
      </c>
    </row>
    <row r="134" spans="1:13" ht="54" x14ac:dyDescent="0.25">
      <c r="A134" s="2" t="s">
        <v>218</v>
      </c>
      <c r="B134" s="3" t="s">
        <v>219</v>
      </c>
      <c r="C134" s="148" t="s">
        <v>207</v>
      </c>
      <c r="D134" s="12">
        <v>14122</v>
      </c>
      <c r="E134" s="6">
        <v>84.149684185436783</v>
      </c>
      <c r="F134" s="12">
        <v>19493</v>
      </c>
      <c r="G134" s="6">
        <v>146.19999999999999</v>
      </c>
      <c r="H134" s="12">
        <v>20273</v>
      </c>
      <c r="I134" s="6">
        <v>104</v>
      </c>
      <c r="J134" s="12">
        <v>20881</v>
      </c>
      <c r="K134" s="6">
        <v>103</v>
      </c>
      <c r="L134" s="12">
        <v>21507</v>
      </c>
      <c r="M134" s="6">
        <v>103</v>
      </c>
    </row>
    <row r="135" spans="1:13" ht="37.5" customHeight="1" x14ac:dyDescent="0.25">
      <c r="A135" s="2" t="s">
        <v>220</v>
      </c>
      <c r="B135" s="3" t="s">
        <v>217</v>
      </c>
      <c r="C135" s="148" t="s">
        <v>207</v>
      </c>
      <c r="D135" s="22"/>
      <c r="E135" s="6"/>
      <c r="F135" s="22">
        <v>14150</v>
      </c>
      <c r="G135" s="6">
        <v>120.1</v>
      </c>
      <c r="H135" s="12">
        <v>14716</v>
      </c>
      <c r="I135" s="6">
        <v>104</v>
      </c>
      <c r="J135" s="22">
        <v>15157</v>
      </c>
      <c r="K135" s="6">
        <v>103</v>
      </c>
      <c r="L135" s="22">
        <v>15612</v>
      </c>
      <c r="M135" s="6">
        <v>103</v>
      </c>
    </row>
    <row r="136" spans="1:13" ht="54.75" customHeight="1" x14ac:dyDescent="0.25">
      <c r="A136" s="2" t="s">
        <v>221</v>
      </c>
      <c r="B136" s="3" t="s">
        <v>222</v>
      </c>
      <c r="C136" s="148" t="s">
        <v>207</v>
      </c>
      <c r="D136" s="12">
        <v>1973</v>
      </c>
      <c r="E136" s="6">
        <v>27.319302132373302</v>
      </c>
      <c r="F136" s="22">
        <v>7365</v>
      </c>
      <c r="G136" s="6">
        <v>122.8</v>
      </c>
      <c r="H136" s="12">
        <v>7807</v>
      </c>
      <c r="I136" s="6">
        <v>106</v>
      </c>
      <c r="J136" s="22">
        <v>8197</v>
      </c>
      <c r="K136" s="6">
        <v>105</v>
      </c>
      <c r="L136" s="22">
        <v>8607</v>
      </c>
      <c r="M136" s="6">
        <v>105</v>
      </c>
    </row>
    <row r="137" spans="1:13" ht="45.75" customHeight="1" x14ac:dyDescent="0.25">
      <c r="A137" s="2" t="s">
        <v>223</v>
      </c>
      <c r="B137" s="3" t="s">
        <v>217</v>
      </c>
      <c r="C137" s="148" t="s">
        <v>207</v>
      </c>
      <c r="D137" s="12"/>
      <c r="E137" s="148"/>
      <c r="F137" s="22">
        <v>1983</v>
      </c>
      <c r="G137" s="6">
        <v>94.1</v>
      </c>
      <c r="H137" s="12">
        <v>2082</v>
      </c>
      <c r="I137" s="6">
        <v>105</v>
      </c>
      <c r="J137" s="22">
        <v>2186</v>
      </c>
      <c r="K137" s="6">
        <v>105</v>
      </c>
      <c r="L137" s="22">
        <v>2296</v>
      </c>
      <c r="M137" s="6">
        <v>105</v>
      </c>
    </row>
    <row r="138" spans="1:13" ht="72" x14ac:dyDescent="0.25">
      <c r="A138" s="2" t="s">
        <v>224</v>
      </c>
      <c r="B138" s="3" t="s">
        <v>225</v>
      </c>
      <c r="C138" s="148" t="s">
        <v>207</v>
      </c>
      <c r="D138" s="12">
        <v>406</v>
      </c>
      <c r="E138" s="148">
        <v>23.16029663434113</v>
      </c>
      <c r="F138" s="22">
        <v>1876</v>
      </c>
      <c r="G138" s="6">
        <v>103.2</v>
      </c>
      <c r="H138" s="12">
        <v>1932</v>
      </c>
      <c r="I138" s="6">
        <v>103</v>
      </c>
      <c r="J138" s="22">
        <v>2029</v>
      </c>
      <c r="K138" s="6">
        <v>105</v>
      </c>
      <c r="L138" s="22">
        <v>2151</v>
      </c>
      <c r="M138" s="6">
        <v>106</v>
      </c>
    </row>
    <row r="139" spans="1:13" ht="45.75" customHeight="1" x14ac:dyDescent="0.25">
      <c r="A139" s="2" t="s">
        <v>226</v>
      </c>
      <c r="B139" s="3" t="s">
        <v>217</v>
      </c>
      <c r="C139" s="148" t="s">
        <v>207</v>
      </c>
      <c r="D139" s="12"/>
      <c r="E139" s="148"/>
      <c r="F139" s="22">
        <v>986</v>
      </c>
      <c r="G139" s="6">
        <v>93.5</v>
      </c>
      <c r="H139" s="12">
        <v>1035</v>
      </c>
      <c r="I139" s="6">
        <v>105</v>
      </c>
      <c r="J139" s="22">
        <v>1087</v>
      </c>
      <c r="K139" s="6">
        <v>105</v>
      </c>
      <c r="L139" s="22">
        <v>1152</v>
      </c>
      <c r="M139" s="6">
        <v>106</v>
      </c>
    </row>
    <row r="140" spans="1:13" ht="39.75" customHeight="1" x14ac:dyDescent="0.25">
      <c r="A140" s="2" t="s">
        <v>227</v>
      </c>
      <c r="B140" s="3" t="s">
        <v>228</v>
      </c>
      <c r="C140" s="148" t="s">
        <v>229</v>
      </c>
      <c r="D140" s="148"/>
      <c r="E140" s="7"/>
      <c r="F140" s="22">
        <v>5180</v>
      </c>
      <c r="G140" s="6">
        <v>101.1</v>
      </c>
      <c r="H140" s="12">
        <v>5215</v>
      </c>
      <c r="I140" s="6">
        <v>100.7</v>
      </c>
      <c r="J140" s="22">
        <v>5250</v>
      </c>
      <c r="K140" s="6">
        <v>100.7</v>
      </c>
      <c r="L140" s="6">
        <v>5285</v>
      </c>
      <c r="M140" s="6">
        <v>100.7</v>
      </c>
    </row>
    <row r="141" spans="1:13" ht="90" x14ac:dyDescent="0.25">
      <c r="A141" s="2" t="s">
        <v>230</v>
      </c>
      <c r="B141" s="3" t="s">
        <v>231</v>
      </c>
      <c r="C141" s="148" t="s">
        <v>232</v>
      </c>
      <c r="D141" s="148">
        <v>96.6</v>
      </c>
      <c r="E141" s="148">
        <v>85.185185185185176</v>
      </c>
      <c r="F141" s="6">
        <v>8.6999999999999993</v>
      </c>
      <c r="G141" s="6">
        <v>126.2</v>
      </c>
      <c r="H141" s="6">
        <v>9.3000000000000007</v>
      </c>
      <c r="I141" s="6">
        <v>107</v>
      </c>
      <c r="J141" s="6">
        <v>9.8000000000000007</v>
      </c>
      <c r="K141" s="6">
        <v>105</v>
      </c>
      <c r="L141" s="6">
        <v>10.3</v>
      </c>
      <c r="M141" s="6">
        <v>105</v>
      </c>
    </row>
    <row r="142" spans="1:13" ht="24" customHeight="1" x14ac:dyDescent="0.25">
      <c r="A142" s="355" t="s">
        <v>233</v>
      </c>
      <c r="B142" s="355"/>
      <c r="C142" s="355"/>
      <c r="D142" s="355"/>
      <c r="E142" s="355"/>
      <c r="F142" s="355"/>
      <c r="G142" s="355"/>
      <c r="H142" s="355"/>
      <c r="I142" s="355"/>
      <c r="J142" s="355"/>
      <c r="K142" s="355"/>
      <c r="L142" s="355"/>
      <c r="M142" s="355"/>
    </row>
    <row r="143" spans="1:13" ht="36" x14ac:dyDescent="0.25">
      <c r="A143" s="2" t="s">
        <v>234</v>
      </c>
      <c r="B143" s="8" t="s">
        <v>235</v>
      </c>
      <c r="C143" s="148" t="s">
        <v>236</v>
      </c>
      <c r="D143" s="7">
        <v>5805</v>
      </c>
      <c r="E143" s="7">
        <v>101.5</v>
      </c>
      <c r="F143" s="12">
        <v>5910</v>
      </c>
      <c r="G143" s="6">
        <v>101.3</v>
      </c>
      <c r="H143" s="12">
        <v>5993</v>
      </c>
      <c r="I143" s="6">
        <v>101.4</v>
      </c>
      <c r="J143" s="12">
        <v>6083</v>
      </c>
      <c r="K143" s="6">
        <v>101.5</v>
      </c>
      <c r="L143" s="12">
        <v>6168</v>
      </c>
      <c r="M143" s="6">
        <v>101.4</v>
      </c>
    </row>
    <row r="144" spans="1:13" ht="36" x14ac:dyDescent="0.25">
      <c r="A144" s="2" t="s">
        <v>237</v>
      </c>
      <c r="B144" s="8" t="s">
        <v>238</v>
      </c>
      <c r="C144" s="148" t="s">
        <v>236</v>
      </c>
      <c r="D144" s="7">
        <v>2626.7</v>
      </c>
      <c r="E144" s="7">
        <v>102.16647218980941</v>
      </c>
      <c r="F144" s="12">
        <v>2622</v>
      </c>
      <c r="G144" s="6">
        <v>102</v>
      </c>
      <c r="H144" s="12">
        <v>2667</v>
      </c>
      <c r="I144" s="6">
        <v>101.7</v>
      </c>
      <c r="J144" s="12">
        <v>2702</v>
      </c>
      <c r="K144" s="6">
        <v>101.3</v>
      </c>
      <c r="L144" s="12">
        <v>2763</v>
      </c>
      <c r="M144" s="6">
        <v>102.3</v>
      </c>
    </row>
    <row r="145" spans="1:13" ht="36" x14ac:dyDescent="0.25">
      <c r="A145" s="2" t="s">
        <v>239</v>
      </c>
      <c r="B145" s="3" t="s">
        <v>240</v>
      </c>
      <c r="C145" s="148" t="s">
        <v>241</v>
      </c>
      <c r="D145" s="148">
        <v>230.7</v>
      </c>
      <c r="E145" s="148">
        <v>117.70408163265304</v>
      </c>
      <c r="F145" s="12">
        <v>241</v>
      </c>
      <c r="G145" s="6">
        <v>104.5</v>
      </c>
      <c r="H145" s="12">
        <v>251</v>
      </c>
      <c r="I145" s="6">
        <v>104.1</v>
      </c>
      <c r="J145" s="12">
        <v>259</v>
      </c>
      <c r="K145" s="6">
        <v>103.2</v>
      </c>
      <c r="L145" s="12">
        <v>269</v>
      </c>
      <c r="M145" s="6">
        <v>103.9</v>
      </c>
    </row>
    <row r="146" spans="1:13" x14ac:dyDescent="0.25">
      <c r="B146" s="26"/>
    </row>
    <row r="156" spans="1:13" x14ac:dyDescent="0.25">
      <c r="B156" s="28"/>
      <c r="C156" s="29"/>
      <c r="D156" s="29"/>
      <c r="E156" s="29"/>
      <c r="F156" s="29"/>
      <c r="G156" s="29"/>
      <c r="H156" s="29"/>
      <c r="I156" s="29"/>
      <c r="J156" s="29"/>
      <c r="K156" s="29"/>
      <c r="L156" s="29"/>
    </row>
    <row r="157" spans="1:13" x14ac:dyDescent="0.25">
      <c r="B157" s="30"/>
      <c r="C157" s="1"/>
      <c r="D157" s="1"/>
      <c r="E157" s="1"/>
    </row>
  </sheetData>
  <mergeCells count="78">
    <mergeCell ref="A127:M127"/>
    <mergeCell ref="A142:M142"/>
    <mergeCell ref="A83:A84"/>
    <mergeCell ref="B83:B84"/>
    <mergeCell ref="A85:M85"/>
    <mergeCell ref="A89:M89"/>
    <mergeCell ref="A90:M90"/>
    <mergeCell ref="A110:M110"/>
    <mergeCell ref="A77:A78"/>
    <mergeCell ref="B77:B78"/>
    <mergeCell ref="A79:A80"/>
    <mergeCell ref="B79:B80"/>
    <mergeCell ref="A81:A82"/>
    <mergeCell ref="B81:B82"/>
    <mergeCell ref="A71:A72"/>
    <mergeCell ref="B71:B72"/>
    <mergeCell ref="A73:A74"/>
    <mergeCell ref="B73:B74"/>
    <mergeCell ref="A75:A76"/>
    <mergeCell ref="B75:B76"/>
    <mergeCell ref="A65:A66"/>
    <mergeCell ref="B65:B66"/>
    <mergeCell ref="A67:A68"/>
    <mergeCell ref="B67:B68"/>
    <mergeCell ref="A69:A70"/>
    <mergeCell ref="B69:B70"/>
    <mergeCell ref="A59:A60"/>
    <mergeCell ref="B59:B60"/>
    <mergeCell ref="A61:A62"/>
    <mergeCell ref="B61:B62"/>
    <mergeCell ref="A63:A64"/>
    <mergeCell ref="B63:B64"/>
    <mergeCell ref="A57:A58"/>
    <mergeCell ref="B57:B58"/>
    <mergeCell ref="A46:A47"/>
    <mergeCell ref="B46:B47"/>
    <mergeCell ref="A48:A49"/>
    <mergeCell ref="B48:B49"/>
    <mergeCell ref="A50:A51"/>
    <mergeCell ref="B50:B51"/>
    <mergeCell ref="A52:M52"/>
    <mergeCell ref="A53:A54"/>
    <mergeCell ref="B53:B54"/>
    <mergeCell ref="A55:A56"/>
    <mergeCell ref="B55:B56"/>
    <mergeCell ref="A40:A41"/>
    <mergeCell ref="B40:B41"/>
    <mergeCell ref="A42:A43"/>
    <mergeCell ref="B42:B43"/>
    <mergeCell ref="A44:A45"/>
    <mergeCell ref="B44:B45"/>
    <mergeCell ref="A34:A35"/>
    <mergeCell ref="B34:B35"/>
    <mergeCell ref="A36:A37"/>
    <mergeCell ref="B36:B37"/>
    <mergeCell ref="A38:A39"/>
    <mergeCell ref="B38:B39"/>
    <mergeCell ref="A32:A33"/>
    <mergeCell ref="B32:B33"/>
    <mergeCell ref="A4:M4"/>
    <mergeCell ref="A11:M11"/>
    <mergeCell ref="A13:M13"/>
    <mergeCell ref="A15:M15"/>
    <mergeCell ref="A18:M18"/>
    <mergeCell ref="A23:M23"/>
    <mergeCell ref="A27:M27"/>
    <mergeCell ref="A28:A29"/>
    <mergeCell ref="B28:B29"/>
    <mergeCell ref="A30:A31"/>
    <mergeCell ref="B30:B31"/>
    <mergeCell ref="A1:M1"/>
    <mergeCell ref="A2:A3"/>
    <mergeCell ref="B2:B3"/>
    <mergeCell ref="C2:C3"/>
    <mergeCell ref="D2:E2"/>
    <mergeCell ref="F2:G2"/>
    <mergeCell ref="H2:I2"/>
    <mergeCell ref="J2:M2"/>
  </mergeCells>
  <pageMargins left="0.43307086614173229" right="0.19685039370078741" top="0.35433070866141736" bottom="0.35433070866141736" header="0" footer="0"/>
  <pageSetup paperSize="9" scale="80" firstPageNumber="67" orientation="landscape" useFirstPageNumber="1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145"/>
  <sheetViews>
    <sheetView view="pageBreakPreview" zoomScale="40" zoomScaleNormal="100" zoomScaleSheetLayoutView="40" zoomScalePageLayoutView="40" workbookViewId="0">
      <selection activeCell="F6" sqref="F6"/>
    </sheetView>
  </sheetViews>
  <sheetFormatPr defaultRowHeight="15" x14ac:dyDescent="0.25"/>
  <cols>
    <col min="1" max="1" width="34" customWidth="1"/>
    <col min="2" max="2" width="13.42578125" customWidth="1"/>
    <col min="3" max="3" width="10.7109375" customWidth="1"/>
    <col min="4" max="4" width="13.42578125" customWidth="1"/>
    <col min="5" max="5" width="11.5703125" customWidth="1"/>
    <col min="6" max="6" width="11.140625" customWidth="1"/>
    <col min="7" max="7" width="11.85546875" customWidth="1"/>
    <col min="8" max="8" width="13.140625" customWidth="1"/>
    <col min="9" max="9" width="11.140625" customWidth="1"/>
    <col min="10" max="10" width="12.140625" customWidth="1"/>
    <col min="11" max="11" width="11.85546875" customWidth="1"/>
    <col min="12" max="12" width="11" customWidth="1"/>
    <col min="13" max="13" width="13.28515625" customWidth="1"/>
    <col min="14" max="14" width="13.42578125" customWidth="1"/>
    <col min="15" max="15" width="10" bestFit="1" customWidth="1"/>
  </cols>
  <sheetData>
    <row r="1" spans="1:15" ht="44.25" customHeight="1" x14ac:dyDescent="0.25">
      <c r="A1" s="350" t="s">
        <v>892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8"/>
      <c r="O1" s="358"/>
    </row>
    <row r="2" spans="1:15" ht="18.75" thickBot="1" x14ac:dyDescent="0.3">
      <c r="A2" s="359" t="s">
        <v>242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60"/>
      <c r="O2" s="360"/>
    </row>
    <row r="3" spans="1:15" ht="34.5" customHeight="1" x14ac:dyDescent="0.25">
      <c r="A3" s="361" t="s">
        <v>1</v>
      </c>
      <c r="B3" s="361" t="s">
        <v>874</v>
      </c>
      <c r="C3" s="361"/>
      <c r="D3" s="361" t="s">
        <v>875</v>
      </c>
      <c r="E3" s="361"/>
      <c r="F3" s="361"/>
      <c r="G3" s="361" t="s">
        <v>876</v>
      </c>
      <c r="H3" s="361"/>
      <c r="I3" s="361"/>
      <c r="J3" s="361" t="s">
        <v>4</v>
      </c>
      <c r="K3" s="361"/>
      <c r="L3" s="361"/>
      <c r="M3" s="361"/>
      <c r="N3" s="363"/>
      <c r="O3" s="364"/>
    </row>
    <row r="4" spans="1:15" ht="18" x14ac:dyDescent="0.25">
      <c r="A4" s="362"/>
      <c r="B4" s="365" t="s">
        <v>243</v>
      </c>
      <c r="C4" s="365" t="s">
        <v>244</v>
      </c>
      <c r="D4" s="365" t="s">
        <v>243</v>
      </c>
      <c r="E4" s="365" t="s">
        <v>245</v>
      </c>
      <c r="F4" s="365" t="s">
        <v>244</v>
      </c>
      <c r="G4" s="365" t="s">
        <v>243</v>
      </c>
      <c r="H4" s="365" t="s">
        <v>245</v>
      </c>
      <c r="I4" s="365" t="s">
        <v>244</v>
      </c>
      <c r="J4" s="361" t="s">
        <v>247</v>
      </c>
      <c r="K4" s="361"/>
      <c r="L4" s="361"/>
      <c r="M4" s="361" t="s">
        <v>877</v>
      </c>
      <c r="N4" s="366"/>
      <c r="O4" s="367"/>
    </row>
    <row r="5" spans="1:15" ht="123" x14ac:dyDescent="0.25">
      <c r="A5" s="362"/>
      <c r="B5" s="365"/>
      <c r="C5" s="365"/>
      <c r="D5" s="365"/>
      <c r="E5" s="365"/>
      <c r="F5" s="365"/>
      <c r="G5" s="365"/>
      <c r="H5" s="365"/>
      <c r="I5" s="365"/>
      <c r="J5" s="147" t="s">
        <v>243</v>
      </c>
      <c r="K5" s="147" t="s">
        <v>245</v>
      </c>
      <c r="L5" s="147" t="s">
        <v>244</v>
      </c>
      <c r="M5" s="147" t="s">
        <v>243</v>
      </c>
      <c r="N5" s="317" t="s">
        <v>245</v>
      </c>
      <c r="O5" s="141" t="s">
        <v>244</v>
      </c>
    </row>
    <row r="6" spans="1:15" ht="41.25" customHeight="1" x14ac:dyDescent="0.25">
      <c r="A6" s="143" t="s">
        <v>248</v>
      </c>
      <c r="B6" s="137">
        <f>SUM(B8,B18,B47,B48)</f>
        <v>46815.691244000001</v>
      </c>
      <c r="C6" s="7">
        <v>112</v>
      </c>
      <c r="D6" s="137">
        <f t="shared" ref="D6:N6" si="0">SUM(D8,D18,D47,D48)</f>
        <v>57806.854549295771</v>
      </c>
      <c r="E6" s="137">
        <f t="shared" si="0"/>
        <v>55753.825546197666</v>
      </c>
      <c r="F6" s="32">
        <v>119.1</v>
      </c>
      <c r="G6" s="137">
        <f t="shared" si="0"/>
        <v>71495.228552454108</v>
      </c>
      <c r="H6" s="137">
        <f t="shared" si="0"/>
        <v>69653.310730529731</v>
      </c>
      <c r="I6" s="32">
        <v>120.5</v>
      </c>
      <c r="J6" s="137">
        <f t="shared" si="0"/>
        <v>87115.814672523804</v>
      </c>
      <c r="K6" s="137">
        <f t="shared" si="0"/>
        <v>85858.702496776925</v>
      </c>
      <c r="L6" s="32">
        <v>120.1</v>
      </c>
      <c r="M6" s="137">
        <f t="shared" si="0"/>
        <v>106434.15580752521</v>
      </c>
      <c r="N6" s="318">
        <f t="shared" si="0"/>
        <v>104791.55451259036</v>
      </c>
      <c r="O6" s="32">
        <v>120.3</v>
      </c>
    </row>
    <row r="7" spans="1:15" ht="21.75" customHeight="1" x14ac:dyDescent="0.25">
      <c r="A7" s="306" t="s">
        <v>249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19"/>
      <c r="O7" s="32"/>
    </row>
    <row r="8" spans="1:15" s="84" customFormat="1" ht="40.5" customHeight="1" x14ac:dyDescent="0.25">
      <c r="A8" s="143" t="s">
        <v>250</v>
      </c>
      <c r="B8" s="138">
        <v>9345.9683999999997</v>
      </c>
      <c r="C8" s="138">
        <v>111.7</v>
      </c>
      <c r="D8" s="138">
        <v>11455.956274200002</v>
      </c>
      <c r="E8" s="138">
        <v>10868.049015988026</v>
      </c>
      <c r="F8" s="138">
        <v>115.9</v>
      </c>
      <c r="G8" s="138">
        <v>14021.960226237707</v>
      </c>
      <c r="H8" s="138">
        <v>13472.560431461492</v>
      </c>
      <c r="I8" s="138">
        <v>117.3</v>
      </c>
      <c r="J8" s="138">
        <v>16877.033946513096</v>
      </c>
      <c r="K8" s="138">
        <v>16473.040010818349</v>
      </c>
      <c r="L8" s="32">
        <v>116.9</v>
      </c>
      <c r="M8" s="138">
        <v>20501.989417317593</v>
      </c>
      <c r="N8" s="320">
        <v>19762.849693358407</v>
      </c>
      <c r="O8" s="142">
        <v>117.1</v>
      </c>
    </row>
    <row r="9" spans="1:15" ht="18" x14ac:dyDescent="0.25">
      <c r="A9" s="148" t="s">
        <v>251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321"/>
      <c r="O9" s="127"/>
    </row>
    <row r="10" spans="1:15" ht="45" customHeight="1" x14ac:dyDescent="0.25">
      <c r="A10" s="148" t="s">
        <v>252</v>
      </c>
      <c r="B10" s="32">
        <f>(((577*100)/9372)*9346)/100+1</f>
        <v>576.39927443448573</v>
      </c>
      <c r="C10" s="127">
        <v>99.2</v>
      </c>
      <c r="D10" s="32">
        <v>692.18735852342002</v>
      </c>
      <c r="E10" s="32">
        <v>664.30862069557702</v>
      </c>
      <c r="F10" s="32">
        <v>115</v>
      </c>
      <c r="G10" s="32">
        <f>('[1]2'!$G$10*100/'[1]2'!$G$8)*G8/100</f>
        <v>829.44285613747411</v>
      </c>
      <c r="H10" s="32">
        <f>('[1]2'!$G$10*100/'[1]2'!$G$8)*H8/100</f>
        <v>796.94413787069197</v>
      </c>
      <c r="I10" s="32">
        <v>116.3</v>
      </c>
      <c r="J10" s="32">
        <f>('[1]2'!$J$10*100/'[1]2'!$J$8)*J8/100</f>
        <v>978.90954038481334</v>
      </c>
      <c r="K10" s="32">
        <f>('[1]2'!$J$10*100/'[1]2'!$J$8)*K8/100</f>
        <v>955.47689699720536</v>
      </c>
      <c r="L10" s="32">
        <v>116</v>
      </c>
      <c r="M10" s="32">
        <f>('[1]2'!$J$10*100/'[1]2'!$J$8)*M8/100</f>
        <v>1189.1658866768576</v>
      </c>
      <c r="N10" s="319">
        <f>('[1]2'!$J$10*100/'[1]2'!$J$8)*N8/100</f>
        <v>1146.2939620392624</v>
      </c>
      <c r="O10" s="33">
        <v>116.2</v>
      </c>
    </row>
    <row r="11" spans="1:15" ht="21.75" customHeight="1" x14ac:dyDescent="0.25">
      <c r="A11" s="306" t="s">
        <v>253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127"/>
      <c r="M11" s="32"/>
      <c r="N11" s="319"/>
      <c r="O11" s="32"/>
    </row>
    <row r="12" spans="1:15" ht="39.75" customHeight="1" x14ac:dyDescent="0.25">
      <c r="A12" s="148" t="s">
        <v>254</v>
      </c>
      <c r="B12" s="32">
        <f>(((524*100)/577)*$B10)/100</f>
        <v>523.45445373253119</v>
      </c>
      <c r="C12" s="127">
        <v>102.7</v>
      </c>
      <c r="D12" s="32">
        <f>(((629*100)/694)*D$10)/100</f>
        <v>627.35713041964152</v>
      </c>
      <c r="E12" s="32">
        <v>602</v>
      </c>
      <c r="F12" s="32">
        <v>115</v>
      </c>
      <c r="G12" s="32">
        <f>G10-G13</f>
        <v>752.04285613747413</v>
      </c>
      <c r="H12" s="32">
        <f>H10-H13</f>
        <v>722.34413787069195</v>
      </c>
      <c r="I12" s="32">
        <v>116.4</v>
      </c>
      <c r="J12" s="32">
        <f>J10-J13</f>
        <v>887.30954038481332</v>
      </c>
      <c r="K12" s="32">
        <f>K10-K13</f>
        <v>866.1768969972054</v>
      </c>
      <c r="L12" s="32">
        <v>116</v>
      </c>
      <c r="M12" s="32">
        <f t="shared" ref="M12:N12" si="1">M10-M13</f>
        <v>1104.4658866768575</v>
      </c>
      <c r="N12" s="319">
        <f t="shared" si="1"/>
        <v>1063.8939620392623</v>
      </c>
      <c r="O12" s="33">
        <v>116.2</v>
      </c>
    </row>
    <row r="13" spans="1:15" ht="40.5" customHeight="1" x14ac:dyDescent="0.25">
      <c r="A13" s="148" t="s">
        <v>255</v>
      </c>
      <c r="B13" s="32">
        <f>(((53.6*100)/577)*$B10)/100</f>
        <v>53.544196030655868</v>
      </c>
      <c r="C13" s="32">
        <v>76.3</v>
      </c>
      <c r="D13" s="32">
        <f>((64.4*100/694)*D10/100)</f>
        <v>64.231795228974434</v>
      </c>
      <c r="E13" s="32">
        <f>E10-E12</f>
        <v>62.308620695577019</v>
      </c>
      <c r="F13" s="32">
        <v>114.5</v>
      </c>
      <c r="G13" s="32">
        <v>77.400000000000006</v>
      </c>
      <c r="H13" s="32">
        <v>74.599999999999994</v>
      </c>
      <c r="I13" s="32">
        <v>115.8</v>
      </c>
      <c r="J13" s="32">
        <v>91.6</v>
      </c>
      <c r="K13" s="32">
        <v>89.3</v>
      </c>
      <c r="L13" s="32">
        <v>115.4</v>
      </c>
      <c r="M13" s="32">
        <v>84.7</v>
      </c>
      <c r="N13" s="319">
        <v>82.4</v>
      </c>
      <c r="O13" s="33">
        <v>115.6</v>
      </c>
    </row>
    <row r="14" spans="1:15" ht="42" customHeight="1" x14ac:dyDescent="0.25">
      <c r="A14" s="143" t="s">
        <v>256</v>
      </c>
      <c r="B14" s="32">
        <f>((8794*100/9372)*9346/100)</f>
        <v>8769.6034997865991</v>
      </c>
      <c r="C14" s="127">
        <v>113.1</v>
      </c>
      <c r="D14" s="32">
        <f>D8-D10</f>
        <v>10763.768915676581</v>
      </c>
      <c r="E14" s="32">
        <f>E8-E10</f>
        <v>10203.740395292449</v>
      </c>
      <c r="F14" s="32">
        <v>115.9</v>
      </c>
      <c r="G14" s="32">
        <f>G8-G10</f>
        <v>13192.517370100233</v>
      </c>
      <c r="H14" s="32">
        <f>H8-H10</f>
        <v>12675.6162935908</v>
      </c>
      <c r="I14" s="32">
        <v>117.3</v>
      </c>
      <c r="J14" s="32">
        <f>J8-J10</f>
        <v>15898.124406128283</v>
      </c>
      <c r="K14" s="32">
        <f>K8-K10</f>
        <v>15517.563113821145</v>
      </c>
      <c r="L14" s="32">
        <v>116.9</v>
      </c>
      <c r="M14" s="32">
        <f t="shared" ref="M14:N14" si="2">M8-M10</f>
        <v>19312.823530640737</v>
      </c>
      <c r="N14" s="319">
        <f t="shared" si="2"/>
        <v>18616.555731319146</v>
      </c>
      <c r="O14" s="33">
        <v>117.1</v>
      </c>
    </row>
    <row r="15" spans="1:15" ht="24.75" customHeight="1" x14ac:dyDescent="0.25">
      <c r="A15" s="306" t="s">
        <v>249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129"/>
      <c r="M15" s="32"/>
      <c r="N15" s="319"/>
      <c r="O15" s="32"/>
    </row>
    <row r="16" spans="1:15" ht="36" x14ac:dyDescent="0.25">
      <c r="A16" s="148" t="s">
        <v>257</v>
      </c>
      <c r="B16" s="32">
        <f>((8633*100/8794)*8769.6/100)</f>
        <v>8609.046713668411</v>
      </c>
      <c r="C16" s="32">
        <v>113.2</v>
      </c>
      <c r="D16" s="32">
        <f>D14-D17</f>
        <v>10584.768915676581</v>
      </c>
      <c r="E16" s="32">
        <f>E14-E17</f>
        <v>10030.740395292449</v>
      </c>
      <c r="F16" s="32">
        <v>116</v>
      </c>
      <c r="G16" s="32">
        <f>G14-G17</f>
        <v>12993.517370100233</v>
      </c>
      <c r="H16" s="32">
        <f>H14-H17</f>
        <v>12480.6162935908</v>
      </c>
      <c r="I16" s="32">
        <v>117.6</v>
      </c>
      <c r="J16" s="32">
        <f>J14-J17</f>
        <v>15679.124406128283</v>
      </c>
      <c r="K16" s="32">
        <f>K14-K17</f>
        <v>15300.563113821145</v>
      </c>
      <c r="L16" s="32">
        <v>117.2</v>
      </c>
      <c r="M16" s="32">
        <f t="shared" ref="M16:N16" si="3">M14-M17</f>
        <v>19099.823530640737</v>
      </c>
      <c r="N16" s="319">
        <f t="shared" si="3"/>
        <v>18405.555731319146</v>
      </c>
      <c r="O16" s="33">
        <v>117.4</v>
      </c>
    </row>
    <row r="17" spans="1:15" ht="54" x14ac:dyDescent="0.25">
      <c r="A17" s="148" t="s">
        <v>258</v>
      </c>
      <c r="B17" s="32">
        <f>((160*100/8794)*8769.6/100)</f>
        <v>159.55606095064817</v>
      </c>
      <c r="C17" s="32">
        <v>111.7</v>
      </c>
      <c r="D17" s="32">
        <v>179</v>
      </c>
      <c r="E17" s="32">
        <v>173</v>
      </c>
      <c r="F17" s="32">
        <v>107.9</v>
      </c>
      <c r="G17" s="32">
        <v>199</v>
      </c>
      <c r="H17" s="32">
        <v>195</v>
      </c>
      <c r="I17" s="32">
        <v>109.2</v>
      </c>
      <c r="J17" s="32">
        <v>219</v>
      </c>
      <c r="K17" s="32">
        <v>217</v>
      </c>
      <c r="L17" s="32">
        <v>108.8</v>
      </c>
      <c r="M17" s="32">
        <v>213</v>
      </c>
      <c r="N17" s="319">
        <v>211</v>
      </c>
      <c r="O17" s="33">
        <v>109</v>
      </c>
    </row>
    <row r="18" spans="1:15" ht="27.75" customHeight="1" x14ac:dyDescent="0.25">
      <c r="A18" s="143" t="s">
        <v>259</v>
      </c>
      <c r="B18" s="136">
        <v>28509</v>
      </c>
      <c r="C18" s="138">
        <v>112.3</v>
      </c>
      <c r="D18" s="138">
        <v>35388.999576300004</v>
      </c>
      <c r="E18" s="138">
        <v>34057.994933768838</v>
      </c>
      <c r="F18" s="138">
        <v>119.6</v>
      </c>
      <c r="G18" s="138">
        <v>44059.966639043349</v>
      </c>
      <c r="H18" s="138">
        <v>42867.16775530528</v>
      </c>
      <c r="I18" s="138">
        <v>121</v>
      </c>
      <c r="J18" s="138">
        <v>54076.041762553978</v>
      </c>
      <c r="K18" s="138">
        <v>53271.96784250185</v>
      </c>
      <c r="L18" s="138">
        <v>120.6</v>
      </c>
      <c r="M18" s="138">
        <v>66203.073782703214</v>
      </c>
      <c r="N18" s="320">
        <v>65337.886348782558</v>
      </c>
      <c r="O18" s="33">
        <v>120.8</v>
      </c>
    </row>
    <row r="19" spans="1:15" ht="21" customHeight="1" x14ac:dyDescent="0.25">
      <c r="A19" s="148" t="s">
        <v>260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322"/>
      <c r="O19" s="128"/>
    </row>
    <row r="20" spans="1:15" ht="63" customHeight="1" x14ac:dyDescent="0.25">
      <c r="A20" s="148" t="s">
        <v>261</v>
      </c>
      <c r="B20" s="32">
        <f>('[2]2'!B20*100/'[2]2'!$B$18)*$B$18/100+100-9</f>
        <v>11267.689896865171</v>
      </c>
      <c r="C20" s="127">
        <v>127</v>
      </c>
      <c r="D20" s="32">
        <f>('[1]2'!$D$20*100/'[1]2'!$D$18)*D18/100+100</f>
        <v>14043.845161872652</v>
      </c>
      <c r="E20" s="32">
        <f>('[1]2'!$D$20*100/'[1]2'!$D$18)*E18/100+100+100</f>
        <v>13619.407543759891</v>
      </c>
      <c r="F20" s="32">
        <v>115.4</v>
      </c>
      <c r="G20" s="32">
        <f>('[2]2'!J20*100/'[2]2'!$J$18)*G18/100-100-93</f>
        <v>15498.002103314917</v>
      </c>
      <c r="H20" s="32">
        <f>('[2]2'!K20*100/'[2]2'!$J$18)*H18/100+37</f>
        <v>15049.411349506956</v>
      </c>
      <c r="I20" s="32">
        <v>116.7</v>
      </c>
      <c r="J20" s="32">
        <f>('[2]2'!M20*100/'[2]2'!M18)*J18/100-262.9</f>
        <v>18465.285628164846</v>
      </c>
      <c r="K20" s="32">
        <f>('[2]2'!N20*100/'[2]2'!N18)*K18/100+10+30</f>
        <v>18348.790418038599</v>
      </c>
      <c r="L20" s="32">
        <v>116.3</v>
      </c>
      <c r="M20" s="32">
        <f>23737+500</f>
        <v>24237</v>
      </c>
      <c r="N20" s="319">
        <f>23249+500</f>
        <v>23749</v>
      </c>
      <c r="O20" s="33">
        <v>116.5</v>
      </c>
    </row>
    <row r="21" spans="1:15" ht="18" x14ac:dyDescent="0.25">
      <c r="A21" s="306" t="s">
        <v>249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321"/>
      <c r="O21" s="127"/>
    </row>
    <row r="22" spans="1:15" ht="61.5" customHeight="1" x14ac:dyDescent="0.25">
      <c r="A22" s="148" t="s">
        <v>262</v>
      </c>
      <c r="B22" s="32">
        <f>B20-B23</f>
        <v>11249.089896865171</v>
      </c>
      <c r="C22" s="32">
        <v>119.5</v>
      </c>
      <c r="D22" s="32">
        <f>D20-D23</f>
        <v>14023.145161872651</v>
      </c>
      <c r="E22" s="32">
        <f>E20-E23</f>
        <v>13598.707543759891</v>
      </c>
      <c r="F22" s="32">
        <v>114.5</v>
      </c>
      <c r="G22" s="32">
        <f>G20-G23</f>
        <v>15474.902103314917</v>
      </c>
      <c r="H22" s="32">
        <f>H20-H23</f>
        <v>15027.111349506957</v>
      </c>
      <c r="I22" s="32">
        <v>115.9</v>
      </c>
      <c r="J22" s="32">
        <f>J20-J23</f>
        <v>18439.985628164846</v>
      </c>
      <c r="K22" s="32">
        <f>K20-K23</f>
        <v>18324.090418038599</v>
      </c>
      <c r="L22" s="32">
        <v>115.5</v>
      </c>
      <c r="M22" s="32">
        <f>M20-M23</f>
        <v>24209.200000000001</v>
      </c>
      <c r="N22" s="319">
        <f>N20-N23</f>
        <v>23721.8</v>
      </c>
      <c r="O22" s="33">
        <v>115.7</v>
      </c>
    </row>
    <row r="23" spans="1:15" ht="36" x14ac:dyDescent="0.25">
      <c r="A23" s="148" t="s">
        <v>263</v>
      </c>
      <c r="B23" s="32">
        <v>18.600000000000001</v>
      </c>
      <c r="C23" s="32">
        <v>121.9</v>
      </c>
      <c r="D23" s="32">
        <v>20.7</v>
      </c>
      <c r="E23" s="32">
        <v>20.7</v>
      </c>
      <c r="F23" s="32">
        <v>106.3</v>
      </c>
      <c r="G23" s="32">
        <v>23.1</v>
      </c>
      <c r="H23" s="32">
        <v>22.3</v>
      </c>
      <c r="I23" s="32">
        <v>107.5</v>
      </c>
      <c r="J23" s="32">
        <v>25.3</v>
      </c>
      <c r="K23" s="32">
        <v>24.7</v>
      </c>
      <c r="L23" s="32">
        <v>107.2</v>
      </c>
      <c r="M23" s="32">
        <v>27.8</v>
      </c>
      <c r="N23" s="319">
        <v>27.2</v>
      </c>
      <c r="O23" s="33">
        <v>107.4</v>
      </c>
    </row>
    <row r="24" spans="1:15" ht="54" x14ac:dyDescent="0.25">
      <c r="A24" s="148" t="s">
        <v>264</v>
      </c>
      <c r="B24" s="32">
        <f>5228.42823046915+100</f>
        <v>5328.4282304691496</v>
      </c>
      <c r="C24" s="127">
        <v>110.4</v>
      </c>
      <c r="D24" s="32">
        <v>6470</v>
      </c>
      <c r="E24" s="32">
        <v>6230</v>
      </c>
      <c r="F24" s="32">
        <v>127.9</v>
      </c>
      <c r="G24" s="32">
        <f>('[2]2'!J24*100/'[2]2'!$J$18)*G18/100-2000-200</f>
        <v>7862.4374550920838</v>
      </c>
      <c r="H24" s="32">
        <f>('[2]2'!K24*100/'[2]2'!$J$18)*H18/100-2000</f>
        <v>7636.5257288881439</v>
      </c>
      <c r="I24" s="32">
        <v>129.4</v>
      </c>
      <c r="J24" s="32">
        <f>('[2]2'!M24*100/'[2]2'!M$18)*J$18/100-1000</f>
        <v>12304.280808285575</v>
      </c>
      <c r="K24" s="32">
        <f>('[2]2'!N24*100/'[2]2'!N$18)*K$18/100+10-1000+20</f>
        <v>12048.882231392839</v>
      </c>
      <c r="L24" s="32">
        <v>129</v>
      </c>
      <c r="M24" s="32">
        <f>14262+1000</f>
        <v>15262</v>
      </c>
      <c r="N24" s="319">
        <f>13982+1000</f>
        <v>14982</v>
      </c>
      <c r="O24" s="33">
        <v>129.19999999999999</v>
      </c>
    </row>
    <row r="25" spans="1:15" ht="18" x14ac:dyDescent="0.25">
      <c r="A25" s="306" t="s">
        <v>249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19"/>
      <c r="O25" s="32"/>
    </row>
    <row r="26" spans="1:15" ht="22.5" customHeight="1" x14ac:dyDescent="0.25">
      <c r="A26" s="148" t="s">
        <v>265</v>
      </c>
      <c r="B26" s="32">
        <f>B24-B27-B28</f>
        <v>4725.55613046915</v>
      </c>
      <c r="C26" s="127">
        <v>110.8</v>
      </c>
      <c r="D26" s="32">
        <f>D24-D27-D28</f>
        <v>5780</v>
      </c>
      <c r="E26" s="32">
        <f>E24-E27-E28</f>
        <v>5552</v>
      </c>
      <c r="F26" s="32">
        <v>5235</v>
      </c>
      <c r="G26" s="32">
        <f>G24-G27-G28</f>
        <v>7026.4374550920838</v>
      </c>
      <c r="H26" s="32">
        <f>H24-H27-H28</f>
        <v>6819.5257288881439</v>
      </c>
      <c r="I26" s="32">
        <v>131</v>
      </c>
      <c r="J26" s="32">
        <f>J24-J27-J28</f>
        <v>11319.280808285575</v>
      </c>
      <c r="K26" s="32">
        <f>K24-K27-K28</f>
        <v>11074.882231392839</v>
      </c>
      <c r="L26" s="32">
        <v>130.5</v>
      </c>
      <c r="M26" s="32">
        <f>M24-M27-M28</f>
        <v>14097</v>
      </c>
      <c r="N26" s="319">
        <f>N24-N27-N28</f>
        <v>13832</v>
      </c>
      <c r="O26" s="33">
        <v>130.80000000000001</v>
      </c>
    </row>
    <row r="27" spans="1:15" ht="22.5" customHeight="1" x14ac:dyDescent="0.25">
      <c r="A27" s="148" t="s">
        <v>266</v>
      </c>
      <c r="B27" s="32">
        <v>455</v>
      </c>
      <c r="C27" s="127">
        <v>109</v>
      </c>
      <c r="D27" s="32">
        <v>524</v>
      </c>
      <c r="E27" s="32">
        <v>518</v>
      </c>
      <c r="F27" s="32">
        <v>113.8</v>
      </c>
      <c r="G27" s="32">
        <v>627</v>
      </c>
      <c r="H27" s="32">
        <v>614</v>
      </c>
      <c r="I27" s="32">
        <v>115.1</v>
      </c>
      <c r="J27" s="32">
        <v>726</v>
      </c>
      <c r="K27" s="32">
        <v>720</v>
      </c>
      <c r="L27" s="32">
        <v>114.7</v>
      </c>
      <c r="M27" s="32">
        <v>843</v>
      </c>
      <c r="N27" s="319">
        <v>835</v>
      </c>
      <c r="O27" s="33">
        <v>114.9</v>
      </c>
    </row>
    <row r="28" spans="1:15" ht="36" x14ac:dyDescent="0.25">
      <c r="A28" s="148" t="s">
        <v>267</v>
      </c>
      <c r="B28" s="32">
        <f>'[2]2'!$B$28*C28%</f>
        <v>147.87210000000002</v>
      </c>
      <c r="C28" s="32">
        <v>107.7</v>
      </c>
      <c r="D28" s="32">
        <v>166</v>
      </c>
      <c r="E28" s="32">
        <v>160</v>
      </c>
      <c r="F28" s="32">
        <v>120.5</v>
      </c>
      <c r="G28" s="32">
        <v>209</v>
      </c>
      <c r="H28" s="32">
        <v>203</v>
      </c>
      <c r="I28" s="32">
        <v>121.9</v>
      </c>
      <c r="J28" s="32">
        <v>259</v>
      </c>
      <c r="K28" s="32">
        <v>254</v>
      </c>
      <c r="L28" s="32">
        <v>121.5</v>
      </c>
      <c r="M28" s="32">
        <v>322</v>
      </c>
      <c r="N28" s="319">
        <v>315</v>
      </c>
      <c r="O28" s="33">
        <v>121.7</v>
      </c>
    </row>
    <row r="29" spans="1:15" ht="72" x14ac:dyDescent="0.25">
      <c r="A29" s="148" t="s">
        <v>268</v>
      </c>
      <c r="B29" s="32">
        <f>('[2]2'!B29*100/'[2]2'!B18)*B18/100</f>
        <v>449.16917359959814</v>
      </c>
      <c r="C29" s="32">
        <f>('[2]2'!C29*100/'[2]2'!C18)*C18/100</f>
        <v>118.57104810996562</v>
      </c>
      <c r="D29" s="32">
        <f>('[2]2'!D29*100/'[2]2'!$D$18)*$D$18/100+1.7+10</f>
        <v>544.78488745463778</v>
      </c>
      <c r="E29" s="32">
        <f>('[2]2'!E29*100/'[2]2'!$D$18)*D18/100+13.5</f>
        <v>531.94443012551199</v>
      </c>
      <c r="F29" s="32">
        <v>113.9</v>
      </c>
      <c r="G29" s="32">
        <f>('[2]2'!G29*100/'[2]2'!$D$18)*G$18/100-5</f>
        <v>766.32417110085316</v>
      </c>
      <c r="H29" s="32">
        <f>('[2]2'!H29*100/'[2]2'!$D$18)*H$18/100</f>
        <v>745.87880866443447</v>
      </c>
      <c r="I29" s="32">
        <v>115.2</v>
      </c>
      <c r="J29" s="32">
        <f>('[2]2'!M29*100/'[2]2'!M$18)*J$18/100</f>
        <v>705.0476187204149</v>
      </c>
      <c r="K29" s="32">
        <f>('[2]2'!N29*100/'[2]2'!N$18)*K$18/100</f>
        <v>693.26533493666795</v>
      </c>
      <c r="L29" s="32">
        <v>114.8</v>
      </c>
      <c r="M29" s="32">
        <v>1173</v>
      </c>
      <c r="N29" s="319">
        <v>1156</v>
      </c>
      <c r="O29" s="33">
        <v>115</v>
      </c>
    </row>
    <row r="30" spans="1:15" ht="54" x14ac:dyDescent="0.25">
      <c r="A30" s="148" t="s">
        <v>269</v>
      </c>
      <c r="B30" s="32">
        <f>('[2]2'!B30*100/'[2]2'!$B$18)*$B$18/100</f>
        <v>158.1566433407981</v>
      </c>
      <c r="C30" s="127">
        <v>138.19999999999999</v>
      </c>
      <c r="D30" s="32">
        <f>('[2]2'!D30*100/'[2]2'!$D$18)*$D$18/100+10</f>
        <v>190.31445607562972</v>
      </c>
      <c r="E30" s="32">
        <f>('[2]2'!E30*100/'[2]2'!$D$18)*$D$18/100+5</f>
        <v>180.79313837104678</v>
      </c>
      <c r="F30" s="32">
        <v>109.7</v>
      </c>
      <c r="G30" s="32">
        <f>('[2]2'!G30*100/'[2]2'!$D$18)*G$18/100-5</f>
        <v>245.76412235094634</v>
      </c>
      <c r="H30" s="32">
        <f>('[2]2'!H30*100/'[2]2'!$D$18)*H$18/100</f>
        <v>243.06260478155698</v>
      </c>
      <c r="I30" s="32">
        <v>111</v>
      </c>
      <c r="J30" s="32">
        <f>('[2]2'!M30*100/'[2]2'!M$18)*J$18/100</f>
        <v>211.9979310862833</v>
      </c>
      <c r="K30" s="32">
        <f>('[2]2'!N30*100/'[2]2'!N$18)*K$18/100</f>
        <v>208.86954314459044</v>
      </c>
      <c r="L30" s="32">
        <v>110.6</v>
      </c>
      <c r="M30" s="32">
        <v>328</v>
      </c>
      <c r="N30" s="319">
        <v>324</v>
      </c>
      <c r="O30" s="33">
        <v>110.8</v>
      </c>
    </row>
    <row r="31" spans="1:15" ht="36" x14ac:dyDescent="0.25">
      <c r="A31" s="148" t="s">
        <v>270</v>
      </c>
      <c r="B31" s="32">
        <f>('[2]2'!B31*100/'[2]2'!$B$18)*$B$18/100</f>
        <v>55.554001336863045</v>
      </c>
      <c r="C31" s="127">
        <v>196.5</v>
      </c>
      <c r="D31" s="32">
        <f>('[2]2'!D31*100/'[2]2'!$D$18)*$D$18/100+5</f>
        <v>72.712115147206617</v>
      </c>
      <c r="E31" s="32">
        <f>('[2]2'!E31*100/'[2]2'!$D$18)*$D$18/100+5</f>
        <v>70.882057981065884</v>
      </c>
      <c r="F31" s="32">
        <v>117.2</v>
      </c>
      <c r="G31" s="32">
        <f>('[2]2'!G31*100/'[2]2'!$D$18)*G$18/100-5</f>
        <v>95.65411859196189</v>
      </c>
      <c r="H31" s="32">
        <f>('[2]2'!H31*100/'[2]2'!$D$18)*H$18/100</f>
        <v>97.407599662995196</v>
      </c>
      <c r="I31" s="32">
        <v>118.5</v>
      </c>
      <c r="J31" s="32">
        <f>('[2]2'!M31*100/'[2]2'!M$18)*J$18/100</f>
        <v>97.176913911540922</v>
      </c>
      <c r="K31" s="32">
        <f>('[2]2'!N31*100/'[2]2'!N$18)*K$18/100</f>
        <v>95.668836335932994</v>
      </c>
      <c r="L31" s="32">
        <v>118.1</v>
      </c>
      <c r="M31" s="32">
        <v>118</v>
      </c>
      <c r="N31" s="319">
        <v>115</v>
      </c>
      <c r="O31" s="33">
        <v>118.3</v>
      </c>
    </row>
    <row r="32" spans="1:15" ht="54" x14ac:dyDescent="0.25">
      <c r="A32" s="148" t="s">
        <v>271</v>
      </c>
      <c r="B32" s="32">
        <f>('[2]2'!B32*100/'[2]2'!$B$18)*$B$18/100</f>
        <v>235.45852892193699</v>
      </c>
      <c r="C32" s="127">
        <v>142.4</v>
      </c>
      <c r="D32" s="32">
        <f>('[2]2'!D32*100/'[2]2'!$D$18)*$D$18/100+5</f>
        <v>290.16596665333913</v>
      </c>
      <c r="E32" s="32">
        <f>('[2]2'!E32*100/'[2]2'!$D$18)*$D$18/100+5</f>
        <v>281.76923377339943</v>
      </c>
      <c r="F32" s="32">
        <v>116</v>
      </c>
      <c r="G32" s="32">
        <f>('[2]2'!G32*100/'[2]2'!$D$18)*G$18/100-5</f>
        <v>416.64827841586174</v>
      </c>
      <c r="H32" s="32">
        <f>('[2]2'!H32*100/'[2]2'!$D$18)*H$18/100</f>
        <v>406.71258815111383</v>
      </c>
      <c r="I32" s="32">
        <v>117.4</v>
      </c>
      <c r="J32" s="32">
        <f>('[2]2'!M32*100/'[2]2'!M$18)*J$18/100+50</f>
        <v>452.67963589519633</v>
      </c>
      <c r="K32" s="32">
        <f>('[2]2'!N32*100/'[2]2'!N$18)*K$18/100+50</f>
        <v>444.77856556855693</v>
      </c>
      <c r="L32" s="32">
        <v>117</v>
      </c>
      <c r="M32" s="32">
        <v>647</v>
      </c>
      <c r="N32" s="319">
        <v>635</v>
      </c>
      <c r="O32" s="33">
        <v>117.2</v>
      </c>
    </row>
    <row r="33" spans="1:15" ht="36" x14ac:dyDescent="0.25">
      <c r="A33" s="148" t="s">
        <v>272</v>
      </c>
      <c r="B33" s="32">
        <f>('[2]2'!B33*100/'[2]2'!$B$18)*$B$18/100</f>
        <v>83.223339212006081</v>
      </c>
      <c r="C33" s="127">
        <v>115.8</v>
      </c>
      <c r="D33" s="32">
        <f>('[2]2'!D33*100/'[2]2'!$D$18)*$D$18/100+5</f>
        <v>105.86844498081494</v>
      </c>
      <c r="E33" s="32">
        <f>('[2]2'!E33*100/'[2]2'!$D$18)*$D$18/100+3</f>
        <v>99.885379383920423</v>
      </c>
      <c r="F33" s="32">
        <v>114.9</v>
      </c>
      <c r="G33" s="32">
        <f>('[2]2'!G33*100/'[2]2'!$D$18)*G$18/100-2</f>
        <v>147.30584302456134</v>
      </c>
      <c r="H33" s="32">
        <f>('[2]2'!H33*100/'[2]2'!$D$18)*H$18/100</f>
        <v>142.52544368360611</v>
      </c>
      <c r="I33" s="32">
        <v>116.3</v>
      </c>
      <c r="J33" s="32">
        <f>('[2]2'!M33*100/'[2]2'!M$18)*J$18/100+50</f>
        <v>192.85454164876293</v>
      </c>
      <c r="K33" s="32">
        <f>('[2]2'!N33*100/'[2]2'!N$18)*K$18/100+50</f>
        <v>188.6530669873336</v>
      </c>
      <c r="L33" s="32">
        <v>115.9</v>
      </c>
      <c r="M33" s="32">
        <v>236</v>
      </c>
      <c r="N33" s="319">
        <v>232</v>
      </c>
      <c r="O33" s="33">
        <v>116.1</v>
      </c>
    </row>
    <row r="34" spans="1:15" ht="36" x14ac:dyDescent="0.25">
      <c r="A34" s="148" t="s">
        <v>273</v>
      </c>
      <c r="B34" s="32">
        <f>('[2]2'!B34*100/'[2]2'!$B$18)*$B$18/100</f>
        <v>101.84900245091559</v>
      </c>
      <c r="C34" s="32">
        <v>143.6</v>
      </c>
      <c r="D34" s="32">
        <f>('[2]2'!D34*100/'[2]2'!$D$18)*$D$18/100+5</f>
        <v>119.00179640841304</v>
      </c>
      <c r="E34" s="32">
        <f>('[2]2'!E34*100/'[2]2'!$D$18)*$D$18/100</f>
        <v>111.52583671304619</v>
      </c>
      <c r="F34" s="32">
        <v>108.1</v>
      </c>
      <c r="G34" s="32">
        <f>('[2]2'!G34*100/'[2]2'!$D$18)*G$18/100-3</f>
        <v>152.8731556890169</v>
      </c>
      <c r="H34" s="32">
        <f>('[2]2'!H34*100/'[2]2'!$D$18)*H$18/100</f>
        <v>151.52293280910365</v>
      </c>
      <c r="I34" s="32">
        <v>109.4</v>
      </c>
      <c r="J34" s="32">
        <f>('[2]2'!M34*100/'[2]2'!M$18)*J$18/100+100</f>
        <v>227.18084585657891</v>
      </c>
      <c r="K34" s="32">
        <f>('[2]2'!N34*100/'[2]2'!N$18)*K$18/100+100</f>
        <v>225.6599040989185</v>
      </c>
      <c r="L34" s="32">
        <v>109</v>
      </c>
      <c r="M34" s="32">
        <v>295.74</v>
      </c>
      <c r="N34" s="319">
        <v>295.69</v>
      </c>
      <c r="O34" s="33">
        <v>109.2</v>
      </c>
    </row>
    <row r="35" spans="1:15" ht="18" x14ac:dyDescent="0.25">
      <c r="A35" s="148" t="s">
        <v>274</v>
      </c>
      <c r="B35" s="32">
        <f>('[2]2'!B35*100/'[2]2'!$B$18)*$B$18/100</f>
        <v>369.28338097953542</v>
      </c>
      <c r="C35" s="127">
        <v>161.30000000000001</v>
      </c>
      <c r="D35" s="32">
        <f>('[2]2'!D35*100/'[2]2'!$D$18)*$D$18/100+5</f>
        <v>492.22580787958208</v>
      </c>
      <c r="E35" s="32">
        <f>('[2]2'!E35*100/'[2]2'!$D$18)*$D$18/100+10</f>
        <v>488.29082289195389</v>
      </c>
      <c r="F35" s="32">
        <v>127.9</v>
      </c>
      <c r="G35" s="32">
        <f>('[2]2'!G35*100/'[2]2'!$D$18)*G$18/100-5</f>
        <v>779.86087679697584</v>
      </c>
      <c r="H35" s="32">
        <f>('[2]2'!H35*100/'[2]2'!$D$18)*H$18/100</f>
        <v>765.82976281227673</v>
      </c>
      <c r="I35" s="32">
        <v>129.1</v>
      </c>
      <c r="J35" s="32">
        <f>('[2]2'!M35*100/'[2]2'!M$18)*J$18/100+300</f>
        <v>1189.4598452124544</v>
      </c>
      <c r="K35" s="32">
        <f>('[2]2'!N35*100/'[2]2'!N$18)*K$18/100+300</f>
        <v>1182.2891566831997</v>
      </c>
      <c r="L35" s="32">
        <v>129</v>
      </c>
      <c r="M35" s="32">
        <v>1623</v>
      </c>
      <c r="N35" s="319">
        <v>1612</v>
      </c>
      <c r="O35" s="33">
        <v>129.19999999999999</v>
      </c>
    </row>
    <row r="36" spans="1:15" ht="54" x14ac:dyDescent="0.25">
      <c r="A36" s="148" t="s">
        <v>275</v>
      </c>
      <c r="B36" s="32">
        <f>('[2]2'!B36*100/'[2]2'!$B$18)*$B$18/100</f>
        <v>563.72238565855605</v>
      </c>
      <c r="C36" s="127">
        <v>106</v>
      </c>
      <c r="D36" s="32">
        <f>('[2]2'!D36*100/'[2]2'!$D$18)*$D$18/100+5</f>
        <v>746.60375397314215</v>
      </c>
      <c r="E36" s="32">
        <f>('[2]2'!E36*100/'[2]2'!$D$18)*$D$18/100+10</f>
        <v>730.93487303790573</v>
      </c>
      <c r="F36" s="32">
        <v>126.3</v>
      </c>
      <c r="G36" s="32">
        <f>('[2]2'!G36*100/'[2]2'!$D$18)*G$18/100-5-5.5</f>
        <v>1180.462047680657</v>
      </c>
      <c r="H36" s="32">
        <f>('[2]2'!H36*100/'[2]2'!$D$18)*H$18/100</f>
        <v>1150.7658193118243</v>
      </c>
      <c r="I36" s="32">
        <v>127.8</v>
      </c>
      <c r="J36" s="32">
        <f>('[2]2'!M36*100/'[2]2'!M$18)*J$18/100+500</f>
        <v>1841.5787958349968</v>
      </c>
      <c r="K36" s="32">
        <f>('[2]2'!N36*100/'[2]2'!N$18)*K$18/100+500</f>
        <v>1817.9160905105412</v>
      </c>
      <c r="L36" s="32">
        <f>J36/G36*100</f>
        <v>156.00491345344696</v>
      </c>
      <c r="M36" s="32"/>
      <c r="N36" s="319"/>
      <c r="O36" s="33"/>
    </row>
    <row r="37" spans="1:15" ht="54" x14ac:dyDescent="0.25">
      <c r="A37" s="148" t="s">
        <v>276</v>
      </c>
      <c r="B37" s="32">
        <f>('[2]2'!B37*100/'[2]2'!$B$18)*$B$18/100+100</f>
        <v>3239.3393894992046</v>
      </c>
      <c r="C37" s="139">
        <v>106.3</v>
      </c>
      <c r="D37" s="32">
        <f>('[2]2'!D37*100/'[2]2'!$D$18)*$D$18/100+100+100</f>
        <v>3839.876053032353</v>
      </c>
      <c r="E37" s="32">
        <f>('[2]2'!E37*100/'[2]2'!$D$18)*$D$18/100+2</f>
        <v>3624.7596360078605</v>
      </c>
      <c r="F37" s="139">
        <v>113.94406315693104</v>
      </c>
      <c r="G37" s="32">
        <f>('[2]2'!G37*100/'[2]2'!$D$18)*G$18/100</f>
        <v>5152.7939326052829</v>
      </c>
      <c r="H37" s="32">
        <f>('[2]2'!H37*100/'[2]2'!$D$18)*H$18/100</f>
        <v>5096.6211952184303</v>
      </c>
      <c r="I37" s="139">
        <v>115.28261816149174</v>
      </c>
      <c r="J37" s="32">
        <f>('[2]2'!M37*100/'[2]2'!M$18)*J$18/100</f>
        <v>4509.2774974233653</v>
      </c>
      <c r="K37" s="32">
        <f>('[2]2'!N37*100/'[2]2'!N$18)*K$18/100</f>
        <v>4534.7918365895839</v>
      </c>
      <c r="L37" s="139">
        <v>114.89717652970242</v>
      </c>
      <c r="M37" s="140">
        <v>5800.9702307584803</v>
      </c>
      <c r="N37" s="323">
        <v>5441.6280847363423</v>
      </c>
      <c r="O37" s="139">
        <v>115.09001095185019</v>
      </c>
    </row>
    <row r="38" spans="1:15" ht="54" x14ac:dyDescent="0.25">
      <c r="A38" s="148" t="s">
        <v>277</v>
      </c>
      <c r="B38" s="32">
        <f>('[2]2'!B38*100/'[2]2'!$B$18)*$B$18/100+100</f>
        <v>6657.0947624424562</v>
      </c>
      <c r="C38" s="139">
        <v>102.7</v>
      </c>
      <c r="D38" s="32">
        <f>('[2]2'!D38*100/'[2]2'!$D$18)*$D$18/100+100</f>
        <v>8473.5880393091666</v>
      </c>
      <c r="E38" s="32">
        <f>('[2]2'!E38*100/'[2]2'!$D$18)*$D$18/100+100</f>
        <v>8087.7689285180895</v>
      </c>
      <c r="F38" s="139">
        <v>120.31920156810141</v>
      </c>
      <c r="G38" s="32">
        <f>('[2]2'!G38*100/'[2]2'!$D$18)*G$18/100-1000-300</f>
        <v>11761.848782445846</v>
      </c>
      <c r="H38" s="32">
        <f>('[2]2'!H38*100/'[2]2'!$D$18)*H$18/100-1000</f>
        <v>11380.936231863998</v>
      </c>
      <c r="I38" s="139">
        <v>121.732648350159</v>
      </c>
      <c r="J38" s="32">
        <f>('[2]2'!M38*100/'[2]2'!M$18)*J$18/100</f>
        <v>13879.191969942884</v>
      </c>
      <c r="K38" s="32">
        <f>('[2]2'!N38*100/'[2]2'!N$18)*K$18/100+106.9</f>
        <v>13482.382256693381</v>
      </c>
      <c r="L38" s="139">
        <v>121.32564136705606</v>
      </c>
      <c r="M38" s="140">
        <v>16498.632673142187</v>
      </c>
      <c r="N38" s="323">
        <v>15929.557868154103</v>
      </c>
      <c r="O38" s="139">
        <v>121.52926482109866</v>
      </c>
    </row>
    <row r="39" spans="1:15" ht="18" x14ac:dyDescent="0.25">
      <c r="A39" s="148" t="s">
        <v>260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323"/>
      <c r="O39" s="140"/>
    </row>
    <row r="40" spans="1:15" ht="24" customHeight="1" x14ac:dyDescent="0.25">
      <c r="A40" s="148" t="s">
        <v>278</v>
      </c>
      <c r="B40" s="140">
        <f>B38-B41</f>
        <v>5611.6077624424561</v>
      </c>
      <c r="C40" s="139">
        <v>103.1</v>
      </c>
      <c r="D40" s="140">
        <f>D38-D41</f>
        <v>7163.1602942825748</v>
      </c>
      <c r="E40" s="140">
        <f>E38-E41</f>
        <v>6835.3005936633317</v>
      </c>
      <c r="F40" s="139">
        <v>120.37877834130342</v>
      </c>
      <c r="G40" s="140">
        <f>G38-G41</f>
        <v>10116.663385629221</v>
      </c>
      <c r="H40" s="140">
        <f>H38-H41</f>
        <v>9792.6333405829118</v>
      </c>
      <c r="I40" s="139">
        <v>121.79292499999971</v>
      </c>
      <c r="J40" s="140">
        <f>J38-J41</f>
        <v>11844.311932494413</v>
      </c>
      <c r="K40" s="140">
        <f>K38-K41</f>
        <v>11495.003614814397</v>
      </c>
      <c r="L40" s="139">
        <v>121.38571648495167</v>
      </c>
      <c r="M40" s="140">
        <f>M38-M41</f>
        <v>13975.005883495878</v>
      </c>
      <c r="N40" s="323">
        <f>N38-N41</f>
        <v>13467.303829577464</v>
      </c>
      <c r="O40" s="139">
        <v>121.589440764367</v>
      </c>
    </row>
    <row r="41" spans="1:15" ht="54" x14ac:dyDescent="0.25">
      <c r="A41" s="148" t="s">
        <v>279</v>
      </c>
      <c r="B41" s="140">
        <v>1045.4870000000001</v>
      </c>
      <c r="C41" s="139">
        <v>104.1</v>
      </c>
      <c r="D41" s="140">
        <v>1310.4277450265918</v>
      </c>
      <c r="E41" s="140">
        <v>1252.4683348547578</v>
      </c>
      <c r="F41" s="139">
        <v>119.79760005191437</v>
      </c>
      <c r="G41" s="140">
        <v>1645.1853968166249</v>
      </c>
      <c r="H41" s="140">
        <v>1588.3028912810862</v>
      </c>
      <c r="I41" s="139">
        <v>121.2049193333323</v>
      </c>
      <c r="J41" s="140">
        <v>2034.8800374484701</v>
      </c>
      <c r="K41" s="140">
        <v>1987.3786418789848</v>
      </c>
      <c r="L41" s="139">
        <v>120.79967678563715</v>
      </c>
      <c r="M41" s="140">
        <v>2523.6267896463091</v>
      </c>
      <c r="N41" s="323">
        <v>2462.2540385766392</v>
      </c>
      <c r="O41" s="139">
        <v>121.00241750192073</v>
      </c>
    </row>
    <row r="42" spans="1:15" ht="18" x14ac:dyDescent="0.25">
      <c r="A42" s="148" t="s">
        <v>249</v>
      </c>
      <c r="B42" s="291"/>
      <c r="C42" s="127"/>
      <c r="D42" s="140"/>
      <c r="E42" s="140"/>
      <c r="F42" s="127"/>
      <c r="G42" s="140"/>
      <c r="H42" s="140"/>
      <c r="I42" s="127"/>
      <c r="J42" s="140"/>
      <c r="K42" s="140"/>
      <c r="L42" s="127"/>
      <c r="M42" s="140"/>
      <c r="N42" s="323"/>
      <c r="O42" s="127"/>
    </row>
    <row r="43" spans="1:15" ht="36" x14ac:dyDescent="0.25">
      <c r="A43" s="148" t="s">
        <v>280</v>
      </c>
      <c r="B43" s="140">
        <v>195.53179999999998</v>
      </c>
      <c r="C43" s="139">
        <v>117.1</v>
      </c>
      <c r="D43" s="140">
        <v>248.95094140644011</v>
      </c>
      <c r="E43" s="140">
        <v>244.25698597411241</v>
      </c>
      <c r="F43" s="139">
        <v>124.91931541269115</v>
      </c>
      <c r="G43" s="140">
        <v>317.48080382962274</v>
      </c>
      <c r="H43" s="140">
        <v>314.64113318330885</v>
      </c>
      <c r="I43" s="139">
        <v>126.38680191597358</v>
      </c>
      <c r="J43" s="140">
        <v>398.88101715604142</v>
      </c>
      <c r="K43" s="140">
        <v>399.91226265582532</v>
      </c>
      <c r="L43" s="139">
        <v>125.96423400466119</v>
      </c>
      <c r="M43" s="140">
        <v>502.49485379759534</v>
      </c>
      <c r="N43" s="323">
        <v>503.29068624420415</v>
      </c>
      <c r="O43" s="139">
        <v>126.17564250928439</v>
      </c>
    </row>
    <row r="44" spans="1:15" ht="36" x14ac:dyDescent="0.25">
      <c r="A44" s="148" t="s">
        <v>281</v>
      </c>
      <c r="B44" s="140">
        <v>310.8759</v>
      </c>
      <c r="C44" s="139">
        <v>92.1</v>
      </c>
      <c r="D44" s="140">
        <v>407.80111359233109</v>
      </c>
      <c r="E44" s="140">
        <v>391.2634156400897</v>
      </c>
      <c r="F44" s="139">
        <v>125.85839418240195</v>
      </c>
      <c r="G44" s="140">
        <v>535.81773336816423</v>
      </c>
      <c r="H44" s="140">
        <v>519.28134714756743</v>
      </c>
      <c r="I44" s="139">
        <v>127.33691248981742</v>
      </c>
      <c r="J44" s="140">
        <v>693.59820005087113</v>
      </c>
      <c r="K44" s="140">
        <v>680.01254340226717</v>
      </c>
      <c r="L44" s="139">
        <v>126.91116793161929</v>
      </c>
      <c r="M44" s="140">
        <v>900.24596678198191</v>
      </c>
      <c r="N44" s="323">
        <v>881.73092509700473</v>
      </c>
      <c r="O44" s="139">
        <v>127.12416569598007</v>
      </c>
    </row>
    <row r="45" spans="1:15" ht="54" x14ac:dyDescent="0.25">
      <c r="A45" s="148" t="s">
        <v>282</v>
      </c>
      <c r="B45" s="140">
        <v>120.45569999999999</v>
      </c>
      <c r="C45" s="139">
        <v>144.19999999999999</v>
      </c>
      <c r="D45" s="140">
        <v>165.55660913399967</v>
      </c>
      <c r="E45" s="140">
        <v>160.54076267146414</v>
      </c>
      <c r="F45" s="139">
        <v>133.27784627167011</v>
      </c>
      <c r="G45" s="140">
        <v>227.91505493718853</v>
      </c>
      <c r="H45" s="140">
        <v>223.24236664193435</v>
      </c>
      <c r="I45" s="139">
        <v>134.84352440514436</v>
      </c>
      <c r="J45" s="140">
        <v>309.11615536705608</v>
      </c>
      <c r="K45" s="140">
        <v>306.30115471057104</v>
      </c>
      <c r="L45" s="139">
        <v>134.392681867806</v>
      </c>
      <c r="M45" s="140">
        <v>420.37099757467951</v>
      </c>
      <c r="N45" s="323">
        <v>416.12671560547739</v>
      </c>
      <c r="O45" s="139">
        <v>134.61823601919249</v>
      </c>
    </row>
    <row r="46" spans="1:15" ht="36" x14ac:dyDescent="0.25">
      <c r="A46" s="148" t="s">
        <v>283</v>
      </c>
      <c r="B46" s="140"/>
      <c r="C46" s="127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19"/>
      <c r="O46" s="32"/>
    </row>
    <row r="47" spans="1:15" ht="54" x14ac:dyDescent="0.25">
      <c r="A47" s="143" t="s">
        <v>284</v>
      </c>
      <c r="B47" s="140">
        <v>8732.2098999999998</v>
      </c>
      <c r="C47" s="139">
        <v>107</v>
      </c>
      <c r="D47" s="140">
        <v>10682.073875466665</v>
      </c>
      <c r="E47" s="140">
        <v>10554.878900466665</v>
      </c>
      <c r="F47" s="139">
        <v>120.1632575609259</v>
      </c>
      <c r="G47" s="140">
        <v>13071.219467180752</v>
      </c>
      <c r="H47" s="140">
        <v>12977.305003680758</v>
      </c>
      <c r="I47" s="139">
        <v>121.57487239469719</v>
      </c>
      <c r="J47" s="140">
        <v>15799.483467180753</v>
      </c>
      <c r="K47" s="140">
        <v>15756.472425180753</v>
      </c>
      <c r="L47" s="139">
        <v>121.16839292756063</v>
      </c>
      <c r="M47" s="140">
        <v>19293.016176720736</v>
      </c>
      <c r="N47" s="323">
        <v>19262.016176720732</v>
      </c>
      <c r="O47" s="139">
        <v>121.37175246813837</v>
      </c>
    </row>
    <row r="48" spans="1:15" ht="72" x14ac:dyDescent="0.25">
      <c r="A48" s="143" t="s">
        <v>285</v>
      </c>
      <c r="B48" s="144">
        <v>228.512944</v>
      </c>
      <c r="C48" s="139">
        <v>120.9</v>
      </c>
      <c r="D48" s="140">
        <v>279.82482332910183</v>
      </c>
      <c r="E48" s="140">
        <v>272.90269597412998</v>
      </c>
      <c r="F48" s="139">
        <v>119.24818446589818</v>
      </c>
      <c r="G48" s="140">
        <v>342.08221999229255</v>
      </c>
      <c r="H48" s="140">
        <v>336.27754008220353</v>
      </c>
      <c r="I48" s="139">
        <v>120.6490495015935</v>
      </c>
      <c r="J48" s="140">
        <v>363.25549627597968</v>
      </c>
      <c r="K48" s="140">
        <v>357.22221827597861</v>
      </c>
      <c r="L48" s="139">
        <v>120.24566547670452</v>
      </c>
      <c r="M48" s="140">
        <v>436.07643078366215</v>
      </c>
      <c r="N48" s="323">
        <v>428.80229372866478</v>
      </c>
      <c r="O48" s="139">
        <v>120.44747638379833</v>
      </c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7">
    <mergeCell ref="J4:L4"/>
    <mergeCell ref="A1:O1"/>
    <mergeCell ref="A2:O2"/>
    <mergeCell ref="A3:A5"/>
    <mergeCell ref="B3:C3"/>
    <mergeCell ref="D3:F3"/>
    <mergeCell ref="G3:I3"/>
    <mergeCell ref="J3:O3"/>
    <mergeCell ref="B4:B5"/>
    <mergeCell ref="C4:C5"/>
    <mergeCell ref="D4:D5"/>
    <mergeCell ref="M4:O4"/>
    <mergeCell ref="E4:E5"/>
    <mergeCell ref="F4:F5"/>
    <mergeCell ref="G4:G5"/>
    <mergeCell ref="H4:H5"/>
    <mergeCell ref="I4:I5"/>
  </mergeCells>
  <pageMargins left="0.39370078740157483" right="0" top="0.35433070866141736" bottom="0.35433070866141736" header="0" footer="0"/>
  <pageSetup paperSize="9" scale="70" firstPageNumber="76" orientation="landscape" useFirstPageNumber="1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45"/>
  <sheetViews>
    <sheetView view="pageBreakPreview" zoomScale="55" zoomScaleNormal="100" zoomScaleSheetLayoutView="55" zoomScalePageLayoutView="25" workbookViewId="0">
      <selection activeCell="F6" sqref="F6"/>
    </sheetView>
  </sheetViews>
  <sheetFormatPr defaultRowHeight="18.75" x14ac:dyDescent="0.25"/>
  <cols>
    <col min="1" max="1" width="20.7109375" style="36" customWidth="1"/>
    <col min="2" max="2" width="12.7109375" style="123" customWidth="1"/>
    <col min="3" max="3" width="9" style="123" customWidth="1"/>
    <col min="4" max="4" width="11.28515625" style="123" customWidth="1"/>
    <col min="5" max="5" width="10.7109375" style="123" customWidth="1"/>
    <col min="6" max="6" width="8.140625" style="123" customWidth="1"/>
    <col min="7" max="7" width="11.140625" style="123" customWidth="1"/>
    <col min="8" max="8" width="10.42578125" style="123" customWidth="1"/>
    <col min="9" max="9" width="8.28515625" style="123" customWidth="1"/>
    <col min="10" max="10" width="11" style="123" customWidth="1"/>
    <col min="11" max="11" width="10.85546875" style="123" customWidth="1"/>
    <col min="12" max="12" width="10.7109375" style="123" customWidth="1"/>
    <col min="13" max="13" width="11.42578125" style="123" customWidth="1"/>
    <col min="14" max="14" width="10.85546875" style="123" customWidth="1"/>
    <col min="15" max="15" width="8.140625" style="123" customWidth="1"/>
    <col min="16" max="16" width="16.28515625" style="36" customWidth="1"/>
    <col min="17" max="17" width="9.140625" style="36" customWidth="1"/>
    <col min="18" max="16384" width="9.140625" style="36"/>
  </cols>
  <sheetData>
    <row r="1" spans="1:17" ht="46.5" customHeight="1" x14ac:dyDescent="0.25">
      <c r="A1" s="368" t="s">
        <v>893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9"/>
      <c r="O1" s="369"/>
    </row>
    <row r="2" spans="1:17" ht="22.5" customHeight="1" x14ac:dyDescent="0.25">
      <c r="A2" s="370" t="s">
        <v>286</v>
      </c>
      <c r="B2" s="370" t="s">
        <v>878</v>
      </c>
      <c r="C2" s="371"/>
      <c r="D2" s="370" t="s">
        <v>879</v>
      </c>
      <c r="E2" s="371"/>
      <c r="F2" s="371"/>
      <c r="G2" s="370" t="s">
        <v>880</v>
      </c>
      <c r="H2" s="371"/>
      <c r="I2" s="371"/>
      <c r="J2" s="370" t="s">
        <v>4</v>
      </c>
      <c r="K2" s="370"/>
      <c r="L2" s="370"/>
      <c r="M2" s="370"/>
      <c r="N2" s="372"/>
      <c r="O2" s="370"/>
    </row>
    <row r="3" spans="1:17" ht="18" x14ac:dyDescent="0.25">
      <c r="A3" s="370"/>
      <c r="B3" s="371"/>
      <c r="C3" s="371"/>
      <c r="D3" s="371"/>
      <c r="E3" s="371"/>
      <c r="F3" s="371"/>
      <c r="G3" s="371"/>
      <c r="H3" s="371"/>
      <c r="I3" s="371"/>
      <c r="J3" s="370" t="s">
        <v>247</v>
      </c>
      <c r="K3" s="371"/>
      <c r="L3" s="371"/>
      <c r="M3" s="370" t="s">
        <v>877</v>
      </c>
      <c r="N3" s="372"/>
      <c r="O3" s="370"/>
    </row>
    <row r="4" spans="1:17" ht="20.25" customHeight="1" x14ac:dyDescent="0.25">
      <c r="A4" s="370"/>
      <c r="B4" s="373" t="s">
        <v>243</v>
      </c>
      <c r="C4" s="373" t="s">
        <v>244</v>
      </c>
      <c r="D4" s="373" t="s">
        <v>243</v>
      </c>
      <c r="E4" s="373" t="s">
        <v>245</v>
      </c>
      <c r="F4" s="373" t="s">
        <v>244</v>
      </c>
      <c r="G4" s="373" t="s">
        <v>243</v>
      </c>
      <c r="H4" s="373" t="s">
        <v>245</v>
      </c>
      <c r="I4" s="373" t="s">
        <v>244</v>
      </c>
      <c r="J4" s="373" t="s">
        <v>243</v>
      </c>
      <c r="K4" s="373" t="s">
        <v>245</v>
      </c>
      <c r="L4" s="373" t="s">
        <v>244</v>
      </c>
      <c r="M4" s="373" t="s">
        <v>243</v>
      </c>
      <c r="N4" s="377" t="s">
        <v>245</v>
      </c>
      <c r="O4" s="373" t="s">
        <v>244</v>
      </c>
    </row>
    <row r="5" spans="1:17" ht="86.25" customHeight="1" x14ac:dyDescent="0.25">
      <c r="A5" s="370"/>
      <c r="B5" s="374"/>
      <c r="C5" s="371"/>
      <c r="D5" s="371"/>
      <c r="E5" s="371"/>
      <c r="F5" s="371"/>
      <c r="G5" s="373"/>
      <c r="H5" s="373"/>
      <c r="I5" s="373"/>
      <c r="J5" s="371"/>
      <c r="K5" s="371"/>
      <c r="L5" s="371"/>
      <c r="M5" s="371"/>
      <c r="N5" s="378"/>
      <c r="O5" s="371"/>
    </row>
    <row r="6" spans="1:17" ht="24.75" customHeight="1" x14ac:dyDescent="0.25">
      <c r="A6" s="379" t="s">
        <v>287</v>
      </c>
      <c r="B6" s="379"/>
      <c r="C6" s="379"/>
      <c r="D6" s="379"/>
      <c r="E6" s="379"/>
      <c r="F6" s="379"/>
      <c r="G6" s="379"/>
      <c r="H6" s="379"/>
      <c r="I6" s="379"/>
      <c r="J6" s="379"/>
      <c r="K6" s="379"/>
      <c r="L6" s="379"/>
      <c r="M6" s="379"/>
      <c r="N6" s="380"/>
      <c r="O6" s="379"/>
    </row>
    <row r="7" spans="1:17" ht="18" x14ac:dyDescent="0.25">
      <c r="A7" s="124" t="s">
        <v>288</v>
      </c>
      <c r="B7" s="18">
        <f t="shared" ref="B7:B15" si="0">B25+B38+B56+B74</f>
        <v>228.93610000000001</v>
      </c>
      <c r="C7" s="18">
        <v>124.4</v>
      </c>
      <c r="D7" s="18">
        <f t="shared" ref="D7:E15" si="1">D25+D38+D56+D74</f>
        <v>346.61023333333333</v>
      </c>
      <c r="E7" s="18">
        <f t="shared" si="1"/>
        <v>321.25070000000005</v>
      </c>
      <c r="F7" s="18">
        <v>121.4</v>
      </c>
      <c r="G7" s="18">
        <f t="shared" ref="G7:H15" si="2">G25+G38+G56+G74</f>
        <v>522.95619999999997</v>
      </c>
      <c r="H7" s="18">
        <f t="shared" si="2"/>
        <v>508.29486666666662</v>
      </c>
      <c r="I7" s="18">
        <v>116</v>
      </c>
      <c r="J7" s="18">
        <f t="shared" ref="J7:K15" si="3">J25+J38+J56+J74</f>
        <v>699.49180000000001</v>
      </c>
      <c r="K7" s="18">
        <f t="shared" si="3"/>
        <v>685.79179999999985</v>
      </c>
      <c r="L7" s="18">
        <v>111</v>
      </c>
      <c r="M7" s="18">
        <f t="shared" ref="M7:N15" si="4">M25+M38+M56+M74</f>
        <v>842.72569999999996</v>
      </c>
      <c r="N7" s="310">
        <f t="shared" si="4"/>
        <v>830.95089999999993</v>
      </c>
      <c r="O7" s="18">
        <v>104.6</v>
      </c>
      <c r="P7" s="37"/>
      <c r="Q7" s="38"/>
    </row>
    <row r="8" spans="1:17" ht="18" x14ac:dyDescent="0.25">
      <c r="A8" s="124" t="s">
        <v>289</v>
      </c>
      <c r="B8" s="18">
        <f t="shared" si="0"/>
        <v>26534.907900000002</v>
      </c>
      <c r="C8" s="7">
        <v>110.7</v>
      </c>
      <c r="D8" s="18">
        <f t="shared" si="1"/>
        <v>32217.035905041703</v>
      </c>
      <c r="E8" s="18">
        <f t="shared" si="1"/>
        <v>31174.433333333334</v>
      </c>
      <c r="F8" s="7">
        <v>108.43700459467446</v>
      </c>
      <c r="G8" s="18">
        <f t="shared" si="2"/>
        <v>40349.712177177782</v>
      </c>
      <c r="H8" s="18">
        <f t="shared" si="2"/>
        <v>39161.353973666664</v>
      </c>
      <c r="I8" s="7">
        <v>112.26019822926183</v>
      </c>
      <c r="J8" s="18">
        <f t="shared" si="3"/>
        <v>47729.075823744592</v>
      </c>
      <c r="K8" s="18">
        <f t="shared" si="3"/>
        <v>47083.499999999993</v>
      </c>
      <c r="L8" s="7">
        <v>109.61924204479368</v>
      </c>
      <c r="M8" s="18">
        <f t="shared" si="4"/>
        <v>56461.87655471942</v>
      </c>
      <c r="N8" s="310">
        <f t="shared" si="4"/>
        <v>55285.499999999993</v>
      </c>
      <c r="O8" s="7">
        <v>107.91133674763157</v>
      </c>
      <c r="P8" s="37"/>
      <c r="Q8" s="38"/>
    </row>
    <row r="9" spans="1:17" ht="36" x14ac:dyDescent="0.25">
      <c r="A9" s="124" t="s">
        <v>290</v>
      </c>
      <c r="B9" s="18">
        <f t="shared" si="0"/>
        <v>11615</v>
      </c>
      <c r="C9" s="125">
        <v>109.9</v>
      </c>
      <c r="D9" s="18">
        <f t="shared" si="1"/>
        <v>14194.992905041701</v>
      </c>
      <c r="E9" s="18">
        <f t="shared" si="1"/>
        <v>13421.079333333333</v>
      </c>
      <c r="F9" s="125">
        <v>114.00000000000001</v>
      </c>
      <c r="G9" s="18">
        <f t="shared" si="2"/>
        <v>17125.798468305533</v>
      </c>
      <c r="H9" s="18">
        <f t="shared" si="2"/>
        <v>16769.437112666667</v>
      </c>
      <c r="I9" s="125">
        <v>110.86104993102113</v>
      </c>
      <c r="J9" s="18">
        <f t="shared" si="3"/>
        <v>22112.575823744603</v>
      </c>
      <c r="K9" s="18">
        <f t="shared" si="3"/>
        <v>21863.03</v>
      </c>
      <c r="L9" s="125">
        <v>112.51049963256854</v>
      </c>
      <c r="M9" s="18">
        <f t="shared" si="4"/>
        <v>26763.217454719419</v>
      </c>
      <c r="N9" s="310">
        <f t="shared" si="4"/>
        <v>26546.887559999996</v>
      </c>
      <c r="O9" s="125">
        <v>114.14725338322084</v>
      </c>
      <c r="P9" s="37"/>
      <c r="Q9" s="38"/>
    </row>
    <row r="10" spans="1:17" ht="36" x14ac:dyDescent="0.25">
      <c r="A10" s="124" t="s">
        <v>291</v>
      </c>
      <c r="B10" s="18">
        <f t="shared" si="0"/>
        <v>4549.7021999999997</v>
      </c>
      <c r="C10" s="125">
        <v>121.1</v>
      </c>
      <c r="D10" s="18">
        <f t="shared" si="1"/>
        <v>5822.9375645417003</v>
      </c>
      <c r="E10" s="18">
        <f t="shared" si="1"/>
        <v>5793.9695509603271</v>
      </c>
      <c r="F10" s="125">
        <v>120.51380772452092</v>
      </c>
      <c r="G10" s="18">
        <f t="shared" si="2"/>
        <v>7301.3225811400298</v>
      </c>
      <c r="H10" s="18">
        <f t="shared" si="2"/>
        <v>7170.3733940306483</v>
      </c>
      <c r="I10" s="125">
        <v>121.01090617587377</v>
      </c>
      <c r="J10" s="18">
        <f t="shared" si="3"/>
        <v>8995.0438880563379</v>
      </c>
      <c r="K10" s="18">
        <f t="shared" si="3"/>
        <v>8807.8869835743317</v>
      </c>
      <c r="L10" s="125">
        <v>120.53836136190964</v>
      </c>
      <c r="M10" s="18">
        <f t="shared" si="4"/>
        <v>10681.396647737964</v>
      </c>
      <c r="N10" s="310">
        <f t="shared" si="4"/>
        <v>10641.082003735726</v>
      </c>
      <c r="O10" s="125">
        <v>122.13935249194783</v>
      </c>
      <c r="P10" s="37"/>
      <c r="Q10" s="38"/>
    </row>
    <row r="11" spans="1:17" ht="18" x14ac:dyDescent="0.25">
      <c r="A11" s="124" t="s">
        <v>292</v>
      </c>
      <c r="B11" s="18">
        <f t="shared" si="0"/>
        <v>642.90000000000009</v>
      </c>
      <c r="C11" s="125">
        <v>100.1</v>
      </c>
      <c r="D11" s="18">
        <f t="shared" si="1"/>
        <v>962.66654893333327</v>
      </c>
      <c r="E11" s="18">
        <f t="shared" si="1"/>
        <v>931.47333333333324</v>
      </c>
      <c r="F11" s="125">
        <v>115.2</v>
      </c>
      <c r="G11" s="18">
        <f t="shared" si="2"/>
        <v>1182.2318280062666</v>
      </c>
      <c r="H11" s="18">
        <f t="shared" si="2"/>
        <v>1145.0941333333333</v>
      </c>
      <c r="I11" s="125">
        <v>124</v>
      </c>
      <c r="J11" s="18">
        <f t="shared" si="3"/>
        <v>1382.1758237445999</v>
      </c>
      <c r="K11" s="18">
        <f t="shared" si="3"/>
        <v>1344.5</v>
      </c>
      <c r="L11" s="125">
        <v>128.1</v>
      </c>
      <c r="M11" s="18">
        <f t="shared" si="4"/>
        <v>1767.0512099999999</v>
      </c>
      <c r="N11" s="310">
        <f t="shared" si="4"/>
        <v>1723.0635399999999</v>
      </c>
      <c r="O11" s="125">
        <v>131.6</v>
      </c>
      <c r="P11" s="37"/>
      <c r="Q11" s="38"/>
    </row>
    <row r="12" spans="1:17" ht="18" x14ac:dyDescent="0.25">
      <c r="A12" s="124" t="s">
        <v>293</v>
      </c>
      <c r="B12" s="18">
        <f t="shared" si="0"/>
        <v>130.81066666666666</v>
      </c>
      <c r="C12" s="125">
        <v>111.1</v>
      </c>
      <c r="D12" s="18">
        <f t="shared" si="1"/>
        <v>187.69418833333336</v>
      </c>
      <c r="E12" s="18">
        <f t="shared" si="1"/>
        <v>187.16571013333333</v>
      </c>
      <c r="F12" s="125">
        <v>115</v>
      </c>
      <c r="G12" s="18">
        <f t="shared" si="2"/>
        <v>280.14298928901388</v>
      </c>
      <c r="H12" s="18">
        <f t="shared" si="2"/>
        <v>268.56916749968053</v>
      </c>
      <c r="I12" s="125">
        <v>116</v>
      </c>
      <c r="J12" s="18">
        <f t="shared" si="3"/>
        <v>324.31838374794722</v>
      </c>
      <c r="K12" s="18">
        <f t="shared" si="3"/>
        <v>312.48017644634717</v>
      </c>
      <c r="L12" s="125">
        <v>117</v>
      </c>
      <c r="M12" s="18">
        <f t="shared" si="4"/>
        <v>363.5637542393045</v>
      </c>
      <c r="N12" s="310">
        <f t="shared" si="4"/>
        <v>352.13893231040146</v>
      </c>
      <c r="O12" s="125">
        <v>118</v>
      </c>
      <c r="P12" s="37"/>
      <c r="Q12" s="38"/>
    </row>
    <row r="13" spans="1:17" ht="18" x14ac:dyDescent="0.25">
      <c r="A13" s="124" t="s">
        <v>294</v>
      </c>
      <c r="B13" s="18">
        <f t="shared" si="0"/>
        <v>356.4315666666667</v>
      </c>
      <c r="C13" s="125">
        <v>121.9</v>
      </c>
      <c r="D13" s="18">
        <f t="shared" si="1"/>
        <v>551.28746213333341</v>
      </c>
      <c r="E13" s="18">
        <f t="shared" si="1"/>
        <v>494.46784333333335</v>
      </c>
      <c r="F13" s="125">
        <v>120</v>
      </c>
      <c r="G13" s="18">
        <f t="shared" si="2"/>
        <v>628.79704648802658</v>
      </c>
      <c r="H13" s="18">
        <f t="shared" si="2"/>
        <v>620.16269086933335</v>
      </c>
      <c r="I13" s="125">
        <v>122</v>
      </c>
      <c r="J13" s="18">
        <f t="shared" si="3"/>
        <v>781.16090326467133</v>
      </c>
      <c r="K13" s="18">
        <f t="shared" si="3"/>
        <v>770.634395618486</v>
      </c>
      <c r="L13" s="125">
        <v>124.00000000000003</v>
      </c>
      <c r="M13" s="18">
        <f t="shared" si="4"/>
        <v>900.90668689707411</v>
      </c>
      <c r="N13" s="310">
        <f t="shared" si="4"/>
        <v>888.37208088819216</v>
      </c>
      <c r="O13" s="125">
        <v>126</v>
      </c>
      <c r="P13" s="37"/>
      <c r="Q13" s="38"/>
    </row>
    <row r="14" spans="1:17" ht="36" x14ac:dyDescent="0.25">
      <c r="A14" s="124" t="s">
        <v>295</v>
      </c>
      <c r="B14" s="18">
        <f t="shared" si="0"/>
        <v>1134.1666666666667</v>
      </c>
      <c r="C14" s="125">
        <v>110.1</v>
      </c>
      <c r="D14" s="18">
        <f t="shared" si="1"/>
        <v>1469.1024858333333</v>
      </c>
      <c r="E14" s="18">
        <f t="shared" si="1"/>
        <v>1442.9796573333335</v>
      </c>
      <c r="F14" s="125">
        <v>117.12265158935091</v>
      </c>
      <c r="G14" s="18">
        <f t="shared" si="2"/>
        <v>1711.3147024637299</v>
      </c>
      <c r="H14" s="18">
        <f t="shared" si="2"/>
        <v>1674.0744139713918</v>
      </c>
      <c r="I14" s="125">
        <v>117.90979934309182</v>
      </c>
      <c r="J14" s="18">
        <f t="shared" si="3"/>
        <v>2104.1504178830487</v>
      </c>
      <c r="K14" s="18">
        <f t="shared" si="3"/>
        <v>2062.5698177470026</v>
      </c>
      <c r="L14" s="125">
        <v>119.42275694233781</v>
      </c>
      <c r="M14" s="18">
        <f t="shared" si="4"/>
        <v>2560.1662706647476</v>
      </c>
      <c r="N14" s="310">
        <f t="shared" si="4"/>
        <v>2510.4835469221935</v>
      </c>
      <c r="O14" s="125">
        <v>120.3806113798376</v>
      </c>
      <c r="P14" s="37"/>
      <c r="Q14" s="38"/>
    </row>
    <row r="15" spans="1:17" ht="18" x14ac:dyDescent="0.25">
      <c r="A15" s="124" t="s">
        <v>296</v>
      </c>
      <c r="B15" s="18">
        <f t="shared" si="0"/>
        <v>584.37666666666667</v>
      </c>
      <c r="C15" s="125">
        <v>106.3</v>
      </c>
      <c r="D15" s="18">
        <f t="shared" si="1"/>
        <v>820.76515333333327</v>
      </c>
      <c r="E15" s="18">
        <f t="shared" si="1"/>
        <v>802.77215333333334</v>
      </c>
      <c r="F15" s="125">
        <v>106.5</v>
      </c>
      <c r="G15" s="18">
        <f t="shared" si="2"/>
        <v>921.83746874666667</v>
      </c>
      <c r="H15" s="18">
        <f t="shared" si="2"/>
        <v>913.12809001333335</v>
      </c>
      <c r="I15" s="125">
        <v>109.9</v>
      </c>
      <c r="J15" s="18">
        <f t="shared" si="3"/>
        <v>1021.2171225420532</v>
      </c>
      <c r="K15" s="18">
        <f t="shared" si="3"/>
        <v>1007.9171225420532</v>
      </c>
      <c r="L15" s="125">
        <v>111.7</v>
      </c>
      <c r="M15" s="18">
        <f t="shared" si="4"/>
        <v>2446.49265156</v>
      </c>
      <c r="N15" s="310">
        <f t="shared" si="4"/>
        <v>2415.3835156000005</v>
      </c>
      <c r="O15" s="125">
        <v>114</v>
      </c>
      <c r="P15" s="37"/>
      <c r="Q15" s="38"/>
    </row>
    <row r="16" spans="1:17" ht="18" x14ac:dyDescent="0.25">
      <c r="A16" s="124" t="s">
        <v>297</v>
      </c>
      <c r="B16" s="18">
        <f>+B47+B65+B83</f>
        <v>13.265366666666665</v>
      </c>
      <c r="C16" s="125">
        <v>111.4</v>
      </c>
      <c r="D16" s="18">
        <f>+D47+D65+D83</f>
        <v>15.108833333333335</v>
      </c>
      <c r="E16" s="18">
        <f>+E47+E65+E83</f>
        <v>13.6866</v>
      </c>
      <c r="F16" s="125">
        <v>113.6</v>
      </c>
      <c r="G16" s="18">
        <f>+G47+G65+G83</f>
        <v>17.247840999999998</v>
      </c>
      <c r="H16" s="18">
        <f>+H47+H65+H83</f>
        <v>15.698216629999999</v>
      </c>
      <c r="I16" s="125">
        <v>115.4</v>
      </c>
      <c r="J16" s="18">
        <f>+J47+J65+J83</f>
        <v>18.649866666666664</v>
      </c>
      <c r="K16" s="18">
        <f>+K47+K65+K83</f>
        <v>17.139366666666664</v>
      </c>
      <c r="L16" s="125">
        <v>117.5</v>
      </c>
      <c r="M16" s="18">
        <f>+M47+M65+M83</f>
        <v>19.330956</v>
      </c>
      <c r="N16" s="310">
        <f>+N47+N65+N83</f>
        <v>18.937149999999999</v>
      </c>
      <c r="O16" s="125">
        <v>119.2</v>
      </c>
      <c r="P16" s="37"/>
      <c r="Q16" s="38"/>
    </row>
    <row r="17" spans="1:17" ht="36" x14ac:dyDescent="0.25">
      <c r="A17" s="124" t="s">
        <v>298</v>
      </c>
      <c r="B17" s="18">
        <f>+B48+B66+B84</f>
        <v>8.6487666666666669</v>
      </c>
      <c r="C17" s="125">
        <v>130.19999999999999</v>
      </c>
      <c r="D17" s="18">
        <f>+D48+D66+D84</f>
        <v>9.6133333333333333</v>
      </c>
      <c r="E17" s="18">
        <f>+E48+E66+E84</f>
        <v>9.4912050000000008</v>
      </c>
      <c r="F17" s="125">
        <v>112</v>
      </c>
      <c r="G17" s="18">
        <f>+G48+G66+G84</f>
        <v>13.2</v>
      </c>
      <c r="H17" s="18">
        <f>+H48+H66+H84</f>
        <v>11.883844</v>
      </c>
      <c r="I17" s="125">
        <v>116</v>
      </c>
      <c r="J17" s="18">
        <f>+J48+J66+J84</f>
        <v>14.566666666666666</v>
      </c>
      <c r="K17" s="18">
        <f>+K48+K66+K84</f>
        <v>13.902105666666667</v>
      </c>
      <c r="L17" s="125">
        <v>121</v>
      </c>
      <c r="M17" s="18">
        <f>+M48+M66+M84</f>
        <v>18.2</v>
      </c>
      <c r="N17" s="310">
        <f>+N48+N66+N84</f>
        <v>17.3</v>
      </c>
      <c r="O17" s="125">
        <v>129</v>
      </c>
      <c r="P17" s="37"/>
      <c r="Q17" s="38"/>
    </row>
    <row r="18" spans="1:17" ht="36" x14ac:dyDescent="0.25">
      <c r="A18" s="124" t="s">
        <v>299</v>
      </c>
      <c r="B18" s="18">
        <f>B34+B49+B67+B85</f>
        <v>6.5881666666666661</v>
      </c>
      <c r="C18" s="125">
        <v>108.6</v>
      </c>
      <c r="D18" s="18">
        <f>D34+D49+D67+D85</f>
        <v>15.381896333333335</v>
      </c>
      <c r="E18" s="18">
        <f>E34+E49+E67+E85</f>
        <v>13.039699999999998</v>
      </c>
      <c r="F18" s="125">
        <v>108.5</v>
      </c>
      <c r="G18" s="18">
        <f>G34+G49+G67+G85</f>
        <v>16.450952464</v>
      </c>
      <c r="H18" s="18">
        <f>H34+H49+H67+H85</f>
        <v>16.125275666666667</v>
      </c>
      <c r="I18" s="125">
        <v>109.1</v>
      </c>
      <c r="J18" s="18">
        <f>J34+J49+J67+J85</f>
        <v>18.969445337500002</v>
      </c>
      <c r="K18" s="18">
        <f>K34+K49+K67+K85</f>
        <v>17.599354277500002</v>
      </c>
      <c r="L18" s="125">
        <v>109.5</v>
      </c>
      <c r="M18" s="18">
        <f>M34+M49+M67+M85</f>
        <v>21.486897602375002</v>
      </c>
      <c r="N18" s="310">
        <f>N34+N49+N67+N85</f>
        <v>20.603113262375</v>
      </c>
      <c r="O18" s="125">
        <v>109.6</v>
      </c>
      <c r="P18" s="37"/>
      <c r="Q18" s="38"/>
    </row>
    <row r="19" spans="1:17" ht="36" x14ac:dyDescent="0.25">
      <c r="A19" s="124" t="s">
        <v>300</v>
      </c>
      <c r="B19" s="18">
        <f>+B50+B68+B86</f>
        <v>53.644666666666659</v>
      </c>
      <c r="C19" s="125">
        <v>102.7</v>
      </c>
      <c r="D19" s="18">
        <f>+D50+D68+D86</f>
        <v>67.681965333333338</v>
      </c>
      <c r="E19" s="18">
        <f>+E50+E68+E86</f>
        <v>56.619960000000006</v>
      </c>
      <c r="F19" s="125">
        <v>102</v>
      </c>
      <c r="G19" s="18">
        <f>+G50+G68+G86</f>
        <v>87.257436428800006</v>
      </c>
      <c r="H19" s="18">
        <f>+H50+H68+H86</f>
        <v>85.409581106666664</v>
      </c>
      <c r="I19" s="125">
        <v>102</v>
      </c>
      <c r="J19" s="18">
        <f>+J50+J68+J86</f>
        <v>91.527865000000006</v>
      </c>
      <c r="K19" s="18">
        <f>+K50+K68+K86</f>
        <v>85.193796857376</v>
      </c>
      <c r="L19" s="125">
        <v>102</v>
      </c>
      <c r="M19" s="18">
        <f>+M50+M68+M86</f>
        <v>105.38514186891</v>
      </c>
      <c r="N19" s="310">
        <f>+N50+N68+N86</f>
        <v>103.86378320481401</v>
      </c>
      <c r="O19" s="125">
        <v>102</v>
      </c>
      <c r="P19" s="37"/>
      <c r="Q19" s="38"/>
    </row>
    <row r="20" spans="1:17" ht="36" x14ac:dyDescent="0.25">
      <c r="A20" s="124" t="s">
        <v>301</v>
      </c>
      <c r="B20" s="18">
        <f>+B51+B69+B87</f>
        <v>52.596266666666672</v>
      </c>
      <c r="C20" s="125">
        <v>112.6</v>
      </c>
      <c r="D20" s="18">
        <f>+D51+D69+D87</f>
        <v>60.91963333333333</v>
      </c>
      <c r="E20" s="18">
        <f>+E51+E69+E87</f>
        <v>60.095625000000005</v>
      </c>
      <c r="F20" s="125">
        <v>113.9</v>
      </c>
      <c r="G20" s="18">
        <f>+G51+G69+G87</f>
        <v>81.978161499999999</v>
      </c>
      <c r="H20" s="18">
        <f>+H51+H69+H87</f>
        <v>81.769547666666668</v>
      </c>
      <c r="I20" s="125">
        <v>114.8</v>
      </c>
      <c r="J20" s="18">
        <f>+J51+J69+J87</f>
        <v>88.252661500000002</v>
      </c>
      <c r="K20" s="18">
        <f>+K51+K69+K87</f>
        <v>86.3754615</v>
      </c>
      <c r="L20" s="125">
        <v>113.2</v>
      </c>
      <c r="M20" s="18">
        <f>+M51+M69+M87</f>
        <v>93.735609999999994</v>
      </c>
      <c r="N20" s="310">
        <f>+N51+N69+N87</f>
        <v>93.344909999999985</v>
      </c>
      <c r="O20" s="125">
        <v>115.2</v>
      </c>
      <c r="P20" s="37"/>
      <c r="Q20" s="38"/>
    </row>
    <row r="21" spans="1:17" ht="18" x14ac:dyDescent="0.25">
      <c r="A21" s="124" t="s">
        <v>302</v>
      </c>
      <c r="B21" s="18">
        <f>B35+B52+B70+B88</f>
        <v>464.72366666666665</v>
      </c>
      <c r="C21" s="125">
        <v>95.4</v>
      </c>
      <c r="D21" s="18">
        <f>D35+D52+D70+D88</f>
        <v>525.21333333333337</v>
      </c>
      <c r="E21" s="18">
        <f>E35+E52+E70+E88</f>
        <v>513.30223333333333</v>
      </c>
      <c r="F21" s="125">
        <v>105</v>
      </c>
      <c r="G21" s="18">
        <f>G35+G52+G70+G88</f>
        <v>637.49366666666663</v>
      </c>
      <c r="H21" s="18">
        <f>H35+H52+H70+H88</f>
        <v>627.54282333333333</v>
      </c>
      <c r="I21" s="125">
        <v>110</v>
      </c>
      <c r="J21" s="18">
        <f>J35+J52+J70+J88</f>
        <v>980.65156100000002</v>
      </c>
      <c r="K21" s="18">
        <f>K35+K52+K70+K88</f>
        <v>972.57488999999998</v>
      </c>
      <c r="L21" s="125">
        <v>115</v>
      </c>
      <c r="M21" s="18">
        <f>M35+M52+M70+M88</f>
        <v>2537.7630715159999</v>
      </c>
      <c r="N21" s="310">
        <f>N35+N52+N70+N88</f>
        <v>2500.9181766666666</v>
      </c>
      <c r="O21" s="125">
        <v>120</v>
      </c>
      <c r="P21" s="37"/>
      <c r="Q21" s="38"/>
    </row>
    <row r="22" spans="1:17" ht="18" x14ac:dyDescent="0.25">
      <c r="A22" s="124" t="s">
        <v>303</v>
      </c>
      <c r="B22" s="18">
        <f>B36+B53+B71+B89</f>
        <v>84.790810666666658</v>
      </c>
      <c r="C22" s="125">
        <v>121.7</v>
      </c>
      <c r="D22" s="18">
        <f>D36+D53+D71+D89</f>
        <v>122.18907443733333</v>
      </c>
      <c r="E22" s="18">
        <f>E36+E53+E71+E89</f>
        <v>108.19607443733334</v>
      </c>
      <c r="F22" s="125">
        <v>121</v>
      </c>
      <c r="G22" s="18">
        <f>G36+G53+G71+G89</f>
        <v>149.41873277758401</v>
      </c>
      <c r="H22" s="18">
        <f>H36+H53+H71+H89</f>
        <v>144.72209940866665</v>
      </c>
      <c r="I22" s="125">
        <v>124</v>
      </c>
      <c r="J22" s="18">
        <f>J36+J53+J71+J89</f>
        <v>186.82052921383666</v>
      </c>
      <c r="K22" s="18">
        <f>K36+K53+K71+K89</f>
        <v>181.70401921383666</v>
      </c>
      <c r="L22" s="125">
        <v>126</v>
      </c>
      <c r="M22" s="18">
        <f>M36+M53+M71+M89</f>
        <v>249.7</v>
      </c>
      <c r="N22" s="310">
        <f>N36+N53+N71+N89</f>
        <v>245.00000000000003</v>
      </c>
      <c r="O22" s="125">
        <v>134</v>
      </c>
      <c r="P22" s="37"/>
      <c r="Q22" s="38"/>
    </row>
    <row r="23" spans="1:17" ht="36" x14ac:dyDescent="0.25">
      <c r="A23" s="124" t="s">
        <v>304</v>
      </c>
      <c r="B23" s="18">
        <f>+B54+B72</f>
        <v>354.20176666666669</v>
      </c>
      <c r="C23" s="125">
        <v>101.5</v>
      </c>
      <c r="D23" s="18">
        <f>0+D54+D72</f>
        <v>417.65403333333336</v>
      </c>
      <c r="E23" s="18">
        <f>0+E54+E72</f>
        <v>409.80253333333337</v>
      </c>
      <c r="F23" s="125">
        <v>106.3</v>
      </c>
      <c r="G23" s="18">
        <f>0+G54+G72</f>
        <v>468.06829999999997</v>
      </c>
      <c r="H23" s="18">
        <f>0+H54+H72</f>
        <v>439.67150000000004</v>
      </c>
      <c r="I23" s="125">
        <v>112.3</v>
      </c>
      <c r="J23" s="18">
        <f>0+J54+J72</f>
        <v>567.16609041126844</v>
      </c>
      <c r="K23" s="18">
        <f>0+K54+K72</f>
        <v>545.90320666666662</v>
      </c>
      <c r="L23" s="125">
        <v>120.5</v>
      </c>
      <c r="M23" s="18">
        <f>0+M54+M72</f>
        <v>601.15719999999999</v>
      </c>
      <c r="N23" s="310">
        <f>0+N54+N72</f>
        <v>597.72530000000006</v>
      </c>
      <c r="O23" s="125">
        <v>123.2</v>
      </c>
      <c r="P23" s="37"/>
      <c r="Q23" s="38"/>
    </row>
    <row r="24" spans="1:17" ht="23.25" customHeight="1" x14ac:dyDescent="0.25">
      <c r="A24" s="381" t="s">
        <v>305</v>
      </c>
      <c r="B24" s="381"/>
      <c r="C24" s="381"/>
      <c r="D24" s="381"/>
      <c r="E24" s="381"/>
      <c r="F24" s="381"/>
      <c r="G24" s="381"/>
      <c r="H24" s="381"/>
      <c r="I24" s="381"/>
      <c r="J24" s="381"/>
      <c r="K24" s="381"/>
      <c r="L24" s="381"/>
      <c r="M24" s="381"/>
      <c r="N24" s="382"/>
      <c r="O24" s="125"/>
    </row>
    <row r="25" spans="1:17" ht="16.5" customHeight="1" x14ac:dyDescent="0.25">
      <c r="A25" s="124" t="s">
        <v>288</v>
      </c>
      <c r="B25" s="6">
        <v>102.5487</v>
      </c>
      <c r="C25" s="6">
        <v>171</v>
      </c>
      <c r="D25" s="6">
        <v>188.51179999999999</v>
      </c>
      <c r="E25" s="6">
        <v>166.9</v>
      </c>
      <c r="F25" s="6">
        <v>108.8</v>
      </c>
      <c r="G25" s="6">
        <v>251.99619999999999</v>
      </c>
      <c r="H25" s="6">
        <v>240.86089999999999</v>
      </c>
      <c r="I25" s="6">
        <v>114</v>
      </c>
      <c r="J25" s="6">
        <v>309.80220000000003</v>
      </c>
      <c r="K25" s="6">
        <v>301.80799999999999</v>
      </c>
      <c r="L25" s="6">
        <v>116</v>
      </c>
      <c r="M25" s="6">
        <v>365.87369999999999</v>
      </c>
      <c r="N25" s="311">
        <v>354.79689999999999</v>
      </c>
      <c r="O25" s="6">
        <v>116.6</v>
      </c>
      <c r="P25" s="38"/>
      <c r="Q25" s="38"/>
    </row>
    <row r="26" spans="1:17" ht="18" customHeight="1" x14ac:dyDescent="0.25">
      <c r="A26" s="124" t="s">
        <v>289</v>
      </c>
      <c r="B26" s="7">
        <v>8494.2000000000007</v>
      </c>
      <c r="C26" s="6">
        <v>110.7</v>
      </c>
      <c r="D26" s="6">
        <v>10250.120000000001</v>
      </c>
      <c r="E26" s="6">
        <v>9701.7000000000007</v>
      </c>
      <c r="F26" s="6">
        <v>109.1</v>
      </c>
      <c r="G26" s="6">
        <v>12418.760999999999</v>
      </c>
      <c r="H26" s="6">
        <v>11921.651156</v>
      </c>
      <c r="I26" s="6">
        <v>112.5</v>
      </c>
      <c r="J26" s="6">
        <v>15005.4</v>
      </c>
      <c r="K26" s="6">
        <v>14691.800000000001</v>
      </c>
      <c r="L26" s="6">
        <v>108.9</v>
      </c>
      <c r="M26" s="6">
        <v>17123.900000000001</v>
      </c>
      <c r="N26" s="311">
        <v>16557.3</v>
      </c>
      <c r="O26" s="6">
        <v>107.1</v>
      </c>
      <c r="P26" s="38"/>
      <c r="Q26" s="38"/>
    </row>
    <row r="27" spans="1:17" ht="18" customHeight="1" x14ac:dyDescent="0.25">
      <c r="A27" s="124" t="s">
        <v>290</v>
      </c>
      <c r="B27" s="125">
        <v>526.70000000000005</v>
      </c>
      <c r="C27" s="125">
        <v>110.8</v>
      </c>
      <c r="D27" s="125">
        <v>667.4</v>
      </c>
      <c r="E27" s="125">
        <v>661.904</v>
      </c>
      <c r="F27" s="125">
        <v>112.00000000000001</v>
      </c>
      <c r="G27" s="125">
        <v>866.3</v>
      </c>
      <c r="H27" s="125">
        <v>849.02599999999995</v>
      </c>
      <c r="I27" s="125">
        <v>115.40291607396871</v>
      </c>
      <c r="J27" s="125">
        <v>996.5</v>
      </c>
      <c r="K27" s="125">
        <v>940.82999999999993</v>
      </c>
      <c r="L27" s="125">
        <v>116.45921735030646</v>
      </c>
      <c r="M27" s="125">
        <v>1106.3</v>
      </c>
      <c r="N27" s="312">
        <v>997.04600000000005</v>
      </c>
      <c r="O27" s="125">
        <v>117.55622849277356</v>
      </c>
      <c r="P27" s="38"/>
      <c r="Q27" s="38"/>
    </row>
    <row r="28" spans="1:17" ht="17.25" customHeight="1" x14ac:dyDescent="0.25">
      <c r="A28" s="124" t="s">
        <v>291</v>
      </c>
      <c r="B28" s="125">
        <v>60.9696</v>
      </c>
      <c r="C28" s="125">
        <v>126.6</v>
      </c>
      <c r="D28" s="125">
        <v>92.553824000000006</v>
      </c>
      <c r="E28" s="125">
        <v>82.409005988023907</v>
      </c>
      <c r="F28" s="125">
        <v>118.76247504990019</v>
      </c>
      <c r="G28" s="125">
        <v>106.89080718562801</v>
      </c>
      <c r="H28" s="125">
        <v>105.771519205491</v>
      </c>
      <c r="I28" s="125">
        <v>116.83949174821089</v>
      </c>
      <c r="J28" s="125">
        <v>127.18267747042501</v>
      </c>
      <c r="K28" s="125">
        <v>121.781365664411</v>
      </c>
      <c r="L28" s="125">
        <v>114.83535358492416</v>
      </c>
      <c r="M28" s="125">
        <v>137.74201148400499</v>
      </c>
      <c r="N28" s="312">
        <v>124.870255106347</v>
      </c>
      <c r="O28" s="125">
        <v>115.81685233351324</v>
      </c>
      <c r="P28" s="38"/>
      <c r="Q28" s="38"/>
    </row>
    <row r="29" spans="1:17" ht="17.25" customHeight="1" x14ac:dyDescent="0.25">
      <c r="A29" s="124" t="s">
        <v>292</v>
      </c>
      <c r="B29" s="125">
        <v>6.3</v>
      </c>
      <c r="C29" s="125">
        <v>129.4</v>
      </c>
      <c r="D29" s="125">
        <v>10.78</v>
      </c>
      <c r="E29" s="125">
        <v>10.6</v>
      </c>
      <c r="F29" s="125">
        <v>120.6</v>
      </c>
      <c r="G29" s="125">
        <v>16.3</v>
      </c>
      <c r="H29" s="125">
        <v>15.1</v>
      </c>
      <c r="I29" s="125">
        <v>129.5</v>
      </c>
      <c r="J29" s="125">
        <v>20.9</v>
      </c>
      <c r="K29" s="125">
        <v>18.600000000000001</v>
      </c>
      <c r="L29" s="125">
        <v>132</v>
      </c>
      <c r="M29" s="125">
        <v>22.5</v>
      </c>
      <c r="N29" s="312">
        <v>21.8</v>
      </c>
      <c r="O29" s="125">
        <v>135.19999999999999</v>
      </c>
      <c r="Q29" s="38"/>
    </row>
    <row r="30" spans="1:17" ht="18" x14ac:dyDescent="0.25">
      <c r="A30" s="124" t="s">
        <v>293</v>
      </c>
      <c r="B30" s="125">
        <v>55.8581</v>
      </c>
      <c r="C30" s="125">
        <v>212.5</v>
      </c>
      <c r="D30" s="125">
        <v>99.572788200000005</v>
      </c>
      <c r="E30" s="125">
        <v>101.44391</v>
      </c>
      <c r="F30" s="125">
        <v>110</v>
      </c>
      <c r="G30" s="125">
        <v>167.098611256</v>
      </c>
      <c r="H30" s="125">
        <v>156.9594228</v>
      </c>
      <c r="I30" s="125">
        <v>108</v>
      </c>
      <c r="J30" s="125">
        <v>187.80847238160001</v>
      </c>
      <c r="K30" s="125">
        <v>177.65536508</v>
      </c>
      <c r="L30" s="125">
        <v>110</v>
      </c>
      <c r="M30" s="125">
        <v>198.80014837406301</v>
      </c>
      <c r="N30" s="312">
        <v>190.62759644516001</v>
      </c>
      <c r="O30" s="125">
        <v>112.7</v>
      </c>
      <c r="P30" s="38"/>
      <c r="Q30" s="38"/>
    </row>
    <row r="31" spans="1:17" ht="18" x14ac:dyDescent="0.25">
      <c r="A31" s="124" t="s">
        <v>294</v>
      </c>
      <c r="B31" s="125">
        <v>5.2495000000000003</v>
      </c>
      <c r="C31" s="125">
        <v>160.4</v>
      </c>
      <c r="D31" s="125">
        <v>6.3623940000000001</v>
      </c>
      <c r="E31" s="125">
        <v>6.2994000000000003</v>
      </c>
      <c r="F31" s="125">
        <v>119.05697445972496</v>
      </c>
      <c r="G31" s="125">
        <v>8.8397418868000006</v>
      </c>
      <c r="H31" s="125">
        <v>7.7621206800000007</v>
      </c>
      <c r="I31" s="125">
        <v>122</v>
      </c>
      <c r="J31" s="125">
        <v>9.8184927390283221</v>
      </c>
      <c r="K31" s="125">
        <v>9.7212799396320015</v>
      </c>
      <c r="L31" s="125">
        <v>124</v>
      </c>
      <c r="M31" s="125">
        <v>12.296680306359072</v>
      </c>
      <c r="N31" s="312">
        <v>11.1749309963951</v>
      </c>
      <c r="O31" s="125">
        <v>125.24000000000002</v>
      </c>
      <c r="P31" s="38"/>
      <c r="Q31" s="38"/>
    </row>
    <row r="32" spans="1:17" ht="36" x14ac:dyDescent="0.25">
      <c r="A32" s="124" t="s">
        <v>295</v>
      </c>
      <c r="B32" s="125">
        <v>43</v>
      </c>
      <c r="C32" s="125">
        <v>137.69999999999999</v>
      </c>
      <c r="D32" s="125">
        <v>48.915768</v>
      </c>
      <c r="E32" s="125">
        <v>47.816000000000003</v>
      </c>
      <c r="F32" s="125">
        <v>111.2</v>
      </c>
      <c r="G32" s="125">
        <v>59.552990909280005</v>
      </c>
      <c r="H32" s="125">
        <v>57.818437776000003</v>
      </c>
      <c r="I32" s="125">
        <v>118.2</v>
      </c>
      <c r="J32" s="125">
        <v>70.442255297041868</v>
      </c>
      <c r="K32" s="125">
        <v>68.724151509309138</v>
      </c>
      <c r="L32" s="125">
        <v>115.4</v>
      </c>
      <c r="M32" s="125">
        <v>80.200189550793297</v>
      </c>
      <c r="N32" s="312">
        <v>77.558323208133103</v>
      </c>
      <c r="O32" s="125">
        <v>117.2</v>
      </c>
      <c r="P32" s="38"/>
      <c r="Q32" s="38"/>
    </row>
    <row r="33" spans="1:17" ht="18" x14ac:dyDescent="0.25">
      <c r="A33" s="124" t="s">
        <v>296</v>
      </c>
      <c r="B33" s="125">
        <v>8.5</v>
      </c>
      <c r="C33" s="125">
        <v>101.2</v>
      </c>
      <c r="D33" s="125">
        <v>9.1</v>
      </c>
      <c r="E33" s="125">
        <v>9.6</v>
      </c>
      <c r="F33" s="125">
        <v>106.7</v>
      </c>
      <c r="G33" s="125">
        <v>10.5</v>
      </c>
      <c r="H33" s="125">
        <v>9.9</v>
      </c>
      <c r="I33" s="125">
        <v>115.4</v>
      </c>
      <c r="J33" s="125">
        <v>12.9</v>
      </c>
      <c r="K33" s="125">
        <v>11.5</v>
      </c>
      <c r="L33" s="125">
        <v>116.2</v>
      </c>
      <c r="M33" s="125">
        <v>1309.021</v>
      </c>
      <c r="N33" s="312">
        <v>1287.01</v>
      </c>
      <c r="O33" s="125">
        <v>118.3</v>
      </c>
      <c r="P33" s="38"/>
      <c r="Q33" s="38"/>
    </row>
    <row r="34" spans="1:17" ht="20.25" customHeight="1" x14ac:dyDescent="0.25">
      <c r="A34" s="124" t="s">
        <v>299</v>
      </c>
      <c r="B34" s="125">
        <v>0.14249999999999999</v>
      </c>
      <c r="C34" s="125">
        <v>138.30000000000001</v>
      </c>
      <c r="D34" s="125">
        <v>0.1767</v>
      </c>
      <c r="E34" s="125">
        <v>0.17669999999999997</v>
      </c>
      <c r="F34" s="125">
        <v>124</v>
      </c>
      <c r="G34" s="125">
        <v>0.22087499999999999</v>
      </c>
      <c r="H34" s="125">
        <v>0.21087500000000001</v>
      </c>
      <c r="I34" s="125">
        <v>125</v>
      </c>
      <c r="J34" s="125">
        <v>0.27984862500000002</v>
      </c>
      <c r="K34" s="125">
        <v>0.21984862499999999</v>
      </c>
      <c r="L34" s="125">
        <v>126.7</v>
      </c>
      <c r="M34" s="125">
        <v>0.7556876023750001</v>
      </c>
      <c r="N34" s="312">
        <v>0.66568760237500002</v>
      </c>
      <c r="O34" s="125">
        <v>127.1</v>
      </c>
      <c r="P34" s="39"/>
      <c r="Q34" s="38"/>
    </row>
    <row r="35" spans="1:17" ht="18" x14ac:dyDescent="0.25">
      <c r="A35" s="124" t="s">
        <v>302</v>
      </c>
      <c r="B35" s="125">
        <v>20</v>
      </c>
      <c r="C35" s="125">
        <v>84.3</v>
      </c>
      <c r="D35" s="125">
        <v>32.17</v>
      </c>
      <c r="E35" s="125">
        <v>31.1</v>
      </c>
      <c r="F35" s="125">
        <v>105.5</v>
      </c>
      <c r="G35" s="125">
        <v>50.5</v>
      </c>
      <c r="H35" s="125">
        <v>43.8</v>
      </c>
      <c r="I35" s="125">
        <v>110</v>
      </c>
      <c r="J35" s="125">
        <v>64.2</v>
      </c>
      <c r="K35" s="125">
        <v>59.4</v>
      </c>
      <c r="L35" s="125">
        <v>112</v>
      </c>
      <c r="M35" s="125">
        <v>70.599999999999994</v>
      </c>
      <c r="N35" s="312">
        <v>67.2</v>
      </c>
      <c r="O35" s="125">
        <v>116</v>
      </c>
      <c r="P35" s="38"/>
      <c r="Q35" s="38"/>
    </row>
    <row r="36" spans="1:17" ht="17.25" customHeight="1" x14ac:dyDescent="0.25">
      <c r="A36" s="124" t="s">
        <v>303</v>
      </c>
      <c r="B36" s="125">
        <v>35.5</v>
      </c>
      <c r="C36" s="125">
        <v>105.3</v>
      </c>
      <c r="D36" s="125">
        <v>50.292999999999999</v>
      </c>
      <c r="E36" s="125">
        <v>48.1</v>
      </c>
      <c r="F36" s="125">
        <v>110</v>
      </c>
      <c r="G36" s="125">
        <v>65</v>
      </c>
      <c r="H36" s="125">
        <v>63.7</v>
      </c>
      <c r="I36" s="125">
        <v>115</v>
      </c>
      <c r="J36" s="125">
        <v>71.8</v>
      </c>
      <c r="K36" s="125">
        <v>71</v>
      </c>
      <c r="L36" s="125">
        <v>120</v>
      </c>
      <c r="M36" s="125">
        <v>74</v>
      </c>
      <c r="N36" s="312">
        <v>72.8</v>
      </c>
      <c r="O36" s="125">
        <v>124</v>
      </c>
      <c r="P36" s="38"/>
      <c r="Q36" s="38"/>
    </row>
    <row r="37" spans="1:17" ht="26.25" customHeight="1" x14ac:dyDescent="0.25">
      <c r="A37" s="383" t="s">
        <v>306</v>
      </c>
      <c r="B37" s="383"/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4"/>
      <c r="O37" s="383"/>
    </row>
    <row r="38" spans="1:17" ht="18" x14ac:dyDescent="0.25">
      <c r="A38" s="124" t="s">
        <v>288</v>
      </c>
      <c r="B38" s="18">
        <v>45.468699999999998</v>
      </c>
      <c r="C38" s="18">
        <v>124.3</v>
      </c>
      <c r="D38" s="18">
        <v>62.320999999999998</v>
      </c>
      <c r="E38" s="18">
        <v>60.631999999999998</v>
      </c>
      <c r="F38" s="18">
        <v>111.4</v>
      </c>
      <c r="G38" s="18">
        <v>77.56</v>
      </c>
      <c r="H38" s="18">
        <v>76.262</v>
      </c>
      <c r="I38" s="18">
        <v>107.5</v>
      </c>
      <c r="J38" s="18">
        <v>106.542</v>
      </c>
      <c r="K38" s="18">
        <v>104.2362</v>
      </c>
      <c r="L38" s="18">
        <v>108.3</v>
      </c>
      <c r="M38" s="18">
        <v>118.452</v>
      </c>
      <c r="N38" s="310">
        <v>117.854</v>
      </c>
      <c r="O38" s="18">
        <v>106.8</v>
      </c>
      <c r="P38" s="38"/>
      <c r="Q38" s="38"/>
    </row>
    <row r="39" spans="1:17" ht="18" x14ac:dyDescent="0.25">
      <c r="A39" s="124" t="s">
        <v>289</v>
      </c>
      <c r="B39" s="120">
        <v>16504.507900000001</v>
      </c>
      <c r="C39" s="120">
        <v>113.4</v>
      </c>
      <c r="D39" s="120">
        <v>19990.724999999999</v>
      </c>
      <c r="E39" s="120">
        <v>19508.8</v>
      </c>
      <c r="F39" s="119">
        <v>105.1</v>
      </c>
      <c r="G39" s="120">
        <v>25504.1</v>
      </c>
      <c r="H39" s="120">
        <v>24838.226150999999</v>
      </c>
      <c r="I39" s="119">
        <v>112.9</v>
      </c>
      <c r="J39" s="131">
        <v>29821.675823744601</v>
      </c>
      <c r="K39" s="120">
        <v>29498.7</v>
      </c>
      <c r="L39" s="119">
        <v>109.8</v>
      </c>
      <c r="M39" s="152">
        <v>35685.364354719422</v>
      </c>
      <c r="N39" s="313">
        <v>35083.1</v>
      </c>
      <c r="O39" s="119">
        <v>108.1</v>
      </c>
      <c r="P39" s="38"/>
      <c r="Q39" s="38"/>
    </row>
    <row r="40" spans="1:17" ht="20.25" customHeight="1" x14ac:dyDescent="0.25">
      <c r="A40" s="124" t="s">
        <v>290</v>
      </c>
      <c r="B40" s="125">
        <v>6647.3</v>
      </c>
      <c r="C40" s="125">
        <v>104.8</v>
      </c>
      <c r="D40" s="125">
        <v>8489.7000000000007</v>
      </c>
      <c r="E40" s="125">
        <v>7805.7020000000002</v>
      </c>
      <c r="F40" s="125">
        <v>113.99999999999999</v>
      </c>
      <c r="G40" s="125">
        <v>10329.299999999999</v>
      </c>
      <c r="H40" s="125">
        <v>10006.696150000002</v>
      </c>
      <c r="I40" s="125">
        <v>111.71490134775446</v>
      </c>
      <c r="J40" s="131">
        <v>14000.675823744599</v>
      </c>
      <c r="K40" s="125">
        <v>13812.8</v>
      </c>
      <c r="L40" s="125">
        <v>113.31876044747331</v>
      </c>
      <c r="M40" s="152">
        <v>17011.704354719419</v>
      </c>
      <c r="N40" s="312">
        <v>16915.099999999999</v>
      </c>
      <c r="O40" s="125">
        <v>115.16319444444446</v>
      </c>
      <c r="P40" s="38"/>
      <c r="Q40" s="38"/>
    </row>
    <row r="41" spans="1:17" ht="15.75" customHeight="1" x14ac:dyDescent="0.25">
      <c r="A41" s="124" t="s">
        <v>291</v>
      </c>
      <c r="B41" s="125">
        <v>2937.5057999999999</v>
      </c>
      <c r="C41" s="125">
        <v>126.1</v>
      </c>
      <c r="D41" s="125">
        <v>3621.7970759999998</v>
      </c>
      <c r="E41" s="125">
        <v>3599.69555376884</v>
      </c>
      <c r="F41" s="125">
        <v>122.61306532663316</v>
      </c>
      <c r="G41" s="125">
        <v>4483.0255311356796</v>
      </c>
      <c r="H41" s="125">
        <v>4385.1192197187702</v>
      </c>
      <c r="I41" s="125">
        <v>122.27308650075304</v>
      </c>
      <c r="J41" s="131">
        <v>5685.7748483930618</v>
      </c>
      <c r="K41" s="125">
        <v>5510.0192557170703</v>
      </c>
      <c r="L41" s="125">
        <v>125.14166035952701</v>
      </c>
      <c r="M41" s="152">
        <v>6803.2284243657587</v>
      </c>
      <c r="N41" s="312">
        <v>6780.5856277411804</v>
      </c>
      <c r="O41" s="125">
        <v>125.14166035952698</v>
      </c>
      <c r="P41" s="38"/>
      <c r="Q41" s="38"/>
    </row>
    <row r="42" spans="1:17" ht="18" x14ac:dyDescent="0.25">
      <c r="A42" s="124" t="s">
        <v>292</v>
      </c>
      <c r="B42" s="125">
        <v>488.8</v>
      </c>
      <c r="C42" s="125">
        <v>94.9</v>
      </c>
      <c r="D42" s="125">
        <v>689.5</v>
      </c>
      <c r="E42" s="125">
        <v>666.8</v>
      </c>
      <c r="F42" s="125">
        <v>116</v>
      </c>
      <c r="G42" s="125">
        <v>863.7</v>
      </c>
      <c r="H42" s="125">
        <v>833.1</v>
      </c>
      <c r="I42" s="125">
        <v>124.4</v>
      </c>
      <c r="J42" s="131">
        <v>1036.4758237445999</v>
      </c>
      <c r="K42" s="125">
        <v>1004.7</v>
      </c>
      <c r="L42" s="125">
        <v>128.9</v>
      </c>
      <c r="M42" s="125">
        <v>1405.5</v>
      </c>
      <c r="N42" s="312">
        <v>1362.6</v>
      </c>
      <c r="O42" s="125">
        <v>133.19999999999999</v>
      </c>
      <c r="P42" s="38"/>
      <c r="Q42" s="38"/>
    </row>
    <row r="43" spans="1:17" ht="18" x14ac:dyDescent="0.25">
      <c r="A43" s="124" t="s">
        <v>293</v>
      </c>
      <c r="B43" s="125">
        <v>55.416499999999999</v>
      </c>
      <c r="C43" s="125">
        <v>109.3</v>
      </c>
      <c r="D43" s="125">
        <v>66.28</v>
      </c>
      <c r="E43" s="125">
        <v>64.980400000000003</v>
      </c>
      <c r="F43" s="125">
        <v>117.3</v>
      </c>
      <c r="G43" s="125">
        <v>80.714300000000009</v>
      </c>
      <c r="H43" s="125">
        <v>79.346299999999999</v>
      </c>
      <c r="I43" s="125">
        <v>119</v>
      </c>
      <c r="J43" s="125">
        <v>98.979699999999994</v>
      </c>
      <c r="K43" s="125">
        <v>97.294600000000003</v>
      </c>
      <c r="L43" s="125">
        <v>122.6</v>
      </c>
      <c r="M43" s="125">
        <v>121.9217</v>
      </c>
      <c r="N43" s="312">
        <v>119.8382</v>
      </c>
      <c r="O43" s="125">
        <v>120.4</v>
      </c>
      <c r="P43" s="38"/>
      <c r="Q43" s="38"/>
    </row>
    <row r="44" spans="1:17" ht="18" x14ac:dyDescent="0.25">
      <c r="A44" s="124" t="s">
        <v>294</v>
      </c>
      <c r="B44" s="125">
        <v>291.3854</v>
      </c>
      <c r="C44" s="125">
        <v>123.6</v>
      </c>
      <c r="D44" s="125">
        <v>403.15910480000002</v>
      </c>
      <c r="E44" s="125">
        <v>349.66248000000002</v>
      </c>
      <c r="F44" s="125">
        <v>119.05697445972496</v>
      </c>
      <c r="G44" s="125">
        <v>435.16264893455997</v>
      </c>
      <c r="H44" s="125">
        <v>430.85410785599998</v>
      </c>
      <c r="I44" s="125">
        <v>123.22</v>
      </c>
      <c r="J44" s="125">
        <v>574.99770152564304</v>
      </c>
      <c r="K44" s="125">
        <v>569.60168467885399</v>
      </c>
      <c r="L44" s="125">
        <v>125.23999999999998</v>
      </c>
      <c r="M44" s="125">
        <v>682.55512139071504</v>
      </c>
      <c r="N44" s="312">
        <v>675.79714989179706</v>
      </c>
      <c r="O44" s="125">
        <v>125.24</v>
      </c>
      <c r="P44" s="38"/>
      <c r="Q44" s="38"/>
    </row>
    <row r="45" spans="1:17" ht="36" x14ac:dyDescent="0.25">
      <c r="A45" s="124" t="s">
        <v>295</v>
      </c>
      <c r="B45" s="125">
        <v>717.1</v>
      </c>
      <c r="C45" s="125">
        <v>104.5</v>
      </c>
      <c r="D45" s="125">
        <v>969.30806050000001</v>
      </c>
      <c r="E45" s="125">
        <v>949.76350000000002</v>
      </c>
      <c r="F45" s="125">
        <v>118.5</v>
      </c>
      <c r="G45" s="125">
        <v>1075.360150080315</v>
      </c>
      <c r="H45" s="125">
        <v>1044.0389806604999</v>
      </c>
      <c r="I45" s="125">
        <v>120.1</v>
      </c>
      <c r="J45" s="131">
        <v>1354.32940049686</v>
      </c>
      <c r="K45" s="125">
        <v>1319.4669041485465</v>
      </c>
      <c r="L45" s="125">
        <v>122.7</v>
      </c>
      <c r="M45" s="152">
        <v>1698.376079639</v>
      </c>
      <c r="N45" s="312">
        <v>1653.4031779447701</v>
      </c>
      <c r="O45" s="125">
        <v>122.4</v>
      </c>
      <c r="P45" s="38"/>
      <c r="Q45" s="38"/>
    </row>
    <row r="46" spans="1:17" ht="18" x14ac:dyDescent="0.25">
      <c r="A46" s="124" t="s">
        <v>296</v>
      </c>
      <c r="B46" s="125">
        <v>511.28</v>
      </c>
      <c r="C46" s="125">
        <v>108</v>
      </c>
      <c r="D46" s="125">
        <v>717.4</v>
      </c>
      <c r="E46" s="125">
        <v>701.90700000000004</v>
      </c>
      <c r="F46" s="125">
        <v>107</v>
      </c>
      <c r="G46" s="125">
        <v>778.12</v>
      </c>
      <c r="H46" s="125">
        <v>769.94</v>
      </c>
      <c r="I46" s="125">
        <v>110.7</v>
      </c>
      <c r="J46" s="125">
        <v>854.8</v>
      </c>
      <c r="K46" s="125">
        <v>844.9</v>
      </c>
      <c r="L46" s="125">
        <v>112.3</v>
      </c>
      <c r="M46" s="125">
        <v>962.42</v>
      </c>
      <c r="N46" s="312">
        <v>954.07299999999998</v>
      </c>
      <c r="O46" s="125">
        <v>115.6</v>
      </c>
      <c r="P46" s="38"/>
      <c r="Q46" s="38"/>
    </row>
    <row r="47" spans="1:17" ht="13.5" customHeight="1" x14ac:dyDescent="0.25">
      <c r="A47" s="124" t="s">
        <v>297</v>
      </c>
      <c r="B47" s="125">
        <v>11.521599999999999</v>
      </c>
      <c r="C47" s="125">
        <v>0</v>
      </c>
      <c r="D47" s="125">
        <v>13.4</v>
      </c>
      <c r="E47" s="125">
        <v>12.5151</v>
      </c>
      <c r="F47" s="125">
        <v>0</v>
      </c>
      <c r="G47" s="125">
        <v>15.264640999999999</v>
      </c>
      <c r="H47" s="125">
        <v>14.23156163</v>
      </c>
      <c r="I47" s="125">
        <v>0</v>
      </c>
      <c r="J47" s="125">
        <v>16.2</v>
      </c>
      <c r="K47" s="125">
        <v>15.231</v>
      </c>
      <c r="L47" s="125">
        <v>0</v>
      </c>
      <c r="M47" s="125">
        <v>17.215156</v>
      </c>
      <c r="N47" s="312">
        <v>16.821349999999999</v>
      </c>
      <c r="O47" s="125">
        <v>0</v>
      </c>
      <c r="P47" s="38"/>
      <c r="Q47" s="38"/>
    </row>
    <row r="48" spans="1:17" ht="36" x14ac:dyDescent="0.25">
      <c r="A48" s="124" t="s">
        <v>298</v>
      </c>
      <c r="B48" s="125">
        <v>2.7</v>
      </c>
      <c r="C48" s="125">
        <v>122.7</v>
      </c>
      <c r="D48" s="125">
        <v>3.08</v>
      </c>
      <c r="E48" s="125">
        <v>3</v>
      </c>
      <c r="F48" s="125">
        <v>112</v>
      </c>
      <c r="G48" s="125">
        <v>3.7</v>
      </c>
      <c r="H48" s="125">
        <v>3.6</v>
      </c>
      <c r="I48" s="125">
        <v>117</v>
      </c>
      <c r="J48" s="125">
        <v>4.5999999999999996</v>
      </c>
      <c r="K48" s="125">
        <v>4.5</v>
      </c>
      <c r="L48" s="125">
        <v>122</v>
      </c>
      <c r="M48" s="125">
        <v>6.1</v>
      </c>
      <c r="N48" s="312">
        <v>5.9</v>
      </c>
      <c r="O48" s="125">
        <v>130</v>
      </c>
      <c r="P48" s="38"/>
      <c r="Q48" s="38"/>
    </row>
    <row r="49" spans="1:17" ht="23.25" customHeight="1" x14ac:dyDescent="0.25">
      <c r="A49" s="124" t="s">
        <v>299</v>
      </c>
      <c r="B49" s="125">
        <v>0.73899999999999999</v>
      </c>
      <c r="C49" s="125">
        <v>95.2</v>
      </c>
      <c r="D49" s="125">
        <v>0.85546299999999997</v>
      </c>
      <c r="E49" s="125">
        <v>0.7390000000000001</v>
      </c>
      <c r="F49" s="125">
        <v>100</v>
      </c>
      <c r="G49" s="125">
        <v>1.9094964640000001</v>
      </c>
      <c r="H49" s="125">
        <v>1.812165</v>
      </c>
      <c r="I49" s="125">
        <v>103</v>
      </c>
      <c r="J49" s="125">
        <v>2.0541561599999998</v>
      </c>
      <c r="K49" s="125">
        <v>2.0002151000000001</v>
      </c>
      <c r="L49" s="125">
        <v>103.7</v>
      </c>
      <c r="M49" s="125">
        <v>2.2134999999999998</v>
      </c>
      <c r="N49" s="312">
        <v>2.1213099999999998</v>
      </c>
      <c r="O49" s="125">
        <v>104.5</v>
      </c>
      <c r="P49" s="38"/>
      <c r="Q49" s="38"/>
    </row>
    <row r="50" spans="1:17" ht="36" x14ac:dyDescent="0.25">
      <c r="A50" s="124" t="s">
        <v>300</v>
      </c>
      <c r="B50" s="125">
        <v>35.43</v>
      </c>
      <c r="C50" s="125">
        <v>99.1</v>
      </c>
      <c r="D50" s="125">
        <v>46.861372000000003</v>
      </c>
      <c r="E50" s="125">
        <v>36.138600000000004</v>
      </c>
      <c r="F50" s="125">
        <v>102</v>
      </c>
      <c r="G50" s="125">
        <v>58.350571428800002</v>
      </c>
      <c r="H50" s="125">
        <v>57.598599440000001</v>
      </c>
      <c r="I50" s="125">
        <v>102</v>
      </c>
      <c r="J50" s="125">
        <v>60.4</v>
      </c>
      <c r="K50" s="125">
        <v>55.117582857376</v>
      </c>
      <c r="L50" s="125">
        <v>124.3</v>
      </c>
      <c r="M50" s="125">
        <v>71.511891868909998</v>
      </c>
      <c r="N50" s="312">
        <v>70.697933204814007</v>
      </c>
      <c r="O50" s="125">
        <v>102</v>
      </c>
      <c r="P50" s="38"/>
      <c r="Q50" s="38"/>
    </row>
    <row r="51" spans="1:17" ht="36" x14ac:dyDescent="0.25">
      <c r="A51" s="124" t="s">
        <v>301</v>
      </c>
      <c r="B51" s="125">
        <v>11.573</v>
      </c>
      <c r="C51" s="125">
        <v>90.6</v>
      </c>
      <c r="D51" s="125">
        <v>13.9838</v>
      </c>
      <c r="E51" s="125">
        <v>13.423200000000001</v>
      </c>
      <c r="F51" s="125">
        <v>116.1</v>
      </c>
      <c r="G51" s="125">
        <v>16.07</v>
      </c>
      <c r="H51" s="125">
        <v>16.015219999999999</v>
      </c>
      <c r="I51" s="125">
        <v>116.5</v>
      </c>
      <c r="J51" s="125">
        <v>17.115500000000001</v>
      </c>
      <c r="K51" s="125">
        <v>16.451499999999999</v>
      </c>
      <c r="L51" s="125">
        <v>118.2</v>
      </c>
      <c r="M51" s="125">
        <v>18.364000000000001</v>
      </c>
      <c r="N51" s="312">
        <v>18.679299999999998</v>
      </c>
      <c r="O51" s="125">
        <v>118.3</v>
      </c>
      <c r="P51" s="38"/>
      <c r="Q51" s="38"/>
    </row>
    <row r="52" spans="1:17" ht="18" x14ac:dyDescent="0.25">
      <c r="A52" s="124" t="s">
        <v>302</v>
      </c>
      <c r="B52" s="125">
        <v>0.65700000000000003</v>
      </c>
      <c r="C52" s="125">
        <v>154.1</v>
      </c>
      <c r="D52" s="125">
        <v>1.71</v>
      </c>
      <c r="E52" s="125">
        <v>0.96889999999999998</v>
      </c>
      <c r="F52" s="125">
        <v>104.9</v>
      </c>
      <c r="G52" s="125">
        <v>1.7809999999999999</v>
      </c>
      <c r="H52" s="125">
        <v>0.9758</v>
      </c>
      <c r="I52" s="125">
        <v>110</v>
      </c>
      <c r="J52" s="125">
        <v>2.051561</v>
      </c>
      <c r="K52" s="125">
        <v>1.9872000000000001</v>
      </c>
      <c r="L52" s="125">
        <v>111.6</v>
      </c>
      <c r="M52" s="125">
        <v>1078.4000000000001</v>
      </c>
      <c r="N52" s="312">
        <v>1047</v>
      </c>
      <c r="O52" s="125">
        <v>116.5</v>
      </c>
      <c r="P52" s="38"/>
      <c r="Q52" s="38"/>
    </row>
    <row r="53" spans="1:17" ht="14.25" customHeight="1" x14ac:dyDescent="0.25">
      <c r="A53" s="124" t="s">
        <v>303</v>
      </c>
      <c r="B53" s="120">
        <v>29.899999999999995</v>
      </c>
      <c r="C53" s="121">
        <v>111</v>
      </c>
      <c r="D53" s="121">
        <v>51.4</v>
      </c>
      <c r="E53" s="121">
        <v>41.6</v>
      </c>
      <c r="F53" s="120">
        <v>139</v>
      </c>
      <c r="G53" s="121">
        <v>63.1</v>
      </c>
      <c r="H53" s="121">
        <v>60.8</v>
      </c>
      <c r="I53" s="120">
        <v>140</v>
      </c>
      <c r="J53" s="121">
        <v>92.4</v>
      </c>
      <c r="K53" s="121">
        <v>88.6</v>
      </c>
      <c r="L53" s="120">
        <v>140.5</v>
      </c>
      <c r="M53" s="121">
        <v>149.69999999999999</v>
      </c>
      <c r="N53" s="314">
        <v>147</v>
      </c>
      <c r="O53" s="120">
        <v>159</v>
      </c>
      <c r="P53" s="38"/>
      <c r="Q53" s="38"/>
    </row>
    <row r="54" spans="1:17" ht="12.75" customHeight="1" x14ac:dyDescent="0.25">
      <c r="A54" s="124" t="s">
        <v>304</v>
      </c>
      <c r="B54" s="120">
        <v>189.71510000000001</v>
      </c>
      <c r="C54" s="120">
        <v>101.5</v>
      </c>
      <c r="D54" s="120">
        <v>247.5187</v>
      </c>
      <c r="E54" s="120">
        <v>241.66720000000001</v>
      </c>
      <c r="F54" s="120">
        <v>106.3</v>
      </c>
      <c r="G54" s="120">
        <v>272.74829999999997</v>
      </c>
      <c r="H54" s="120">
        <v>248.5515</v>
      </c>
      <c r="I54" s="120">
        <v>112.3</v>
      </c>
      <c r="J54" s="131">
        <v>346.96942374460178</v>
      </c>
      <c r="K54" s="120">
        <v>326.36169999999998</v>
      </c>
      <c r="L54" s="120">
        <v>120.5</v>
      </c>
      <c r="M54" s="121">
        <v>370.04719999999998</v>
      </c>
      <c r="N54" s="313">
        <v>367.31529999999998</v>
      </c>
      <c r="O54" s="120">
        <v>123.2</v>
      </c>
      <c r="P54" s="38"/>
      <c r="Q54" s="38"/>
    </row>
    <row r="55" spans="1:17" ht="30.75" customHeight="1" x14ac:dyDescent="0.25">
      <c r="A55" s="375" t="s">
        <v>307</v>
      </c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6"/>
      <c r="O55" s="375"/>
    </row>
    <row r="56" spans="1:17" ht="18.75" customHeight="1" x14ac:dyDescent="0.25">
      <c r="A56" s="124" t="s">
        <v>288</v>
      </c>
      <c r="B56" s="132">
        <v>80.3</v>
      </c>
      <c r="C56" s="132">
        <v>93.2</v>
      </c>
      <c r="D56" s="132">
        <v>94.933333333333337</v>
      </c>
      <c r="E56" s="132">
        <v>93</v>
      </c>
      <c r="F56" s="15">
        <v>132.1</v>
      </c>
      <c r="G56" s="149">
        <v>192</v>
      </c>
      <c r="H56" s="149">
        <v>190</v>
      </c>
      <c r="I56" s="15">
        <v>113.2</v>
      </c>
      <c r="J56" s="149">
        <v>281.66666666666663</v>
      </c>
      <c r="K56" s="83">
        <v>278.66666666666663</v>
      </c>
      <c r="L56" s="15">
        <v>100</v>
      </c>
      <c r="M56" s="15">
        <v>356.5</v>
      </c>
      <c r="N56" s="315">
        <v>356.5</v>
      </c>
      <c r="O56" s="15">
        <v>2.7423076923076923</v>
      </c>
    </row>
    <row r="57" spans="1:17" ht="18.75" customHeight="1" x14ac:dyDescent="0.25">
      <c r="A57" s="124" t="s">
        <v>289</v>
      </c>
      <c r="B57" s="133">
        <v>1464.5</v>
      </c>
      <c r="C57" s="134">
        <v>113.2</v>
      </c>
      <c r="D57" s="132">
        <v>1889.9333333333334</v>
      </c>
      <c r="E57" s="132">
        <v>1878.9333333333334</v>
      </c>
      <c r="F57" s="119">
        <v>120</v>
      </c>
      <c r="G57" s="83">
        <v>2319.6</v>
      </c>
      <c r="H57" s="83">
        <v>2295.6</v>
      </c>
      <c r="I57" s="119">
        <v>105.9</v>
      </c>
      <c r="J57" s="83">
        <v>2801.2666666666664</v>
      </c>
      <c r="K57" s="83">
        <v>2794.2666666666664</v>
      </c>
      <c r="L57" s="119">
        <v>111.1</v>
      </c>
      <c r="M57" s="120">
        <v>3547.1</v>
      </c>
      <c r="N57" s="313">
        <v>3540.1</v>
      </c>
      <c r="O57" s="119">
        <v>109.1</v>
      </c>
    </row>
    <row r="58" spans="1:17" ht="18" customHeight="1" x14ac:dyDescent="0.25">
      <c r="A58" s="124" t="s">
        <v>290</v>
      </c>
      <c r="B58" s="134">
        <v>4379.3</v>
      </c>
      <c r="C58" s="134">
        <v>118.5</v>
      </c>
      <c r="D58" s="132">
        <v>4963.5353333333333</v>
      </c>
      <c r="E58" s="132">
        <v>4880.5353333333333</v>
      </c>
      <c r="F58" s="125">
        <v>114.00000000000001</v>
      </c>
      <c r="G58" s="83">
        <v>5840.6</v>
      </c>
      <c r="H58" s="83">
        <v>5825.6</v>
      </c>
      <c r="I58" s="125">
        <v>109.03869340288171</v>
      </c>
      <c r="J58" s="83">
        <v>7022.2666666666664</v>
      </c>
      <c r="K58" s="83">
        <v>7017.2666666666664</v>
      </c>
      <c r="L58" s="125">
        <v>110.77094748630165</v>
      </c>
      <c r="M58" s="125">
        <v>8543</v>
      </c>
      <c r="N58" s="312">
        <v>8533</v>
      </c>
      <c r="O58" s="125">
        <v>112.63462600817589</v>
      </c>
    </row>
    <row r="59" spans="1:17" ht="18" customHeight="1" x14ac:dyDescent="0.25">
      <c r="A59" s="124" t="s">
        <v>291</v>
      </c>
      <c r="B59" s="134">
        <v>1484.8722</v>
      </c>
      <c r="C59" s="134">
        <v>105</v>
      </c>
      <c r="D59" s="132">
        <v>2028.1748613333334</v>
      </c>
      <c r="E59" s="132">
        <v>2033.1748613333334</v>
      </c>
      <c r="F59" s="125">
        <v>123.75249500998002</v>
      </c>
      <c r="G59" s="83">
        <v>2613.0501983098502</v>
      </c>
      <c r="H59" s="83">
        <v>2583.0501983098502</v>
      </c>
      <c r="I59" s="125">
        <v>124.12984975322985</v>
      </c>
      <c r="J59" s="83">
        <v>3069.7168649765167</v>
      </c>
      <c r="K59" s="83">
        <v>3064.7168649765167</v>
      </c>
      <c r="L59" s="125">
        <v>122.61922709683905</v>
      </c>
      <c r="M59" s="125">
        <v>3579.2696708881999</v>
      </c>
      <c r="N59" s="312">
        <v>3576.2696708881999</v>
      </c>
      <c r="O59" s="125">
        <v>123.01230123012301</v>
      </c>
    </row>
    <row r="60" spans="1:17" ht="14.25" customHeight="1" x14ac:dyDescent="0.25">
      <c r="A60" s="124" t="s">
        <v>292</v>
      </c>
      <c r="B60" s="134">
        <v>140.6</v>
      </c>
      <c r="C60" s="134">
        <v>123.4</v>
      </c>
      <c r="D60" s="132">
        <v>253.27333333333334</v>
      </c>
      <c r="E60" s="132">
        <v>245.27333333333334</v>
      </c>
      <c r="F60" s="125">
        <v>111.2</v>
      </c>
      <c r="G60" s="83">
        <v>290.06666666666661</v>
      </c>
      <c r="H60" s="83">
        <v>285.06666666666661</v>
      </c>
      <c r="I60" s="125">
        <v>121.1</v>
      </c>
      <c r="J60" s="83">
        <v>310.06666666666661</v>
      </c>
      <c r="K60" s="83">
        <v>307.06666666666661</v>
      </c>
      <c r="L60" s="125">
        <v>124.2</v>
      </c>
      <c r="M60" s="125">
        <v>321.3</v>
      </c>
      <c r="N60" s="312">
        <v>321.3</v>
      </c>
      <c r="O60" s="125">
        <v>124</v>
      </c>
    </row>
    <row r="61" spans="1:17" ht="18" x14ac:dyDescent="0.25">
      <c r="A61" s="124" t="s">
        <v>293</v>
      </c>
      <c r="B61" s="132">
        <v>19.236066666666666</v>
      </c>
      <c r="C61" s="134">
        <v>122.8</v>
      </c>
      <c r="D61" s="132">
        <v>21.441400133333335</v>
      </c>
      <c r="E61" s="132">
        <v>20.441400133333335</v>
      </c>
      <c r="F61" s="125">
        <v>110</v>
      </c>
      <c r="G61" s="83">
        <v>31.39687803301387</v>
      </c>
      <c r="H61" s="83">
        <v>31.39687803301387</v>
      </c>
      <c r="I61" s="125">
        <v>109.8</v>
      </c>
      <c r="J61" s="83">
        <v>36.39687803301387</v>
      </c>
      <c r="K61" s="83">
        <v>36.39687803301387</v>
      </c>
      <c r="L61" s="125">
        <v>109.8</v>
      </c>
      <c r="M61" s="125">
        <v>41.141905865241498</v>
      </c>
      <c r="N61" s="312">
        <v>40.141905865241498</v>
      </c>
      <c r="O61" s="125">
        <v>110.7</v>
      </c>
    </row>
    <row r="62" spans="1:17" ht="18" x14ac:dyDescent="0.25">
      <c r="A62" s="124" t="s">
        <v>294</v>
      </c>
      <c r="B62" s="132">
        <v>55.711266666666667</v>
      </c>
      <c r="C62" s="134">
        <v>111</v>
      </c>
      <c r="D62" s="132">
        <v>134.06596333333334</v>
      </c>
      <c r="E62" s="132">
        <v>131.06596333333334</v>
      </c>
      <c r="F62" s="125">
        <v>113</v>
      </c>
      <c r="G62" s="83">
        <v>176.06995566666666</v>
      </c>
      <c r="H62" s="83">
        <v>173.06995566666666</v>
      </c>
      <c r="I62" s="125">
        <v>114</v>
      </c>
      <c r="J62" s="83">
        <v>186.06995566666666</v>
      </c>
      <c r="K62" s="83">
        <v>181.06995566666666</v>
      </c>
      <c r="L62" s="125">
        <v>117</v>
      </c>
      <c r="M62" s="125">
        <v>193.7</v>
      </c>
      <c r="N62" s="316">
        <v>190</v>
      </c>
      <c r="O62" s="125">
        <v>119.1</v>
      </c>
    </row>
    <row r="63" spans="1:17" ht="36" x14ac:dyDescent="0.25">
      <c r="A63" s="124" t="s">
        <v>295</v>
      </c>
      <c r="B63" s="132">
        <v>365.56666666666666</v>
      </c>
      <c r="C63" s="134">
        <v>121</v>
      </c>
      <c r="D63" s="132">
        <v>440.06715733333334</v>
      </c>
      <c r="E63" s="132">
        <v>436.06715733333334</v>
      </c>
      <c r="F63" s="125">
        <v>115.2</v>
      </c>
      <c r="G63" s="83">
        <v>567.37590867122503</v>
      </c>
      <c r="H63" s="83">
        <v>563.37590867122503</v>
      </c>
      <c r="I63" s="125">
        <v>113.4</v>
      </c>
      <c r="J63" s="83">
        <v>669.04257533789178</v>
      </c>
      <c r="K63" s="83">
        <v>664.04257533789178</v>
      </c>
      <c r="L63" s="125">
        <v>112.8</v>
      </c>
      <c r="M63" s="125">
        <v>768.72342996729196</v>
      </c>
      <c r="N63" s="316">
        <v>768.02342996729192</v>
      </c>
      <c r="O63" s="125">
        <v>116.1</v>
      </c>
    </row>
    <row r="64" spans="1:17" ht="18" x14ac:dyDescent="0.25">
      <c r="A64" s="124" t="s">
        <v>296</v>
      </c>
      <c r="B64" s="132">
        <v>64.466666666666669</v>
      </c>
      <c r="C64" s="134">
        <v>108.9</v>
      </c>
      <c r="D64" s="132">
        <v>94.13333333333334</v>
      </c>
      <c r="E64" s="132">
        <v>91.13333333333334</v>
      </c>
      <c r="F64" s="125">
        <v>123.8</v>
      </c>
      <c r="G64" s="83">
        <v>132.66666666666666</v>
      </c>
      <c r="H64" s="83">
        <v>132.66666666666666</v>
      </c>
      <c r="I64" s="125">
        <v>128.6</v>
      </c>
      <c r="J64" s="83">
        <v>152.66666666666666</v>
      </c>
      <c r="K64" s="83">
        <v>150.66666666666666</v>
      </c>
      <c r="L64" s="125">
        <v>133.6</v>
      </c>
      <c r="M64" s="125">
        <v>174</v>
      </c>
      <c r="N64" s="316">
        <v>173.3</v>
      </c>
      <c r="O64" s="125">
        <v>125</v>
      </c>
    </row>
    <row r="65" spans="1:22" ht="18" x14ac:dyDescent="0.25">
      <c r="A65" s="124" t="s">
        <v>297</v>
      </c>
      <c r="B65" s="132">
        <v>1.6437666666666666</v>
      </c>
      <c r="C65" s="134">
        <v>133.30000000000001</v>
      </c>
      <c r="D65" s="132">
        <v>1.5948333333333333</v>
      </c>
      <c r="E65" s="132">
        <v>1.0614999999999999</v>
      </c>
      <c r="F65" s="125">
        <v>103.9</v>
      </c>
      <c r="G65" s="83">
        <v>1.7831999999999999</v>
      </c>
      <c r="H65" s="83">
        <v>1.2666549999999999</v>
      </c>
      <c r="I65" s="125">
        <v>102.9</v>
      </c>
      <c r="J65" s="83">
        <v>2.2498666666666667</v>
      </c>
      <c r="K65" s="83">
        <v>1.7083666666666666</v>
      </c>
      <c r="L65" s="125">
        <v>104.3</v>
      </c>
      <c r="M65" s="125">
        <v>1.8157999999999999</v>
      </c>
      <c r="N65" s="312">
        <v>1.8157999999999999</v>
      </c>
      <c r="O65" s="125">
        <v>105.9</v>
      </c>
    </row>
    <row r="66" spans="1:22" ht="36" x14ac:dyDescent="0.25">
      <c r="A66" s="124" t="s">
        <v>298</v>
      </c>
      <c r="B66" s="132">
        <v>5.7666666666666666</v>
      </c>
      <c r="C66" s="134">
        <v>133.4</v>
      </c>
      <c r="D66" s="132">
        <v>6.3333333333333339</v>
      </c>
      <c r="E66" s="132">
        <v>6.3</v>
      </c>
      <c r="F66" s="125">
        <v>112</v>
      </c>
      <c r="G66" s="83">
        <v>9.3000000000000007</v>
      </c>
      <c r="H66" s="83">
        <v>8.0838440000000009</v>
      </c>
      <c r="I66" s="125">
        <v>117</v>
      </c>
      <c r="J66" s="83">
        <v>9.7666666666666675</v>
      </c>
      <c r="K66" s="83">
        <v>9.2021056666666681</v>
      </c>
      <c r="L66" s="125">
        <v>122</v>
      </c>
      <c r="M66" s="125">
        <v>11.9</v>
      </c>
      <c r="N66" s="316">
        <v>11.200000000000001</v>
      </c>
      <c r="O66" s="125">
        <v>130</v>
      </c>
    </row>
    <row r="67" spans="1:22" ht="18.75" customHeight="1" x14ac:dyDescent="0.25">
      <c r="A67" s="124" t="s">
        <v>299</v>
      </c>
      <c r="B67" s="132">
        <v>4.8666666666666663</v>
      </c>
      <c r="C67" s="134">
        <v>106.6</v>
      </c>
      <c r="D67" s="132">
        <v>13.333333333333334</v>
      </c>
      <c r="E67" s="132">
        <v>11.2</v>
      </c>
      <c r="F67" s="125">
        <v>106.3</v>
      </c>
      <c r="G67" s="83">
        <v>12.8</v>
      </c>
      <c r="H67" s="83">
        <v>12.568349000000001</v>
      </c>
      <c r="I67" s="125">
        <v>107.5</v>
      </c>
      <c r="J67" s="83">
        <v>14.266666666666667</v>
      </c>
      <c r="K67" s="83">
        <v>13.010516666666668</v>
      </c>
      <c r="L67" s="125">
        <v>108.3</v>
      </c>
      <c r="M67" s="125">
        <v>15.515599999999999</v>
      </c>
      <c r="N67" s="316">
        <v>14.8156</v>
      </c>
      <c r="O67" s="125">
        <v>108.8</v>
      </c>
    </row>
    <row r="68" spans="1:22" ht="13.5" customHeight="1" x14ac:dyDescent="0.25">
      <c r="A68" s="124" t="s">
        <v>300</v>
      </c>
      <c r="B68" s="132">
        <v>17.966666666666665</v>
      </c>
      <c r="C68" s="134">
        <v>114.1</v>
      </c>
      <c r="D68" s="132">
        <v>20.556493333333332</v>
      </c>
      <c r="E68" s="132">
        <v>20.22316</v>
      </c>
      <c r="F68" s="125">
        <v>102</v>
      </c>
      <c r="G68" s="83">
        <v>28.223165000000002</v>
      </c>
      <c r="H68" s="83">
        <v>27.067015000000001</v>
      </c>
      <c r="I68" s="125">
        <v>102</v>
      </c>
      <c r="J68" s="83">
        <v>30.689831666666667</v>
      </c>
      <c r="K68" s="83">
        <v>29.638180666666667</v>
      </c>
      <c r="L68" s="125">
        <v>115.4</v>
      </c>
      <c r="M68" s="125">
        <v>33.545650000000002</v>
      </c>
      <c r="N68" s="316">
        <v>32.845649999999999</v>
      </c>
      <c r="O68" s="125">
        <v>102</v>
      </c>
    </row>
    <row r="69" spans="1:22" ht="36" x14ac:dyDescent="0.25">
      <c r="A69" s="124" t="s">
        <v>301</v>
      </c>
      <c r="B69" s="132">
        <v>40.893266666666669</v>
      </c>
      <c r="C69" s="134">
        <v>115.3</v>
      </c>
      <c r="D69" s="132">
        <v>46.795833333333327</v>
      </c>
      <c r="E69" s="132">
        <v>46.567525000000003</v>
      </c>
      <c r="F69" s="125">
        <v>113.2</v>
      </c>
      <c r="G69" s="83">
        <v>65.354161500000004</v>
      </c>
      <c r="H69" s="83">
        <v>65.137661000000008</v>
      </c>
      <c r="I69" s="125">
        <v>111.4</v>
      </c>
      <c r="J69" s="83">
        <v>70.820828166666672</v>
      </c>
      <c r="K69" s="83">
        <v>69.607628166666672</v>
      </c>
      <c r="L69" s="125">
        <v>112.3</v>
      </c>
      <c r="M69" s="125">
        <v>75.152609999999996</v>
      </c>
      <c r="N69" s="316">
        <v>74.452609999999993</v>
      </c>
      <c r="O69" s="125">
        <v>115</v>
      </c>
    </row>
    <row r="70" spans="1:22" ht="14.25" customHeight="1" x14ac:dyDescent="0.25">
      <c r="A70" s="124" t="s">
        <v>302</v>
      </c>
      <c r="B70" s="132">
        <v>438.06666666666666</v>
      </c>
      <c r="C70" s="133">
        <v>96</v>
      </c>
      <c r="D70" s="132">
        <v>483.73333333333335</v>
      </c>
      <c r="E70" s="132">
        <v>473.73333333333335</v>
      </c>
      <c r="F70" s="120">
        <v>105</v>
      </c>
      <c r="G70" s="83">
        <v>575.21266666666668</v>
      </c>
      <c r="H70" s="83">
        <v>573.00035666666668</v>
      </c>
      <c r="I70" s="120">
        <v>110</v>
      </c>
      <c r="J70" s="83">
        <v>900.9666666666667</v>
      </c>
      <c r="K70" s="83">
        <v>898.75435666666669</v>
      </c>
      <c r="L70" s="120">
        <v>111.6</v>
      </c>
      <c r="M70" s="120">
        <v>1374.7415100000001</v>
      </c>
      <c r="N70" s="316">
        <v>1374.04151</v>
      </c>
      <c r="O70" s="120">
        <v>116.5</v>
      </c>
    </row>
    <row r="71" spans="1:22" ht="17.25" customHeight="1" x14ac:dyDescent="0.25">
      <c r="A71" s="124" t="s">
        <v>303</v>
      </c>
      <c r="B71" s="132">
        <v>18.966666666666665</v>
      </c>
      <c r="C71" s="134">
        <v>189.6</v>
      </c>
      <c r="D71" s="132">
        <v>20.033333333333335</v>
      </c>
      <c r="E71" s="132">
        <v>18.033333333333335</v>
      </c>
      <c r="F71" s="125">
        <v>102</v>
      </c>
      <c r="G71" s="83">
        <v>20.399999999999999</v>
      </c>
      <c r="H71" s="83">
        <v>19.234848999999997</v>
      </c>
      <c r="I71" s="125">
        <v>103</v>
      </c>
      <c r="J71" s="83">
        <v>21.366666666666664</v>
      </c>
      <c r="K71" s="83">
        <v>20.850156666666663</v>
      </c>
      <c r="L71" s="125">
        <v>104</v>
      </c>
      <c r="M71" s="125">
        <v>24.5</v>
      </c>
      <c r="N71" s="316">
        <v>23.8</v>
      </c>
      <c r="O71" s="125">
        <v>105</v>
      </c>
    </row>
    <row r="72" spans="1:22" ht="13.5" customHeight="1" x14ac:dyDescent="0.25">
      <c r="A72" s="124" t="s">
        <v>304</v>
      </c>
      <c r="B72" s="132">
        <v>164.48666666666665</v>
      </c>
      <c r="C72" s="133">
        <v>102.3</v>
      </c>
      <c r="D72" s="132">
        <v>170.13533333333334</v>
      </c>
      <c r="E72" s="132">
        <v>168.13533333333334</v>
      </c>
      <c r="F72" s="120">
        <v>107.3</v>
      </c>
      <c r="G72" s="120">
        <v>195.32</v>
      </c>
      <c r="H72" s="120">
        <v>191.12</v>
      </c>
      <c r="I72" s="120">
        <v>110.75393826658141</v>
      </c>
      <c r="J72" s="83">
        <v>220.19666666666666</v>
      </c>
      <c r="K72" s="83">
        <v>219.54150666666666</v>
      </c>
      <c r="L72" s="120">
        <v>102.51382346917879</v>
      </c>
      <c r="M72" s="120">
        <v>231.11</v>
      </c>
      <c r="N72" s="316">
        <v>230.41000000000003</v>
      </c>
      <c r="O72" s="121">
        <v>103.2</v>
      </c>
    </row>
    <row r="73" spans="1:22" ht="28.5" customHeight="1" x14ac:dyDescent="0.25">
      <c r="A73" s="375" t="s">
        <v>308</v>
      </c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  <c r="N73" s="376"/>
      <c r="O73" s="375"/>
    </row>
    <row r="74" spans="1:22" ht="18" x14ac:dyDescent="0.25">
      <c r="A74" s="124" t="s">
        <v>288</v>
      </c>
      <c r="B74" s="15">
        <v>0.61870000000000003</v>
      </c>
      <c r="C74" s="15">
        <v>120.6</v>
      </c>
      <c r="D74" s="18">
        <v>0.84409999999999996</v>
      </c>
      <c r="E74" s="15">
        <v>0.71870000000000001</v>
      </c>
      <c r="F74" s="15">
        <v>100</v>
      </c>
      <c r="G74" s="83">
        <v>1.4</v>
      </c>
      <c r="H74" s="83">
        <v>1.1719666666666666</v>
      </c>
      <c r="I74" s="15">
        <v>114</v>
      </c>
      <c r="J74" s="83">
        <v>1.4809333333333332</v>
      </c>
      <c r="K74" s="15">
        <v>1.08093333333333</v>
      </c>
      <c r="L74" s="15">
        <v>110.9</v>
      </c>
      <c r="M74" s="15">
        <v>1.9</v>
      </c>
      <c r="N74" s="315">
        <v>1.8</v>
      </c>
      <c r="O74" s="15">
        <v>111.5</v>
      </c>
    </row>
    <row r="75" spans="1:22" ht="18" x14ac:dyDescent="0.25">
      <c r="A75" s="124" t="s">
        <v>289</v>
      </c>
      <c r="B75" s="120">
        <v>71.7</v>
      </c>
      <c r="C75" s="120">
        <v>180.9</v>
      </c>
      <c r="D75" s="5">
        <v>86.257571708367294</v>
      </c>
      <c r="E75" s="120">
        <v>85</v>
      </c>
      <c r="F75" s="119">
        <v>110.5</v>
      </c>
      <c r="G75" s="83">
        <v>107.25117717778892</v>
      </c>
      <c r="H75" s="83">
        <v>105.87666666666667</v>
      </c>
      <c r="I75" s="119">
        <v>114.1</v>
      </c>
      <c r="J75" s="83">
        <v>100.73333333333333</v>
      </c>
      <c r="K75" s="120">
        <v>98.733333333332993</v>
      </c>
      <c r="L75" s="119">
        <v>110.7</v>
      </c>
      <c r="M75" s="120">
        <v>105.51220000000001</v>
      </c>
      <c r="N75" s="150">
        <v>105</v>
      </c>
      <c r="O75" s="119">
        <v>108.9</v>
      </c>
    </row>
    <row r="76" spans="1:22" ht="21.75" customHeight="1" x14ac:dyDescent="0.25">
      <c r="A76" s="124" t="s">
        <v>290</v>
      </c>
      <c r="B76" s="120">
        <v>61.7</v>
      </c>
      <c r="C76" s="122">
        <v>103</v>
      </c>
      <c r="D76" s="5">
        <v>74.357571708367317</v>
      </c>
      <c r="E76" s="120">
        <v>72.938000000000002</v>
      </c>
      <c r="F76" s="119">
        <v>106.3</v>
      </c>
      <c r="G76" s="83">
        <v>89.598468305537125</v>
      </c>
      <c r="H76" s="83">
        <v>88.114962666666671</v>
      </c>
      <c r="I76" s="119">
        <v>109.15129151291512</v>
      </c>
      <c r="J76" s="83">
        <v>93.13333333333334</v>
      </c>
      <c r="K76" s="120">
        <v>92.133333333332999</v>
      </c>
      <c r="L76" s="119">
        <v>110.79310344827587</v>
      </c>
      <c r="M76" s="120">
        <v>102.2131</v>
      </c>
      <c r="N76" s="150">
        <v>101.74156000000002</v>
      </c>
      <c r="O76" s="119">
        <v>112.03809523809525</v>
      </c>
    </row>
    <row r="77" spans="1:22" ht="15.75" customHeight="1" x14ac:dyDescent="0.25">
      <c r="A77" s="124" t="s">
        <v>291</v>
      </c>
      <c r="B77" s="120">
        <v>66.354600000000005</v>
      </c>
      <c r="C77" s="119">
        <v>85.9</v>
      </c>
      <c r="D77" s="5">
        <v>80.411803208367303</v>
      </c>
      <c r="E77" s="120">
        <v>78.690129870129994</v>
      </c>
      <c r="F77" s="119">
        <v>116.88311688311688</v>
      </c>
      <c r="G77" s="83">
        <v>98.3560445088726</v>
      </c>
      <c r="H77" s="83">
        <v>96.43245679653694</v>
      </c>
      <c r="I77" s="119">
        <v>115.61139157578326</v>
      </c>
      <c r="J77" s="83">
        <v>112.36949721633434</v>
      </c>
      <c r="K77" s="120">
        <v>111.369497216334</v>
      </c>
      <c r="L77" s="119">
        <v>119.44459251625335</v>
      </c>
      <c r="M77" s="120">
        <v>161.156541</v>
      </c>
      <c r="N77" s="150">
        <v>159.35645000000002</v>
      </c>
      <c r="O77" s="119">
        <v>117.178578167049</v>
      </c>
    </row>
    <row r="78" spans="1:22" ht="18" x14ac:dyDescent="0.25">
      <c r="A78" s="124" t="s">
        <v>292</v>
      </c>
      <c r="B78" s="120">
        <v>7.2</v>
      </c>
      <c r="C78" s="120">
        <v>2.2999999999999998</v>
      </c>
      <c r="D78" s="120">
        <v>9.1132156000000002</v>
      </c>
      <c r="E78" s="120">
        <v>8.8000000000000007</v>
      </c>
      <c r="F78" s="119">
        <v>119.4</v>
      </c>
      <c r="G78" s="83">
        <v>12.165161339599999</v>
      </c>
      <c r="H78" s="83">
        <v>11.827466666666668</v>
      </c>
      <c r="I78" s="119">
        <v>129.1</v>
      </c>
      <c r="J78" s="83">
        <v>14.733333333333333</v>
      </c>
      <c r="K78" s="120">
        <v>14.133333333333301</v>
      </c>
      <c r="L78" s="119">
        <v>127.7</v>
      </c>
      <c r="M78" s="120">
        <v>17.75121</v>
      </c>
      <c r="N78" s="150">
        <v>17.363539999999997</v>
      </c>
      <c r="O78" s="119">
        <v>132.19999999999999</v>
      </c>
    </row>
    <row r="79" spans="1:22" ht="18" x14ac:dyDescent="0.25">
      <c r="A79" s="124" t="s">
        <v>293</v>
      </c>
      <c r="B79" s="120">
        <v>0.3</v>
      </c>
      <c r="C79" s="121">
        <v>100</v>
      </c>
      <c r="D79" s="120">
        <v>0.4</v>
      </c>
      <c r="E79" s="120">
        <v>0.3</v>
      </c>
      <c r="F79" s="119">
        <v>100</v>
      </c>
      <c r="G79" s="83">
        <v>0.93320000000000014</v>
      </c>
      <c r="H79" s="83">
        <v>0.86656666666666671</v>
      </c>
      <c r="I79" s="119">
        <v>133.30000000000001</v>
      </c>
      <c r="J79" s="83">
        <v>1.1333333333333333</v>
      </c>
      <c r="K79" s="120">
        <v>1.1333333333333333</v>
      </c>
      <c r="L79" s="119">
        <v>125</v>
      </c>
      <c r="M79" s="120">
        <v>1.7</v>
      </c>
      <c r="N79" s="313">
        <v>1.5312300000000001</v>
      </c>
      <c r="O79" s="119">
        <v>150</v>
      </c>
    </row>
    <row r="80" spans="1:22" ht="18" x14ac:dyDescent="0.25">
      <c r="A80" s="124" t="s">
        <v>294</v>
      </c>
      <c r="B80" s="120">
        <v>4.0853999999999999</v>
      </c>
      <c r="C80" s="119">
        <v>118</v>
      </c>
      <c r="D80" s="120">
        <v>7.7</v>
      </c>
      <c r="E80" s="120">
        <v>7.44</v>
      </c>
      <c r="F80" s="119">
        <v>119</v>
      </c>
      <c r="G80" s="83">
        <v>8.7246999999999986</v>
      </c>
      <c r="H80" s="83">
        <v>8.4765066666666655</v>
      </c>
      <c r="I80" s="119">
        <v>121.1</v>
      </c>
      <c r="J80" s="83">
        <v>10.274753333333333</v>
      </c>
      <c r="K80" s="120">
        <v>10.2414753333333</v>
      </c>
      <c r="L80" s="119">
        <v>122</v>
      </c>
      <c r="M80" s="120">
        <v>12.3548852</v>
      </c>
      <c r="N80" s="313">
        <v>11.4</v>
      </c>
      <c r="O80" s="119">
        <v>124.2</v>
      </c>
      <c r="V80" s="36" t="s">
        <v>309</v>
      </c>
    </row>
    <row r="81" spans="1:15" ht="36" x14ac:dyDescent="0.25">
      <c r="A81" s="124" t="s">
        <v>295</v>
      </c>
      <c r="B81" s="120">
        <v>8.5</v>
      </c>
      <c r="C81" s="119">
        <v>101.6</v>
      </c>
      <c r="D81" s="120">
        <v>10.811499999999999</v>
      </c>
      <c r="E81" s="120">
        <v>9.3329999999999984</v>
      </c>
      <c r="F81" s="119">
        <v>109.8</v>
      </c>
      <c r="G81" s="83">
        <v>9.0256528029100007</v>
      </c>
      <c r="H81" s="83">
        <v>8.841086863666666</v>
      </c>
      <c r="I81" s="119">
        <v>114.7</v>
      </c>
      <c r="J81" s="83">
        <v>10.336186751255433</v>
      </c>
      <c r="K81" s="120">
        <v>10.336186751255427</v>
      </c>
      <c r="L81" s="119">
        <v>115.4</v>
      </c>
      <c r="M81" s="120">
        <v>12.866571507662099</v>
      </c>
      <c r="N81" s="313">
        <v>11.4986158019982</v>
      </c>
      <c r="O81" s="119">
        <v>112.7</v>
      </c>
    </row>
    <row r="82" spans="1:15" ht="18" x14ac:dyDescent="0.25">
      <c r="A82" s="124" t="s">
        <v>296</v>
      </c>
      <c r="B82" s="120">
        <v>0.13</v>
      </c>
      <c r="C82" s="119">
        <v>95.2</v>
      </c>
      <c r="D82" s="120">
        <v>0.13181999999999999</v>
      </c>
      <c r="E82" s="120">
        <v>0.13181999999999999</v>
      </c>
      <c r="F82" s="119">
        <v>101.4</v>
      </c>
      <c r="G82" s="83">
        <v>0.55080207999999997</v>
      </c>
      <c r="H82" s="83">
        <v>0.62142334666666665</v>
      </c>
      <c r="I82" s="119">
        <v>114.9</v>
      </c>
      <c r="J82" s="83">
        <v>0.85045587538666667</v>
      </c>
      <c r="K82" s="120">
        <v>0.85045587538666667</v>
      </c>
      <c r="L82" s="119">
        <v>114.7</v>
      </c>
      <c r="M82" s="120">
        <v>1.05165156</v>
      </c>
      <c r="N82" s="313">
        <v>1.0005155999999999</v>
      </c>
      <c r="O82" s="119">
        <v>112.8</v>
      </c>
    </row>
    <row r="83" spans="1:15" ht="36" x14ac:dyDescent="0.25">
      <c r="A83" s="124" t="s">
        <v>298</v>
      </c>
      <c r="B83" s="120">
        <v>0.1</v>
      </c>
      <c r="C83" s="120">
        <v>199.6</v>
      </c>
      <c r="D83" s="120">
        <v>0.114</v>
      </c>
      <c r="E83" s="120">
        <v>0.11</v>
      </c>
      <c r="F83" s="119">
        <v>112</v>
      </c>
      <c r="G83" s="83">
        <v>0.2</v>
      </c>
      <c r="H83" s="83">
        <v>0.2</v>
      </c>
      <c r="I83" s="119">
        <v>117</v>
      </c>
      <c r="J83" s="83">
        <v>0.2</v>
      </c>
      <c r="K83" s="120">
        <v>0.2</v>
      </c>
      <c r="L83" s="119">
        <v>122</v>
      </c>
      <c r="M83" s="120">
        <v>0.3</v>
      </c>
      <c r="N83" s="313">
        <v>0.3</v>
      </c>
      <c r="O83" s="119">
        <v>130</v>
      </c>
    </row>
    <row r="84" spans="1:15" ht="20.25" customHeight="1" x14ac:dyDescent="0.25">
      <c r="A84" s="124" t="s">
        <v>299</v>
      </c>
      <c r="B84" s="120">
        <v>0.18210000000000001</v>
      </c>
      <c r="C84" s="119">
        <v>714.1</v>
      </c>
      <c r="D84" s="120">
        <v>0.2</v>
      </c>
      <c r="E84" s="120">
        <v>0.19120499999999999</v>
      </c>
      <c r="F84" s="119">
        <v>105</v>
      </c>
      <c r="G84" s="83">
        <v>0.2</v>
      </c>
      <c r="H84" s="135">
        <v>0.2</v>
      </c>
      <c r="I84" s="119">
        <v>110.4</v>
      </c>
      <c r="J84" s="83">
        <v>0.2</v>
      </c>
      <c r="K84" s="120">
        <v>0.2</v>
      </c>
      <c r="L84" s="119">
        <v>114.5</v>
      </c>
      <c r="M84" s="120">
        <v>0.2</v>
      </c>
      <c r="N84" s="313">
        <v>0.2</v>
      </c>
      <c r="O84" s="119">
        <v>116.3</v>
      </c>
    </row>
    <row r="85" spans="1:15" ht="36" x14ac:dyDescent="0.25">
      <c r="A85" s="124" t="s">
        <v>300</v>
      </c>
      <c r="B85" s="120">
        <v>0.84</v>
      </c>
      <c r="C85" s="121">
        <v>94.5</v>
      </c>
      <c r="D85" s="120">
        <v>1.0164000000000002</v>
      </c>
      <c r="E85" s="120">
        <v>0.92400000000000004</v>
      </c>
      <c r="F85" s="119">
        <v>110</v>
      </c>
      <c r="G85" s="83">
        <v>1.520581</v>
      </c>
      <c r="H85" s="83">
        <v>1.5338866666666666</v>
      </c>
      <c r="I85" s="119">
        <v>105</v>
      </c>
      <c r="J85" s="83">
        <v>2.3687738858333334</v>
      </c>
      <c r="K85" s="120">
        <v>2.3687738858333334</v>
      </c>
      <c r="L85" s="119">
        <v>105</v>
      </c>
      <c r="M85" s="120">
        <v>3.0021100000000001</v>
      </c>
      <c r="N85" s="313">
        <v>3.00051566</v>
      </c>
      <c r="O85" s="119">
        <v>105</v>
      </c>
    </row>
    <row r="86" spans="1:15" ht="36" x14ac:dyDescent="0.25">
      <c r="A86" s="124" t="s">
        <v>301</v>
      </c>
      <c r="B86" s="15">
        <v>0.248</v>
      </c>
      <c r="C86" s="15">
        <v>103.1</v>
      </c>
      <c r="D86" s="15">
        <v>0.2641</v>
      </c>
      <c r="E86" s="15">
        <v>0.25819999999999999</v>
      </c>
      <c r="F86" s="15">
        <v>104.1</v>
      </c>
      <c r="G86" s="83">
        <v>0.68369999999999997</v>
      </c>
      <c r="H86" s="83">
        <v>0.74396666666666667</v>
      </c>
      <c r="I86" s="15">
        <v>105</v>
      </c>
      <c r="J86" s="83">
        <v>0.43803333333333339</v>
      </c>
      <c r="K86" s="15">
        <v>0.43803333333333327</v>
      </c>
      <c r="L86" s="15">
        <v>105</v>
      </c>
      <c r="M86" s="15">
        <v>0.3276</v>
      </c>
      <c r="N86" s="315">
        <v>0.32019999999999998</v>
      </c>
      <c r="O86" s="15">
        <v>105.1</v>
      </c>
    </row>
    <row r="87" spans="1:15" ht="18" x14ac:dyDescent="0.25">
      <c r="A87" s="124" t="s">
        <v>302</v>
      </c>
      <c r="B87" s="120">
        <v>0.13</v>
      </c>
      <c r="C87" s="121">
        <v>80</v>
      </c>
      <c r="D87" s="121">
        <v>0.14000000000000001</v>
      </c>
      <c r="E87" s="121">
        <v>0.10489999999999999</v>
      </c>
      <c r="F87" s="120">
        <v>105</v>
      </c>
      <c r="G87" s="83">
        <v>0.55400000000000005</v>
      </c>
      <c r="H87" s="83">
        <v>0.6166666666666667</v>
      </c>
      <c r="I87" s="120">
        <v>110</v>
      </c>
      <c r="J87" s="83">
        <v>0.31633333333333336</v>
      </c>
      <c r="K87" s="121">
        <v>0.31633333333333336</v>
      </c>
      <c r="L87" s="120">
        <v>114.9</v>
      </c>
      <c r="M87" s="121">
        <v>0.219</v>
      </c>
      <c r="N87" s="314">
        <v>0.21299999999999999</v>
      </c>
      <c r="O87" s="121">
        <v>116.4</v>
      </c>
    </row>
    <row r="88" spans="1:15" ht="18" x14ac:dyDescent="0.25">
      <c r="A88" s="124" t="s">
        <v>303</v>
      </c>
      <c r="B88" s="120">
        <v>6</v>
      </c>
      <c r="C88" s="120">
        <v>243.7</v>
      </c>
      <c r="D88" s="120">
        <v>7.6</v>
      </c>
      <c r="E88" s="120">
        <v>7.5</v>
      </c>
      <c r="F88" s="121">
        <v>108</v>
      </c>
      <c r="G88" s="83">
        <v>10</v>
      </c>
      <c r="H88" s="83">
        <v>9.7666666666666675</v>
      </c>
      <c r="I88" s="120">
        <v>110</v>
      </c>
      <c r="J88" s="83">
        <v>13.433333333333334</v>
      </c>
      <c r="K88" s="120">
        <v>12.4333333333333</v>
      </c>
      <c r="L88" s="120">
        <v>112</v>
      </c>
      <c r="M88" s="120">
        <v>14.021561516</v>
      </c>
      <c r="N88" s="313">
        <v>12.67666666666663</v>
      </c>
      <c r="O88" s="121">
        <v>114</v>
      </c>
    </row>
    <row r="89" spans="1:15" ht="13.5" customHeight="1" x14ac:dyDescent="0.25">
      <c r="A89" s="124" t="s">
        <v>304</v>
      </c>
      <c r="B89" s="125">
        <v>0.42414400000000002</v>
      </c>
      <c r="C89" s="125">
        <v>108.2</v>
      </c>
      <c r="D89" s="125">
        <v>0.46274110400000001</v>
      </c>
      <c r="E89" s="125">
        <v>0.46274110400000001</v>
      </c>
      <c r="F89" s="125">
        <v>109.1</v>
      </c>
      <c r="G89" s="83">
        <v>0.91873277758400007</v>
      </c>
      <c r="H89" s="83">
        <v>0.98725040866666669</v>
      </c>
      <c r="I89" s="125">
        <v>112.12686567164178</v>
      </c>
      <c r="J89" s="83">
        <v>1.25386254717</v>
      </c>
      <c r="K89" s="125">
        <v>1.25386254717</v>
      </c>
      <c r="L89" s="125">
        <v>113.54330708661415</v>
      </c>
      <c r="M89" s="125">
        <v>1.5</v>
      </c>
      <c r="N89" s="312">
        <v>1.4</v>
      </c>
      <c r="O89" s="125">
        <v>114.3</v>
      </c>
    </row>
    <row r="90" spans="1:15" x14ac:dyDescent="0.25">
      <c r="A90" s="303"/>
      <c r="B90" s="304"/>
      <c r="C90" s="304"/>
      <c r="D90" s="304"/>
      <c r="E90" s="304"/>
      <c r="F90" s="304"/>
      <c r="G90" s="304"/>
      <c r="H90" s="304"/>
      <c r="I90" s="304"/>
      <c r="J90" s="304"/>
      <c r="K90" s="304"/>
      <c r="L90" s="304"/>
      <c r="M90" s="304"/>
    </row>
    <row r="91" spans="1:15" x14ac:dyDescent="0.25">
      <c r="A91" s="305"/>
      <c r="B91" s="304"/>
      <c r="C91" s="304"/>
      <c r="D91" s="304"/>
      <c r="E91" s="304"/>
      <c r="F91" s="304"/>
      <c r="G91" s="304"/>
      <c r="H91" s="304"/>
      <c r="I91" s="304"/>
      <c r="J91" s="304"/>
      <c r="K91" s="304"/>
      <c r="L91" s="304"/>
      <c r="M91" s="304"/>
    </row>
    <row r="92" spans="1:15" x14ac:dyDescent="0.25">
      <c r="A92" s="305"/>
      <c r="B92" s="304"/>
      <c r="C92" s="304"/>
      <c r="D92" s="304"/>
      <c r="E92" s="304"/>
      <c r="F92" s="304"/>
      <c r="G92" s="304"/>
      <c r="H92" s="304"/>
      <c r="I92" s="304"/>
      <c r="J92" s="304"/>
      <c r="K92" s="304"/>
      <c r="L92" s="304"/>
      <c r="M92" s="304"/>
    </row>
    <row r="93" spans="1:15" x14ac:dyDescent="0.25">
      <c r="A93" s="305"/>
      <c r="B93" s="304"/>
      <c r="C93" s="304"/>
      <c r="D93" s="304"/>
      <c r="E93" s="304"/>
      <c r="F93" s="304"/>
      <c r="G93" s="304"/>
      <c r="H93" s="304"/>
      <c r="I93" s="304"/>
      <c r="J93" s="304"/>
      <c r="K93" s="304"/>
      <c r="L93" s="304"/>
      <c r="M93" s="304"/>
    </row>
    <row r="94" spans="1:15" x14ac:dyDescent="0.25">
      <c r="A94" s="305"/>
      <c r="B94" s="304"/>
      <c r="C94" s="304"/>
      <c r="D94" s="304"/>
      <c r="E94" s="304"/>
      <c r="F94" s="304"/>
      <c r="G94" s="304"/>
      <c r="H94" s="304"/>
      <c r="I94" s="304"/>
      <c r="J94" s="304"/>
      <c r="K94" s="304"/>
      <c r="L94" s="304"/>
      <c r="M94" s="304"/>
    </row>
    <row r="95" spans="1:15" x14ac:dyDescent="0.25">
      <c r="A95" s="305"/>
      <c r="B95" s="304"/>
      <c r="C95" s="304"/>
      <c r="D95" s="304"/>
      <c r="E95" s="304"/>
      <c r="F95" s="304"/>
      <c r="G95" s="304"/>
      <c r="H95" s="304"/>
      <c r="I95" s="304"/>
      <c r="J95" s="304"/>
      <c r="K95" s="304"/>
      <c r="L95" s="304"/>
      <c r="M95" s="304"/>
    </row>
    <row r="96" spans="1:15" x14ac:dyDescent="0.25">
      <c r="A96" s="305"/>
      <c r="B96" s="304"/>
      <c r="C96" s="304"/>
      <c r="D96" s="304"/>
      <c r="E96" s="304"/>
      <c r="F96" s="304"/>
      <c r="G96" s="304"/>
      <c r="H96" s="304"/>
      <c r="I96" s="304"/>
      <c r="J96" s="304"/>
      <c r="K96" s="304"/>
      <c r="L96" s="304"/>
      <c r="M96" s="304"/>
    </row>
    <row r="97" spans="1:13" x14ac:dyDescent="0.25">
      <c r="A97" s="305"/>
      <c r="B97" s="304"/>
      <c r="C97" s="304"/>
      <c r="D97" s="304"/>
      <c r="E97" s="304"/>
      <c r="F97" s="304"/>
      <c r="G97" s="304"/>
      <c r="H97" s="304"/>
      <c r="I97" s="304"/>
      <c r="J97" s="304"/>
      <c r="K97" s="304"/>
      <c r="L97" s="304"/>
      <c r="M97" s="304"/>
    </row>
    <row r="98" spans="1:13" x14ac:dyDescent="0.25">
      <c r="A98" s="305"/>
      <c r="B98" s="304"/>
      <c r="C98" s="304"/>
      <c r="D98" s="304"/>
      <c r="E98" s="304"/>
      <c r="F98" s="304"/>
      <c r="G98" s="304"/>
      <c r="H98" s="304"/>
      <c r="I98" s="304"/>
      <c r="J98" s="304"/>
      <c r="K98" s="304"/>
      <c r="L98" s="304"/>
      <c r="M98" s="304"/>
    </row>
    <row r="99" spans="1:13" x14ac:dyDescent="0.25">
      <c r="A99" s="305"/>
      <c r="B99" s="304"/>
      <c r="C99" s="304"/>
      <c r="D99" s="304"/>
      <c r="E99" s="304"/>
      <c r="F99" s="304"/>
      <c r="G99" s="304"/>
      <c r="H99" s="304"/>
      <c r="I99" s="304"/>
      <c r="J99" s="304"/>
      <c r="K99" s="304"/>
      <c r="L99" s="304"/>
      <c r="M99" s="304"/>
    </row>
    <row r="100" spans="1:13" x14ac:dyDescent="0.25">
      <c r="A100" s="305"/>
      <c r="B100" s="304"/>
      <c r="C100" s="304"/>
      <c r="D100" s="304"/>
      <c r="E100" s="304"/>
      <c r="F100" s="304"/>
      <c r="G100" s="304"/>
      <c r="H100" s="304"/>
      <c r="I100" s="304"/>
      <c r="J100" s="304"/>
      <c r="K100" s="304"/>
      <c r="L100" s="304"/>
      <c r="M100" s="304"/>
    </row>
    <row r="101" spans="1:13" x14ac:dyDescent="0.25">
      <c r="A101" s="305"/>
      <c r="B101" s="304"/>
      <c r="C101" s="304"/>
      <c r="D101" s="304"/>
      <c r="E101" s="304"/>
      <c r="F101" s="304"/>
      <c r="G101" s="304"/>
      <c r="H101" s="304"/>
      <c r="I101" s="304"/>
      <c r="J101" s="304"/>
      <c r="K101" s="304"/>
      <c r="L101" s="304"/>
      <c r="M101" s="304"/>
    </row>
    <row r="102" spans="1:13" x14ac:dyDescent="0.25">
      <c r="A102" s="305"/>
      <c r="B102" s="304"/>
      <c r="C102" s="304"/>
      <c r="D102" s="304"/>
      <c r="E102" s="304"/>
      <c r="F102" s="304"/>
      <c r="G102" s="304"/>
      <c r="H102" s="304"/>
      <c r="I102" s="304"/>
      <c r="J102" s="304"/>
      <c r="K102" s="304"/>
      <c r="L102" s="304"/>
      <c r="M102" s="304"/>
    </row>
    <row r="103" spans="1:13" x14ac:dyDescent="0.25">
      <c r="A103" s="305"/>
      <c r="B103" s="304"/>
      <c r="C103" s="304"/>
      <c r="D103" s="304"/>
      <c r="E103" s="304"/>
      <c r="F103" s="304"/>
      <c r="G103" s="304"/>
      <c r="H103" s="304"/>
      <c r="I103" s="304"/>
      <c r="J103" s="304"/>
      <c r="K103" s="304"/>
      <c r="L103" s="304"/>
      <c r="M103" s="304"/>
    </row>
    <row r="104" spans="1:13" x14ac:dyDescent="0.25">
      <c r="A104" s="305"/>
      <c r="B104" s="304"/>
      <c r="C104" s="304"/>
      <c r="D104" s="304"/>
      <c r="E104" s="304"/>
      <c r="F104" s="304"/>
      <c r="G104" s="304"/>
      <c r="H104" s="304"/>
      <c r="I104" s="304"/>
      <c r="J104" s="304"/>
      <c r="K104" s="304"/>
      <c r="L104" s="304"/>
      <c r="M104" s="304"/>
    </row>
    <row r="105" spans="1:13" x14ac:dyDescent="0.25">
      <c r="A105" s="305"/>
      <c r="B105" s="304"/>
      <c r="C105" s="304"/>
      <c r="D105" s="304"/>
      <c r="E105" s="304"/>
      <c r="F105" s="304"/>
      <c r="G105" s="304"/>
      <c r="H105" s="304"/>
      <c r="I105" s="304"/>
      <c r="J105" s="304"/>
      <c r="K105" s="304"/>
      <c r="L105" s="304"/>
      <c r="M105" s="304"/>
    </row>
    <row r="106" spans="1:13" x14ac:dyDescent="0.25">
      <c r="A106" s="305"/>
      <c r="B106" s="304"/>
      <c r="C106" s="304"/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</row>
    <row r="107" spans="1:13" x14ac:dyDescent="0.25">
      <c r="A107" s="305"/>
      <c r="B107" s="304"/>
      <c r="C107" s="304"/>
      <c r="D107" s="304"/>
      <c r="E107" s="304"/>
      <c r="F107" s="304"/>
      <c r="G107" s="304"/>
      <c r="H107" s="304"/>
      <c r="I107" s="304"/>
      <c r="J107" s="304"/>
      <c r="K107" s="304"/>
      <c r="L107" s="304"/>
      <c r="M107" s="304"/>
    </row>
    <row r="108" spans="1:13" x14ac:dyDescent="0.25">
      <c r="A108" s="305"/>
      <c r="B108" s="304"/>
      <c r="C108" s="304"/>
      <c r="D108" s="304"/>
      <c r="E108" s="304"/>
      <c r="F108" s="304"/>
      <c r="G108" s="304"/>
      <c r="H108" s="304"/>
      <c r="I108" s="304"/>
      <c r="J108" s="304"/>
      <c r="K108" s="304"/>
      <c r="L108" s="304"/>
      <c r="M108" s="304"/>
    </row>
    <row r="109" spans="1:13" x14ac:dyDescent="0.25">
      <c r="A109" s="305"/>
      <c r="B109" s="304"/>
      <c r="C109" s="304"/>
      <c r="D109" s="304"/>
      <c r="E109" s="304"/>
      <c r="F109" s="304"/>
      <c r="G109" s="304"/>
      <c r="H109" s="304"/>
      <c r="I109" s="304"/>
      <c r="J109" s="304"/>
      <c r="K109" s="304"/>
      <c r="L109" s="304"/>
      <c r="M109" s="304"/>
    </row>
    <row r="110" spans="1:13" x14ac:dyDescent="0.25">
      <c r="A110" s="305"/>
      <c r="B110" s="304"/>
      <c r="C110" s="304"/>
      <c r="D110" s="304"/>
      <c r="E110" s="304"/>
      <c r="F110" s="304"/>
      <c r="G110" s="304"/>
      <c r="H110" s="304"/>
      <c r="I110" s="304"/>
      <c r="J110" s="304"/>
      <c r="K110" s="304"/>
      <c r="L110" s="304"/>
      <c r="M110" s="304"/>
    </row>
    <row r="111" spans="1:13" x14ac:dyDescent="0.25">
      <c r="A111" s="305"/>
      <c r="B111" s="304"/>
      <c r="C111" s="304"/>
      <c r="D111" s="304"/>
      <c r="E111" s="304"/>
      <c r="F111" s="304"/>
      <c r="G111" s="304"/>
      <c r="H111" s="304"/>
      <c r="I111" s="304"/>
      <c r="J111" s="304"/>
      <c r="K111" s="304"/>
      <c r="L111" s="304"/>
      <c r="M111" s="304"/>
    </row>
    <row r="112" spans="1:13" x14ac:dyDescent="0.25">
      <c r="A112" s="305"/>
      <c r="B112" s="304"/>
      <c r="C112" s="304"/>
      <c r="D112" s="304"/>
      <c r="E112" s="304"/>
      <c r="F112" s="304"/>
      <c r="G112" s="304"/>
      <c r="H112" s="304"/>
      <c r="I112" s="304"/>
      <c r="J112" s="304"/>
      <c r="K112" s="304"/>
      <c r="L112" s="304"/>
      <c r="M112" s="304"/>
    </row>
    <row r="113" spans="1:13" x14ac:dyDescent="0.25">
      <c r="A113" s="305"/>
      <c r="B113" s="304"/>
      <c r="C113" s="304"/>
      <c r="D113" s="304"/>
      <c r="E113" s="304"/>
      <c r="F113" s="304"/>
      <c r="G113" s="304"/>
      <c r="H113" s="304"/>
      <c r="I113" s="304"/>
      <c r="J113" s="304"/>
      <c r="K113" s="304"/>
      <c r="L113" s="304"/>
      <c r="M113" s="304"/>
    </row>
    <row r="114" spans="1:13" x14ac:dyDescent="0.25">
      <c r="A114" s="305"/>
      <c r="B114" s="304"/>
      <c r="C114" s="304"/>
      <c r="D114" s="304"/>
      <c r="E114" s="304"/>
      <c r="F114" s="304"/>
      <c r="G114" s="304"/>
      <c r="H114" s="304"/>
      <c r="I114" s="304"/>
      <c r="J114" s="304"/>
      <c r="K114" s="304"/>
      <c r="L114" s="304"/>
      <c r="M114" s="304"/>
    </row>
    <row r="115" spans="1:13" x14ac:dyDescent="0.25">
      <c r="A115" s="305"/>
      <c r="B115" s="304"/>
      <c r="C115" s="304"/>
      <c r="D115" s="304"/>
      <c r="E115" s="304"/>
      <c r="F115" s="304"/>
      <c r="G115" s="304"/>
      <c r="H115" s="304"/>
      <c r="I115" s="304"/>
      <c r="J115" s="304"/>
      <c r="K115" s="304"/>
      <c r="L115" s="304"/>
      <c r="M115" s="304"/>
    </row>
    <row r="116" spans="1:13" x14ac:dyDescent="0.25">
      <c r="A116" s="305"/>
      <c r="B116" s="304"/>
      <c r="C116" s="304"/>
      <c r="D116" s="304"/>
      <c r="E116" s="304"/>
      <c r="F116" s="304"/>
      <c r="G116" s="304"/>
      <c r="H116" s="304"/>
      <c r="I116" s="304"/>
      <c r="J116" s="304"/>
      <c r="K116" s="304"/>
      <c r="L116" s="304"/>
      <c r="M116" s="304"/>
    </row>
    <row r="117" spans="1:13" x14ac:dyDescent="0.25">
      <c r="A117" s="305"/>
      <c r="B117" s="304"/>
      <c r="C117" s="304"/>
      <c r="D117" s="304"/>
      <c r="E117" s="304"/>
      <c r="F117" s="304"/>
      <c r="G117" s="304"/>
      <c r="H117" s="304"/>
      <c r="I117" s="304"/>
      <c r="J117" s="304"/>
      <c r="K117" s="304"/>
      <c r="L117" s="304"/>
      <c r="M117" s="304"/>
    </row>
    <row r="118" spans="1:13" x14ac:dyDescent="0.25">
      <c r="A118" s="305"/>
      <c r="B118" s="304"/>
      <c r="C118" s="304"/>
      <c r="D118" s="304"/>
      <c r="E118" s="304"/>
      <c r="F118" s="304"/>
      <c r="G118" s="304"/>
      <c r="H118" s="304"/>
      <c r="I118" s="304"/>
      <c r="J118" s="304"/>
      <c r="K118" s="304"/>
      <c r="L118" s="304"/>
      <c r="M118" s="304"/>
    </row>
    <row r="119" spans="1:13" x14ac:dyDescent="0.25">
      <c r="A119" s="305"/>
      <c r="B119" s="304"/>
      <c r="C119" s="304"/>
      <c r="D119" s="304"/>
      <c r="E119" s="304"/>
      <c r="F119" s="304"/>
      <c r="G119" s="304"/>
      <c r="H119" s="304"/>
      <c r="I119" s="304"/>
      <c r="J119" s="304"/>
      <c r="K119" s="304"/>
      <c r="L119" s="304"/>
      <c r="M119" s="304"/>
    </row>
    <row r="120" spans="1:13" x14ac:dyDescent="0.25">
      <c r="A120" s="305"/>
      <c r="B120" s="304"/>
      <c r="C120" s="304"/>
      <c r="D120" s="304"/>
      <c r="E120" s="304"/>
      <c r="F120" s="304"/>
      <c r="G120" s="304"/>
      <c r="H120" s="304"/>
      <c r="I120" s="304"/>
      <c r="J120" s="304"/>
      <c r="K120" s="304"/>
      <c r="L120" s="304"/>
      <c r="M120" s="304"/>
    </row>
    <row r="121" spans="1:13" x14ac:dyDescent="0.25">
      <c r="A121" s="305"/>
      <c r="B121" s="304"/>
      <c r="C121" s="304"/>
      <c r="D121" s="304"/>
      <c r="E121" s="304"/>
      <c r="F121" s="304"/>
      <c r="G121" s="304"/>
      <c r="H121" s="304"/>
      <c r="I121" s="304"/>
      <c r="J121" s="304"/>
      <c r="K121" s="304"/>
      <c r="L121" s="304"/>
      <c r="M121" s="304"/>
    </row>
    <row r="122" spans="1:13" x14ac:dyDescent="0.25">
      <c r="A122" s="305"/>
      <c r="B122" s="304"/>
      <c r="C122" s="304"/>
      <c r="D122" s="304"/>
      <c r="E122" s="304"/>
      <c r="F122" s="304"/>
      <c r="G122" s="304"/>
      <c r="H122" s="304"/>
      <c r="I122" s="304"/>
      <c r="J122" s="304"/>
      <c r="K122" s="304"/>
      <c r="L122" s="304"/>
      <c r="M122" s="304"/>
    </row>
    <row r="123" spans="1:13" x14ac:dyDescent="0.25">
      <c r="A123" s="305"/>
      <c r="B123" s="304"/>
      <c r="C123" s="304"/>
      <c r="D123" s="304"/>
      <c r="E123" s="304"/>
      <c r="F123" s="304"/>
      <c r="G123" s="304"/>
      <c r="H123" s="304"/>
      <c r="I123" s="304"/>
      <c r="J123" s="304"/>
      <c r="K123" s="304"/>
      <c r="L123" s="304"/>
      <c r="M123" s="304"/>
    </row>
    <row r="124" spans="1:13" x14ac:dyDescent="0.25">
      <c r="A124" s="305"/>
      <c r="B124" s="304"/>
      <c r="C124" s="304"/>
      <c r="D124" s="304"/>
      <c r="E124" s="304"/>
      <c r="F124" s="304"/>
      <c r="G124" s="304"/>
      <c r="H124" s="304"/>
      <c r="I124" s="304"/>
      <c r="J124" s="304"/>
      <c r="K124" s="304"/>
      <c r="L124" s="304"/>
      <c r="M124" s="304"/>
    </row>
    <row r="125" spans="1:13" x14ac:dyDescent="0.25">
      <c r="A125" s="305"/>
      <c r="B125" s="304"/>
      <c r="C125" s="304"/>
      <c r="D125" s="304"/>
      <c r="E125" s="304"/>
      <c r="F125" s="304"/>
      <c r="G125" s="304"/>
      <c r="H125" s="304"/>
      <c r="I125" s="304"/>
      <c r="J125" s="304"/>
      <c r="K125" s="304"/>
      <c r="L125" s="304"/>
      <c r="M125" s="304"/>
    </row>
    <row r="126" spans="1:13" x14ac:dyDescent="0.25">
      <c r="A126" s="305"/>
      <c r="B126" s="304"/>
      <c r="C126" s="304"/>
      <c r="D126" s="304"/>
      <c r="E126" s="304"/>
      <c r="F126" s="304"/>
      <c r="G126" s="304"/>
      <c r="H126" s="304"/>
      <c r="I126" s="304"/>
      <c r="J126" s="304"/>
      <c r="K126" s="304"/>
      <c r="L126" s="304"/>
      <c r="M126" s="304"/>
    </row>
    <row r="127" spans="1:13" x14ac:dyDescent="0.25">
      <c r="A127" s="305"/>
      <c r="B127" s="304"/>
      <c r="C127" s="304"/>
      <c r="D127" s="304"/>
      <c r="E127" s="304"/>
      <c r="F127" s="304"/>
      <c r="G127" s="304"/>
      <c r="H127" s="304"/>
      <c r="I127" s="304"/>
      <c r="J127" s="304"/>
      <c r="K127" s="304"/>
      <c r="L127" s="304"/>
      <c r="M127" s="304"/>
    </row>
    <row r="128" spans="1:13" x14ac:dyDescent="0.25">
      <c r="A128" s="305"/>
      <c r="B128" s="304"/>
      <c r="C128" s="304"/>
      <c r="D128" s="304"/>
      <c r="E128" s="304"/>
      <c r="F128" s="304"/>
      <c r="G128" s="304"/>
      <c r="H128" s="304"/>
      <c r="I128" s="304"/>
      <c r="J128" s="304"/>
      <c r="K128" s="304"/>
      <c r="L128" s="304"/>
      <c r="M128" s="304"/>
    </row>
    <row r="129" spans="1:13" x14ac:dyDescent="0.25">
      <c r="A129" s="305"/>
      <c r="B129" s="304"/>
      <c r="C129" s="304"/>
      <c r="D129" s="304"/>
      <c r="E129" s="304"/>
      <c r="F129" s="304"/>
      <c r="G129" s="304"/>
      <c r="H129" s="304"/>
      <c r="I129" s="304"/>
      <c r="J129" s="304"/>
      <c r="K129" s="304"/>
      <c r="L129" s="304"/>
      <c r="M129" s="304"/>
    </row>
    <row r="130" spans="1:13" x14ac:dyDescent="0.25">
      <c r="A130" s="305"/>
      <c r="B130" s="304"/>
      <c r="C130" s="304"/>
      <c r="D130" s="304"/>
      <c r="E130" s="304"/>
      <c r="F130" s="304"/>
      <c r="G130" s="304"/>
      <c r="H130" s="304"/>
      <c r="I130" s="304"/>
      <c r="J130" s="304"/>
      <c r="K130" s="304"/>
      <c r="L130" s="304"/>
      <c r="M130" s="304"/>
    </row>
    <row r="131" spans="1:13" x14ac:dyDescent="0.25">
      <c r="A131" s="305"/>
      <c r="B131" s="304"/>
      <c r="C131" s="304"/>
      <c r="D131" s="304"/>
      <c r="E131" s="304"/>
      <c r="F131" s="304"/>
      <c r="G131" s="304"/>
      <c r="H131" s="304"/>
      <c r="I131" s="304"/>
      <c r="J131" s="304"/>
      <c r="K131" s="304"/>
      <c r="L131" s="304"/>
      <c r="M131" s="304"/>
    </row>
    <row r="132" spans="1:13" x14ac:dyDescent="0.25">
      <c r="A132" s="305"/>
      <c r="B132" s="304"/>
      <c r="C132" s="304"/>
      <c r="D132" s="304"/>
      <c r="E132" s="304"/>
      <c r="F132" s="304"/>
      <c r="G132" s="304"/>
      <c r="H132" s="304"/>
      <c r="I132" s="304"/>
      <c r="J132" s="304"/>
      <c r="K132" s="304"/>
      <c r="L132" s="304"/>
      <c r="M132" s="304"/>
    </row>
    <row r="133" spans="1:13" x14ac:dyDescent="0.25">
      <c r="A133" s="305"/>
      <c r="B133" s="304"/>
      <c r="C133" s="304"/>
      <c r="D133" s="304"/>
      <c r="E133" s="304"/>
      <c r="F133" s="304"/>
      <c r="G133" s="304"/>
      <c r="H133" s="304"/>
      <c r="I133" s="304"/>
      <c r="J133" s="304"/>
      <c r="K133" s="304"/>
      <c r="L133" s="304"/>
      <c r="M133" s="304"/>
    </row>
    <row r="134" spans="1:13" x14ac:dyDescent="0.25">
      <c r="A134" s="305"/>
      <c r="B134" s="304"/>
      <c r="C134" s="304"/>
      <c r="D134" s="304"/>
      <c r="E134" s="304"/>
      <c r="F134" s="304"/>
      <c r="G134" s="304"/>
      <c r="H134" s="304"/>
      <c r="I134" s="304"/>
      <c r="J134" s="304"/>
      <c r="K134" s="304"/>
      <c r="L134" s="304"/>
      <c r="M134" s="304"/>
    </row>
    <row r="135" spans="1:13" x14ac:dyDescent="0.25">
      <c r="A135" s="305"/>
      <c r="B135" s="304"/>
      <c r="C135" s="304"/>
      <c r="D135" s="304"/>
      <c r="E135" s="304"/>
      <c r="F135" s="304"/>
      <c r="G135" s="304"/>
      <c r="H135" s="304"/>
      <c r="I135" s="304"/>
      <c r="J135" s="304"/>
      <c r="K135" s="304"/>
      <c r="L135" s="304"/>
      <c r="M135" s="304"/>
    </row>
    <row r="136" spans="1:13" x14ac:dyDescent="0.25">
      <c r="A136" s="305"/>
      <c r="B136" s="304"/>
      <c r="C136" s="304"/>
      <c r="D136" s="304"/>
      <c r="E136" s="304"/>
      <c r="F136" s="304"/>
      <c r="G136" s="304"/>
      <c r="H136" s="304"/>
      <c r="I136" s="304"/>
      <c r="J136" s="304"/>
      <c r="K136" s="304"/>
      <c r="L136" s="304"/>
      <c r="M136" s="304"/>
    </row>
    <row r="137" spans="1:13" x14ac:dyDescent="0.25">
      <c r="A137" s="305"/>
      <c r="B137" s="304"/>
      <c r="C137" s="304"/>
      <c r="D137" s="304"/>
      <c r="E137" s="304"/>
      <c r="F137" s="304"/>
      <c r="G137" s="304"/>
      <c r="H137" s="304"/>
      <c r="I137" s="304"/>
      <c r="J137" s="304"/>
      <c r="K137" s="304"/>
      <c r="L137" s="304"/>
      <c r="M137" s="304"/>
    </row>
    <row r="138" spans="1:13" x14ac:dyDescent="0.25">
      <c r="A138" s="305"/>
      <c r="B138" s="304"/>
      <c r="C138" s="304"/>
      <c r="D138" s="304"/>
      <c r="E138" s="304"/>
      <c r="F138" s="304"/>
      <c r="G138" s="304"/>
      <c r="H138" s="304"/>
      <c r="I138" s="304"/>
      <c r="J138" s="304"/>
      <c r="K138" s="304"/>
      <c r="L138" s="304"/>
      <c r="M138" s="304"/>
    </row>
    <row r="139" spans="1:13" x14ac:dyDescent="0.25">
      <c r="A139" s="305"/>
      <c r="B139" s="304"/>
      <c r="C139" s="304"/>
      <c r="D139" s="304"/>
      <c r="E139" s="304"/>
      <c r="F139" s="304"/>
      <c r="G139" s="304"/>
      <c r="H139" s="304"/>
      <c r="I139" s="304"/>
      <c r="J139" s="304"/>
      <c r="K139" s="304"/>
      <c r="L139" s="304"/>
      <c r="M139" s="304"/>
    </row>
    <row r="140" spans="1:13" x14ac:dyDescent="0.25">
      <c r="A140" s="305"/>
      <c r="B140" s="304"/>
      <c r="C140" s="304"/>
      <c r="D140" s="304"/>
      <c r="E140" s="304"/>
      <c r="F140" s="304"/>
      <c r="G140" s="304"/>
      <c r="H140" s="304"/>
      <c r="I140" s="304"/>
      <c r="J140" s="304"/>
      <c r="K140" s="304"/>
      <c r="L140" s="304"/>
      <c r="M140" s="304"/>
    </row>
    <row r="141" spans="1:13" x14ac:dyDescent="0.25">
      <c r="A141" s="305"/>
      <c r="B141" s="304"/>
      <c r="C141" s="304"/>
      <c r="D141" s="304"/>
      <c r="E141" s="304"/>
      <c r="F141" s="304"/>
      <c r="G141" s="304"/>
      <c r="H141" s="304"/>
      <c r="I141" s="304"/>
      <c r="J141" s="304"/>
      <c r="K141" s="304"/>
      <c r="L141" s="304"/>
      <c r="M141" s="304"/>
    </row>
    <row r="142" spans="1:13" x14ac:dyDescent="0.25">
      <c r="A142" s="305"/>
      <c r="B142" s="304"/>
      <c r="C142" s="304"/>
      <c r="D142" s="304"/>
      <c r="E142" s="304"/>
      <c r="F142" s="304"/>
      <c r="G142" s="304"/>
      <c r="H142" s="304"/>
      <c r="I142" s="304"/>
      <c r="J142" s="304"/>
      <c r="K142" s="304"/>
      <c r="L142" s="304"/>
      <c r="M142" s="304"/>
    </row>
    <row r="143" spans="1:13" x14ac:dyDescent="0.25">
      <c r="A143" s="305"/>
      <c r="B143" s="304"/>
      <c r="C143" s="304"/>
      <c r="D143" s="304"/>
      <c r="E143" s="304"/>
      <c r="F143" s="304"/>
      <c r="G143" s="304"/>
      <c r="H143" s="304"/>
      <c r="I143" s="304"/>
      <c r="J143" s="304"/>
      <c r="K143" s="304"/>
      <c r="L143" s="304"/>
      <c r="M143" s="304"/>
    </row>
    <row r="144" spans="1:13" x14ac:dyDescent="0.25">
      <c r="A144" s="305"/>
      <c r="B144" s="304"/>
      <c r="C144" s="304"/>
      <c r="D144" s="304"/>
      <c r="E144" s="304"/>
      <c r="F144" s="304"/>
      <c r="G144" s="304"/>
      <c r="H144" s="304"/>
      <c r="I144" s="304"/>
      <c r="J144" s="304"/>
      <c r="K144" s="304"/>
      <c r="L144" s="304"/>
      <c r="M144" s="304"/>
    </row>
    <row r="145" spans="1:13" x14ac:dyDescent="0.25">
      <c r="A145" s="305"/>
      <c r="B145" s="304"/>
      <c r="C145" s="304"/>
      <c r="D145" s="304"/>
      <c r="E145" s="304"/>
      <c r="F145" s="304"/>
      <c r="G145" s="304"/>
      <c r="H145" s="304"/>
      <c r="I145" s="304"/>
      <c r="J145" s="304"/>
      <c r="K145" s="304"/>
      <c r="L145" s="304"/>
      <c r="M145" s="304"/>
    </row>
  </sheetData>
  <mergeCells count="27">
    <mergeCell ref="A73:O73"/>
    <mergeCell ref="N4:N5"/>
    <mergeCell ref="A6:O6"/>
    <mergeCell ref="A24:N24"/>
    <mergeCell ref="A37:O37"/>
    <mergeCell ref="A55:O55"/>
    <mergeCell ref="I4:I5"/>
    <mergeCell ref="J4:J5"/>
    <mergeCell ref="K4:K5"/>
    <mergeCell ref="L4:L5"/>
    <mergeCell ref="M4:M5"/>
    <mergeCell ref="A1:O1"/>
    <mergeCell ref="A2:A5"/>
    <mergeCell ref="B2:C3"/>
    <mergeCell ref="D2:F3"/>
    <mergeCell ref="G2:I3"/>
    <mergeCell ref="J2:O2"/>
    <mergeCell ref="J3:L3"/>
    <mergeCell ref="M3:O3"/>
    <mergeCell ref="B4:B5"/>
    <mergeCell ref="C4:C5"/>
    <mergeCell ref="O4:O5"/>
    <mergeCell ref="D4:D5"/>
    <mergeCell ref="E4:E5"/>
    <mergeCell ref="F4:F5"/>
    <mergeCell ref="G4:G5"/>
    <mergeCell ref="H4:H5"/>
  </mergeCells>
  <pageMargins left="0.43307086614173229" right="0.19685039370078741" top="0.35433070866141736" bottom="0.35433070866141736" header="0" footer="0"/>
  <pageSetup paperSize="9" scale="85" firstPageNumber="79" orientation="landscape" useFirstPageNumber="1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40" zoomScaleNormal="100" zoomScaleSheetLayoutView="40" zoomScalePageLayoutView="70" workbookViewId="0">
      <selection activeCell="F6" sqref="F6"/>
    </sheetView>
  </sheetViews>
  <sheetFormatPr defaultRowHeight="15" x14ac:dyDescent="0.25"/>
  <cols>
    <col min="1" max="1" width="34" customWidth="1"/>
    <col min="2" max="2" width="12" customWidth="1"/>
    <col min="3" max="3" width="12.5703125" customWidth="1"/>
    <col min="4" max="4" width="12.42578125" customWidth="1"/>
    <col min="5" max="5" width="11.85546875" customWidth="1"/>
    <col min="6" max="6" width="12.5703125" customWidth="1"/>
    <col min="7" max="8" width="11.85546875" customWidth="1"/>
    <col min="9" max="9" width="12" customWidth="1"/>
    <col min="10" max="10" width="10.85546875" customWidth="1"/>
    <col min="11" max="11" width="11.85546875" customWidth="1"/>
    <col min="12" max="12" width="9.85546875" customWidth="1"/>
    <col min="13" max="13" width="11.7109375" customWidth="1"/>
  </cols>
  <sheetData>
    <row r="1" spans="1:13" ht="43.5" customHeight="1" x14ac:dyDescent="0.25">
      <c r="A1" s="385" t="s">
        <v>894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48"/>
    </row>
    <row r="2" spans="1:13" ht="18" x14ac:dyDescent="0.25">
      <c r="A2" s="386" t="s">
        <v>310</v>
      </c>
      <c r="B2" s="386" t="s">
        <v>311</v>
      </c>
      <c r="C2" s="386" t="s">
        <v>881</v>
      </c>
      <c r="D2" s="386"/>
      <c r="E2" s="386" t="s">
        <v>882</v>
      </c>
      <c r="F2" s="386"/>
      <c r="G2" s="386" t="s">
        <v>8</v>
      </c>
      <c r="H2" s="386"/>
      <c r="I2" s="387" t="s">
        <v>4</v>
      </c>
      <c r="J2" s="387"/>
      <c r="K2" s="387"/>
      <c r="L2" s="387"/>
      <c r="M2" s="349"/>
    </row>
    <row r="3" spans="1:13" ht="18" x14ac:dyDescent="0.25">
      <c r="A3" s="386"/>
      <c r="B3" s="386"/>
      <c r="C3" s="386"/>
      <c r="D3" s="386"/>
      <c r="E3" s="386"/>
      <c r="F3" s="386"/>
      <c r="G3" s="386" t="s">
        <v>313</v>
      </c>
      <c r="H3" s="386"/>
      <c r="I3" s="386" t="s">
        <v>314</v>
      </c>
      <c r="J3" s="386"/>
      <c r="K3" s="386" t="s">
        <v>883</v>
      </c>
      <c r="L3" s="386"/>
      <c r="M3" s="349"/>
    </row>
    <row r="4" spans="1:13" ht="15.75" x14ac:dyDescent="0.25">
      <c r="A4" s="386"/>
      <c r="B4" s="386"/>
      <c r="C4" s="153" t="s">
        <v>315</v>
      </c>
      <c r="D4" s="153" t="s">
        <v>316</v>
      </c>
      <c r="E4" s="153" t="s">
        <v>315</v>
      </c>
      <c r="F4" s="153" t="s">
        <v>316</v>
      </c>
      <c r="G4" s="153" t="s">
        <v>315</v>
      </c>
      <c r="H4" s="153" t="s">
        <v>316</v>
      </c>
      <c r="I4" s="153" t="s">
        <v>315</v>
      </c>
      <c r="J4" s="153" t="s">
        <v>316</v>
      </c>
      <c r="K4" s="153" t="s">
        <v>315</v>
      </c>
      <c r="L4" s="153" t="s">
        <v>316</v>
      </c>
      <c r="M4" s="327"/>
    </row>
    <row r="5" spans="1:13" ht="31.5" x14ac:dyDescent="0.25">
      <c r="A5" s="43" t="s">
        <v>317</v>
      </c>
      <c r="B5" s="159" t="s">
        <v>68</v>
      </c>
      <c r="C5" s="18">
        <v>68.599999999999994</v>
      </c>
      <c r="D5" s="15">
        <v>86.7</v>
      </c>
      <c r="E5" s="15">
        <f>C5*F5/100</f>
        <v>80.056200000000004</v>
      </c>
      <c r="F5" s="15">
        <v>116.7</v>
      </c>
      <c r="G5" s="15">
        <f>E5*H5/100</f>
        <v>94.306203600000003</v>
      </c>
      <c r="H5" s="15">
        <v>117.8</v>
      </c>
      <c r="I5" s="15">
        <f>G5*J5/100</f>
        <v>111.5642388588</v>
      </c>
      <c r="J5" s="15">
        <v>118.3</v>
      </c>
      <c r="K5" s="15">
        <f>I5*L5/100</f>
        <v>133.31926543626599</v>
      </c>
      <c r="L5" s="15">
        <v>119.5</v>
      </c>
      <c r="M5" s="327"/>
    </row>
    <row r="6" spans="1:13" ht="31.5" x14ac:dyDescent="0.25">
      <c r="A6" s="43" t="s">
        <v>318</v>
      </c>
      <c r="B6" s="159" t="s">
        <v>68</v>
      </c>
      <c r="C6" s="18">
        <v>97.9</v>
      </c>
      <c r="D6" s="15">
        <v>83.2</v>
      </c>
      <c r="E6" s="15">
        <f t="shared" ref="E6:E17" si="0">C6*F6/100</f>
        <v>115.32620000000001</v>
      </c>
      <c r="F6" s="15">
        <v>117.8</v>
      </c>
      <c r="G6" s="15">
        <f t="shared" ref="G6:G17" si="1">E6*H6/100</f>
        <v>136.77687320000001</v>
      </c>
      <c r="H6" s="15">
        <v>118.6</v>
      </c>
      <c r="I6" s="15">
        <f t="shared" ref="I6:I17" si="2">G6*J6/100</f>
        <v>163.7219172204</v>
      </c>
      <c r="J6" s="15">
        <v>119.7</v>
      </c>
      <c r="K6" s="15">
        <f t="shared" ref="K6:K17" si="3">I6*L6/100</f>
        <v>196.63002258170039</v>
      </c>
      <c r="L6" s="15">
        <v>120.1</v>
      </c>
      <c r="M6" s="327"/>
    </row>
    <row r="7" spans="1:13" ht="31.5" x14ac:dyDescent="0.25">
      <c r="A7" s="43" t="s">
        <v>319</v>
      </c>
      <c r="B7" s="159" t="s">
        <v>68</v>
      </c>
      <c r="C7" s="18">
        <v>50.8</v>
      </c>
      <c r="D7" s="15">
        <v>102.5</v>
      </c>
      <c r="E7" s="15">
        <f t="shared" si="0"/>
        <v>58.267600000000002</v>
      </c>
      <c r="F7" s="15">
        <v>114.7</v>
      </c>
      <c r="G7" s="15">
        <f t="shared" si="1"/>
        <v>67.182542800000007</v>
      </c>
      <c r="H7" s="15">
        <v>115.3</v>
      </c>
      <c r="I7" s="15">
        <f t="shared" si="2"/>
        <v>78.066114733600003</v>
      </c>
      <c r="J7" s="15">
        <v>116.2</v>
      </c>
      <c r="K7" s="15">
        <f t="shared" si="3"/>
        <v>91.727684811979998</v>
      </c>
      <c r="L7" s="15">
        <v>117.5</v>
      </c>
      <c r="M7" s="327"/>
    </row>
    <row r="8" spans="1:13" ht="31.5" x14ac:dyDescent="0.25">
      <c r="A8" s="43" t="s">
        <v>320</v>
      </c>
      <c r="B8" s="159" t="s">
        <v>68</v>
      </c>
      <c r="C8" s="18">
        <v>7.7</v>
      </c>
      <c r="D8" s="15">
        <v>100.9</v>
      </c>
      <c r="E8" s="15">
        <f t="shared" si="0"/>
        <v>8.3391000000000002</v>
      </c>
      <c r="F8" s="15">
        <v>108.3</v>
      </c>
      <c r="G8" s="15">
        <f t="shared" si="1"/>
        <v>9.1479927000000014</v>
      </c>
      <c r="H8" s="15">
        <v>109.7</v>
      </c>
      <c r="I8" s="15">
        <f t="shared" si="2"/>
        <v>10.099383940800003</v>
      </c>
      <c r="J8" s="15">
        <v>110.4</v>
      </c>
      <c r="K8" s="15">
        <f t="shared" si="3"/>
        <v>11.230514942169602</v>
      </c>
      <c r="L8" s="15">
        <v>111.2</v>
      </c>
      <c r="M8" s="327"/>
    </row>
    <row r="9" spans="1:13" ht="31.5" x14ac:dyDescent="0.25">
      <c r="A9" s="43" t="s">
        <v>137</v>
      </c>
      <c r="B9" s="159" t="s">
        <v>68</v>
      </c>
      <c r="C9" s="18">
        <v>2084.1999999999998</v>
      </c>
      <c r="D9" s="15">
        <v>87.1</v>
      </c>
      <c r="E9" s="15">
        <f t="shared" si="0"/>
        <v>2509.3768</v>
      </c>
      <c r="F9" s="15">
        <v>120.4</v>
      </c>
      <c r="G9" s="15">
        <f t="shared" si="1"/>
        <v>2843.1239143999996</v>
      </c>
      <c r="H9" s="15">
        <v>113.3</v>
      </c>
      <c r="I9" s="15">
        <f t="shared" si="2"/>
        <v>3053.5150840656001</v>
      </c>
      <c r="J9" s="15">
        <v>107.4</v>
      </c>
      <c r="K9" s="15">
        <f t="shared" si="3"/>
        <v>3319.1708963793076</v>
      </c>
      <c r="L9" s="15">
        <v>108.7</v>
      </c>
      <c r="M9" s="327"/>
    </row>
    <row r="10" spans="1:13" ht="40.5" customHeight="1" x14ac:dyDescent="0.25">
      <c r="A10" s="43" t="s">
        <v>321</v>
      </c>
      <c r="B10" s="159" t="s">
        <v>68</v>
      </c>
      <c r="C10" s="18">
        <v>44.2</v>
      </c>
      <c r="D10" s="15">
        <v>142</v>
      </c>
      <c r="E10" s="15">
        <f t="shared" si="0"/>
        <v>46.807800000000007</v>
      </c>
      <c r="F10" s="15">
        <v>105.9</v>
      </c>
      <c r="G10" s="15">
        <f t="shared" si="1"/>
        <v>49.990730400000004</v>
      </c>
      <c r="H10" s="15">
        <v>106.8</v>
      </c>
      <c r="I10" s="15">
        <f t="shared" si="2"/>
        <v>53.840016640800002</v>
      </c>
      <c r="J10" s="15">
        <v>107.7</v>
      </c>
      <c r="K10" s="15">
        <f t="shared" si="3"/>
        <v>58.470258071908802</v>
      </c>
      <c r="L10" s="15">
        <v>108.6</v>
      </c>
      <c r="M10" s="327"/>
    </row>
    <row r="11" spans="1:13" ht="31.5" x14ac:dyDescent="0.25">
      <c r="A11" s="43" t="s">
        <v>133</v>
      </c>
      <c r="B11" s="159" t="s">
        <v>68</v>
      </c>
      <c r="C11" s="18">
        <v>18</v>
      </c>
      <c r="D11" s="15">
        <v>72.400000000000006</v>
      </c>
      <c r="E11" s="15">
        <v>19.2</v>
      </c>
      <c r="F11" s="15">
        <v>106.7</v>
      </c>
      <c r="G11" s="15">
        <v>21</v>
      </c>
      <c r="H11" s="15">
        <v>109.3</v>
      </c>
      <c r="I11" s="15">
        <v>22.3</v>
      </c>
      <c r="J11" s="15">
        <v>106.3</v>
      </c>
      <c r="K11" s="15">
        <v>23.5</v>
      </c>
      <c r="L11" s="15">
        <v>105.1</v>
      </c>
      <c r="M11" s="327"/>
    </row>
    <row r="12" spans="1:13" ht="47.25" x14ac:dyDescent="0.25">
      <c r="A12" s="43" t="s">
        <v>104</v>
      </c>
      <c r="B12" s="159" t="s">
        <v>322</v>
      </c>
      <c r="C12" s="18">
        <v>390.4</v>
      </c>
      <c r="D12" s="15">
        <v>46</v>
      </c>
      <c r="E12" s="15">
        <v>450</v>
      </c>
      <c r="F12" s="15">
        <v>115.3</v>
      </c>
      <c r="G12" s="15">
        <v>567</v>
      </c>
      <c r="H12" s="15">
        <v>126</v>
      </c>
      <c r="I12" s="15">
        <v>720</v>
      </c>
      <c r="J12" s="15">
        <v>127</v>
      </c>
      <c r="K12" s="15">
        <v>813</v>
      </c>
      <c r="L12" s="15">
        <v>112.9</v>
      </c>
      <c r="M12" s="327"/>
    </row>
    <row r="13" spans="1:13" ht="48" customHeight="1" x14ac:dyDescent="0.25">
      <c r="A13" s="43" t="s">
        <v>323</v>
      </c>
      <c r="B13" s="159" t="s">
        <v>322</v>
      </c>
      <c r="C13" s="18">
        <v>491.9</v>
      </c>
      <c r="D13" s="15">
        <v>96</v>
      </c>
      <c r="E13" s="15">
        <f t="shared" si="0"/>
        <v>553.87939999999992</v>
      </c>
      <c r="F13" s="15">
        <v>112.6</v>
      </c>
      <c r="G13" s="15">
        <f t="shared" si="1"/>
        <v>629.76087779999989</v>
      </c>
      <c r="H13" s="15">
        <v>113.7</v>
      </c>
      <c r="I13" s="15">
        <f t="shared" si="2"/>
        <v>721.0762050809999</v>
      </c>
      <c r="J13" s="15">
        <v>114.5</v>
      </c>
      <c r="K13" s="15">
        <f t="shared" si="3"/>
        <v>832.12194066347399</v>
      </c>
      <c r="L13" s="15">
        <v>115.4</v>
      </c>
      <c r="M13" s="327"/>
    </row>
    <row r="14" spans="1:13" ht="47.25" x14ac:dyDescent="0.25">
      <c r="A14" s="43" t="s">
        <v>324</v>
      </c>
      <c r="B14" s="159" t="s">
        <v>322</v>
      </c>
      <c r="C14" s="18">
        <v>1111.5999999999999</v>
      </c>
      <c r="D14" s="15">
        <v>103.2</v>
      </c>
      <c r="E14" s="15">
        <f t="shared" si="0"/>
        <v>1349.4823999999999</v>
      </c>
      <c r="F14" s="15">
        <v>121.4</v>
      </c>
      <c r="G14" s="15">
        <f t="shared" si="1"/>
        <v>1650.4169751999998</v>
      </c>
      <c r="H14" s="15">
        <v>122.3</v>
      </c>
      <c r="I14" s="15">
        <f t="shared" si="2"/>
        <v>2041.5657983223998</v>
      </c>
      <c r="J14" s="15">
        <v>123.7</v>
      </c>
      <c r="K14" s="15">
        <f t="shared" si="3"/>
        <v>2535.6247215164203</v>
      </c>
      <c r="L14" s="15">
        <v>124.2</v>
      </c>
      <c r="M14" s="327"/>
    </row>
    <row r="15" spans="1:13" ht="31.5" x14ac:dyDescent="0.25">
      <c r="A15" s="43" t="s">
        <v>67</v>
      </c>
      <c r="B15" s="159" t="s">
        <v>68</v>
      </c>
      <c r="C15" s="18">
        <v>66.599999999999994</v>
      </c>
      <c r="D15" s="15">
        <v>107.4</v>
      </c>
      <c r="E15" s="15">
        <v>83.7</v>
      </c>
      <c r="F15" s="15">
        <v>125.6</v>
      </c>
      <c r="G15" s="15">
        <v>109</v>
      </c>
      <c r="H15" s="15">
        <v>130.19999999999999</v>
      </c>
      <c r="I15" s="15">
        <v>141.6</v>
      </c>
      <c r="J15" s="15">
        <v>129.9</v>
      </c>
      <c r="K15" s="15">
        <v>184.1</v>
      </c>
      <c r="L15" s="15">
        <v>130</v>
      </c>
      <c r="M15" s="327"/>
    </row>
    <row r="16" spans="1:13" ht="31.5" x14ac:dyDescent="0.25">
      <c r="A16" s="43" t="s">
        <v>82</v>
      </c>
      <c r="B16" s="159" t="s">
        <v>68</v>
      </c>
      <c r="C16" s="18">
        <v>4455.6000000000004</v>
      </c>
      <c r="D16" s="15">
        <v>102.4</v>
      </c>
      <c r="E16" s="15">
        <f t="shared" si="0"/>
        <v>4650.0869400000001</v>
      </c>
      <c r="F16" s="15">
        <v>104.36499999999999</v>
      </c>
      <c r="G16" s="15">
        <f t="shared" si="1"/>
        <v>4845.3905914800007</v>
      </c>
      <c r="H16" s="15">
        <v>104.2</v>
      </c>
      <c r="I16" s="15">
        <f t="shared" si="2"/>
        <v>5073.1239492795612</v>
      </c>
      <c r="J16" s="15">
        <v>104.7</v>
      </c>
      <c r="K16" s="15">
        <f t="shared" si="3"/>
        <v>5210.0982959101093</v>
      </c>
      <c r="L16" s="15">
        <v>102.7</v>
      </c>
      <c r="M16" s="327"/>
    </row>
    <row r="17" spans="1:13" ht="36" x14ac:dyDescent="0.25">
      <c r="A17" s="43" t="s">
        <v>948</v>
      </c>
      <c r="B17" s="159" t="s">
        <v>68</v>
      </c>
      <c r="C17" s="18">
        <v>1598.9</v>
      </c>
      <c r="D17" s="15">
        <v>90.6</v>
      </c>
      <c r="E17" s="15">
        <f t="shared" si="0"/>
        <v>1939.4657</v>
      </c>
      <c r="F17" s="15">
        <v>121.3</v>
      </c>
      <c r="G17" s="15">
        <f t="shared" si="1"/>
        <v>2435.9689192000001</v>
      </c>
      <c r="H17" s="15">
        <v>125.6</v>
      </c>
      <c r="I17" s="15">
        <f t="shared" si="2"/>
        <v>3171.6315327983993</v>
      </c>
      <c r="J17" s="15">
        <v>130.19999999999999</v>
      </c>
      <c r="K17" s="15">
        <f t="shared" si="3"/>
        <v>4288.0458323434359</v>
      </c>
      <c r="L17" s="15">
        <v>135.19999999999999</v>
      </c>
      <c r="M17" s="327"/>
    </row>
    <row r="18" spans="1:13" ht="18" x14ac:dyDescent="0.25">
      <c r="A18" s="43" t="s">
        <v>947</v>
      </c>
      <c r="B18" s="159" t="s">
        <v>200</v>
      </c>
      <c r="C18" s="18">
        <v>1076.8</v>
      </c>
      <c r="D18" s="15">
        <v>897.4</v>
      </c>
      <c r="E18" s="15">
        <f t="shared" ref="E18:E23" si="4">C18*F18/100</f>
        <v>1306.1584</v>
      </c>
      <c r="F18" s="15">
        <v>121.3</v>
      </c>
      <c r="G18" s="15">
        <f t="shared" ref="G18:G23" si="5">E18*H18/100</f>
        <v>1640.5349504000001</v>
      </c>
      <c r="H18" s="15">
        <v>125.6</v>
      </c>
      <c r="I18" s="15">
        <f t="shared" ref="I18:I23" si="6">G18*J18/100</f>
        <v>2135.9765054208001</v>
      </c>
      <c r="J18" s="15">
        <v>130.19999999999999</v>
      </c>
      <c r="K18" s="15">
        <f t="shared" ref="K18:K23" si="7">I18*L18/100</f>
        <v>2887.8402353289216</v>
      </c>
      <c r="L18" s="15">
        <v>135.19999999999999</v>
      </c>
      <c r="M18" s="327"/>
    </row>
    <row r="19" spans="1:13" ht="31.5" x14ac:dyDescent="0.25">
      <c r="A19" s="43" t="s">
        <v>325</v>
      </c>
      <c r="B19" s="159" t="s">
        <v>68</v>
      </c>
      <c r="C19" s="18">
        <v>644.6</v>
      </c>
      <c r="D19" s="15">
        <v>105.2</v>
      </c>
      <c r="E19" s="15">
        <f t="shared" si="4"/>
        <v>762.56180000000006</v>
      </c>
      <c r="F19" s="15">
        <v>118.3</v>
      </c>
      <c r="G19" s="15">
        <f t="shared" si="5"/>
        <v>936.42589040000007</v>
      </c>
      <c r="H19" s="15">
        <v>122.8</v>
      </c>
      <c r="I19" s="15">
        <f t="shared" si="6"/>
        <v>1182.7058995752</v>
      </c>
      <c r="J19" s="15">
        <v>126.3</v>
      </c>
      <c r="K19" s="15">
        <f t="shared" si="7"/>
        <v>1526.8733163515831</v>
      </c>
      <c r="L19" s="15">
        <v>129.1</v>
      </c>
      <c r="M19" s="327"/>
    </row>
    <row r="20" spans="1:13" ht="31.5" x14ac:dyDescent="0.25">
      <c r="A20" s="43" t="s">
        <v>326</v>
      </c>
      <c r="B20" s="159" t="s">
        <v>68</v>
      </c>
      <c r="C20" s="18">
        <v>1335.6</v>
      </c>
      <c r="D20" s="15">
        <v>0</v>
      </c>
      <c r="E20" s="15">
        <f t="shared" si="4"/>
        <v>1574.6723999999999</v>
      </c>
      <c r="F20" s="15">
        <v>117.9</v>
      </c>
      <c r="G20" s="15">
        <f t="shared" si="5"/>
        <v>1911.6522935999999</v>
      </c>
      <c r="H20" s="15">
        <v>121.4</v>
      </c>
      <c r="I20" s="15">
        <f t="shared" si="6"/>
        <v>2404.8585853487998</v>
      </c>
      <c r="J20" s="15">
        <v>125.8</v>
      </c>
      <c r="K20" s="15">
        <f t="shared" si="7"/>
        <v>3075.8141306611151</v>
      </c>
      <c r="L20" s="15">
        <v>127.9</v>
      </c>
      <c r="M20" s="327"/>
    </row>
    <row r="21" spans="1:13" ht="29.25" customHeight="1" x14ac:dyDescent="0.25">
      <c r="A21" s="43" t="s">
        <v>327</v>
      </c>
      <c r="B21" s="159" t="s">
        <v>167</v>
      </c>
      <c r="C21" s="164">
        <v>41</v>
      </c>
      <c r="D21" s="15">
        <v>273.3</v>
      </c>
      <c r="E21" s="15">
        <v>60</v>
      </c>
      <c r="F21" s="15">
        <f>E21/C21*100</f>
        <v>146.34146341463415</v>
      </c>
      <c r="G21" s="15">
        <v>80</v>
      </c>
      <c r="H21" s="15">
        <f>G21/E21*100</f>
        <v>133.33333333333331</v>
      </c>
      <c r="I21" s="15">
        <v>100</v>
      </c>
      <c r="J21" s="15">
        <f>I21/G21*100</f>
        <v>125</v>
      </c>
      <c r="K21" s="15">
        <v>120</v>
      </c>
      <c r="L21" s="15">
        <f>K21/I21*100</f>
        <v>120</v>
      </c>
      <c r="M21" s="327"/>
    </row>
    <row r="22" spans="1:13" ht="33" customHeight="1" x14ac:dyDescent="0.25">
      <c r="A22" s="43" t="s">
        <v>328</v>
      </c>
      <c r="B22" s="159" t="s">
        <v>167</v>
      </c>
      <c r="C22" s="108">
        <v>568</v>
      </c>
      <c r="D22" s="108">
        <v>175.3</v>
      </c>
      <c r="E22" s="15">
        <v>620</v>
      </c>
      <c r="F22" s="15">
        <v>109.2</v>
      </c>
      <c r="G22" s="15">
        <v>650</v>
      </c>
      <c r="H22" s="15">
        <v>104.8</v>
      </c>
      <c r="I22" s="15">
        <v>680</v>
      </c>
      <c r="J22" s="15">
        <v>104.6</v>
      </c>
      <c r="K22" s="15">
        <v>700</v>
      </c>
      <c r="L22" s="15">
        <v>102.9</v>
      </c>
      <c r="M22" s="327"/>
    </row>
    <row r="23" spans="1:13" ht="36" x14ac:dyDescent="0.25">
      <c r="A23" s="43" t="s">
        <v>329</v>
      </c>
      <c r="B23" s="159" t="s">
        <v>330</v>
      </c>
      <c r="C23" s="18">
        <v>3813.6</v>
      </c>
      <c r="D23" s="15">
        <v>219.1</v>
      </c>
      <c r="E23" s="15">
        <f t="shared" si="4"/>
        <v>4770.8135999999995</v>
      </c>
      <c r="F23" s="15">
        <v>125.1</v>
      </c>
      <c r="G23" s="15">
        <f t="shared" si="5"/>
        <v>6211.5993071999983</v>
      </c>
      <c r="H23" s="15">
        <v>130.19999999999999</v>
      </c>
      <c r="I23" s="15">
        <f t="shared" si="6"/>
        <v>8404.293862641598</v>
      </c>
      <c r="J23" s="15">
        <v>135.30000000000001</v>
      </c>
      <c r="K23" s="15">
        <f t="shared" si="7"/>
        <v>11774.415701560878</v>
      </c>
      <c r="L23" s="15">
        <v>140.1</v>
      </c>
      <c r="M23" s="327"/>
    </row>
    <row r="24" spans="1:13" ht="31.5" x14ac:dyDescent="0.25">
      <c r="A24" s="43" t="s">
        <v>331</v>
      </c>
      <c r="B24" s="159" t="s">
        <v>68</v>
      </c>
      <c r="C24" s="40"/>
      <c r="D24" s="167"/>
      <c r="E24" s="167"/>
      <c r="F24" s="167"/>
      <c r="G24" s="167"/>
      <c r="H24" s="167"/>
      <c r="I24" s="167"/>
      <c r="J24" s="167"/>
      <c r="K24" s="167"/>
      <c r="L24" s="167"/>
      <c r="M24" s="327"/>
    </row>
    <row r="25" spans="1:13" ht="31.5" x14ac:dyDescent="0.25">
      <c r="A25" s="43" t="s">
        <v>332</v>
      </c>
      <c r="B25" s="159" t="s">
        <v>333</v>
      </c>
      <c r="C25" s="18">
        <v>8662.7000000000007</v>
      </c>
      <c r="D25" s="15">
        <v>146.5</v>
      </c>
      <c r="E25" s="15">
        <f t="shared" ref="E25" si="8">C25*F25/100</f>
        <v>10906.339300000001</v>
      </c>
      <c r="F25" s="15">
        <v>125.9</v>
      </c>
      <c r="G25" s="15">
        <f t="shared" ref="G25" si="9">E25*H25/100</f>
        <v>14265.491804400002</v>
      </c>
      <c r="H25" s="15">
        <v>130.80000000000001</v>
      </c>
      <c r="I25" s="15">
        <f t="shared" ref="I25" si="10">G25*J25/100</f>
        <v>19286.944919548801</v>
      </c>
      <c r="J25" s="15">
        <v>135.19999999999999</v>
      </c>
      <c r="K25" s="15">
        <f t="shared" ref="K25" si="11">I25*L25/100</f>
        <v>26654.557878816438</v>
      </c>
      <c r="L25" s="15">
        <v>138.19999999999999</v>
      </c>
      <c r="M25" s="327"/>
    </row>
    <row r="26" spans="1:13" ht="21.75" customHeight="1" x14ac:dyDescent="0.25">
      <c r="A26" s="43" t="s">
        <v>334</v>
      </c>
      <c r="B26" s="159" t="s">
        <v>335</v>
      </c>
      <c r="C26" s="164">
        <v>39</v>
      </c>
      <c r="D26" s="15">
        <v>433.3</v>
      </c>
      <c r="E26" s="15">
        <v>60</v>
      </c>
      <c r="F26" s="15">
        <v>153.80000000000001</v>
      </c>
      <c r="G26" s="15">
        <v>80</v>
      </c>
      <c r="H26" s="15">
        <v>133.30000000000001</v>
      </c>
      <c r="I26" s="15">
        <v>100</v>
      </c>
      <c r="J26" s="15">
        <v>125</v>
      </c>
      <c r="K26" s="15">
        <v>120</v>
      </c>
      <c r="L26" s="15">
        <v>120</v>
      </c>
      <c r="M26" s="327"/>
    </row>
    <row r="27" spans="1:13" ht="36" x14ac:dyDescent="0.25">
      <c r="A27" s="43" t="s">
        <v>336</v>
      </c>
      <c r="B27" s="159" t="s">
        <v>335</v>
      </c>
      <c r="C27" s="164">
        <v>140</v>
      </c>
      <c r="D27" s="15">
        <v>49.5</v>
      </c>
      <c r="E27" s="15">
        <v>180</v>
      </c>
      <c r="F27" s="15">
        <v>128.6</v>
      </c>
      <c r="G27" s="15">
        <v>220</v>
      </c>
      <c r="H27" s="15">
        <v>122.2</v>
      </c>
      <c r="I27" s="15">
        <v>260</v>
      </c>
      <c r="J27" s="15">
        <v>118.2</v>
      </c>
      <c r="K27" s="15">
        <v>300</v>
      </c>
      <c r="L27" s="15">
        <v>115.4</v>
      </c>
      <c r="M27" s="327"/>
    </row>
    <row r="28" spans="1:13" ht="39" customHeight="1" x14ac:dyDescent="0.25">
      <c r="A28" s="43" t="s">
        <v>337</v>
      </c>
      <c r="B28" s="159" t="s">
        <v>330</v>
      </c>
      <c r="C28" s="18">
        <v>2733.5</v>
      </c>
      <c r="D28" s="15">
        <v>106</v>
      </c>
      <c r="E28" s="15">
        <f t="shared" ref="E28:E79" si="12">C28*F28/100</f>
        <v>3195.4615000000003</v>
      </c>
      <c r="F28" s="15">
        <v>116.9</v>
      </c>
      <c r="G28" s="15">
        <f t="shared" ref="G28:G79" si="13">E28*H28/100</f>
        <v>3764.2536470000005</v>
      </c>
      <c r="H28" s="15">
        <v>117.8</v>
      </c>
      <c r="I28" s="15">
        <f t="shared" ref="I28:I79" si="14">G28*J28/100</f>
        <v>4468.1690789890008</v>
      </c>
      <c r="J28" s="15">
        <v>118.7</v>
      </c>
      <c r="K28" s="15">
        <f t="shared" ref="K28:K79" si="15">I28*L28/100</f>
        <v>5326.0575421548892</v>
      </c>
      <c r="L28" s="15">
        <v>119.2</v>
      </c>
      <c r="M28" s="327"/>
    </row>
    <row r="29" spans="1:13" ht="36" x14ac:dyDescent="0.25">
      <c r="A29" s="43" t="s">
        <v>338</v>
      </c>
      <c r="B29" s="159" t="s">
        <v>68</v>
      </c>
      <c r="C29" s="18">
        <v>3279.7</v>
      </c>
      <c r="D29" s="15">
        <v>74.2</v>
      </c>
      <c r="E29" s="15">
        <f t="shared" si="12"/>
        <v>3778.2143999999998</v>
      </c>
      <c r="F29" s="15">
        <v>115.2</v>
      </c>
      <c r="G29" s="15">
        <f t="shared" si="13"/>
        <v>4409.1762048000001</v>
      </c>
      <c r="H29" s="15">
        <v>116.7</v>
      </c>
      <c r="I29" s="15">
        <f t="shared" si="14"/>
        <v>5176.3728644352004</v>
      </c>
      <c r="J29" s="15">
        <v>117.4</v>
      </c>
      <c r="K29" s="15">
        <f t="shared" si="15"/>
        <v>6154.7073358134539</v>
      </c>
      <c r="L29" s="15">
        <v>118.9</v>
      </c>
      <c r="M29" s="327"/>
    </row>
    <row r="30" spans="1:13" ht="24.75" customHeight="1" x14ac:dyDescent="0.25">
      <c r="A30" s="43" t="s">
        <v>339</v>
      </c>
      <c r="B30" s="159" t="s">
        <v>167</v>
      </c>
      <c r="C30" s="18">
        <v>15337.1</v>
      </c>
      <c r="D30" s="15">
        <v>110.6</v>
      </c>
      <c r="E30" s="15">
        <f t="shared" si="12"/>
        <v>16288.0002</v>
      </c>
      <c r="F30" s="15">
        <v>106.2</v>
      </c>
      <c r="G30" s="15">
        <f t="shared" si="13"/>
        <v>17477.024214600002</v>
      </c>
      <c r="H30" s="15">
        <v>107.3</v>
      </c>
      <c r="I30" s="15">
        <f t="shared" si="14"/>
        <v>19015.002345484801</v>
      </c>
      <c r="J30" s="15">
        <v>108.8</v>
      </c>
      <c r="K30" s="15">
        <f t="shared" si="15"/>
        <v>20764.382561269405</v>
      </c>
      <c r="L30" s="15">
        <v>109.2</v>
      </c>
      <c r="M30" s="327"/>
    </row>
    <row r="31" spans="1:13" ht="47.25" x14ac:dyDescent="0.25">
      <c r="A31" s="43" t="s">
        <v>340</v>
      </c>
      <c r="B31" s="159" t="s">
        <v>341</v>
      </c>
      <c r="C31" s="18">
        <v>8.8000000000000007</v>
      </c>
      <c r="D31" s="15">
        <v>69.599999999999994</v>
      </c>
      <c r="E31" s="15">
        <f t="shared" si="12"/>
        <v>9.4687999999999999</v>
      </c>
      <c r="F31" s="15">
        <v>107.6</v>
      </c>
      <c r="G31" s="15">
        <f t="shared" si="13"/>
        <v>10.273648000000001</v>
      </c>
      <c r="H31" s="15">
        <v>108.5</v>
      </c>
      <c r="I31" s="15">
        <f t="shared" si="14"/>
        <v>11.239370912000002</v>
      </c>
      <c r="J31" s="15">
        <v>109.4</v>
      </c>
      <c r="K31" s="15">
        <f t="shared" si="15"/>
        <v>12.397026115936001</v>
      </c>
      <c r="L31" s="15">
        <v>110.3</v>
      </c>
      <c r="M31" s="327"/>
    </row>
    <row r="32" spans="1:13" ht="31.5" x14ac:dyDescent="0.25">
      <c r="A32" s="43" t="s">
        <v>342</v>
      </c>
      <c r="B32" s="159" t="s">
        <v>68</v>
      </c>
      <c r="C32" s="18">
        <v>76.7</v>
      </c>
      <c r="D32" s="15">
        <v>215.7</v>
      </c>
      <c r="E32" s="15">
        <f t="shared" si="12"/>
        <v>88.741900000000001</v>
      </c>
      <c r="F32" s="15">
        <v>115.7</v>
      </c>
      <c r="G32" s="15">
        <f t="shared" si="13"/>
        <v>103.6505392</v>
      </c>
      <c r="H32" s="15">
        <v>116.8</v>
      </c>
      <c r="I32" s="15">
        <f t="shared" si="14"/>
        <v>121.6857330208</v>
      </c>
      <c r="J32" s="15">
        <v>117.4</v>
      </c>
      <c r="K32" s="15">
        <f t="shared" si="15"/>
        <v>143.83253643058561</v>
      </c>
      <c r="L32" s="15">
        <v>118.2</v>
      </c>
      <c r="M32" s="152"/>
    </row>
    <row r="33" spans="1:13" ht="47.25" x14ac:dyDescent="0.25">
      <c r="A33" s="43" t="s">
        <v>343</v>
      </c>
      <c r="B33" s="159" t="s">
        <v>322</v>
      </c>
      <c r="C33" s="18">
        <v>15.6</v>
      </c>
      <c r="D33" s="15">
        <v>116.6</v>
      </c>
      <c r="E33" s="15">
        <f t="shared" si="12"/>
        <v>17.3628</v>
      </c>
      <c r="F33" s="15">
        <v>111.3</v>
      </c>
      <c r="G33" s="15">
        <f t="shared" si="13"/>
        <v>19.515787200000002</v>
      </c>
      <c r="H33" s="15">
        <v>112.4</v>
      </c>
      <c r="I33" s="15">
        <f t="shared" si="14"/>
        <v>22.150418472000002</v>
      </c>
      <c r="J33" s="15">
        <v>113.5</v>
      </c>
      <c r="K33" s="15">
        <f t="shared" si="15"/>
        <v>25.384379568911999</v>
      </c>
      <c r="L33" s="15">
        <v>114.6</v>
      </c>
      <c r="M33" s="152"/>
    </row>
    <row r="34" spans="1:13" ht="26.25" customHeight="1" x14ac:dyDescent="0.25">
      <c r="A34" s="43" t="s">
        <v>344</v>
      </c>
      <c r="B34" s="159" t="s">
        <v>68</v>
      </c>
      <c r="C34" s="18">
        <v>15.5</v>
      </c>
      <c r="D34" s="15">
        <v>102.5</v>
      </c>
      <c r="E34" s="15">
        <f t="shared" si="12"/>
        <v>18.863500000000002</v>
      </c>
      <c r="F34" s="15">
        <v>121.7</v>
      </c>
      <c r="G34" s="15">
        <f t="shared" si="13"/>
        <v>23.371876500000003</v>
      </c>
      <c r="H34" s="15">
        <v>123.9</v>
      </c>
      <c r="I34" s="15">
        <f t="shared" si="14"/>
        <v>29.144729995500001</v>
      </c>
      <c r="J34" s="15">
        <v>124.7</v>
      </c>
      <c r="K34" s="15">
        <f t="shared" si="15"/>
        <v>36.605780874348</v>
      </c>
      <c r="L34" s="15">
        <v>125.6</v>
      </c>
      <c r="M34" s="152"/>
    </row>
    <row r="35" spans="1:13" ht="47.25" x14ac:dyDescent="0.25">
      <c r="A35" s="43" t="s">
        <v>345</v>
      </c>
      <c r="B35" s="159" t="s">
        <v>341</v>
      </c>
      <c r="C35" s="18">
        <v>220.4</v>
      </c>
      <c r="D35" s="15">
        <v>165.8</v>
      </c>
      <c r="E35" s="15">
        <f t="shared" si="12"/>
        <v>255.4436</v>
      </c>
      <c r="F35" s="15">
        <v>115.9</v>
      </c>
      <c r="G35" s="15">
        <f t="shared" si="13"/>
        <v>298.35812479999998</v>
      </c>
      <c r="H35" s="15">
        <v>116.8</v>
      </c>
      <c r="I35" s="15">
        <f t="shared" si="14"/>
        <v>351.16751288959995</v>
      </c>
      <c r="J35" s="15">
        <v>117.7</v>
      </c>
      <c r="K35" s="15">
        <f t="shared" si="15"/>
        <v>416.48467028706551</v>
      </c>
      <c r="L35" s="15">
        <v>118.6</v>
      </c>
      <c r="M35" s="152"/>
    </row>
    <row r="36" spans="1:13" ht="18" x14ac:dyDescent="0.25">
      <c r="A36" s="43" t="s">
        <v>346</v>
      </c>
      <c r="B36" s="159" t="s">
        <v>200</v>
      </c>
      <c r="C36" s="18">
        <v>162.19999999999999</v>
      </c>
      <c r="D36" s="15">
        <v>48.8</v>
      </c>
      <c r="E36" s="15">
        <v>165.4</v>
      </c>
      <c r="F36" s="15">
        <v>102</v>
      </c>
      <c r="G36" s="15">
        <v>173</v>
      </c>
      <c r="H36" s="15">
        <v>104.6</v>
      </c>
      <c r="I36" s="15">
        <v>180</v>
      </c>
      <c r="J36" s="15">
        <v>104</v>
      </c>
      <c r="K36" s="15">
        <v>196</v>
      </c>
      <c r="L36" s="15">
        <v>108.9</v>
      </c>
      <c r="M36" s="152"/>
    </row>
    <row r="37" spans="1:13" ht="18" x14ac:dyDescent="0.25">
      <c r="A37" s="43" t="s">
        <v>347</v>
      </c>
      <c r="B37" s="159" t="s">
        <v>200</v>
      </c>
      <c r="C37" s="18">
        <v>1770.2</v>
      </c>
      <c r="D37" s="15">
        <v>45.1</v>
      </c>
      <c r="E37" s="15">
        <v>1795</v>
      </c>
      <c r="F37" s="15">
        <v>101.4</v>
      </c>
      <c r="G37" s="15">
        <v>1832</v>
      </c>
      <c r="H37" s="15">
        <v>102.1</v>
      </c>
      <c r="I37" s="15">
        <v>1854.6</v>
      </c>
      <c r="J37" s="15">
        <v>101.2</v>
      </c>
      <c r="K37" s="15">
        <v>1878.8</v>
      </c>
      <c r="L37" s="15">
        <v>101.3</v>
      </c>
      <c r="M37" s="152"/>
    </row>
    <row r="38" spans="1:13" ht="31.5" x14ac:dyDescent="0.25">
      <c r="A38" s="43" t="s">
        <v>348</v>
      </c>
      <c r="B38" s="159" t="s">
        <v>68</v>
      </c>
      <c r="C38" s="18">
        <v>3287.7</v>
      </c>
      <c r="D38" s="15">
        <v>74.2</v>
      </c>
      <c r="E38" s="15">
        <v>3353.4</v>
      </c>
      <c r="F38" s="15">
        <v>102</v>
      </c>
      <c r="G38" s="15">
        <v>3420.5</v>
      </c>
      <c r="H38" s="15">
        <v>102</v>
      </c>
      <c r="I38" s="15">
        <v>3506</v>
      </c>
      <c r="J38" s="15">
        <v>102.5</v>
      </c>
      <c r="K38" s="15">
        <v>3611</v>
      </c>
      <c r="L38" s="15">
        <v>103</v>
      </c>
      <c r="M38" s="152"/>
    </row>
    <row r="39" spans="1:13" ht="31.5" x14ac:dyDescent="0.25">
      <c r="A39" s="43" t="s">
        <v>349</v>
      </c>
      <c r="B39" s="159" t="s">
        <v>68</v>
      </c>
      <c r="C39" s="18">
        <v>3186</v>
      </c>
      <c r="D39" s="15">
        <v>94.8</v>
      </c>
      <c r="E39" s="15">
        <v>3200</v>
      </c>
      <c r="F39" s="15">
        <v>100.4</v>
      </c>
      <c r="G39" s="15">
        <v>3230</v>
      </c>
      <c r="H39" s="15">
        <v>100.9</v>
      </c>
      <c r="I39" s="15">
        <v>3280</v>
      </c>
      <c r="J39" s="15">
        <v>101.5</v>
      </c>
      <c r="K39" s="15">
        <v>3345</v>
      </c>
      <c r="L39" s="15">
        <v>102</v>
      </c>
      <c r="M39" s="152"/>
    </row>
    <row r="40" spans="1:13" ht="31.5" x14ac:dyDescent="0.25">
      <c r="A40" s="43" t="s">
        <v>350</v>
      </c>
      <c r="B40" s="159" t="s">
        <v>68</v>
      </c>
      <c r="C40" s="18">
        <v>423.7</v>
      </c>
      <c r="D40" s="15">
        <v>242.3</v>
      </c>
      <c r="E40" s="15">
        <f t="shared" si="12"/>
        <v>513.94809999999995</v>
      </c>
      <c r="F40" s="15">
        <v>121.3</v>
      </c>
      <c r="G40" s="15">
        <f t="shared" si="13"/>
        <v>629.07247440000003</v>
      </c>
      <c r="H40" s="15">
        <v>122.4</v>
      </c>
      <c r="I40" s="15">
        <f t="shared" si="14"/>
        <v>776.90450588400006</v>
      </c>
      <c r="J40" s="15">
        <v>123.5</v>
      </c>
      <c r="K40" s="15">
        <f t="shared" si="15"/>
        <v>965.69230081381204</v>
      </c>
      <c r="L40" s="15">
        <v>124.3</v>
      </c>
      <c r="M40" s="152"/>
    </row>
    <row r="41" spans="1:13" ht="31.5" x14ac:dyDescent="0.25">
      <c r="A41" s="43" t="s">
        <v>150</v>
      </c>
      <c r="B41" s="159" t="s">
        <v>351</v>
      </c>
      <c r="C41" s="18">
        <v>977.5</v>
      </c>
      <c r="D41" s="15">
        <v>91.3</v>
      </c>
      <c r="E41" s="15">
        <f t="shared" si="12"/>
        <v>1253.1549999999997</v>
      </c>
      <c r="F41" s="15">
        <v>128.19999999999999</v>
      </c>
      <c r="G41" s="15">
        <f t="shared" si="13"/>
        <v>1620.3294149999999</v>
      </c>
      <c r="H41" s="15">
        <v>129.30000000000001</v>
      </c>
      <c r="I41" s="15">
        <f t="shared" si="14"/>
        <v>2112.9095571600001</v>
      </c>
      <c r="J41" s="15">
        <v>130.4</v>
      </c>
      <c r="K41" s="15">
        <f t="shared" si="15"/>
        <v>2784.8147963368806</v>
      </c>
      <c r="L41" s="15">
        <v>131.80000000000001</v>
      </c>
      <c r="M41" s="152"/>
    </row>
    <row r="42" spans="1:13" ht="31.5" x14ac:dyDescent="0.25">
      <c r="A42" s="43" t="s">
        <v>352</v>
      </c>
      <c r="B42" s="159" t="s">
        <v>351</v>
      </c>
      <c r="C42" s="18">
        <v>603</v>
      </c>
      <c r="D42" s="15">
        <v>117.7</v>
      </c>
      <c r="E42" s="15">
        <f t="shared" si="12"/>
        <v>716.96699999999998</v>
      </c>
      <c r="F42" s="15">
        <v>118.9</v>
      </c>
      <c r="G42" s="15">
        <f t="shared" si="13"/>
        <v>858.92646599999989</v>
      </c>
      <c r="H42" s="15">
        <v>119.8</v>
      </c>
      <c r="I42" s="15">
        <f t="shared" si="14"/>
        <v>1036.7242444619999</v>
      </c>
      <c r="J42" s="15">
        <v>120.7</v>
      </c>
      <c r="K42" s="15">
        <f t="shared" si="15"/>
        <v>1257.5465085324058</v>
      </c>
      <c r="L42" s="15">
        <v>121.3</v>
      </c>
      <c r="M42" s="152"/>
    </row>
    <row r="43" spans="1:13" ht="31.5" x14ac:dyDescent="0.25">
      <c r="A43" s="43" t="s">
        <v>353</v>
      </c>
      <c r="B43" s="159" t="s">
        <v>333</v>
      </c>
      <c r="C43" s="18">
        <v>70724.7</v>
      </c>
      <c r="D43" s="15">
        <v>110</v>
      </c>
      <c r="E43" s="15">
        <f t="shared" si="12"/>
        <v>85789.061099999992</v>
      </c>
      <c r="F43" s="15">
        <v>121.3</v>
      </c>
      <c r="G43" s="15">
        <f t="shared" si="13"/>
        <v>105348.96703079999</v>
      </c>
      <c r="H43" s="15">
        <v>122.8</v>
      </c>
      <c r="I43" s="15">
        <f t="shared" si="14"/>
        <v>129895.27634897637</v>
      </c>
      <c r="J43" s="15">
        <v>123.3</v>
      </c>
      <c r="K43" s="15">
        <f t="shared" si="15"/>
        <v>161329.93322542866</v>
      </c>
      <c r="L43" s="15">
        <v>124.2</v>
      </c>
      <c r="M43" s="152"/>
    </row>
    <row r="44" spans="1:13" ht="31.5" x14ac:dyDescent="0.25">
      <c r="A44" s="43" t="s">
        <v>70</v>
      </c>
      <c r="B44" s="159" t="s">
        <v>68</v>
      </c>
      <c r="C44" s="18">
        <v>127.4</v>
      </c>
      <c r="D44" s="15">
        <v>100.2</v>
      </c>
      <c r="E44" s="15">
        <v>135.19999999999999</v>
      </c>
      <c r="F44" s="15">
        <f>E44/C44*100</f>
        <v>106.12244897959182</v>
      </c>
      <c r="G44" s="15">
        <v>141.30000000000001</v>
      </c>
      <c r="H44" s="15">
        <f>G44/E44*100</f>
        <v>104.51183431952664</v>
      </c>
      <c r="I44" s="15">
        <v>145.69999999999999</v>
      </c>
      <c r="J44" s="15">
        <f>I44/G44*100</f>
        <v>103.11394196744514</v>
      </c>
      <c r="K44" s="15">
        <v>150.30000000000001</v>
      </c>
      <c r="L44" s="15">
        <f>K44/I44*100</f>
        <v>103.15717227179138</v>
      </c>
      <c r="M44" s="152"/>
    </row>
    <row r="45" spans="1:13" ht="31.5" x14ac:dyDescent="0.25">
      <c r="A45" s="43" t="s">
        <v>354</v>
      </c>
      <c r="B45" s="159" t="s">
        <v>68</v>
      </c>
      <c r="C45" s="18">
        <v>192.4</v>
      </c>
      <c r="D45" s="15">
        <v>97.7</v>
      </c>
      <c r="E45" s="15">
        <v>205.3</v>
      </c>
      <c r="F45" s="15">
        <v>110.2</v>
      </c>
      <c r="G45" s="15">
        <v>206.3</v>
      </c>
      <c r="H45" s="15">
        <v>106.7</v>
      </c>
      <c r="I45" s="15">
        <v>214.1</v>
      </c>
      <c r="J45" s="15">
        <v>107.1</v>
      </c>
      <c r="K45" s="15">
        <v>221.3</v>
      </c>
      <c r="L45" s="15">
        <f>K45/I45*100</f>
        <v>103.36291452592248</v>
      </c>
      <c r="M45" s="152"/>
    </row>
    <row r="46" spans="1:13" ht="26.25" customHeight="1" x14ac:dyDescent="0.25">
      <c r="A46" s="43" t="s">
        <v>355</v>
      </c>
      <c r="B46" s="159" t="s">
        <v>68</v>
      </c>
      <c r="C46" s="18">
        <v>22</v>
      </c>
      <c r="D46" s="15">
        <v>107.3</v>
      </c>
      <c r="E46" s="15">
        <f t="shared" si="12"/>
        <v>27.741999999999997</v>
      </c>
      <c r="F46" s="15">
        <v>126.1</v>
      </c>
      <c r="G46" s="15">
        <f t="shared" si="13"/>
        <v>35.287823999999993</v>
      </c>
      <c r="H46" s="15">
        <v>127.2</v>
      </c>
      <c r="I46" s="15">
        <f t="shared" si="14"/>
        <v>45.486005135999996</v>
      </c>
      <c r="J46" s="15">
        <v>128.9</v>
      </c>
      <c r="K46" s="15">
        <f t="shared" si="15"/>
        <v>58.813404640848006</v>
      </c>
      <c r="L46" s="15">
        <v>129.30000000000001</v>
      </c>
      <c r="M46" s="152"/>
    </row>
    <row r="47" spans="1:13" ht="47.25" x14ac:dyDescent="0.25">
      <c r="A47" s="43" t="s">
        <v>145</v>
      </c>
      <c r="B47" s="159" t="s">
        <v>356</v>
      </c>
      <c r="C47" s="18">
        <v>24457.9</v>
      </c>
      <c r="D47" s="15">
        <v>95.4</v>
      </c>
      <c r="E47" s="15">
        <f t="shared" si="12"/>
        <v>38080.950299999997</v>
      </c>
      <c r="F47" s="15">
        <v>155.69999999999999</v>
      </c>
      <c r="G47" s="15">
        <f t="shared" si="13"/>
        <v>55331.620785899999</v>
      </c>
      <c r="H47" s="15">
        <v>145.30000000000001</v>
      </c>
      <c r="I47" s="15">
        <f t="shared" si="14"/>
        <v>77574.932341831794</v>
      </c>
      <c r="J47" s="15">
        <v>140.19999999999999</v>
      </c>
      <c r="K47" s="15">
        <f t="shared" si="15"/>
        <v>107130.98156406971</v>
      </c>
      <c r="L47" s="15">
        <v>138.1</v>
      </c>
      <c r="M47" s="152"/>
    </row>
    <row r="48" spans="1:13" ht="18" x14ac:dyDescent="0.25">
      <c r="A48" s="43" t="s">
        <v>357</v>
      </c>
      <c r="B48" s="159" t="s">
        <v>200</v>
      </c>
      <c r="C48" s="18">
        <v>0.9</v>
      </c>
      <c r="D48" s="15">
        <v>165.7</v>
      </c>
      <c r="E48" s="15">
        <f t="shared" si="12"/>
        <v>0.94769999999999999</v>
      </c>
      <c r="F48" s="15">
        <v>105.3</v>
      </c>
      <c r="G48" s="15">
        <f t="shared" si="13"/>
        <v>1.0064573999999999</v>
      </c>
      <c r="H48" s="15">
        <v>106.2</v>
      </c>
      <c r="I48" s="15">
        <f t="shared" si="14"/>
        <v>1.0779158754</v>
      </c>
      <c r="J48" s="15">
        <v>107.1</v>
      </c>
      <c r="K48" s="15">
        <f t="shared" si="15"/>
        <v>1.1684608089336002</v>
      </c>
      <c r="L48" s="15">
        <v>108.4</v>
      </c>
      <c r="M48" s="152"/>
    </row>
    <row r="49" spans="1:13" ht="26.25" customHeight="1" x14ac:dyDescent="0.25">
      <c r="A49" s="43" t="s">
        <v>358</v>
      </c>
      <c r="B49" s="159" t="s">
        <v>333</v>
      </c>
      <c r="C49" s="18">
        <v>463177.3</v>
      </c>
      <c r="D49" s="15">
        <v>117.7</v>
      </c>
      <c r="E49" s="15">
        <f t="shared" si="12"/>
        <v>513663.62569999998</v>
      </c>
      <c r="F49" s="15">
        <v>110.9</v>
      </c>
      <c r="G49" s="15">
        <f t="shared" si="13"/>
        <v>574275.93353259994</v>
      </c>
      <c r="H49" s="15">
        <v>111.8</v>
      </c>
      <c r="I49" s="15">
        <f t="shared" si="14"/>
        <v>647208.97709124011</v>
      </c>
      <c r="J49" s="15">
        <v>112.7</v>
      </c>
      <c r="K49" s="15">
        <f t="shared" si="15"/>
        <v>734582.18899855751</v>
      </c>
      <c r="L49" s="15">
        <v>113.5</v>
      </c>
      <c r="M49" s="152"/>
    </row>
    <row r="50" spans="1:13" ht="31.5" x14ac:dyDescent="0.25">
      <c r="A50" s="43" t="s">
        <v>359</v>
      </c>
      <c r="B50" s="159" t="s">
        <v>167</v>
      </c>
      <c r="C50" s="18">
        <v>3188.9</v>
      </c>
      <c r="D50" s="15">
        <v>94.6</v>
      </c>
      <c r="E50" s="15">
        <f t="shared" si="12"/>
        <v>4110.4921000000004</v>
      </c>
      <c r="F50" s="15">
        <v>128.9</v>
      </c>
      <c r="G50" s="15">
        <f t="shared" si="13"/>
        <v>5458.7335088</v>
      </c>
      <c r="H50" s="15">
        <v>132.80000000000001</v>
      </c>
      <c r="I50" s="15">
        <f t="shared" si="14"/>
        <v>7374.7489703887995</v>
      </c>
      <c r="J50" s="15">
        <v>135.1</v>
      </c>
      <c r="K50" s="15">
        <f t="shared" si="15"/>
        <v>10191.903077077319</v>
      </c>
      <c r="L50" s="15">
        <v>138.19999999999999</v>
      </c>
      <c r="M50" s="152"/>
    </row>
    <row r="51" spans="1:13" ht="31.5" x14ac:dyDescent="0.25">
      <c r="A51" s="43" t="s">
        <v>360</v>
      </c>
      <c r="B51" s="159" t="s">
        <v>351</v>
      </c>
      <c r="C51" s="18">
        <v>10053.5</v>
      </c>
      <c r="D51" s="15">
        <v>67.900000000000006</v>
      </c>
      <c r="E51" s="15">
        <f t="shared" si="12"/>
        <v>13250.513000000001</v>
      </c>
      <c r="F51" s="15">
        <v>131.80000000000001</v>
      </c>
      <c r="G51" s="15">
        <f t="shared" si="13"/>
        <v>17914.693576000001</v>
      </c>
      <c r="H51" s="15">
        <v>135.19999999999999</v>
      </c>
      <c r="I51" s="15">
        <f t="shared" si="14"/>
        <v>24740.191828455998</v>
      </c>
      <c r="J51" s="15">
        <v>138.1</v>
      </c>
      <c r="K51" s="15">
        <f t="shared" si="15"/>
        <v>34710.489135323769</v>
      </c>
      <c r="L51" s="15">
        <v>140.30000000000001</v>
      </c>
      <c r="M51" s="152"/>
    </row>
    <row r="52" spans="1:13" ht="47.25" x14ac:dyDescent="0.25">
      <c r="A52" s="43" t="s">
        <v>361</v>
      </c>
      <c r="B52" s="159" t="s">
        <v>341</v>
      </c>
      <c r="C52" s="18">
        <v>0.9</v>
      </c>
      <c r="D52" s="15">
        <v>0</v>
      </c>
      <c r="E52" s="15">
        <v>1</v>
      </c>
      <c r="F52" s="15">
        <v>111.1</v>
      </c>
      <c r="G52" s="15">
        <v>1.1000000000000001</v>
      </c>
      <c r="H52" s="15">
        <v>110</v>
      </c>
      <c r="I52" s="15">
        <v>1.2</v>
      </c>
      <c r="J52" s="15">
        <v>109.1</v>
      </c>
      <c r="K52" s="15">
        <v>1.3</v>
      </c>
      <c r="L52" s="15">
        <v>108.3</v>
      </c>
      <c r="M52" s="152"/>
    </row>
    <row r="53" spans="1:13" ht="47.25" x14ac:dyDescent="0.25">
      <c r="A53" s="43" t="s">
        <v>362</v>
      </c>
      <c r="B53" s="159" t="s">
        <v>341</v>
      </c>
      <c r="C53" s="18">
        <v>254.5</v>
      </c>
      <c r="D53" s="15">
        <v>192</v>
      </c>
      <c r="E53" s="15">
        <f t="shared" si="12"/>
        <v>305.90899999999999</v>
      </c>
      <c r="F53" s="15">
        <v>120.2</v>
      </c>
      <c r="G53" s="15">
        <f t="shared" si="13"/>
        <v>375.04443399999997</v>
      </c>
      <c r="H53" s="15">
        <v>122.6</v>
      </c>
      <c r="I53" s="15">
        <f t="shared" si="14"/>
        <v>465.4301425939999</v>
      </c>
      <c r="J53" s="15">
        <v>124.1</v>
      </c>
      <c r="K53" s="15">
        <f t="shared" si="15"/>
        <v>585.04568924065791</v>
      </c>
      <c r="L53" s="15">
        <v>125.7</v>
      </c>
      <c r="M53" s="152"/>
    </row>
    <row r="54" spans="1:13" ht="47.25" x14ac:dyDescent="0.25">
      <c r="A54" s="43" t="s">
        <v>363</v>
      </c>
      <c r="B54" s="159" t="s">
        <v>356</v>
      </c>
      <c r="C54" s="18">
        <v>5738.7</v>
      </c>
      <c r="D54" s="15">
        <v>89.7</v>
      </c>
      <c r="E54" s="15">
        <f t="shared" si="12"/>
        <v>8125.9991999999993</v>
      </c>
      <c r="F54" s="15">
        <v>141.6</v>
      </c>
      <c r="G54" s="15">
        <f t="shared" si="13"/>
        <v>11035.106913600001</v>
      </c>
      <c r="H54" s="15">
        <v>135.80000000000001</v>
      </c>
      <c r="I54" s="15">
        <f t="shared" si="14"/>
        <v>14444.954949902401</v>
      </c>
      <c r="J54" s="15">
        <v>130.9</v>
      </c>
      <c r="K54" s="15">
        <f t="shared" si="15"/>
        <v>18157.308372027321</v>
      </c>
      <c r="L54" s="15">
        <v>125.7</v>
      </c>
      <c r="M54" s="152"/>
    </row>
    <row r="55" spans="1:13" ht="31.5" x14ac:dyDescent="0.25">
      <c r="A55" s="43" t="s">
        <v>364</v>
      </c>
      <c r="B55" s="159" t="s">
        <v>167</v>
      </c>
      <c r="C55" s="18">
        <v>16869.400000000001</v>
      </c>
      <c r="D55" s="15">
        <v>90.4</v>
      </c>
      <c r="E55" s="15">
        <f t="shared" si="12"/>
        <v>19602.242800000004</v>
      </c>
      <c r="F55" s="15">
        <v>116.2</v>
      </c>
      <c r="G55" s="15">
        <f t="shared" si="13"/>
        <v>22993.430804400003</v>
      </c>
      <c r="H55" s="15">
        <v>117.3</v>
      </c>
      <c r="I55" s="15">
        <f t="shared" si="14"/>
        <v>27224.222072409604</v>
      </c>
      <c r="J55" s="15">
        <v>118.4</v>
      </c>
      <c r="K55" s="15">
        <f t="shared" si="15"/>
        <v>32532.945376529475</v>
      </c>
      <c r="L55" s="15">
        <v>119.5</v>
      </c>
      <c r="M55" s="152"/>
    </row>
    <row r="56" spans="1:13" ht="33" customHeight="1" x14ac:dyDescent="0.25">
      <c r="A56" s="43" t="s">
        <v>156</v>
      </c>
      <c r="B56" s="159" t="s">
        <v>68</v>
      </c>
      <c r="C56" s="18">
        <v>25.5</v>
      </c>
      <c r="D56" s="15">
        <v>100.6</v>
      </c>
      <c r="E56" s="15">
        <f t="shared" si="12"/>
        <v>29.350499999999997</v>
      </c>
      <c r="F56" s="15">
        <v>115.1</v>
      </c>
      <c r="G56" s="15">
        <f t="shared" si="13"/>
        <v>34.134631499999998</v>
      </c>
      <c r="H56" s="15">
        <v>116.3</v>
      </c>
      <c r="I56" s="15">
        <f t="shared" si="14"/>
        <v>40.176461275499996</v>
      </c>
      <c r="J56" s="15">
        <v>117.7</v>
      </c>
      <c r="K56" s="15">
        <f t="shared" si="15"/>
        <v>47.448400766365495</v>
      </c>
      <c r="L56" s="15">
        <v>118.1</v>
      </c>
      <c r="M56" s="152"/>
    </row>
    <row r="57" spans="1:13" ht="36" x14ac:dyDescent="0.25">
      <c r="A57" s="43" t="s">
        <v>365</v>
      </c>
      <c r="B57" s="159" t="s">
        <v>68</v>
      </c>
      <c r="C57" s="18">
        <v>57.5</v>
      </c>
      <c r="D57" s="15">
        <v>101.4</v>
      </c>
      <c r="E57" s="15">
        <f t="shared" si="12"/>
        <v>61.64</v>
      </c>
      <c r="F57" s="15">
        <v>107.2</v>
      </c>
      <c r="G57" s="15">
        <f t="shared" si="13"/>
        <v>66.756119999999996</v>
      </c>
      <c r="H57" s="15">
        <v>108.3</v>
      </c>
      <c r="I57" s="15">
        <f t="shared" si="14"/>
        <v>73.031195280000006</v>
      </c>
      <c r="J57" s="15">
        <v>109.4</v>
      </c>
      <c r="K57" s="15">
        <f t="shared" si="15"/>
        <v>80.845533174960011</v>
      </c>
      <c r="L57" s="15">
        <v>110.7</v>
      </c>
      <c r="M57" s="152"/>
    </row>
    <row r="58" spans="1:13" ht="31.5" x14ac:dyDescent="0.25">
      <c r="A58" s="43" t="s">
        <v>366</v>
      </c>
      <c r="B58" s="159" t="s">
        <v>68</v>
      </c>
      <c r="C58" s="18">
        <v>4.5</v>
      </c>
      <c r="D58" s="15">
        <v>106.2</v>
      </c>
      <c r="E58" s="15">
        <f t="shared" si="12"/>
        <v>4.7294999999999998</v>
      </c>
      <c r="F58" s="15">
        <v>105.1</v>
      </c>
      <c r="G58" s="15">
        <f t="shared" si="13"/>
        <v>5.022729</v>
      </c>
      <c r="H58" s="15">
        <v>106.2</v>
      </c>
      <c r="I58" s="15">
        <f t="shared" si="14"/>
        <v>5.3893882169999996</v>
      </c>
      <c r="J58" s="15">
        <v>107.3</v>
      </c>
      <c r="K58" s="15">
        <f t="shared" si="15"/>
        <v>5.8259286625769997</v>
      </c>
      <c r="L58" s="15">
        <v>108.1</v>
      </c>
      <c r="M58" s="152"/>
    </row>
    <row r="59" spans="1:13" ht="31.5" x14ac:dyDescent="0.25">
      <c r="A59" s="43" t="s">
        <v>164</v>
      </c>
      <c r="B59" s="159" t="s">
        <v>68</v>
      </c>
      <c r="C59" s="18">
        <v>19</v>
      </c>
      <c r="D59" s="15">
        <v>109.5</v>
      </c>
      <c r="E59" s="15">
        <f t="shared" si="12"/>
        <v>21.146999999999998</v>
      </c>
      <c r="F59" s="15">
        <v>111.3</v>
      </c>
      <c r="G59" s="15">
        <f t="shared" si="13"/>
        <v>23.832668999999999</v>
      </c>
      <c r="H59" s="15">
        <v>112.7</v>
      </c>
      <c r="I59" s="15">
        <f t="shared" si="14"/>
        <v>27.121577321999997</v>
      </c>
      <c r="J59" s="15">
        <v>113.8</v>
      </c>
      <c r="K59" s="15">
        <f t="shared" si="15"/>
        <v>31.108449188333999</v>
      </c>
      <c r="L59" s="15">
        <v>114.7</v>
      </c>
      <c r="M59" s="152"/>
    </row>
    <row r="60" spans="1:13" ht="31.5" x14ac:dyDescent="0.25">
      <c r="A60" s="43" t="s">
        <v>115</v>
      </c>
      <c r="B60" s="159" t="s">
        <v>68</v>
      </c>
      <c r="C60" s="18">
        <v>605.6</v>
      </c>
      <c r="D60" s="15">
        <v>101.3</v>
      </c>
      <c r="E60" s="15">
        <f t="shared" si="12"/>
        <v>618.31759999999997</v>
      </c>
      <c r="F60" s="15">
        <v>102.1</v>
      </c>
      <c r="G60" s="15">
        <f t="shared" si="13"/>
        <v>639.95871599999998</v>
      </c>
      <c r="H60" s="15">
        <v>103.5</v>
      </c>
      <c r="I60" s="15">
        <f t="shared" si="14"/>
        <v>670.03677565200007</v>
      </c>
      <c r="J60" s="15">
        <v>104.7</v>
      </c>
      <c r="K60" s="15">
        <f t="shared" si="15"/>
        <v>705.54872476155606</v>
      </c>
      <c r="L60" s="15">
        <v>105.3</v>
      </c>
      <c r="M60" s="152"/>
    </row>
    <row r="61" spans="1:13" ht="31.5" x14ac:dyDescent="0.25">
      <c r="A61" s="43" t="s">
        <v>367</v>
      </c>
      <c r="B61" s="159" t="s">
        <v>68</v>
      </c>
      <c r="C61" s="18">
        <v>13.1</v>
      </c>
      <c r="D61" s="15">
        <v>130.19999999999999</v>
      </c>
      <c r="E61" s="15">
        <f t="shared" si="12"/>
        <v>17.724299999999999</v>
      </c>
      <c r="F61" s="15">
        <v>135.30000000000001</v>
      </c>
      <c r="G61" s="15">
        <f t="shared" si="13"/>
        <v>24.8849172</v>
      </c>
      <c r="H61" s="15">
        <v>140.4</v>
      </c>
      <c r="I61" s="15">
        <f t="shared" si="14"/>
        <v>36.257324360399998</v>
      </c>
      <c r="J61" s="15">
        <v>145.69999999999999</v>
      </c>
      <c r="K61" s="15">
        <f t="shared" si="15"/>
        <v>54.494758513681198</v>
      </c>
      <c r="L61" s="15">
        <v>150.30000000000001</v>
      </c>
      <c r="M61" s="152"/>
    </row>
    <row r="62" spans="1:13" ht="31.5" x14ac:dyDescent="0.25">
      <c r="A62" s="43" t="s">
        <v>368</v>
      </c>
      <c r="B62" s="159" t="s">
        <v>68</v>
      </c>
      <c r="C62" s="18">
        <v>27.7</v>
      </c>
      <c r="D62" s="15">
        <v>107.3</v>
      </c>
      <c r="E62" s="15">
        <f t="shared" si="12"/>
        <v>34.9574</v>
      </c>
      <c r="F62" s="15">
        <v>126.2</v>
      </c>
      <c r="G62" s="15">
        <f t="shared" si="13"/>
        <v>44.500770199999998</v>
      </c>
      <c r="H62" s="15">
        <v>127.3</v>
      </c>
      <c r="I62" s="15">
        <f t="shared" si="14"/>
        <v>57.138988936799997</v>
      </c>
      <c r="J62" s="15">
        <v>128.4</v>
      </c>
      <c r="K62" s="15">
        <f t="shared" si="15"/>
        <v>74.109268651029595</v>
      </c>
      <c r="L62" s="15">
        <v>129.69999999999999</v>
      </c>
      <c r="M62" s="152"/>
    </row>
    <row r="63" spans="1:13" ht="33.75" customHeight="1" x14ac:dyDescent="0.25">
      <c r="A63" s="43" t="s">
        <v>369</v>
      </c>
      <c r="B63" s="159" t="s">
        <v>68</v>
      </c>
      <c r="C63" s="18">
        <v>120.7</v>
      </c>
      <c r="D63" s="15">
        <v>102.7</v>
      </c>
      <c r="E63" s="15">
        <f t="shared" si="12"/>
        <v>126.8557</v>
      </c>
      <c r="F63" s="15">
        <v>105.1</v>
      </c>
      <c r="G63" s="15">
        <f t="shared" si="13"/>
        <v>134.72075340000001</v>
      </c>
      <c r="H63" s="15">
        <v>106.2</v>
      </c>
      <c r="I63" s="15">
        <f t="shared" si="14"/>
        <v>144.55536839820002</v>
      </c>
      <c r="J63" s="15">
        <v>107.3</v>
      </c>
      <c r="K63" s="15">
        <f t="shared" si="15"/>
        <v>156.69801934364884</v>
      </c>
      <c r="L63" s="15">
        <v>108.4</v>
      </c>
      <c r="M63" s="152"/>
    </row>
    <row r="64" spans="1:13" ht="36" x14ac:dyDescent="0.25">
      <c r="A64" s="43" t="s">
        <v>370</v>
      </c>
      <c r="B64" s="159" t="s">
        <v>371</v>
      </c>
      <c r="C64" s="18">
        <v>70029.5</v>
      </c>
      <c r="D64" s="15">
        <v>106</v>
      </c>
      <c r="E64" s="15">
        <f t="shared" si="12"/>
        <v>79763.6005</v>
      </c>
      <c r="F64" s="15">
        <v>113.9</v>
      </c>
      <c r="G64" s="15">
        <f t="shared" si="13"/>
        <v>91488.849773499998</v>
      </c>
      <c r="H64" s="15">
        <v>114.7</v>
      </c>
      <c r="I64" s="15">
        <f t="shared" si="14"/>
        <v>105944.08803771301</v>
      </c>
      <c r="J64" s="15">
        <v>115.8</v>
      </c>
      <c r="K64" s="15">
        <f t="shared" si="15"/>
        <v>123212.97438786022</v>
      </c>
      <c r="L64" s="15">
        <v>116.3</v>
      </c>
      <c r="M64" s="152"/>
    </row>
    <row r="65" spans="1:13" ht="31.5" x14ac:dyDescent="0.25">
      <c r="A65" s="43" t="s">
        <v>372</v>
      </c>
      <c r="B65" s="159" t="s">
        <v>68</v>
      </c>
      <c r="C65" s="18">
        <v>8</v>
      </c>
      <c r="D65" s="15">
        <v>117</v>
      </c>
      <c r="E65" s="15">
        <f t="shared" si="12"/>
        <v>9.7040000000000006</v>
      </c>
      <c r="F65" s="15">
        <v>121.3</v>
      </c>
      <c r="G65" s="15">
        <f t="shared" si="13"/>
        <v>11.877696</v>
      </c>
      <c r="H65" s="15">
        <v>122.4</v>
      </c>
      <c r="I65" s="15">
        <f t="shared" si="14"/>
        <v>14.621443776</v>
      </c>
      <c r="J65" s="15">
        <v>123.1</v>
      </c>
      <c r="K65" s="15">
        <f t="shared" si="15"/>
        <v>18.232940388671999</v>
      </c>
      <c r="L65" s="15">
        <v>124.7</v>
      </c>
      <c r="M65" s="152"/>
    </row>
    <row r="66" spans="1:13" ht="31.5" x14ac:dyDescent="0.25">
      <c r="A66" s="43" t="s">
        <v>373</v>
      </c>
      <c r="B66" s="159" t="s">
        <v>374</v>
      </c>
      <c r="C66" s="18">
        <v>2027.1</v>
      </c>
      <c r="D66" s="15">
        <v>113.9</v>
      </c>
      <c r="E66" s="15">
        <f t="shared" si="12"/>
        <v>2505.4955999999997</v>
      </c>
      <c r="F66" s="15">
        <v>123.6</v>
      </c>
      <c r="G66" s="15">
        <f t="shared" si="13"/>
        <v>3119.3420219999994</v>
      </c>
      <c r="H66" s="15">
        <v>124.5</v>
      </c>
      <c r="I66" s="15">
        <f t="shared" si="14"/>
        <v>3908.5355535659992</v>
      </c>
      <c r="J66" s="15">
        <v>125.3</v>
      </c>
      <c r="K66" s="15">
        <f t="shared" si="15"/>
        <v>4928.6633330467248</v>
      </c>
      <c r="L66" s="15">
        <v>126.1</v>
      </c>
      <c r="M66" s="152"/>
    </row>
    <row r="67" spans="1:13" ht="31.5" x14ac:dyDescent="0.25">
      <c r="A67" s="43" t="s">
        <v>375</v>
      </c>
      <c r="B67" s="159" t="s">
        <v>376</v>
      </c>
      <c r="C67" s="18">
        <v>30917.7</v>
      </c>
      <c r="D67" s="15">
        <v>131.1</v>
      </c>
      <c r="E67" s="15">
        <f t="shared" si="12"/>
        <v>37626.840900000003</v>
      </c>
      <c r="F67" s="15">
        <v>121.7</v>
      </c>
      <c r="G67" s="15">
        <f t="shared" si="13"/>
        <v>46243.387466100008</v>
      </c>
      <c r="H67" s="15">
        <v>122.9</v>
      </c>
      <c r="I67" s="15">
        <f t="shared" si="14"/>
        <v>57203.070295565718</v>
      </c>
      <c r="J67" s="15">
        <v>123.7</v>
      </c>
      <c r="K67" s="15">
        <f t="shared" si="15"/>
        <v>71103.416377388188</v>
      </c>
      <c r="L67" s="15">
        <v>124.3</v>
      </c>
      <c r="M67" s="152"/>
    </row>
    <row r="68" spans="1:13" ht="31.5" customHeight="1" x14ac:dyDescent="0.25">
      <c r="A68" s="43" t="s">
        <v>377</v>
      </c>
      <c r="B68" s="159" t="s">
        <v>376</v>
      </c>
      <c r="C68" s="18">
        <v>48.8</v>
      </c>
      <c r="D68" s="15">
        <v>100.6</v>
      </c>
      <c r="E68" s="15">
        <f t="shared" si="12"/>
        <v>54.314399999999999</v>
      </c>
      <c r="F68" s="15">
        <v>111.3</v>
      </c>
      <c r="G68" s="15">
        <f t="shared" si="13"/>
        <v>61.049385600000008</v>
      </c>
      <c r="H68" s="15">
        <v>112.4</v>
      </c>
      <c r="I68" s="15">
        <f t="shared" si="14"/>
        <v>69.535250198400007</v>
      </c>
      <c r="J68" s="15">
        <v>113.9</v>
      </c>
      <c r="K68" s="15">
        <f t="shared" si="15"/>
        <v>79.756931977564804</v>
      </c>
      <c r="L68" s="15">
        <v>114.7</v>
      </c>
      <c r="M68" s="152"/>
    </row>
    <row r="69" spans="1:13" ht="35.25" customHeight="1" x14ac:dyDescent="0.25">
      <c r="A69" s="43" t="s">
        <v>378</v>
      </c>
      <c r="B69" s="159" t="s">
        <v>374</v>
      </c>
      <c r="C69" s="18">
        <v>59.9</v>
      </c>
      <c r="D69" s="15">
        <v>116.8</v>
      </c>
      <c r="E69" s="15">
        <f t="shared" si="12"/>
        <v>64.632099999999994</v>
      </c>
      <c r="F69" s="15">
        <v>107.9</v>
      </c>
      <c r="G69" s="15">
        <f t="shared" si="13"/>
        <v>70.255092699999992</v>
      </c>
      <c r="H69" s="15">
        <v>108.7</v>
      </c>
      <c r="I69" s="15">
        <f t="shared" si="14"/>
        <v>76.788816321099986</v>
      </c>
      <c r="J69" s="15">
        <v>109.3</v>
      </c>
      <c r="K69" s="15">
        <f t="shared" si="15"/>
        <v>84.774853218494385</v>
      </c>
      <c r="L69" s="15">
        <v>110.4</v>
      </c>
      <c r="M69" s="152"/>
    </row>
    <row r="70" spans="1:13" ht="18" x14ac:dyDescent="0.25">
      <c r="A70" s="43" t="s">
        <v>379</v>
      </c>
      <c r="B70" s="159" t="s">
        <v>380</v>
      </c>
      <c r="C70" s="18">
        <v>26</v>
      </c>
      <c r="D70" s="15">
        <v>158.1</v>
      </c>
      <c r="E70" s="15">
        <f t="shared" si="12"/>
        <v>29.197999999999997</v>
      </c>
      <c r="F70" s="15">
        <v>112.3</v>
      </c>
      <c r="G70" s="15">
        <f t="shared" si="13"/>
        <v>33.198125999999995</v>
      </c>
      <c r="H70" s="15">
        <v>113.7</v>
      </c>
      <c r="I70" s="15">
        <f t="shared" si="14"/>
        <v>38.144646773999995</v>
      </c>
      <c r="J70" s="15">
        <v>114.9</v>
      </c>
      <c r="K70" s="15">
        <f t="shared" si="15"/>
        <v>43.942633083647998</v>
      </c>
      <c r="L70" s="15">
        <v>115.2</v>
      </c>
      <c r="M70" s="152"/>
    </row>
    <row r="71" spans="1:13" ht="18" x14ac:dyDescent="0.25">
      <c r="A71" s="43" t="s">
        <v>381</v>
      </c>
      <c r="B71" s="159" t="s">
        <v>380</v>
      </c>
      <c r="C71" s="18">
        <v>68.2</v>
      </c>
      <c r="D71" s="15">
        <v>104.2</v>
      </c>
      <c r="E71" s="15">
        <f t="shared" si="12"/>
        <v>75.224599999999995</v>
      </c>
      <c r="F71" s="15">
        <v>110.3</v>
      </c>
      <c r="G71" s="15">
        <f t="shared" si="13"/>
        <v>84.101102799999992</v>
      </c>
      <c r="H71" s="15">
        <v>111.8</v>
      </c>
      <c r="I71" s="15">
        <f t="shared" si="14"/>
        <v>94.781942855599993</v>
      </c>
      <c r="J71" s="15">
        <v>112.7</v>
      </c>
      <c r="K71" s="15">
        <f t="shared" si="15"/>
        <v>107.95663291252841</v>
      </c>
      <c r="L71" s="15">
        <v>113.9</v>
      </c>
      <c r="M71" s="152"/>
    </row>
    <row r="72" spans="1:13" ht="18" x14ac:dyDescent="0.25">
      <c r="A72" s="43" t="s">
        <v>382</v>
      </c>
      <c r="B72" s="159" t="s">
        <v>383</v>
      </c>
      <c r="C72" s="18">
        <v>1.2</v>
      </c>
      <c r="D72" s="15">
        <v>140.30000000000001</v>
      </c>
      <c r="E72" s="15">
        <f t="shared" si="12"/>
        <v>1.2755999999999998</v>
      </c>
      <c r="F72" s="15">
        <v>106.3</v>
      </c>
      <c r="G72" s="15">
        <f t="shared" si="13"/>
        <v>1.3674431999999999</v>
      </c>
      <c r="H72" s="15">
        <v>107.2</v>
      </c>
      <c r="I72" s="15">
        <f t="shared" si="14"/>
        <v>1.4891456448</v>
      </c>
      <c r="J72" s="15">
        <v>108.9</v>
      </c>
      <c r="K72" s="15">
        <f t="shared" si="15"/>
        <v>1.6276361897664</v>
      </c>
      <c r="L72" s="15">
        <v>109.3</v>
      </c>
      <c r="M72" s="152"/>
    </row>
    <row r="73" spans="1:13" ht="15.75" customHeight="1" x14ac:dyDescent="0.25">
      <c r="A73" s="43" t="s">
        <v>384</v>
      </c>
      <c r="B73" s="159" t="s">
        <v>385</v>
      </c>
      <c r="C73" s="18">
        <v>229.7</v>
      </c>
      <c r="D73" s="15">
        <v>127.8</v>
      </c>
      <c r="E73" s="15">
        <f t="shared" si="12"/>
        <v>253.35910000000001</v>
      </c>
      <c r="F73" s="15">
        <v>110.3</v>
      </c>
      <c r="G73" s="15">
        <f t="shared" si="13"/>
        <v>295.6700697</v>
      </c>
      <c r="H73" s="15">
        <v>116.7</v>
      </c>
      <c r="I73" s="15">
        <f t="shared" si="14"/>
        <v>348.59501217630003</v>
      </c>
      <c r="J73" s="15">
        <v>117.9</v>
      </c>
      <c r="K73" s="15">
        <f t="shared" si="15"/>
        <v>413.78227945326813</v>
      </c>
      <c r="L73" s="15">
        <v>118.7</v>
      </c>
      <c r="M73" s="152"/>
    </row>
    <row r="74" spans="1:13" ht="31.5" x14ac:dyDescent="0.25">
      <c r="A74" s="43" t="s">
        <v>386</v>
      </c>
      <c r="B74" s="159" t="s">
        <v>68</v>
      </c>
      <c r="C74" s="18">
        <v>0.3</v>
      </c>
      <c r="D74" s="15">
        <v>114.8</v>
      </c>
      <c r="E74" s="15">
        <f t="shared" si="12"/>
        <v>0.3639</v>
      </c>
      <c r="F74" s="15">
        <v>121.3</v>
      </c>
      <c r="G74" s="15">
        <f t="shared" si="13"/>
        <v>0.44504969999999999</v>
      </c>
      <c r="H74" s="15">
        <v>122.3</v>
      </c>
      <c r="I74" s="15">
        <f t="shared" si="14"/>
        <v>0.55052647890000006</v>
      </c>
      <c r="J74" s="15">
        <v>123.7</v>
      </c>
      <c r="K74" s="15">
        <f t="shared" si="15"/>
        <v>0.68760757214610013</v>
      </c>
      <c r="L74" s="15">
        <v>124.9</v>
      </c>
      <c r="M74" s="152"/>
    </row>
    <row r="75" spans="1:13" ht="18" x14ac:dyDescent="0.25">
      <c r="A75" s="43" t="s">
        <v>387</v>
      </c>
      <c r="B75" s="159" t="s">
        <v>200</v>
      </c>
      <c r="C75" s="18">
        <v>0.3</v>
      </c>
      <c r="D75" s="15">
        <v>100</v>
      </c>
      <c r="E75" s="15">
        <f t="shared" si="12"/>
        <v>0.32789999999999997</v>
      </c>
      <c r="F75" s="15">
        <v>109.3</v>
      </c>
      <c r="G75" s="15">
        <f t="shared" si="13"/>
        <v>0.36298530000000001</v>
      </c>
      <c r="H75" s="15">
        <v>110.7</v>
      </c>
      <c r="I75" s="15">
        <f t="shared" si="14"/>
        <v>0.40581756540000002</v>
      </c>
      <c r="J75" s="15">
        <v>111.8</v>
      </c>
      <c r="K75" s="15">
        <f t="shared" si="15"/>
        <v>0.45573312594420001</v>
      </c>
      <c r="L75" s="15">
        <v>112.3</v>
      </c>
      <c r="M75" s="152"/>
    </row>
    <row r="76" spans="1:13" ht="18" x14ac:dyDescent="0.25">
      <c r="A76" s="43" t="s">
        <v>388</v>
      </c>
      <c r="B76" s="159" t="s">
        <v>200</v>
      </c>
      <c r="C76" s="164">
        <v>8</v>
      </c>
      <c r="D76" s="15">
        <v>160.1</v>
      </c>
      <c r="E76" s="15">
        <f t="shared" si="12"/>
        <v>9.2080000000000002</v>
      </c>
      <c r="F76" s="15">
        <v>115.1</v>
      </c>
      <c r="G76" s="15">
        <f t="shared" si="13"/>
        <v>10.745735999999999</v>
      </c>
      <c r="H76" s="15">
        <v>116.7</v>
      </c>
      <c r="I76" s="15">
        <f t="shared" si="14"/>
        <v>12.647731271999998</v>
      </c>
      <c r="J76" s="15">
        <v>117.7</v>
      </c>
      <c r="K76" s="15">
        <f t="shared" si="15"/>
        <v>14.962266094775998</v>
      </c>
      <c r="L76" s="15">
        <v>118.3</v>
      </c>
      <c r="M76" s="152"/>
    </row>
    <row r="77" spans="1:13" ht="18" x14ac:dyDescent="0.25">
      <c r="A77" s="43" t="s">
        <v>389</v>
      </c>
      <c r="B77" s="159" t="s">
        <v>200</v>
      </c>
      <c r="C77" s="18">
        <v>200</v>
      </c>
      <c r="D77" s="15">
        <v>108.5</v>
      </c>
      <c r="E77" s="15">
        <f t="shared" si="12"/>
        <v>221.8</v>
      </c>
      <c r="F77" s="15">
        <v>110.9</v>
      </c>
      <c r="G77" s="15">
        <f t="shared" si="13"/>
        <v>247.97240000000002</v>
      </c>
      <c r="H77" s="15">
        <v>111.8</v>
      </c>
      <c r="I77" s="15">
        <f t="shared" si="14"/>
        <v>279.46489480000002</v>
      </c>
      <c r="J77" s="15">
        <v>112.7</v>
      </c>
      <c r="K77" s="15">
        <f t="shared" si="15"/>
        <v>317.4721204928</v>
      </c>
      <c r="L77" s="15">
        <v>113.6</v>
      </c>
      <c r="M77" s="152"/>
    </row>
    <row r="78" spans="1:13" ht="31.5" x14ac:dyDescent="0.25">
      <c r="A78" s="43" t="s">
        <v>390</v>
      </c>
      <c r="B78" s="159" t="s">
        <v>68</v>
      </c>
      <c r="C78" s="18">
        <v>19.7</v>
      </c>
      <c r="D78" s="15">
        <v>117.8</v>
      </c>
      <c r="E78" s="15">
        <f t="shared" si="12"/>
        <v>20.803199999999997</v>
      </c>
      <c r="F78" s="15">
        <v>105.6</v>
      </c>
      <c r="G78" s="15">
        <f t="shared" si="13"/>
        <v>22.197014399999997</v>
      </c>
      <c r="H78" s="15">
        <v>106.7</v>
      </c>
      <c r="I78" s="15">
        <f t="shared" si="14"/>
        <v>23.928381523199995</v>
      </c>
      <c r="J78" s="15">
        <v>107.8</v>
      </c>
      <c r="K78" s="15">
        <f t="shared" si="15"/>
        <v>26.058007478764797</v>
      </c>
      <c r="L78" s="15">
        <v>108.9</v>
      </c>
      <c r="M78" s="152"/>
    </row>
    <row r="79" spans="1:13" ht="31.5" x14ac:dyDescent="0.25">
      <c r="A79" s="43" t="s">
        <v>391</v>
      </c>
      <c r="B79" s="159" t="s">
        <v>68</v>
      </c>
      <c r="C79" s="18">
        <v>184.3</v>
      </c>
      <c r="D79" s="15">
        <v>163.6</v>
      </c>
      <c r="E79" s="15">
        <f t="shared" si="12"/>
        <v>232.03370000000004</v>
      </c>
      <c r="F79" s="15">
        <v>125.9</v>
      </c>
      <c r="G79" s="15">
        <f t="shared" si="13"/>
        <v>294.21873160000001</v>
      </c>
      <c r="H79" s="15">
        <v>126.8</v>
      </c>
      <c r="I79" s="15">
        <f t="shared" si="14"/>
        <v>375.7173202532</v>
      </c>
      <c r="J79" s="15">
        <v>127.7</v>
      </c>
      <c r="K79" s="15">
        <f t="shared" si="15"/>
        <v>483.17247384561517</v>
      </c>
      <c r="L79" s="15">
        <v>128.6</v>
      </c>
      <c r="M79" s="152"/>
    </row>
    <row r="80" spans="1:13" ht="31.5" x14ac:dyDescent="0.25">
      <c r="A80" s="43" t="s">
        <v>392</v>
      </c>
      <c r="B80" s="159" t="s">
        <v>167</v>
      </c>
      <c r="C80" s="18"/>
      <c r="D80" s="15"/>
      <c r="E80" s="15"/>
      <c r="F80" s="15"/>
      <c r="G80" s="15"/>
      <c r="H80" s="15"/>
      <c r="I80" s="15"/>
      <c r="J80" s="15"/>
      <c r="K80" s="15"/>
      <c r="L80" s="15"/>
      <c r="M80" s="152"/>
    </row>
    <row r="81" spans="1:13" ht="36" x14ac:dyDescent="0.25">
      <c r="A81" s="43" t="s">
        <v>393</v>
      </c>
      <c r="B81" s="159" t="s">
        <v>167</v>
      </c>
      <c r="C81" s="18">
        <v>68.400000000000006</v>
      </c>
      <c r="D81" s="15">
        <v>61.9</v>
      </c>
      <c r="E81" s="15">
        <f t="shared" ref="E81:E83" si="16">C81*F81/100</f>
        <v>68.536800000000014</v>
      </c>
      <c r="F81" s="15">
        <v>100.2</v>
      </c>
      <c r="G81" s="15">
        <f t="shared" ref="G81:G83" si="17">E81*H81/100</f>
        <v>68.810947200000015</v>
      </c>
      <c r="H81" s="15">
        <v>100.4</v>
      </c>
      <c r="I81" s="15">
        <f t="shared" ref="I81:I83" si="18">G81*J81/100</f>
        <v>69.223812883200011</v>
      </c>
      <c r="J81" s="15">
        <v>100.6</v>
      </c>
      <c r="K81" s="15">
        <f t="shared" ref="K81:K83" si="19">I81*L81/100</f>
        <v>69.777603386265611</v>
      </c>
      <c r="L81" s="15">
        <v>100.8</v>
      </c>
      <c r="M81" s="152"/>
    </row>
    <row r="82" spans="1:13" ht="47.25" x14ac:dyDescent="0.25">
      <c r="A82" s="43" t="s">
        <v>395</v>
      </c>
      <c r="B82" s="159" t="s">
        <v>341</v>
      </c>
      <c r="C82" s="18">
        <v>2123.4</v>
      </c>
      <c r="D82" s="15">
        <v>95.9</v>
      </c>
      <c r="E82" s="15">
        <f t="shared" si="16"/>
        <v>2480.1311999999998</v>
      </c>
      <c r="F82" s="15">
        <v>116.8</v>
      </c>
      <c r="G82" s="15">
        <f t="shared" si="17"/>
        <v>2924.0746847999999</v>
      </c>
      <c r="H82" s="15">
        <v>117.9</v>
      </c>
      <c r="I82" s="15">
        <f t="shared" si="18"/>
        <v>3459.1803521184002</v>
      </c>
      <c r="J82" s="15">
        <v>118.3</v>
      </c>
      <c r="K82" s="15">
        <f t="shared" si="19"/>
        <v>4123.3429797251329</v>
      </c>
      <c r="L82" s="15">
        <v>119.2</v>
      </c>
      <c r="M82" s="152"/>
    </row>
    <row r="83" spans="1:13" ht="31.5" x14ac:dyDescent="0.25">
      <c r="A83" s="43" t="s">
        <v>394</v>
      </c>
      <c r="B83" s="159" t="s">
        <v>167</v>
      </c>
      <c r="C83" s="18">
        <v>344</v>
      </c>
      <c r="D83" s="15">
        <v>144.1</v>
      </c>
      <c r="E83" s="15">
        <f t="shared" si="16"/>
        <v>351.22399999999999</v>
      </c>
      <c r="F83" s="15">
        <v>102.1</v>
      </c>
      <c r="G83" s="15">
        <f t="shared" si="17"/>
        <v>360.70704799999999</v>
      </c>
      <c r="H83" s="15">
        <v>102.7</v>
      </c>
      <c r="I83" s="15">
        <f t="shared" si="18"/>
        <v>371.88896648799994</v>
      </c>
      <c r="J83" s="15">
        <v>103.1</v>
      </c>
      <c r="K83" s="15">
        <f t="shared" si="19"/>
        <v>384.90508031507989</v>
      </c>
      <c r="L83" s="15">
        <v>103.5</v>
      </c>
      <c r="M83" s="152"/>
    </row>
    <row r="84" spans="1:13" ht="31.5" x14ac:dyDescent="0.25">
      <c r="A84" s="58" t="s">
        <v>949</v>
      </c>
      <c r="B84" s="159" t="s">
        <v>167</v>
      </c>
      <c r="C84" s="18">
        <v>205876.2</v>
      </c>
      <c r="D84" s="15">
        <v>113.2</v>
      </c>
      <c r="E84" s="15">
        <f t="shared" ref="E84:E85" si="20">C84*F84/100</f>
        <v>237992.8872</v>
      </c>
      <c r="F84" s="15">
        <v>115.6</v>
      </c>
      <c r="G84" s="15">
        <f t="shared" ref="G84:G85" si="21">E84*H84/100</f>
        <v>277737.69936239999</v>
      </c>
      <c r="H84" s="15">
        <v>116.7</v>
      </c>
      <c r="I84" s="15">
        <f t="shared" ref="I84:I85" si="22">G84*J84/100</f>
        <v>326064.05905145762</v>
      </c>
      <c r="J84" s="15">
        <v>117.4</v>
      </c>
      <c r="K84" s="15">
        <f t="shared" ref="K84:K85" si="23">I84*L84/100</f>
        <v>386385.90997597727</v>
      </c>
      <c r="L84" s="15">
        <v>118.5</v>
      </c>
      <c r="M84" s="152"/>
    </row>
    <row r="85" spans="1:13" ht="24.75" customHeight="1" x14ac:dyDescent="0.25">
      <c r="A85" s="58" t="s">
        <v>950</v>
      </c>
      <c r="B85" s="159" t="s">
        <v>167</v>
      </c>
      <c r="C85" s="18">
        <v>67058.5</v>
      </c>
      <c r="D85" s="15">
        <v>135.80000000000001</v>
      </c>
      <c r="E85" s="15">
        <f t="shared" si="20"/>
        <v>81543.135999999999</v>
      </c>
      <c r="F85" s="15">
        <v>121.6</v>
      </c>
      <c r="G85" s="15">
        <f t="shared" si="21"/>
        <v>100053.427872</v>
      </c>
      <c r="H85" s="15">
        <v>122.7</v>
      </c>
      <c r="I85" s="15">
        <f t="shared" si="22"/>
        <v>123666.036849792</v>
      </c>
      <c r="J85" s="15">
        <v>123.6</v>
      </c>
      <c r="K85" s="15">
        <f t="shared" si="23"/>
        <v>153469.55173059186</v>
      </c>
      <c r="L85" s="15">
        <v>124.1</v>
      </c>
      <c r="M85" s="152"/>
    </row>
    <row r="86" spans="1:13" ht="47.25" x14ac:dyDescent="0.25">
      <c r="A86" s="43" t="s">
        <v>396</v>
      </c>
      <c r="B86" s="159" t="s">
        <v>397</v>
      </c>
      <c r="C86" s="18">
        <v>2674.2</v>
      </c>
      <c r="D86" s="15">
        <v>117.3</v>
      </c>
      <c r="E86" s="15">
        <f t="shared" ref="E86" si="24">C86*F86/100</f>
        <v>3217.0625999999993</v>
      </c>
      <c r="F86" s="15">
        <v>120.3</v>
      </c>
      <c r="G86" s="15">
        <f t="shared" ref="G86" si="25">E86*H86/100</f>
        <v>3915.1651841999992</v>
      </c>
      <c r="H86" s="15">
        <v>121.7</v>
      </c>
      <c r="I86" s="15">
        <f t="shared" ref="I86" si="26">G86*J86/100</f>
        <v>4788.247020276599</v>
      </c>
      <c r="J86" s="15">
        <v>122.3</v>
      </c>
      <c r="K86" s="15">
        <f t="shared" ref="K86" si="27">I86*L86/100</f>
        <v>5932.6380581227058</v>
      </c>
      <c r="L86" s="15">
        <v>123.9</v>
      </c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0">
    <mergeCell ref="A1:L1"/>
    <mergeCell ref="A2:A4"/>
    <mergeCell ref="B2:B4"/>
    <mergeCell ref="C2:D3"/>
    <mergeCell ref="E2:F3"/>
    <mergeCell ref="G2:H2"/>
    <mergeCell ref="I2:L2"/>
    <mergeCell ref="G3:H3"/>
    <mergeCell ref="I3:J3"/>
    <mergeCell ref="K3:L3"/>
  </mergeCells>
  <pageMargins left="0.43307086614173229" right="0.19685039370078741" top="0.35433070866141736" bottom="0.35433070866141736" header="0" footer="0"/>
  <pageSetup paperSize="9" scale="85" firstPageNumber="83" orientation="landscape" useFirstPageNumber="1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90" zoomScaleNormal="100" zoomScaleSheetLayoutView="90" zoomScalePageLayoutView="40" workbookViewId="0">
      <selection activeCell="F6" sqref="F6"/>
    </sheetView>
  </sheetViews>
  <sheetFormatPr defaultRowHeight="15" x14ac:dyDescent="0.25"/>
  <cols>
    <col min="1" max="1" width="29.5703125" customWidth="1"/>
    <col min="2" max="2" width="11.85546875" customWidth="1"/>
    <col min="3" max="3" width="12" customWidth="1"/>
    <col min="4" max="4" width="11.85546875" customWidth="1"/>
    <col min="5" max="5" width="9.42578125" customWidth="1"/>
    <col min="6" max="6" width="12" customWidth="1"/>
    <col min="7" max="7" width="9.42578125" customWidth="1"/>
    <col min="8" max="8" width="11.140625" customWidth="1"/>
    <col min="9" max="9" width="9.140625" customWidth="1"/>
    <col min="10" max="10" width="12.28515625" customWidth="1"/>
    <col min="11" max="11" width="9.28515625" customWidth="1"/>
  </cols>
  <sheetData>
    <row r="1" spans="1:13" ht="46.5" customHeight="1" x14ac:dyDescent="0.3">
      <c r="A1" s="388" t="s">
        <v>986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46"/>
      <c r="M1" s="346"/>
    </row>
    <row r="2" spans="1:13" ht="23.25" customHeight="1" x14ac:dyDescent="0.25">
      <c r="A2" s="386" t="s">
        <v>398</v>
      </c>
      <c r="B2" s="386" t="s">
        <v>951</v>
      </c>
      <c r="C2" s="386"/>
      <c r="D2" s="386" t="s">
        <v>884</v>
      </c>
      <c r="E2" s="386"/>
      <c r="F2" s="386" t="s">
        <v>8</v>
      </c>
      <c r="G2" s="386"/>
      <c r="H2" s="386" t="s">
        <v>4</v>
      </c>
      <c r="I2" s="386"/>
      <c r="J2" s="386"/>
      <c r="K2" s="386"/>
      <c r="L2" s="349"/>
      <c r="M2" s="349"/>
    </row>
    <row r="3" spans="1:13" ht="22.5" customHeight="1" x14ac:dyDescent="0.25">
      <c r="A3" s="386"/>
      <c r="B3" s="386"/>
      <c r="C3" s="386"/>
      <c r="D3" s="386"/>
      <c r="E3" s="386"/>
      <c r="F3" s="386" t="s">
        <v>885</v>
      </c>
      <c r="G3" s="386"/>
      <c r="H3" s="386" t="s">
        <v>247</v>
      </c>
      <c r="I3" s="386"/>
      <c r="J3" s="386" t="s">
        <v>877</v>
      </c>
      <c r="K3" s="386"/>
      <c r="L3" s="349"/>
      <c r="M3" s="349"/>
    </row>
    <row r="4" spans="1:13" ht="31.5" x14ac:dyDescent="0.25">
      <c r="A4" s="386"/>
      <c r="B4" s="153" t="s">
        <v>399</v>
      </c>
      <c r="C4" s="153" t="s">
        <v>316</v>
      </c>
      <c r="D4" s="153" t="s">
        <v>399</v>
      </c>
      <c r="E4" s="153" t="s">
        <v>316</v>
      </c>
      <c r="F4" s="153" t="s">
        <v>399</v>
      </c>
      <c r="G4" s="153" t="s">
        <v>316</v>
      </c>
      <c r="H4" s="90" t="s">
        <v>399</v>
      </c>
      <c r="I4" s="153" t="s">
        <v>316</v>
      </c>
      <c r="J4" s="153" t="s">
        <v>399</v>
      </c>
      <c r="K4" s="153" t="s">
        <v>316</v>
      </c>
      <c r="L4" s="327"/>
      <c r="M4" s="327"/>
    </row>
    <row r="5" spans="1:13" ht="18" x14ac:dyDescent="0.25">
      <c r="A5" s="60" t="s">
        <v>400</v>
      </c>
      <c r="B5" s="158">
        <v>2795</v>
      </c>
      <c r="C5" s="42">
        <v>117.1</v>
      </c>
      <c r="D5" s="158">
        <v>2977</v>
      </c>
      <c r="E5" s="41">
        <v>106.5</v>
      </c>
      <c r="F5" s="158">
        <v>3155</v>
      </c>
      <c r="G5" s="41">
        <v>106</v>
      </c>
      <c r="H5" s="158">
        <v>3329</v>
      </c>
      <c r="I5" s="41">
        <v>105.5</v>
      </c>
      <c r="J5" s="158">
        <v>3495</v>
      </c>
      <c r="K5" s="41">
        <v>105</v>
      </c>
      <c r="L5" s="327"/>
      <c r="M5" s="327"/>
    </row>
    <row r="6" spans="1:13" ht="21" customHeight="1" x14ac:dyDescent="0.25">
      <c r="A6" s="286" t="s">
        <v>401</v>
      </c>
      <c r="B6" s="19"/>
      <c r="C6" s="40"/>
      <c r="D6" s="342"/>
      <c r="E6" s="343"/>
      <c r="F6" s="343"/>
      <c r="G6" s="343"/>
      <c r="H6" s="343"/>
      <c r="I6" s="343"/>
      <c r="J6" s="343"/>
      <c r="K6" s="43"/>
      <c r="L6" s="327"/>
      <c r="M6" s="327"/>
    </row>
    <row r="7" spans="1:13" ht="36" x14ac:dyDescent="0.25">
      <c r="A7" s="60" t="s">
        <v>402</v>
      </c>
      <c r="B7" s="41">
        <v>294</v>
      </c>
      <c r="C7" s="42">
        <v>105.1</v>
      </c>
      <c r="D7" s="158">
        <v>303</v>
      </c>
      <c r="E7" s="41">
        <v>103.2</v>
      </c>
      <c r="F7" s="158">
        <v>313</v>
      </c>
      <c r="G7" s="41">
        <v>103</v>
      </c>
      <c r="H7" s="158">
        <v>322</v>
      </c>
      <c r="I7" s="41">
        <v>102.9</v>
      </c>
      <c r="J7" s="158">
        <v>331</v>
      </c>
      <c r="K7" s="41">
        <v>103</v>
      </c>
      <c r="L7" s="327"/>
      <c r="M7" s="327"/>
    </row>
    <row r="8" spans="1:13" ht="18" x14ac:dyDescent="0.25">
      <c r="A8" s="60" t="s">
        <v>403</v>
      </c>
      <c r="B8" s="41">
        <v>1874</v>
      </c>
      <c r="C8" s="42">
        <v>108.2</v>
      </c>
      <c r="D8" s="158">
        <v>1970</v>
      </c>
      <c r="E8" s="41">
        <v>105.1</v>
      </c>
      <c r="F8" s="158">
        <v>2054</v>
      </c>
      <c r="G8" s="41">
        <v>104.3</v>
      </c>
      <c r="H8" s="158">
        <v>2138</v>
      </c>
      <c r="I8" s="41">
        <v>104.1</v>
      </c>
      <c r="J8" s="158">
        <v>2226</v>
      </c>
      <c r="K8" s="41">
        <v>104</v>
      </c>
      <c r="L8" s="327"/>
      <c r="M8" s="327"/>
    </row>
    <row r="9" spans="1:13" ht="18" x14ac:dyDescent="0.25">
      <c r="A9" s="58" t="s">
        <v>249</v>
      </c>
      <c r="B9" s="19"/>
      <c r="C9" s="344"/>
      <c r="D9" s="288"/>
      <c r="E9" s="343"/>
      <c r="F9" s="342"/>
      <c r="G9" s="343"/>
      <c r="H9" s="343"/>
      <c r="I9" s="343"/>
      <c r="J9" s="343"/>
      <c r="K9" s="343"/>
      <c r="L9" s="327"/>
      <c r="M9" s="327"/>
    </row>
    <row r="10" spans="1:13" ht="54" x14ac:dyDescent="0.25">
      <c r="A10" s="58" t="s">
        <v>404</v>
      </c>
      <c r="B10" s="43">
        <v>486</v>
      </c>
      <c r="C10" s="40">
        <v>106.4</v>
      </c>
      <c r="D10" s="288">
        <v>507</v>
      </c>
      <c r="E10" s="43">
        <v>104.3</v>
      </c>
      <c r="F10" s="288">
        <v>526</v>
      </c>
      <c r="G10" s="43">
        <v>103.7</v>
      </c>
      <c r="H10" s="288">
        <v>547</v>
      </c>
      <c r="I10" s="43">
        <v>104</v>
      </c>
      <c r="J10" s="288">
        <v>570</v>
      </c>
      <c r="K10" s="43">
        <v>104</v>
      </c>
      <c r="L10" s="327"/>
      <c r="M10" s="327"/>
    </row>
    <row r="11" spans="1:13" ht="36" x14ac:dyDescent="0.25">
      <c r="A11" s="58" t="s">
        <v>405</v>
      </c>
      <c r="B11" s="43">
        <v>394</v>
      </c>
      <c r="C11" s="40">
        <v>106.9</v>
      </c>
      <c r="D11" s="288">
        <v>406</v>
      </c>
      <c r="E11" s="43">
        <v>103.1</v>
      </c>
      <c r="F11" s="288">
        <v>418</v>
      </c>
      <c r="G11" s="43">
        <v>103</v>
      </c>
      <c r="H11" s="288">
        <v>427</v>
      </c>
      <c r="I11" s="43">
        <v>102</v>
      </c>
      <c r="J11" s="288">
        <v>443</v>
      </c>
      <c r="K11" s="43">
        <v>104</v>
      </c>
      <c r="L11" s="327"/>
      <c r="M11" s="327"/>
    </row>
    <row r="12" spans="1:13" ht="36" x14ac:dyDescent="0.25">
      <c r="A12" s="58" t="s">
        <v>406</v>
      </c>
      <c r="B12" s="43">
        <v>372</v>
      </c>
      <c r="C12" s="40">
        <v>107.8</v>
      </c>
      <c r="D12" s="288">
        <v>387</v>
      </c>
      <c r="E12" s="43">
        <v>103.9</v>
      </c>
      <c r="F12" s="288">
        <v>399</v>
      </c>
      <c r="G12" s="43">
        <v>103.2</v>
      </c>
      <c r="H12" s="288">
        <v>417</v>
      </c>
      <c r="I12" s="43">
        <v>104.6</v>
      </c>
      <c r="J12" s="288">
        <v>430</v>
      </c>
      <c r="K12" s="43">
        <v>103</v>
      </c>
      <c r="L12" s="327"/>
      <c r="M12" s="327"/>
    </row>
    <row r="13" spans="1:13" ht="36" x14ac:dyDescent="0.25">
      <c r="A13" s="58" t="s">
        <v>952</v>
      </c>
      <c r="B13" s="43">
        <v>177</v>
      </c>
      <c r="C13" s="40">
        <v>101.8</v>
      </c>
      <c r="D13" s="288">
        <v>180</v>
      </c>
      <c r="E13" s="43">
        <v>101.8</v>
      </c>
      <c r="F13" s="288">
        <v>183</v>
      </c>
      <c r="G13" s="43">
        <v>101.8</v>
      </c>
      <c r="H13" s="288">
        <v>187</v>
      </c>
      <c r="I13" s="43">
        <v>101.7</v>
      </c>
      <c r="J13" s="288">
        <v>190</v>
      </c>
      <c r="K13" s="43">
        <v>102</v>
      </c>
      <c r="L13" s="327"/>
      <c r="M13" s="327"/>
    </row>
    <row r="14" spans="1:13" ht="54" x14ac:dyDescent="0.25">
      <c r="A14" s="60" t="s">
        <v>407</v>
      </c>
      <c r="B14" s="41"/>
      <c r="C14" s="42"/>
      <c r="D14" s="158"/>
      <c r="E14" s="41"/>
      <c r="F14" s="158"/>
      <c r="G14" s="41"/>
      <c r="H14" s="158"/>
      <c r="I14" s="41"/>
      <c r="J14" s="158"/>
      <c r="K14" s="43"/>
      <c r="L14" s="327"/>
      <c r="M14" s="327"/>
    </row>
    <row r="15" spans="1:13" ht="72" x14ac:dyDescent="0.25">
      <c r="A15" s="60" t="s">
        <v>408</v>
      </c>
      <c r="B15" s="60"/>
      <c r="C15" s="103"/>
      <c r="D15" s="158"/>
      <c r="E15" s="60"/>
      <c r="F15" s="158"/>
      <c r="G15" s="60"/>
      <c r="H15" s="158"/>
      <c r="I15" s="60"/>
      <c r="J15" s="158"/>
      <c r="K15" s="41"/>
      <c r="L15" s="327"/>
      <c r="M15" s="327"/>
    </row>
    <row r="16" spans="1:13" ht="18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60"/>
      <c r="L16" s="327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327"/>
      <c r="M17" s="327"/>
    </row>
    <row r="18" spans="1:13" x14ac:dyDescent="0.25">
      <c r="A18" s="327"/>
      <c r="B18" s="327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</row>
    <row r="19" spans="1:13" x14ac:dyDescent="0.25">
      <c r="A19" s="327"/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</row>
    <row r="20" spans="1:13" x14ac:dyDescent="0.25">
      <c r="A20" s="327"/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</row>
    <row r="21" spans="1:13" x14ac:dyDescent="0.25">
      <c r="A21" s="327"/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</row>
    <row r="22" spans="1:13" x14ac:dyDescent="0.25">
      <c r="A22" s="327"/>
      <c r="B22" s="327"/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</row>
    <row r="23" spans="1:13" x14ac:dyDescent="0.25">
      <c r="A23" s="327"/>
      <c r="B23" s="327"/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</row>
    <row r="24" spans="1:13" x14ac:dyDescent="0.25">
      <c r="A24" s="327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</row>
    <row r="25" spans="1:13" x14ac:dyDescent="0.25">
      <c r="A25" s="327"/>
      <c r="B25" s="327"/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</row>
    <row r="26" spans="1:13" x14ac:dyDescent="0.25">
      <c r="A26" s="327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</row>
    <row r="27" spans="1:13" x14ac:dyDescent="0.25">
      <c r="A27" s="327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</row>
    <row r="28" spans="1:13" x14ac:dyDescent="0.25">
      <c r="A28" s="327"/>
      <c r="B28" s="327"/>
      <c r="C28" s="327"/>
      <c r="D28" s="327"/>
      <c r="E28" s="327"/>
      <c r="F28" s="327"/>
      <c r="G28" s="327"/>
      <c r="H28" s="327"/>
      <c r="I28" s="327"/>
      <c r="J28" s="327"/>
      <c r="K28" s="327"/>
      <c r="L28" s="327"/>
      <c r="M28" s="327"/>
    </row>
    <row r="29" spans="1:13" x14ac:dyDescent="0.25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</row>
    <row r="30" spans="1:13" x14ac:dyDescent="0.25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</row>
    <row r="31" spans="1:13" x14ac:dyDescent="0.25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</row>
    <row r="32" spans="1:13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</row>
    <row r="33" spans="1:13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</row>
    <row r="34" spans="1:13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</row>
    <row r="35" spans="1:13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</row>
    <row r="36" spans="1:13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</row>
    <row r="37" spans="1:13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</row>
    <row r="38" spans="1:13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</row>
    <row r="39" spans="1:13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</row>
    <row r="40" spans="1:13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1:13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</row>
    <row r="42" spans="1:13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</row>
    <row r="43" spans="1:13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</row>
    <row r="44" spans="1:13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</row>
    <row r="45" spans="1:13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</row>
    <row r="46" spans="1:13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1:13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</row>
    <row r="48" spans="1:13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firstPageNumber="88" orientation="landscape" useFirstPageNumber="1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55" zoomScaleNormal="100" zoomScaleSheetLayoutView="55" zoomScalePageLayoutView="40" workbookViewId="0">
      <selection activeCell="F6" sqref="F6"/>
    </sheetView>
  </sheetViews>
  <sheetFormatPr defaultRowHeight="15" x14ac:dyDescent="0.25"/>
  <cols>
    <col min="1" max="1" width="37.85546875" customWidth="1"/>
    <col min="2" max="3" width="11" customWidth="1"/>
    <col min="4" max="4" width="12.42578125" customWidth="1"/>
    <col min="5" max="5" width="11.28515625" customWidth="1"/>
    <col min="6" max="6" width="12.42578125" customWidth="1"/>
    <col min="7" max="7" width="11.28515625" customWidth="1"/>
    <col min="8" max="8" width="12.7109375" customWidth="1"/>
    <col min="9" max="9" width="10.42578125" customWidth="1"/>
    <col min="10" max="10" width="13.7109375" customWidth="1"/>
    <col min="11" max="11" width="12.42578125" customWidth="1"/>
  </cols>
  <sheetData>
    <row r="1" spans="1:13" ht="27" customHeight="1" x14ac:dyDescent="0.3">
      <c r="A1" s="385" t="s">
        <v>886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46"/>
      <c r="M1" s="346"/>
    </row>
    <row r="2" spans="1:13" ht="21.75" customHeight="1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49"/>
      <c r="M2" s="349"/>
    </row>
    <row r="3" spans="1:13" ht="22.5" customHeight="1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49"/>
      <c r="M3" s="349"/>
    </row>
    <row r="4" spans="1:13" ht="23.25" customHeight="1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327"/>
      <c r="M4" s="327"/>
    </row>
    <row r="5" spans="1:13" ht="36" x14ac:dyDescent="0.25">
      <c r="A5" s="287" t="s">
        <v>410</v>
      </c>
      <c r="B5" s="45">
        <v>21860.5</v>
      </c>
      <c r="C5" s="46">
        <v>106</v>
      </c>
      <c r="D5" s="46">
        <v>21515.599999999999</v>
      </c>
      <c r="E5" s="47">
        <v>98.4</v>
      </c>
      <c r="F5" s="46">
        <v>24288.400000000001</v>
      </c>
      <c r="G5" s="46">
        <v>112.9</v>
      </c>
      <c r="H5" s="46">
        <v>25742.7</v>
      </c>
      <c r="I5" s="46">
        <v>106</v>
      </c>
      <c r="J5" s="46">
        <v>27344.799999999999</v>
      </c>
      <c r="K5" s="46">
        <v>106.2</v>
      </c>
      <c r="L5" s="327"/>
      <c r="M5" s="327"/>
    </row>
    <row r="6" spans="1:13" ht="23.25" customHeight="1" x14ac:dyDescent="0.25">
      <c r="A6" s="287" t="s">
        <v>411</v>
      </c>
      <c r="B6" s="48">
        <v>3967</v>
      </c>
      <c r="C6" s="48">
        <v>88.9</v>
      </c>
      <c r="D6" s="48">
        <v>4136.7</v>
      </c>
      <c r="E6" s="49">
        <v>104.3</v>
      </c>
      <c r="F6" s="48">
        <v>5202.1000000000004</v>
      </c>
      <c r="G6" s="48">
        <v>125.8</v>
      </c>
      <c r="H6" s="48">
        <v>5899.9</v>
      </c>
      <c r="I6" s="46">
        <v>113.4</v>
      </c>
      <c r="J6" s="48">
        <v>6683.1</v>
      </c>
      <c r="K6" s="48">
        <v>113.3</v>
      </c>
      <c r="L6" s="327"/>
      <c r="M6" s="327"/>
    </row>
    <row r="7" spans="1:13" ht="56.25" customHeight="1" x14ac:dyDescent="0.25">
      <c r="A7" s="287" t="s">
        <v>412</v>
      </c>
      <c r="B7" s="45">
        <v>21847.1</v>
      </c>
      <c r="C7" s="46">
        <v>110.6</v>
      </c>
      <c r="D7" s="46">
        <v>21501.8</v>
      </c>
      <c r="E7" s="47">
        <v>98.4</v>
      </c>
      <c r="F7" s="46">
        <v>24274.2</v>
      </c>
      <c r="G7" s="46">
        <v>112.9</v>
      </c>
      <c r="H7" s="46">
        <v>25728.1</v>
      </c>
      <c r="I7" s="46">
        <v>106</v>
      </c>
      <c r="J7" s="46">
        <v>27329.8</v>
      </c>
      <c r="K7" s="46">
        <v>106.2</v>
      </c>
      <c r="L7" s="327"/>
      <c r="M7" s="327"/>
    </row>
    <row r="8" spans="1:13" ht="25.5" customHeight="1" x14ac:dyDescent="0.25">
      <c r="A8" s="287" t="s">
        <v>413</v>
      </c>
      <c r="B8" s="48">
        <v>3965.1</v>
      </c>
      <c r="C8" s="48">
        <v>89</v>
      </c>
      <c r="D8" s="48">
        <v>4134.3</v>
      </c>
      <c r="E8" s="49">
        <v>104.3</v>
      </c>
      <c r="F8" s="48">
        <v>5199.6000000000004</v>
      </c>
      <c r="G8" s="48">
        <v>125.8</v>
      </c>
      <c r="H8" s="48">
        <v>5897.3</v>
      </c>
      <c r="I8" s="46">
        <v>113.4</v>
      </c>
      <c r="J8" s="48">
        <v>6680.4</v>
      </c>
      <c r="K8" s="48">
        <v>113.3</v>
      </c>
      <c r="L8" s="327"/>
      <c r="M8" s="327"/>
    </row>
    <row r="9" spans="1:13" ht="18" x14ac:dyDescent="0.25">
      <c r="A9" s="86" t="s">
        <v>249</v>
      </c>
      <c r="B9" s="6"/>
      <c r="C9" s="22"/>
      <c r="D9" s="6"/>
      <c r="E9" s="53"/>
      <c r="F9" s="6"/>
      <c r="G9" s="6"/>
      <c r="H9" s="6"/>
      <c r="I9" s="6"/>
      <c r="J9" s="6"/>
      <c r="K9" s="6"/>
      <c r="L9" s="327"/>
      <c r="M9" s="327"/>
    </row>
    <row r="10" spans="1:13" ht="18" x14ac:dyDescent="0.25">
      <c r="A10" s="8" t="s">
        <v>414</v>
      </c>
      <c r="B10" s="51">
        <v>11050.7</v>
      </c>
      <c r="C10" s="51">
        <v>102.9</v>
      </c>
      <c r="D10" s="51">
        <v>11200</v>
      </c>
      <c r="E10" s="52">
        <v>101.4</v>
      </c>
      <c r="F10" s="51">
        <v>11350</v>
      </c>
      <c r="G10" s="51">
        <v>101.3</v>
      </c>
      <c r="H10" s="51">
        <v>11500</v>
      </c>
      <c r="I10" s="51">
        <v>101.3</v>
      </c>
      <c r="J10" s="51">
        <v>11650</v>
      </c>
      <c r="K10" s="51">
        <v>101.3</v>
      </c>
      <c r="L10" s="327"/>
      <c r="M10" s="327"/>
    </row>
    <row r="11" spans="1:13" ht="22.5" customHeight="1" x14ac:dyDescent="0.25">
      <c r="A11" s="8" t="s">
        <v>415</v>
      </c>
      <c r="B11" s="51">
        <v>1454.1</v>
      </c>
      <c r="C11" s="51">
        <v>116.4</v>
      </c>
      <c r="D11" s="51">
        <v>1536.6</v>
      </c>
      <c r="E11" s="52">
        <v>105.7</v>
      </c>
      <c r="F11" s="51">
        <v>1650.3</v>
      </c>
      <c r="G11" s="51">
        <v>107.4</v>
      </c>
      <c r="H11" s="51">
        <v>1789</v>
      </c>
      <c r="I11" s="51">
        <v>108.4</v>
      </c>
      <c r="J11" s="51">
        <v>1957.2</v>
      </c>
      <c r="K11" s="51">
        <v>109.4</v>
      </c>
      <c r="L11" s="327"/>
      <c r="M11" s="327"/>
    </row>
    <row r="12" spans="1:13" ht="18" x14ac:dyDescent="0.25">
      <c r="A12" s="8" t="s">
        <v>416</v>
      </c>
      <c r="B12" s="51">
        <v>2307.6</v>
      </c>
      <c r="C12" s="51">
        <v>99.4</v>
      </c>
      <c r="D12" s="51">
        <v>2310</v>
      </c>
      <c r="E12" s="52">
        <v>100.1</v>
      </c>
      <c r="F12" s="51">
        <v>2310</v>
      </c>
      <c r="G12" s="51">
        <v>100</v>
      </c>
      <c r="H12" s="51">
        <v>2310</v>
      </c>
      <c r="I12" s="51">
        <v>100</v>
      </c>
      <c r="J12" s="51">
        <v>2310</v>
      </c>
      <c r="K12" s="51">
        <v>100</v>
      </c>
      <c r="L12" s="327"/>
      <c r="M12" s="327"/>
    </row>
    <row r="13" spans="1:13" ht="18" x14ac:dyDescent="0.25">
      <c r="A13" s="8" t="s">
        <v>415</v>
      </c>
      <c r="B13" s="51">
        <v>303.7</v>
      </c>
      <c r="C13" s="51">
        <v>112.5</v>
      </c>
      <c r="D13" s="51">
        <v>316.89999999999998</v>
      </c>
      <c r="E13" s="52">
        <v>104.4</v>
      </c>
      <c r="F13" s="51">
        <v>335.9</v>
      </c>
      <c r="G13" s="51">
        <v>106</v>
      </c>
      <c r="H13" s="51">
        <v>359.4</v>
      </c>
      <c r="I13" s="51">
        <v>107</v>
      </c>
      <c r="J13" s="51">
        <v>388.1</v>
      </c>
      <c r="K13" s="51">
        <v>108</v>
      </c>
      <c r="L13" s="327"/>
      <c r="M13" s="327"/>
    </row>
    <row r="14" spans="1:13" ht="18" x14ac:dyDescent="0.25">
      <c r="A14" s="8" t="s">
        <v>417</v>
      </c>
      <c r="B14" s="51">
        <v>1350.9</v>
      </c>
      <c r="C14" s="51">
        <v>107.7</v>
      </c>
      <c r="D14" s="51">
        <v>1360</v>
      </c>
      <c r="E14" s="52">
        <v>100.7</v>
      </c>
      <c r="F14" s="51">
        <v>1360</v>
      </c>
      <c r="G14" s="51">
        <v>100</v>
      </c>
      <c r="H14" s="51">
        <v>1360</v>
      </c>
      <c r="I14" s="51">
        <v>100</v>
      </c>
      <c r="J14" s="51">
        <v>1360</v>
      </c>
      <c r="K14" s="51">
        <v>100</v>
      </c>
      <c r="L14" s="327"/>
      <c r="M14" s="327"/>
    </row>
    <row r="15" spans="1:13" ht="22.5" customHeight="1" x14ac:dyDescent="0.25">
      <c r="A15" s="8" t="s">
        <v>415</v>
      </c>
      <c r="B15" s="51">
        <v>177.1</v>
      </c>
      <c r="C15" s="51">
        <v>122</v>
      </c>
      <c r="D15" s="51">
        <v>186.6</v>
      </c>
      <c r="E15" s="52">
        <v>105.4</v>
      </c>
      <c r="F15" s="51">
        <v>197.7</v>
      </c>
      <c r="G15" s="51">
        <v>105.9</v>
      </c>
      <c r="H15" s="51">
        <v>211.6</v>
      </c>
      <c r="I15" s="51">
        <v>107</v>
      </c>
      <c r="J15" s="51">
        <v>228.5</v>
      </c>
      <c r="K15" s="51">
        <v>108</v>
      </c>
      <c r="L15" s="327"/>
      <c r="M15" s="327"/>
    </row>
    <row r="16" spans="1:13" ht="19.5" customHeight="1" x14ac:dyDescent="0.25">
      <c r="A16" s="8" t="s">
        <v>418</v>
      </c>
      <c r="B16" s="51">
        <v>450.9</v>
      </c>
      <c r="C16" s="51">
        <v>107.5</v>
      </c>
      <c r="D16" s="51">
        <v>480</v>
      </c>
      <c r="E16" s="52">
        <v>106.5</v>
      </c>
      <c r="F16" s="51">
        <v>510</v>
      </c>
      <c r="G16" s="51">
        <v>106.3</v>
      </c>
      <c r="H16" s="51">
        <v>540</v>
      </c>
      <c r="I16" s="51">
        <v>105.9</v>
      </c>
      <c r="J16" s="51">
        <v>550</v>
      </c>
      <c r="K16" s="51">
        <v>101.9</v>
      </c>
      <c r="L16" s="327"/>
      <c r="M16" s="327"/>
    </row>
    <row r="17" spans="1:13" ht="21.75" customHeight="1" x14ac:dyDescent="0.25">
      <c r="A17" s="8" t="s">
        <v>415</v>
      </c>
      <c r="B17" s="51">
        <v>58.7</v>
      </c>
      <c r="C17" s="51">
        <v>122.7</v>
      </c>
      <c r="D17" s="51">
        <v>65.900000000000006</v>
      </c>
      <c r="E17" s="52">
        <v>112.3</v>
      </c>
      <c r="F17" s="51">
        <v>74.2</v>
      </c>
      <c r="G17" s="51">
        <v>112.6</v>
      </c>
      <c r="H17" s="51">
        <v>84</v>
      </c>
      <c r="I17" s="51">
        <v>113.2</v>
      </c>
      <c r="J17" s="51">
        <v>92.4</v>
      </c>
      <c r="K17" s="51">
        <v>110</v>
      </c>
      <c r="L17" s="327"/>
      <c r="M17" s="327"/>
    </row>
    <row r="18" spans="1:13" ht="18" x14ac:dyDescent="0.25">
      <c r="A18" s="8" t="s">
        <v>419</v>
      </c>
      <c r="B18" s="51">
        <v>85.4</v>
      </c>
      <c r="C18" s="51">
        <v>114.2</v>
      </c>
      <c r="D18" s="51">
        <v>85</v>
      </c>
      <c r="E18" s="52">
        <v>99.5</v>
      </c>
      <c r="F18" s="51">
        <v>85</v>
      </c>
      <c r="G18" s="51">
        <v>100</v>
      </c>
      <c r="H18" s="51">
        <v>85</v>
      </c>
      <c r="I18" s="51">
        <v>100</v>
      </c>
      <c r="J18" s="51">
        <v>85</v>
      </c>
      <c r="K18" s="51">
        <v>100</v>
      </c>
      <c r="L18" s="327"/>
      <c r="M18" s="327"/>
    </row>
    <row r="19" spans="1:13" ht="24.75" customHeight="1" x14ac:dyDescent="0.25">
      <c r="A19" s="8" t="s">
        <v>415</v>
      </c>
      <c r="B19" s="51">
        <v>11.2</v>
      </c>
      <c r="C19" s="51">
        <v>128.9</v>
      </c>
      <c r="D19" s="51">
        <v>11.7</v>
      </c>
      <c r="E19" s="52">
        <v>104.3</v>
      </c>
      <c r="F19" s="51">
        <v>12.4</v>
      </c>
      <c r="G19" s="51">
        <v>106</v>
      </c>
      <c r="H19" s="51">
        <v>13.2</v>
      </c>
      <c r="I19" s="51">
        <v>106.5</v>
      </c>
      <c r="J19" s="51">
        <v>14.3</v>
      </c>
      <c r="K19" s="51">
        <v>108.3</v>
      </c>
      <c r="L19" s="327"/>
      <c r="M19" s="327"/>
    </row>
    <row r="20" spans="1:13" ht="18" x14ac:dyDescent="0.25">
      <c r="A20" s="8" t="s">
        <v>420</v>
      </c>
      <c r="B20" s="51">
        <v>1644.5</v>
      </c>
      <c r="C20" s="51">
        <v>99.4</v>
      </c>
      <c r="D20" s="51">
        <v>1069</v>
      </c>
      <c r="E20" s="52">
        <v>65</v>
      </c>
      <c r="F20" s="51">
        <v>3619</v>
      </c>
      <c r="G20" s="51">
        <v>338.5</v>
      </c>
      <c r="H20" s="51">
        <v>4869.8</v>
      </c>
      <c r="I20" s="51">
        <v>134.6</v>
      </c>
      <c r="J20" s="51">
        <v>6168.2</v>
      </c>
      <c r="K20" s="51">
        <v>126.7</v>
      </c>
      <c r="L20" s="327"/>
      <c r="M20" s="327"/>
    </row>
    <row r="21" spans="1:13" ht="23.25" customHeight="1" x14ac:dyDescent="0.25">
      <c r="A21" s="8" t="s">
        <v>415</v>
      </c>
      <c r="B21" s="51">
        <v>383</v>
      </c>
      <c r="C21" s="51">
        <v>98.7</v>
      </c>
      <c r="D21" s="51">
        <v>249.1</v>
      </c>
      <c r="E21" s="52">
        <v>65</v>
      </c>
      <c r="F21" s="51">
        <v>843.2</v>
      </c>
      <c r="G21" s="51">
        <v>338.5</v>
      </c>
      <c r="H21" s="51">
        <v>1134.7</v>
      </c>
      <c r="I21" s="51">
        <v>134.6</v>
      </c>
      <c r="J21" s="51">
        <v>1437.2</v>
      </c>
      <c r="K21" s="51">
        <v>126.7</v>
      </c>
      <c r="L21" s="327"/>
      <c r="M21" s="327"/>
    </row>
    <row r="22" spans="1:13" ht="54" x14ac:dyDescent="0.25">
      <c r="A22" s="3" t="s">
        <v>421</v>
      </c>
      <c r="B22" s="6">
        <v>205.8</v>
      </c>
      <c r="C22" s="6">
        <v>105</v>
      </c>
      <c r="D22" s="6">
        <v>218.4</v>
      </c>
      <c r="E22" s="53">
        <v>106.1</v>
      </c>
      <c r="F22" s="6">
        <v>257.60000000000002</v>
      </c>
      <c r="G22" s="6">
        <v>118</v>
      </c>
      <c r="H22" s="6">
        <v>260.2</v>
      </c>
      <c r="I22" s="6">
        <v>101</v>
      </c>
      <c r="J22" s="6">
        <v>262.8</v>
      </c>
      <c r="K22" s="6">
        <v>101</v>
      </c>
      <c r="L22" s="327"/>
      <c r="M22" s="327"/>
    </row>
    <row r="23" spans="1:13" ht="27" customHeight="1" x14ac:dyDescent="0.25">
      <c r="A23" s="8" t="s">
        <v>415</v>
      </c>
      <c r="B23" s="51">
        <v>46.5</v>
      </c>
      <c r="C23" s="51">
        <v>108.1</v>
      </c>
      <c r="D23" s="51">
        <v>50.5</v>
      </c>
      <c r="E23" s="52">
        <v>108.6</v>
      </c>
      <c r="F23" s="51">
        <v>56.7</v>
      </c>
      <c r="G23" s="51">
        <v>112.4</v>
      </c>
      <c r="H23" s="51">
        <v>64.8</v>
      </c>
      <c r="I23" s="51">
        <v>114.3</v>
      </c>
      <c r="J23" s="51">
        <v>74.400000000000006</v>
      </c>
      <c r="K23" s="51">
        <v>114.7</v>
      </c>
      <c r="L23" s="327"/>
      <c r="M23" s="327"/>
    </row>
    <row r="24" spans="1:13" ht="36" x14ac:dyDescent="0.25">
      <c r="A24" s="3" t="s">
        <v>422</v>
      </c>
      <c r="B24" s="6">
        <v>2616.8000000000002</v>
      </c>
      <c r="C24" s="6">
        <v>107.3</v>
      </c>
      <c r="D24" s="6">
        <v>2620</v>
      </c>
      <c r="E24" s="53">
        <v>100.1</v>
      </c>
      <c r="F24" s="6">
        <v>2126.9</v>
      </c>
      <c r="G24" s="6">
        <v>100.1</v>
      </c>
      <c r="H24" s="6">
        <v>2622.6</v>
      </c>
      <c r="I24" s="6">
        <v>100</v>
      </c>
      <c r="J24" s="6">
        <v>2723.4</v>
      </c>
      <c r="K24" s="6">
        <v>103.8</v>
      </c>
      <c r="L24" s="327"/>
      <c r="M24" s="327"/>
    </row>
    <row r="25" spans="1:13" ht="24" customHeight="1" x14ac:dyDescent="0.25">
      <c r="A25" s="8" t="s">
        <v>415</v>
      </c>
      <c r="B25" s="51">
        <v>834</v>
      </c>
      <c r="C25" s="51">
        <v>110.9</v>
      </c>
      <c r="D25" s="51">
        <v>976.5</v>
      </c>
      <c r="E25" s="52">
        <v>117.1</v>
      </c>
      <c r="F25" s="51">
        <v>1227.8</v>
      </c>
      <c r="G25" s="51">
        <v>125.7</v>
      </c>
      <c r="H25" s="51">
        <v>1413.6</v>
      </c>
      <c r="I25" s="51">
        <v>115.1</v>
      </c>
      <c r="J25" s="51">
        <v>1619.3</v>
      </c>
      <c r="K25" s="51">
        <v>114.6</v>
      </c>
      <c r="L25" s="327"/>
      <c r="M25" s="327"/>
    </row>
    <row r="26" spans="1:13" ht="36" x14ac:dyDescent="0.25">
      <c r="A26" s="3" t="s">
        <v>423</v>
      </c>
      <c r="B26" s="6">
        <v>906.1</v>
      </c>
      <c r="C26" s="6">
        <v>112.4</v>
      </c>
      <c r="D26" s="6">
        <v>929.5</v>
      </c>
      <c r="E26" s="53">
        <v>102.6</v>
      </c>
      <c r="F26" s="6">
        <v>930.7</v>
      </c>
      <c r="G26" s="6">
        <v>100.1</v>
      </c>
      <c r="H26" s="6">
        <v>950.5</v>
      </c>
      <c r="I26" s="6">
        <v>102.1</v>
      </c>
      <c r="J26" s="6">
        <v>990.4</v>
      </c>
      <c r="K26" s="6">
        <v>104.2</v>
      </c>
      <c r="L26" s="327"/>
      <c r="M26" s="327"/>
    </row>
    <row r="27" spans="1:13" ht="21.75" customHeight="1" x14ac:dyDescent="0.25">
      <c r="A27" s="8" t="s">
        <v>415</v>
      </c>
      <c r="B27" s="51">
        <v>557.29999999999995</v>
      </c>
      <c r="C27" s="51">
        <v>104.3</v>
      </c>
      <c r="D27" s="51">
        <v>571.70000000000005</v>
      </c>
      <c r="E27" s="52">
        <v>102.6</v>
      </c>
      <c r="F27" s="51">
        <v>622.5</v>
      </c>
      <c r="G27" s="51">
        <v>108.9</v>
      </c>
      <c r="H27" s="51">
        <v>635.70000000000005</v>
      </c>
      <c r="I27" s="51">
        <v>102.1</v>
      </c>
      <c r="J27" s="51">
        <v>662.3</v>
      </c>
      <c r="K27" s="51">
        <v>104.2</v>
      </c>
      <c r="L27" s="327"/>
      <c r="M27" s="327"/>
    </row>
    <row r="28" spans="1:13" ht="18" x14ac:dyDescent="0.25">
      <c r="A28" s="54" t="s">
        <v>424</v>
      </c>
      <c r="B28" s="51">
        <v>13.4</v>
      </c>
      <c r="C28" s="51">
        <v>79.3</v>
      </c>
      <c r="D28" s="51">
        <v>13.8</v>
      </c>
      <c r="E28" s="52">
        <v>102.8</v>
      </c>
      <c r="F28" s="51">
        <v>14.2</v>
      </c>
      <c r="G28" s="51">
        <v>103</v>
      </c>
      <c r="H28" s="51">
        <v>14.6</v>
      </c>
      <c r="I28" s="51">
        <v>103.1</v>
      </c>
      <c r="J28" s="51">
        <v>15</v>
      </c>
      <c r="K28" s="51">
        <v>102.5</v>
      </c>
      <c r="L28" s="327"/>
      <c r="M28" s="327"/>
    </row>
    <row r="29" spans="1:13" ht="21" customHeight="1" x14ac:dyDescent="0.25">
      <c r="A29" s="54" t="str">
        <f>A19</f>
        <v>млн. сомонӣ</v>
      </c>
      <c r="B29" s="51">
        <v>1.9</v>
      </c>
      <c r="C29" s="51">
        <v>80.7</v>
      </c>
      <c r="D29" s="51">
        <v>2.4</v>
      </c>
      <c r="E29" s="52">
        <v>129.19999999999999</v>
      </c>
      <c r="F29" s="51">
        <v>2.5</v>
      </c>
      <c r="G29" s="51">
        <v>104.2</v>
      </c>
      <c r="H29" s="51">
        <v>2.6</v>
      </c>
      <c r="I29" s="51">
        <v>104</v>
      </c>
      <c r="J29" s="51">
        <v>2.7</v>
      </c>
      <c r="K29" s="51">
        <v>103.8</v>
      </c>
      <c r="L29" s="327"/>
      <c r="M29" s="327"/>
    </row>
    <row r="30" spans="1:13" ht="51.75" customHeight="1" x14ac:dyDescent="0.25">
      <c r="A30" s="55" t="s">
        <v>425</v>
      </c>
      <c r="B30" s="46">
        <v>1228.4000000000001</v>
      </c>
      <c r="C30" s="46">
        <v>74.2</v>
      </c>
      <c r="D30" s="46">
        <v>1230</v>
      </c>
      <c r="E30" s="46">
        <v>100.1</v>
      </c>
      <c r="F30" s="46">
        <v>1230</v>
      </c>
      <c r="G30" s="46">
        <v>100</v>
      </c>
      <c r="H30" s="46">
        <v>1230</v>
      </c>
      <c r="I30" s="46">
        <v>100</v>
      </c>
      <c r="J30" s="46">
        <v>1230</v>
      </c>
      <c r="K30" s="46">
        <v>100</v>
      </c>
      <c r="L30" s="327"/>
      <c r="M30" s="327"/>
    </row>
    <row r="31" spans="1:13" ht="19.5" customHeight="1" x14ac:dyDescent="0.25">
      <c r="A31" s="56" t="s">
        <v>415</v>
      </c>
      <c r="B31" s="48">
        <v>139.5</v>
      </c>
      <c r="C31" s="46">
        <v>43.6</v>
      </c>
      <c r="D31" s="48">
        <v>168.8</v>
      </c>
      <c r="E31" s="46">
        <v>121</v>
      </c>
      <c r="F31" s="48">
        <v>178.9</v>
      </c>
      <c r="G31" s="46">
        <v>106</v>
      </c>
      <c r="H31" s="48">
        <v>191.3</v>
      </c>
      <c r="I31" s="46">
        <v>106.9</v>
      </c>
      <c r="J31" s="48">
        <v>206.7</v>
      </c>
      <c r="K31" s="46">
        <v>108.1</v>
      </c>
      <c r="L31" s="327"/>
      <c r="M31" s="327"/>
    </row>
    <row r="32" spans="1:13" ht="22.5" customHeight="1" x14ac:dyDescent="0.25">
      <c r="A32" s="8" t="s">
        <v>426</v>
      </c>
      <c r="B32" s="6">
        <v>194.1</v>
      </c>
      <c r="C32" s="6">
        <v>72.599999999999994</v>
      </c>
      <c r="D32" s="6">
        <v>195</v>
      </c>
      <c r="E32" s="6">
        <v>100.5</v>
      </c>
      <c r="F32" s="6">
        <v>195</v>
      </c>
      <c r="G32" s="6">
        <v>100</v>
      </c>
      <c r="H32" s="6">
        <v>195</v>
      </c>
      <c r="I32" s="6">
        <v>100</v>
      </c>
      <c r="J32" s="6">
        <v>195</v>
      </c>
      <c r="K32" s="6">
        <v>100</v>
      </c>
      <c r="L32" s="152"/>
      <c r="M32" s="152"/>
    </row>
    <row r="33" spans="1:13" ht="19.5" customHeight="1" x14ac:dyDescent="0.25">
      <c r="A33" s="8" t="s">
        <v>415</v>
      </c>
      <c r="B33" s="51">
        <v>19.899999999999999</v>
      </c>
      <c r="C33" s="6">
        <v>66.400000000000006</v>
      </c>
      <c r="D33" s="51">
        <v>26.8</v>
      </c>
      <c r="E33" s="6">
        <v>134.69999999999999</v>
      </c>
      <c r="F33" s="51">
        <v>28.4</v>
      </c>
      <c r="G33" s="6">
        <v>106</v>
      </c>
      <c r="H33" s="51">
        <v>30.3</v>
      </c>
      <c r="I33" s="6">
        <v>106.7</v>
      </c>
      <c r="J33" s="51">
        <v>32.799999999999997</v>
      </c>
      <c r="K33" s="6">
        <v>108.3</v>
      </c>
      <c r="L33" s="152"/>
      <c r="M33" s="152"/>
    </row>
    <row r="34" spans="1:13" ht="18.75" customHeight="1" x14ac:dyDescent="0.25">
      <c r="A34" s="8" t="s">
        <v>427</v>
      </c>
      <c r="B34" s="6">
        <v>1034.3</v>
      </c>
      <c r="C34" s="6">
        <v>85.6</v>
      </c>
      <c r="D34" s="6">
        <v>1035</v>
      </c>
      <c r="E34" s="6">
        <v>100.1</v>
      </c>
      <c r="F34" s="6">
        <v>1035</v>
      </c>
      <c r="G34" s="6">
        <v>100</v>
      </c>
      <c r="H34" s="6">
        <v>1035</v>
      </c>
      <c r="I34" s="6">
        <v>100</v>
      </c>
      <c r="J34" s="6">
        <v>1035</v>
      </c>
      <c r="K34" s="6">
        <v>100</v>
      </c>
      <c r="L34" s="152"/>
      <c r="M34" s="152"/>
    </row>
    <row r="35" spans="1:13" ht="21.75" customHeight="1" x14ac:dyDescent="0.25">
      <c r="A35" s="8" t="s">
        <v>415</v>
      </c>
      <c r="B35" s="6">
        <v>119.6</v>
      </c>
      <c r="C35" s="6">
        <v>85.1</v>
      </c>
      <c r="D35" s="6">
        <v>142</v>
      </c>
      <c r="E35" s="6">
        <v>118.7</v>
      </c>
      <c r="F35" s="6">
        <v>150.5</v>
      </c>
      <c r="G35" s="6">
        <v>106</v>
      </c>
      <c r="H35" s="6">
        <v>161</v>
      </c>
      <c r="I35" s="6">
        <v>107</v>
      </c>
      <c r="J35" s="6">
        <v>173.9</v>
      </c>
      <c r="K35" s="6">
        <v>108</v>
      </c>
      <c r="L35" s="152"/>
      <c r="M35" s="152"/>
    </row>
    <row r="36" spans="1:13" ht="33.75" customHeight="1" x14ac:dyDescent="0.25">
      <c r="A36" s="55" t="s">
        <v>428</v>
      </c>
      <c r="B36" s="46">
        <v>943.1</v>
      </c>
      <c r="C36" s="46">
        <v>81.099999999999994</v>
      </c>
      <c r="D36" s="46">
        <v>1175.2</v>
      </c>
      <c r="E36" s="46">
        <v>124.6</v>
      </c>
      <c r="F36" s="46">
        <v>1192.0999999999999</v>
      </c>
      <c r="G36" s="46">
        <v>101.4</v>
      </c>
      <c r="H36" s="46">
        <v>1209.2</v>
      </c>
      <c r="I36" s="46">
        <v>101.4</v>
      </c>
      <c r="J36" s="46">
        <v>1224</v>
      </c>
      <c r="K36" s="46">
        <v>101.2</v>
      </c>
      <c r="L36" s="152"/>
      <c r="M36" s="152"/>
    </row>
    <row r="37" spans="1:13" ht="21" customHeight="1" x14ac:dyDescent="0.25">
      <c r="A37" s="56" t="s">
        <v>415</v>
      </c>
      <c r="B37" s="48">
        <v>22</v>
      </c>
      <c r="C37" s="46">
        <v>77</v>
      </c>
      <c r="D37" s="48">
        <v>30.9</v>
      </c>
      <c r="E37" s="46">
        <v>140.19999999999999</v>
      </c>
      <c r="F37" s="48">
        <v>33.5</v>
      </c>
      <c r="G37" s="46">
        <v>108.4</v>
      </c>
      <c r="H37" s="48">
        <v>36.700000000000003</v>
      </c>
      <c r="I37" s="46">
        <v>109.6</v>
      </c>
      <c r="J37" s="48">
        <v>40.5</v>
      </c>
      <c r="K37" s="46">
        <v>110.4</v>
      </c>
      <c r="L37" s="152"/>
      <c r="M37" s="152"/>
    </row>
    <row r="38" spans="1:13" ht="21.75" customHeight="1" x14ac:dyDescent="0.25">
      <c r="A38" s="8" t="s">
        <v>429</v>
      </c>
      <c r="B38" s="6">
        <v>802.1</v>
      </c>
      <c r="C38" s="6">
        <v>107.2</v>
      </c>
      <c r="D38" s="6">
        <v>837.1</v>
      </c>
      <c r="E38" s="6">
        <v>104.4</v>
      </c>
      <c r="F38" s="6">
        <v>845.6</v>
      </c>
      <c r="G38" s="6">
        <v>101</v>
      </c>
      <c r="H38" s="6">
        <v>854.1</v>
      </c>
      <c r="I38" s="6">
        <v>101</v>
      </c>
      <c r="J38" s="6">
        <v>860.1</v>
      </c>
      <c r="K38" s="6">
        <v>100.7</v>
      </c>
      <c r="L38" s="152"/>
      <c r="M38" s="152"/>
    </row>
    <row r="39" spans="1:13" ht="21.75" customHeight="1" x14ac:dyDescent="0.25">
      <c r="A39" s="8" t="s">
        <v>415</v>
      </c>
      <c r="B39" s="51">
        <v>20</v>
      </c>
      <c r="C39" s="6">
        <v>108.9</v>
      </c>
      <c r="D39" s="51">
        <v>22</v>
      </c>
      <c r="E39" s="6">
        <v>109.8</v>
      </c>
      <c r="F39" s="51">
        <v>23.8</v>
      </c>
      <c r="G39" s="6">
        <v>108.2</v>
      </c>
      <c r="H39" s="51">
        <v>25.9</v>
      </c>
      <c r="I39" s="6">
        <v>108.8</v>
      </c>
      <c r="J39" s="51">
        <v>28.5</v>
      </c>
      <c r="K39" s="6">
        <v>110</v>
      </c>
      <c r="L39" s="152"/>
      <c r="M39" s="152"/>
    </row>
    <row r="40" spans="1:13" ht="21.75" customHeight="1" x14ac:dyDescent="0.25">
      <c r="A40" s="8" t="s">
        <v>430</v>
      </c>
      <c r="B40" s="6">
        <v>141</v>
      </c>
      <c r="C40" s="6">
        <v>35.700000000000003</v>
      </c>
      <c r="D40" s="6">
        <v>338.1</v>
      </c>
      <c r="E40" s="6">
        <v>239.8</v>
      </c>
      <c r="F40" s="6">
        <v>346.5</v>
      </c>
      <c r="G40" s="6">
        <v>102.5</v>
      </c>
      <c r="H40" s="6">
        <v>355.1</v>
      </c>
      <c r="I40" s="6">
        <v>102.5</v>
      </c>
      <c r="J40" s="6">
        <v>363.9</v>
      </c>
      <c r="K40" s="6">
        <v>102.5</v>
      </c>
      <c r="L40" s="152"/>
      <c r="M40" s="152"/>
    </row>
    <row r="41" spans="1:13" ht="21.75" customHeight="1" x14ac:dyDescent="0.25">
      <c r="A41" s="8" t="s">
        <v>415</v>
      </c>
      <c r="B41" s="51">
        <v>2</v>
      </c>
      <c r="C41" s="6">
        <v>20.7</v>
      </c>
      <c r="D41" s="51">
        <v>8.9</v>
      </c>
      <c r="E41" s="6">
        <v>443</v>
      </c>
      <c r="F41" s="51">
        <v>9.6999999999999993</v>
      </c>
      <c r="G41" s="6">
        <v>109</v>
      </c>
      <c r="H41" s="51">
        <v>10.8</v>
      </c>
      <c r="I41" s="6">
        <v>111.3</v>
      </c>
      <c r="J41" s="51">
        <v>12</v>
      </c>
      <c r="K41" s="6">
        <v>111.1</v>
      </c>
      <c r="L41" s="152"/>
      <c r="M41" s="152"/>
    </row>
    <row r="42" spans="1:13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</row>
    <row r="43" spans="1:13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</row>
    <row r="44" spans="1:13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</row>
    <row r="45" spans="1:13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</row>
    <row r="46" spans="1:13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1:13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</row>
    <row r="48" spans="1:13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90" firstPageNumber="89" orientation="landscape" useFirstPageNumber="1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70" zoomScaleNormal="100" zoomScaleSheetLayoutView="70" zoomScalePageLayoutView="40" workbookViewId="0">
      <selection activeCell="F6" sqref="F6"/>
    </sheetView>
  </sheetViews>
  <sheetFormatPr defaultRowHeight="15" x14ac:dyDescent="0.25"/>
  <cols>
    <col min="1" max="1" width="34.28515625" customWidth="1"/>
    <col min="2" max="2" width="12.28515625" customWidth="1"/>
    <col min="3" max="3" width="8" customWidth="1"/>
    <col min="4" max="4" width="10.42578125" customWidth="1"/>
    <col min="5" max="5" width="10.28515625" customWidth="1"/>
    <col min="6" max="6" width="13.140625" customWidth="1"/>
    <col min="7" max="7" width="8.5703125" customWidth="1"/>
    <col min="8" max="8" width="11.5703125" customWidth="1"/>
    <col min="9" max="9" width="9.28515625" customWidth="1"/>
    <col min="10" max="10" width="11.7109375" customWidth="1"/>
    <col min="11" max="11" width="8.85546875" customWidth="1"/>
  </cols>
  <sheetData>
    <row r="1" spans="1:13" ht="44.25" customHeight="1" x14ac:dyDescent="0.3">
      <c r="A1" s="388" t="s">
        <v>895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46"/>
      <c r="M1" s="346"/>
    </row>
    <row r="2" spans="1:13" ht="18" x14ac:dyDescent="0.25">
      <c r="A2" s="391" t="s">
        <v>1</v>
      </c>
      <c r="B2" s="391" t="s">
        <v>888</v>
      </c>
      <c r="C2" s="391"/>
      <c r="D2" s="391" t="s">
        <v>887</v>
      </c>
      <c r="E2" s="391"/>
      <c r="F2" s="392" t="s">
        <v>8</v>
      </c>
      <c r="G2" s="392"/>
      <c r="H2" s="393" t="s">
        <v>4</v>
      </c>
      <c r="I2" s="393"/>
      <c r="J2" s="393"/>
      <c r="K2" s="393"/>
      <c r="L2" s="349"/>
      <c r="M2" s="349"/>
    </row>
    <row r="3" spans="1:13" ht="18.75" customHeight="1" x14ac:dyDescent="0.25">
      <c r="A3" s="391"/>
      <c r="B3" s="391"/>
      <c r="C3" s="391"/>
      <c r="D3" s="391"/>
      <c r="E3" s="391"/>
      <c r="F3" s="392" t="s">
        <v>246</v>
      </c>
      <c r="G3" s="392"/>
      <c r="H3" s="392" t="s">
        <v>247</v>
      </c>
      <c r="I3" s="392"/>
      <c r="J3" s="392" t="s">
        <v>877</v>
      </c>
      <c r="K3" s="392"/>
      <c r="L3" s="349"/>
      <c r="M3" s="349"/>
    </row>
    <row r="4" spans="1:13" ht="30" customHeight="1" x14ac:dyDescent="0.25">
      <c r="A4" s="391"/>
      <c r="B4" s="283" t="s">
        <v>315</v>
      </c>
      <c r="C4" s="283" t="s">
        <v>316</v>
      </c>
      <c r="D4" s="283" t="s">
        <v>315</v>
      </c>
      <c r="E4" s="283" t="s">
        <v>316</v>
      </c>
      <c r="F4" s="283" t="s">
        <v>315</v>
      </c>
      <c r="G4" s="283" t="s">
        <v>316</v>
      </c>
      <c r="H4" s="283" t="s">
        <v>315</v>
      </c>
      <c r="I4" s="283" t="s">
        <v>316</v>
      </c>
      <c r="J4" s="283" t="s">
        <v>315</v>
      </c>
      <c r="K4" s="283" t="s">
        <v>316</v>
      </c>
      <c r="L4" s="327"/>
      <c r="M4" s="327"/>
    </row>
    <row r="5" spans="1:13" ht="54" x14ac:dyDescent="0.25">
      <c r="A5" s="284" t="s">
        <v>431</v>
      </c>
      <c r="B5" s="57">
        <v>18009.2</v>
      </c>
      <c r="C5" s="57">
        <v>72.400000000000006</v>
      </c>
      <c r="D5" s="285">
        <v>19208</v>
      </c>
      <c r="E5" s="57">
        <v>106.7</v>
      </c>
      <c r="F5" s="57">
        <v>20989</v>
      </c>
      <c r="G5" s="57">
        <v>109.3</v>
      </c>
      <c r="H5" s="57">
        <v>22320</v>
      </c>
      <c r="I5" s="57">
        <v>106.3</v>
      </c>
      <c r="J5" s="57">
        <v>23452</v>
      </c>
      <c r="K5" s="57">
        <v>105.1</v>
      </c>
      <c r="L5" s="327"/>
      <c r="M5" s="327"/>
    </row>
    <row r="6" spans="1:13" ht="18" x14ac:dyDescent="0.25">
      <c r="A6" s="286" t="s">
        <v>432</v>
      </c>
      <c r="B6" s="18">
        <v>1521</v>
      </c>
      <c r="C6" s="58">
        <v>80.8</v>
      </c>
      <c r="D6" s="58">
        <v>1521</v>
      </c>
      <c r="E6" s="18">
        <v>100</v>
      </c>
      <c r="F6" s="18">
        <v>1650</v>
      </c>
      <c r="G6" s="58">
        <v>108.5</v>
      </c>
      <c r="H6" s="18">
        <v>1810</v>
      </c>
      <c r="I6" s="58">
        <v>109.7</v>
      </c>
      <c r="J6" s="18">
        <v>1815</v>
      </c>
      <c r="K6" s="58">
        <v>100.3</v>
      </c>
      <c r="L6" s="327"/>
      <c r="M6" s="327"/>
    </row>
    <row r="7" spans="1:13" ht="36" x14ac:dyDescent="0.25">
      <c r="A7" s="286" t="s">
        <v>433</v>
      </c>
      <c r="B7" s="18">
        <v>6273</v>
      </c>
      <c r="C7" s="58">
        <v>50.6</v>
      </c>
      <c r="D7" s="139">
        <v>9200</v>
      </c>
      <c r="E7" s="18">
        <v>146.69999999999999</v>
      </c>
      <c r="F7" s="139">
        <v>10500</v>
      </c>
      <c r="G7" s="58">
        <v>114.1</v>
      </c>
      <c r="H7" s="139">
        <v>11400</v>
      </c>
      <c r="I7" s="58">
        <v>108.6</v>
      </c>
      <c r="J7" s="139">
        <v>12400</v>
      </c>
      <c r="K7" s="58">
        <v>108.8</v>
      </c>
      <c r="L7" s="327"/>
      <c r="M7" s="327"/>
    </row>
    <row r="8" spans="1:13" ht="18" x14ac:dyDescent="0.25">
      <c r="A8" s="286" t="s">
        <v>434</v>
      </c>
      <c r="B8" s="18">
        <v>8730</v>
      </c>
      <c r="C8" s="18">
        <v>100.4</v>
      </c>
      <c r="D8" s="18">
        <v>7310</v>
      </c>
      <c r="E8" s="58">
        <v>83.7</v>
      </c>
      <c r="F8" s="18">
        <v>7460</v>
      </c>
      <c r="G8" s="58">
        <v>102.1</v>
      </c>
      <c r="H8" s="18">
        <v>7560</v>
      </c>
      <c r="I8" s="58">
        <v>101.3</v>
      </c>
      <c r="J8" s="18">
        <v>7680</v>
      </c>
      <c r="K8" s="58">
        <v>101.6</v>
      </c>
      <c r="L8" s="327"/>
      <c r="M8" s="327"/>
    </row>
    <row r="9" spans="1:13" ht="18" x14ac:dyDescent="0.25">
      <c r="A9" s="286" t="s">
        <v>435</v>
      </c>
      <c r="B9" s="18">
        <v>1382</v>
      </c>
      <c r="C9" s="58">
        <v>99.4</v>
      </c>
      <c r="D9" s="18">
        <v>1087</v>
      </c>
      <c r="E9" s="58">
        <v>78.7</v>
      </c>
      <c r="F9" s="18">
        <v>1250</v>
      </c>
      <c r="G9" s="58">
        <v>115</v>
      </c>
      <c r="H9" s="18">
        <v>1395</v>
      </c>
      <c r="I9" s="58">
        <v>111.6</v>
      </c>
      <c r="J9" s="18">
        <v>1400</v>
      </c>
      <c r="K9" s="58">
        <v>100.4</v>
      </c>
      <c r="L9" s="327"/>
      <c r="M9" s="327"/>
    </row>
    <row r="10" spans="1:13" ht="18" x14ac:dyDescent="0.25">
      <c r="A10" s="286" t="s">
        <v>970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/>
      <c r="K10" s="18">
        <v>0</v>
      </c>
      <c r="L10" s="327"/>
      <c r="M10" s="327"/>
    </row>
    <row r="11" spans="1:13" ht="18" x14ac:dyDescent="0.25">
      <c r="A11" s="286" t="s">
        <v>436</v>
      </c>
      <c r="B11" s="18">
        <v>0</v>
      </c>
      <c r="C11" s="18">
        <v>0</v>
      </c>
      <c r="D11" s="18">
        <v>50</v>
      </c>
      <c r="E11" s="18">
        <v>0</v>
      </c>
      <c r="F11" s="18">
        <v>80</v>
      </c>
      <c r="G11" s="18">
        <v>160</v>
      </c>
      <c r="H11" s="18">
        <v>103</v>
      </c>
      <c r="I11" s="58">
        <v>128.80000000000001</v>
      </c>
      <c r="J11" s="18">
        <v>104</v>
      </c>
      <c r="K11" s="18">
        <v>101</v>
      </c>
      <c r="L11" s="327"/>
      <c r="M11" s="327"/>
    </row>
    <row r="12" spans="1:13" ht="18" x14ac:dyDescent="0.25">
      <c r="A12" s="286" t="s">
        <v>437</v>
      </c>
      <c r="B12" s="18">
        <v>54</v>
      </c>
      <c r="C12" s="58">
        <v>38.799999999999997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58"/>
      <c r="K12" s="18">
        <v>0</v>
      </c>
      <c r="L12" s="327"/>
      <c r="M12" s="327"/>
    </row>
    <row r="13" spans="1:13" ht="18" x14ac:dyDescent="0.25">
      <c r="A13" s="286" t="s">
        <v>916</v>
      </c>
      <c r="B13" s="58">
        <v>49.2</v>
      </c>
      <c r="C13" s="18">
        <v>0</v>
      </c>
      <c r="D13" s="18">
        <v>40</v>
      </c>
      <c r="E13" s="58">
        <v>81.3</v>
      </c>
      <c r="F13" s="18">
        <v>49</v>
      </c>
      <c r="G13" s="58">
        <v>122.5</v>
      </c>
      <c r="H13" s="18">
        <v>52</v>
      </c>
      <c r="I13" s="58">
        <v>106.1</v>
      </c>
      <c r="J13" s="18">
        <v>53</v>
      </c>
      <c r="K13" s="58">
        <v>101.9</v>
      </c>
      <c r="L13" s="327"/>
      <c r="M13" s="327"/>
    </row>
    <row r="14" spans="1:13" ht="57" x14ac:dyDescent="0.25">
      <c r="A14" s="284" t="s">
        <v>438</v>
      </c>
      <c r="B14" s="60">
        <v>390.4</v>
      </c>
      <c r="C14" s="103">
        <v>46</v>
      </c>
      <c r="D14" s="103">
        <v>450</v>
      </c>
      <c r="E14" s="60">
        <v>115.3</v>
      </c>
      <c r="F14" s="60">
        <v>567</v>
      </c>
      <c r="G14" s="103">
        <v>126</v>
      </c>
      <c r="H14" s="60">
        <v>720</v>
      </c>
      <c r="I14" s="103">
        <v>127</v>
      </c>
      <c r="J14" s="103">
        <v>813</v>
      </c>
      <c r="K14" s="60">
        <v>112.9</v>
      </c>
      <c r="L14" s="327"/>
      <c r="M14" s="327"/>
    </row>
    <row r="15" spans="1:13" ht="36" x14ac:dyDescent="0.25">
      <c r="A15" s="286" t="s">
        <v>439</v>
      </c>
      <c r="B15" s="58">
        <v>275.39999999999998</v>
      </c>
      <c r="C15" s="58">
        <v>32.5</v>
      </c>
      <c r="D15" s="58">
        <v>350</v>
      </c>
      <c r="E15" s="58">
        <v>127.1</v>
      </c>
      <c r="F15" s="58">
        <v>450</v>
      </c>
      <c r="G15" s="58">
        <v>128.6</v>
      </c>
      <c r="H15" s="58">
        <v>600</v>
      </c>
      <c r="I15" s="18">
        <v>133.30000000000001</v>
      </c>
      <c r="J15" s="58">
        <v>690</v>
      </c>
      <c r="K15" s="58">
        <v>115</v>
      </c>
      <c r="L15" s="327"/>
      <c r="M15" s="327"/>
    </row>
    <row r="16" spans="1:13" ht="18" x14ac:dyDescent="0.25">
      <c r="A16" s="286" t="s">
        <v>440</v>
      </c>
      <c r="B16" s="18">
        <v>115</v>
      </c>
      <c r="C16" s="18">
        <v>302.60000000000002</v>
      </c>
      <c r="D16" s="58">
        <v>100</v>
      </c>
      <c r="E16" s="18">
        <v>87</v>
      </c>
      <c r="F16" s="58">
        <v>117</v>
      </c>
      <c r="G16" s="18">
        <v>117</v>
      </c>
      <c r="H16" s="58">
        <v>120</v>
      </c>
      <c r="I16" s="58">
        <v>102.6</v>
      </c>
      <c r="J16" s="58">
        <v>123</v>
      </c>
      <c r="K16" s="58">
        <v>102.5</v>
      </c>
      <c r="L16" s="327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327"/>
      <c r="M17" s="327"/>
    </row>
    <row r="18" spans="1:13" x14ac:dyDescent="0.25">
      <c r="A18" s="327"/>
      <c r="B18" s="327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</row>
    <row r="19" spans="1:13" x14ac:dyDescent="0.25">
      <c r="A19" s="327"/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</row>
    <row r="20" spans="1:13" x14ac:dyDescent="0.25">
      <c r="A20" s="327"/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</row>
    <row r="21" spans="1:13" x14ac:dyDescent="0.25">
      <c r="A21" s="327"/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</row>
    <row r="22" spans="1:13" x14ac:dyDescent="0.25">
      <c r="A22" s="327"/>
      <c r="B22" s="327"/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</row>
    <row r="23" spans="1:13" x14ac:dyDescent="0.25">
      <c r="A23" s="327"/>
      <c r="B23" s="327"/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</row>
    <row r="24" spans="1:13" x14ac:dyDescent="0.25">
      <c r="A24" s="327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</row>
    <row r="25" spans="1:13" x14ac:dyDescent="0.25">
      <c r="A25" s="327"/>
      <c r="B25" s="327"/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</row>
    <row r="26" spans="1:13" x14ac:dyDescent="0.25">
      <c r="A26" s="327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</row>
    <row r="27" spans="1:13" x14ac:dyDescent="0.25">
      <c r="A27" s="327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</row>
    <row r="28" spans="1:13" x14ac:dyDescent="0.25">
      <c r="A28" s="327"/>
      <c r="B28" s="327"/>
      <c r="C28" s="327"/>
      <c r="D28" s="327"/>
      <c r="E28" s="327"/>
      <c r="F28" s="327"/>
      <c r="G28" s="327"/>
      <c r="H28" s="327"/>
      <c r="I28" s="327"/>
      <c r="J28" s="327"/>
      <c r="K28" s="327"/>
      <c r="L28" s="327"/>
      <c r="M28" s="327"/>
    </row>
    <row r="29" spans="1:13" x14ac:dyDescent="0.25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</row>
    <row r="30" spans="1:13" x14ac:dyDescent="0.25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</row>
    <row r="31" spans="1:13" x14ac:dyDescent="0.25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</row>
    <row r="32" spans="1:13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</row>
    <row r="33" spans="1:13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</row>
    <row r="34" spans="1:13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</row>
    <row r="35" spans="1:13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</row>
    <row r="36" spans="1:13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</row>
    <row r="37" spans="1:13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</row>
    <row r="38" spans="1:13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</row>
    <row r="39" spans="1:13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</row>
    <row r="40" spans="1:13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1:13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</row>
    <row r="42" spans="1:13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</row>
    <row r="43" spans="1:13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</row>
    <row r="44" spans="1:13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</row>
    <row r="45" spans="1:13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</row>
    <row r="46" spans="1:13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1:13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</row>
    <row r="48" spans="1:13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firstPageNumber="91" orientation="landscape" useFirstPageNumber="1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70" zoomScaleNormal="100" zoomScaleSheetLayoutView="70" zoomScalePageLayoutView="55" workbookViewId="0">
      <selection activeCell="F6" sqref="F6"/>
    </sheetView>
  </sheetViews>
  <sheetFormatPr defaultRowHeight="15" x14ac:dyDescent="0.25"/>
  <cols>
    <col min="1" max="1" width="35.28515625" customWidth="1"/>
    <col min="2" max="2" width="12.28515625" customWidth="1"/>
    <col min="3" max="3" width="11.140625" customWidth="1"/>
    <col min="4" max="4" width="13.42578125" customWidth="1"/>
    <col min="5" max="5" width="10.28515625" customWidth="1"/>
    <col min="6" max="6" width="13.5703125" customWidth="1"/>
    <col min="7" max="7" width="10.42578125" customWidth="1"/>
    <col min="8" max="8" width="13.140625" customWidth="1"/>
    <col min="9" max="9" width="11.140625" customWidth="1"/>
    <col min="10" max="10" width="12.140625" customWidth="1"/>
    <col min="11" max="11" width="11.85546875" customWidth="1"/>
  </cols>
  <sheetData>
    <row r="1" spans="1:13" ht="29.25" customHeight="1" x14ac:dyDescent="0.3">
      <c r="A1" s="385" t="s">
        <v>896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46"/>
      <c r="M1" s="346"/>
    </row>
    <row r="2" spans="1:13" ht="18" x14ac:dyDescent="0.25">
      <c r="A2" s="391" t="s">
        <v>1</v>
      </c>
      <c r="B2" s="391" t="s">
        <v>888</v>
      </c>
      <c r="C2" s="391"/>
      <c r="D2" s="391" t="s">
        <v>890</v>
      </c>
      <c r="E2" s="391"/>
      <c r="F2" s="391" t="s">
        <v>889</v>
      </c>
      <c r="G2" s="391"/>
      <c r="H2" s="393" t="s">
        <v>4</v>
      </c>
      <c r="I2" s="393"/>
      <c r="J2" s="393"/>
      <c r="K2" s="393"/>
      <c r="L2" s="349"/>
      <c r="M2" s="349"/>
    </row>
    <row r="3" spans="1:13" ht="18" x14ac:dyDescent="0.25">
      <c r="A3" s="391"/>
      <c r="B3" s="391"/>
      <c r="C3" s="391"/>
      <c r="D3" s="391"/>
      <c r="E3" s="391"/>
      <c r="F3" s="391" t="s">
        <v>409</v>
      </c>
      <c r="G3" s="391"/>
      <c r="H3" s="392" t="s">
        <v>247</v>
      </c>
      <c r="I3" s="392"/>
      <c r="J3" s="392" t="s">
        <v>877</v>
      </c>
      <c r="K3" s="392"/>
      <c r="L3" s="349"/>
      <c r="M3" s="349"/>
    </row>
    <row r="4" spans="1:13" ht="15.75" x14ac:dyDescent="0.25">
      <c r="A4" s="391"/>
      <c r="B4" s="283" t="s">
        <v>315</v>
      </c>
      <c r="C4" s="283" t="s">
        <v>316</v>
      </c>
      <c r="D4" s="283" t="s">
        <v>315</v>
      </c>
      <c r="E4" s="283" t="s">
        <v>316</v>
      </c>
      <c r="F4" s="283" t="s">
        <v>315</v>
      </c>
      <c r="G4" s="283" t="s">
        <v>316</v>
      </c>
      <c r="H4" s="283" t="s">
        <v>315</v>
      </c>
      <c r="I4" s="283" t="s">
        <v>316</v>
      </c>
      <c r="J4" s="283" t="s">
        <v>315</v>
      </c>
      <c r="K4" s="283" t="s">
        <v>316</v>
      </c>
      <c r="L4" s="327"/>
      <c r="M4" s="327"/>
    </row>
    <row r="5" spans="1:13" ht="36" x14ac:dyDescent="0.25">
      <c r="A5" s="41" t="s">
        <v>441</v>
      </c>
      <c r="B5" s="61">
        <v>120.6</v>
      </c>
      <c r="C5" s="61">
        <v>116.6</v>
      </c>
      <c r="D5" s="61">
        <v>124.6</v>
      </c>
      <c r="E5" s="61">
        <v>103.3</v>
      </c>
      <c r="F5" s="61">
        <v>129</v>
      </c>
      <c r="G5" s="61">
        <v>103.5</v>
      </c>
      <c r="H5" s="61">
        <v>133.80000000000001</v>
      </c>
      <c r="I5" s="61">
        <v>103.7</v>
      </c>
      <c r="J5" s="61">
        <v>139.1</v>
      </c>
      <c r="K5" s="61">
        <v>104</v>
      </c>
      <c r="L5" s="327"/>
      <c r="M5" s="327"/>
    </row>
    <row r="6" spans="1:13" ht="36" x14ac:dyDescent="0.25">
      <c r="A6" s="43" t="s">
        <v>442</v>
      </c>
      <c r="B6" s="6">
        <v>6.5</v>
      </c>
      <c r="C6" s="6">
        <v>105.7</v>
      </c>
      <c r="D6" s="6">
        <v>6.5</v>
      </c>
      <c r="E6" s="6">
        <v>100.6</v>
      </c>
      <c r="F6" s="6">
        <v>6.5</v>
      </c>
      <c r="G6" s="6">
        <v>100.3</v>
      </c>
      <c r="H6" s="6">
        <v>6.6</v>
      </c>
      <c r="I6" s="6">
        <v>101.1</v>
      </c>
      <c r="J6" s="6">
        <v>6.7</v>
      </c>
      <c r="K6" s="6">
        <v>100.9</v>
      </c>
      <c r="L6" s="327"/>
      <c r="M6" s="327"/>
    </row>
    <row r="7" spans="1:13" ht="36" x14ac:dyDescent="0.25">
      <c r="A7" s="43" t="s">
        <v>443</v>
      </c>
      <c r="B7" s="6">
        <v>114.1</v>
      </c>
      <c r="C7" s="6">
        <v>117.2</v>
      </c>
      <c r="D7" s="6">
        <v>118.1</v>
      </c>
      <c r="E7" s="6">
        <v>103.5</v>
      </c>
      <c r="F7" s="6">
        <v>122.5</v>
      </c>
      <c r="G7" s="6">
        <v>103.7</v>
      </c>
      <c r="H7" s="6">
        <v>127.2</v>
      </c>
      <c r="I7" s="6">
        <v>103.9</v>
      </c>
      <c r="J7" s="6">
        <v>132.5</v>
      </c>
      <c r="K7" s="6">
        <v>104.1</v>
      </c>
      <c r="L7" s="327"/>
      <c r="M7" s="327"/>
    </row>
    <row r="8" spans="1:13" ht="54" x14ac:dyDescent="0.25">
      <c r="A8" s="339" t="s">
        <v>444</v>
      </c>
      <c r="B8" s="6"/>
      <c r="C8" s="6"/>
      <c r="D8" s="6"/>
      <c r="E8" s="6"/>
      <c r="F8" s="6"/>
      <c r="G8" s="7"/>
      <c r="H8" s="6"/>
      <c r="I8" s="7"/>
      <c r="J8" s="6"/>
      <c r="K8" s="7"/>
      <c r="L8" s="327"/>
      <c r="M8" s="327"/>
    </row>
    <row r="9" spans="1:13" ht="36" x14ac:dyDescent="0.25">
      <c r="A9" s="43" t="s">
        <v>445</v>
      </c>
      <c r="B9" s="6">
        <v>2.4910000000000001</v>
      </c>
      <c r="C9" s="6">
        <v>100.9</v>
      </c>
      <c r="D9" s="6">
        <v>2.59</v>
      </c>
      <c r="E9" s="6">
        <v>104</v>
      </c>
      <c r="F9" s="6">
        <v>2.7</v>
      </c>
      <c r="G9" s="7">
        <v>104.2</v>
      </c>
      <c r="H9" s="6">
        <v>2.82</v>
      </c>
      <c r="I9" s="7">
        <v>104.4</v>
      </c>
      <c r="J9" s="6">
        <v>2.95</v>
      </c>
      <c r="K9" s="7">
        <v>104.6</v>
      </c>
      <c r="L9" s="327"/>
      <c r="M9" s="327"/>
    </row>
    <row r="10" spans="1:13" ht="36" x14ac:dyDescent="0.25">
      <c r="A10" s="41" t="s">
        <v>446</v>
      </c>
      <c r="B10" s="61">
        <v>12119.8</v>
      </c>
      <c r="C10" s="61">
        <v>117.4</v>
      </c>
      <c r="D10" s="61">
        <v>12970.5</v>
      </c>
      <c r="E10" s="61">
        <v>107</v>
      </c>
      <c r="F10" s="61">
        <v>13910.9</v>
      </c>
      <c r="G10" s="61">
        <v>107.3</v>
      </c>
      <c r="H10" s="61">
        <v>14934.2</v>
      </c>
      <c r="I10" s="61">
        <v>107.4</v>
      </c>
      <c r="J10" s="61">
        <v>16063.8</v>
      </c>
      <c r="K10" s="61">
        <v>107.6</v>
      </c>
      <c r="L10" s="327"/>
      <c r="M10" s="327"/>
    </row>
    <row r="11" spans="1:13" ht="18" x14ac:dyDescent="0.25">
      <c r="A11" s="43" t="s">
        <v>249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327"/>
      <c r="M11" s="327"/>
    </row>
    <row r="12" spans="1:13" ht="18" x14ac:dyDescent="0.25">
      <c r="A12" s="43" t="s">
        <v>447</v>
      </c>
      <c r="B12" s="6">
        <v>304.10000000000002</v>
      </c>
      <c r="C12" s="6">
        <v>110.9</v>
      </c>
      <c r="D12" s="6">
        <v>304.10000000000002</v>
      </c>
      <c r="E12" s="6">
        <v>100</v>
      </c>
      <c r="F12" s="340">
        <v>307.10000000000002</v>
      </c>
      <c r="G12" s="6">
        <v>101</v>
      </c>
      <c r="H12" s="6">
        <v>310.10000000000002</v>
      </c>
      <c r="I12" s="6">
        <v>101</v>
      </c>
      <c r="J12" s="6">
        <v>313.2</v>
      </c>
      <c r="K12" s="6">
        <v>101</v>
      </c>
      <c r="L12" s="327"/>
      <c r="M12" s="327"/>
    </row>
    <row r="13" spans="1:13" ht="36" x14ac:dyDescent="0.25">
      <c r="A13" s="43" t="s">
        <v>443</v>
      </c>
      <c r="B13" s="6">
        <v>11815.7</v>
      </c>
      <c r="C13" s="6">
        <v>117.7</v>
      </c>
      <c r="D13" s="6">
        <v>12666.4</v>
      </c>
      <c r="E13" s="6">
        <v>107.2</v>
      </c>
      <c r="F13" s="6">
        <v>13603.7</v>
      </c>
      <c r="G13" s="6">
        <v>107.4</v>
      </c>
      <c r="H13" s="6">
        <v>14623.9</v>
      </c>
      <c r="I13" s="6">
        <v>107.5</v>
      </c>
      <c r="J13" s="6">
        <v>15749.8</v>
      </c>
      <c r="K13" s="6">
        <v>107.7</v>
      </c>
      <c r="L13" s="327"/>
      <c r="M13" s="327"/>
    </row>
    <row r="14" spans="1:13" ht="54" x14ac:dyDescent="0.25">
      <c r="A14" s="339" t="s">
        <v>444</v>
      </c>
      <c r="B14" s="12"/>
      <c r="C14" s="6"/>
      <c r="D14" s="12"/>
      <c r="E14" s="12"/>
      <c r="F14" s="12"/>
      <c r="G14" s="5"/>
      <c r="H14" s="6"/>
      <c r="I14" s="12"/>
      <c r="J14" s="12"/>
      <c r="K14" s="12"/>
      <c r="L14" s="327"/>
      <c r="M14" s="327"/>
    </row>
    <row r="15" spans="1:13" ht="36" x14ac:dyDescent="0.25">
      <c r="A15" s="43" t="s">
        <v>445</v>
      </c>
      <c r="B15" s="12">
        <v>4272.8999999999996</v>
      </c>
      <c r="C15" s="6">
        <v>107.4</v>
      </c>
      <c r="D15" s="12">
        <v>4490.8</v>
      </c>
      <c r="E15" s="6">
        <v>105.1</v>
      </c>
      <c r="F15" s="12">
        <v>4728.8</v>
      </c>
      <c r="G15" s="5">
        <v>105.3</v>
      </c>
      <c r="H15" s="6">
        <v>4988.8</v>
      </c>
      <c r="I15" s="12">
        <v>105.5</v>
      </c>
      <c r="J15" s="12">
        <v>5273.1</v>
      </c>
      <c r="K15" s="12">
        <v>105.7</v>
      </c>
      <c r="L15" s="327"/>
      <c r="M15" s="327"/>
    </row>
    <row r="16" spans="1:13" ht="36" x14ac:dyDescent="0.25">
      <c r="A16" s="41" t="s">
        <v>448</v>
      </c>
      <c r="B16" s="46">
        <v>899355.6</v>
      </c>
      <c r="C16" s="46">
        <v>109.7</v>
      </c>
      <c r="D16" s="45">
        <v>951886.9</v>
      </c>
      <c r="E16" s="46">
        <v>105.9</v>
      </c>
      <c r="F16" s="45">
        <v>1012408.1</v>
      </c>
      <c r="G16" s="46">
        <v>106.3</v>
      </c>
      <c r="H16" s="45">
        <v>1075790.3</v>
      </c>
      <c r="I16" s="46">
        <v>106.3</v>
      </c>
      <c r="J16" s="45">
        <v>1146778.2</v>
      </c>
      <c r="K16" s="46">
        <v>106.6</v>
      </c>
      <c r="L16" s="327"/>
      <c r="M16" s="327"/>
    </row>
    <row r="17" spans="1:13" ht="18" x14ac:dyDescent="0.25">
      <c r="A17" s="43" t="s">
        <v>249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327"/>
      <c r="M17" s="327"/>
    </row>
    <row r="18" spans="1:13" ht="18" x14ac:dyDescent="0.25">
      <c r="A18" s="43" t="s">
        <v>449</v>
      </c>
      <c r="B18" s="22">
        <v>455.6</v>
      </c>
      <c r="C18" s="22">
        <v>100</v>
      </c>
      <c r="D18" s="12">
        <v>456.6</v>
      </c>
      <c r="E18" s="6">
        <v>100.2</v>
      </c>
      <c r="F18" s="12">
        <v>460.1</v>
      </c>
      <c r="G18" s="7">
        <v>100.8</v>
      </c>
      <c r="H18" s="12">
        <v>464.7</v>
      </c>
      <c r="I18" s="6">
        <v>101</v>
      </c>
      <c r="J18" s="12">
        <v>469.3</v>
      </c>
      <c r="K18" s="6">
        <v>101</v>
      </c>
      <c r="L18" s="327"/>
      <c r="M18" s="327"/>
    </row>
    <row r="19" spans="1:13" ht="18" x14ac:dyDescent="0.25">
      <c r="A19" s="43" t="s">
        <v>450</v>
      </c>
      <c r="B19" s="6">
        <f>B16-B18-B20-B23-B24</f>
        <v>756.34999999999854</v>
      </c>
      <c r="C19" s="6">
        <v>141.5</v>
      </c>
      <c r="D19" s="6">
        <v>800</v>
      </c>
      <c r="E19" s="6">
        <f>D19/B19*100</f>
        <v>105.77113770080008</v>
      </c>
      <c r="F19" s="6">
        <f>F16-F18-F20-F23-F24</f>
        <v>948.99000000002343</v>
      </c>
      <c r="G19" s="6">
        <f>F19/D19*100</f>
        <v>118.62375000000294</v>
      </c>
      <c r="H19" s="6">
        <f>H16-H18-H20-H23-H24</f>
        <v>944.65000000004875</v>
      </c>
      <c r="I19" s="6">
        <f>H19/F19*100</f>
        <v>99.542671682528322</v>
      </c>
      <c r="J19" s="6">
        <f>J16-J18-J20-J23-J24</f>
        <v>1139.7799999999042</v>
      </c>
      <c r="K19" s="6">
        <f>J19/H19*100</f>
        <v>120.65632774041659</v>
      </c>
      <c r="L19" s="327"/>
      <c r="M19" s="327"/>
    </row>
    <row r="20" spans="1:13" ht="36" x14ac:dyDescent="0.25">
      <c r="A20" s="43" t="s">
        <v>451</v>
      </c>
      <c r="B20" s="6">
        <v>876700</v>
      </c>
      <c r="C20" s="6">
        <v>110</v>
      </c>
      <c r="D20" s="12">
        <v>928425.3</v>
      </c>
      <c r="E20" s="6">
        <v>105.9</v>
      </c>
      <c r="F20" s="12">
        <v>985987.6</v>
      </c>
      <c r="G20" s="6">
        <v>106.2</v>
      </c>
      <c r="H20" s="12">
        <v>1047118.8</v>
      </c>
      <c r="I20" s="6">
        <v>106.2</v>
      </c>
      <c r="J20" s="12">
        <v>1115181.5</v>
      </c>
      <c r="K20" s="6">
        <v>106.5</v>
      </c>
      <c r="L20" s="327"/>
      <c r="M20" s="327"/>
    </row>
    <row r="21" spans="1:13" ht="37.5" customHeight="1" x14ac:dyDescent="0.25">
      <c r="A21" s="339" t="s">
        <v>444</v>
      </c>
      <c r="B21" s="6"/>
      <c r="C21" s="6"/>
      <c r="D21" s="12"/>
      <c r="E21" s="12"/>
      <c r="F21" s="12"/>
      <c r="G21" s="5"/>
      <c r="H21" s="12"/>
      <c r="I21" s="12"/>
      <c r="J21" s="12"/>
      <c r="K21" s="12"/>
      <c r="L21" s="327"/>
      <c r="M21" s="327"/>
    </row>
    <row r="22" spans="1:13" ht="18" x14ac:dyDescent="0.25">
      <c r="A22" s="43" t="s">
        <v>249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327"/>
      <c r="M22" s="327"/>
    </row>
    <row r="23" spans="1:13" ht="36" x14ac:dyDescent="0.25">
      <c r="A23" s="43" t="s">
        <v>452</v>
      </c>
      <c r="B23" s="6">
        <v>43.65</v>
      </c>
      <c r="C23" s="6">
        <v>135</v>
      </c>
      <c r="D23" s="12">
        <v>47.14</v>
      </c>
      <c r="E23" s="12">
        <v>108</v>
      </c>
      <c r="F23" s="12">
        <v>51.01</v>
      </c>
      <c r="G23" s="5">
        <v>108.2</v>
      </c>
      <c r="H23" s="12">
        <v>55.35</v>
      </c>
      <c r="I23" s="12">
        <v>108.5</v>
      </c>
      <c r="J23" s="12">
        <v>60.22</v>
      </c>
      <c r="K23" s="12">
        <v>108.8</v>
      </c>
      <c r="L23" s="327"/>
      <c r="M23" s="327"/>
    </row>
    <row r="24" spans="1:13" ht="36" x14ac:dyDescent="0.25">
      <c r="A24" s="43" t="s">
        <v>453</v>
      </c>
      <c r="B24" s="6">
        <v>21400</v>
      </c>
      <c r="C24" s="6">
        <v>104</v>
      </c>
      <c r="D24" s="12">
        <v>23005</v>
      </c>
      <c r="E24" s="6">
        <v>107.5</v>
      </c>
      <c r="F24" s="12">
        <v>24960.400000000001</v>
      </c>
      <c r="G24" s="12">
        <v>108.5</v>
      </c>
      <c r="H24" s="12">
        <v>27206.799999999999</v>
      </c>
      <c r="I24" s="12">
        <v>109</v>
      </c>
      <c r="J24" s="12">
        <v>29927.4</v>
      </c>
      <c r="K24" s="12">
        <v>110</v>
      </c>
      <c r="L24" s="327"/>
      <c r="M24" s="327"/>
    </row>
    <row r="25" spans="1:13" ht="36" x14ac:dyDescent="0.25">
      <c r="A25" s="41" t="s">
        <v>454</v>
      </c>
      <c r="B25" s="46">
        <v>9618.4</v>
      </c>
      <c r="C25" s="46">
        <v>113.7</v>
      </c>
      <c r="D25" s="46">
        <v>10271.799999999999</v>
      </c>
      <c r="E25" s="46">
        <v>106.8</v>
      </c>
      <c r="F25" s="46">
        <v>11039.6</v>
      </c>
      <c r="G25" s="46">
        <v>107.5</v>
      </c>
      <c r="H25" s="46">
        <v>11826.2</v>
      </c>
      <c r="I25" s="46">
        <v>107.1</v>
      </c>
      <c r="J25" s="46">
        <v>12739</v>
      </c>
      <c r="K25" s="46">
        <v>107.7</v>
      </c>
      <c r="L25" s="327"/>
      <c r="M25" s="327"/>
    </row>
    <row r="26" spans="1:13" ht="18" x14ac:dyDescent="0.25">
      <c r="A26" s="43" t="s">
        <v>249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327"/>
      <c r="M26" s="327"/>
    </row>
    <row r="27" spans="1:13" ht="18" x14ac:dyDescent="0.25">
      <c r="A27" s="43" t="s">
        <v>449</v>
      </c>
      <c r="B27" s="6">
        <v>23.3</v>
      </c>
      <c r="C27" s="6">
        <v>109.8</v>
      </c>
      <c r="D27" s="6">
        <v>23.6</v>
      </c>
      <c r="E27" s="6">
        <v>101.3</v>
      </c>
      <c r="F27" s="341">
        <v>23.9</v>
      </c>
      <c r="G27" s="6">
        <v>101.3</v>
      </c>
      <c r="H27" s="6">
        <v>24.4</v>
      </c>
      <c r="I27" s="6">
        <v>102.1</v>
      </c>
      <c r="J27" s="6">
        <v>24.9</v>
      </c>
      <c r="K27" s="6">
        <v>102</v>
      </c>
      <c r="L27" s="327"/>
      <c r="M27" s="327"/>
    </row>
    <row r="28" spans="1:13" ht="36" x14ac:dyDescent="0.25">
      <c r="A28" s="43" t="s">
        <v>451</v>
      </c>
      <c r="B28" s="6">
        <v>9514.7999999999993</v>
      </c>
      <c r="C28" s="6">
        <v>113.8</v>
      </c>
      <c r="D28" s="6">
        <v>10161.799999999999</v>
      </c>
      <c r="E28" s="6">
        <v>106.8</v>
      </c>
      <c r="F28" s="6">
        <v>10883.3</v>
      </c>
      <c r="G28" s="12">
        <v>107.1</v>
      </c>
      <c r="H28" s="6">
        <v>11699.5</v>
      </c>
      <c r="I28" s="12">
        <v>107.5</v>
      </c>
      <c r="J28" s="6">
        <v>12600.4</v>
      </c>
      <c r="K28" s="12">
        <v>107.7</v>
      </c>
      <c r="L28" s="327"/>
      <c r="M28" s="327"/>
    </row>
    <row r="29" spans="1:13" ht="37.5" customHeight="1" x14ac:dyDescent="0.25">
      <c r="A29" s="339" t="s">
        <v>444</v>
      </c>
      <c r="B29" s="6"/>
      <c r="C29" s="6"/>
      <c r="D29" s="12"/>
      <c r="E29" s="12"/>
      <c r="F29" s="12"/>
      <c r="G29" s="12"/>
      <c r="H29" s="12"/>
      <c r="I29" s="12"/>
      <c r="J29" s="12"/>
      <c r="K29" s="12" t="s">
        <v>914</v>
      </c>
      <c r="L29" s="327"/>
      <c r="M29" s="327"/>
    </row>
    <row r="30" spans="1:13" ht="36" x14ac:dyDescent="0.25">
      <c r="A30" s="43" t="s">
        <v>455</v>
      </c>
      <c r="B30" s="6">
        <v>30.5</v>
      </c>
      <c r="C30" s="6">
        <v>134.9</v>
      </c>
      <c r="D30" s="6">
        <v>34.5</v>
      </c>
      <c r="E30" s="6">
        <v>113.1</v>
      </c>
      <c r="F30" s="6">
        <v>38.6</v>
      </c>
      <c r="G30" s="12">
        <v>111.8</v>
      </c>
      <c r="H30" s="6">
        <v>43.7</v>
      </c>
      <c r="I30" s="12">
        <v>113.3</v>
      </c>
      <c r="J30" s="12">
        <v>49.8</v>
      </c>
      <c r="K30" s="12">
        <v>114</v>
      </c>
      <c r="L30" s="327"/>
      <c r="M30" s="327"/>
    </row>
    <row r="31" spans="1:13" ht="36" x14ac:dyDescent="0.25">
      <c r="A31" s="43" t="s">
        <v>456</v>
      </c>
      <c r="B31" s="12">
        <v>80.3</v>
      </c>
      <c r="C31" s="6">
        <v>105</v>
      </c>
      <c r="D31" s="6">
        <v>86.4</v>
      </c>
      <c r="E31" s="6">
        <v>107.6</v>
      </c>
      <c r="F31" s="6">
        <v>93.8</v>
      </c>
      <c r="G31" s="12">
        <v>108.6</v>
      </c>
      <c r="H31" s="6">
        <v>102.3</v>
      </c>
      <c r="I31" s="12">
        <v>109.1</v>
      </c>
      <c r="J31" s="6">
        <v>113.7</v>
      </c>
      <c r="K31" s="12">
        <v>111.1</v>
      </c>
      <c r="L31" s="327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152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152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152"/>
      <c r="M34" s="152"/>
    </row>
    <row r="35" spans="1:13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</row>
    <row r="36" spans="1:13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</row>
    <row r="37" spans="1:13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</row>
    <row r="38" spans="1:13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</row>
    <row r="39" spans="1:13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</row>
    <row r="40" spans="1:13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1:13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</row>
    <row r="42" spans="1:13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</row>
    <row r="43" spans="1:13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</row>
    <row r="44" spans="1:13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</row>
    <row r="45" spans="1:13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</row>
    <row r="46" spans="1:13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1:13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</row>
    <row r="48" spans="1:13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8">
    <mergeCell ref="A1:K1"/>
    <mergeCell ref="A2:A4"/>
    <mergeCell ref="B2:C3"/>
    <mergeCell ref="D2:E3"/>
    <mergeCell ref="F2:G3"/>
    <mergeCell ref="H2:K2"/>
    <mergeCell ref="H3:I3"/>
    <mergeCell ref="J3:K3"/>
  </mergeCells>
  <pageMargins left="0.43307086614173229" right="0.19685039370078741" top="0.35433070866141736" bottom="0.35433070866141736" header="0" footer="0"/>
  <pageSetup paperSize="9" scale="90" firstPageNumber="92" orientation="landscape" useFirstPageNumber="1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55" zoomScaleNormal="100" zoomScaleSheetLayoutView="55" zoomScalePageLayoutView="55" workbookViewId="0">
      <selection activeCell="F6" sqref="F6"/>
    </sheetView>
  </sheetViews>
  <sheetFormatPr defaultRowHeight="15" x14ac:dyDescent="0.25"/>
  <cols>
    <col min="1" max="1" width="35.28515625" customWidth="1"/>
    <col min="2" max="2" width="9.5703125" customWidth="1"/>
    <col min="3" max="4" width="9.28515625" customWidth="1"/>
    <col min="5" max="5" width="9.5703125" customWidth="1"/>
    <col min="6" max="6" width="10.42578125" customWidth="1"/>
    <col min="7" max="7" width="9.5703125" customWidth="1"/>
    <col min="8" max="8" width="9.85546875" customWidth="1"/>
    <col min="9" max="9" width="9.28515625" customWidth="1"/>
    <col min="10" max="10" width="10.42578125" customWidth="1"/>
    <col min="11" max="11" width="9.7109375" customWidth="1"/>
  </cols>
  <sheetData>
    <row r="1" spans="1:13" ht="43.5" customHeight="1" x14ac:dyDescent="0.3">
      <c r="A1" s="394" t="s">
        <v>985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46"/>
      <c r="M1" s="346"/>
    </row>
    <row r="2" spans="1:13" ht="18" customHeight="1" x14ac:dyDescent="0.25">
      <c r="A2" s="386" t="s">
        <v>1</v>
      </c>
      <c r="B2" s="386" t="s">
        <v>878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49"/>
      <c r="M2" s="349"/>
    </row>
    <row r="3" spans="1:13" ht="15.75" customHeight="1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49"/>
      <c r="M3" s="349"/>
    </row>
    <row r="4" spans="1:13" ht="15.75" customHeight="1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327"/>
      <c r="M4" s="327"/>
    </row>
    <row r="5" spans="1:13" ht="39" customHeight="1" x14ac:dyDescent="0.25">
      <c r="A5" s="41" t="s">
        <v>457</v>
      </c>
      <c r="B5" s="2">
        <v>27268.400000000001</v>
      </c>
      <c r="C5" s="2">
        <v>100</v>
      </c>
      <c r="D5" s="2">
        <v>27268.400000000001</v>
      </c>
      <c r="E5" s="2">
        <v>100</v>
      </c>
      <c r="F5" s="2">
        <v>27268.400000000001</v>
      </c>
      <c r="G5" s="2">
        <v>100</v>
      </c>
      <c r="H5" s="2">
        <v>27268.400000000001</v>
      </c>
      <c r="I5" s="45">
        <v>100</v>
      </c>
      <c r="J5" s="2">
        <v>27268.400000000001</v>
      </c>
      <c r="K5" s="45">
        <v>100</v>
      </c>
      <c r="L5" s="327"/>
      <c r="M5" s="327"/>
    </row>
    <row r="6" spans="1:13" ht="36" x14ac:dyDescent="0.25">
      <c r="A6" s="41" t="s">
        <v>458</v>
      </c>
      <c r="B6" s="2">
        <v>14314</v>
      </c>
      <c r="C6" s="2">
        <v>100.04</v>
      </c>
      <c r="D6" s="2">
        <v>14319</v>
      </c>
      <c r="E6" s="45">
        <v>100.03489999999999</v>
      </c>
      <c r="F6" s="2">
        <v>14326</v>
      </c>
      <c r="G6" s="46">
        <v>100.05</v>
      </c>
      <c r="H6" s="2">
        <v>14335</v>
      </c>
      <c r="I6" s="46">
        <v>100.1</v>
      </c>
      <c r="J6" s="2">
        <v>14345</v>
      </c>
      <c r="K6" s="46">
        <v>100.1</v>
      </c>
      <c r="L6" s="327"/>
      <c r="M6" s="327"/>
    </row>
    <row r="7" spans="1:13" ht="36" x14ac:dyDescent="0.25">
      <c r="A7" s="43" t="s">
        <v>459</v>
      </c>
      <c r="B7" s="12">
        <v>5273</v>
      </c>
      <c r="C7" s="12">
        <v>100</v>
      </c>
      <c r="D7" s="12">
        <v>5273</v>
      </c>
      <c r="E7" s="12">
        <v>100</v>
      </c>
      <c r="F7" s="12">
        <v>5273</v>
      </c>
      <c r="G7" s="12">
        <v>100</v>
      </c>
      <c r="H7" s="12">
        <v>5273</v>
      </c>
      <c r="I7" s="12">
        <v>100</v>
      </c>
      <c r="J7" s="12">
        <v>5274</v>
      </c>
      <c r="K7" s="12">
        <v>100.2</v>
      </c>
      <c r="L7" s="327"/>
      <c r="M7" s="327"/>
    </row>
    <row r="8" spans="1:13" ht="33.75" customHeight="1" x14ac:dyDescent="0.25">
      <c r="A8" s="43" t="s">
        <v>460</v>
      </c>
      <c r="B8" s="12">
        <v>8286</v>
      </c>
      <c r="C8" s="12">
        <v>100</v>
      </c>
      <c r="D8" s="12">
        <v>8288</v>
      </c>
      <c r="E8" s="12">
        <v>100.02</v>
      </c>
      <c r="F8" s="12">
        <v>8292</v>
      </c>
      <c r="G8" s="6">
        <v>100.05</v>
      </c>
      <c r="H8" s="12">
        <v>8298</v>
      </c>
      <c r="I8" s="6">
        <v>100.1</v>
      </c>
      <c r="J8" s="12">
        <v>8303</v>
      </c>
      <c r="K8" s="6">
        <v>100.1</v>
      </c>
      <c r="L8" s="327"/>
      <c r="M8" s="327"/>
    </row>
    <row r="9" spans="1:13" ht="18" x14ac:dyDescent="0.25">
      <c r="A9" s="41" t="s">
        <v>461</v>
      </c>
      <c r="B9" s="45"/>
      <c r="C9" s="46"/>
      <c r="D9" s="45"/>
      <c r="E9" s="46"/>
      <c r="F9" s="45"/>
      <c r="G9" s="46"/>
      <c r="H9" s="45"/>
      <c r="I9" s="46"/>
      <c r="J9" s="45"/>
      <c r="K9" s="46"/>
      <c r="L9" s="327"/>
      <c r="M9" s="327"/>
    </row>
    <row r="10" spans="1:13" ht="18" x14ac:dyDescent="0.25">
      <c r="A10" s="43" t="s">
        <v>462</v>
      </c>
      <c r="B10" s="12">
        <v>2184</v>
      </c>
      <c r="C10" s="6">
        <v>103.5</v>
      </c>
      <c r="D10" s="12">
        <v>2184</v>
      </c>
      <c r="E10" s="12">
        <v>100</v>
      </c>
      <c r="F10" s="12">
        <v>2184</v>
      </c>
      <c r="G10" s="12">
        <v>100</v>
      </c>
      <c r="H10" s="12">
        <v>2184</v>
      </c>
      <c r="I10" s="12">
        <v>100</v>
      </c>
      <c r="J10" s="12">
        <v>2184</v>
      </c>
      <c r="K10" s="12">
        <v>100</v>
      </c>
      <c r="L10" s="327"/>
      <c r="M10" s="327"/>
    </row>
    <row r="11" spans="1:13" ht="18" x14ac:dyDescent="0.25">
      <c r="A11" s="43" t="s">
        <v>463</v>
      </c>
      <c r="B11" s="12">
        <v>8746</v>
      </c>
      <c r="C11" s="6">
        <v>98.7</v>
      </c>
      <c r="D11" s="12">
        <v>8751</v>
      </c>
      <c r="E11" s="6">
        <v>100.1</v>
      </c>
      <c r="F11" s="12">
        <v>8758</v>
      </c>
      <c r="G11" s="12">
        <v>100.08</v>
      </c>
      <c r="H11" s="12">
        <v>8767</v>
      </c>
      <c r="I11" s="6">
        <v>100.1028</v>
      </c>
      <c r="J11" s="12">
        <v>8776</v>
      </c>
      <c r="K11" s="6">
        <v>100.1</v>
      </c>
      <c r="L11" s="327"/>
      <c r="M11" s="327"/>
    </row>
    <row r="12" spans="1:13" ht="36" x14ac:dyDescent="0.25">
      <c r="A12" s="41" t="s">
        <v>464</v>
      </c>
      <c r="B12" s="46">
        <v>958.7</v>
      </c>
      <c r="C12" s="45">
        <v>100</v>
      </c>
      <c r="D12" s="46">
        <v>958.7</v>
      </c>
      <c r="E12" s="45">
        <v>100</v>
      </c>
      <c r="F12" s="46">
        <v>1010.7</v>
      </c>
      <c r="G12" s="46">
        <v>105.42400000000001</v>
      </c>
      <c r="H12" s="46">
        <v>1010.7</v>
      </c>
      <c r="I12" s="45">
        <v>100</v>
      </c>
      <c r="J12" s="336">
        <v>1010.7</v>
      </c>
      <c r="K12" s="45">
        <v>100</v>
      </c>
      <c r="L12" s="327"/>
      <c r="M12" s="327"/>
    </row>
    <row r="13" spans="1:13" ht="18" x14ac:dyDescent="0.25">
      <c r="A13" s="43" t="s">
        <v>465</v>
      </c>
      <c r="B13" s="337"/>
      <c r="C13" s="338"/>
      <c r="D13" s="337"/>
      <c r="E13" s="338"/>
      <c r="F13" s="337"/>
      <c r="G13" s="337"/>
      <c r="H13" s="337"/>
      <c r="I13" s="338"/>
      <c r="J13" s="337"/>
      <c r="K13" s="338"/>
      <c r="L13" s="327"/>
      <c r="M13" s="327"/>
    </row>
    <row r="14" spans="1:13" ht="18" x14ac:dyDescent="0.25">
      <c r="A14" s="43" t="s">
        <v>466</v>
      </c>
      <c r="B14" s="6">
        <v>270.2</v>
      </c>
      <c r="C14" s="12">
        <v>100</v>
      </c>
      <c r="D14" s="6">
        <v>270.2</v>
      </c>
      <c r="E14" s="12">
        <v>100</v>
      </c>
      <c r="F14" s="6">
        <v>270</v>
      </c>
      <c r="G14" s="12">
        <v>100</v>
      </c>
      <c r="H14" s="6">
        <v>270.2</v>
      </c>
      <c r="I14" s="12">
        <v>100</v>
      </c>
      <c r="J14" s="6">
        <v>270.2</v>
      </c>
      <c r="K14" s="12">
        <v>100</v>
      </c>
      <c r="L14" s="327"/>
      <c r="M14" s="327"/>
    </row>
    <row r="15" spans="1:13" ht="18" x14ac:dyDescent="0.25">
      <c r="A15" s="43" t="s">
        <v>290</v>
      </c>
      <c r="B15" s="6">
        <v>380.5</v>
      </c>
      <c r="C15" s="12">
        <v>100</v>
      </c>
      <c r="D15" s="6">
        <v>380.5</v>
      </c>
      <c r="E15" s="12">
        <v>100</v>
      </c>
      <c r="F15" s="6">
        <v>432.5</v>
      </c>
      <c r="G15" s="6">
        <v>113.7</v>
      </c>
      <c r="H15" s="6">
        <v>432.5</v>
      </c>
      <c r="I15" s="12">
        <v>100</v>
      </c>
      <c r="J15" s="6">
        <v>432.5</v>
      </c>
      <c r="K15" s="12">
        <v>100</v>
      </c>
      <c r="L15" s="327"/>
      <c r="M15" s="327"/>
    </row>
    <row r="16" spans="1:13" ht="18" x14ac:dyDescent="0.25">
      <c r="A16" s="43" t="s">
        <v>467</v>
      </c>
      <c r="B16" s="6">
        <v>308</v>
      </c>
      <c r="C16" s="12">
        <v>100</v>
      </c>
      <c r="D16" s="6">
        <v>308</v>
      </c>
      <c r="E16" s="12">
        <v>100</v>
      </c>
      <c r="F16" s="6">
        <v>308</v>
      </c>
      <c r="G16" s="12">
        <v>100</v>
      </c>
      <c r="H16" s="6">
        <v>308</v>
      </c>
      <c r="I16" s="12">
        <v>100</v>
      </c>
      <c r="J16" s="6">
        <v>308</v>
      </c>
      <c r="K16" s="12">
        <v>100</v>
      </c>
      <c r="L16" s="327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334"/>
      <c r="L17" s="327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327"/>
      <c r="M18" s="327"/>
    </row>
    <row r="19" spans="1:13" x14ac:dyDescent="0.25">
      <c r="A19" s="327"/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</row>
    <row r="20" spans="1:13" x14ac:dyDescent="0.25">
      <c r="A20" s="327"/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</row>
    <row r="21" spans="1:13" x14ac:dyDescent="0.25">
      <c r="A21" s="327"/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</row>
    <row r="22" spans="1:13" x14ac:dyDescent="0.25">
      <c r="A22" s="327"/>
      <c r="B22" s="327"/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</row>
    <row r="23" spans="1:13" x14ac:dyDescent="0.25">
      <c r="A23" s="327"/>
      <c r="B23" s="327"/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</row>
    <row r="24" spans="1:13" x14ac:dyDescent="0.25">
      <c r="A24" s="327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</row>
    <row r="25" spans="1:13" x14ac:dyDescent="0.25">
      <c r="A25" s="327"/>
      <c r="B25" s="327"/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</row>
    <row r="26" spans="1:13" x14ac:dyDescent="0.25">
      <c r="A26" s="327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</row>
    <row r="27" spans="1:13" x14ac:dyDescent="0.25">
      <c r="A27" s="327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</row>
    <row r="28" spans="1:13" x14ac:dyDescent="0.25">
      <c r="A28" s="327"/>
      <c r="B28" s="327"/>
      <c r="C28" s="327"/>
      <c r="D28" s="327"/>
      <c r="E28" s="327"/>
      <c r="F28" s="327"/>
      <c r="G28" s="327"/>
      <c r="H28" s="327"/>
      <c r="I28" s="327"/>
      <c r="J28" s="327"/>
      <c r="K28" s="327"/>
      <c r="L28" s="327"/>
      <c r="M28" s="327"/>
    </row>
    <row r="29" spans="1:13" x14ac:dyDescent="0.25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</row>
    <row r="30" spans="1:13" x14ac:dyDescent="0.25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</row>
    <row r="31" spans="1:13" x14ac:dyDescent="0.25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</row>
    <row r="32" spans="1:13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</row>
    <row r="33" spans="1:13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</row>
    <row r="34" spans="1:13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</row>
    <row r="35" spans="1:13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</row>
    <row r="36" spans="1:13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</row>
    <row r="37" spans="1:13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</row>
    <row r="38" spans="1:13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</row>
    <row r="39" spans="1:13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</row>
    <row r="40" spans="1:13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1:13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</row>
    <row r="42" spans="1:13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</row>
    <row r="43" spans="1:13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</row>
    <row r="44" spans="1:13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</row>
    <row r="45" spans="1:13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</row>
    <row r="46" spans="1:13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1:13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</row>
    <row r="48" spans="1:13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94" orientation="landscape" useFirstPageNumber="1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55" zoomScaleNormal="100" zoomScaleSheetLayoutView="55" zoomScalePageLayoutView="55" workbookViewId="0">
      <selection activeCell="F6" sqref="F6"/>
    </sheetView>
  </sheetViews>
  <sheetFormatPr defaultRowHeight="15" x14ac:dyDescent="0.25"/>
  <cols>
    <col min="1" max="1" width="34.7109375" customWidth="1"/>
    <col min="2" max="2" width="15.42578125" customWidth="1"/>
    <col min="3" max="3" width="8.7109375" customWidth="1"/>
    <col min="4" max="4" width="14" customWidth="1"/>
    <col min="5" max="5" width="8.42578125" customWidth="1"/>
    <col min="6" max="6" width="14.7109375" customWidth="1"/>
    <col min="7" max="7" width="9.5703125" customWidth="1"/>
    <col min="8" max="8" width="15.42578125" customWidth="1"/>
    <col min="9" max="9" width="9" customWidth="1"/>
    <col min="10" max="10" width="15.5703125" customWidth="1"/>
    <col min="11" max="11" width="10.7109375" customWidth="1"/>
    <col min="12" max="12" width="0.28515625" customWidth="1"/>
    <col min="13" max="13" width="0.85546875" hidden="1" customWidth="1"/>
  </cols>
  <sheetData>
    <row r="1" spans="1:13" ht="34.5" customHeight="1" x14ac:dyDescent="0.3">
      <c r="A1" s="385" t="s">
        <v>897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45"/>
      <c r="M1" s="346"/>
    </row>
    <row r="2" spans="1:13" ht="24.75" customHeight="1" x14ac:dyDescent="0.25">
      <c r="A2" s="391" t="s">
        <v>1</v>
      </c>
      <c r="B2" s="391" t="s">
        <v>888</v>
      </c>
      <c r="C2" s="391"/>
      <c r="D2" s="391" t="s">
        <v>887</v>
      </c>
      <c r="E2" s="391"/>
      <c r="F2" s="392" t="s">
        <v>8</v>
      </c>
      <c r="G2" s="392"/>
      <c r="H2" s="393" t="s">
        <v>4</v>
      </c>
      <c r="I2" s="393"/>
      <c r="J2" s="393"/>
      <c r="K2" s="393"/>
      <c r="L2" s="337"/>
      <c r="M2" s="349"/>
    </row>
    <row r="3" spans="1:13" ht="18" x14ac:dyDescent="0.25">
      <c r="A3" s="391"/>
      <c r="B3" s="391"/>
      <c r="C3" s="391"/>
      <c r="D3" s="391"/>
      <c r="E3" s="391"/>
      <c r="F3" s="392" t="s">
        <v>246</v>
      </c>
      <c r="G3" s="392"/>
      <c r="H3" s="392" t="s">
        <v>247</v>
      </c>
      <c r="I3" s="392"/>
      <c r="J3" s="392" t="s">
        <v>877</v>
      </c>
      <c r="K3" s="392"/>
      <c r="L3" s="337"/>
      <c r="M3" s="349"/>
    </row>
    <row r="4" spans="1:13" ht="31.5" x14ac:dyDescent="0.25">
      <c r="A4" s="391"/>
      <c r="B4" s="283" t="s">
        <v>315</v>
      </c>
      <c r="C4" s="283" t="s">
        <v>316</v>
      </c>
      <c r="D4" s="283" t="s">
        <v>315</v>
      </c>
      <c r="E4" s="283" t="s">
        <v>316</v>
      </c>
      <c r="F4" s="283" t="s">
        <v>315</v>
      </c>
      <c r="G4" s="283" t="s">
        <v>316</v>
      </c>
      <c r="H4" s="283" t="s">
        <v>315</v>
      </c>
      <c r="I4" s="283" t="s">
        <v>316</v>
      </c>
      <c r="J4" s="283" t="s">
        <v>315</v>
      </c>
      <c r="K4" s="283" t="s">
        <v>316</v>
      </c>
      <c r="L4" s="295"/>
      <c r="M4" s="327"/>
    </row>
    <row r="5" spans="1:13" ht="54" x14ac:dyDescent="0.25">
      <c r="A5" s="58" t="s">
        <v>468</v>
      </c>
      <c r="B5" s="7">
        <v>1815.48</v>
      </c>
      <c r="C5" s="6">
        <v>100</v>
      </c>
      <c r="D5" s="6">
        <v>2064.39</v>
      </c>
      <c r="E5" s="6">
        <v>113.71</v>
      </c>
      <c r="F5" s="6">
        <v>2069.9</v>
      </c>
      <c r="G5" s="6">
        <v>100.27</v>
      </c>
      <c r="H5" s="6">
        <v>2516.41</v>
      </c>
      <c r="I5" s="6">
        <v>121.57</v>
      </c>
      <c r="J5" s="6">
        <v>2645.82</v>
      </c>
      <c r="K5" s="6">
        <v>105.14</v>
      </c>
      <c r="L5" s="295"/>
      <c r="M5" s="327"/>
    </row>
    <row r="6" spans="1:13" ht="36" x14ac:dyDescent="0.25">
      <c r="A6" s="58" t="s">
        <v>469</v>
      </c>
      <c r="B6" s="7">
        <v>2800.241</v>
      </c>
      <c r="C6" s="6">
        <v>100</v>
      </c>
      <c r="D6" s="6">
        <v>3005.27</v>
      </c>
      <c r="E6" s="6">
        <v>107.32</v>
      </c>
      <c r="F6" s="6">
        <v>3211.3</v>
      </c>
      <c r="G6" s="6">
        <v>106.86</v>
      </c>
      <c r="H6" s="6">
        <v>3418.33</v>
      </c>
      <c r="I6" s="6">
        <v>106.45</v>
      </c>
      <c r="J6" s="6">
        <v>3228.36</v>
      </c>
      <c r="K6" s="6">
        <v>106.14</v>
      </c>
      <c r="L6" s="295"/>
      <c r="M6" s="327"/>
    </row>
    <row r="7" spans="1:13" ht="36" x14ac:dyDescent="0.25">
      <c r="A7" s="58" t="s">
        <v>470</v>
      </c>
      <c r="B7" s="7">
        <v>4608.5</v>
      </c>
      <c r="C7" s="6">
        <v>100</v>
      </c>
      <c r="D7" s="6">
        <v>5633.5</v>
      </c>
      <c r="E7" s="6">
        <v>122.24</v>
      </c>
      <c r="F7" s="6">
        <v>5669.3</v>
      </c>
      <c r="G7" s="6">
        <v>100.64</v>
      </c>
      <c r="H7" s="6">
        <v>6196</v>
      </c>
      <c r="I7" s="6">
        <v>109.29</v>
      </c>
      <c r="J7" s="6">
        <v>6244.7</v>
      </c>
      <c r="K7" s="6">
        <v>100.79</v>
      </c>
      <c r="L7" s="295"/>
      <c r="M7" s="327"/>
    </row>
    <row r="8" spans="1:13" ht="55.5" customHeight="1" x14ac:dyDescent="0.25">
      <c r="A8" s="58" t="s">
        <v>471</v>
      </c>
      <c r="B8" s="7">
        <v>286.25900000000001</v>
      </c>
      <c r="C8" s="6">
        <v>100</v>
      </c>
      <c r="D8" s="6">
        <v>295.16000000000003</v>
      </c>
      <c r="E8" s="6">
        <v>103.11</v>
      </c>
      <c r="F8" s="6">
        <v>307.26799999999997</v>
      </c>
      <c r="G8" s="6">
        <v>104.1</v>
      </c>
      <c r="H8" s="6">
        <v>322.87599999999998</v>
      </c>
      <c r="I8" s="6">
        <v>105.08</v>
      </c>
      <c r="J8" s="6">
        <v>332.49599999999998</v>
      </c>
      <c r="K8" s="6">
        <v>102.98</v>
      </c>
      <c r="L8" s="295"/>
      <c r="M8" s="327"/>
    </row>
    <row r="9" spans="1:13" ht="54" x14ac:dyDescent="0.25">
      <c r="A9" s="58" t="s">
        <v>472</v>
      </c>
      <c r="B9" s="7">
        <v>157900.79999999999</v>
      </c>
      <c r="C9" s="6">
        <v>100</v>
      </c>
      <c r="D9" s="6">
        <v>196125.8</v>
      </c>
      <c r="E9" s="6">
        <v>124.21</v>
      </c>
      <c r="F9" s="6">
        <v>234250.7</v>
      </c>
      <c r="G9" s="6">
        <v>119.44</v>
      </c>
      <c r="H9" s="6">
        <v>279903.8</v>
      </c>
      <c r="I9" s="6">
        <v>119.49</v>
      </c>
      <c r="J9" s="6">
        <v>334655.7</v>
      </c>
      <c r="K9" s="6">
        <v>119.56</v>
      </c>
      <c r="L9" s="295"/>
      <c r="M9" s="327"/>
    </row>
    <row r="10" spans="1:13" ht="72" x14ac:dyDescent="0.25">
      <c r="A10" s="58" t="s">
        <v>473</v>
      </c>
      <c r="B10" s="7">
        <v>96215.7</v>
      </c>
      <c r="C10" s="7">
        <v>100</v>
      </c>
      <c r="D10" s="6">
        <v>119685.356</v>
      </c>
      <c r="E10" s="6">
        <v>124.39</v>
      </c>
      <c r="F10" s="6">
        <v>143123.43599999999</v>
      </c>
      <c r="G10" s="6">
        <v>119.58</v>
      </c>
      <c r="H10" s="6">
        <v>171109.18299999999</v>
      </c>
      <c r="I10" s="6">
        <v>119.55</v>
      </c>
      <c r="J10" s="6">
        <v>204677.141</v>
      </c>
      <c r="K10" s="6">
        <v>119.62</v>
      </c>
      <c r="L10" s="295"/>
      <c r="M10" s="327"/>
    </row>
    <row r="11" spans="1:13" ht="36" x14ac:dyDescent="0.25">
      <c r="A11" s="58" t="s">
        <v>474</v>
      </c>
      <c r="B11" s="7">
        <v>115844.22</v>
      </c>
      <c r="C11" s="7">
        <v>100</v>
      </c>
      <c r="D11" s="6">
        <v>13950.33</v>
      </c>
      <c r="E11" s="7">
        <v>120.43</v>
      </c>
      <c r="F11" s="6">
        <v>16867.46</v>
      </c>
      <c r="G11" s="7">
        <v>120.91</v>
      </c>
      <c r="H11" s="6">
        <v>21222.59</v>
      </c>
      <c r="I11" s="7">
        <v>125.82</v>
      </c>
      <c r="J11" s="6">
        <v>25587.78</v>
      </c>
      <c r="K11" s="7">
        <v>120.57</v>
      </c>
      <c r="L11" s="295"/>
      <c r="M11" s="327"/>
    </row>
    <row r="12" spans="1:13" ht="54" x14ac:dyDescent="0.25">
      <c r="A12" s="58" t="s">
        <v>953</v>
      </c>
      <c r="B12" s="7">
        <v>11584.22</v>
      </c>
      <c r="C12" s="7">
        <v>100</v>
      </c>
      <c r="D12" s="6">
        <v>13950.33</v>
      </c>
      <c r="E12" s="7">
        <v>120.43</v>
      </c>
      <c r="F12" s="6">
        <v>16867.46</v>
      </c>
      <c r="G12" s="7">
        <v>120.91</v>
      </c>
      <c r="H12" s="6">
        <v>21222.59</v>
      </c>
      <c r="I12" s="7">
        <v>125.82</v>
      </c>
      <c r="J12" s="6">
        <v>25587.78</v>
      </c>
      <c r="K12" s="7">
        <v>120.57</v>
      </c>
      <c r="L12" s="295"/>
      <c r="M12" s="327"/>
    </row>
    <row r="13" spans="1:13" ht="54" x14ac:dyDescent="0.25">
      <c r="A13" s="58" t="s">
        <v>475</v>
      </c>
      <c r="B13" s="5">
        <v>46253547</v>
      </c>
      <c r="C13" s="6">
        <v>100</v>
      </c>
      <c r="D13" s="12">
        <v>56904886</v>
      </c>
      <c r="E13" s="6">
        <v>123.03</v>
      </c>
      <c r="F13" s="6">
        <v>67544110.200000003</v>
      </c>
      <c r="G13" s="6">
        <v>118.7</v>
      </c>
      <c r="H13" s="6">
        <v>80324230.299999997</v>
      </c>
      <c r="I13" s="6">
        <v>118.92</v>
      </c>
      <c r="J13" s="6">
        <v>95715384.700000003</v>
      </c>
      <c r="K13" s="6">
        <v>119.16</v>
      </c>
      <c r="L13" s="295"/>
      <c r="M13" s="327"/>
    </row>
    <row r="14" spans="1:13" x14ac:dyDescent="0.25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327"/>
      <c r="B17" s="327"/>
      <c r="C17" s="327"/>
      <c r="D17" s="327"/>
      <c r="E17" s="327"/>
      <c r="F17" s="327"/>
      <c r="G17" s="327"/>
      <c r="H17" s="327"/>
      <c r="I17" s="327"/>
      <c r="J17" s="327"/>
      <c r="K17" s="327"/>
      <c r="L17" s="327"/>
      <c r="M17" s="327"/>
    </row>
    <row r="18" spans="1:13" x14ac:dyDescent="0.25">
      <c r="A18" s="327"/>
      <c r="B18" s="327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</row>
    <row r="19" spans="1:13" x14ac:dyDescent="0.25">
      <c r="A19" s="327"/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</row>
    <row r="20" spans="1:13" x14ac:dyDescent="0.25">
      <c r="A20" s="327"/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</row>
    <row r="21" spans="1:13" x14ac:dyDescent="0.25">
      <c r="A21" s="327"/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</row>
    <row r="22" spans="1:13" x14ac:dyDescent="0.25">
      <c r="A22" s="327"/>
      <c r="B22" s="327"/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</row>
    <row r="23" spans="1:13" x14ac:dyDescent="0.25">
      <c r="A23" s="327"/>
      <c r="B23" s="327"/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</row>
    <row r="24" spans="1:13" x14ac:dyDescent="0.25">
      <c r="A24" s="327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</row>
    <row r="25" spans="1:13" x14ac:dyDescent="0.25">
      <c r="A25" s="327"/>
      <c r="B25" s="327"/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</row>
    <row r="26" spans="1:13" x14ac:dyDescent="0.25">
      <c r="A26" s="327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</row>
    <row r="27" spans="1:13" x14ac:dyDescent="0.25">
      <c r="A27" s="327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</row>
    <row r="28" spans="1:13" x14ac:dyDescent="0.25">
      <c r="A28" s="327"/>
      <c r="B28" s="327"/>
      <c r="C28" s="327"/>
      <c r="D28" s="327"/>
      <c r="E28" s="327"/>
      <c r="F28" s="327"/>
      <c r="G28" s="327"/>
      <c r="H28" s="327"/>
      <c r="I28" s="327"/>
      <c r="J28" s="327"/>
      <c r="K28" s="327"/>
      <c r="L28" s="327"/>
      <c r="M28" s="327"/>
    </row>
    <row r="29" spans="1:13" x14ac:dyDescent="0.25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</row>
    <row r="30" spans="1:13" x14ac:dyDescent="0.25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</row>
    <row r="31" spans="1:13" x14ac:dyDescent="0.25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</row>
    <row r="32" spans="1:13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</row>
    <row r="33" spans="1:13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</row>
    <row r="34" spans="1:13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</row>
    <row r="35" spans="1:13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</row>
    <row r="36" spans="1:13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</row>
    <row r="37" spans="1:13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</row>
    <row r="38" spans="1:13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</row>
    <row r="39" spans="1:13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</row>
    <row r="40" spans="1:13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1:13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</row>
    <row r="42" spans="1:13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</row>
    <row r="43" spans="1:13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</row>
    <row r="44" spans="1:13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</row>
    <row r="45" spans="1:13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</row>
    <row r="46" spans="1:13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1:13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</row>
    <row r="48" spans="1:13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90" firstPageNumber="95" orientation="landscape" useFirstPageNumber="1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tabSelected="1" view="pageBreakPreview" zoomScale="70" zoomScaleNormal="100" zoomScaleSheetLayoutView="70" workbookViewId="0">
      <selection activeCell="A7" sqref="A7"/>
    </sheetView>
  </sheetViews>
  <sheetFormatPr defaultRowHeight="15" x14ac:dyDescent="0.25"/>
  <cols>
    <col min="1" max="1" width="35.28515625" customWidth="1"/>
    <col min="2" max="2" width="9.42578125" customWidth="1"/>
    <col min="3" max="3" width="8.42578125" customWidth="1"/>
    <col min="4" max="4" width="9.42578125" customWidth="1"/>
    <col min="5" max="5" width="8.85546875" customWidth="1"/>
    <col min="6" max="6" width="9.42578125" customWidth="1"/>
    <col min="7" max="7" width="8.85546875" customWidth="1"/>
    <col min="8" max="8" width="9.42578125" customWidth="1"/>
    <col min="9" max="9" width="9.140625" customWidth="1"/>
    <col min="10" max="10" width="9.42578125" customWidth="1"/>
    <col min="11" max="11" width="8.85546875" customWidth="1"/>
  </cols>
  <sheetData>
    <row r="1" spans="1:13" ht="41.25" customHeight="1" x14ac:dyDescent="0.3">
      <c r="A1" s="385" t="s">
        <v>984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46"/>
      <c r="M1" s="346"/>
    </row>
    <row r="2" spans="1:13" ht="18" x14ac:dyDescent="0.25">
      <c r="A2" s="395" t="s">
        <v>476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49"/>
      <c r="M2" s="349"/>
    </row>
    <row r="3" spans="1:13" ht="18" x14ac:dyDescent="0.25">
      <c r="A3" s="386" t="s">
        <v>1</v>
      </c>
      <c r="B3" s="386" t="s">
        <v>888</v>
      </c>
      <c r="C3" s="386"/>
      <c r="D3" s="386" t="s">
        <v>887</v>
      </c>
      <c r="E3" s="386"/>
      <c r="F3" s="386" t="s">
        <v>889</v>
      </c>
      <c r="G3" s="386"/>
      <c r="H3" s="390" t="s">
        <v>4</v>
      </c>
      <c r="I3" s="390"/>
      <c r="J3" s="390"/>
      <c r="K3" s="390"/>
      <c r="L3" s="349"/>
      <c r="M3" s="349"/>
    </row>
    <row r="4" spans="1:13" ht="18" x14ac:dyDescent="0.25">
      <c r="A4" s="386"/>
      <c r="B4" s="386"/>
      <c r="C4" s="386"/>
      <c r="D4" s="386"/>
      <c r="E4" s="386"/>
      <c r="F4" s="386" t="s">
        <v>409</v>
      </c>
      <c r="G4" s="386"/>
      <c r="H4" s="389" t="s">
        <v>247</v>
      </c>
      <c r="I4" s="389"/>
      <c r="J4" s="389" t="s">
        <v>877</v>
      </c>
      <c r="K4" s="389"/>
      <c r="L4" s="327"/>
      <c r="M4" s="327"/>
    </row>
    <row r="5" spans="1:13" ht="31.5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327"/>
      <c r="M5" s="327"/>
    </row>
    <row r="6" spans="1:13" ht="36" x14ac:dyDescent="0.25">
      <c r="A6" s="43" t="s">
        <v>477</v>
      </c>
      <c r="B6" s="148">
        <v>36812</v>
      </c>
      <c r="C6" s="22">
        <v>100</v>
      </c>
      <c r="D6" s="148">
        <v>40034</v>
      </c>
      <c r="E6" s="6">
        <v>109</v>
      </c>
      <c r="F6" s="148">
        <v>42189</v>
      </c>
      <c r="G6" s="6">
        <v>105</v>
      </c>
      <c r="H6" s="148">
        <v>47836</v>
      </c>
      <c r="I6" s="6">
        <v>113</v>
      </c>
      <c r="J6" s="148">
        <v>53043</v>
      </c>
      <c r="K6" s="6">
        <v>111</v>
      </c>
      <c r="L6" s="327"/>
      <c r="M6" s="327"/>
    </row>
    <row r="7" spans="1:13" ht="54" x14ac:dyDescent="0.25">
      <c r="A7" s="281" t="s">
        <v>478</v>
      </c>
      <c r="B7" s="148">
        <v>17217</v>
      </c>
      <c r="C7" s="22">
        <v>100</v>
      </c>
      <c r="D7" s="148">
        <v>18480</v>
      </c>
      <c r="E7" s="6">
        <v>107</v>
      </c>
      <c r="F7" s="148">
        <v>18480</v>
      </c>
      <c r="G7" s="6">
        <v>100</v>
      </c>
      <c r="H7" s="148">
        <v>21756</v>
      </c>
      <c r="I7" s="6">
        <v>118</v>
      </c>
      <c r="J7" s="148">
        <v>24355</v>
      </c>
      <c r="K7" s="6">
        <v>112</v>
      </c>
      <c r="L7" s="327"/>
      <c r="M7" s="327"/>
    </row>
    <row r="8" spans="1:13" ht="18" x14ac:dyDescent="0.25">
      <c r="A8" s="282" t="s">
        <v>479</v>
      </c>
      <c r="B8" s="148">
        <v>19594</v>
      </c>
      <c r="C8" s="6">
        <v>100</v>
      </c>
      <c r="D8" s="22">
        <v>21554</v>
      </c>
      <c r="E8" s="6">
        <v>110</v>
      </c>
      <c r="F8" s="22">
        <v>23709</v>
      </c>
      <c r="G8" s="6">
        <v>110</v>
      </c>
      <c r="H8" s="22">
        <v>26080</v>
      </c>
      <c r="I8" s="6">
        <v>110</v>
      </c>
      <c r="J8" s="22">
        <v>28688</v>
      </c>
      <c r="K8" s="6">
        <v>110</v>
      </c>
      <c r="L8" s="327"/>
      <c r="M8" s="327"/>
    </row>
    <row r="9" spans="1:13" x14ac:dyDescent="0.25">
      <c r="A9" s="327"/>
      <c r="B9" s="327"/>
      <c r="C9" s="327"/>
      <c r="D9" s="327"/>
      <c r="E9" s="327"/>
      <c r="F9" s="327"/>
      <c r="G9" s="327"/>
      <c r="H9" s="327"/>
      <c r="I9" s="327"/>
      <c r="J9" s="327"/>
      <c r="K9" s="327"/>
      <c r="L9" s="327"/>
      <c r="M9" s="327"/>
    </row>
    <row r="10" spans="1:13" x14ac:dyDescent="0.25">
      <c r="A10" s="327"/>
      <c r="B10" s="327"/>
      <c r="C10" s="327"/>
      <c r="D10" s="327"/>
      <c r="E10" s="327"/>
      <c r="F10" s="327"/>
      <c r="G10" s="327"/>
      <c r="H10" s="327"/>
      <c r="I10" s="327"/>
      <c r="J10" s="327"/>
      <c r="K10" s="327"/>
      <c r="L10" s="327"/>
      <c r="M10" s="327"/>
    </row>
    <row r="11" spans="1:13" x14ac:dyDescent="0.25">
      <c r="A11" s="327"/>
      <c r="B11" s="327"/>
      <c r="C11" s="327"/>
      <c r="D11" s="327"/>
      <c r="E11" s="327"/>
      <c r="F11" s="327"/>
      <c r="G11" s="327"/>
      <c r="H11" s="327"/>
      <c r="I11" s="327"/>
      <c r="J11" s="327"/>
      <c r="K11" s="327"/>
      <c r="L11" s="327"/>
      <c r="M11" s="327"/>
    </row>
    <row r="12" spans="1:13" x14ac:dyDescent="0.25">
      <c r="A12" s="327"/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</row>
    <row r="13" spans="1:13" x14ac:dyDescent="0.25">
      <c r="A13" s="327"/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7"/>
    </row>
    <row r="14" spans="1:13" x14ac:dyDescent="0.25">
      <c r="A14" s="327"/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7"/>
    </row>
    <row r="15" spans="1:13" x14ac:dyDescent="0.25">
      <c r="A15" s="327"/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</row>
    <row r="16" spans="1:13" x14ac:dyDescent="0.25">
      <c r="A16" s="327"/>
      <c r="B16" s="327"/>
      <c r="C16" s="327"/>
      <c r="D16" s="327"/>
      <c r="E16" s="327"/>
      <c r="F16" s="327"/>
      <c r="G16" s="327"/>
      <c r="H16" s="327"/>
      <c r="I16" s="327"/>
      <c r="J16" s="327"/>
      <c r="K16" s="327"/>
      <c r="L16" s="327"/>
      <c r="M16" s="327"/>
    </row>
    <row r="17" spans="1:13" x14ac:dyDescent="0.25">
      <c r="A17" s="327"/>
      <c r="B17" s="327"/>
      <c r="C17" s="327"/>
      <c r="D17" s="327"/>
      <c r="E17" s="327"/>
      <c r="F17" s="327"/>
      <c r="G17" s="327"/>
      <c r="H17" s="327"/>
      <c r="I17" s="327"/>
      <c r="J17" s="327"/>
      <c r="K17" s="327"/>
      <c r="L17" s="327"/>
      <c r="M17" s="327"/>
    </row>
    <row r="18" spans="1:13" x14ac:dyDescent="0.25">
      <c r="A18" s="327"/>
      <c r="B18" s="327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</row>
    <row r="19" spans="1:13" x14ac:dyDescent="0.25">
      <c r="A19" s="327"/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</row>
    <row r="20" spans="1:13" x14ac:dyDescent="0.25">
      <c r="A20" s="327"/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</row>
    <row r="21" spans="1:13" x14ac:dyDescent="0.25">
      <c r="A21" s="327"/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</row>
    <row r="22" spans="1:13" x14ac:dyDescent="0.25">
      <c r="A22" s="327"/>
      <c r="B22" s="327"/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</row>
    <row r="23" spans="1:13" x14ac:dyDescent="0.25">
      <c r="A23" s="327"/>
      <c r="B23" s="327"/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</row>
    <row r="24" spans="1:13" x14ac:dyDescent="0.25">
      <c r="A24" s="327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</row>
    <row r="25" spans="1:13" x14ac:dyDescent="0.25">
      <c r="A25" s="327"/>
      <c r="B25" s="327"/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</row>
    <row r="26" spans="1:13" x14ac:dyDescent="0.25">
      <c r="A26" s="327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</row>
    <row r="27" spans="1:13" x14ac:dyDescent="0.25">
      <c r="A27" s="327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</row>
    <row r="28" spans="1:13" x14ac:dyDescent="0.25">
      <c r="A28" s="327"/>
      <c r="B28" s="327"/>
      <c r="C28" s="327"/>
      <c r="D28" s="327"/>
      <c r="E28" s="327"/>
      <c r="F28" s="327"/>
      <c r="G28" s="327"/>
      <c r="H28" s="327"/>
      <c r="I28" s="327"/>
      <c r="J28" s="327"/>
      <c r="K28" s="327"/>
      <c r="L28" s="327"/>
      <c r="M28" s="327"/>
    </row>
    <row r="29" spans="1:13" x14ac:dyDescent="0.25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</row>
    <row r="30" spans="1:13" x14ac:dyDescent="0.25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</row>
    <row r="31" spans="1:13" x14ac:dyDescent="0.25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</row>
    <row r="32" spans="1:13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</row>
    <row r="33" spans="1:13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</row>
    <row r="34" spans="1:13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</row>
    <row r="35" spans="1:13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</row>
    <row r="36" spans="1:13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</row>
    <row r="37" spans="1:13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</row>
    <row r="38" spans="1:13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</row>
    <row r="39" spans="1:13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</row>
    <row r="40" spans="1:13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1:13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</row>
    <row r="42" spans="1:13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</row>
    <row r="43" spans="1:13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</row>
    <row r="44" spans="1:13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</row>
    <row r="45" spans="1:13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</row>
    <row r="46" spans="1:13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1:13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</row>
    <row r="48" spans="1:13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K2"/>
    <mergeCell ref="A3:A5"/>
    <mergeCell ref="B3:C4"/>
    <mergeCell ref="D3:E4"/>
    <mergeCell ref="F3:G4"/>
    <mergeCell ref="H3:K3"/>
    <mergeCell ref="H4:I4"/>
    <mergeCell ref="J4:K4"/>
  </mergeCells>
  <pageMargins left="0.43307086614173229" right="0.19685039370078741" top="0.35433070866141736" bottom="0.35433070866141736" header="0" footer="0"/>
  <pageSetup paperSize="9" scale="110" firstPageNumber="96" orientation="landscape" useFirstPageNumber="1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85" zoomScaleNormal="100" zoomScaleSheetLayoutView="85" zoomScalePageLayoutView="55" workbookViewId="0">
      <selection activeCell="F6" sqref="F6"/>
    </sheetView>
  </sheetViews>
  <sheetFormatPr defaultRowHeight="15" x14ac:dyDescent="0.25"/>
  <cols>
    <col min="1" max="1" width="33" customWidth="1"/>
    <col min="2" max="2" width="14" customWidth="1"/>
    <col min="3" max="3" width="8.5703125" customWidth="1"/>
    <col min="4" max="4" width="10" customWidth="1"/>
    <col min="5" max="5" width="8.5703125" customWidth="1"/>
    <col min="6" max="6" width="10.140625" customWidth="1"/>
    <col min="7" max="7" width="8.85546875" customWidth="1"/>
    <col min="8" max="8" width="9.85546875" customWidth="1"/>
    <col min="9" max="9" width="9.42578125" customWidth="1"/>
    <col min="10" max="10" width="10.140625" customWidth="1"/>
    <col min="11" max="11" width="9.42578125" customWidth="1"/>
  </cols>
  <sheetData>
    <row r="1" spans="1:13" ht="54.75" customHeight="1" x14ac:dyDescent="0.3">
      <c r="A1" s="396" t="s">
        <v>987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46"/>
      <c r="M1" s="346"/>
    </row>
    <row r="2" spans="1:13" ht="21" customHeight="1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49"/>
      <c r="M2" s="349"/>
    </row>
    <row r="3" spans="1:13" ht="18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49"/>
      <c r="M3" s="349"/>
    </row>
    <row r="4" spans="1:13" ht="19.5" customHeight="1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327"/>
      <c r="M4" s="327"/>
    </row>
    <row r="5" spans="1:13" ht="90" customHeight="1" x14ac:dyDescent="0.25">
      <c r="A5" s="251" t="s">
        <v>480</v>
      </c>
      <c r="B5" s="63">
        <v>861458</v>
      </c>
      <c r="C5" s="63">
        <v>100.1</v>
      </c>
      <c r="D5" s="63">
        <v>863210</v>
      </c>
      <c r="E5" s="63">
        <v>100.2</v>
      </c>
      <c r="F5" s="63">
        <v>864936</v>
      </c>
      <c r="G5" s="63">
        <v>100.2</v>
      </c>
      <c r="H5" s="63">
        <v>866353</v>
      </c>
      <c r="I5" s="63">
        <v>100.2</v>
      </c>
      <c r="J5" s="63">
        <v>867772</v>
      </c>
      <c r="K5" s="63">
        <v>100.2</v>
      </c>
      <c r="L5" s="327"/>
      <c r="M5" s="327"/>
    </row>
    <row r="6" spans="1:13" ht="18" x14ac:dyDescent="0.25">
      <c r="A6" s="58" t="s">
        <v>481</v>
      </c>
      <c r="B6" s="64">
        <v>595776</v>
      </c>
      <c r="C6" s="64">
        <v>100.1</v>
      </c>
      <c r="D6" s="64">
        <v>597579</v>
      </c>
      <c r="E6" s="64">
        <v>100.3</v>
      </c>
      <c r="F6" s="64">
        <v>598888</v>
      </c>
      <c r="G6" s="64">
        <v>100.2</v>
      </c>
      <c r="H6" s="64">
        <v>59998</v>
      </c>
      <c r="I6" s="64">
        <v>100.2</v>
      </c>
      <c r="J6" s="64">
        <v>600973</v>
      </c>
      <c r="K6" s="64">
        <v>100.2</v>
      </c>
      <c r="L6" s="327"/>
      <c r="M6" s="327"/>
    </row>
    <row r="7" spans="1:13" ht="18" x14ac:dyDescent="0.25">
      <c r="A7" s="60" t="s">
        <v>482</v>
      </c>
      <c r="B7" s="63">
        <v>398208</v>
      </c>
      <c r="C7" s="63">
        <v>101.5</v>
      </c>
      <c r="D7" s="65">
        <v>398944</v>
      </c>
      <c r="E7" s="63">
        <v>100.2</v>
      </c>
      <c r="F7" s="63">
        <v>399742</v>
      </c>
      <c r="G7" s="63">
        <v>100.2</v>
      </c>
      <c r="H7" s="63">
        <v>400395</v>
      </c>
      <c r="I7" s="63">
        <v>100.2</v>
      </c>
      <c r="J7" s="63">
        <v>401050</v>
      </c>
      <c r="K7" s="63">
        <v>100.2</v>
      </c>
      <c r="L7" s="327"/>
      <c r="M7" s="327"/>
    </row>
    <row r="8" spans="1:13" ht="21" customHeight="1" x14ac:dyDescent="0.25">
      <c r="A8" s="58" t="s">
        <v>483</v>
      </c>
      <c r="B8" s="63">
        <v>275037</v>
      </c>
      <c r="C8" s="63">
        <v>101.5</v>
      </c>
      <c r="D8" s="65">
        <v>275943</v>
      </c>
      <c r="E8" s="63">
        <v>100.3</v>
      </c>
      <c r="F8" s="63">
        <v>276554</v>
      </c>
      <c r="G8" s="63">
        <v>100.2</v>
      </c>
      <c r="H8" s="63">
        <v>277069</v>
      </c>
      <c r="I8" s="63">
        <v>100.2</v>
      </c>
      <c r="J8" s="63">
        <v>277526</v>
      </c>
      <c r="K8" s="63">
        <v>100.2</v>
      </c>
      <c r="L8" s="327"/>
      <c r="M8" s="327"/>
    </row>
    <row r="9" spans="1:13" ht="18" x14ac:dyDescent="0.25">
      <c r="A9" s="58" t="s">
        <v>484</v>
      </c>
      <c r="B9" s="63">
        <v>166326</v>
      </c>
      <c r="C9" s="63">
        <v>91.6</v>
      </c>
      <c r="D9" s="65">
        <v>186010</v>
      </c>
      <c r="E9" s="63">
        <v>111.8</v>
      </c>
      <c r="F9" s="65">
        <v>187167</v>
      </c>
      <c r="G9" s="63">
        <v>100.6</v>
      </c>
      <c r="H9" s="65">
        <v>187679</v>
      </c>
      <c r="I9" s="63">
        <v>100.3</v>
      </c>
      <c r="J9" s="65">
        <v>188055</v>
      </c>
      <c r="K9" s="63">
        <v>100.2</v>
      </c>
      <c r="L9" s="327"/>
      <c r="M9" s="327"/>
    </row>
    <row r="10" spans="1:13" ht="20.25" customHeight="1" x14ac:dyDescent="0.25">
      <c r="A10" s="58" t="s">
        <v>485</v>
      </c>
      <c r="B10" s="63">
        <v>56577</v>
      </c>
      <c r="C10" s="63">
        <v>1008</v>
      </c>
      <c r="D10" s="65">
        <v>56821</v>
      </c>
      <c r="E10" s="63">
        <v>100.4</v>
      </c>
      <c r="F10" s="63">
        <v>56959</v>
      </c>
      <c r="G10" s="63">
        <v>100.6</v>
      </c>
      <c r="H10" s="63">
        <v>57066</v>
      </c>
      <c r="I10" s="63">
        <v>100.2</v>
      </c>
      <c r="J10" s="63">
        <v>57148</v>
      </c>
      <c r="K10" s="63">
        <v>100.1</v>
      </c>
      <c r="L10" s="327"/>
      <c r="M10" s="327"/>
    </row>
    <row r="11" spans="1:13" ht="21" customHeight="1" x14ac:dyDescent="0.25">
      <c r="A11" s="58" t="s">
        <v>486</v>
      </c>
      <c r="B11" s="63">
        <v>73464</v>
      </c>
      <c r="C11" s="63">
        <v>104.9</v>
      </c>
      <c r="D11" s="65">
        <v>73744</v>
      </c>
      <c r="E11" s="63">
        <v>100.4</v>
      </c>
      <c r="F11" s="63">
        <v>73924</v>
      </c>
      <c r="G11" s="63">
        <v>100.2</v>
      </c>
      <c r="H11" s="63">
        <v>74067</v>
      </c>
      <c r="I11" s="63">
        <v>100.2</v>
      </c>
      <c r="J11" s="63">
        <v>74179</v>
      </c>
      <c r="K11" s="63">
        <v>100.2</v>
      </c>
      <c r="L11" s="327"/>
      <c r="M11" s="327"/>
    </row>
    <row r="12" spans="1:13" ht="21" customHeight="1" x14ac:dyDescent="0.25">
      <c r="A12" s="58" t="s">
        <v>487</v>
      </c>
      <c r="B12" s="63">
        <v>21941</v>
      </c>
      <c r="C12" s="63">
        <v>113.6</v>
      </c>
      <c r="D12" s="65">
        <v>21989</v>
      </c>
      <c r="E12" s="63">
        <v>100.2</v>
      </c>
      <c r="F12" s="63">
        <v>22038</v>
      </c>
      <c r="G12" s="63">
        <v>100.2</v>
      </c>
      <c r="H12" s="63">
        <v>22081</v>
      </c>
      <c r="I12" s="63">
        <v>100.2</v>
      </c>
      <c r="J12" s="63">
        <v>22118</v>
      </c>
      <c r="K12" s="63">
        <v>100.2</v>
      </c>
      <c r="L12" s="327"/>
      <c r="M12" s="327"/>
    </row>
    <row r="13" spans="1:13" ht="18" x14ac:dyDescent="0.25">
      <c r="A13" s="58" t="s">
        <v>488</v>
      </c>
      <c r="B13" s="63">
        <v>8942</v>
      </c>
      <c r="C13" s="63">
        <v>100.3</v>
      </c>
      <c r="D13" s="65">
        <v>9065</v>
      </c>
      <c r="E13" s="63">
        <v>101.4</v>
      </c>
      <c r="F13" s="63">
        <v>9121</v>
      </c>
      <c r="G13" s="63">
        <v>100.6</v>
      </c>
      <c r="H13" s="63">
        <v>9158</v>
      </c>
      <c r="I13" s="63">
        <v>100.4</v>
      </c>
      <c r="J13" s="63">
        <v>9178</v>
      </c>
      <c r="K13" s="63">
        <v>100.2</v>
      </c>
      <c r="L13" s="327"/>
      <c r="M13" s="327"/>
    </row>
    <row r="14" spans="1:13" ht="18" x14ac:dyDescent="0.25">
      <c r="A14" s="58" t="s">
        <v>489</v>
      </c>
      <c r="B14" s="63">
        <v>23801</v>
      </c>
      <c r="C14" s="63">
        <v>115.1</v>
      </c>
      <c r="D14" s="63">
        <v>23876</v>
      </c>
      <c r="E14" s="63">
        <v>100.3</v>
      </c>
      <c r="F14" s="63">
        <v>23933</v>
      </c>
      <c r="G14" s="63">
        <v>100.2</v>
      </c>
      <c r="H14" s="63">
        <v>23984</v>
      </c>
      <c r="I14" s="63">
        <v>100.2</v>
      </c>
      <c r="J14" s="63">
        <v>24031</v>
      </c>
      <c r="K14" s="63">
        <v>100.2</v>
      </c>
      <c r="L14" s="327"/>
      <c r="M14" s="327"/>
    </row>
    <row r="15" spans="1:13" ht="33.75" customHeight="1" x14ac:dyDescent="0.25">
      <c r="A15" s="58" t="s">
        <v>490</v>
      </c>
      <c r="B15" s="63">
        <v>119720</v>
      </c>
      <c r="C15" s="63">
        <v>102.7</v>
      </c>
      <c r="D15" s="63">
        <v>121570</v>
      </c>
      <c r="E15" s="63">
        <v>101.5</v>
      </c>
      <c r="F15" s="63">
        <v>122774</v>
      </c>
      <c r="G15" s="63">
        <v>101</v>
      </c>
      <c r="H15" s="63">
        <v>123746</v>
      </c>
      <c r="I15" s="63">
        <v>100.8</v>
      </c>
      <c r="J15" s="63">
        <v>124218</v>
      </c>
      <c r="K15" s="63">
        <v>100.4</v>
      </c>
      <c r="L15" s="327"/>
      <c r="M15" s="327"/>
    </row>
    <row r="16" spans="1:13" ht="38.25" customHeight="1" x14ac:dyDescent="0.25">
      <c r="A16" s="58" t="s">
        <v>491</v>
      </c>
      <c r="B16" s="63">
        <v>46711</v>
      </c>
      <c r="C16" s="63">
        <v>101</v>
      </c>
      <c r="D16" s="63">
        <v>47184</v>
      </c>
      <c r="E16" s="63">
        <v>101</v>
      </c>
      <c r="F16" s="63">
        <v>47366</v>
      </c>
      <c r="G16" s="63">
        <v>100.4</v>
      </c>
      <c r="H16" s="63">
        <v>47479</v>
      </c>
      <c r="I16" s="63">
        <v>100.2</v>
      </c>
      <c r="J16" s="63">
        <v>47549</v>
      </c>
      <c r="K16" s="63">
        <v>100.1</v>
      </c>
      <c r="L16" s="327"/>
      <c r="M16" s="327"/>
    </row>
    <row r="17" spans="1:13" ht="21" customHeight="1" x14ac:dyDescent="0.25">
      <c r="A17" s="58" t="s">
        <v>492</v>
      </c>
      <c r="B17" s="63">
        <v>63811</v>
      </c>
      <c r="C17" s="63">
        <v>103.3</v>
      </c>
      <c r="D17" s="63">
        <v>64102</v>
      </c>
      <c r="E17" s="63">
        <v>100.5</v>
      </c>
      <c r="F17" s="63">
        <v>64285</v>
      </c>
      <c r="G17" s="63">
        <v>100.3</v>
      </c>
      <c r="H17" s="63">
        <v>64404</v>
      </c>
      <c r="I17" s="63">
        <v>100.2</v>
      </c>
      <c r="J17" s="63">
        <v>64468</v>
      </c>
      <c r="K17" s="63">
        <v>100.1</v>
      </c>
      <c r="L17" s="327"/>
      <c r="M17" s="327"/>
    </row>
    <row r="18" spans="1:13" ht="27.75" customHeight="1" x14ac:dyDescent="0.25">
      <c r="A18" s="58" t="s">
        <v>493</v>
      </c>
      <c r="B18" s="63">
        <v>35783</v>
      </c>
      <c r="C18" s="63">
        <v>100.6</v>
      </c>
      <c r="D18" s="63">
        <v>36018</v>
      </c>
      <c r="E18" s="63">
        <v>100.7</v>
      </c>
      <c r="F18" s="63">
        <v>36190</v>
      </c>
      <c r="G18" s="63">
        <v>100.5</v>
      </c>
      <c r="H18" s="63">
        <v>363212</v>
      </c>
      <c r="I18" s="63">
        <v>100.4</v>
      </c>
      <c r="J18" s="63">
        <v>36407</v>
      </c>
      <c r="K18" s="63">
        <v>100.2</v>
      </c>
      <c r="L18" s="327"/>
      <c r="M18" s="327"/>
    </row>
    <row r="19" spans="1:13" ht="24" customHeight="1" x14ac:dyDescent="0.25">
      <c r="A19" s="391" t="s">
        <v>494</v>
      </c>
      <c r="B19" s="391"/>
      <c r="C19" s="391"/>
      <c r="D19" s="391"/>
      <c r="E19" s="391"/>
      <c r="F19" s="391"/>
      <c r="G19" s="391"/>
      <c r="H19" s="391"/>
      <c r="I19" s="391"/>
      <c r="J19" s="391"/>
      <c r="K19" s="391"/>
      <c r="L19" s="327"/>
      <c r="M19" s="327"/>
    </row>
    <row r="20" spans="1:13" ht="18" x14ac:dyDescent="0.25">
      <c r="A20" s="58" t="s">
        <v>482</v>
      </c>
      <c r="B20" s="64">
        <v>31</v>
      </c>
      <c r="C20" s="64">
        <v>94.8</v>
      </c>
      <c r="D20" s="64">
        <v>31.1</v>
      </c>
      <c r="E20" s="64">
        <v>100.3</v>
      </c>
      <c r="F20" s="64">
        <v>31.4</v>
      </c>
      <c r="G20" s="64">
        <v>101</v>
      </c>
      <c r="H20" s="64">
        <v>31.9</v>
      </c>
      <c r="I20" s="64">
        <v>101.7</v>
      </c>
      <c r="J20" s="64">
        <v>32.5</v>
      </c>
      <c r="K20" s="64">
        <v>101.8</v>
      </c>
      <c r="L20" s="327"/>
      <c r="M20" s="327"/>
    </row>
    <row r="21" spans="1:13" ht="18" x14ac:dyDescent="0.25">
      <c r="A21" s="58" t="s">
        <v>483</v>
      </c>
      <c r="B21" s="64">
        <v>31.3</v>
      </c>
      <c r="C21" s="64">
        <v>90.7</v>
      </c>
      <c r="D21" s="64">
        <v>31.6</v>
      </c>
      <c r="E21" s="64">
        <v>100.9</v>
      </c>
      <c r="F21" s="64">
        <v>31.9</v>
      </c>
      <c r="G21" s="64">
        <v>100.9</v>
      </c>
      <c r="H21" s="64">
        <v>32.4</v>
      </c>
      <c r="I21" s="64">
        <v>101.7</v>
      </c>
      <c r="J21" s="64">
        <v>33.1</v>
      </c>
      <c r="K21" s="64">
        <v>102</v>
      </c>
      <c r="L21" s="327"/>
      <c r="M21" s="327"/>
    </row>
    <row r="22" spans="1:13" ht="18" x14ac:dyDescent="0.25">
      <c r="A22" s="58" t="s">
        <v>484</v>
      </c>
      <c r="B22" s="64">
        <v>21.4</v>
      </c>
      <c r="C22" s="64">
        <v>94.2</v>
      </c>
      <c r="D22" s="64">
        <v>21.5</v>
      </c>
      <c r="E22" s="64">
        <v>100.5</v>
      </c>
      <c r="F22" s="64">
        <v>21.6</v>
      </c>
      <c r="G22" s="64">
        <v>100.5</v>
      </c>
      <c r="H22" s="64">
        <v>21.8</v>
      </c>
      <c r="I22" s="64">
        <v>100.9</v>
      </c>
      <c r="J22" s="64">
        <v>22</v>
      </c>
      <c r="K22" s="64">
        <v>101.1</v>
      </c>
      <c r="L22" s="327"/>
      <c r="M22" s="327"/>
    </row>
    <row r="23" spans="1:13" ht="18" x14ac:dyDescent="0.25">
      <c r="A23" s="58" t="s">
        <v>485</v>
      </c>
      <c r="B23" s="64">
        <v>198.3</v>
      </c>
      <c r="C23" s="64">
        <v>103.8</v>
      </c>
      <c r="D23" s="64">
        <v>200.3</v>
      </c>
      <c r="E23" s="64">
        <v>101</v>
      </c>
      <c r="F23" s="64">
        <v>203.3</v>
      </c>
      <c r="G23" s="64">
        <v>101.5</v>
      </c>
      <c r="H23" s="64">
        <v>204.9</v>
      </c>
      <c r="I23" s="64">
        <v>100.8</v>
      </c>
      <c r="J23" s="64">
        <v>206.6</v>
      </c>
      <c r="K23" s="64">
        <v>100.8</v>
      </c>
      <c r="L23" s="327"/>
      <c r="M23" s="327"/>
    </row>
    <row r="24" spans="1:13" ht="18" x14ac:dyDescent="0.25">
      <c r="A24" s="58" t="s">
        <v>486</v>
      </c>
      <c r="B24" s="64">
        <v>309.3</v>
      </c>
      <c r="C24" s="64">
        <v>108.3</v>
      </c>
      <c r="D24" s="64">
        <v>310.8</v>
      </c>
      <c r="E24" s="64">
        <v>100.3</v>
      </c>
      <c r="F24" s="64">
        <v>320.2</v>
      </c>
      <c r="G24" s="64">
        <v>103</v>
      </c>
      <c r="H24" s="64">
        <v>331.4</v>
      </c>
      <c r="I24" s="64">
        <v>103.5</v>
      </c>
      <c r="J24" s="64">
        <v>344.9</v>
      </c>
      <c r="K24" s="64">
        <v>104.1</v>
      </c>
      <c r="L24" s="327"/>
      <c r="M24" s="327"/>
    </row>
    <row r="25" spans="1:13" ht="18" x14ac:dyDescent="0.25">
      <c r="A25" s="58" t="s">
        <v>487</v>
      </c>
      <c r="B25" s="64">
        <v>355.9</v>
      </c>
      <c r="C25" s="64">
        <v>102.3</v>
      </c>
      <c r="D25" s="64">
        <v>362.3</v>
      </c>
      <c r="E25" s="64">
        <v>101.8</v>
      </c>
      <c r="F25" s="64">
        <v>376.8</v>
      </c>
      <c r="G25" s="64">
        <v>104</v>
      </c>
      <c r="H25" s="64">
        <v>395.6</v>
      </c>
      <c r="I25" s="64">
        <v>105</v>
      </c>
      <c r="J25" s="64">
        <v>403.6</v>
      </c>
      <c r="K25" s="64">
        <v>102</v>
      </c>
      <c r="L25" s="327"/>
      <c r="M25" s="327"/>
    </row>
    <row r="26" spans="1:13" ht="18" x14ac:dyDescent="0.25">
      <c r="A26" s="58" t="s">
        <v>488</v>
      </c>
      <c r="B26" s="64">
        <v>286.60000000000002</v>
      </c>
      <c r="C26" s="64">
        <v>104.2</v>
      </c>
      <c r="D26" s="64">
        <v>288.3</v>
      </c>
      <c r="E26" s="64">
        <v>100.6</v>
      </c>
      <c r="F26" s="64">
        <v>298.39999999999998</v>
      </c>
      <c r="G26" s="64">
        <v>103.5</v>
      </c>
      <c r="H26" s="64">
        <v>313.3</v>
      </c>
      <c r="I26" s="64">
        <v>105</v>
      </c>
      <c r="J26" s="64">
        <v>325.60000000000002</v>
      </c>
      <c r="K26" s="64">
        <v>103.9</v>
      </c>
      <c r="L26" s="327"/>
      <c r="M26" s="327"/>
    </row>
    <row r="27" spans="1:13" ht="18" x14ac:dyDescent="0.25">
      <c r="A27" s="58" t="s">
        <v>187</v>
      </c>
      <c r="B27" s="64">
        <v>332.5</v>
      </c>
      <c r="C27" s="64">
        <v>106.4</v>
      </c>
      <c r="D27" s="64">
        <v>338.5</v>
      </c>
      <c r="E27" s="64">
        <v>101.8</v>
      </c>
      <c r="F27" s="64">
        <v>346.9</v>
      </c>
      <c r="G27" s="64">
        <v>102.5</v>
      </c>
      <c r="H27" s="64">
        <v>355.6</v>
      </c>
      <c r="I27" s="64">
        <v>102.5</v>
      </c>
      <c r="J27" s="64">
        <v>364.5</v>
      </c>
      <c r="K27" s="64">
        <v>102.5</v>
      </c>
      <c r="L27" s="327"/>
      <c r="M27" s="327"/>
    </row>
    <row r="28" spans="1:13" ht="18" x14ac:dyDescent="0.25">
      <c r="A28" s="58" t="s">
        <v>183</v>
      </c>
      <c r="B28" s="64">
        <v>55.5</v>
      </c>
      <c r="C28" s="64">
        <v>126.4</v>
      </c>
      <c r="D28" s="64">
        <v>56.1</v>
      </c>
      <c r="E28" s="64">
        <v>101</v>
      </c>
      <c r="F28" s="64">
        <v>56.9</v>
      </c>
      <c r="G28" s="64">
        <v>101.5</v>
      </c>
      <c r="H28" s="64">
        <v>57.7</v>
      </c>
      <c r="I28" s="64">
        <v>101.5</v>
      </c>
      <c r="J28" s="64">
        <v>58.6</v>
      </c>
      <c r="K28" s="64">
        <v>101.5</v>
      </c>
      <c r="L28" s="327"/>
      <c r="M28" s="327"/>
    </row>
    <row r="29" spans="1:13" ht="18" x14ac:dyDescent="0.25">
      <c r="A29" s="58" t="s">
        <v>491</v>
      </c>
      <c r="B29" s="64">
        <v>58</v>
      </c>
      <c r="C29" s="64">
        <v>108.6</v>
      </c>
      <c r="D29" s="64">
        <v>58.5</v>
      </c>
      <c r="E29" s="64">
        <v>100.9</v>
      </c>
      <c r="F29" s="64">
        <v>58.8</v>
      </c>
      <c r="G29" s="64">
        <v>100.5</v>
      </c>
      <c r="H29" s="64">
        <v>59.7</v>
      </c>
      <c r="I29" s="64">
        <v>101.5</v>
      </c>
      <c r="J29" s="64">
        <v>60.6</v>
      </c>
      <c r="K29" s="64">
        <v>101.5</v>
      </c>
      <c r="L29" s="327"/>
      <c r="M29" s="327"/>
    </row>
    <row r="30" spans="1:13" ht="18" x14ac:dyDescent="0.25">
      <c r="A30" s="58" t="s">
        <v>492</v>
      </c>
      <c r="B30" s="64">
        <v>54.9</v>
      </c>
      <c r="C30" s="64">
        <v>156.4</v>
      </c>
      <c r="D30" s="64">
        <v>57.4</v>
      </c>
      <c r="E30" s="64">
        <v>104.6</v>
      </c>
      <c r="F30" s="64">
        <v>58.3</v>
      </c>
      <c r="G30" s="64">
        <v>101.5</v>
      </c>
      <c r="H30" s="64">
        <v>59.2</v>
      </c>
      <c r="I30" s="64">
        <v>101.5</v>
      </c>
      <c r="J30" s="64">
        <v>59.9</v>
      </c>
      <c r="K30" s="64">
        <v>101.3</v>
      </c>
      <c r="L30" s="327"/>
      <c r="M30" s="327"/>
    </row>
    <row r="31" spans="1:13" ht="18" x14ac:dyDescent="0.25">
      <c r="A31" s="58" t="s">
        <v>495</v>
      </c>
      <c r="B31" s="64">
        <v>53.2</v>
      </c>
      <c r="C31" s="64">
        <v>62.8</v>
      </c>
      <c r="D31" s="64">
        <v>54.1</v>
      </c>
      <c r="E31" s="64">
        <v>101.6</v>
      </c>
      <c r="F31" s="64">
        <v>54.6</v>
      </c>
      <c r="G31" s="64">
        <v>101</v>
      </c>
      <c r="H31" s="64">
        <v>55.3</v>
      </c>
      <c r="I31" s="64">
        <v>101.3</v>
      </c>
      <c r="J31" s="64">
        <v>55.7</v>
      </c>
      <c r="K31" s="64">
        <v>100.8</v>
      </c>
      <c r="L31" s="327"/>
      <c r="M31" s="327"/>
    </row>
    <row r="32" spans="1:13" ht="28.5" customHeight="1" x14ac:dyDescent="0.25">
      <c r="A32" s="391" t="s">
        <v>496</v>
      </c>
      <c r="B32" s="391"/>
      <c r="C32" s="391"/>
      <c r="D32" s="391"/>
      <c r="E32" s="391"/>
      <c r="F32" s="391"/>
      <c r="G32" s="391"/>
      <c r="H32" s="391"/>
      <c r="I32" s="391"/>
      <c r="J32" s="391"/>
      <c r="K32" s="391"/>
      <c r="L32" s="152"/>
      <c r="M32" s="152"/>
    </row>
    <row r="33" spans="1:13" ht="23.25" customHeight="1" x14ac:dyDescent="0.25">
      <c r="A33" s="58" t="s">
        <v>482</v>
      </c>
      <c r="B33" s="66">
        <v>1754886</v>
      </c>
      <c r="C33" s="64">
        <v>99.9</v>
      </c>
      <c r="D33" s="66">
        <v>1789973</v>
      </c>
      <c r="E33" s="67">
        <v>102</v>
      </c>
      <c r="F33" s="66">
        <v>1816979</v>
      </c>
      <c r="G33" s="64">
        <v>101.5</v>
      </c>
      <c r="H33" s="66">
        <v>1844145</v>
      </c>
      <c r="I33" s="64">
        <v>101.5</v>
      </c>
      <c r="J33" s="66">
        <v>1871910</v>
      </c>
      <c r="K33" s="66">
        <v>101.5</v>
      </c>
      <c r="L33" s="152"/>
      <c r="M33" s="152"/>
    </row>
    <row r="34" spans="1:13" ht="21" customHeight="1" x14ac:dyDescent="0.25">
      <c r="A34" s="58" t="s">
        <v>497</v>
      </c>
      <c r="B34" s="66">
        <v>860815</v>
      </c>
      <c r="C34" s="64">
        <v>92.1</v>
      </c>
      <c r="D34" s="67">
        <v>916768</v>
      </c>
      <c r="E34" s="67">
        <v>106.5</v>
      </c>
      <c r="F34" s="67">
        <v>956189</v>
      </c>
      <c r="G34" s="64">
        <v>104.3</v>
      </c>
      <c r="H34" s="67">
        <v>980093</v>
      </c>
      <c r="I34" s="64">
        <v>102.5</v>
      </c>
      <c r="J34" s="67">
        <v>1032038</v>
      </c>
      <c r="K34" s="64">
        <v>105.3</v>
      </c>
      <c r="L34" s="152"/>
      <c r="M34" s="152"/>
    </row>
    <row r="35" spans="1:13" ht="19.5" customHeight="1" x14ac:dyDescent="0.25">
      <c r="A35" s="58" t="s">
        <v>175</v>
      </c>
      <c r="B35" s="66">
        <v>349130</v>
      </c>
      <c r="C35" s="64">
        <v>85.1</v>
      </c>
      <c r="D35" s="67">
        <v>361965</v>
      </c>
      <c r="E35" s="64">
        <v>103.7</v>
      </c>
      <c r="F35" s="67">
        <v>390574</v>
      </c>
      <c r="G35" s="64">
        <v>107.9</v>
      </c>
      <c r="H35" s="67">
        <v>402384</v>
      </c>
      <c r="I35" s="64">
        <v>103.1</v>
      </c>
      <c r="J35" s="67">
        <v>412110</v>
      </c>
      <c r="K35" s="64">
        <v>102.4</v>
      </c>
      <c r="L35" s="152"/>
      <c r="M35" s="152"/>
    </row>
    <row r="36" spans="1:13" ht="20.25" customHeight="1" x14ac:dyDescent="0.25">
      <c r="A36" s="58" t="s">
        <v>177</v>
      </c>
      <c r="B36" s="66">
        <v>1144882</v>
      </c>
      <c r="C36" s="64">
        <v>104.6</v>
      </c>
      <c r="D36" s="67">
        <v>1163208</v>
      </c>
      <c r="E36" s="64">
        <v>101.6</v>
      </c>
      <c r="F36" s="67">
        <v>1177340</v>
      </c>
      <c r="G36" s="64">
        <v>101.2</v>
      </c>
      <c r="H36" s="67">
        <v>1184614</v>
      </c>
      <c r="I36" s="64">
        <v>100.6</v>
      </c>
      <c r="J36" s="67">
        <v>1203075</v>
      </c>
      <c r="K36" s="64">
        <v>101.6</v>
      </c>
      <c r="L36" s="152"/>
      <c r="M36" s="152"/>
    </row>
    <row r="37" spans="1:13" ht="18.75" customHeight="1" x14ac:dyDescent="0.25">
      <c r="A37" s="58" t="s">
        <v>498</v>
      </c>
      <c r="B37" s="66">
        <v>3026223</v>
      </c>
      <c r="C37" s="64">
        <v>111.5</v>
      </c>
      <c r="D37" s="67">
        <v>3289259</v>
      </c>
      <c r="E37" s="64">
        <v>108.7</v>
      </c>
      <c r="F37" s="67">
        <v>3459035</v>
      </c>
      <c r="G37" s="64">
        <v>105.2</v>
      </c>
      <c r="H37" s="67">
        <v>3614989</v>
      </c>
      <c r="I37" s="64">
        <v>104.5</v>
      </c>
      <c r="J37" s="67">
        <v>3859446</v>
      </c>
      <c r="K37" s="66">
        <v>106.8</v>
      </c>
      <c r="L37" s="152"/>
      <c r="M37" s="152"/>
    </row>
    <row r="38" spans="1:13" ht="19.5" customHeight="1" x14ac:dyDescent="0.25">
      <c r="A38" s="58" t="s">
        <v>487</v>
      </c>
      <c r="B38" s="66">
        <v>779802</v>
      </c>
      <c r="C38" s="64">
        <v>116</v>
      </c>
      <c r="D38" s="67">
        <v>867184</v>
      </c>
      <c r="E38" s="64">
        <v>111.2</v>
      </c>
      <c r="F38" s="67">
        <v>876331</v>
      </c>
      <c r="G38" s="64">
        <v>101.1</v>
      </c>
      <c r="H38" s="67">
        <v>920147</v>
      </c>
      <c r="I38" s="64">
        <v>105</v>
      </c>
      <c r="J38" s="67">
        <v>980381</v>
      </c>
      <c r="K38" s="64">
        <v>106.5</v>
      </c>
      <c r="L38" s="152"/>
      <c r="M38" s="152"/>
    </row>
    <row r="39" spans="1:13" ht="18" x14ac:dyDescent="0.25">
      <c r="A39" s="58" t="s">
        <v>488</v>
      </c>
      <c r="B39" s="66">
        <v>542076</v>
      </c>
      <c r="C39" s="66">
        <v>108.6</v>
      </c>
      <c r="D39" s="66">
        <v>564495</v>
      </c>
      <c r="E39" s="66">
        <v>104.1</v>
      </c>
      <c r="F39" s="66">
        <v>583426.69999999995</v>
      </c>
      <c r="G39" s="66">
        <v>103.4</v>
      </c>
      <c r="H39" s="66">
        <v>595550.69999999995</v>
      </c>
      <c r="I39" s="66">
        <v>102.1</v>
      </c>
      <c r="J39" s="66">
        <v>604050.69999999995</v>
      </c>
      <c r="K39" s="66">
        <v>101.4</v>
      </c>
      <c r="L39" s="152"/>
      <c r="M39" s="152"/>
    </row>
    <row r="40" spans="1:13" ht="20.25" customHeight="1" x14ac:dyDescent="0.25">
      <c r="A40" s="58" t="s">
        <v>499</v>
      </c>
      <c r="B40" s="66">
        <v>1009915</v>
      </c>
      <c r="C40" s="66">
        <v>119.9</v>
      </c>
      <c r="D40" s="66">
        <v>1067001</v>
      </c>
      <c r="E40" s="64">
        <v>105.7</v>
      </c>
      <c r="F40" s="66">
        <v>1136323</v>
      </c>
      <c r="G40" s="64">
        <v>106.5</v>
      </c>
      <c r="H40" s="66">
        <v>1194460</v>
      </c>
      <c r="I40" s="66">
        <v>105.1</v>
      </c>
      <c r="J40" s="66">
        <v>131700</v>
      </c>
      <c r="K40" s="66">
        <v>110.3</v>
      </c>
      <c r="L40" s="152"/>
      <c r="M40" s="152"/>
    </row>
    <row r="41" spans="1:13" ht="18" x14ac:dyDescent="0.25">
      <c r="A41" s="58" t="s">
        <v>183</v>
      </c>
      <c r="B41" s="66">
        <v>664343</v>
      </c>
      <c r="C41" s="66">
        <v>129.69999999999999</v>
      </c>
      <c r="D41" s="66">
        <v>670378</v>
      </c>
      <c r="E41" s="64">
        <v>100.9</v>
      </c>
      <c r="F41" s="66">
        <v>702254</v>
      </c>
      <c r="G41" s="67">
        <v>104.8</v>
      </c>
      <c r="H41" s="67">
        <v>726102</v>
      </c>
      <c r="I41" s="64">
        <v>103.4</v>
      </c>
      <c r="J41" s="66">
        <v>757151</v>
      </c>
      <c r="K41" s="64">
        <v>104.3</v>
      </c>
      <c r="L41" s="152"/>
      <c r="M41" s="152"/>
    </row>
    <row r="42" spans="1:13" ht="18" x14ac:dyDescent="0.25">
      <c r="A42" s="58"/>
      <c r="B42" s="66">
        <v>270867</v>
      </c>
      <c r="C42" s="66">
        <v>109.8</v>
      </c>
      <c r="D42" s="66">
        <v>276113</v>
      </c>
      <c r="E42" s="64">
        <v>101.9</v>
      </c>
      <c r="F42" s="66">
        <v>280904</v>
      </c>
      <c r="G42" s="64">
        <v>101.7</v>
      </c>
      <c r="H42" s="67">
        <v>284635</v>
      </c>
      <c r="I42" s="64">
        <v>101.3</v>
      </c>
      <c r="J42" s="66">
        <v>287115.7</v>
      </c>
      <c r="K42" s="64">
        <v>100.9</v>
      </c>
      <c r="L42" s="152"/>
      <c r="M42" s="152"/>
    </row>
    <row r="43" spans="1:13" ht="18" x14ac:dyDescent="0.25">
      <c r="A43" s="58" t="s">
        <v>492</v>
      </c>
      <c r="B43" s="66">
        <v>350308</v>
      </c>
      <c r="C43" s="66">
        <v>161.5</v>
      </c>
      <c r="D43" s="66">
        <v>357556</v>
      </c>
      <c r="E43" s="64">
        <v>102.1</v>
      </c>
      <c r="F43" s="66">
        <v>364975.9</v>
      </c>
      <c r="G43" s="64">
        <v>102.1</v>
      </c>
      <c r="H43" s="67">
        <v>372442</v>
      </c>
      <c r="I43" s="64">
        <v>102</v>
      </c>
      <c r="J43" s="66">
        <v>378725.4</v>
      </c>
      <c r="K43" s="64">
        <v>101.7</v>
      </c>
      <c r="L43" s="152"/>
      <c r="M43" s="152"/>
    </row>
    <row r="44" spans="1:13" ht="18" x14ac:dyDescent="0.25">
      <c r="A44" s="148" t="s">
        <v>185</v>
      </c>
      <c r="B44" s="66">
        <v>190376</v>
      </c>
      <c r="C44" s="66">
        <v>63.2</v>
      </c>
      <c r="D44" s="66">
        <v>197253</v>
      </c>
      <c r="E44" s="64">
        <v>103.6</v>
      </c>
      <c r="F44" s="66">
        <v>207268</v>
      </c>
      <c r="G44" s="64">
        <v>105.13</v>
      </c>
      <c r="H44" s="67">
        <v>221755</v>
      </c>
      <c r="I44" s="64">
        <v>107</v>
      </c>
      <c r="J44" s="67">
        <v>233569</v>
      </c>
      <c r="K44" s="64">
        <v>105.3</v>
      </c>
      <c r="L44" s="152"/>
      <c r="M44" s="152"/>
    </row>
    <row r="45" spans="1:13" ht="24" customHeight="1" x14ac:dyDescent="0.25">
      <c r="A45" s="391" t="s">
        <v>500</v>
      </c>
      <c r="B45" s="391"/>
      <c r="C45" s="391"/>
      <c r="D45" s="391"/>
      <c r="E45" s="391"/>
      <c r="F45" s="391"/>
      <c r="G45" s="391"/>
      <c r="H45" s="391"/>
      <c r="I45" s="391"/>
      <c r="J45" s="391"/>
      <c r="K45" s="391"/>
      <c r="L45" s="152"/>
      <c r="M45" s="152"/>
    </row>
    <row r="46" spans="1:13" ht="18" x14ac:dyDescent="0.25">
      <c r="A46" s="58" t="s">
        <v>501</v>
      </c>
      <c r="B46" s="68">
        <v>2685966</v>
      </c>
      <c r="C46" s="69">
        <v>105.1</v>
      </c>
      <c r="D46" s="67">
        <v>2803378</v>
      </c>
      <c r="E46" s="64">
        <v>104.4</v>
      </c>
      <c r="F46" s="67">
        <v>2917829</v>
      </c>
      <c r="G46" s="64">
        <v>104.1</v>
      </c>
      <c r="H46" s="67">
        <v>3031200</v>
      </c>
      <c r="I46" s="64">
        <v>103.9</v>
      </c>
      <c r="J46" s="67">
        <v>3134115</v>
      </c>
      <c r="K46" s="64">
        <v>103.4</v>
      </c>
      <c r="L46" s="152"/>
      <c r="M46" s="152"/>
    </row>
    <row r="47" spans="1:13" ht="18" x14ac:dyDescent="0.25">
      <c r="A47" s="58" t="s">
        <v>502</v>
      </c>
      <c r="B47" s="68">
        <v>1409404</v>
      </c>
      <c r="C47" s="69">
        <v>106.3</v>
      </c>
      <c r="D47" s="67">
        <v>1485399</v>
      </c>
      <c r="E47" s="64">
        <v>105.4</v>
      </c>
      <c r="F47" s="67">
        <v>1551133</v>
      </c>
      <c r="G47" s="64">
        <v>104.4</v>
      </c>
      <c r="H47" s="67">
        <v>1613773</v>
      </c>
      <c r="I47" s="64">
        <v>104</v>
      </c>
      <c r="J47" s="67">
        <v>1670760</v>
      </c>
      <c r="K47" s="64">
        <v>103.5</v>
      </c>
      <c r="L47" s="152"/>
      <c r="M47" s="152"/>
    </row>
    <row r="48" spans="1:13" ht="21" customHeight="1" x14ac:dyDescent="0.25">
      <c r="A48" s="58" t="s">
        <v>503</v>
      </c>
      <c r="B48" s="68">
        <v>6786024</v>
      </c>
      <c r="C48" s="69">
        <v>105.4</v>
      </c>
      <c r="D48" s="67">
        <v>7297371</v>
      </c>
      <c r="E48" s="64">
        <v>107.5</v>
      </c>
      <c r="F48" s="67">
        <v>7851455</v>
      </c>
      <c r="G48" s="64">
        <v>107.6</v>
      </c>
      <c r="H48" s="67">
        <v>8441839</v>
      </c>
      <c r="I48" s="64">
        <v>107.5</v>
      </c>
      <c r="J48" s="67">
        <v>8927042</v>
      </c>
      <c r="K48" s="64">
        <v>105.7</v>
      </c>
      <c r="L48" s="152"/>
      <c r="M48" s="152"/>
    </row>
    <row r="49" spans="1:13" ht="24.75" customHeight="1" x14ac:dyDescent="0.25">
      <c r="A49" s="58" t="s">
        <v>504</v>
      </c>
      <c r="B49" s="68">
        <v>10646889</v>
      </c>
      <c r="C49" s="69">
        <v>94.3</v>
      </c>
      <c r="D49" s="67">
        <v>10924800</v>
      </c>
      <c r="E49" s="64">
        <v>102.6</v>
      </c>
      <c r="F49" s="67">
        <v>11209162</v>
      </c>
      <c r="G49" s="64">
        <v>102.6</v>
      </c>
      <c r="H49" s="67">
        <v>11494288</v>
      </c>
      <c r="I49" s="64">
        <v>102.5</v>
      </c>
      <c r="J49" s="67">
        <v>11757843</v>
      </c>
      <c r="K49" s="64">
        <v>102.3</v>
      </c>
      <c r="L49" s="152"/>
      <c r="M49" s="152"/>
    </row>
    <row r="50" spans="1:13" ht="18" x14ac:dyDescent="0.25">
      <c r="A50" s="58" t="s">
        <v>505</v>
      </c>
      <c r="B50" s="68">
        <v>88598</v>
      </c>
      <c r="C50" s="69">
        <v>102.1</v>
      </c>
      <c r="D50" s="67">
        <v>91432</v>
      </c>
      <c r="E50" s="64">
        <v>103.2</v>
      </c>
      <c r="F50" s="67">
        <v>94125</v>
      </c>
      <c r="G50" s="64">
        <v>102.9</v>
      </c>
      <c r="H50" s="67">
        <v>96506</v>
      </c>
      <c r="I50" s="64">
        <v>102.5</v>
      </c>
      <c r="J50" s="67">
        <v>98551</v>
      </c>
      <c r="K50" s="64">
        <v>102.1</v>
      </c>
      <c r="L50" s="152"/>
      <c r="M50" s="152"/>
    </row>
    <row r="51" spans="1:13" ht="20.25" customHeight="1" x14ac:dyDescent="0.25">
      <c r="A51" s="391" t="s">
        <v>506</v>
      </c>
      <c r="B51" s="391"/>
      <c r="C51" s="391"/>
      <c r="D51" s="391"/>
      <c r="E51" s="391"/>
      <c r="F51" s="391"/>
      <c r="G51" s="391"/>
      <c r="H51" s="391"/>
      <c r="I51" s="391"/>
      <c r="J51" s="391"/>
      <c r="K51" s="391"/>
      <c r="L51" s="152"/>
      <c r="M51" s="152"/>
    </row>
    <row r="52" spans="1:13" ht="36" x14ac:dyDescent="0.25">
      <c r="A52" s="302" t="s">
        <v>507</v>
      </c>
      <c r="B52" s="63">
        <v>398028</v>
      </c>
      <c r="C52" s="63">
        <v>114</v>
      </c>
      <c r="D52" s="63">
        <v>429933</v>
      </c>
      <c r="E52" s="63">
        <v>108</v>
      </c>
      <c r="F52" s="63">
        <v>461889</v>
      </c>
      <c r="G52" s="63">
        <v>107.4</v>
      </c>
      <c r="H52" s="63">
        <v>484770</v>
      </c>
      <c r="I52" s="63">
        <v>105</v>
      </c>
      <c r="J52" s="63">
        <v>509899</v>
      </c>
      <c r="K52" s="63">
        <v>105.2</v>
      </c>
      <c r="L52" s="152"/>
      <c r="M52" s="152"/>
    </row>
    <row r="53" spans="1:13" ht="36" x14ac:dyDescent="0.25">
      <c r="A53" s="58" t="s">
        <v>508</v>
      </c>
      <c r="B53" s="63">
        <v>55343</v>
      </c>
      <c r="C53" s="63">
        <v>113.8</v>
      </c>
      <c r="D53" s="63">
        <v>62759</v>
      </c>
      <c r="E53" s="63">
        <v>113.4</v>
      </c>
      <c r="F53" s="63">
        <v>68470</v>
      </c>
      <c r="G53" s="63">
        <v>109.1</v>
      </c>
      <c r="H53" s="63">
        <v>74975</v>
      </c>
      <c r="I53" s="63">
        <v>109.5</v>
      </c>
      <c r="J53" s="63">
        <v>52997</v>
      </c>
      <c r="K53" s="63">
        <v>110.7</v>
      </c>
      <c r="L53" s="152"/>
      <c r="M53" s="152"/>
    </row>
    <row r="54" spans="1:13" ht="18" x14ac:dyDescent="0.25">
      <c r="A54" s="58" t="s">
        <v>195</v>
      </c>
      <c r="B54" s="63">
        <v>1118536</v>
      </c>
      <c r="C54" s="63">
        <v>105.1</v>
      </c>
      <c r="D54" s="70">
        <v>1148075</v>
      </c>
      <c r="E54" s="63">
        <v>102.6</v>
      </c>
      <c r="F54" s="70">
        <v>1175342</v>
      </c>
      <c r="G54" s="63">
        <v>102.4</v>
      </c>
      <c r="H54" s="70">
        <v>1208898</v>
      </c>
      <c r="I54" s="63">
        <v>102.9</v>
      </c>
      <c r="J54" s="70">
        <v>1302962</v>
      </c>
      <c r="K54" s="63">
        <v>107.8</v>
      </c>
      <c r="L54" s="152"/>
      <c r="M54" s="152"/>
    </row>
    <row r="55" spans="1:13" ht="18" x14ac:dyDescent="0.25">
      <c r="A55" s="58" t="s">
        <v>509</v>
      </c>
      <c r="B55" s="63">
        <v>1223698</v>
      </c>
      <c r="C55" s="63">
        <v>101</v>
      </c>
      <c r="D55" s="70">
        <v>1325794</v>
      </c>
      <c r="E55" s="63">
        <v>108.3</v>
      </c>
      <c r="F55" s="70">
        <v>1530030</v>
      </c>
      <c r="G55" s="63">
        <v>115.4</v>
      </c>
      <c r="H55" s="70">
        <v>1632351</v>
      </c>
      <c r="I55" s="63">
        <v>106.7</v>
      </c>
      <c r="J55" s="70">
        <v>1836965</v>
      </c>
      <c r="K55" s="63">
        <v>112.5</v>
      </c>
      <c r="L55" s="152"/>
      <c r="M55" s="152"/>
    </row>
    <row r="56" spans="1:13" ht="18" x14ac:dyDescent="0.25">
      <c r="A56" s="58" t="s">
        <v>193</v>
      </c>
      <c r="B56" s="63">
        <v>5454</v>
      </c>
      <c r="C56" s="63">
        <v>114.9</v>
      </c>
      <c r="D56" s="63">
        <v>6589</v>
      </c>
      <c r="E56" s="63">
        <v>120.8</v>
      </c>
      <c r="F56" s="63">
        <v>7610.2</v>
      </c>
      <c r="G56" s="63">
        <v>115.5</v>
      </c>
      <c r="H56" s="63">
        <v>8858.2999999999993</v>
      </c>
      <c r="I56" s="63">
        <v>116.4</v>
      </c>
      <c r="J56" s="63">
        <v>10444</v>
      </c>
      <c r="K56" s="63">
        <v>117.9</v>
      </c>
      <c r="L56" s="152"/>
      <c r="M56" s="152"/>
    </row>
    <row r="57" spans="1:13" ht="18" x14ac:dyDescent="0.25">
      <c r="A57" s="58" t="s">
        <v>510</v>
      </c>
      <c r="B57" s="63">
        <v>8755</v>
      </c>
      <c r="C57" s="63">
        <v>104.5</v>
      </c>
      <c r="D57" s="63">
        <v>8817</v>
      </c>
      <c r="E57" s="63">
        <v>100.7</v>
      </c>
      <c r="F57" s="63">
        <v>8896.1</v>
      </c>
      <c r="G57" s="63">
        <v>100.9</v>
      </c>
      <c r="H57" s="63">
        <v>9029</v>
      </c>
      <c r="I57" s="63">
        <v>101.5</v>
      </c>
      <c r="J57" s="63">
        <v>9187</v>
      </c>
      <c r="K57" s="63">
        <v>101.7</v>
      </c>
      <c r="L57" s="152"/>
      <c r="M57" s="152"/>
    </row>
    <row r="58" spans="1:13" ht="18" x14ac:dyDescent="0.25">
      <c r="A58" s="58" t="s">
        <v>511</v>
      </c>
      <c r="B58" s="63">
        <v>223</v>
      </c>
      <c r="C58" s="63">
        <v>56.8</v>
      </c>
      <c r="D58" s="63">
        <v>1200</v>
      </c>
      <c r="E58" s="63">
        <v>538.5</v>
      </c>
      <c r="F58" s="63">
        <v>1600.3</v>
      </c>
      <c r="G58" s="63">
        <v>133.30000000000001</v>
      </c>
      <c r="H58" s="63">
        <v>1733</v>
      </c>
      <c r="I58" s="63">
        <v>108.3</v>
      </c>
      <c r="J58" s="63">
        <v>1867</v>
      </c>
      <c r="K58" s="63">
        <v>107.7</v>
      </c>
      <c r="L58" s="152"/>
      <c r="M58" s="152"/>
    </row>
    <row r="59" spans="1:13" ht="18" x14ac:dyDescent="0.25">
      <c r="A59" s="58" t="s">
        <v>197</v>
      </c>
      <c r="B59" s="63">
        <v>4697</v>
      </c>
      <c r="C59" s="63">
        <v>102.9</v>
      </c>
      <c r="D59" s="63">
        <v>4901</v>
      </c>
      <c r="E59" s="63">
        <v>104.3</v>
      </c>
      <c r="F59" s="63">
        <v>5106</v>
      </c>
      <c r="G59" s="63">
        <v>104.2</v>
      </c>
      <c r="H59" s="63">
        <v>5310</v>
      </c>
      <c r="I59" s="63">
        <v>104</v>
      </c>
      <c r="J59" s="63">
        <v>5617</v>
      </c>
      <c r="K59" s="63">
        <v>105.8</v>
      </c>
      <c r="L59" s="152"/>
      <c r="M59" s="152"/>
    </row>
    <row r="60" spans="1:13" ht="40.5" customHeight="1" x14ac:dyDescent="0.25">
      <c r="A60" s="397" t="s">
        <v>512</v>
      </c>
      <c r="B60" s="397"/>
      <c r="C60" s="397"/>
      <c r="D60" s="397"/>
      <c r="E60" s="397"/>
      <c r="F60" s="397"/>
      <c r="G60" s="397"/>
      <c r="H60" s="397"/>
      <c r="I60" s="397"/>
      <c r="J60" s="397"/>
      <c r="K60" s="397"/>
      <c r="L60" s="152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4">
    <mergeCell ref="A19:K19"/>
    <mergeCell ref="A32:K32"/>
    <mergeCell ref="A45:K45"/>
    <mergeCell ref="A51:K51"/>
    <mergeCell ref="A60:K60"/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97" orientation="landscape" useFirstPageNumber="1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231"/>
  <sheetViews>
    <sheetView view="pageBreakPreview" zoomScale="70" zoomScaleNormal="100" zoomScaleSheetLayoutView="70" zoomScalePageLayoutView="70" workbookViewId="0">
      <selection activeCell="F6" sqref="F6"/>
    </sheetView>
  </sheetViews>
  <sheetFormatPr defaultRowHeight="15" x14ac:dyDescent="0.25"/>
  <cols>
    <col min="1" max="1" width="32.85546875" customWidth="1"/>
    <col min="2" max="2" width="14.5703125" customWidth="1"/>
    <col min="3" max="3" width="9" customWidth="1"/>
    <col min="4" max="4" width="11.42578125" customWidth="1"/>
    <col min="5" max="5" width="8.42578125" customWidth="1"/>
    <col min="6" max="6" width="10" customWidth="1"/>
    <col min="7" max="7" width="9.7109375" customWidth="1"/>
    <col min="8" max="8" width="9" customWidth="1"/>
    <col min="9" max="9" width="9.7109375" customWidth="1"/>
    <col min="10" max="10" width="9.140625" customWidth="1"/>
    <col min="11" max="11" width="9.7109375" customWidth="1"/>
    <col min="15" max="15" width="9.5703125" bestFit="1" customWidth="1"/>
  </cols>
  <sheetData>
    <row r="1" spans="1:13" ht="57.75" customHeight="1" x14ac:dyDescent="0.3">
      <c r="A1" s="398" t="s">
        <v>988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46"/>
      <c r="M1" s="346"/>
    </row>
    <row r="2" spans="1:13" ht="14.25" customHeight="1" x14ac:dyDescent="0.25">
      <c r="A2" s="399" t="s">
        <v>513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49"/>
      <c r="M2" s="349"/>
    </row>
    <row r="3" spans="1:13" ht="18" x14ac:dyDescent="0.25">
      <c r="A3" s="400" t="s">
        <v>1</v>
      </c>
      <c r="B3" s="400" t="s">
        <v>888</v>
      </c>
      <c r="C3" s="400"/>
      <c r="D3" s="400" t="s">
        <v>887</v>
      </c>
      <c r="E3" s="400"/>
      <c r="F3" s="401" t="s">
        <v>8</v>
      </c>
      <c r="G3" s="401"/>
      <c r="H3" s="400" t="s">
        <v>4</v>
      </c>
      <c r="I3" s="400"/>
      <c r="J3" s="400"/>
      <c r="K3" s="400"/>
      <c r="L3" s="349"/>
      <c r="M3" s="349"/>
    </row>
    <row r="4" spans="1:13" ht="15.75" customHeight="1" x14ac:dyDescent="0.25">
      <c r="A4" s="400"/>
      <c r="B4" s="400"/>
      <c r="C4" s="400"/>
      <c r="D4" s="400"/>
      <c r="E4" s="400"/>
      <c r="F4" s="401" t="s">
        <v>246</v>
      </c>
      <c r="G4" s="401"/>
      <c r="H4" s="401" t="s">
        <v>247</v>
      </c>
      <c r="I4" s="401"/>
      <c r="J4" s="401" t="s">
        <v>877</v>
      </c>
      <c r="K4" s="401"/>
      <c r="L4" s="327"/>
      <c r="M4" s="327"/>
    </row>
    <row r="5" spans="1:13" ht="16.5" customHeight="1" x14ac:dyDescent="0.25">
      <c r="A5" s="400"/>
      <c r="B5" s="157" t="s">
        <v>315</v>
      </c>
      <c r="C5" s="157" t="s">
        <v>316</v>
      </c>
      <c r="D5" s="157" t="s">
        <v>315</v>
      </c>
      <c r="E5" s="157" t="s">
        <v>316</v>
      </c>
      <c r="F5" s="157" t="s">
        <v>315</v>
      </c>
      <c r="G5" s="157" t="s">
        <v>316</v>
      </c>
      <c r="H5" s="157" t="s">
        <v>315</v>
      </c>
      <c r="I5" s="157" t="s">
        <v>316</v>
      </c>
      <c r="J5" s="157" t="s">
        <v>315</v>
      </c>
      <c r="K5" s="157" t="s">
        <v>316</v>
      </c>
      <c r="L5" s="327"/>
      <c r="M5" s="327"/>
    </row>
    <row r="6" spans="1:13" ht="33.75" customHeight="1" x14ac:dyDescent="0.25">
      <c r="A6" s="118" t="s">
        <v>514</v>
      </c>
      <c r="B6" s="18">
        <v>1754.9</v>
      </c>
      <c r="C6" s="18">
        <v>99.9</v>
      </c>
      <c r="D6" s="7">
        <v>1790</v>
      </c>
      <c r="E6" s="7">
        <f>D6/B6*100</f>
        <v>102.00011396660777</v>
      </c>
      <c r="F6" s="7">
        <v>1817</v>
      </c>
      <c r="G6" s="7">
        <f>F6/D6*100</f>
        <v>101.50837988826815</v>
      </c>
      <c r="H6" s="7">
        <v>1844</v>
      </c>
      <c r="I6" s="7">
        <f>H6/F6*100</f>
        <v>101.48596587782059</v>
      </c>
      <c r="J6" s="7">
        <v>1872</v>
      </c>
      <c r="K6" s="7">
        <f>J6/H6*100</f>
        <v>101.51843817787419</v>
      </c>
      <c r="L6" s="327"/>
      <c r="M6" s="327"/>
    </row>
    <row r="7" spans="1:13" ht="15.75" customHeight="1" x14ac:dyDescent="0.25">
      <c r="A7" s="277" t="s">
        <v>288</v>
      </c>
      <c r="B7" s="18">
        <v>7.76</v>
      </c>
      <c r="C7" s="18">
        <v>103.2</v>
      </c>
      <c r="D7" s="7">
        <v>7.87</v>
      </c>
      <c r="E7" s="7">
        <f t="shared" ref="E7:K70" si="0">D7/B7*100</f>
        <v>101.41752577319588</v>
      </c>
      <c r="F7" s="7">
        <v>8.0399999999999991</v>
      </c>
      <c r="G7" s="7">
        <f t="shared" si="0"/>
        <v>102.16010165184241</v>
      </c>
      <c r="H7" s="7">
        <v>8.1999999999999993</v>
      </c>
      <c r="I7" s="7">
        <f t="shared" si="0"/>
        <v>101.99004975124377</v>
      </c>
      <c r="J7" s="7">
        <v>8.4</v>
      </c>
      <c r="K7" s="7">
        <f t="shared" si="0"/>
        <v>102.4390243902439</v>
      </c>
      <c r="L7" s="327"/>
      <c r="M7" s="327"/>
    </row>
    <row r="8" spans="1:13" ht="18" customHeight="1" x14ac:dyDescent="0.25">
      <c r="A8" s="277" t="s">
        <v>466</v>
      </c>
      <c r="B8" s="18">
        <v>409.7</v>
      </c>
      <c r="C8" s="18">
        <v>114.9</v>
      </c>
      <c r="D8" s="7">
        <v>418.2</v>
      </c>
      <c r="E8" s="7">
        <f t="shared" si="0"/>
        <v>102.07468879668049</v>
      </c>
      <c r="F8" s="7">
        <v>424</v>
      </c>
      <c r="G8" s="7">
        <f t="shared" si="0"/>
        <v>101.3868962219034</v>
      </c>
      <c r="H8" s="7">
        <v>410.7</v>
      </c>
      <c r="I8" s="7">
        <f t="shared" si="0"/>
        <v>96.863207547169807</v>
      </c>
      <c r="J8" s="7">
        <v>416.4</v>
      </c>
      <c r="K8" s="7">
        <f t="shared" si="0"/>
        <v>101.38787436084733</v>
      </c>
      <c r="L8" s="327"/>
      <c r="M8" s="327"/>
    </row>
    <row r="9" spans="1:13" ht="17.25" customHeight="1" x14ac:dyDescent="0.25">
      <c r="A9" s="277" t="s">
        <v>290</v>
      </c>
      <c r="B9" s="18">
        <v>1086.2</v>
      </c>
      <c r="C9" s="18">
        <v>97.4</v>
      </c>
      <c r="D9" s="7">
        <v>1107.9000000000001</v>
      </c>
      <c r="E9" s="7">
        <f t="shared" si="0"/>
        <v>101.99779046216166</v>
      </c>
      <c r="F9" s="7">
        <v>1125.5999999999999</v>
      </c>
      <c r="G9" s="7">
        <f t="shared" si="0"/>
        <v>101.59761711345787</v>
      </c>
      <c r="H9" s="7">
        <v>1161.4000000000001</v>
      </c>
      <c r="I9" s="7">
        <f t="shared" si="0"/>
        <v>103.18052594171998</v>
      </c>
      <c r="J9" s="7">
        <v>1180</v>
      </c>
      <c r="K9" s="7">
        <f t="shared" si="0"/>
        <v>101.60151541243326</v>
      </c>
      <c r="L9" s="327"/>
      <c r="M9" s="327"/>
    </row>
    <row r="10" spans="1:13" ht="18" x14ac:dyDescent="0.25">
      <c r="A10" s="277" t="s">
        <v>291</v>
      </c>
      <c r="B10" s="18">
        <v>5.9</v>
      </c>
      <c r="C10" s="18">
        <v>93.8</v>
      </c>
      <c r="D10" s="7">
        <v>6</v>
      </c>
      <c r="E10" s="7">
        <f t="shared" si="0"/>
        <v>101.69491525423729</v>
      </c>
      <c r="F10" s="7">
        <v>6.1</v>
      </c>
      <c r="G10" s="7">
        <f t="shared" si="0"/>
        <v>101.66666666666666</v>
      </c>
      <c r="H10" s="7">
        <v>6.2</v>
      </c>
      <c r="I10" s="7">
        <f t="shared" si="0"/>
        <v>101.63934426229508</v>
      </c>
      <c r="J10" s="7">
        <v>6.3</v>
      </c>
      <c r="K10" s="7">
        <f t="shared" si="0"/>
        <v>101.61290322580645</v>
      </c>
      <c r="L10" s="327"/>
      <c r="M10" s="327"/>
    </row>
    <row r="11" spans="1:13" ht="14.25" customHeight="1" x14ac:dyDescent="0.25">
      <c r="A11" s="277" t="s">
        <v>292</v>
      </c>
      <c r="B11" s="18">
        <v>36.299999999999997</v>
      </c>
      <c r="C11" s="18">
        <v>101.5</v>
      </c>
      <c r="D11" s="7">
        <v>37.200000000000003</v>
      </c>
      <c r="E11" s="7">
        <f t="shared" si="0"/>
        <v>102.47933884297522</v>
      </c>
      <c r="F11" s="7">
        <v>37.6</v>
      </c>
      <c r="G11" s="7">
        <f t="shared" si="0"/>
        <v>101.0752688172043</v>
      </c>
      <c r="H11" s="7">
        <v>38.5</v>
      </c>
      <c r="I11" s="7">
        <f t="shared" si="0"/>
        <v>102.39361702127658</v>
      </c>
      <c r="J11" s="7">
        <v>39.5</v>
      </c>
      <c r="K11" s="7">
        <f t="shared" si="0"/>
        <v>102.59740259740259</v>
      </c>
      <c r="L11" s="327"/>
      <c r="M11" s="327"/>
    </row>
    <row r="12" spans="1:13" ht="18" x14ac:dyDescent="0.25">
      <c r="A12" s="277" t="s">
        <v>293</v>
      </c>
      <c r="B12" s="18">
        <v>2.88</v>
      </c>
      <c r="C12" s="18">
        <v>100.6</v>
      </c>
      <c r="D12" s="7">
        <v>2.92</v>
      </c>
      <c r="E12" s="7">
        <f t="shared" si="0"/>
        <v>101.38888888888889</v>
      </c>
      <c r="F12" s="7">
        <v>2.97</v>
      </c>
      <c r="G12" s="7">
        <f t="shared" si="0"/>
        <v>101.71232876712331</v>
      </c>
      <c r="H12" s="7">
        <v>3.01</v>
      </c>
      <c r="I12" s="7">
        <f t="shared" si="0"/>
        <v>101.34680134680134</v>
      </c>
      <c r="J12" s="7">
        <v>3.03</v>
      </c>
      <c r="K12" s="7">
        <f t="shared" si="0"/>
        <v>100.66445182724253</v>
      </c>
      <c r="L12" s="327"/>
      <c r="M12" s="327"/>
    </row>
    <row r="13" spans="1:13" ht="14.25" customHeight="1" x14ac:dyDescent="0.25">
      <c r="A13" s="277" t="s">
        <v>294</v>
      </c>
      <c r="B13" s="18">
        <v>28.2</v>
      </c>
      <c r="C13" s="18">
        <v>105.9</v>
      </c>
      <c r="D13" s="7">
        <v>28.7</v>
      </c>
      <c r="E13" s="7">
        <f t="shared" si="0"/>
        <v>101.77304964539007</v>
      </c>
      <c r="F13" s="7">
        <v>29.3</v>
      </c>
      <c r="G13" s="7">
        <f t="shared" si="0"/>
        <v>102.09059233449477</v>
      </c>
      <c r="H13" s="7">
        <v>30</v>
      </c>
      <c r="I13" s="7">
        <f t="shared" si="0"/>
        <v>102.3890784982935</v>
      </c>
      <c r="J13" s="7">
        <v>30.5</v>
      </c>
      <c r="K13" s="7">
        <f t="shared" si="0"/>
        <v>101.66666666666666</v>
      </c>
      <c r="L13" s="327"/>
      <c r="M13" s="327"/>
    </row>
    <row r="14" spans="1:13" ht="18" x14ac:dyDescent="0.25">
      <c r="A14" s="277" t="s">
        <v>295</v>
      </c>
      <c r="B14" s="18">
        <v>71.8</v>
      </c>
      <c r="C14" s="18">
        <v>111.6</v>
      </c>
      <c r="D14" s="7">
        <v>72.900000000000006</v>
      </c>
      <c r="E14" s="7">
        <f t="shared" si="0"/>
        <v>101.53203342618386</v>
      </c>
      <c r="F14" s="7">
        <v>73.400000000000006</v>
      </c>
      <c r="G14" s="7">
        <f t="shared" si="0"/>
        <v>100.68587105624142</v>
      </c>
      <c r="H14" s="7">
        <v>74.2</v>
      </c>
      <c r="I14" s="7">
        <f t="shared" si="0"/>
        <v>101.08991825613079</v>
      </c>
      <c r="J14" s="7">
        <v>74.8</v>
      </c>
      <c r="K14" s="7">
        <f t="shared" si="0"/>
        <v>100.80862533692722</v>
      </c>
      <c r="L14" s="327"/>
      <c r="M14" s="327"/>
    </row>
    <row r="15" spans="1:13" ht="13.5" customHeight="1" x14ac:dyDescent="0.25">
      <c r="A15" s="277" t="s">
        <v>296</v>
      </c>
      <c r="B15" s="18">
        <v>54.2</v>
      </c>
      <c r="C15" s="18">
        <v>104.1</v>
      </c>
      <c r="D15" s="7">
        <v>55.3</v>
      </c>
      <c r="E15" s="7">
        <f t="shared" si="0"/>
        <v>102.02952029520293</v>
      </c>
      <c r="F15" s="7">
        <v>55.9</v>
      </c>
      <c r="G15" s="7">
        <f t="shared" si="0"/>
        <v>101.08499095840868</v>
      </c>
      <c r="H15" s="7">
        <v>56.5</v>
      </c>
      <c r="I15" s="7">
        <f t="shared" si="0"/>
        <v>101.07334525939177</v>
      </c>
      <c r="J15" s="7">
        <v>56.8</v>
      </c>
      <c r="K15" s="7">
        <f t="shared" si="0"/>
        <v>100.53097345132743</v>
      </c>
      <c r="L15" s="327"/>
      <c r="M15" s="327"/>
    </row>
    <row r="16" spans="1:13" ht="18" x14ac:dyDescent="0.25">
      <c r="A16" s="277" t="s">
        <v>297</v>
      </c>
      <c r="B16" s="18">
        <v>2.77</v>
      </c>
      <c r="C16" s="18">
        <v>122.9</v>
      </c>
      <c r="D16" s="7">
        <v>2.83</v>
      </c>
      <c r="E16" s="7">
        <f t="shared" si="0"/>
        <v>102.16606498194946</v>
      </c>
      <c r="F16" s="7">
        <v>2.9</v>
      </c>
      <c r="G16" s="7">
        <f t="shared" si="0"/>
        <v>102.47349823321554</v>
      </c>
      <c r="H16" s="7">
        <v>2.98</v>
      </c>
      <c r="I16" s="7">
        <f t="shared" si="0"/>
        <v>102.75862068965517</v>
      </c>
      <c r="J16" s="7">
        <v>3.02</v>
      </c>
      <c r="K16" s="7">
        <f t="shared" si="0"/>
        <v>101.34228187919463</v>
      </c>
      <c r="L16" s="327"/>
      <c r="M16" s="327"/>
    </row>
    <row r="17" spans="1:13" ht="18" x14ac:dyDescent="0.25">
      <c r="A17" s="277" t="s">
        <v>298</v>
      </c>
      <c r="B17" s="18">
        <v>3.1</v>
      </c>
      <c r="C17" s="18">
        <v>114.9</v>
      </c>
      <c r="D17" s="7">
        <v>3.2</v>
      </c>
      <c r="E17" s="7">
        <f t="shared" si="0"/>
        <v>103.2258064516129</v>
      </c>
      <c r="F17" s="7">
        <v>3.3</v>
      </c>
      <c r="G17" s="7">
        <f t="shared" si="0"/>
        <v>103.12499999999997</v>
      </c>
      <c r="H17" s="7">
        <v>3.4</v>
      </c>
      <c r="I17" s="7">
        <f t="shared" si="0"/>
        <v>103.03030303030303</v>
      </c>
      <c r="J17" s="7">
        <v>3.5</v>
      </c>
      <c r="K17" s="7">
        <f t="shared" si="0"/>
        <v>102.94117647058825</v>
      </c>
      <c r="L17" s="327"/>
      <c r="M17" s="327"/>
    </row>
    <row r="18" spans="1:13" ht="18" x14ac:dyDescent="0.25">
      <c r="A18" s="277" t="s">
        <v>299</v>
      </c>
      <c r="B18" s="18">
        <v>2.8</v>
      </c>
      <c r="C18" s="18">
        <v>116.2</v>
      </c>
      <c r="D18" s="7">
        <v>2.9</v>
      </c>
      <c r="E18" s="7">
        <f t="shared" si="0"/>
        <v>103.57142857142858</v>
      </c>
      <c r="F18" s="7">
        <v>2.96</v>
      </c>
      <c r="G18" s="7">
        <f t="shared" si="0"/>
        <v>102.06896551724138</v>
      </c>
      <c r="H18" s="7">
        <v>3.01</v>
      </c>
      <c r="I18" s="7">
        <f t="shared" si="0"/>
        <v>101.68918918918919</v>
      </c>
      <c r="J18" s="7">
        <v>3.05</v>
      </c>
      <c r="K18" s="7">
        <f t="shared" si="0"/>
        <v>101.32890365448506</v>
      </c>
      <c r="L18" s="327"/>
      <c r="M18" s="327"/>
    </row>
    <row r="19" spans="1:13" ht="18" x14ac:dyDescent="0.25">
      <c r="A19" s="277" t="s">
        <v>300</v>
      </c>
      <c r="B19" s="18">
        <v>21.9</v>
      </c>
      <c r="C19" s="278">
        <v>106.8</v>
      </c>
      <c r="D19" s="7">
        <v>22.3</v>
      </c>
      <c r="E19" s="7">
        <f t="shared" si="0"/>
        <v>101.82648401826484</v>
      </c>
      <c r="F19" s="7">
        <v>22.7</v>
      </c>
      <c r="G19" s="7">
        <f t="shared" si="0"/>
        <v>101.79372197309415</v>
      </c>
      <c r="H19" s="7">
        <v>23.2</v>
      </c>
      <c r="I19" s="7">
        <f t="shared" si="0"/>
        <v>102.20264317180616</v>
      </c>
      <c r="J19" s="7">
        <v>23.6</v>
      </c>
      <c r="K19" s="7">
        <f t="shared" si="0"/>
        <v>101.72413793103449</v>
      </c>
      <c r="L19" s="327"/>
      <c r="M19" s="327"/>
    </row>
    <row r="20" spans="1:13" ht="18" x14ac:dyDescent="0.25">
      <c r="A20" s="277" t="s">
        <v>301</v>
      </c>
      <c r="B20" s="18">
        <v>8.4</v>
      </c>
      <c r="C20" s="18">
        <v>105.5</v>
      </c>
      <c r="D20" s="7">
        <v>8.6</v>
      </c>
      <c r="E20" s="7">
        <f t="shared" si="0"/>
        <v>102.38095238095238</v>
      </c>
      <c r="F20" s="7">
        <v>8.6999999999999993</v>
      </c>
      <c r="G20" s="7">
        <f t="shared" si="0"/>
        <v>101.16279069767442</v>
      </c>
      <c r="H20" s="7">
        <v>8.9</v>
      </c>
      <c r="I20" s="7">
        <f t="shared" si="0"/>
        <v>102.29885057471266</v>
      </c>
      <c r="J20" s="7">
        <v>9</v>
      </c>
      <c r="K20" s="7">
        <f t="shared" si="0"/>
        <v>101.12359550561798</v>
      </c>
      <c r="L20" s="327"/>
      <c r="M20" s="327"/>
    </row>
    <row r="21" spans="1:13" ht="18" x14ac:dyDescent="0.25">
      <c r="A21" s="279" t="s">
        <v>302</v>
      </c>
      <c r="B21" s="18">
        <v>2.46</v>
      </c>
      <c r="C21" s="18">
        <v>95.9</v>
      </c>
      <c r="D21" s="7">
        <v>2.52</v>
      </c>
      <c r="E21" s="7">
        <f t="shared" si="0"/>
        <v>102.4390243902439</v>
      </c>
      <c r="F21" s="7">
        <v>2.59</v>
      </c>
      <c r="G21" s="7">
        <f t="shared" si="0"/>
        <v>102.77777777777777</v>
      </c>
      <c r="H21" s="7">
        <v>2.64</v>
      </c>
      <c r="I21" s="7">
        <f t="shared" si="0"/>
        <v>101.93050193050195</v>
      </c>
      <c r="J21" s="7">
        <v>2.66</v>
      </c>
      <c r="K21" s="7">
        <f t="shared" si="0"/>
        <v>100.75757575757575</v>
      </c>
      <c r="L21" s="327"/>
      <c r="M21" s="327"/>
    </row>
    <row r="22" spans="1:13" ht="16.5" customHeight="1" x14ac:dyDescent="0.25">
      <c r="A22" s="277" t="s">
        <v>303</v>
      </c>
      <c r="B22" s="18">
        <v>5.3</v>
      </c>
      <c r="C22" s="18">
        <v>110.6</v>
      </c>
      <c r="D22" s="7">
        <v>5.4</v>
      </c>
      <c r="E22" s="7">
        <f t="shared" si="0"/>
        <v>101.88679245283019</v>
      </c>
      <c r="F22" s="7">
        <v>5.5187999999999997</v>
      </c>
      <c r="G22" s="7">
        <f t="shared" si="0"/>
        <v>102.19999999999997</v>
      </c>
      <c r="H22" s="7">
        <v>5.7</v>
      </c>
      <c r="I22" s="7">
        <f t="shared" si="0"/>
        <v>103.28332246140465</v>
      </c>
      <c r="J22" s="7">
        <v>5.8</v>
      </c>
      <c r="K22" s="7">
        <f t="shared" si="0"/>
        <v>101.75438596491226</v>
      </c>
      <c r="L22" s="327"/>
      <c r="M22" s="327"/>
    </row>
    <row r="23" spans="1:13" ht="18.75" customHeight="1" x14ac:dyDescent="0.25">
      <c r="A23" s="277" t="s">
        <v>304</v>
      </c>
      <c r="B23" s="18">
        <v>5.2</v>
      </c>
      <c r="C23" s="18">
        <v>91.9</v>
      </c>
      <c r="D23" s="7">
        <v>5.3</v>
      </c>
      <c r="E23" s="7">
        <f t="shared" si="0"/>
        <v>101.92307692307692</v>
      </c>
      <c r="F23" s="7">
        <v>5.4</v>
      </c>
      <c r="G23" s="7">
        <f t="shared" si="0"/>
        <v>101.88679245283019</v>
      </c>
      <c r="H23" s="7">
        <v>5.5</v>
      </c>
      <c r="I23" s="7">
        <f t="shared" si="0"/>
        <v>101.85185185185183</v>
      </c>
      <c r="J23" s="7">
        <v>5.6</v>
      </c>
      <c r="K23" s="7">
        <f t="shared" si="0"/>
        <v>101.81818181818181</v>
      </c>
      <c r="L23" s="327"/>
      <c r="M23" s="327"/>
    </row>
    <row r="24" spans="1:13" s="71" customFormat="1" ht="32.25" customHeight="1" x14ac:dyDescent="0.25">
      <c r="A24" s="118" t="s">
        <v>515</v>
      </c>
      <c r="B24" s="7">
        <v>344.4</v>
      </c>
      <c r="C24" s="7">
        <v>85.1</v>
      </c>
      <c r="D24" s="6">
        <v>362</v>
      </c>
      <c r="E24" s="7">
        <f t="shared" si="0"/>
        <v>105.11033681765389</v>
      </c>
      <c r="F24" s="6">
        <v>390</v>
      </c>
      <c r="G24" s="7">
        <f t="shared" si="0"/>
        <v>107.73480662983425</v>
      </c>
      <c r="H24" s="6">
        <v>402</v>
      </c>
      <c r="I24" s="7">
        <f t="shared" si="0"/>
        <v>103.07692307692307</v>
      </c>
      <c r="J24" s="6">
        <v>412</v>
      </c>
      <c r="K24" s="7">
        <f t="shared" si="0"/>
        <v>102.48756218905473</v>
      </c>
      <c r="L24" s="335"/>
      <c r="M24" s="335"/>
    </row>
    <row r="25" spans="1:13" ht="17.25" customHeight="1" x14ac:dyDescent="0.25">
      <c r="A25" s="277" t="s">
        <v>466</v>
      </c>
      <c r="B25" s="18">
        <v>113.3</v>
      </c>
      <c r="C25" s="18">
        <v>81</v>
      </c>
      <c r="D25" s="7">
        <v>120.5</v>
      </c>
      <c r="E25" s="7">
        <f t="shared" si="0"/>
        <v>106.35481023830539</v>
      </c>
      <c r="F25" s="7">
        <v>131.30000000000001</v>
      </c>
      <c r="G25" s="7">
        <f t="shared" si="0"/>
        <v>108.96265560165976</v>
      </c>
      <c r="H25" s="7">
        <v>134.5</v>
      </c>
      <c r="I25" s="7">
        <f t="shared" si="0"/>
        <v>102.43716679360242</v>
      </c>
      <c r="J25" s="7">
        <v>135.19999999999999</v>
      </c>
      <c r="K25" s="7">
        <f t="shared" si="0"/>
        <v>100.52044609665427</v>
      </c>
      <c r="L25" s="327"/>
      <c r="M25" s="327"/>
    </row>
    <row r="26" spans="1:13" ht="16.5" customHeight="1" x14ac:dyDescent="0.25">
      <c r="A26" s="277" t="s">
        <v>290</v>
      </c>
      <c r="B26" s="18">
        <f>231.2-4.7</f>
        <v>226.5</v>
      </c>
      <c r="C26" s="18">
        <v>83.8</v>
      </c>
      <c r="D26" s="7">
        <v>237.3</v>
      </c>
      <c r="E26" s="7">
        <f t="shared" si="0"/>
        <v>104.76821192052981</v>
      </c>
      <c r="F26" s="7">
        <v>254.3</v>
      </c>
      <c r="G26" s="7">
        <f t="shared" si="0"/>
        <v>107.16392751790981</v>
      </c>
      <c r="H26" s="7">
        <v>262.89999999999998</v>
      </c>
      <c r="I26" s="7">
        <f t="shared" si="0"/>
        <v>103.38183248132127</v>
      </c>
      <c r="J26" s="7">
        <v>272.10000000000002</v>
      </c>
      <c r="K26" s="7">
        <f t="shared" si="0"/>
        <v>103.49942944085204</v>
      </c>
      <c r="L26" s="327"/>
      <c r="M26" s="327"/>
    </row>
    <row r="27" spans="1:13" ht="18" customHeight="1" x14ac:dyDescent="0.25">
      <c r="A27" s="277" t="s">
        <v>292</v>
      </c>
      <c r="B27" s="18">
        <v>0.23</v>
      </c>
      <c r="C27" s="18">
        <v>69.5</v>
      </c>
      <c r="D27" s="7">
        <v>0.25</v>
      </c>
      <c r="E27" s="7">
        <f t="shared" si="0"/>
        <v>108.69565217391303</v>
      </c>
      <c r="F27" s="7">
        <v>0.26</v>
      </c>
      <c r="G27" s="7">
        <f t="shared" si="0"/>
        <v>104</v>
      </c>
      <c r="H27" s="7">
        <v>0.26900000000000002</v>
      </c>
      <c r="I27" s="7">
        <f t="shared" si="0"/>
        <v>103.46153846153847</v>
      </c>
      <c r="J27" s="7">
        <v>0.27400000000000002</v>
      </c>
      <c r="K27" s="7">
        <f t="shared" si="0"/>
        <v>101.85873605947955</v>
      </c>
      <c r="L27" s="327"/>
      <c r="M27" s="327"/>
    </row>
    <row r="28" spans="1:13" ht="15" customHeight="1" x14ac:dyDescent="0.25">
      <c r="A28" s="277" t="s">
        <v>294</v>
      </c>
      <c r="B28" s="18">
        <v>1.9</v>
      </c>
      <c r="C28" s="18">
        <v>77.5</v>
      </c>
      <c r="D28" s="7">
        <v>1.64</v>
      </c>
      <c r="E28" s="7">
        <f t="shared" si="0"/>
        <v>86.31578947368422</v>
      </c>
      <c r="F28" s="7">
        <v>1.7711999999999997</v>
      </c>
      <c r="G28" s="7">
        <f t="shared" si="0"/>
        <v>107.99999999999999</v>
      </c>
      <c r="H28" s="7">
        <v>1.8491327999999998</v>
      </c>
      <c r="I28" s="7">
        <f t="shared" si="0"/>
        <v>104.4</v>
      </c>
      <c r="J28" s="7">
        <v>1.8824171903999996</v>
      </c>
      <c r="K28" s="7">
        <f t="shared" si="0"/>
        <v>101.79999999999998</v>
      </c>
      <c r="L28" s="327"/>
      <c r="M28" s="327"/>
    </row>
    <row r="29" spans="1:13" ht="18" x14ac:dyDescent="0.25">
      <c r="A29" s="277" t="s">
        <v>295</v>
      </c>
      <c r="B29" s="18">
        <v>1.6</v>
      </c>
      <c r="C29" s="18">
        <v>77.900000000000006</v>
      </c>
      <c r="D29" s="7">
        <v>1.4464000000000001</v>
      </c>
      <c r="E29" s="7">
        <f t="shared" si="0"/>
        <v>90.4</v>
      </c>
      <c r="F29" s="7">
        <v>1.4695423999999999</v>
      </c>
      <c r="G29" s="7">
        <f t="shared" si="0"/>
        <v>101.59999999999998</v>
      </c>
      <c r="H29" s="7">
        <v>1.5180372992</v>
      </c>
      <c r="I29" s="7">
        <f t="shared" si="0"/>
        <v>103.30000000000001</v>
      </c>
      <c r="J29" s="7">
        <v>1.5802768284671997</v>
      </c>
      <c r="K29" s="7">
        <f t="shared" si="0"/>
        <v>104.1</v>
      </c>
      <c r="L29" s="327"/>
      <c r="M29" s="327"/>
    </row>
    <row r="30" spans="1:13" ht="15.75" customHeight="1" x14ac:dyDescent="0.25">
      <c r="A30" s="277" t="s">
        <v>296</v>
      </c>
      <c r="B30" s="18">
        <v>0.35</v>
      </c>
      <c r="C30" s="18">
        <v>109.9</v>
      </c>
      <c r="D30" s="7">
        <v>0.37</v>
      </c>
      <c r="E30" s="7">
        <f t="shared" si="0"/>
        <v>105.71428571428572</v>
      </c>
      <c r="F30" s="7">
        <v>0.38</v>
      </c>
      <c r="G30" s="7">
        <f t="shared" si="0"/>
        <v>102.70270270270269</v>
      </c>
      <c r="H30" s="7">
        <v>0.4</v>
      </c>
      <c r="I30" s="7">
        <f t="shared" si="0"/>
        <v>105.26315789473684</v>
      </c>
      <c r="J30" s="7">
        <v>0.41</v>
      </c>
      <c r="K30" s="7">
        <f t="shared" si="0"/>
        <v>102.49999999999999</v>
      </c>
      <c r="L30" s="327"/>
      <c r="M30" s="327"/>
    </row>
    <row r="31" spans="1:13" ht="15.75" customHeight="1" x14ac:dyDescent="0.25">
      <c r="A31" s="86" t="s">
        <v>291</v>
      </c>
      <c r="B31" s="18">
        <v>1.0999999999999999E-2</v>
      </c>
      <c r="C31" s="18">
        <v>29.8</v>
      </c>
      <c r="D31" s="7">
        <v>1.1599999999999999E-2</v>
      </c>
      <c r="E31" s="7">
        <f t="shared" si="0"/>
        <v>105.45454545454544</v>
      </c>
      <c r="F31" s="7">
        <v>1.24E-2</v>
      </c>
      <c r="G31" s="7">
        <f t="shared" si="0"/>
        <v>106.89655172413795</v>
      </c>
      <c r="H31" s="7">
        <v>1.26E-2</v>
      </c>
      <c r="I31" s="7">
        <f t="shared" si="0"/>
        <v>101.61290322580645</v>
      </c>
      <c r="J31" s="7">
        <v>1.2999999999999999E-2</v>
      </c>
      <c r="K31" s="7">
        <f t="shared" si="0"/>
        <v>103.17460317460316</v>
      </c>
      <c r="L31" s="327"/>
      <c r="M31" s="327"/>
    </row>
    <row r="32" spans="1:13" ht="16.5" customHeight="1" x14ac:dyDescent="0.25">
      <c r="A32" s="277" t="s">
        <v>300</v>
      </c>
      <c r="B32" s="18">
        <v>0.47</v>
      </c>
      <c r="C32" s="18">
        <v>53.6</v>
      </c>
      <c r="D32" s="7">
        <v>0.52</v>
      </c>
      <c r="E32" s="7">
        <f t="shared" si="0"/>
        <v>110.63829787234043</v>
      </c>
      <c r="F32" s="7">
        <v>0.53</v>
      </c>
      <c r="G32" s="7">
        <f t="shared" si="0"/>
        <v>101.92307692307692</v>
      </c>
      <c r="H32" s="7">
        <v>0.55000000000000004</v>
      </c>
      <c r="I32" s="7">
        <f t="shared" si="0"/>
        <v>103.77358490566037</v>
      </c>
      <c r="J32" s="7">
        <v>0.56000000000000005</v>
      </c>
      <c r="K32" s="7">
        <f t="shared" si="0"/>
        <v>101.81818181818183</v>
      </c>
      <c r="L32" s="152"/>
      <c r="M32" s="152"/>
    </row>
    <row r="33" spans="1:13" ht="36" x14ac:dyDescent="0.25">
      <c r="A33" s="118" t="s">
        <v>516</v>
      </c>
      <c r="B33" s="148">
        <v>1144.9000000000001</v>
      </c>
      <c r="C33" s="148">
        <v>104.6</v>
      </c>
      <c r="D33" s="12">
        <v>1163</v>
      </c>
      <c r="E33" s="7">
        <f t="shared" si="0"/>
        <v>101.58092409817449</v>
      </c>
      <c r="F33" s="12">
        <v>1177</v>
      </c>
      <c r="G33" s="7">
        <f t="shared" si="0"/>
        <v>101.20378331900257</v>
      </c>
      <c r="H33" s="12">
        <v>1184</v>
      </c>
      <c r="I33" s="7">
        <f t="shared" si="0"/>
        <v>100.59473237043331</v>
      </c>
      <c r="J33" s="12">
        <v>1203</v>
      </c>
      <c r="K33" s="7">
        <f t="shared" si="0"/>
        <v>101.60472972972974</v>
      </c>
      <c r="L33" s="152"/>
      <c r="M33" s="152"/>
    </row>
    <row r="34" spans="1:13" ht="18" x14ac:dyDescent="0.25">
      <c r="A34" s="277" t="s">
        <v>288</v>
      </c>
      <c r="B34" s="18">
        <v>25.1</v>
      </c>
      <c r="C34" s="18">
        <v>107.6</v>
      </c>
      <c r="D34" s="7">
        <v>25.7</v>
      </c>
      <c r="E34" s="7">
        <f t="shared" si="0"/>
        <v>102.39043824701196</v>
      </c>
      <c r="F34" s="7">
        <v>26.1</v>
      </c>
      <c r="G34" s="7">
        <f t="shared" si="0"/>
        <v>101.55642023346306</v>
      </c>
      <c r="H34" s="7">
        <v>26.3</v>
      </c>
      <c r="I34" s="7">
        <f t="shared" si="0"/>
        <v>100.76628352490422</v>
      </c>
      <c r="J34" s="7">
        <v>27</v>
      </c>
      <c r="K34" s="7">
        <f t="shared" si="0"/>
        <v>102.6615969581749</v>
      </c>
      <c r="L34" s="152"/>
      <c r="M34" s="152"/>
    </row>
    <row r="35" spans="1:13" ht="18" x14ac:dyDescent="0.25">
      <c r="A35" s="277" t="s">
        <v>466</v>
      </c>
      <c r="B35" s="18">
        <v>600.20000000000005</v>
      </c>
      <c r="C35" s="18">
        <v>106.6</v>
      </c>
      <c r="D35" s="7">
        <v>609.5</v>
      </c>
      <c r="E35" s="7">
        <f t="shared" si="0"/>
        <v>101.54948350549815</v>
      </c>
      <c r="F35" s="7">
        <v>616.1</v>
      </c>
      <c r="G35" s="7">
        <f t="shared" si="0"/>
        <v>101.08285479901559</v>
      </c>
      <c r="H35" s="7">
        <v>617.20000000000005</v>
      </c>
      <c r="I35" s="7">
        <f t="shared" si="0"/>
        <v>100.17854244440838</v>
      </c>
      <c r="J35" s="7">
        <v>625</v>
      </c>
      <c r="K35" s="7">
        <f t="shared" si="0"/>
        <v>101.2637718729747</v>
      </c>
      <c r="L35" s="152"/>
      <c r="M35" s="152"/>
    </row>
    <row r="36" spans="1:13" ht="18" x14ac:dyDescent="0.25">
      <c r="A36" s="277" t="s">
        <v>290</v>
      </c>
      <c r="B36" s="18">
        <v>227.3</v>
      </c>
      <c r="C36" s="18">
        <v>101.2</v>
      </c>
      <c r="D36" s="7">
        <v>230.3</v>
      </c>
      <c r="E36" s="7">
        <f t="shared" si="0"/>
        <v>101.31984161900571</v>
      </c>
      <c r="F36" s="7">
        <v>232.6</v>
      </c>
      <c r="G36" s="7">
        <f t="shared" si="0"/>
        <v>100.99869735128092</v>
      </c>
      <c r="H36" s="7">
        <v>232.9</v>
      </c>
      <c r="I36" s="7">
        <f t="shared" si="0"/>
        <v>100.12897678417885</v>
      </c>
      <c r="J36" s="7">
        <v>237.2</v>
      </c>
      <c r="K36" s="7">
        <f t="shared" si="0"/>
        <v>101.84628595963932</v>
      </c>
      <c r="L36" s="152"/>
      <c r="M36" s="152"/>
    </row>
    <row r="37" spans="1:13" ht="18" x14ac:dyDescent="0.25">
      <c r="A37" s="277" t="s">
        <v>291</v>
      </c>
      <c r="B37" s="18">
        <v>5.4</v>
      </c>
      <c r="C37" s="18">
        <v>104.9</v>
      </c>
      <c r="D37" s="7">
        <v>5.5</v>
      </c>
      <c r="E37" s="7">
        <f t="shared" si="0"/>
        <v>101.85185185185183</v>
      </c>
      <c r="F37" s="7">
        <v>5.6</v>
      </c>
      <c r="G37" s="7">
        <f t="shared" si="0"/>
        <v>101.81818181818181</v>
      </c>
      <c r="H37" s="7">
        <v>5.6</v>
      </c>
      <c r="I37" s="7">
        <f t="shared" si="0"/>
        <v>100</v>
      </c>
      <c r="J37" s="7">
        <v>5.7</v>
      </c>
      <c r="K37" s="7">
        <f t="shared" si="0"/>
        <v>101.78571428571431</v>
      </c>
      <c r="L37" s="152"/>
      <c r="M37" s="152"/>
    </row>
    <row r="38" spans="1:13" ht="18" x14ac:dyDescent="0.25">
      <c r="A38" s="279" t="s">
        <v>292</v>
      </c>
      <c r="B38" s="18">
        <v>10.3</v>
      </c>
      <c r="C38" s="18">
        <v>100.4</v>
      </c>
      <c r="D38" s="7">
        <v>10.5</v>
      </c>
      <c r="E38" s="7">
        <f t="shared" si="0"/>
        <v>101.94174757281553</v>
      </c>
      <c r="F38" s="7">
        <v>10.7</v>
      </c>
      <c r="G38" s="7">
        <f t="shared" si="0"/>
        <v>101.9047619047619</v>
      </c>
      <c r="H38" s="7">
        <v>10.85</v>
      </c>
      <c r="I38" s="7">
        <f t="shared" si="0"/>
        <v>101.4018691588785</v>
      </c>
      <c r="J38" s="7">
        <v>11.1</v>
      </c>
      <c r="K38" s="7">
        <f t="shared" si="0"/>
        <v>102.30414746543779</v>
      </c>
      <c r="L38" s="152"/>
      <c r="M38" s="152"/>
    </row>
    <row r="39" spans="1:13" ht="18" x14ac:dyDescent="0.25">
      <c r="A39" s="277" t="s">
        <v>293</v>
      </c>
      <c r="B39" s="18">
        <v>2.57</v>
      </c>
      <c r="C39" s="18">
        <v>100.1</v>
      </c>
      <c r="D39" s="7">
        <v>2.65</v>
      </c>
      <c r="E39" s="7">
        <f t="shared" si="0"/>
        <v>103.11284046692609</v>
      </c>
      <c r="F39" s="7">
        <v>2.7</v>
      </c>
      <c r="G39" s="7">
        <f t="shared" si="0"/>
        <v>101.88679245283019</v>
      </c>
      <c r="H39" s="7">
        <v>2.8</v>
      </c>
      <c r="I39" s="7">
        <f t="shared" si="0"/>
        <v>103.7037037037037</v>
      </c>
      <c r="J39" s="7">
        <v>2.9</v>
      </c>
      <c r="K39" s="7">
        <f t="shared" si="0"/>
        <v>103.57142857142858</v>
      </c>
      <c r="L39" s="152"/>
      <c r="M39" s="152"/>
    </row>
    <row r="40" spans="1:13" ht="18" x14ac:dyDescent="0.25">
      <c r="A40" s="277" t="s">
        <v>294</v>
      </c>
      <c r="B40" s="18">
        <v>10.1</v>
      </c>
      <c r="C40" s="18">
        <v>103.8</v>
      </c>
      <c r="D40" s="7">
        <v>10.199999999999999</v>
      </c>
      <c r="E40" s="7">
        <f t="shared" si="0"/>
        <v>100.99009900990099</v>
      </c>
      <c r="F40" s="7">
        <v>10.4</v>
      </c>
      <c r="G40" s="7">
        <f t="shared" si="0"/>
        <v>101.96078431372551</v>
      </c>
      <c r="H40" s="7">
        <v>10.6</v>
      </c>
      <c r="I40" s="7">
        <f t="shared" si="0"/>
        <v>101.92307692307692</v>
      </c>
      <c r="J40" s="7">
        <v>10.8</v>
      </c>
      <c r="K40" s="7">
        <f t="shared" si="0"/>
        <v>101.88679245283019</v>
      </c>
      <c r="L40" s="152"/>
      <c r="M40" s="152"/>
    </row>
    <row r="41" spans="1:13" ht="18" x14ac:dyDescent="0.25">
      <c r="A41" s="277" t="s">
        <v>295</v>
      </c>
      <c r="B41" s="18">
        <v>12.4</v>
      </c>
      <c r="C41" s="18">
        <v>112.5</v>
      </c>
      <c r="D41" s="7">
        <v>12.6</v>
      </c>
      <c r="E41" s="7">
        <f t="shared" si="0"/>
        <v>101.61290322580645</v>
      </c>
      <c r="F41" s="7">
        <v>12.8</v>
      </c>
      <c r="G41" s="7">
        <f t="shared" si="0"/>
        <v>101.58730158730161</v>
      </c>
      <c r="H41" s="7">
        <v>13.1</v>
      </c>
      <c r="I41" s="7">
        <f t="shared" si="0"/>
        <v>102.34375</v>
      </c>
      <c r="J41" s="7">
        <v>13.3</v>
      </c>
      <c r="K41" s="7">
        <f t="shared" si="0"/>
        <v>101.52671755725191</v>
      </c>
      <c r="L41" s="152"/>
      <c r="M41" s="152"/>
    </row>
    <row r="42" spans="1:13" ht="18" x14ac:dyDescent="0.25">
      <c r="A42" s="277" t="s">
        <v>296</v>
      </c>
      <c r="B42" s="18">
        <v>13.5</v>
      </c>
      <c r="C42" s="18">
        <v>80.900000000000006</v>
      </c>
      <c r="D42" s="7">
        <v>14</v>
      </c>
      <c r="E42" s="7">
        <f t="shared" si="0"/>
        <v>103.7037037037037</v>
      </c>
      <c r="F42" s="7">
        <v>14.2</v>
      </c>
      <c r="G42" s="7">
        <f t="shared" si="0"/>
        <v>101.42857142857142</v>
      </c>
      <c r="H42" s="7">
        <v>14.5</v>
      </c>
      <c r="I42" s="7">
        <f t="shared" si="0"/>
        <v>102.11267605633803</v>
      </c>
      <c r="J42" s="7">
        <v>14.8</v>
      </c>
      <c r="K42" s="7">
        <f t="shared" si="0"/>
        <v>102.06896551724138</v>
      </c>
      <c r="L42" s="152"/>
      <c r="M42" s="152"/>
    </row>
    <row r="43" spans="1:13" ht="18" x14ac:dyDescent="0.25">
      <c r="A43" s="277" t="s">
        <v>297</v>
      </c>
      <c r="B43" s="18">
        <v>92.8</v>
      </c>
      <c r="C43" s="18">
        <v>103.1</v>
      </c>
      <c r="D43" s="7">
        <v>94</v>
      </c>
      <c r="E43" s="7">
        <f t="shared" si="0"/>
        <v>101.29310344827587</v>
      </c>
      <c r="F43" s="7">
        <v>95.4</v>
      </c>
      <c r="G43" s="7">
        <f t="shared" si="0"/>
        <v>101.48936170212765</v>
      </c>
      <c r="H43" s="7">
        <v>97</v>
      </c>
      <c r="I43" s="7">
        <f t="shared" si="0"/>
        <v>101.67714884696015</v>
      </c>
      <c r="J43" s="7">
        <v>100</v>
      </c>
      <c r="K43" s="7">
        <f t="shared" si="0"/>
        <v>103.09278350515463</v>
      </c>
      <c r="L43" s="152"/>
      <c r="M43" s="152"/>
    </row>
    <row r="44" spans="1:13" ht="18" x14ac:dyDescent="0.25">
      <c r="A44" s="277" t="s">
        <v>298</v>
      </c>
      <c r="B44" s="18">
        <v>29.5</v>
      </c>
      <c r="C44" s="18">
        <v>101.9</v>
      </c>
      <c r="D44" s="7">
        <v>30.1</v>
      </c>
      <c r="E44" s="7">
        <f t="shared" si="0"/>
        <v>102.03389830508476</v>
      </c>
      <c r="F44" s="7">
        <v>30.5</v>
      </c>
      <c r="G44" s="7">
        <f t="shared" si="0"/>
        <v>101.32890365448503</v>
      </c>
      <c r="H44" s="7">
        <v>31.3</v>
      </c>
      <c r="I44" s="7">
        <f t="shared" si="0"/>
        <v>102.62295081967214</v>
      </c>
      <c r="J44" s="7">
        <v>31.5</v>
      </c>
      <c r="K44" s="7">
        <f t="shared" si="0"/>
        <v>100.63897763578275</v>
      </c>
      <c r="L44" s="152"/>
      <c r="M44" s="152"/>
    </row>
    <row r="45" spans="1:13" ht="18" x14ac:dyDescent="0.25">
      <c r="A45" s="277" t="s">
        <v>299</v>
      </c>
      <c r="B45" s="18">
        <v>10.1</v>
      </c>
      <c r="C45" s="18">
        <v>81.3</v>
      </c>
      <c r="D45" s="7">
        <v>10.6</v>
      </c>
      <c r="E45" s="7">
        <f t="shared" si="0"/>
        <v>104.95049504950495</v>
      </c>
      <c r="F45" s="7">
        <v>10.8</v>
      </c>
      <c r="G45" s="7">
        <f t="shared" si="0"/>
        <v>101.88679245283019</v>
      </c>
      <c r="H45" s="7">
        <v>11.1</v>
      </c>
      <c r="I45" s="7">
        <f t="shared" si="0"/>
        <v>102.77777777777777</v>
      </c>
      <c r="J45" s="7">
        <v>11.4</v>
      </c>
      <c r="K45" s="7">
        <f t="shared" si="0"/>
        <v>102.70270270270272</v>
      </c>
      <c r="L45" s="152"/>
      <c r="M45" s="152"/>
    </row>
    <row r="46" spans="1:13" ht="18" x14ac:dyDescent="0.25">
      <c r="A46" s="277" t="s">
        <v>300</v>
      </c>
      <c r="B46" s="18">
        <v>4.5999999999999996</v>
      </c>
      <c r="C46" s="18">
        <v>76.2</v>
      </c>
      <c r="D46" s="7">
        <v>4.5999999999999996</v>
      </c>
      <c r="E46" s="7">
        <f t="shared" si="0"/>
        <v>100</v>
      </c>
      <c r="F46" s="7">
        <v>4.7</v>
      </c>
      <c r="G46" s="7">
        <f t="shared" si="0"/>
        <v>102.17391304347827</v>
      </c>
      <c r="H46" s="7">
        <v>4.8</v>
      </c>
      <c r="I46" s="7">
        <f t="shared" si="0"/>
        <v>102.12765957446808</v>
      </c>
      <c r="J46" s="7">
        <v>4.9000000000000004</v>
      </c>
      <c r="K46" s="7">
        <f t="shared" si="0"/>
        <v>102.08333333333334</v>
      </c>
      <c r="L46" s="152"/>
      <c r="M46" s="152"/>
    </row>
    <row r="47" spans="1:13" ht="18" x14ac:dyDescent="0.25">
      <c r="A47" s="277" t="s">
        <v>301</v>
      </c>
      <c r="B47" s="18">
        <v>14.2</v>
      </c>
      <c r="C47" s="18">
        <v>102.5</v>
      </c>
      <c r="D47" s="7">
        <v>14.4</v>
      </c>
      <c r="E47" s="7">
        <f t="shared" si="0"/>
        <v>101.40845070422534</v>
      </c>
      <c r="F47" s="7">
        <v>14.6</v>
      </c>
      <c r="G47" s="7">
        <f t="shared" si="0"/>
        <v>101.38888888888889</v>
      </c>
      <c r="H47" s="7">
        <v>14.8</v>
      </c>
      <c r="I47" s="7">
        <f t="shared" si="0"/>
        <v>101.36986301369863</v>
      </c>
      <c r="J47" s="7">
        <v>15</v>
      </c>
      <c r="K47" s="7">
        <f t="shared" si="0"/>
        <v>101.35135135135134</v>
      </c>
      <c r="L47" s="152"/>
      <c r="M47" s="152"/>
    </row>
    <row r="48" spans="1:13" ht="18" x14ac:dyDescent="0.25">
      <c r="A48" s="277" t="s">
        <v>302</v>
      </c>
      <c r="B48" s="18">
        <v>2.57</v>
      </c>
      <c r="C48" s="18">
        <v>119.6</v>
      </c>
      <c r="D48" s="7">
        <v>2.63</v>
      </c>
      <c r="E48" s="7">
        <f t="shared" si="0"/>
        <v>102.33463035019454</v>
      </c>
      <c r="F48" s="7">
        <v>2.66</v>
      </c>
      <c r="G48" s="7">
        <f t="shared" si="0"/>
        <v>101.14068441064639</v>
      </c>
      <c r="H48" s="7">
        <v>2.7</v>
      </c>
      <c r="I48" s="7">
        <f t="shared" si="0"/>
        <v>101.50375939849626</v>
      </c>
      <c r="J48" s="7">
        <v>2.7</v>
      </c>
      <c r="K48" s="7">
        <f t="shared" si="0"/>
        <v>100</v>
      </c>
      <c r="L48" s="152"/>
      <c r="M48" s="152"/>
    </row>
    <row r="49" spans="1:13" ht="18" x14ac:dyDescent="0.25">
      <c r="A49" s="277" t="s">
        <v>303</v>
      </c>
      <c r="B49" s="18">
        <v>61.1</v>
      </c>
      <c r="C49" s="18">
        <v>115.2</v>
      </c>
      <c r="D49" s="7">
        <v>61.8</v>
      </c>
      <c r="E49" s="7">
        <f t="shared" si="0"/>
        <v>101.14566284779049</v>
      </c>
      <c r="F49" s="7">
        <v>62.77</v>
      </c>
      <c r="G49" s="7">
        <f t="shared" si="0"/>
        <v>101.56957928802591</v>
      </c>
      <c r="H49" s="7">
        <v>63.5</v>
      </c>
      <c r="I49" s="7">
        <f t="shared" si="0"/>
        <v>101.16297594392225</v>
      </c>
      <c r="J49" s="7">
        <v>64.3</v>
      </c>
      <c r="K49" s="7">
        <f t="shared" si="0"/>
        <v>101.25984251968502</v>
      </c>
      <c r="L49" s="152"/>
      <c r="M49" s="152"/>
    </row>
    <row r="50" spans="1:13" ht="18" x14ac:dyDescent="0.25">
      <c r="A50" s="277" t="s">
        <v>304</v>
      </c>
      <c r="B50" s="18">
        <v>23.2</v>
      </c>
      <c r="C50" s="18">
        <v>107</v>
      </c>
      <c r="D50" s="7">
        <v>23.9</v>
      </c>
      <c r="E50" s="7">
        <f t="shared" si="0"/>
        <v>103.01724137931035</v>
      </c>
      <c r="F50" s="7">
        <v>24.4</v>
      </c>
      <c r="G50" s="7">
        <f t="shared" si="0"/>
        <v>102.09205020920503</v>
      </c>
      <c r="H50" s="7">
        <v>24.9</v>
      </c>
      <c r="I50" s="7">
        <f t="shared" si="0"/>
        <v>102.04918032786885</v>
      </c>
      <c r="J50" s="7">
        <v>25.4</v>
      </c>
      <c r="K50" s="7">
        <f t="shared" si="0"/>
        <v>102.00803212851406</v>
      </c>
      <c r="L50" s="152"/>
      <c r="M50" s="152"/>
    </row>
    <row r="51" spans="1:13" ht="36" x14ac:dyDescent="0.25">
      <c r="A51" s="118" t="s">
        <v>517</v>
      </c>
      <c r="B51" s="148">
        <v>3026.2</v>
      </c>
      <c r="C51" s="148">
        <v>111.5</v>
      </c>
      <c r="D51" s="12">
        <v>3289</v>
      </c>
      <c r="E51" s="7">
        <f t="shared" si="0"/>
        <v>108.68415835040646</v>
      </c>
      <c r="F51" s="12">
        <v>3459</v>
      </c>
      <c r="G51" s="7">
        <f t="shared" si="0"/>
        <v>105.16874429917908</v>
      </c>
      <c r="H51" s="12">
        <v>3615</v>
      </c>
      <c r="I51" s="7">
        <f t="shared" si="0"/>
        <v>104.50997398091934</v>
      </c>
      <c r="J51" s="12">
        <v>3859</v>
      </c>
      <c r="K51" s="7">
        <f t="shared" si="0"/>
        <v>106.74965421853389</v>
      </c>
      <c r="L51" s="152"/>
      <c r="M51" s="152"/>
    </row>
    <row r="52" spans="1:13" ht="18" x14ac:dyDescent="0.25">
      <c r="A52" s="277" t="s">
        <v>288</v>
      </c>
      <c r="B52" s="18">
        <v>12.3</v>
      </c>
      <c r="C52" s="18">
        <v>105.2</v>
      </c>
      <c r="D52" s="7">
        <v>12.9</v>
      </c>
      <c r="E52" s="7">
        <f t="shared" si="0"/>
        <v>104.8780487804878</v>
      </c>
      <c r="F52" s="7">
        <v>13.3</v>
      </c>
      <c r="G52" s="7">
        <f t="shared" si="0"/>
        <v>103.10077519379846</v>
      </c>
      <c r="H52" s="7">
        <v>13.6</v>
      </c>
      <c r="I52" s="7">
        <f t="shared" si="0"/>
        <v>102.25563909774435</v>
      </c>
      <c r="J52" s="7">
        <v>13.9</v>
      </c>
      <c r="K52" s="7">
        <f t="shared" si="0"/>
        <v>102.20588235294119</v>
      </c>
      <c r="L52" s="152"/>
      <c r="M52" s="152"/>
    </row>
    <row r="53" spans="1:13" ht="18" x14ac:dyDescent="0.25">
      <c r="A53" s="277" t="s">
        <v>466</v>
      </c>
      <c r="B53" s="18">
        <v>649.1</v>
      </c>
      <c r="C53" s="18">
        <v>106.7</v>
      </c>
      <c r="D53" s="7">
        <v>710.6</v>
      </c>
      <c r="E53" s="7">
        <f t="shared" si="0"/>
        <v>109.47465721768603</v>
      </c>
      <c r="F53" s="7">
        <v>753.4</v>
      </c>
      <c r="G53" s="7">
        <f t="shared" si="0"/>
        <v>106.02307908809456</v>
      </c>
      <c r="H53" s="7">
        <v>792.4</v>
      </c>
      <c r="I53" s="7">
        <f t="shared" si="0"/>
        <v>105.17653305017257</v>
      </c>
      <c r="J53" s="7">
        <v>846</v>
      </c>
      <c r="K53" s="7">
        <f t="shared" si="0"/>
        <v>106.76426047450782</v>
      </c>
      <c r="L53" s="152"/>
      <c r="M53" s="152"/>
    </row>
    <row r="54" spans="1:13" ht="18" x14ac:dyDescent="0.25">
      <c r="A54" s="277" t="s">
        <v>290</v>
      </c>
      <c r="B54" s="18">
        <v>1788.1</v>
      </c>
      <c r="C54" s="18">
        <v>108.8</v>
      </c>
      <c r="D54" s="7">
        <v>1956.2</v>
      </c>
      <c r="E54" s="7">
        <f t="shared" si="0"/>
        <v>109.40104021027908</v>
      </c>
      <c r="F54" s="7">
        <v>2069.6999999999998</v>
      </c>
      <c r="G54" s="7">
        <f t="shared" si="0"/>
        <v>105.80206522850423</v>
      </c>
      <c r="H54" s="7">
        <v>2171.1</v>
      </c>
      <c r="I54" s="7">
        <f t="shared" si="0"/>
        <v>104.89926076242935</v>
      </c>
      <c r="J54" s="7">
        <v>2331.8000000000002</v>
      </c>
      <c r="K54" s="7">
        <f t="shared" si="0"/>
        <v>107.40177790060339</v>
      </c>
      <c r="L54" s="152"/>
      <c r="M54" s="152"/>
    </row>
    <row r="55" spans="1:13" ht="18" x14ac:dyDescent="0.25">
      <c r="A55" s="277" t="s">
        <v>291</v>
      </c>
      <c r="B55" s="18">
        <v>19.399999999999999</v>
      </c>
      <c r="C55" s="18">
        <v>115.6</v>
      </c>
      <c r="D55" s="7">
        <v>20.3</v>
      </c>
      <c r="E55" s="7">
        <f t="shared" si="0"/>
        <v>104.63917525773196</v>
      </c>
      <c r="F55" s="7">
        <v>20.6</v>
      </c>
      <c r="G55" s="7">
        <f t="shared" si="0"/>
        <v>101.47783251231527</v>
      </c>
      <c r="H55" s="7">
        <v>21</v>
      </c>
      <c r="I55" s="7">
        <f t="shared" si="0"/>
        <v>101.94174757281553</v>
      </c>
      <c r="J55" s="7">
        <v>21.1</v>
      </c>
      <c r="K55" s="7">
        <f t="shared" si="0"/>
        <v>100.47619047619048</v>
      </c>
      <c r="L55" s="152"/>
      <c r="M55" s="152"/>
    </row>
    <row r="56" spans="1:13" ht="18" x14ac:dyDescent="0.25">
      <c r="A56" s="277" t="s">
        <v>292</v>
      </c>
      <c r="B56" s="18">
        <v>42.7</v>
      </c>
      <c r="C56" s="18">
        <v>157.9</v>
      </c>
      <c r="D56" s="7">
        <v>44.6</v>
      </c>
      <c r="E56" s="7">
        <f t="shared" si="0"/>
        <v>104.44964871194379</v>
      </c>
      <c r="F56" s="7">
        <v>45.7</v>
      </c>
      <c r="G56" s="7">
        <f t="shared" si="0"/>
        <v>102.46636771300447</v>
      </c>
      <c r="H56" s="7">
        <v>46.9</v>
      </c>
      <c r="I56" s="7">
        <f t="shared" si="0"/>
        <v>102.62582056892778</v>
      </c>
      <c r="J56" s="7">
        <v>47.9</v>
      </c>
      <c r="K56" s="7">
        <f t="shared" si="0"/>
        <v>102.13219616204692</v>
      </c>
      <c r="L56" s="152"/>
      <c r="M56" s="152"/>
    </row>
    <row r="57" spans="1:13" ht="18" x14ac:dyDescent="0.25">
      <c r="A57" s="277" t="s">
        <v>293</v>
      </c>
      <c r="B57" s="18">
        <v>1.26</v>
      </c>
      <c r="C57" s="18">
        <v>100.9</v>
      </c>
      <c r="D57" s="7">
        <v>1.28</v>
      </c>
      <c r="E57" s="7">
        <f t="shared" si="0"/>
        <v>101.58730158730158</v>
      </c>
      <c r="F57" s="7">
        <v>1.29</v>
      </c>
      <c r="G57" s="7">
        <f t="shared" si="0"/>
        <v>100.78125</v>
      </c>
      <c r="H57" s="7">
        <v>1.31</v>
      </c>
      <c r="I57" s="7">
        <f t="shared" si="0"/>
        <v>101.55038759689923</v>
      </c>
      <c r="J57" s="7">
        <v>1.34</v>
      </c>
      <c r="K57" s="7">
        <f t="shared" si="0"/>
        <v>102.29007633587786</v>
      </c>
      <c r="L57" s="152"/>
      <c r="M57" s="152"/>
    </row>
    <row r="58" spans="1:13" ht="18" x14ac:dyDescent="0.25">
      <c r="A58" s="277" t="s">
        <v>294</v>
      </c>
      <c r="B58" s="18">
        <v>77.5</v>
      </c>
      <c r="C58" s="18">
        <v>122.4</v>
      </c>
      <c r="D58" s="7">
        <v>81.8</v>
      </c>
      <c r="E58" s="7">
        <f t="shared" si="0"/>
        <v>105.54838709677419</v>
      </c>
      <c r="F58" s="7">
        <v>83.9</v>
      </c>
      <c r="G58" s="7">
        <f t="shared" si="0"/>
        <v>102.5672371638142</v>
      </c>
      <c r="H58" s="7">
        <v>86</v>
      </c>
      <c r="I58" s="7">
        <f t="shared" si="0"/>
        <v>102.50297973778306</v>
      </c>
      <c r="J58" s="7">
        <v>88.8</v>
      </c>
      <c r="K58" s="7">
        <f t="shared" si="0"/>
        <v>103.25581395348837</v>
      </c>
      <c r="L58" s="152"/>
      <c r="M58" s="152"/>
    </row>
    <row r="59" spans="1:13" ht="18" x14ac:dyDescent="0.25">
      <c r="A59" s="277" t="s">
        <v>295</v>
      </c>
      <c r="B59" s="18">
        <v>195.7</v>
      </c>
      <c r="C59" s="18">
        <v>138.1</v>
      </c>
      <c r="D59" s="7">
        <v>207</v>
      </c>
      <c r="E59" s="7">
        <f t="shared" si="0"/>
        <v>105.77414409810935</v>
      </c>
      <c r="F59" s="7">
        <v>211.4</v>
      </c>
      <c r="G59" s="7">
        <f t="shared" si="0"/>
        <v>102.1256038647343</v>
      </c>
      <c r="H59" s="7">
        <v>216.7</v>
      </c>
      <c r="I59" s="7">
        <f t="shared" si="0"/>
        <v>102.50709555345317</v>
      </c>
      <c r="J59" s="7">
        <v>227.9</v>
      </c>
      <c r="K59" s="7">
        <f t="shared" si="0"/>
        <v>105.16843562528841</v>
      </c>
      <c r="L59" s="152"/>
      <c r="M59" s="152"/>
    </row>
    <row r="60" spans="1:13" ht="18" x14ac:dyDescent="0.25">
      <c r="A60" s="277" t="s">
        <v>296</v>
      </c>
      <c r="B60" s="18">
        <v>112</v>
      </c>
      <c r="C60" s="18">
        <v>113.2</v>
      </c>
      <c r="D60" s="7">
        <v>120.4</v>
      </c>
      <c r="E60" s="7">
        <f t="shared" si="0"/>
        <v>107.5</v>
      </c>
      <c r="F60" s="7">
        <v>123</v>
      </c>
      <c r="G60" s="7">
        <f t="shared" si="0"/>
        <v>102.1594684385382</v>
      </c>
      <c r="H60" s="7">
        <v>126.1</v>
      </c>
      <c r="I60" s="7">
        <f t="shared" si="0"/>
        <v>102.52032520325203</v>
      </c>
      <c r="J60" s="7">
        <v>134.69999999999999</v>
      </c>
      <c r="K60" s="7">
        <f t="shared" si="0"/>
        <v>106.81998413957177</v>
      </c>
      <c r="L60" s="152"/>
      <c r="M60" s="152"/>
    </row>
    <row r="61" spans="1:13" ht="18" x14ac:dyDescent="0.25">
      <c r="A61" s="277" t="s">
        <v>297</v>
      </c>
      <c r="B61" s="18">
        <v>2.8</v>
      </c>
      <c r="C61" s="18">
        <v>116.8</v>
      </c>
      <c r="D61" s="7">
        <v>2.9</v>
      </c>
      <c r="E61" s="7">
        <f t="shared" si="0"/>
        <v>103.57142857142858</v>
      </c>
      <c r="F61" s="7">
        <v>3</v>
      </c>
      <c r="G61" s="7">
        <f t="shared" si="0"/>
        <v>103.44827586206897</v>
      </c>
      <c r="H61" s="7">
        <v>3.1</v>
      </c>
      <c r="I61" s="7">
        <f t="shared" si="0"/>
        <v>103.33333333333334</v>
      </c>
      <c r="J61" s="7">
        <v>3.2</v>
      </c>
      <c r="K61" s="7">
        <f t="shared" si="0"/>
        <v>103.2258064516129</v>
      </c>
      <c r="L61" s="152"/>
      <c r="M61" s="152"/>
    </row>
    <row r="62" spans="1:13" ht="18" x14ac:dyDescent="0.25">
      <c r="A62" s="277" t="s">
        <v>298</v>
      </c>
      <c r="B62" s="18">
        <v>6.1</v>
      </c>
      <c r="C62" s="18">
        <v>105.6</v>
      </c>
      <c r="D62" s="7">
        <v>6.2</v>
      </c>
      <c r="E62" s="7">
        <f t="shared" si="0"/>
        <v>101.63934426229508</v>
      </c>
      <c r="F62" s="7">
        <v>6.4</v>
      </c>
      <c r="G62" s="7">
        <f t="shared" si="0"/>
        <v>103.2258064516129</v>
      </c>
      <c r="H62" s="7">
        <v>6.6</v>
      </c>
      <c r="I62" s="7">
        <f t="shared" si="0"/>
        <v>103.12499999999997</v>
      </c>
      <c r="J62" s="7">
        <v>6.7</v>
      </c>
      <c r="K62" s="7">
        <f t="shared" si="0"/>
        <v>101.51515151515152</v>
      </c>
      <c r="L62" s="152"/>
      <c r="M62" s="152"/>
    </row>
    <row r="63" spans="1:13" ht="18" x14ac:dyDescent="0.25">
      <c r="A63" s="277" t="s">
        <v>299</v>
      </c>
      <c r="B63" s="18">
        <v>4.5999999999999996</v>
      </c>
      <c r="C63" s="18">
        <v>111.3</v>
      </c>
      <c r="D63" s="7">
        <v>4.7</v>
      </c>
      <c r="E63" s="7">
        <f t="shared" si="0"/>
        <v>102.17391304347827</v>
      </c>
      <c r="F63" s="7">
        <v>4.9000000000000004</v>
      </c>
      <c r="G63" s="7">
        <f t="shared" si="0"/>
        <v>104.25531914893618</v>
      </c>
      <c r="H63" s="7">
        <v>5</v>
      </c>
      <c r="I63" s="7">
        <f t="shared" si="0"/>
        <v>102.04081632653062</v>
      </c>
      <c r="J63" s="7">
        <v>5.0999999999999996</v>
      </c>
      <c r="K63" s="7">
        <f t="shared" si="0"/>
        <v>102</v>
      </c>
      <c r="L63" s="152"/>
      <c r="M63" s="152"/>
    </row>
    <row r="64" spans="1:13" ht="18" x14ac:dyDescent="0.25">
      <c r="A64" s="277" t="s">
        <v>300</v>
      </c>
      <c r="B64" s="18">
        <v>77.400000000000006</v>
      </c>
      <c r="C64" s="18">
        <v>130.30000000000001</v>
      </c>
      <c r="D64" s="7">
        <v>81.599999999999994</v>
      </c>
      <c r="E64" s="7">
        <f t="shared" si="0"/>
        <v>105.42635658914728</v>
      </c>
      <c r="F64" s="7">
        <v>82.9</v>
      </c>
      <c r="G64" s="7">
        <f t="shared" si="0"/>
        <v>101.59313725490198</v>
      </c>
      <c r="H64" s="7">
        <v>84.6</v>
      </c>
      <c r="I64" s="7">
        <f t="shared" si="0"/>
        <v>102.05066344993968</v>
      </c>
      <c r="J64" s="7">
        <v>88.6</v>
      </c>
      <c r="K64" s="7">
        <f t="shared" si="0"/>
        <v>104.72813238770686</v>
      </c>
      <c r="L64" s="152"/>
      <c r="M64" s="152"/>
    </row>
    <row r="65" spans="1:13" ht="18" x14ac:dyDescent="0.25">
      <c r="A65" s="277" t="s">
        <v>301</v>
      </c>
      <c r="B65" s="18">
        <v>20</v>
      </c>
      <c r="C65" s="18">
        <v>130.5</v>
      </c>
      <c r="D65" s="7">
        <v>20.5</v>
      </c>
      <c r="E65" s="7">
        <f t="shared" si="0"/>
        <v>102.49999999999999</v>
      </c>
      <c r="F65" s="7">
        <v>21.2</v>
      </c>
      <c r="G65" s="7">
        <f t="shared" si="0"/>
        <v>103.41463414634147</v>
      </c>
      <c r="H65" s="7">
        <v>21.8</v>
      </c>
      <c r="I65" s="7">
        <f t="shared" si="0"/>
        <v>102.8301886792453</v>
      </c>
      <c r="J65" s="7">
        <v>22.7</v>
      </c>
      <c r="K65" s="7">
        <f t="shared" si="0"/>
        <v>104.12844036697247</v>
      </c>
      <c r="L65" s="152"/>
      <c r="M65" s="152"/>
    </row>
    <row r="66" spans="1:13" ht="18" x14ac:dyDescent="0.25">
      <c r="A66" s="277" t="s">
        <v>302</v>
      </c>
      <c r="B66" s="18">
        <v>2.2999999999999998</v>
      </c>
      <c r="C66" s="18">
        <v>130.19999999999999</v>
      </c>
      <c r="D66" s="7">
        <v>2.4</v>
      </c>
      <c r="E66" s="7">
        <f t="shared" si="0"/>
        <v>104.34782608695652</v>
      </c>
      <c r="F66" s="7">
        <v>2.4</v>
      </c>
      <c r="G66" s="7">
        <f t="shared" si="0"/>
        <v>100</v>
      </c>
      <c r="H66" s="7">
        <v>2.5</v>
      </c>
      <c r="I66" s="7">
        <f t="shared" si="0"/>
        <v>104.16666666666667</v>
      </c>
      <c r="J66" s="7">
        <v>2.5</v>
      </c>
      <c r="K66" s="7">
        <f t="shared" si="0"/>
        <v>100</v>
      </c>
      <c r="L66" s="152"/>
      <c r="M66" s="152"/>
    </row>
    <row r="67" spans="1:13" ht="18" x14ac:dyDescent="0.25">
      <c r="A67" s="277" t="s">
        <v>303</v>
      </c>
      <c r="B67" s="18">
        <v>12.9</v>
      </c>
      <c r="C67" s="18">
        <v>126.8</v>
      </c>
      <c r="D67" s="7">
        <v>13.5</v>
      </c>
      <c r="E67" s="7">
        <f t="shared" si="0"/>
        <v>104.65116279069765</v>
      </c>
      <c r="F67" s="7">
        <v>13.8</v>
      </c>
      <c r="G67" s="7">
        <f t="shared" si="0"/>
        <v>102.22222222222224</v>
      </c>
      <c r="H67" s="7">
        <v>14.1</v>
      </c>
      <c r="I67" s="7">
        <f t="shared" si="0"/>
        <v>102.17391304347825</v>
      </c>
      <c r="J67" s="7">
        <v>14.6</v>
      </c>
      <c r="K67" s="7">
        <f t="shared" si="0"/>
        <v>103.54609929078013</v>
      </c>
      <c r="L67" s="152"/>
      <c r="M67" s="152"/>
    </row>
    <row r="68" spans="1:13" ht="18" x14ac:dyDescent="0.25">
      <c r="A68" s="277" t="s">
        <v>304</v>
      </c>
      <c r="B68" s="18">
        <v>2</v>
      </c>
      <c r="C68" s="18">
        <v>114.4</v>
      </c>
      <c r="D68" s="7">
        <v>2.1</v>
      </c>
      <c r="E68" s="7">
        <f t="shared" si="0"/>
        <v>105</v>
      </c>
      <c r="F68" s="7">
        <v>2.1</v>
      </c>
      <c r="G68" s="7">
        <f t="shared" si="0"/>
        <v>100</v>
      </c>
      <c r="H68" s="7">
        <v>2.2000000000000002</v>
      </c>
      <c r="I68" s="7">
        <f t="shared" si="0"/>
        <v>104.76190476190477</v>
      </c>
      <c r="J68" s="7">
        <v>2.2000000000000002</v>
      </c>
      <c r="K68" s="7">
        <f t="shared" si="0"/>
        <v>100</v>
      </c>
      <c r="L68" s="152"/>
      <c r="M68" s="152"/>
    </row>
    <row r="69" spans="1:13" ht="36" x14ac:dyDescent="0.25">
      <c r="A69" s="118" t="s">
        <v>518</v>
      </c>
      <c r="B69" s="148">
        <v>779.8</v>
      </c>
      <c r="C69" s="148">
        <v>116</v>
      </c>
      <c r="D69" s="12">
        <v>867</v>
      </c>
      <c r="E69" s="7">
        <f t="shared" si="0"/>
        <v>111.18235444985896</v>
      </c>
      <c r="F69" s="12">
        <v>876</v>
      </c>
      <c r="G69" s="7">
        <f t="shared" si="0"/>
        <v>101.03806228373702</v>
      </c>
      <c r="H69" s="12">
        <v>920</v>
      </c>
      <c r="I69" s="7">
        <f t="shared" si="0"/>
        <v>105.02283105022832</v>
      </c>
      <c r="J69" s="12">
        <v>980</v>
      </c>
      <c r="K69" s="7">
        <f t="shared" si="0"/>
        <v>106.5217391304348</v>
      </c>
      <c r="L69" s="152"/>
      <c r="M69" s="152"/>
    </row>
    <row r="70" spans="1:13" ht="20.25" customHeight="1" x14ac:dyDescent="0.25">
      <c r="A70" s="86" t="s">
        <v>288</v>
      </c>
      <c r="B70" s="18">
        <v>2.6</v>
      </c>
      <c r="C70" s="18">
        <v>107.9</v>
      </c>
      <c r="D70" s="7">
        <v>2.75</v>
      </c>
      <c r="E70" s="7">
        <f t="shared" si="0"/>
        <v>105.76923076923077</v>
      </c>
      <c r="F70" s="7">
        <v>2.79</v>
      </c>
      <c r="G70" s="7">
        <f t="shared" si="0"/>
        <v>101.45454545454547</v>
      </c>
      <c r="H70" s="7">
        <v>2.87</v>
      </c>
      <c r="I70" s="7">
        <f t="shared" si="0"/>
        <v>102.86738351254481</v>
      </c>
      <c r="J70" s="7">
        <v>2.9</v>
      </c>
      <c r="K70" s="7">
        <f t="shared" ref="K70" si="1">J70/H70*100</f>
        <v>101.04529616724737</v>
      </c>
      <c r="L70" s="152"/>
      <c r="M70" s="152"/>
    </row>
    <row r="71" spans="1:13" ht="20.25" customHeight="1" x14ac:dyDescent="0.25">
      <c r="A71" s="86" t="s">
        <v>466</v>
      </c>
      <c r="B71" s="18">
        <v>187.3</v>
      </c>
      <c r="C71" s="18">
        <v>119</v>
      </c>
      <c r="D71" s="7">
        <v>208.2</v>
      </c>
      <c r="E71" s="7">
        <f t="shared" ref="E71:K134" si="2">D71/B71*100</f>
        <v>111.15856914041645</v>
      </c>
      <c r="F71" s="7">
        <v>210.1</v>
      </c>
      <c r="G71" s="7">
        <f t="shared" si="2"/>
        <v>100.91258405379445</v>
      </c>
      <c r="H71" s="7">
        <v>222.8</v>
      </c>
      <c r="I71" s="7">
        <f t="shared" si="2"/>
        <v>106.04474059971443</v>
      </c>
      <c r="J71" s="7">
        <v>236.1</v>
      </c>
      <c r="K71" s="7">
        <f t="shared" si="2"/>
        <v>105.96947935368041</v>
      </c>
      <c r="L71" s="152"/>
      <c r="M71" s="152"/>
    </row>
    <row r="72" spans="1:13" ht="20.25" customHeight="1" x14ac:dyDescent="0.25">
      <c r="A72" s="86" t="s">
        <v>290</v>
      </c>
      <c r="B72" s="18">
        <v>505</v>
      </c>
      <c r="C72" s="18">
        <v>112.5</v>
      </c>
      <c r="D72" s="7">
        <v>568.1</v>
      </c>
      <c r="E72" s="7">
        <f t="shared" si="2"/>
        <v>112.4950495049505</v>
      </c>
      <c r="F72" s="7">
        <v>573.20000000000005</v>
      </c>
      <c r="G72" s="7">
        <f t="shared" si="2"/>
        <v>100.89772927301533</v>
      </c>
      <c r="H72" s="7">
        <v>601.70000000000005</v>
      </c>
      <c r="I72" s="7">
        <f t="shared" si="2"/>
        <v>104.97208653175156</v>
      </c>
      <c r="J72" s="7">
        <v>646.20000000000005</v>
      </c>
      <c r="K72" s="7">
        <f t="shared" si="2"/>
        <v>107.39571214891141</v>
      </c>
      <c r="L72" s="152"/>
      <c r="M72" s="152"/>
    </row>
    <row r="73" spans="1:13" ht="20.25" customHeight="1" x14ac:dyDescent="0.25">
      <c r="A73" s="86" t="s">
        <v>291</v>
      </c>
      <c r="B73" s="18">
        <v>2.5</v>
      </c>
      <c r="C73" s="18">
        <v>164.1</v>
      </c>
      <c r="D73" s="7">
        <v>2.56</v>
      </c>
      <c r="E73" s="7">
        <f t="shared" si="2"/>
        <v>102.4</v>
      </c>
      <c r="F73" s="7">
        <v>2.63</v>
      </c>
      <c r="G73" s="7">
        <f t="shared" si="2"/>
        <v>102.734375</v>
      </c>
      <c r="H73" s="7">
        <v>2.7</v>
      </c>
      <c r="I73" s="7">
        <f t="shared" si="2"/>
        <v>102.66159695817491</v>
      </c>
      <c r="J73" s="7">
        <v>2.76</v>
      </c>
      <c r="K73" s="7">
        <f t="shared" si="2"/>
        <v>102.22222222222221</v>
      </c>
      <c r="L73" s="152"/>
      <c r="M73" s="152"/>
    </row>
    <row r="74" spans="1:13" ht="20.25" customHeight="1" x14ac:dyDescent="0.25">
      <c r="A74" s="86" t="s">
        <v>295</v>
      </c>
      <c r="B74" s="18">
        <v>29.8</v>
      </c>
      <c r="C74" s="18">
        <v>156.80000000000001</v>
      </c>
      <c r="D74" s="7">
        <v>31</v>
      </c>
      <c r="E74" s="7">
        <f t="shared" si="2"/>
        <v>104.02684563758389</v>
      </c>
      <c r="F74" s="7">
        <v>31.6</v>
      </c>
      <c r="G74" s="7">
        <f t="shared" si="2"/>
        <v>101.93548387096773</v>
      </c>
      <c r="H74" s="7">
        <v>32.4</v>
      </c>
      <c r="I74" s="7">
        <f t="shared" si="2"/>
        <v>102.53164556962024</v>
      </c>
      <c r="J74" s="7">
        <v>33.1</v>
      </c>
      <c r="K74" s="7">
        <f t="shared" si="2"/>
        <v>102.16049382716051</v>
      </c>
      <c r="L74" s="152"/>
      <c r="M74" s="152"/>
    </row>
    <row r="75" spans="1:13" ht="20.25" customHeight="1" x14ac:dyDescent="0.25">
      <c r="A75" s="86" t="s">
        <v>294</v>
      </c>
      <c r="B75" s="18">
        <v>11.7</v>
      </c>
      <c r="C75" s="18">
        <v>127.9</v>
      </c>
      <c r="D75" s="7">
        <v>11.9</v>
      </c>
      <c r="E75" s="7">
        <f t="shared" si="2"/>
        <v>101.70940170940173</v>
      </c>
      <c r="F75" s="7">
        <v>12.1</v>
      </c>
      <c r="G75" s="7">
        <f t="shared" si="2"/>
        <v>101.68067226890756</v>
      </c>
      <c r="H75" s="7">
        <v>12.4</v>
      </c>
      <c r="I75" s="7">
        <f t="shared" si="2"/>
        <v>102.47933884297522</v>
      </c>
      <c r="J75" s="7">
        <v>12.7</v>
      </c>
      <c r="K75" s="7">
        <f t="shared" si="2"/>
        <v>102.41935483870968</v>
      </c>
      <c r="L75" s="152"/>
      <c r="M75" s="152"/>
    </row>
    <row r="76" spans="1:13" ht="20.25" customHeight="1" x14ac:dyDescent="0.25">
      <c r="A76" s="86" t="s">
        <v>300</v>
      </c>
      <c r="B76" s="18">
        <v>9.9</v>
      </c>
      <c r="C76" s="18">
        <v>110.4</v>
      </c>
      <c r="D76" s="7">
        <v>10.199999999999999</v>
      </c>
      <c r="E76" s="7">
        <f t="shared" si="2"/>
        <v>103.03030303030303</v>
      </c>
      <c r="F76" s="7">
        <v>10.5</v>
      </c>
      <c r="G76" s="7">
        <f t="shared" si="2"/>
        <v>102.94117647058825</v>
      </c>
      <c r="H76" s="7">
        <v>10.8</v>
      </c>
      <c r="I76" s="7">
        <f t="shared" si="2"/>
        <v>102.85714285714288</v>
      </c>
      <c r="J76" s="7">
        <v>11.1</v>
      </c>
      <c r="K76" s="7">
        <f t="shared" si="2"/>
        <v>102.77777777777777</v>
      </c>
      <c r="L76" s="152"/>
      <c r="M76" s="152"/>
    </row>
    <row r="77" spans="1:13" ht="20.25" customHeight="1" x14ac:dyDescent="0.25">
      <c r="A77" s="86" t="s">
        <v>292</v>
      </c>
      <c r="B77" s="18">
        <v>3.5</v>
      </c>
      <c r="C77" s="18">
        <v>128.5</v>
      </c>
      <c r="D77" s="7">
        <v>3.6</v>
      </c>
      <c r="E77" s="7">
        <f t="shared" si="2"/>
        <v>102.85714285714288</v>
      </c>
      <c r="F77" s="7">
        <v>3.7</v>
      </c>
      <c r="G77" s="7">
        <f t="shared" si="2"/>
        <v>102.77777777777779</v>
      </c>
      <c r="H77" s="7">
        <v>3.8</v>
      </c>
      <c r="I77" s="7">
        <f t="shared" si="2"/>
        <v>102.70270270270269</v>
      </c>
      <c r="J77" s="7">
        <v>3.9</v>
      </c>
      <c r="K77" s="7">
        <f t="shared" si="2"/>
        <v>102.63157894736842</v>
      </c>
      <c r="L77" s="152"/>
      <c r="M77" s="152"/>
    </row>
    <row r="78" spans="1:13" ht="20.25" customHeight="1" x14ac:dyDescent="0.25">
      <c r="A78" s="86" t="s">
        <v>293</v>
      </c>
      <c r="B78" s="18">
        <v>0.09</v>
      </c>
      <c r="C78" s="18">
        <v>105</v>
      </c>
      <c r="D78" s="10">
        <v>0.1</v>
      </c>
      <c r="E78" s="7">
        <f t="shared" si="2"/>
        <v>111.11111111111111</v>
      </c>
      <c r="F78" s="10">
        <v>0.1</v>
      </c>
      <c r="G78" s="7">
        <f t="shared" si="2"/>
        <v>100</v>
      </c>
      <c r="H78" s="10">
        <v>0.1</v>
      </c>
      <c r="I78" s="7">
        <f t="shared" si="2"/>
        <v>100</v>
      </c>
      <c r="J78" s="10">
        <v>0.1</v>
      </c>
      <c r="K78" s="7">
        <f t="shared" si="2"/>
        <v>100</v>
      </c>
      <c r="L78" s="152"/>
      <c r="M78" s="152"/>
    </row>
    <row r="79" spans="1:13" ht="20.25" customHeight="1" x14ac:dyDescent="0.25">
      <c r="A79" s="86" t="s">
        <v>296</v>
      </c>
      <c r="B79" s="164">
        <v>18.2</v>
      </c>
      <c r="C79" s="18">
        <v>107.4</v>
      </c>
      <c r="D79" s="7">
        <v>19</v>
      </c>
      <c r="E79" s="7">
        <f t="shared" si="2"/>
        <v>104.39560439560441</v>
      </c>
      <c r="F79" s="7">
        <v>19.399999999999999</v>
      </c>
      <c r="G79" s="7">
        <f t="shared" si="2"/>
        <v>102.10526315789473</v>
      </c>
      <c r="H79" s="7">
        <v>20.2</v>
      </c>
      <c r="I79" s="7">
        <f t="shared" si="2"/>
        <v>104.1237113402062</v>
      </c>
      <c r="J79" s="7">
        <v>20.7</v>
      </c>
      <c r="K79" s="7">
        <f t="shared" si="2"/>
        <v>102.47524752475248</v>
      </c>
      <c r="L79" s="152"/>
      <c r="M79" s="152"/>
    </row>
    <row r="80" spans="1:13" ht="20.25" customHeight="1" x14ac:dyDescent="0.25">
      <c r="A80" s="86" t="s">
        <v>301</v>
      </c>
      <c r="B80" s="18">
        <v>6</v>
      </c>
      <c r="C80" s="18">
        <v>203.7</v>
      </c>
      <c r="D80" s="7">
        <v>6.3</v>
      </c>
      <c r="E80" s="7">
        <f t="shared" si="2"/>
        <v>105</v>
      </c>
      <c r="F80" s="7">
        <v>6.5</v>
      </c>
      <c r="G80" s="7">
        <f t="shared" si="2"/>
        <v>103.17460317460319</v>
      </c>
      <c r="H80" s="7">
        <v>6.7</v>
      </c>
      <c r="I80" s="7">
        <f t="shared" si="2"/>
        <v>103.07692307692309</v>
      </c>
      <c r="J80" s="7">
        <v>6.8</v>
      </c>
      <c r="K80" s="7">
        <f t="shared" si="2"/>
        <v>101.49253731343283</v>
      </c>
      <c r="L80" s="152"/>
      <c r="M80" s="152"/>
    </row>
    <row r="81" spans="1:13" ht="20.25" customHeight="1" x14ac:dyDescent="0.25">
      <c r="A81" s="86" t="s">
        <v>299</v>
      </c>
      <c r="B81" s="18">
        <v>0.56999999999999995</v>
      </c>
      <c r="C81" s="18">
        <v>206.6</v>
      </c>
      <c r="D81" s="10">
        <v>0.57999999999999996</v>
      </c>
      <c r="E81" s="7">
        <f t="shared" si="2"/>
        <v>101.75438596491229</v>
      </c>
      <c r="F81" s="10">
        <v>0.6</v>
      </c>
      <c r="G81" s="7">
        <f t="shared" si="2"/>
        <v>103.44827586206897</v>
      </c>
      <c r="H81" s="10">
        <v>0.61</v>
      </c>
      <c r="I81" s="7">
        <f t="shared" si="2"/>
        <v>101.66666666666666</v>
      </c>
      <c r="J81" s="10">
        <v>0.63</v>
      </c>
      <c r="K81" s="7">
        <f t="shared" si="2"/>
        <v>103.27868852459017</v>
      </c>
      <c r="L81" s="152"/>
      <c r="M81" s="152"/>
    </row>
    <row r="82" spans="1:13" ht="20.25" customHeight="1" x14ac:dyDescent="0.25">
      <c r="A82" s="86" t="s">
        <v>304</v>
      </c>
      <c r="B82" s="164">
        <v>0.08</v>
      </c>
      <c r="C82" s="18">
        <v>109.9</v>
      </c>
      <c r="D82" s="10">
        <v>0.08</v>
      </c>
      <c r="E82" s="7">
        <f t="shared" si="2"/>
        <v>100</v>
      </c>
      <c r="F82" s="10">
        <v>0.08</v>
      </c>
      <c r="G82" s="7">
        <f t="shared" si="2"/>
        <v>100</v>
      </c>
      <c r="H82" s="10">
        <v>0.09</v>
      </c>
      <c r="I82" s="7">
        <f t="shared" si="2"/>
        <v>112.5</v>
      </c>
      <c r="J82" s="10">
        <v>0.09</v>
      </c>
      <c r="K82" s="7">
        <f t="shared" si="2"/>
        <v>100</v>
      </c>
      <c r="L82" s="152"/>
      <c r="M82" s="152"/>
    </row>
    <row r="83" spans="1:13" ht="20.25" customHeight="1" x14ac:dyDescent="0.25">
      <c r="A83" s="86" t="s">
        <v>303</v>
      </c>
      <c r="B83" s="164">
        <v>1.6</v>
      </c>
      <c r="C83" s="18">
        <v>166.3</v>
      </c>
      <c r="D83" s="10">
        <v>1.68</v>
      </c>
      <c r="E83" s="7">
        <f t="shared" si="2"/>
        <v>104.99999999999999</v>
      </c>
      <c r="F83" s="10">
        <v>1.74</v>
      </c>
      <c r="G83" s="7">
        <f t="shared" si="2"/>
        <v>103.57142857142858</v>
      </c>
      <c r="H83" s="10">
        <v>1.79</v>
      </c>
      <c r="I83" s="7">
        <f t="shared" si="2"/>
        <v>102.87356321839081</v>
      </c>
      <c r="J83" s="10">
        <v>1.83</v>
      </c>
      <c r="K83" s="7">
        <f t="shared" si="2"/>
        <v>102.23463687150837</v>
      </c>
      <c r="L83" s="152"/>
      <c r="M83" s="152"/>
    </row>
    <row r="84" spans="1:13" ht="20.25" customHeight="1" x14ac:dyDescent="0.25">
      <c r="A84" s="86" t="s">
        <v>298</v>
      </c>
      <c r="B84" s="164">
        <v>0.55000000000000004</v>
      </c>
      <c r="C84" s="18">
        <v>108</v>
      </c>
      <c r="D84" s="10">
        <v>0.56999999999999995</v>
      </c>
      <c r="E84" s="7">
        <f t="shared" si="2"/>
        <v>103.63636363636361</v>
      </c>
      <c r="F84" s="10">
        <v>0.57999999999999996</v>
      </c>
      <c r="G84" s="7">
        <f t="shared" si="2"/>
        <v>101.75438596491229</v>
      </c>
      <c r="H84" s="10">
        <v>0.6</v>
      </c>
      <c r="I84" s="7">
        <f t="shared" si="2"/>
        <v>103.44827586206897</v>
      </c>
      <c r="J84" s="10">
        <v>0.62</v>
      </c>
      <c r="K84" s="7">
        <f t="shared" si="2"/>
        <v>103.33333333333334</v>
      </c>
      <c r="L84" s="152"/>
      <c r="M84" s="152"/>
    </row>
    <row r="85" spans="1:13" ht="20.25" customHeight="1" x14ac:dyDescent="0.25">
      <c r="A85" s="86" t="s">
        <v>297</v>
      </c>
      <c r="B85" s="164">
        <v>0.2</v>
      </c>
      <c r="C85" s="280">
        <v>2043</v>
      </c>
      <c r="D85" s="10">
        <v>0.21</v>
      </c>
      <c r="E85" s="7">
        <f t="shared" si="2"/>
        <v>104.99999999999999</v>
      </c>
      <c r="F85" s="10">
        <v>0.22</v>
      </c>
      <c r="G85" s="7">
        <f t="shared" si="2"/>
        <v>104.76190476190477</v>
      </c>
      <c r="H85" s="10">
        <v>0.22</v>
      </c>
      <c r="I85" s="7">
        <f t="shared" si="2"/>
        <v>100</v>
      </c>
      <c r="J85" s="10">
        <v>0.23</v>
      </c>
      <c r="K85" s="7">
        <f t="shared" si="2"/>
        <v>104.54545454545455</v>
      </c>
      <c r="L85" s="152"/>
      <c r="M85" s="152"/>
    </row>
    <row r="86" spans="1:13" ht="20.25" customHeight="1" x14ac:dyDescent="0.25">
      <c r="A86" s="86" t="s">
        <v>519</v>
      </c>
      <c r="B86" s="164">
        <v>0.19</v>
      </c>
      <c r="C86" s="18">
        <v>56.7</v>
      </c>
      <c r="D86" s="10">
        <v>0.19</v>
      </c>
      <c r="E86" s="7">
        <f t="shared" si="2"/>
        <v>100</v>
      </c>
      <c r="F86" s="10">
        <v>0.2</v>
      </c>
      <c r="G86" s="7">
        <f t="shared" si="2"/>
        <v>105.26315789473684</v>
      </c>
      <c r="H86" s="10">
        <v>0.21</v>
      </c>
      <c r="I86" s="7">
        <f t="shared" si="2"/>
        <v>104.99999999999999</v>
      </c>
      <c r="J86" s="10">
        <v>0.21</v>
      </c>
      <c r="K86" s="7">
        <f t="shared" si="2"/>
        <v>100</v>
      </c>
      <c r="L86" s="152"/>
      <c r="M86" s="152"/>
    </row>
    <row r="87" spans="1:13" ht="33" customHeight="1" x14ac:dyDescent="0.25">
      <c r="A87" s="44" t="s">
        <v>520</v>
      </c>
      <c r="B87" s="73">
        <v>1009.9</v>
      </c>
      <c r="C87" s="59">
        <v>119.9</v>
      </c>
      <c r="D87" s="35">
        <v>1067</v>
      </c>
      <c r="E87" s="35">
        <f t="shared" si="2"/>
        <v>105.65402515100506</v>
      </c>
      <c r="F87" s="35">
        <v>1136.3</v>
      </c>
      <c r="G87" s="35">
        <f t="shared" si="2"/>
        <v>106.49484536082474</v>
      </c>
      <c r="H87" s="35">
        <v>1194.5</v>
      </c>
      <c r="I87" s="35">
        <f t="shared" si="2"/>
        <v>105.12188682566223</v>
      </c>
      <c r="J87" s="35">
        <v>1317</v>
      </c>
      <c r="K87" s="35">
        <f t="shared" si="2"/>
        <v>110.25533696107158</v>
      </c>
      <c r="L87" s="152"/>
      <c r="M87" s="152"/>
    </row>
    <row r="88" spans="1:13" ht="18" x14ac:dyDescent="0.25">
      <c r="A88" s="50" t="s">
        <v>466</v>
      </c>
      <c r="B88" s="59">
        <v>221.8</v>
      </c>
      <c r="C88" s="59">
        <v>149.30000000000001</v>
      </c>
      <c r="D88" s="35">
        <v>236.2</v>
      </c>
      <c r="E88" s="35">
        <f t="shared" si="2"/>
        <v>106.49233543733092</v>
      </c>
      <c r="F88" s="35">
        <v>249.9</v>
      </c>
      <c r="G88" s="35">
        <f t="shared" si="2"/>
        <v>105.80016934801017</v>
      </c>
      <c r="H88" s="35">
        <v>260.89999999999998</v>
      </c>
      <c r="I88" s="35">
        <f t="shared" si="2"/>
        <v>104.40176070428171</v>
      </c>
      <c r="J88" s="35">
        <v>301</v>
      </c>
      <c r="K88" s="35">
        <f t="shared" si="2"/>
        <v>115.36987351475662</v>
      </c>
      <c r="L88" s="152"/>
      <c r="M88" s="152"/>
    </row>
    <row r="89" spans="1:13" ht="18" x14ac:dyDescent="0.25">
      <c r="A89" s="50" t="s">
        <v>290</v>
      </c>
      <c r="B89" s="59">
        <v>764.3</v>
      </c>
      <c r="C89" s="59">
        <v>112.9</v>
      </c>
      <c r="D89" s="35">
        <v>806.3</v>
      </c>
      <c r="E89" s="35">
        <f t="shared" si="2"/>
        <v>105.49522438832919</v>
      </c>
      <c r="F89" s="35">
        <v>861.2</v>
      </c>
      <c r="G89" s="35">
        <f t="shared" si="2"/>
        <v>106.80888006945307</v>
      </c>
      <c r="H89" s="35">
        <v>907.7</v>
      </c>
      <c r="I89" s="35">
        <f t="shared" si="2"/>
        <v>105.39944263817928</v>
      </c>
      <c r="J89" s="35">
        <v>989.4</v>
      </c>
      <c r="K89" s="35">
        <f t="shared" si="2"/>
        <v>109.00077117990526</v>
      </c>
      <c r="L89" s="152"/>
      <c r="M89" s="152"/>
    </row>
    <row r="90" spans="1:13" ht="18" x14ac:dyDescent="0.25">
      <c r="A90" s="50" t="s">
        <v>295</v>
      </c>
      <c r="B90" s="59">
        <v>11.8</v>
      </c>
      <c r="C90" s="59">
        <v>158</v>
      </c>
      <c r="D90" s="35">
        <v>12.1</v>
      </c>
      <c r="E90" s="35">
        <f t="shared" si="2"/>
        <v>102.54237288135593</v>
      </c>
      <c r="F90" s="35">
        <v>12.5</v>
      </c>
      <c r="G90" s="35">
        <f t="shared" si="2"/>
        <v>103.30578512396696</v>
      </c>
      <c r="H90" s="35">
        <v>12.8</v>
      </c>
      <c r="I90" s="35">
        <f t="shared" si="2"/>
        <v>102.4</v>
      </c>
      <c r="J90" s="35">
        <v>13.3</v>
      </c>
      <c r="K90" s="35">
        <f t="shared" si="2"/>
        <v>103.90625</v>
      </c>
      <c r="L90" s="152"/>
      <c r="M90" s="152"/>
    </row>
    <row r="91" spans="1:13" ht="18" x14ac:dyDescent="0.25">
      <c r="A91" s="50" t="s">
        <v>294</v>
      </c>
      <c r="B91" s="59">
        <v>4</v>
      </c>
      <c r="C91" s="59">
        <v>124.7</v>
      </c>
      <c r="D91" s="35">
        <v>4.0999999999999996</v>
      </c>
      <c r="E91" s="35">
        <f t="shared" si="2"/>
        <v>102.49999999999999</v>
      </c>
      <c r="F91" s="35">
        <v>4.2</v>
      </c>
      <c r="G91" s="35">
        <f t="shared" si="2"/>
        <v>102.4390243902439</v>
      </c>
      <c r="H91" s="35">
        <v>4.3</v>
      </c>
      <c r="I91" s="35">
        <f t="shared" si="2"/>
        <v>102.38095238095238</v>
      </c>
      <c r="J91" s="35">
        <v>4.4000000000000004</v>
      </c>
      <c r="K91" s="35">
        <f t="shared" si="2"/>
        <v>102.32558139534885</v>
      </c>
      <c r="L91" s="152"/>
      <c r="M91" s="152"/>
    </row>
    <row r="92" spans="1:13" ht="18" x14ac:dyDescent="0.25">
      <c r="A92" s="50" t="s">
        <v>300</v>
      </c>
      <c r="B92" s="59">
        <v>1.5</v>
      </c>
      <c r="C92" s="59">
        <v>142.1</v>
      </c>
      <c r="D92" s="35">
        <v>1.5</v>
      </c>
      <c r="E92" s="35">
        <f t="shared" si="2"/>
        <v>100</v>
      </c>
      <c r="F92" s="72">
        <v>1.5</v>
      </c>
      <c r="G92" s="35">
        <f t="shared" si="2"/>
        <v>100</v>
      </c>
      <c r="H92" s="72">
        <v>1.6</v>
      </c>
      <c r="I92" s="35">
        <f t="shared" si="2"/>
        <v>106.66666666666667</v>
      </c>
      <c r="J92" s="35">
        <v>1.6</v>
      </c>
      <c r="K92" s="35">
        <f t="shared" si="2"/>
        <v>100</v>
      </c>
      <c r="L92" s="152"/>
      <c r="M92" s="152"/>
    </row>
    <row r="93" spans="1:13" ht="18" x14ac:dyDescent="0.25">
      <c r="A93" s="50" t="s">
        <v>292</v>
      </c>
      <c r="B93" s="59">
        <v>0.9</v>
      </c>
      <c r="C93" s="59">
        <v>63.2</v>
      </c>
      <c r="D93" s="72">
        <v>0.96</v>
      </c>
      <c r="E93" s="35">
        <f t="shared" si="2"/>
        <v>106.66666666666667</v>
      </c>
      <c r="F93" s="35">
        <v>0.99</v>
      </c>
      <c r="G93" s="35">
        <f t="shared" si="2"/>
        <v>103.125</v>
      </c>
      <c r="H93" s="35">
        <v>1.01</v>
      </c>
      <c r="I93" s="35">
        <f t="shared" si="2"/>
        <v>102.02020202020201</v>
      </c>
      <c r="J93" s="35">
        <v>1.03</v>
      </c>
      <c r="K93" s="35">
        <f t="shared" si="2"/>
        <v>101.98019801980197</v>
      </c>
      <c r="L93" s="152"/>
      <c r="M93" s="152"/>
    </row>
    <row r="94" spans="1:13" ht="18" x14ac:dyDescent="0.25">
      <c r="A94" s="50" t="s">
        <v>293</v>
      </c>
      <c r="B94" s="59">
        <v>0.15</v>
      </c>
      <c r="C94" s="59">
        <v>109.5</v>
      </c>
      <c r="D94" s="72">
        <v>0.15</v>
      </c>
      <c r="E94" s="35">
        <f t="shared" si="2"/>
        <v>100</v>
      </c>
      <c r="F94" s="72">
        <v>0.159</v>
      </c>
      <c r="G94" s="35">
        <f t="shared" si="2"/>
        <v>106</v>
      </c>
      <c r="H94" s="72">
        <v>0.16200000000000001</v>
      </c>
      <c r="I94" s="35">
        <f t="shared" si="2"/>
        <v>101.88679245283019</v>
      </c>
      <c r="J94" s="72">
        <v>0.16400000000000001</v>
      </c>
      <c r="K94" s="35">
        <f t="shared" si="2"/>
        <v>101.23456790123457</v>
      </c>
      <c r="L94" s="152"/>
      <c r="M94" s="152"/>
    </row>
    <row r="95" spans="1:13" ht="18" x14ac:dyDescent="0.25">
      <c r="A95" s="50" t="s">
        <v>296</v>
      </c>
      <c r="B95" s="73">
        <v>5.2</v>
      </c>
      <c r="C95" s="59">
        <v>139.6</v>
      </c>
      <c r="D95" s="35">
        <v>5.4</v>
      </c>
      <c r="E95" s="35">
        <f t="shared" si="2"/>
        <v>103.84615384615385</v>
      </c>
      <c r="F95" s="35">
        <v>5.5</v>
      </c>
      <c r="G95" s="35">
        <f t="shared" si="2"/>
        <v>101.85185185185183</v>
      </c>
      <c r="H95" s="35">
        <v>5.7</v>
      </c>
      <c r="I95" s="35">
        <f t="shared" si="2"/>
        <v>103.63636363636364</v>
      </c>
      <c r="J95" s="35">
        <v>5.8</v>
      </c>
      <c r="K95" s="35">
        <f t="shared" si="2"/>
        <v>101.75438596491226</v>
      </c>
      <c r="L95" s="152"/>
      <c r="M95" s="152"/>
    </row>
    <row r="96" spans="1:13" ht="18" x14ac:dyDescent="0.25">
      <c r="A96" s="50" t="s">
        <v>301</v>
      </c>
      <c r="B96" s="59">
        <v>0.2</v>
      </c>
      <c r="C96" s="59">
        <v>115.8</v>
      </c>
      <c r="D96" s="72">
        <v>0.26</v>
      </c>
      <c r="E96" s="35">
        <f t="shared" si="2"/>
        <v>130</v>
      </c>
      <c r="F96" s="72">
        <v>0.27</v>
      </c>
      <c r="G96" s="35">
        <f t="shared" si="2"/>
        <v>103.84615384615385</v>
      </c>
      <c r="H96" s="72">
        <v>0.27</v>
      </c>
      <c r="I96" s="35">
        <f t="shared" si="2"/>
        <v>100</v>
      </c>
      <c r="J96" s="72">
        <v>0.28000000000000003</v>
      </c>
      <c r="K96" s="35">
        <f t="shared" si="2"/>
        <v>103.7037037037037</v>
      </c>
      <c r="L96" s="152"/>
      <c r="M96" s="152"/>
    </row>
    <row r="97" spans="1:13" ht="18" x14ac:dyDescent="0.25">
      <c r="A97" s="50" t="s">
        <v>521</v>
      </c>
      <c r="B97" s="73">
        <v>0.03</v>
      </c>
      <c r="C97" s="59">
        <v>150</v>
      </c>
      <c r="D97" s="72">
        <v>3.2000000000000001E-2</v>
      </c>
      <c r="E97" s="35">
        <f t="shared" si="2"/>
        <v>106.66666666666667</v>
      </c>
      <c r="F97" s="72">
        <v>3.3000000000000002E-2</v>
      </c>
      <c r="G97" s="35">
        <f t="shared" si="2"/>
        <v>103.125</v>
      </c>
      <c r="H97" s="72">
        <v>3.4000000000000002E-2</v>
      </c>
      <c r="I97" s="35">
        <f t="shared" si="2"/>
        <v>103.03030303030303</v>
      </c>
      <c r="J97" s="72">
        <v>3.5000000000000003E-2</v>
      </c>
      <c r="K97" s="35">
        <f t="shared" si="2"/>
        <v>102.94117647058825</v>
      </c>
      <c r="L97" s="152"/>
      <c r="M97" s="152"/>
    </row>
    <row r="98" spans="1:13" ht="31.5" customHeight="1" x14ac:dyDescent="0.25">
      <c r="A98" s="44" t="s">
        <v>522</v>
      </c>
      <c r="B98" s="148">
        <v>664.3</v>
      </c>
      <c r="C98" s="148">
        <v>129.69999999999999</v>
      </c>
      <c r="D98" s="12">
        <v>670</v>
      </c>
      <c r="E98" s="35">
        <f t="shared" si="2"/>
        <v>100.85804606352553</v>
      </c>
      <c r="F98" s="12">
        <v>702</v>
      </c>
      <c r="G98" s="35">
        <f t="shared" si="2"/>
        <v>104.77611940298507</v>
      </c>
      <c r="H98" s="12">
        <v>726</v>
      </c>
      <c r="I98" s="35">
        <f t="shared" si="2"/>
        <v>103.41880341880344</v>
      </c>
      <c r="J98" s="12">
        <v>757</v>
      </c>
      <c r="K98" s="35">
        <f t="shared" si="2"/>
        <v>104.26997245179064</v>
      </c>
      <c r="L98" s="152"/>
      <c r="M98" s="152"/>
    </row>
    <row r="99" spans="1:13" ht="14.25" customHeight="1" x14ac:dyDescent="0.25">
      <c r="A99" s="50" t="s">
        <v>288</v>
      </c>
      <c r="B99" s="59">
        <v>23.6</v>
      </c>
      <c r="C99" s="59">
        <v>105.9</v>
      </c>
      <c r="D99" s="35">
        <v>24</v>
      </c>
      <c r="E99" s="35">
        <f t="shared" si="2"/>
        <v>101.69491525423729</v>
      </c>
      <c r="F99" s="35">
        <v>24.7</v>
      </c>
      <c r="G99" s="35">
        <f t="shared" si="2"/>
        <v>102.91666666666666</v>
      </c>
      <c r="H99" s="35">
        <v>25.5</v>
      </c>
      <c r="I99" s="35">
        <f t="shared" si="2"/>
        <v>103.23886639676114</v>
      </c>
      <c r="J99" s="35">
        <v>25.7</v>
      </c>
      <c r="K99" s="35">
        <f t="shared" si="2"/>
        <v>100.78431372549019</v>
      </c>
      <c r="L99" s="152"/>
      <c r="M99" s="152"/>
    </row>
    <row r="100" spans="1:13" ht="18" x14ac:dyDescent="0.25">
      <c r="A100" s="50" t="s">
        <v>466</v>
      </c>
      <c r="B100" s="59">
        <v>222.5</v>
      </c>
      <c r="C100" s="59">
        <v>178.8</v>
      </c>
      <c r="D100" s="35">
        <v>222.5</v>
      </c>
      <c r="E100" s="35">
        <f t="shared" si="2"/>
        <v>100</v>
      </c>
      <c r="F100" s="35">
        <v>233.2</v>
      </c>
      <c r="G100" s="35">
        <f t="shared" si="2"/>
        <v>104.80898876404494</v>
      </c>
      <c r="H100" s="35">
        <v>240.6</v>
      </c>
      <c r="I100" s="35">
        <f t="shared" si="2"/>
        <v>103.17324185248712</v>
      </c>
      <c r="J100" s="35">
        <v>251</v>
      </c>
      <c r="K100" s="35">
        <f t="shared" si="2"/>
        <v>104.32252701579385</v>
      </c>
      <c r="L100" s="152"/>
      <c r="M100" s="152"/>
    </row>
    <row r="101" spans="1:13" ht="18" x14ac:dyDescent="0.25">
      <c r="A101" s="50" t="s">
        <v>290</v>
      </c>
      <c r="B101" s="59">
        <v>276.2</v>
      </c>
      <c r="C101" s="59">
        <v>116.2</v>
      </c>
      <c r="D101" s="35">
        <v>276.5</v>
      </c>
      <c r="E101" s="35">
        <f t="shared" si="2"/>
        <v>100.10861694424331</v>
      </c>
      <c r="F101" s="35">
        <v>292.7</v>
      </c>
      <c r="G101" s="35">
        <f t="shared" si="2"/>
        <v>105.85895117540687</v>
      </c>
      <c r="H101" s="35">
        <v>303.89999999999998</v>
      </c>
      <c r="I101" s="35">
        <f t="shared" si="2"/>
        <v>103.82644345746496</v>
      </c>
      <c r="J101" s="35">
        <v>321.89999999999998</v>
      </c>
      <c r="K101" s="35">
        <f t="shared" si="2"/>
        <v>105.92300098716683</v>
      </c>
      <c r="L101" s="152"/>
      <c r="M101" s="152"/>
    </row>
    <row r="102" spans="1:13" ht="18" x14ac:dyDescent="0.25">
      <c r="A102" s="50" t="s">
        <v>291</v>
      </c>
      <c r="B102" s="59">
        <v>0.9</v>
      </c>
      <c r="C102" s="59">
        <v>161.5</v>
      </c>
      <c r="D102" s="35">
        <v>0.9</v>
      </c>
      <c r="E102" s="35">
        <f t="shared" si="2"/>
        <v>100</v>
      </c>
      <c r="F102" s="35">
        <v>0.9</v>
      </c>
      <c r="G102" s="35">
        <f t="shared" si="2"/>
        <v>100</v>
      </c>
      <c r="H102" s="35">
        <v>0.9</v>
      </c>
      <c r="I102" s="35">
        <f t="shared" si="2"/>
        <v>100</v>
      </c>
      <c r="J102" s="35">
        <v>0.9</v>
      </c>
      <c r="K102" s="35">
        <f t="shared" si="2"/>
        <v>100</v>
      </c>
      <c r="L102" s="152"/>
      <c r="M102" s="152"/>
    </row>
    <row r="103" spans="1:13" ht="18" x14ac:dyDescent="0.25">
      <c r="A103" s="50" t="s">
        <v>295</v>
      </c>
      <c r="B103" s="73">
        <v>5.9</v>
      </c>
      <c r="C103" s="59">
        <v>101.7</v>
      </c>
      <c r="D103" s="35">
        <v>6.1</v>
      </c>
      <c r="E103" s="35">
        <f t="shared" si="2"/>
        <v>103.38983050847457</v>
      </c>
      <c r="F103" s="35">
        <v>6.3</v>
      </c>
      <c r="G103" s="35">
        <f t="shared" si="2"/>
        <v>103.27868852459017</v>
      </c>
      <c r="H103" s="35">
        <v>6.4</v>
      </c>
      <c r="I103" s="35">
        <f t="shared" si="2"/>
        <v>101.58730158730161</v>
      </c>
      <c r="J103" s="35">
        <v>6.5</v>
      </c>
      <c r="K103" s="35">
        <f t="shared" si="2"/>
        <v>101.5625</v>
      </c>
      <c r="L103" s="152"/>
      <c r="M103" s="152"/>
    </row>
    <row r="104" spans="1:13" ht="18" x14ac:dyDescent="0.25">
      <c r="A104" s="50" t="s">
        <v>294</v>
      </c>
      <c r="B104" s="59">
        <v>25.4</v>
      </c>
      <c r="C104" s="59">
        <v>112.6</v>
      </c>
      <c r="D104" s="35">
        <v>26</v>
      </c>
      <c r="E104" s="35">
        <f t="shared" si="2"/>
        <v>102.36220472440945</v>
      </c>
      <c r="F104" s="35">
        <v>26.7</v>
      </c>
      <c r="G104" s="35">
        <f t="shared" si="2"/>
        <v>102.69230769230768</v>
      </c>
      <c r="H104" s="35">
        <v>27.5</v>
      </c>
      <c r="I104" s="35">
        <f t="shared" si="2"/>
        <v>102.99625468164794</v>
      </c>
      <c r="J104" s="35">
        <v>28</v>
      </c>
      <c r="K104" s="35">
        <f t="shared" si="2"/>
        <v>101.81818181818181</v>
      </c>
      <c r="L104" s="152"/>
      <c r="M104" s="152"/>
    </row>
    <row r="105" spans="1:13" ht="18" x14ac:dyDescent="0.25">
      <c r="A105" s="50" t="s">
        <v>300</v>
      </c>
      <c r="B105" s="59">
        <v>9.3000000000000007</v>
      </c>
      <c r="C105" s="59">
        <v>110.3</v>
      </c>
      <c r="D105" s="35">
        <v>9.5</v>
      </c>
      <c r="E105" s="35">
        <f t="shared" si="2"/>
        <v>102.15053763440861</v>
      </c>
      <c r="F105" s="35">
        <v>9.8000000000000007</v>
      </c>
      <c r="G105" s="35">
        <f t="shared" si="2"/>
        <v>103.15789473684211</v>
      </c>
      <c r="H105" s="35">
        <v>10.1</v>
      </c>
      <c r="I105" s="35">
        <f t="shared" si="2"/>
        <v>103.0612244897959</v>
      </c>
      <c r="J105" s="35">
        <v>10.199999999999999</v>
      </c>
      <c r="K105" s="35">
        <f t="shared" si="2"/>
        <v>100.99009900990099</v>
      </c>
      <c r="L105" s="152"/>
      <c r="M105" s="152"/>
    </row>
    <row r="106" spans="1:13" ht="18" x14ac:dyDescent="0.25">
      <c r="A106" s="50" t="s">
        <v>292</v>
      </c>
      <c r="B106" s="59">
        <v>7.9</v>
      </c>
      <c r="C106" s="59">
        <v>100.2</v>
      </c>
      <c r="D106" s="35">
        <v>8</v>
      </c>
      <c r="E106" s="35">
        <f t="shared" si="2"/>
        <v>101.26582278481011</v>
      </c>
      <c r="F106" s="35">
        <v>8.1</v>
      </c>
      <c r="G106" s="35">
        <f t="shared" si="2"/>
        <v>101.25</v>
      </c>
      <c r="H106" s="35">
        <v>8.1999999999999993</v>
      </c>
      <c r="I106" s="35">
        <f t="shared" si="2"/>
        <v>101.23456790123457</v>
      </c>
      <c r="J106" s="35">
        <v>8.3000000000000007</v>
      </c>
      <c r="K106" s="35">
        <f t="shared" si="2"/>
        <v>101.21951219512198</v>
      </c>
      <c r="L106" s="152"/>
      <c r="M106" s="152"/>
    </row>
    <row r="107" spans="1:13" ht="18" x14ac:dyDescent="0.25">
      <c r="A107" s="50" t="s">
        <v>293</v>
      </c>
      <c r="B107" s="59">
        <v>1.9</v>
      </c>
      <c r="C107" s="59">
        <v>101.6</v>
      </c>
      <c r="D107" s="35">
        <v>1.9</v>
      </c>
      <c r="E107" s="35">
        <f t="shared" si="2"/>
        <v>100</v>
      </c>
      <c r="F107" s="35">
        <v>2</v>
      </c>
      <c r="G107" s="35">
        <f t="shared" si="2"/>
        <v>105.26315789473684</v>
      </c>
      <c r="H107" s="35">
        <v>2</v>
      </c>
      <c r="I107" s="35">
        <f t="shared" si="2"/>
        <v>100</v>
      </c>
      <c r="J107" s="35">
        <v>2</v>
      </c>
      <c r="K107" s="35">
        <f t="shared" si="2"/>
        <v>100</v>
      </c>
      <c r="L107" s="152"/>
      <c r="M107" s="152"/>
    </row>
    <row r="108" spans="1:13" ht="18" x14ac:dyDescent="0.25">
      <c r="A108" s="50" t="s">
        <v>296</v>
      </c>
      <c r="B108" s="59">
        <v>21</v>
      </c>
      <c r="C108" s="59">
        <v>124.3</v>
      </c>
      <c r="D108" s="35">
        <v>22.1</v>
      </c>
      <c r="E108" s="35">
        <f t="shared" si="2"/>
        <v>105.23809523809524</v>
      </c>
      <c r="F108" s="35">
        <v>23.2</v>
      </c>
      <c r="G108" s="35">
        <f t="shared" si="2"/>
        <v>104.97737556561084</v>
      </c>
      <c r="H108" s="35">
        <v>24.5</v>
      </c>
      <c r="I108" s="35">
        <f t="shared" si="2"/>
        <v>105.60344827586208</v>
      </c>
      <c r="J108" s="109">
        <v>24.8</v>
      </c>
      <c r="K108" s="35">
        <f t="shared" si="2"/>
        <v>101.22448979591836</v>
      </c>
      <c r="L108" s="152"/>
      <c r="M108" s="152"/>
    </row>
    <row r="109" spans="1:13" ht="18" x14ac:dyDescent="0.25">
      <c r="A109" s="50" t="s">
        <v>301</v>
      </c>
      <c r="B109" s="59">
        <v>10.3</v>
      </c>
      <c r="C109" s="59">
        <v>123</v>
      </c>
      <c r="D109" s="35">
        <v>10.8</v>
      </c>
      <c r="E109" s="35">
        <f t="shared" si="2"/>
        <v>104.85436893203884</v>
      </c>
      <c r="F109" s="35">
        <v>11.1</v>
      </c>
      <c r="G109" s="35">
        <f t="shared" si="2"/>
        <v>102.77777777777777</v>
      </c>
      <c r="H109" s="35">
        <v>11.6</v>
      </c>
      <c r="I109" s="35">
        <f t="shared" si="2"/>
        <v>104.5045045045045</v>
      </c>
      <c r="J109" s="109">
        <v>11.8</v>
      </c>
      <c r="K109" s="35">
        <f t="shared" si="2"/>
        <v>101.72413793103449</v>
      </c>
      <c r="L109" s="152"/>
      <c r="M109" s="152"/>
    </row>
    <row r="110" spans="1:13" ht="18" x14ac:dyDescent="0.25">
      <c r="A110" s="50" t="s">
        <v>299</v>
      </c>
      <c r="B110" s="59">
        <v>6.6</v>
      </c>
      <c r="C110" s="59">
        <v>1001.1</v>
      </c>
      <c r="D110" s="35">
        <v>6.6</v>
      </c>
      <c r="E110" s="35">
        <f t="shared" si="2"/>
        <v>100</v>
      </c>
      <c r="F110" s="35">
        <v>6.7</v>
      </c>
      <c r="G110" s="35">
        <f t="shared" si="2"/>
        <v>101.51515151515152</v>
      </c>
      <c r="H110" s="35">
        <v>6.8</v>
      </c>
      <c r="I110" s="35">
        <f t="shared" si="2"/>
        <v>101.49253731343283</v>
      </c>
      <c r="J110" s="109">
        <v>6.9</v>
      </c>
      <c r="K110" s="35">
        <f t="shared" si="2"/>
        <v>101.47058823529413</v>
      </c>
      <c r="L110" s="152"/>
      <c r="M110" s="152"/>
    </row>
    <row r="111" spans="1:13" ht="18" x14ac:dyDescent="0.25">
      <c r="A111" s="50" t="s">
        <v>304</v>
      </c>
      <c r="B111" s="59">
        <v>2.1</v>
      </c>
      <c r="C111" s="59">
        <v>104.5</v>
      </c>
      <c r="D111" s="35">
        <v>2.1</v>
      </c>
      <c r="E111" s="35">
        <f t="shared" si="2"/>
        <v>100</v>
      </c>
      <c r="F111" s="35">
        <v>2.2000000000000002</v>
      </c>
      <c r="G111" s="35">
        <f t="shared" si="2"/>
        <v>104.76190476190477</v>
      </c>
      <c r="H111" s="35">
        <v>2.2000000000000002</v>
      </c>
      <c r="I111" s="35">
        <f t="shared" si="2"/>
        <v>100</v>
      </c>
      <c r="J111" s="109">
        <v>2.2999999999999998</v>
      </c>
      <c r="K111" s="35">
        <f t="shared" si="2"/>
        <v>104.54545454545452</v>
      </c>
      <c r="L111" s="152"/>
      <c r="M111" s="152"/>
    </row>
    <row r="112" spans="1:13" ht="14.25" customHeight="1" x14ac:dyDescent="0.25">
      <c r="A112" s="50" t="s">
        <v>303</v>
      </c>
      <c r="B112" s="59">
        <v>35.799999999999997</v>
      </c>
      <c r="C112" s="59">
        <v>107.4</v>
      </c>
      <c r="D112" s="35">
        <v>37.6</v>
      </c>
      <c r="E112" s="35">
        <f t="shared" si="2"/>
        <v>105.02793296089388</v>
      </c>
      <c r="F112" s="35">
        <v>38.700000000000003</v>
      </c>
      <c r="G112" s="35">
        <f t="shared" si="2"/>
        <v>102.92553191489363</v>
      </c>
      <c r="H112" s="35">
        <v>39.799999999999997</v>
      </c>
      <c r="I112" s="35">
        <f t="shared" si="2"/>
        <v>102.84237726098189</v>
      </c>
      <c r="J112" s="109">
        <v>40.4</v>
      </c>
      <c r="K112" s="35">
        <f t="shared" si="2"/>
        <v>101.50753768844221</v>
      </c>
      <c r="L112" s="152"/>
      <c r="M112" s="152"/>
    </row>
    <row r="113" spans="1:13" ht="18" x14ac:dyDescent="0.25">
      <c r="A113" s="50" t="s">
        <v>298</v>
      </c>
      <c r="B113" s="59">
        <v>5.6</v>
      </c>
      <c r="C113" s="59">
        <v>101.1</v>
      </c>
      <c r="D113" s="35">
        <v>5.7</v>
      </c>
      <c r="E113" s="35">
        <f t="shared" si="2"/>
        <v>101.78571428571431</v>
      </c>
      <c r="F113" s="35">
        <v>5.8</v>
      </c>
      <c r="G113" s="35">
        <f t="shared" si="2"/>
        <v>101.75438596491226</v>
      </c>
      <c r="H113" s="35">
        <v>5.9</v>
      </c>
      <c r="I113" s="35">
        <f t="shared" si="2"/>
        <v>101.72413793103449</v>
      </c>
      <c r="J113" s="109">
        <v>6</v>
      </c>
      <c r="K113" s="35">
        <f t="shared" si="2"/>
        <v>101.69491525423729</v>
      </c>
      <c r="L113" s="152"/>
      <c r="M113" s="152"/>
    </row>
    <row r="114" spans="1:13" ht="18" x14ac:dyDescent="0.25">
      <c r="A114" s="50" t="s">
        <v>297</v>
      </c>
      <c r="B114" s="59">
        <v>7.7</v>
      </c>
      <c r="C114" s="59">
        <v>115.2</v>
      </c>
      <c r="D114" s="35">
        <v>8</v>
      </c>
      <c r="E114" s="35">
        <f t="shared" si="2"/>
        <v>103.89610389610388</v>
      </c>
      <c r="F114" s="35">
        <v>8.1999999999999993</v>
      </c>
      <c r="G114" s="35">
        <f t="shared" si="2"/>
        <v>102.49999999999999</v>
      </c>
      <c r="H114" s="35">
        <v>8.3000000000000007</v>
      </c>
      <c r="I114" s="35">
        <f t="shared" si="2"/>
        <v>101.21951219512198</v>
      </c>
      <c r="J114" s="109">
        <v>8.5</v>
      </c>
      <c r="K114" s="35">
        <f t="shared" si="2"/>
        <v>102.40963855421685</v>
      </c>
      <c r="L114" s="152"/>
      <c r="M114" s="152"/>
    </row>
    <row r="115" spans="1:13" ht="17.25" customHeight="1" x14ac:dyDescent="0.25">
      <c r="A115" s="50" t="s">
        <v>519</v>
      </c>
      <c r="B115" s="59">
        <v>1.6</v>
      </c>
      <c r="C115" s="59">
        <v>142.4</v>
      </c>
      <c r="D115" s="35">
        <v>1.7</v>
      </c>
      <c r="E115" s="35">
        <f t="shared" si="2"/>
        <v>106.25</v>
      </c>
      <c r="F115" s="35">
        <v>1.7</v>
      </c>
      <c r="G115" s="35">
        <f t="shared" si="2"/>
        <v>100</v>
      </c>
      <c r="H115" s="35">
        <v>1.8</v>
      </c>
      <c r="I115" s="35">
        <f t="shared" si="2"/>
        <v>105.88235294117648</v>
      </c>
      <c r="J115" s="109">
        <v>1.8</v>
      </c>
      <c r="K115" s="35">
        <f t="shared" si="2"/>
        <v>100</v>
      </c>
      <c r="L115" s="152"/>
      <c r="M115" s="152"/>
    </row>
    <row r="116" spans="1:13" ht="30.75" customHeight="1" x14ac:dyDescent="0.25">
      <c r="A116" s="44" t="s">
        <v>523</v>
      </c>
      <c r="B116" s="148">
        <v>190.4</v>
      </c>
      <c r="C116" s="148">
        <v>63.2</v>
      </c>
      <c r="D116" s="12">
        <v>197</v>
      </c>
      <c r="E116" s="35">
        <f t="shared" si="2"/>
        <v>103.46638655462183</v>
      </c>
      <c r="F116" s="12">
        <v>207</v>
      </c>
      <c r="G116" s="35">
        <f t="shared" si="2"/>
        <v>105.07614213197969</v>
      </c>
      <c r="H116" s="12">
        <v>221</v>
      </c>
      <c r="I116" s="35">
        <f t="shared" si="2"/>
        <v>106.7632850241546</v>
      </c>
      <c r="J116" s="12">
        <v>233</v>
      </c>
      <c r="K116" s="35">
        <f t="shared" si="2"/>
        <v>105.42986425339367</v>
      </c>
      <c r="L116" s="152"/>
      <c r="M116" s="152"/>
    </row>
    <row r="117" spans="1:13" ht="18" x14ac:dyDescent="0.25">
      <c r="A117" s="50" t="s">
        <v>466</v>
      </c>
      <c r="B117" s="59">
        <v>51.3</v>
      </c>
      <c r="C117" s="59">
        <v>86.2</v>
      </c>
      <c r="D117" s="35">
        <v>51.8</v>
      </c>
      <c r="E117" s="35">
        <f t="shared" si="2"/>
        <v>100.97465886939571</v>
      </c>
      <c r="F117" s="35">
        <v>54.7</v>
      </c>
      <c r="G117" s="35">
        <f t="shared" si="2"/>
        <v>105.59845559845562</v>
      </c>
      <c r="H117" s="35">
        <v>58.6</v>
      </c>
      <c r="I117" s="35">
        <f t="shared" si="2"/>
        <v>107.12979890310785</v>
      </c>
      <c r="J117" s="109">
        <v>62.5</v>
      </c>
      <c r="K117" s="35">
        <f t="shared" si="2"/>
        <v>106.65529010238907</v>
      </c>
      <c r="L117" s="152"/>
      <c r="M117" s="152"/>
    </row>
    <row r="118" spans="1:13" ht="18" x14ac:dyDescent="0.25">
      <c r="A118" s="50" t="s">
        <v>290</v>
      </c>
      <c r="B118" s="59">
        <v>92.6</v>
      </c>
      <c r="C118" s="59">
        <v>73.8</v>
      </c>
      <c r="D118" s="35">
        <v>93.6</v>
      </c>
      <c r="E118" s="35">
        <f t="shared" si="2"/>
        <v>101.07991360691145</v>
      </c>
      <c r="F118" s="35">
        <v>99.4</v>
      </c>
      <c r="G118" s="35">
        <f t="shared" si="2"/>
        <v>106.19658119658122</v>
      </c>
      <c r="H118" s="35">
        <v>108</v>
      </c>
      <c r="I118" s="35">
        <f t="shared" si="2"/>
        <v>108.65191146881288</v>
      </c>
      <c r="J118" s="109">
        <v>115.3</v>
      </c>
      <c r="K118" s="35">
        <f t="shared" si="2"/>
        <v>106.75925925925927</v>
      </c>
      <c r="L118" s="152"/>
      <c r="M118" s="152"/>
    </row>
    <row r="119" spans="1:13" ht="18" x14ac:dyDescent="0.25">
      <c r="A119" s="50" t="s">
        <v>291</v>
      </c>
      <c r="B119" s="59">
        <v>5.3999999999999999E-2</v>
      </c>
      <c r="C119" s="59">
        <v>70.2</v>
      </c>
      <c r="D119" s="35">
        <v>5.5E-2</v>
      </c>
      <c r="E119" s="35">
        <f t="shared" si="2"/>
        <v>101.85185185185186</v>
      </c>
      <c r="F119" s="35">
        <v>5.7000000000000002E-2</v>
      </c>
      <c r="G119" s="35">
        <f t="shared" si="2"/>
        <v>103.63636363636364</v>
      </c>
      <c r="H119" s="35">
        <v>5.8000000000000003E-2</v>
      </c>
      <c r="I119" s="35">
        <f t="shared" si="2"/>
        <v>101.75438596491229</v>
      </c>
      <c r="J119" s="109">
        <v>5.8999999999999997E-2</v>
      </c>
      <c r="K119" s="35">
        <f t="shared" si="2"/>
        <v>101.72413793103448</v>
      </c>
      <c r="L119" s="152"/>
      <c r="M119" s="152"/>
    </row>
    <row r="120" spans="1:13" ht="18" x14ac:dyDescent="0.25">
      <c r="A120" s="50" t="s">
        <v>295</v>
      </c>
      <c r="B120" s="73">
        <v>12.4</v>
      </c>
      <c r="C120" s="59">
        <v>23.6</v>
      </c>
      <c r="D120" s="35">
        <v>14.284800000000001</v>
      </c>
      <c r="E120" s="35">
        <f t="shared" si="2"/>
        <v>115.19999999999999</v>
      </c>
      <c r="F120" s="35">
        <v>14.684774400000002</v>
      </c>
      <c r="G120" s="35">
        <f t="shared" si="2"/>
        <v>102.8</v>
      </c>
      <c r="H120" s="35">
        <v>15.081263308800002</v>
      </c>
      <c r="I120" s="35">
        <f t="shared" si="2"/>
        <v>102.69999999999999</v>
      </c>
      <c r="J120" s="35">
        <v>15.292400995123202</v>
      </c>
      <c r="K120" s="35">
        <f t="shared" si="2"/>
        <v>101.4</v>
      </c>
      <c r="L120" s="152"/>
      <c r="M120" s="152"/>
    </row>
    <row r="121" spans="1:13" ht="18" x14ac:dyDescent="0.25">
      <c r="A121" s="50" t="s">
        <v>294</v>
      </c>
      <c r="B121" s="59">
        <v>20.3</v>
      </c>
      <c r="C121" s="59">
        <v>57.7</v>
      </c>
      <c r="D121" s="35">
        <v>23.3</v>
      </c>
      <c r="E121" s="35">
        <f t="shared" si="2"/>
        <v>114.77832512315271</v>
      </c>
      <c r="F121" s="35">
        <v>23.859200000000001</v>
      </c>
      <c r="G121" s="35">
        <f t="shared" si="2"/>
        <v>102.4</v>
      </c>
      <c r="H121" s="35">
        <v>24.479539199999998</v>
      </c>
      <c r="I121" s="35">
        <f t="shared" si="2"/>
        <v>102.59999999999998</v>
      </c>
      <c r="J121" s="35">
        <v>24.871211827199996</v>
      </c>
      <c r="K121" s="35">
        <f t="shared" si="2"/>
        <v>101.6</v>
      </c>
      <c r="L121" s="152"/>
      <c r="M121" s="152"/>
    </row>
    <row r="122" spans="1:13" ht="18" x14ac:dyDescent="0.25">
      <c r="A122" s="50" t="s">
        <v>300</v>
      </c>
      <c r="B122" s="59">
        <v>4.4000000000000004</v>
      </c>
      <c r="C122" s="59">
        <v>37.299999999999997</v>
      </c>
      <c r="D122" s="35">
        <v>4.5</v>
      </c>
      <c r="E122" s="35">
        <f t="shared" si="2"/>
        <v>102.27272727272727</v>
      </c>
      <c r="F122" s="35">
        <v>4.5999999999999996</v>
      </c>
      <c r="G122" s="35">
        <f t="shared" si="2"/>
        <v>102.22222222222221</v>
      </c>
      <c r="H122" s="35">
        <v>4.8</v>
      </c>
      <c r="I122" s="35">
        <f t="shared" si="2"/>
        <v>104.34782608695652</v>
      </c>
      <c r="J122" s="109">
        <v>4.8</v>
      </c>
      <c r="K122" s="35">
        <f t="shared" si="2"/>
        <v>100</v>
      </c>
      <c r="L122" s="152"/>
      <c r="M122" s="152"/>
    </row>
    <row r="123" spans="1:13" ht="18" x14ac:dyDescent="0.25">
      <c r="A123" s="50" t="s">
        <v>292</v>
      </c>
      <c r="B123" s="59">
        <v>1</v>
      </c>
      <c r="C123" s="59">
        <v>57.1</v>
      </c>
      <c r="D123" s="35">
        <v>1</v>
      </c>
      <c r="E123" s="35">
        <f t="shared" si="2"/>
        <v>100</v>
      </c>
      <c r="F123" s="35">
        <v>1</v>
      </c>
      <c r="G123" s="35">
        <f t="shared" si="2"/>
        <v>100</v>
      </c>
      <c r="H123" s="35">
        <v>1.1000000000000001</v>
      </c>
      <c r="I123" s="35">
        <f t="shared" si="2"/>
        <v>110.00000000000001</v>
      </c>
      <c r="J123" s="109">
        <v>1.1000000000000001</v>
      </c>
      <c r="K123" s="35">
        <f t="shared" si="2"/>
        <v>100</v>
      </c>
      <c r="L123" s="152"/>
      <c r="M123" s="152"/>
    </row>
    <row r="124" spans="1:13" ht="18" x14ac:dyDescent="0.25">
      <c r="A124" s="50" t="s">
        <v>293</v>
      </c>
      <c r="B124" s="59">
        <v>5.0000000000000001E-3</v>
      </c>
      <c r="C124" s="59">
        <v>0.2</v>
      </c>
      <c r="D124" s="35">
        <v>5.1999999999999998E-3</v>
      </c>
      <c r="E124" s="35">
        <f t="shared" si="2"/>
        <v>104</v>
      </c>
      <c r="F124" s="35">
        <v>5.3E-3</v>
      </c>
      <c r="G124" s="35">
        <f t="shared" si="2"/>
        <v>101.92307692307693</v>
      </c>
      <c r="H124" s="35">
        <v>5.4999999999999997E-3</v>
      </c>
      <c r="I124" s="35">
        <f t="shared" si="2"/>
        <v>103.77358490566037</v>
      </c>
      <c r="J124" s="109">
        <v>6.0000000000000001E-3</v>
      </c>
      <c r="K124" s="35">
        <f t="shared" si="2"/>
        <v>109.09090909090911</v>
      </c>
      <c r="L124" s="152"/>
      <c r="M124" s="152"/>
    </row>
    <row r="125" spans="1:13" ht="18" x14ac:dyDescent="0.25">
      <c r="A125" s="50" t="s">
        <v>296</v>
      </c>
      <c r="B125" s="59">
        <v>7.9</v>
      </c>
      <c r="C125" s="59">
        <v>68.8</v>
      </c>
      <c r="D125" s="35">
        <v>8</v>
      </c>
      <c r="E125" s="35">
        <f t="shared" si="2"/>
        <v>101.26582278481011</v>
      </c>
      <c r="F125" s="35">
        <v>8.1999999999999993</v>
      </c>
      <c r="G125" s="35">
        <f t="shared" si="2"/>
        <v>102.49999999999999</v>
      </c>
      <c r="H125" s="35">
        <v>8.4</v>
      </c>
      <c r="I125" s="35">
        <f t="shared" si="2"/>
        <v>102.4390243902439</v>
      </c>
      <c r="J125" s="109">
        <v>8.6</v>
      </c>
      <c r="K125" s="35">
        <f t="shared" si="2"/>
        <v>102.38095238095238</v>
      </c>
      <c r="L125" s="152"/>
      <c r="M125" s="152"/>
    </row>
    <row r="126" spans="1:13" ht="18" x14ac:dyDescent="0.25">
      <c r="A126" s="50" t="s">
        <v>301</v>
      </c>
      <c r="B126" s="59">
        <v>0.42</v>
      </c>
      <c r="C126" s="59">
        <v>57.2</v>
      </c>
      <c r="D126" s="35">
        <v>0.43</v>
      </c>
      <c r="E126" s="35">
        <f t="shared" si="2"/>
        <v>102.38095238095238</v>
      </c>
      <c r="F126" s="35">
        <v>0.45</v>
      </c>
      <c r="G126" s="35">
        <f t="shared" si="2"/>
        <v>104.65116279069768</v>
      </c>
      <c r="H126" s="35">
        <v>0.46</v>
      </c>
      <c r="I126" s="35">
        <f t="shared" si="2"/>
        <v>102.22222222222221</v>
      </c>
      <c r="J126" s="109">
        <v>0.47</v>
      </c>
      <c r="K126" s="35">
        <f t="shared" si="2"/>
        <v>102.17391304347825</v>
      </c>
      <c r="L126" s="152"/>
      <c r="M126" s="152"/>
    </row>
    <row r="127" spans="1:13" ht="36" x14ac:dyDescent="0.25">
      <c r="A127" s="44" t="s">
        <v>524</v>
      </c>
      <c r="B127" s="7">
        <v>398.09999999999997</v>
      </c>
      <c r="C127" s="7">
        <v>114.03609281008305</v>
      </c>
      <c r="D127" s="5">
        <v>430</v>
      </c>
      <c r="E127" s="35">
        <f t="shared" si="2"/>
        <v>108.0130620447124</v>
      </c>
      <c r="F127" s="5">
        <v>462</v>
      </c>
      <c r="G127" s="35">
        <f t="shared" si="2"/>
        <v>107.44186046511628</v>
      </c>
      <c r="H127" s="5">
        <v>485</v>
      </c>
      <c r="I127" s="35">
        <f t="shared" si="2"/>
        <v>104.97835497835497</v>
      </c>
      <c r="J127" s="7">
        <v>510</v>
      </c>
      <c r="K127" s="35">
        <f t="shared" si="2"/>
        <v>105.15463917525774</v>
      </c>
      <c r="L127" s="152"/>
      <c r="M127" s="152"/>
    </row>
    <row r="128" spans="1:13" ht="15.75" customHeight="1" x14ac:dyDescent="0.25">
      <c r="A128" s="50" t="s">
        <v>288</v>
      </c>
      <c r="B128" s="59">
        <v>9.4</v>
      </c>
      <c r="C128" s="59">
        <v>101.5</v>
      </c>
      <c r="D128" s="35">
        <v>9.6999999999999993</v>
      </c>
      <c r="E128" s="35">
        <f t="shared" si="2"/>
        <v>103.19148936170212</v>
      </c>
      <c r="F128" s="35">
        <v>10.1</v>
      </c>
      <c r="G128" s="35">
        <f t="shared" si="2"/>
        <v>104.1237113402062</v>
      </c>
      <c r="H128" s="35">
        <v>10.199999999999999</v>
      </c>
      <c r="I128" s="35">
        <f t="shared" si="2"/>
        <v>100.99009900990099</v>
      </c>
      <c r="J128" s="109">
        <v>10.4</v>
      </c>
      <c r="K128" s="35">
        <f t="shared" si="2"/>
        <v>101.96078431372551</v>
      </c>
      <c r="L128" s="152"/>
      <c r="M128" s="152"/>
    </row>
    <row r="129" spans="1:13" ht="18" x14ac:dyDescent="0.25">
      <c r="A129" s="50" t="s">
        <v>466</v>
      </c>
      <c r="B129" s="59">
        <v>85.8</v>
      </c>
      <c r="C129" s="59">
        <v>111.4</v>
      </c>
      <c r="D129" s="35">
        <v>93.2</v>
      </c>
      <c r="E129" s="35">
        <f t="shared" si="2"/>
        <v>108.62470862470863</v>
      </c>
      <c r="F129" s="35">
        <v>100.5</v>
      </c>
      <c r="G129" s="35">
        <f t="shared" si="2"/>
        <v>107.83261802575106</v>
      </c>
      <c r="H129" s="35">
        <v>106.3</v>
      </c>
      <c r="I129" s="35">
        <f t="shared" si="2"/>
        <v>105.77114427860697</v>
      </c>
      <c r="J129" s="35">
        <v>111.8</v>
      </c>
      <c r="K129" s="35">
        <f t="shared" si="2"/>
        <v>105.17403574788335</v>
      </c>
      <c r="L129" s="152"/>
      <c r="M129" s="152"/>
    </row>
    <row r="130" spans="1:13" ht="18" x14ac:dyDescent="0.25">
      <c r="A130" s="50" t="s">
        <v>290</v>
      </c>
      <c r="B130" s="59">
        <v>236.9</v>
      </c>
      <c r="C130" s="59">
        <v>117.6</v>
      </c>
      <c r="D130" s="35">
        <v>258.5</v>
      </c>
      <c r="E130" s="35">
        <f t="shared" si="2"/>
        <v>109.11777121148162</v>
      </c>
      <c r="F130" s="35">
        <v>280.7</v>
      </c>
      <c r="G130" s="35">
        <f t="shared" si="2"/>
        <v>108.58800773694391</v>
      </c>
      <c r="H130" s="35">
        <v>295.60000000000002</v>
      </c>
      <c r="I130" s="35">
        <f t="shared" si="2"/>
        <v>105.30815817598862</v>
      </c>
      <c r="J130" s="35">
        <v>313.2</v>
      </c>
      <c r="K130" s="35">
        <f t="shared" si="2"/>
        <v>105.95399188092014</v>
      </c>
      <c r="L130" s="152"/>
      <c r="M130" s="152"/>
    </row>
    <row r="131" spans="1:13" ht="18" x14ac:dyDescent="0.25">
      <c r="A131" s="50" t="s">
        <v>291</v>
      </c>
      <c r="B131" s="59">
        <v>2.23</v>
      </c>
      <c r="C131" s="59">
        <v>142.6</v>
      </c>
      <c r="D131" s="35">
        <v>2.29</v>
      </c>
      <c r="E131" s="35">
        <f t="shared" si="2"/>
        <v>102.69058295964126</v>
      </c>
      <c r="F131" s="35">
        <v>2.35</v>
      </c>
      <c r="G131" s="35">
        <f t="shared" si="2"/>
        <v>102.62008733624455</v>
      </c>
      <c r="H131" s="35">
        <v>2.42</v>
      </c>
      <c r="I131" s="35">
        <f t="shared" si="2"/>
        <v>102.97872340425531</v>
      </c>
      <c r="J131" s="35">
        <v>2.46</v>
      </c>
      <c r="K131" s="35">
        <f t="shared" si="2"/>
        <v>101.65289256198346</v>
      </c>
      <c r="L131" s="152"/>
      <c r="M131" s="152"/>
    </row>
    <row r="132" spans="1:13" ht="18" x14ac:dyDescent="0.25">
      <c r="A132" s="50" t="s">
        <v>295</v>
      </c>
      <c r="B132" s="59">
        <v>6.7</v>
      </c>
      <c r="C132" s="59">
        <v>102.1</v>
      </c>
      <c r="D132" s="35">
        <v>6.9</v>
      </c>
      <c r="E132" s="35">
        <f t="shared" si="2"/>
        <v>102.98507462686568</v>
      </c>
      <c r="F132" s="35">
        <v>7.2</v>
      </c>
      <c r="G132" s="35">
        <f t="shared" si="2"/>
        <v>104.34782608695652</v>
      </c>
      <c r="H132" s="35">
        <v>7.4</v>
      </c>
      <c r="I132" s="35">
        <f t="shared" si="2"/>
        <v>102.77777777777779</v>
      </c>
      <c r="J132" s="35">
        <v>7.5</v>
      </c>
      <c r="K132" s="35">
        <f t="shared" si="2"/>
        <v>101.35135135135134</v>
      </c>
      <c r="L132" s="152"/>
      <c r="M132" s="152"/>
    </row>
    <row r="133" spans="1:13" ht="15.75" customHeight="1" x14ac:dyDescent="0.25">
      <c r="A133" s="50" t="s">
        <v>294</v>
      </c>
      <c r="B133" s="59">
        <v>6.9</v>
      </c>
      <c r="C133" s="59">
        <v>104.7</v>
      </c>
      <c r="D133" s="35">
        <v>7.3</v>
      </c>
      <c r="E133" s="35">
        <f t="shared" si="2"/>
        <v>105.79710144927535</v>
      </c>
      <c r="F133" s="35">
        <v>7.6</v>
      </c>
      <c r="G133" s="35">
        <f t="shared" si="2"/>
        <v>104.10958904109589</v>
      </c>
      <c r="H133" s="35">
        <v>7.8</v>
      </c>
      <c r="I133" s="35">
        <f t="shared" si="2"/>
        <v>102.63157894736842</v>
      </c>
      <c r="J133" s="35">
        <v>8.1</v>
      </c>
      <c r="K133" s="35">
        <f t="shared" si="2"/>
        <v>103.84615384615385</v>
      </c>
      <c r="L133" s="152"/>
      <c r="M133" s="152"/>
    </row>
    <row r="134" spans="1:13" ht="18" x14ac:dyDescent="0.25">
      <c r="A134" s="50" t="s">
        <v>300</v>
      </c>
      <c r="B134" s="59">
        <v>4</v>
      </c>
      <c r="C134" s="59">
        <v>104.3</v>
      </c>
      <c r="D134" s="35">
        <v>4.2</v>
      </c>
      <c r="E134" s="35">
        <f t="shared" si="2"/>
        <v>105</v>
      </c>
      <c r="F134" s="35">
        <v>4.3</v>
      </c>
      <c r="G134" s="35">
        <f t="shared" si="2"/>
        <v>102.38095238095238</v>
      </c>
      <c r="H134" s="35">
        <v>4.5</v>
      </c>
      <c r="I134" s="35">
        <f t="shared" si="2"/>
        <v>104.65116279069768</v>
      </c>
      <c r="J134" s="35">
        <v>4.7</v>
      </c>
      <c r="K134" s="35">
        <f t="shared" ref="K134" si="3">J134/H134*100</f>
        <v>104.44444444444446</v>
      </c>
      <c r="L134" s="152"/>
      <c r="M134" s="152"/>
    </row>
    <row r="135" spans="1:13" ht="18" x14ac:dyDescent="0.25">
      <c r="A135" s="50" t="s">
        <v>292</v>
      </c>
      <c r="B135" s="59">
        <v>9</v>
      </c>
      <c r="C135" s="59">
        <v>109.6</v>
      </c>
      <c r="D135" s="35">
        <v>9.4</v>
      </c>
      <c r="E135" s="35">
        <f t="shared" ref="E135:K198" si="4">D135/B135*100</f>
        <v>104.44444444444446</v>
      </c>
      <c r="F135" s="35">
        <v>9.6999999999999993</v>
      </c>
      <c r="G135" s="35">
        <f t="shared" si="4"/>
        <v>103.19148936170212</v>
      </c>
      <c r="H135" s="35">
        <v>10.1</v>
      </c>
      <c r="I135" s="35">
        <f t="shared" si="4"/>
        <v>104.1237113402062</v>
      </c>
      <c r="J135" s="35">
        <v>10.3</v>
      </c>
      <c r="K135" s="35">
        <f t="shared" si="4"/>
        <v>101.98019801980197</v>
      </c>
      <c r="L135" s="152"/>
      <c r="M135" s="152"/>
    </row>
    <row r="136" spans="1:13" ht="15.75" customHeight="1" x14ac:dyDescent="0.25">
      <c r="A136" s="50" t="s">
        <v>293</v>
      </c>
      <c r="B136" s="59">
        <v>1.25</v>
      </c>
      <c r="C136" s="59">
        <v>100.2</v>
      </c>
      <c r="D136" s="35">
        <v>1.27</v>
      </c>
      <c r="E136" s="35">
        <f t="shared" si="4"/>
        <v>101.6</v>
      </c>
      <c r="F136" s="35">
        <v>1.29</v>
      </c>
      <c r="G136" s="35">
        <f t="shared" si="4"/>
        <v>101.5748031496063</v>
      </c>
      <c r="H136" s="35">
        <v>1.31</v>
      </c>
      <c r="I136" s="35">
        <f t="shared" si="4"/>
        <v>101.55038759689923</v>
      </c>
      <c r="J136" s="35">
        <v>1.32</v>
      </c>
      <c r="K136" s="35">
        <f t="shared" si="4"/>
        <v>100.76335877862594</v>
      </c>
      <c r="L136" s="152"/>
      <c r="M136" s="152"/>
    </row>
    <row r="137" spans="1:13" ht="18" x14ac:dyDescent="0.25">
      <c r="A137" s="50" t="s">
        <v>296</v>
      </c>
      <c r="B137" s="59">
        <v>17.600000000000001</v>
      </c>
      <c r="C137" s="59">
        <v>113.8</v>
      </c>
      <c r="D137" s="35">
        <v>18.399999999999999</v>
      </c>
      <c r="E137" s="35">
        <f t="shared" si="4"/>
        <v>104.54545454545452</v>
      </c>
      <c r="F137" s="35">
        <v>18.899999999999999</v>
      </c>
      <c r="G137" s="35">
        <f t="shared" si="4"/>
        <v>102.71739130434783</v>
      </c>
      <c r="H137" s="35">
        <v>19.399999999999999</v>
      </c>
      <c r="I137" s="35">
        <f t="shared" si="4"/>
        <v>102.64550264550265</v>
      </c>
      <c r="J137" s="35">
        <v>19.7</v>
      </c>
      <c r="K137" s="35">
        <f t="shared" si="4"/>
        <v>101.54639175257731</v>
      </c>
      <c r="L137" s="152"/>
      <c r="M137" s="152"/>
    </row>
    <row r="138" spans="1:13" ht="18" x14ac:dyDescent="0.25">
      <c r="A138" s="50" t="s">
        <v>301</v>
      </c>
      <c r="B138" s="59">
        <v>3.3</v>
      </c>
      <c r="C138" s="59">
        <v>110.2</v>
      </c>
      <c r="D138" s="35">
        <v>3.4</v>
      </c>
      <c r="E138" s="35">
        <f t="shared" si="4"/>
        <v>103.03030303030303</v>
      </c>
      <c r="F138" s="35">
        <v>3.5</v>
      </c>
      <c r="G138" s="35">
        <f t="shared" si="4"/>
        <v>102.94117647058825</v>
      </c>
      <c r="H138" s="35">
        <v>3.7</v>
      </c>
      <c r="I138" s="35">
        <f t="shared" si="4"/>
        <v>105.71428571428572</v>
      </c>
      <c r="J138" s="35">
        <v>3.8</v>
      </c>
      <c r="K138" s="35">
        <f t="shared" si="4"/>
        <v>102.70270270270269</v>
      </c>
      <c r="L138" s="152"/>
      <c r="M138" s="152"/>
    </row>
    <row r="139" spans="1:13" ht="18" x14ac:dyDescent="0.25">
      <c r="A139" s="50" t="s">
        <v>299</v>
      </c>
      <c r="B139" s="59">
        <v>3</v>
      </c>
      <c r="C139" s="59">
        <v>110.2</v>
      </c>
      <c r="D139" s="35">
        <v>3.1</v>
      </c>
      <c r="E139" s="35">
        <f t="shared" si="4"/>
        <v>103.33333333333334</v>
      </c>
      <c r="F139" s="35">
        <v>3.2</v>
      </c>
      <c r="G139" s="35">
        <f t="shared" si="4"/>
        <v>103.2258064516129</v>
      </c>
      <c r="H139" s="35">
        <v>3.3</v>
      </c>
      <c r="I139" s="35">
        <f t="shared" si="4"/>
        <v>103.12499999999997</v>
      </c>
      <c r="J139" s="35">
        <v>3.4</v>
      </c>
      <c r="K139" s="35">
        <f t="shared" si="4"/>
        <v>103.03030303030303</v>
      </c>
      <c r="L139" s="152"/>
      <c r="M139" s="152"/>
    </row>
    <row r="140" spans="1:13" ht="18" x14ac:dyDescent="0.25">
      <c r="A140" s="50" t="s">
        <v>304</v>
      </c>
      <c r="B140" s="59">
        <v>2.35</v>
      </c>
      <c r="C140" s="59">
        <v>105.9</v>
      </c>
      <c r="D140" s="35">
        <v>2.44</v>
      </c>
      <c r="E140" s="35">
        <f t="shared" si="4"/>
        <v>103.82978723404254</v>
      </c>
      <c r="F140" s="35">
        <v>2.5299999999999998</v>
      </c>
      <c r="G140" s="35">
        <f t="shared" si="4"/>
        <v>103.68852459016394</v>
      </c>
      <c r="H140" s="35">
        <v>2.62</v>
      </c>
      <c r="I140" s="35">
        <f t="shared" si="4"/>
        <v>103.55731225296442</v>
      </c>
      <c r="J140" s="35">
        <v>2.69</v>
      </c>
      <c r="K140" s="35">
        <f t="shared" si="4"/>
        <v>102.67175572519082</v>
      </c>
      <c r="L140" s="152"/>
      <c r="M140" s="152"/>
    </row>
    <row r="141" spans="1:13" ht="15" customHeight="1" x14ac:dyDescent="0.25">
      <c r="A141" s="50" t="s">
        <v>303</v>
      </c>
      <c r="B141" s="59">
        <v>4.5</v>
      </c>
      <c r="C141" s="59">
        <v>108.2</v>
      </c>
      <c r="D141" s="35">
        <v>4.7</v>
      </c>
      <c r="E141" s="35">
        <f t="shared" si="4"/>
        <v>104.44444444444446</v>
      </c>
      <c r="F141" s="35">
        <v>4.8</v>
      </c>
      <c r="G141" s="35">
        <f t="shared" si="4"/>
        <v>102.12765957446808</v>
      </c>
      <c r="H141" s="35">
        <v>4.9000000000000004</v>
      </c>
      <c r="I141" s="35">
        <f t="shared" si="4"/>
        <v>102.08333333333334</v>
      </c>
      <c r="J141" s="35">
        <v>5.0999999999999996</v>
      </c>
      <c r="K141" s="35">
        <f t="shared" si="4"/>
        <v>104.08163265306121</v>
      </c>
      <c r="L141" s="152"/>
      <c r="M141" s="152"/>
    </row>
    <row r="142" spans="1:13" ht="18" x14ac:dyDescent="0.25">
      <c r="A142" s="50" t="s">
        <v>298</v>
      </c>
      <c r="B142" s="59">
        <v>2.12</v>
      </c>
      <c r="C142" s="59">
        <v>101.5</v>
      </c>
      <c r="D142" s="35">
        <v>2.16</v>
      </c>
      <c r="E142" s="35">
        <f t="shared" si="4"/>
        <v>101.88679245283019</v>
      </c>
      <c r="F142" s="35">
        <v>2.2200000000000002</v>
      </c>
      <c r="G142" s="35">
        <f t="shared" si="4"/>
        <v>102.77777777777779</v>
      </c>
      <c r="H142" s="35">
        <v>2.2799999999999998</v>
      </c>
      <c r="I142" s="35">
        <f t="shared" si="4"/>
        <v>102.70270270270268</v>
      </c>
      <c r="J142" s="35">
        <v>2.33</v>
      </c>
      <c r="K142" s="35">
        <f t="shared" si="4"/>
        <v>102.19298245614037</v>
      </c>
      <c r="L142" s="152"/>
      <c r="M142" s="152"/>
    </row>
    <row r="143" spans="1:13" ht="18" x14ac:dyDescent="0.25">
      <c r="A143" s="50" t="s">
        <v>297</v>
      </c>
      <c r="B143" s="59">
        <v>2.09</v>
      </c>
      <c r="C143" s="59">
        <v>101</v>
      </c>
      <c r="D143" s="35">
        <v>2.13</v>
      </c>
      <c r="E143" s="35">
        <f t="shared" si="4"/>
        <v>101.91387559808614</v>
      </c>
      <c r="F143" s="35">
        <v>2.1800000000000002</v>
      </c>
      <c r="G143" s="35">
        <f t="shared" si="4"/>
        <v>102.3474178403756</v>
      </c>
      <c r="H143" s="35">
        <v>2.23</v>
      </c>
      <c r="I143" s="35">
        <f t="shared" si="4"/>
        <v>102.29357798165137</v>
      </c>
      <c r="J143" s="35">
        <v>2.25</v>
      </c>
      <c r="K143" s="35">
        <f t="shared" si="4"/>
        <v>100.89686098654708</v>
      </c>
      <c r="L143" s="152"/>
      <c r="M143" s="152"/>
    </row>
    <row r="144" spans="1:13" ht="17.25" customHeight="1" x14ac:dyDescent="0.25">
      <c r="A144" s="50" t="s">
        <v>519</v>
      </c>
      <c r="B144" s="73">
        <v>0.94</v>
      </c>
      <c r="C144" s="59">
        <v>101.3</v>
      </c>
      <c r="D144" s="35">
        <v>0.95</v>
      </c>
      <c r="E144" s="35">
        <f t="shared" si="4"/>
        <v>101.06382978723406</v>
      </c>
      <c r="F144" s="35">
        <v>0.97</v>
      </c>
      <c r="G144" s="35">
        <f t="shared" si="4"/>
        <v>102.10526315789474</v>
      </c>
      <c r="H144" s="35">
        <v>0.98</v>
      </c>
      <c r="I144" s="35">
        <f t="shared" si="4"/>
        <v>101.03092783505154</v>
      </c>
      <c r="J144" s="35">
        <v>0.99</v>
      </c>
      <c r="K144" s="35">
        <f t="shared" si="4"/>
        <v>101.0204081632653</v>
      </c>
      <c r="L144" s="152"/>
      <c r="M144" s="152"/>
    </row>
    <row r="145" spans="1:13" ht="34.5" customHeight="1" x14ac:dyDescent="0.25">
      <c r="A145" s="44" t="s">
        <v>525</v>
      </c>
      <c r="B145" s="148">
        <v>1118.5</v>
      </c>
      <c r="C145" s="148">
        <v>105.1</v>
      </c>
      <c r="D145" s="12">
        <v>1148</v>
      </c>
      <c r="E145" s="35">
        <f t="shared" si="4"/>
        <v>102.63746088511398</v>
      </c>
      <c r="F145" s="12">
        <v>1175</v>
      </c>
      <c r="G145" s="35">
        <f t="shared" si="4"/>
        <v>102.35191637630663</v>
      </c>
      <c r="H145" s="12">
        <v>1209</v>
      </c>
      <c r="I145" s="35">
        <f t="shared" si="4"/>
        <v>102.8936170212766</v>
      </c>
      <c r="J145" s="12">
        <v>1303</v>
      </c>
      <c r="K145" s="35">
        <f t="shared" si="4"/>
        <v>107.77502067824649</v>
      </c>
      <c r="L145" s="152"/>
      <c r="M145" s="152"/>
    </row>
    <row r="146" spans="1:13" ht="18" x14ac:dyDescent="0.25">
      <c r="A146" s="324" t="s">
        <v>288</v>
      </c>
      <c r="B146" s="325">
        <v>19.100000000000001</v>
      </c>
      <c r="C146" s="325">
        <v>102.6</v>
      </c>
      <c r="D146" s="326">
        <v>19.899999999999999</v>
      </c>
      <c r="E146" s="326">
        <f t="shared" si="4"/>
        <v>104.18848167539265</v>
      </c>
      <c r="F146" s="326">
        <v>20.399999999999999</v>
      </c>
      <c r="G146" s="326">
        <f t="shared" si="4"/>
        <v>102.51256281407035</v>
      </c>
      <c r="H146" s="326">
        <v>21.6</v>
      </c>
      <c r="I146" s="326">
        <f t="shared" si="4"/>
        <v>105.88235294117649</v>
      </c>
      <c r="J146" s="326">
        <v>22.3</v>
      </c>
      <c r="K146" s="326">
        <f t="shared" si="4"/>
        <v>103.24074074074075</v>
      </c>
    </row>
    <row r="147" spans="1:13" ht="18" x14ac:dyDescent="0.25">
      <c r="A147" s="50" t="s">
        <v>466</v>
      </c>
      <c r="B147" s="59">
        <v>293.39999999999998</v>
      </c>
      <c r="C147" s="59">
        <v>104.2</v>
      </c>
      <c r="D147" s="35">
        <v>308.89999999999998</v>
      </c>
      <c r="E147" s="35">
        <f t="shared" si="4"/>
        <v>105.2828902522154</v>
      </c>
      <c r="F147" s="35">
        <v>325</v>
      </c>
      <c r="G147" s="35">
        <f t="shared" si="4"/>
        <v>105.21204273227582</v>
      </c>
      <c r="H147" s="35">
        <v>342.2</v>
      </c>
      <c r="I147" s="35">
        <f t="shared" si="4"/>
        <v>105.29230769230769</v>
      </c>
      <c r="J147" s="35">
        <v>369.8</v>
      </c>
      <c r="K147" s="35">
        <f t="shared" si="4"/>
        <v>108.06545879602571</v>
      </c>
    </row>
    <row r="148" spans="1:13" ht="18" x14ac:dyDescent="0.25">
      <c r="A148" s="50" t="s">
        <v>290</v>
      </c>
      <c r="B148" s="59">
        <v>575.5</v>
      </c>
      <c r="C148" s="59">
        <v>106</v>
      </c>
      <c r="D148" s="35">
        <v>583.5</v>
      </c>
      <c r="E148" s="35">
        <f t="shared" si="4"/>
        <v>101.39009556907037</v>
      </c>
      <c r="F148" s="35">
        <v>585.79999999999995</v>
      </c>
      <c r="G148" s="35">
        <f t="shared" si="4"/>
        <v>100.39417309340189</v>
      </c>
      <c r="H148" s="35">
        <v>594</v>
      </c>
      <c r="I148" s="35">
        <f t="shared" si="4"/>
        <v>101.39979515192898</v>
      </c>
      <c r="J148" s="35">
        <v>647.5</v>
      </c>
      <c r="K148" s="35">
        <f t="shared" si="4"/>
        <v>109.00673400673399</v>
      </c>
    </row>
    <row r="149" spans="1:13" ht="18" x14ac:dyDescent="0.25">
      <c r="A149" s="50" t="s">
        <v>291</v>
      </c>
      <c r="B149" s="59">
        <v>4.5</v>
      </c>
      <c r="C149" s="59">
        <v>142.69999999999999</v>
      </c>
      <c r="D149" s="35">
        <v>4.5999999999999996</v>
      </c>
      <c r="E149" s="35">
        <f t="shared" si="4"/>
        <v>102.22222222222221</v>
      </c>
      <c r="F149" s="35">
        <v>4.7</v>
      </c>
      <c r="G149" s="35">
        <f t="shared" si="4"/>
        <v>102.17391304347827</v>
      </c>
      <c r="H149" s="35">
        <v>5.0999999999999996</v>
      </c>
      <c r="I149" s="35">
        <f t="shared" si="4"/>
        <v>108.51063829787233</v>
      </c>
      <c r="J149" s="35">
        <v>5</v>
      </c>
      <c r="K149" s="35">
        <f t="shared" si="4"/>
        <v>98.039215686274517</v>
      </c>
    </row>
    <row r="150" spans="1:13" ht="18" x14ac:dyDescent="0.25">
      <c r="A150" s="50" t="s">
        <v>295</v>
      </c>
      <c r="B150" s="59">
        <v>26.6</v>
      </c>
      <c r="C150" s="59">
        <v>101.2</v>
      </c>
      <c r="D150" s="35">
        <v>4.5999999999999996</v>
      </c>
      <c r="E150" s="35">
        <f t="shared" si="4"/>
        <v>17.293233082706767</v>
      </c>
      <c r="F150" s="35">
        <v>4.8</v>
      </c>
      <c r="G150" s="35">
        <f t="shared" si="4"/>
        <v>104.34782608695652</v>
      </c>
      <c r="H150" s="35">
        <v>5.0999999999999996</v>
      </c>
      <c r="I150" s="35">
        <f t="shared" si="4"/>
        <v>106.25</v>
      </c>
      <c r="J150" s="35">
        <v>5.0999999999999996</v>
      </c>
      <c r="K150" s="35">
        <f t="shared" si="4"/>
        <v>100</v>
      </c>
    </row>
    <row r="151" spans="1:13" ht="18" x14ac:dyDescent="0.25">
      <c r="A151" s="50" t="s">
        <v>294</v>
      </c>
      <c r="B151" s="59">
        <v>29</v>
      </c>
      <c r="C151" s="59">
        <v>105.1</v>
      </c>
      <c r="D151" s="35">
        <v>27.4</v>
      </c>
      <c r="E151" s="35">
        <f t="shared" si="4"/>
        <v>94.482758620689651</v>
      </c>
      <c r="F151" s="35">
        <v>28.3</v>
      </c>
      <c r="G151" s="35">
        <f t="shared" si="4"/>
        <v>103.28467153284673</v>
      </c>
      <c r="H151" s="35">
        <v>29</v>
      </c>
      <c r="I151" s="35">
        <f t="shared" si="4"/>
        <v>102.47349823321554</v>
      </c>
      <c r="J151" s="35">
        <v>30.4</v>
      </c>
      <c r="K151" s="35">
        <f t="shared" si="4"/>
        <v>104.82758620689654</v>
      </c>
    </row>
    <row r="152" spans="1:13" ht="18" x14ac:dyDescent="0.25">
      <c r="A152" s="50" t="s">
        <v>300</v>
      </c>
      <c r="B152" s="59">
        <v>13.8</v>
      </c>
      <c r="C152" s="59">
        <v>102.3</v>
      </c>
      <c r="D152" s="35">
        <v>29.9</v>
      </c>
      <c r="E152" s="35">
        <f t="shared" si="4"/>
        <v>216.66666666666666</v>
      </c>
      <c r="F152" s="35">
        <v>30.8</v>
      </c>
      <c r="G152" s="35">
        <f t="shared" si="4"/>
        <v>103.01003344481605</v>
      </c>
      <c r="H152" s="35">
        <v>31.8</v>
      </c>
      <c r="I152" s="35">
        <f t="shared" si="4"/>
        <v>103.24675324675326</v>
      </c>
      <c r="J152" s="35">
        <v>33.299999999999997</v>
      </c>
      <c r="K152" s="35">
        <f t="shared" si="4"/>
        <v>104.71698113207546</v>
      </c>
    </row>
    <row r="153" spans="1:13" ht="18" x14ac:dyDescent="0.25">
      <c r="A153" s="50" t="s">
        <v>292</v>
      </c>
      <c r="B153" s="59">
        <v>28.7</v>
      </c>
      <c r="C153" s="59">
        <v>107</v>
      </c>
      <c r="D153" s="35">
        <v>14.2</v>
      </c>
      <c r="E153" s="35">
        <f t="shared" si="4"/>
        <v>49.477351916376307</v>
      </c>
      <c r="F153" s="35">
        <v>14.7</v>
      </c>
      <c r="G153" s="35">
        <f t="shared" si="4"/>
        <v>103.52112676056338</v>
      </c>
      <c r="H153" s="35">
        <v>15.2</v>
      </c>
      <c r="I153" s="35">
        <f t="shared" si="4"/>
        <v>103.4013605442177</v>
      </c>
      <c r="J153" s="35">
        <v>15.7</v>
      </c>
      <c r="K153" s="35">
        <f t="shared" si="4"/>
        <v>103.28947368421053</v>
      </c>
    </row>
    <row r="154" spans="1:13" ht="18" x14ac:dyDescent="0.25">
      <c r="A154" s="50" t="s">
        <v>293</v>
      </c>
      <c r="B154" s="59">
        <v>11.3</v>
      </c>
      <c r="C154" s="59">
        <v>100.5</v>
      </c>
      <c r="D154" s="35">
        <v>29.7</v>
      </c>
      <c r="E154" s="35">
        <f t="shared" si="4"/>
        <v>262.83185840707961</v>
      </c>
      <c r="F154" s="35">
        <v>30.9</v>
      </c>
      <c r="G154" s="35">
        <f t="shared" si="4"/>
        <v>104.04040404040404</v>
      </c>
      <c r="H154" s="35">
        <v>31.6</v>
      </c>
      <c r="I154" s="35">
        <f t="shared" si="4"/>
        <v>102.2653721682848</v>
      </c>
      <c r="J154" s="35">
        <v>33.200000000000003</v>
      </c>
      <c r="K154" s="35">
        <f t="shared" si="4"/>
        <v>105.0632911392405</v>
      </c>
    </row>
    <row r="155" spans="1:13" ht="18" x14ac:dyDescent="0.25">
      <c r="A155" s="50" t="s">
        <v>296</v>
      </c>
      <c r="B155" s="59">
        <v>35.4</v>
      </c>
      <c r="C155" s="59">
        <v>103.6</v>
      </c>
      <c r="D155" s="35">
        <v>11.6</v>
      </c>
      <c r="E155" s="35">
        <f t="shared" si="4"/>
        <v>32.7683615819209</v>
      </c>
      <c r="F155" s="35">
        <v>12.1</v>
      </c>
      <c r="G155" s="35">
        <f t="shared" si="4"/>
        <v>104.31034482758621</v>
      </c>
      <c r="H155" s="35">
        <v>12.4</v>
      </c>
      <c r="I155" s="35">
        <f t="shared" si="4"/>
        <v>102.47933884297522</v>
      </c>
      <c r="J155" s="35">
        <v>12.9</v>
      </c>
      <c r="K155" s="35">
        <f t="shared" si="4"/>
        <v>104.03225806451613</v>
      </c>
    </row>
    <row r="156" spans="1:13" ht="18" x14ac:dyDescent="0.25">
      <c r="A156" s="50" t="s">
        <v>301</v>
      </c>
      <c r="B156" s="59">
        <v>16.2</v>
      </c>
      <c r="C156" s="59">
        <v>103</v>
      </c>
      <c r="D156" s="35">
        <v>36.4</v>
      </c>
      <c r="E156" s="35">
        <f t="shared" si="4"/>
        <v>224.69135802469137</v>
      </c>
      <c r="F156" s="35">
        <v>37.700000000000003</v>
      </c>
      <c r="G156" s="35">
        <f t="shared" si="4"/>
        <v>103.57142857142858</v>
      </c>
      <c r="H156" s="35">
        <v>38.799999999999997</v>
      </c>
      <c r="I156" s="35">
        <f t="shared" si="4"/>
        <v>102.91777188328911</v>
      </c>
      <c r="J156" s="35">
        <v>41.5</v>
      </c>
      <c r="K156" s="35">
        <f t="shared" si="4"/>
        <v>106.95876288659794</v>
      </c>
    </row>
    <row r="157" spans="1:13" ht="18" x14ac:dyDescent="0.25">
      <c r="A157" s="50" t="s">
        <v>299</v>
      </c>
      <c r="B157" s="59">
        <v>7</v>
      </c>
      <c r="C157" s="59">
        <v>110.5</v>
      </c>
      <c r="D157" s="35">
        <v>16.7</v>
      </c>
      <c r="E157" s="35">
        <f t="shared" si="4"/>
        <v>238.57142857142856</v>
      </c>
      <c r="F157" s="35">
        <v>17.2</v>
      </c>
      <c r="G157" s="35">
        <f t="shared" si="4"/>
        <v>102.9940119760479</v>
      </c>
      <c r="H157" s="35">
        <v>17.8</v>
      </c>
      <c r="I157" s="35">
        <f t="shared" si="4"/>
        <v>103.48837209302326</v>
      </c>
      <c r="J157" s="35">
        <v>18.899999999999999</v>
      </c>
      <c r="K157" s="35">
        <f t="shared" si="4"/>
        <v>106.17977528089885</v>
      </c>
    </row>
    <row r="158" spans="1:13" ht="18" x14ac:dyDescent="0.25">
      <c r="A158" s="50" t="s">
        <v>304</v>
      </c>
      <c r="B158" s="59">
        <v>11.8</v>
      </c>
      <c r="C158" s="59">
        <v>105.6</v>
      </c>
      <c r="D158" s="35">
        <v>7.2</v>
      </c>
      <c r="E158" s="35">
        <f t="shared" si="4"/>
        <v>61.016949152542367</v>
      </c>
      <c r="F158" s="35">
        <v>7.5</v>
      </c>
      <c r="G158" s="35">
        <f t="shared" si="4"/>
        <v>104.16666666666667</v>
      </c>
      <c r="H158" s="35">
        <v>7.7</v>
      </c>
      <c r="I158" s="35">
        <f t="shared" si="4"/>
        <v>102.66666666666666</v>
      </c>
      <c r="J158" s="35">
        <v>8</v>
      </c>
      <c r="K158" s="35">
        <f t="shared" si="4"/>
        <v>103.89610389610388</v>
      </c>
    </row>
    <row r="159" spans="1:13" ht="18" x14ac:dyDescent="0.25">
      <c r="A159" s="50" t="s">
        <v>303</v>
      </c>
      <c r="B159" s="59">
        <v>19.5</v>
      </c>
      <c r="C159" s="59">
        <v>106.3</v>
      </c>
      <c r="D159" s="35">
        <v>12.2</v>
      </c>
      <c r="E159" s="35">
        <f t="shared" si="4"/>
        <v>62.564102564102562</v>
      </c>
      <c r="F159" s="35">
        <v>12.6</v>
      </c>
      <c r="G159" s="35">
        <f t="shared" si="4"/>
        <v>103.27868852459017</v>
      </c>
      <c r="H159" s="35">
        <v>12.3</v>
      </c>
      <c r="I159" s="35">
        <f t="shared" si="4"/>
        <v>97.61904761904762</v>
      </c>
      <c r="J159" s="35">
        <v>13.5</v>
      </c>
      <c r="K159" s="35">
        <f t="shared" si="4"/>
        <v>109.75609756097559</v>
      </c>
    </row>
    <row r="160" spans="1:13" ht="18" x14ac:dyDescent="0.25">
      <c r="A160" s="50" t="s">
        <v>298</v>
      </c>
      <c r="B160" s="59">
        <v>12.1</v>
      </c>
      <c r="C160" s="59">
        <v>100.2</v>
      </c>
      <c r="D160" s="35">
        <v>20.2</v>
      </c>
      <c r="E160" s="35">
        <f t="shared" si="4"/>
        <v>166.94214876033058</v>
      </c>
      <c r="F160" s="35">
        <v>20.7</v>
      </c>
      <c r="G160" s="35">
        <f t="shared" si="4"/>
        <v>102.47524752475248</v>
      </c>
      <c r="H160" s="35">
        <v>21.9</v>
      </c>
      <c r="I160" s="35">
        <f t="shared" si="4"/>
        <v>105.79710144927536</v>
      </c>
      <c r="J160" s="35">
        <v>22.5</v>
      </c>
      <c r="K160" s="35">
        <f t="shared" si="4"/>
        <v>102.73972602739727</v>
      </c>
    </row>
    <row r="161" spans="1:11" ht="18" x14ac:dyDescent="0.25">
      <c r="A161" s="50" t="s">
        <v>297</v>
      </c>
      <c r="B161" s="59">
        <v>8.4</v>
      </c>
      <c r="C161" s="59">
        <v>100.5</v>
      </c>
      <c r="D161" s="35">
        <v>12.4</v>
      </c>
      <c r="E161" s="35">
        <f t="shared" si="4"/>
        <v>147.61904761904762</v>
      </c>
      <c r="F161" s="35">
        <v>12.9</v>
      </c>
      <c r="G161" s="35">
        <f t="shared" si="4"/>
        <v>104.03225806451613</v>
      </c>
      <c r="H161" s="35">
        <v>13.3</v>
      </c>
      <c r="I161" s="35">
        <f t="shared" si="4"/>
        <v>103.10077519379846</v>
      </c>
      <c r="J161" s="35">
        <v>14</v>
      </c>
      <c r="K161" s="35">
        <f t="shared" si="4"/>
        <v>105.26315789473684</v>
      </c>
    </row>
    <row r="162" spans="1:11" ht="18" x14ac:dyDescent="0.25">
      <c r="A162" s="50" t="s">
        <v>519</v>
      </c>
      <c r="B162" s="59">
        <v>6.2</v>
      </c>
      <c r="C162" s="59">
        <v>100.6</v>
      </c>
      <c r="D162" s="35">
        <v>8.6</v>
      </c>
      <c r="E162" s="35">
        <f t="shared" si="4"/>
        <v>138.70967741935482</v>
      </c>
      <c r="F162" s="35">
        <v>8.9</v>
      </c>
      <c r="G162" s="35">
        <f t="shared" si="4"/>
        <v>103.48837209302326</v>
      </c>
      <c r="H162" s="35">
        <v>9.1999999999999993</v>
      </c>
      <c r="I162" s="35">
        <f t="shared" si="4"/>
        <v>103.37078651685391</v>
      </c>
      <c r="J162" s="35">
        <v>9.4</v>
      </c>
      <c r="K162" s="35">
        <f t="shared" si="4"/>
        <v>102.17391304347827</v>
      </c>
    </row>
    <row r="163" spans="1:11" ht="36" x14ac:dyDescent="0.25">
      <c r="A163" s="44" t="s">
        <v>526</v>
      </c>
      <c r="B163" s="59">
        <v>1223.7</v>
      </c>
      <c r="C163" s="59">
        <v>101</v>
      </c>
      <c r="D163" s="35">
        <v>1325.8</v>
      </c>
      <c r="E163" s="35">
        <f t="shared" si="4"/>
        <v>108.34354825529131</v>
      </c>
      <c r="F163" s="35">
        <v>1530</v>
      </c>
      <c r="G163" s="35">
        <f t="shared" si="4"/>
        <v>115.40202142102882</v>
      </c>
      <c r="H163" s="35">
        <v>1632.4</v>
      </c>
      <c r="I163" s="35">
        <f t="shared" si="4"/>
        <v>106.69281045751634</v>
      </c>
      <c r="J163" s="35">
        <v>1837</v>
      </c>
      <c r="K163" s="35">
        <f t="shared" si="4"/>
        <v>112.53369272237197</v>
      </c>
    </row>
    <row r="164" spans="1:11" ht="18" x14ac:dyDescent="0.25">
      <c r="A164" s="50" t="s">
        <v>288</v>
      </c>
      <c r="B164" s="59">
        <v>3.83</v>
      </c>
      <c r="C164" s="59">
        <v>100.5</v>
      </c>
      <c r="D164" s="35">
        <v>3.91</v>
      </c>
      <c r="E164" s="35">
        <f t="shared" si="4"/>
        <v>102.08877284595302</v>
      </c>
      <c r="F164" s="35">
        <v>4.0599999999999996</v>
      </c>
      <c r="G164" s="35">
        <f t="shared" si="4"/>
        <v>103.83631713554986</v>
      </c>
      <c r="H164" s="35">
        <v>4.1500000000000004</v>
      </c>
      <c r="I164" s="35">
        <f t="shared" si="4"/>
        <v>102.21674876847293</v>
      </c>
      <c r="J164" s="35">
        <v>4.22</v>
      </c>
      <c r="K164" s="35">
        <f t="shared" si="4"/>
        <v>101.68674698795179</v>
      </c>
    </row>
    <row r="165" spans="1:11" ht="18" x14ac:dyDescent="0.25">
      <c r="A165" s="50" t="s">
        <v>466</v>
      </c>
      <c r="B165" s="59">
        <v>766.8</v>
      </c>
      <c r="C165" s="59">
        <v>120.1</v>
      </c>
      <c r="D165" s="35">
        <v>843.2</v>
      </c>
      <c r="E165" s="35">
        <f t="shared" si="4"/>
        <v>109.96348461137195</v>
      </c>
      <c r="F165" s="35">
        <v>1002</v>
      </c>
      <c r="G165" s="35">
        <f t="shared" si="4"/>
        <v>118.83301707779886</v>
      </c>
      <c r="H165" s="35">
        <v>1080.2</v>
      </c>
      <c r="I165" s="35">
        <f t="shared" si="4"/>
        <v>107.80439121756487</v>
      </c>
      <c r="J165" s="35">
        <v>1250.9000000000001</v>
      </c>
      <c r="K165" s="35">
        <f t="shared" si="4"/>
        <v>115.80262914275134</v>
      </c>
    </row>
    <row r="166" spans="1:11" ht="18" x14ac:dyDescent="0.25">
      <c r="A166" s="50" t="s">
        <v>290</v>
      </c>
      <c r="B166" s="59">
        <v>134.19999999999999</v>
      </c>
      <c r="C166" s="59">
        <v>110</v>
      </c>
      <c r="D166" s="35">
        <v>151</v>
      </c>
      <c r="E166" s="35">
        <f t="shared" si="4"/>
        <v>112.51862891207153</v>
      </c>
      <c r="F166" s="35">
        <v>180.7</v>
      </c>
      <c r="G166" s="35">
        <f t="shared" si="4"/>
        <v>119.66887417218541</v>
      </c>
      <c r="H166" s="35">
        <v>195.2</v>
      </c>
      <c r="I166" s="35">
        <f t="shared" si="4"/>
        <v>108.02434975096847</v>
      </c>
      <c r="J166" s="35">
        <v>221.9</v>
      </c>
      <c r="K166" s="35">
        <f t="shared" si="4"/>
        <v>113.6782786885246</v>
      </c>
    </row>
    <row r="167" spans="1:11" ht="18" x14ac:dyDescent="0.25">
      <c r="A167" s="50" t="s">
        <v>291</v>
      </c>
      <c r="B167" s="59">
        <v>11.6</v>
      </c>
      <c r="C167" s="59">
        <v>94.4</v>
      </c>
      <c r="D167" s="35">
        <v>11.9</v>
      </c>
      <c r="E167" s="35">
        <f t="shared" si="4"/>
        <v>102.58620689655173</v>
      </c>
      <c r="F167" s="35">
        <v>12.2</v>
      </c>
      <c r="G167" s="35">
        <f t="shared" si="4"/>
        <v>102.52100840336134</v>
      </c>
      <c r="H167" s="35">
        <v>12.5</v>
      </c>
      <c r="I167" s="35">
        <f t="shared" si="4"/>
        <v>102.45901639344264</v>
      </c>
      <c r="J167" s="35">
        <v>12.9</v>
      </c>
      <c r="K167" s="35">
        <f t="shared" si="4"/>
        <v>103.2</v>
      </c>
    </row>
    <row r="168" spans="1:11" ht="18" x14ac:dyDescent="0.25">
      <c r="A168" s="50" t="s">
        <v>295</v>
      </c>
      <c r="B168" s="59">
        <v>7.5</v>
      </c>
      <c r="C168" s="59">
        <v>115.1</v>
      </c>
      <c r="D168" s="35">
        <v>7.8</v>
      </c>
      <c r="E168" s="35">
        <f t="shared" si="4"/>
        <v>104</v>
      </c>
      <c r="F168" s="35">
        <v>8.1999999999999993</v>
      </c>
      <c r="G168" s="35">
        <f t="shared" si="4"/>
        <v>105.12820512820514</v>
      </c>
      <c r="H168" s="35">
        <v>8.5</v>
      </c>
      <c r="I168" s="35">
        <f t="shared" si="4"/>
        <v>103.65853658536585</v>
      </c>
      <c r="J168" s="35">
        <v>8.8000000000000007</v>
      </c>
      <c r="K168" s="35">
        <f t="shared" si="4"/>
        <v>103.5294117647059</v>
      </c>
    </row>
    <row r="169" spans="1:11" ht="18" x14ac:dyDescent="0.25">
      <c r="A169" s="50" t="s">
        <v>294</v>
      </c>
      <c r="B169" s="59">
        <v>36.6</v>
      </c>
      <c r="C169" s="59">
        <v>103.2</v>
      </c>
      <c r="D169" s="35">
        <v>37.6</v>
      </c>
      <c r="E169" s="35">
        <f t="shared" si="4"/>
        <v>102.73224043715847</v>
      </c>
      <c r="F169" s="35">
        <v>39.700000000000003</v>
      </c>
      <c r="G169" s="35">
        <f t="shared" si="4"/>
        <v>105.58510638297874</v>
      </c>
      <c r="H169" s="35">
        <v>41.1</v>
      </c>
      <c r="I169" s="35">
        <f t="shared" si="4"/>
        <v>103.5264483627204</v>
      </c>
      <c r="J169" s="35">
        <v>42</v>
      </c>
      <c r="K169" s="35">
        <f t="shared" si="4"/>
        <v>102.1897810218978</v>
      </c>
    </row>
    <row r="170" spans="1:11" ht="18" x14ac:dyDescent="0.25">
      <c r="A170" s="50" t="s">
        <v>300</v>
      </c>
      <c r="B170" s="59">
        <v>37.43</v>
      </c>
      <c r="C170" s="59">
        <v>100.4</v>
      </c>
      <c r="D170" s="35">
        <v>37.9</v>
      </c>
      <c r="E170" s="35">
        <f t="shared" si="4"/>
        <v>101.25567726422655</v>
      </c>
      <c r="F170" s="35">
        <v>39.6</v>
      </c>
      <c r="G170" s="35">
        <f t="shared" si="4"/>
        <v>104.48548812664909</v>
      </c>
      <c r="H170" s="35">
        <v>40.200000000000003</v>
      </c>
      <c r="I170" s="35">
        <f t="shared" si="4"/>
        <v>101.51515151515152</v>
      </c>
      <c r="J170" s="35">
        <v>41.1</v>
      </c>
      <c r="K170" s="35">
        <f t="shared" si="4"/>
        <v>102.23880597014924</v>
      </c>
    </row>
    <row r="171" spans="1:11" ht="18" x14ac:dyDescent="0.25">
      <c r="A171" s="50" t="s">
        <v>292</v>
      </c>
      <c r="B171" s="59">
        <v>12.5</v>
      </c>
      <c r="C171" s="59">
        <v>41.3</v>
      </c>
      <c r="D171" s="35">
        <v>12.9</v>
      </c>
      <c r="E171" s="35">
        <f t="shared" si="4"/>
        <v>103.2</v>
      </c>
      <c r="F171" s="35">
        <v>13.5</v>
      </c>
      <c r="G171" s="35">
        <f t="shared" si="4"/>
        <v>104.65116279069765</v>
      </c>
      <c r="H171" s="35">
        <v>13.9</v>
      </c>
      <c r="I171" s="35">
        <f t="shared" si="4"/>
        <v>102.96296296296296</v>
      </c>
      <c r="J171" s="35">
        <v>14</v>
      </c>
      <c r="K171" s="35">
        <f t="shared" si="4"/>
        <v>100.71942446043165</v>
      </c>
    </row>
    <row r="172" spans="1:11" ht="18" x14ac:dyDescent="0.25">
      <c r="A172" s="50" t="s">
        <v>293</v>
      </c>
      <c r="B172" s="59">
        <v>1</v>
      </c>
      <c r="C172" s="59">
        <v>100.9</v>
      </c>
      <c r="D172" s="35">
        <v>1.06</v>
      </c>
      <c r="E172" s="35">
        <f t="shared" si="4"/>
        <v>106</v>
      </c>
      <c r="F172" s="35">
        <v>1.0900000000000001</v>
      </c>
      <c r="G172" s="35">
        <f t="shared" si="4"/>
        <v>102.8301886792453</v>
      </c>
      <c r="H172" s="35">
        <v>1.1200000000000001</v>
      </c>
      <c r="I172" s="35">
        <f t="shared" si="4"/>
        <v>102.75229357798166</v>
      </c>
      <c r="J172" s="35">
        <v>1.1499999999999999</v>
      </c>
      <c r="K172" s="35">
        <f t="shared" si="4"/>
        <v>102.67857142857142</v>
      </c>
    </row>
    <row r="173" spans="1:11" ht="18" x14ac:dyDescent="0.25">
      <c r="A173" s="50" t="s">
        <v>296</v>
      </c>
      <c r="B173" s="59">
        <v>112.1</v>
      </c>
      <c r="C173" s="59">
        <v>113</v>
      </c>
      <c r="D173" s="35">
        <v>115.7</v>
      </c>
      <c r="E173" s="35">
        <f t="shared" si="4"/>
        <v>103.2114183764496</v>
      </c>
      <c r="F173" s="35">
        <v>121.5</v>
      </c>
      <c r="G173" s="35">
        <f t="shared" si="4"/>
        <v>105.01296456352635</v>
      </c>
      <c r="H173" s="35">
        <v>125.2</v>
      </c>
      <c r="I173" s="35">
        <f t="shared" si="4"/>
        <v>103.04526748971195</v>
      </c>
      <c r="J173" s="35">
        <v>127.3</v>
      </c>
      <c r="K173" s="35">
        <f t="shared" si="4"/>
        <v>101.67731629392971</v>
      </c>
    </row>
    <row r="174" spans="1:11" ht="18" x14ac:dyDescent="0.25">
      <c r="A174" s="50" t="s">
        <v>301</v>
      </c>
      <c r="B174" s="59">
        <v>75.5</v>
      </c>
      <c r="C174" s="59">
        <v>106.6</v>
      </c>
      <c r="D174" s="35">
        <v>77.400000000000006</v>
      </c>
      <c r="E174" s="35">
        <f t="shared" si="4"/>
        <v>102.51655629139074</v>
      </c>
      <c r="F174" s="35">
        <v>81.3</v>
      </c>
      <c r="G174" s="35">
        <f t="shared" si="4"/>
        <v>105.03875968992247</v>
      </c>
      <c r="H174" s="35">
        <v>83.7</v>
      </c>
      <c r="I174" s="35">
        <f t="shared" si="4"/>
        <v>102.95202952029521</v>
      </c>
      <c r="J174" s="35">
        <v>85.6</v>
      </c>
      <c r="K174" s="35">
        <f t="shared" si="4"/>
        <v>102.27001194743129</v>
      </c>
    </row>
    <row r="175" spans="1:11" ht="18" x14ac:dyDescent="0.25">
      <c r="A175" s="50" t="s">
        <v>299</v>
      </c>
      <c r="B175" s="59">
        <v>6</v>
      </c>
      <c r="C175" s="59">
        <v>70.8</v>
      </c>
      <c r="D175" s="35">
        <v>6.4</v>
      </c>
      <c r="E175" s="35">
        <f t="shared" si="4"/>
        <v>106.66666666666667</v>
      </c>
      <c r="F175" s="35">
        <v>6.4</v>
      </c>
      <c r="G175" s="35">
        <f t="shared" si="4"/>
        <v>100</v>
      </c>
      <c r="H175" s="35">
        <v>6.5</v>
      </c>
      <c r="I175" s="35">
        <f t="shared" si="4"/>
        <v>101.5625</v>
      </c>
      <c r="J175" s="35">
        <v>6.6</v>
      </c>
      <c r="K175" s="35">
        <f t="shared" si="4"/>
        <v>101.53846153846153</v>
      </c>
    </row>
    <row r="176" spans="1:11" ht="18" x14ac:dyDescent="0.25">
      <c r="A176" s="50" t="s">
        <v>304</v>
      </c>
      <c r="B176" s="59">
        <v>3.1</v>
      </c>
      <c r="C176" s="59">
        <v>108.8</v>
      </c>
      <c r="D176" s="35">
        <v>3.2</v>
      </c>
      <c r="E176" s="35">
        <f t="shared" si="4"/>
        <v>103.2258064516129</v>
      </c>
      <c r="F176" s="35">
        <v>3.4</v>
      </c>
      <c r="G176" s="35">
        <f t="shared" si="4"/>
        <v>106.25</v>
      </c>
      <c r="H176" s="35">
        <v>3.5</v>
      </c>
      <c r="I176" s="35">
        <f t="shared" si="4"/>
        <v>102.94117647058825</v>
      </c>
      <c r="J176" s="35">
        <v>3.6</v>
      </c>
      <c r="K176" s="35">
        <f t="shared" si="4"/>
        <v>102.85714285714288</v>
      </c>
    </row>
    <row r="177" spans="1:11" ht="18" x14ac:dyDescent="0.25">
      <c r="A177" s="50" t="s">
        <v>303</v>
      </c>
      <c r="B177" s="59">
        <v>10</v>
      </c>
      <c r="C177" s="59">
        <v>101</v>
      </c>
      <c r="D177" s="35">
        <v>10.199999999999999</v>
      </c>
      <c r="E177" s="35">
        <f t="shared" si="4"/>
        <v>102</v>
      </c>
      <c r="F177" s="35">
        <v>10.6</v>
      </c>
      <c r="G177" s="35">
        <f t="shared" si="4"/>
        <v>103.92156862745099</v>
      </c>
      <c r="H177" s="35">
        <v>10.8</v>
      </c>
      <c r="I177" s="35">
        <f t="shared" si="4"/>
        <v>101.88679245283019</v>
      </c>
      <c r="J177" s="35">
        <v>11</v>
      </c>
      <c r="K177" s="35">
        <f t="shared" si="4"/>
        <v>101.85185185185183</v>
      </c>
    </row>
    <row r="178" spans="1:11" ht="18" x14ac:dyDescent="0.25">
      <c r="A178" s="50" t="s">
        <v>298</v>
      </c>
      <c r="B178" s="59">
        <v>2.84</v>
      </c>
      <c r="C178" s="59">
        <v>100.6</v>
      </c>
      <c r="D178" s="35">
        <v>2.88</v>
      </c>
      <c r="E178" s="35">
        <f t="shared" si="4"/>
        <v>101.40845070422534</v>
      </c>
      <c r="F178" s="35">
        <v>2.93</v>
      </c>
      <c r="G178" s="35">
        <f t="shared" si="4"/>
        <v>101.73611111111111</v>
      </c>
      <c r="H178" s="35">
        <v>2.99</v>
      </c>
      <c r="I178" s="35">
        <f t="shared" si="4"/>
        <v>102.04778156996588</v>
      </c>
      <c r="J178" s="35">
        <v>3.04</v>
      </c>
      <c r="K178" s="35">
        <f t="shared" si="4"/>
        <v>101.67224080267559</v>
      </c>
    </row>
    <row r="179" spans="1:11" ht="18" x14ac:dyDescent="0.25">
      <c r="A179" s="50" t="s">
        <v>297</v>
      </c>
      <c r="B179" s="59">
        <v>1.81</v>
      </c>
      <c r="C179" s="59">
        <v>100.4</v>
      </c>
      <c r="D179" s="35">
        <v>1.83</v>
      </c>
      <c r="E179" s="35">
        <f t="shared" si="4"/>
        <v>101.10497237569061</v>
      </c>
      <c r="F179" s="35">
        <v>1.86</v>
      </c>
      <c r="G179" s="35">
        <f t="shared" si="4"/>
        <v>101.63934426229508</v>
      </c>
      <c r="H179" s="35">
        <v>1.89</v>
      </c>
      <c r="I179" s="35">
        <f t="shared" si="4"/>
        <v>101.61290322580645</v>
      </c>
      <c r="J179" s="35">
        <v>1.91</v>
      </c>
      <c r="K179" s="35">
        <f t="shared" si="4"/>
        <v>101.05820105820106</v>
      </c>
    </row>
    <row r="180" spans="1:11" ht="18" x14ac:dyDescent="0.25">
      <c r="A180" s="50" t="s">
        <v>519</v>
      </c>
      <c r="B180" s="59">
        <v>0.91</v>
      </c>
      <c r="C180" s="59">
        <v>102.3</v>
      </c>
      <c r="D180" s="35">
        <v>0.93</v>
      </c>
      <c r="E180" s="35">
        <f t="shared" si="4"/>
        <v>102.19780219780219</v>
      </c>
      <c r="F180" s="35">
        <v>0.96</v>
      </c>
      <c r="G180" s="35">
        <f t="shared" si="4"/>
        <v>103.2258064516129</v>
      </c>
      <c r="H180" s="35">
        <v>0.98</v>
      </c>
      <c r="I180" s="35">
        <f t="shared" si="4"/>
        <v>102.08333333333333</v>
      </c>
      <c r="J180" s="35">
        <v>1.01</v>
      </c>
      <c r="K180" s="35">
        <f t="shared" si="4"/>
        <v>103.0612244897959</v>
      </c>
    </row>
    <row r="181" spans="1:11" ht="39.75" customHeight="1" x14ac:dyDescent="0.25">
      <c r="A181" s="44" t="s">
        <v>527</v>
      </c>
      <c r="B181" s="59">
        <v>8755.4</v>
      </c>
      <c r="C181" s="59">
        <v>104.5</v>
      </c>
      <c r="D181" s="35">
        <v>8816.7000000000007</v>
      </c>
      <c r="E181" s="35">
        <f t="shared" si="4"/>
        <v>100.70013934257716</v>
      </c>
      <c r="F181" s="35">
        <v>8896.1</v>
      </c>
      <c r="G181" s="35">
        <f t="shared" si="4"/>
        <v>100.90056370297276</v>
      </c>
      <c r="H181" s="35">
        <v>9029</v>
      </c>
      <c r="I181" s="35">
        <f t="shared" si="4"/>
        <v>101.49391306302762</v>
      </c>
      <c r="J181" s="35">
        <v>9187</v>
      </c>
      <c r="K181" s="35">
        <f t="shared" si="4"/>
        <v>101.74991693432274</v>
      </c>
    </row>
    <row r="182" spans="1:11" ht="24" customHeight="1" x14ac:dyDescent="0.25">
      <c r="A182" s="50" t="s">
        <v>288</v>
      </c>
      <c r="B182" s="59">
        <v>185.9</v>
      </c>
      <c r="C182" s="59">
        <v>101</v>
      </c>
      <c r="D182" s="35">
        <v>190.7</v>
      </c>
      <c r="E182" s="35">
        <f t="shared" si="4"/>
        <v>102.5820333512641</v>
      </c>
      <c r="F182" s="35">
        <v>193.5</v>
      </c>
      <c r="G182" s="35">
        <f t="shared" si="4"/>
        <v>101.46827477713687</v>
      </c>
      <c r="H182" s="35">
        <v>197.2</v>
      </c>
      <c r="I182" s="35">
        <f t="shared" si="4"/>
        <v>101.91214470284238</v>
      </c>
      <c r="J182" s="35">
        <v>200.2</v>
      </c>
      <c r="K182" s="35">
        <f t="shared" si="4"/>
        <v>101.52129817444219</v>
      </c>
    </row>
    <row r="183" spans="1:11" ht="24" customHeight="1" x14ac:dyDescent="0.25">
      <c r="A183" s="50" t="s">
        <v>466</v>
      </c>
      <c r="B183" s="59">
        <v>1651.7</v>
      </c>
      <c r="C183" s="59">
        <v>102.1</v>
      </c>
      <c r="D183" s="35">
        <v>1683.3</v>
      </c>
      <c r="E183" s="35">
        <f t="shared" si="4"/>
        <v>101.91318035962946</v>
      </c>
      <c r="F183" s="35">
        <v>1717.2</v>
      </c>
      <c r="G183" s="35">
        <f t="shared" si="4"/>
        <v>102.0139012653716</v>
      </c>
      <c r="H183" s="35">
        <v>1755.2</v>
      </c>
      <c r="I183" s="35">
        <f t="shared" si="4"/>
        <v>102.212904728628</v>
      </c>
      <c r="J183" s="35">
        <v>1799.1</v>
      </c>
      <c r="K183" s="35">
        <f t="shared" si="4"/>
        <v>102.50113947128531</v>
      </c>
    </row>
    <row r="184" spans="1:11" ht="24" customHeight="1" x14ac:dyDescent="0.25">
      <c r="A184" s="50" t="s">
        <v>290</v>
      </c>
      <c r="B184" s="59">
        <v>5969.5</v>
      </c>
      <c r="C184" s="59">
        <v>103.9</v>
      </c>
      <c r="D184" s="35">
        <v>5977.2</v>
      </c>
      <c r="E184" s="35">
        <f t="shared" si="4"/>
        <v>100.12898902755674</v>
      </c>
      <c r="F184" s="35">
        <v>5999.7</v>
      </c>
      <c r="G184" s="35">
        <f t="shared" si="4"/>
        <v>100.37643043565549</v>
      </c>
      <c r="H184" s="35">
        <v>6069</v>
      </c>
      <c r="I184" s="35">
        <f t="shared" si="4"/>
        <v>101.15505775288764</v>
      </c>
      <c r="J184" s="35">
        <v>6160.4</v>
      </c>
      <c r="K184" s="35">
        <f t="shared" si="4"/>
        <v>101.50601417037404</v>
      </c>
    </row>
    <row r="185" spans="1:11" ht="24" customHeight="1" x14ac:dyDescent="0.25">
      <c r="A185" s="50" t="s">
        <v>291</v>
      </c>
      <c r="B185" s="59">
        <v>16.2</v>
      </c>
      <c r="C185" s="59">
        <v>305.7</v>
      </c>
      <c r="D185" s="35">
        <v>16.399999999999999</v>
      </c>
      <c r="E185" s="35">
        <f t="shared" si="4"/>
        <v>101.23456790123457</v>
      </c>
      <c r="F185" s="35">
        <v>16.8</v>
      </c>
      <c r="G185" s="35">
        <f t="shared" si="4"/>
        <v>102.4390243902439</v>
      </c>
      <c r="H185" s="35">
        <v>17.3</v>
      </c>
      <c r="I185" s="35">
        <f t="shared" si="4"/>
        <v>102.97619047619047</v>
      </c>
      <c r="J185" s="35">
        <v>17.7</v>
      </c>
      <c r="K185" s="35">
        <f t="shared" si="4"/>
        <v>102.3121387283237</v>
      </c>
    </row>
    <row r="186" spans="1:11" ht="24" customHeight="1" x14ac:dyDescent="0.25">
      <c r="A186" s="50" t="s">
        <v>295</v>
      </c>
      <c r="B186" s="59">
        <v>93.7</v>
      </c>
      <c r="C186" s="59">
        <v>106.5</v>
      </c>
      <c r="D186" s="35">
        <v>95.1</v>
      </c>
      <c r="E186" s="35">
        <f t="shared" si="4"/>
        <v>101.4941302027748</v>
      </c>
      <c r="F186" s="35">
        <v>97.1</v>
      </c>
      <c r="G186" s="35">
        <f t="shared" si="4"/>
        <v>102.10304942166142</v>
      </c>
      <c r="H186" s="35">
        <v>99.2</v>
      </c>
      <c r="I186" s="35">
        <f t="shared" si="4"/>
        <v>102.16271884654995</v>
      </c>
      <c r="J186" s="35">
        <v>101.1</v>
      </c>
      <c r="K186" s="35">
        <f t="shared" si="4"/>
        <v>101.91532258064515</v>
      </c>
    </row>
    <row r="187" spans="1:11" ht="24" customHeight="1" x14ac:dyDescent="0.25">
      <c r="A187" s="50" t="s">
        <v>294</v>
      </c>
      <c r="B187" s="59">
        <v>70.5</v>
      </c>
      <c r="C187" s="59">
        <v>102</v>
      </c>
      <c r="D187" s="35">
        <v>74</v>
      </c>
      <c r="E187" s="35">
        <f t="shared" si="4"/>
        <v>104.9645390070922</v>
      </c>
      <c r="F187" s="35">
        <v>76.3</v>
      </c>
      <c r="G187" s="35">
        <f t="shared" si="4"/>
        <v>103.10810810810811</v>
      </c>
      <c r="H187" s="35">
        <v>78.8</v>
      </c>
      <c r="I187" s="35">
        <f t="shared" si="4"/>
        <v>103.27653997378768</v>
      </c>
      <c r="J187" s="35">
        <v>81.2</v>
      </c>
      <c r="K187" s="35">
        <f t="shared" si="4"/>
        <v>103.04568527918782</v>
      </c>
    </row>
    <row r="188" spans="1:11" ht="24" customHeight="1" x14ac:dyDescent="0.25">
      <c r="A188" s="50" t="s">
        <v>300</v>
      </c>
      <c r="B188" s="59">
        <v>29.5</v>
      </c>
      <c r="C188" s="59">
        <v>119.4</v>
      </c>
      <c r="D188" s="35">
        <v>29.9</v>
      </c>
      <c r="E188" s="35">
        <f t="shared" si="4"/>
        <v>101.35593220338983</v>
      </c>
      <c r="F188" s="35">
        <v>30.6</v>
      </c>
      <c r="G188" s="35">
        <f t="shared" si="4"/>
        <v>102.34113712374584</v>
      </c>
      <c r="H188" s="35">
        <v>31.4</v>
      </c>
      <c r="I188" s="35">
        <f t="shared" si="4"/>
        <v>102.61437908496731</v>
      </c>
      <c r="J188" s="35">
        <v>32.1</v>
      </c>
      <c r="K188" s="35">
        <f t="shared" si="4"/>
        <v>102.22929936305734</v>
      </c>
    </row>
    <row r="189" spans="1:11" ht="24" customHeight="1" x14ac:dyDescent="0.25">
      <c r="A189" s="50" t="s">
        <v>292</v>
      </c>
      <c r="B189" s="59">
        <v>114.4</v>
      </c>
      <c r="C189" s="59">
        <v>121.8</v>
      </c>
      <c r="D189" s="35">
        <v>116.1</v>
      </c>
      <c r="E189" s="35">
        <f t="shared" si="4"/>
        <v>101.48601398601397</v>
      </c>
      <c r="F189" s="35">
        <v>118.1</v>
      </c>
      <c r="G189" s="35">
        <f t="shared" si="4"/>
        <v>101.72265288544358</v>
      </c>
      <c r="H189" s="35">
        <v>120.3</v>
      </c>
      <c r="I189" s="35">
        <f t="shared" si="4"/>
        <v>101.8628281117697</v>
      </c>
      <c r="J189" s="35">
        <v>122.3</v>
      </c>
      <c r="K189" s="35">
        <f t="shared" si="4"/>
        <v>101.66251039068995</v>
      </c>
    </row>
    <row r="190" spans="1:11" ht="24" customHeight="1" x14ac:dyDescent="0.25">
      <c r="A190" s="50" t="s">
        <v>293</v>
      </c>
      <c r="B190" s="59">
        <v>71.3</v>
      </c>
      <c r="C190" s="59">
        <v>100.1</v>
      </c>
      <c r="D190" s="35">
        <v>72.400000000000006</v>
      </c>
      <c r="E190" s="35">
        <f t="shared" si="4"/>
        <v>101.54277699859749</v>
      </c>
      <c r="F190" s="35">
        <v>73.400000000000006</v>
      </c>
      <c r="G190" s="35">
        <f t="shared" si="4"/>
        <v>101.38121546961325</v>
      </c>
      <c r="H190" s="35">
        <v>74.599999999999994</v>
      </c>
      <c r="I190" s="35">
        <f t="shared" si="4"/>
        <v>101.63487738419616</v>
      </c>
      <c r="J190" s="35">
        <v>75.5</v>
      </c>
      <c r="K190" s="35">
        <f t="shared" si="4"/>
        <v>101.20643431635389</v>
      </c>
    </row>
    <row r="191" spans="1:11" ht="20.25" customHeight="1" x14ac:dyDescent="0.25">
      <c r="A191" s="50" t="s">
        <v>296</v>
      </c>
      <c r="B191" s="59">
        <v>99.9</v>
      </c>
      <c r="C191" s="59">
        <v>112.8</v>
      </c>
      <c r="D191" s="35">
        <v>101.4</v>
      </c>
      <c r="E191" s="35">
        <f t="shared" si="4"/>
        <v>101.50150150150151</v>
      </c>
      <c r="F191" s="35">
        <v>102.9</v>
      </c>
      <c r="G191" s="35">
        <f t="shared" si="4"/>
        <v>101.47928994082839</v>
      </c>
      <c r="H191" s="35">
        <v>104.6</v>
      </c>
      <c r="I191" s="35">
        <f t="shared" si="4"/>
        <v>101.65208940719144</v>
      </c>
      <c r="J191" s="35">
        <v>106</v>
      </c>
      <c r="K191" s="35">
        <f t="shared" si="4"/>
        <v>101.33843212237095</v>
      </c>
    </row>
    <row r="192" spans="1:11" ht="20.25" customHeight="1" x14ac:dyDescent="0.25">
      <c r="A192" s="50" t="s">
        <v>301</v>
      </c>
      <c r="B192" s="59">
        <v>83.2</v>
      </c>
      <c r="C192" s="59">
        <v>104.3</v>
      </c>
      <c r="D192" s="35">
        <v>84.4</v>
      </c>
      <c r="E192" s="35">
        <f t="shared" si="4"/>
        <v>101.44230769230769</v>
      </c>
      <c r="F192" s="35">
        <v>85.5</v>
      </c>
      <c r="G192" s="35">
        <f t="shared" si="4"/>
        <v>101.30331753554502</v>
      </c>
      <c r="H192" s="35">
        <v>86.6</v>
      </c>
      <c r="I192" s="35">
        <f t="shared" si="4"/>
        <v>101.28654970760233</v>
      </c>
      <c r="J192" s="35">
        <v>87.5</v>
      </c>
      <c r="K192" s="35">
        <f t="shared" si="4"/>
        <v>101.03926096997691</v>
      </c>
    </row>
    <row r="193" spans="1:11" ht="20.25" customHeight="1" x14ac:dyDescent="0.25">
      <c r="A193" s="50" t="s">
        <v>299</v>
      </c>
      <c r="B193" s="59">
        <v>39.5</v>
      </c>
      <c r="C193" s="59">
        <v>111</v>
      </c>
      <c r="D193" s="35">
        <v>40.200000000000003</v>
      </c>
      <c r="E193" s="35">
        <f t="shared" si="4"/>
        <v>101.77215189873419</v>
      </c>
      <c r="F193" s="35">
        <v>40.700000000000003</v>
      </c>
      <c r="G193" s="35">
        <f t="shared" si="4"/>
        <v>101.24378109452736</v>
      </c>
      <c r="H193" s="35">
        <v>41.2</v>
      </c>
      <c r="I193" s="35">
        <f t="shared" si="4"/>
        <v>101.22850122850122</v>
      </c>
      <c r="J193" s="35">
        <v>41.7</v>
      </c>
      <c r="K193" s="35">
        <f t="shared" si="4"/>
        <v>101.21359223300972</v>
      </c>
    </row>
    <row r="194" spans="1:11" ht="20.25" customHeight="1" x14ac:dyDescent="0.25">
      <c r="A194" s="50" t="s">
        <v>304</v>
      </c>
      <c r="B194" s="59">
        <v>47</v>
      </c>
      <c r="C194" s="59">
        <v>102.2</v>
      </c>
      <c r="D194" s="35">
        <v>47.8</v>
      </c>
      <c r="E194" s="35">
        <f t="shared" si="4"/>
        <v>101.70212765957447</v>
      </c>
      <c r="F194" s="35">
        <v>48.4</v>
      </c>
      <c r="G194" s="35">
        <f t="shared" si="4"/>
        <v>101.25523012552303</v>
      </c>
      <c r="H194" s="35">
        <v>49</v>
      </c>
      <c r="I194" s="35">
        <f t="shared" si="4"/>
        <v>101.2396694214876</v>
      </c>
      <c r="J194" s="35">
        <v>49.5</v>
      </c>
      <c r="K194" s="35">
        <f t="shared" si="4"/>
        <v>101.0204081632653</v>
      </c>
    </row>
    <row r="195" spans="1:11" ht="20.25" customHeight="1" x14ac:dyDescent="0.25">
      <c r="A195" s="50" t="s">
        <v>303</v>
      </c>
      <c r="B195" s="59">
        <v>134.80000000000001</v>
      </c>
      <c r="C195" s="59">
        <v>160.5</v>
      </c>
      <c r="D195" s="35">
        <v>136.80000000000001</v>
      </c>
      <c r="E195" s="35">
        <f t="shared" si="4"/>
        <v>101.48367952522254</v>
      </c>
      <c r="F195" s="35">
        <v>140</v>
      </c>
      <c r="G195" s="35">
        <f t="shared" si="4"/>
        <v>102.3391812865497</v>
      </c>
      <c r="H195" s="35">
        <v>143.5</v>
      </c>
      <c r="I195" s="35">
        <f t="shared" si="4"/>
        <v>102.49999999999999</v>
      </c>
      <c r="J195" s="35">
        <v>146.6</v>
      </c>
      <c r="K195" s="35">
        <f t="shared" si="4"/>
        <v>102.16027874564459</v>
      </c>
    </row>
    <row r="196" spans="1:11" ht="20.25" customHeight="1" x14ac:dyDescent="0.25">
      <c r="A196" s="50" t="s">
        <v>298</v>
      </c>
      <c r="B196" s="59">
        <v>126.8</v>
      </c>
      <c r="C196" s="59">
        <v>101.4</v>
      </c>
      <c r="D196" s="35">
        <v>128.69999999999999</v>
      </c>
      <c r="E196" s="35">
        <f t="shared" si="4"/>
        <v>101.49842271293375</v>
      </c>
      <c r="F196" s="35">
        <v>133.1</v>
      </c>
      <c r="G196" s="35">
        <f t="shared" si="4"/>
        <v>103.41880341880344</v>
      </c>
      <c r="H196" s="35">
        <v>137.9</v>
      </c>
      <c r="I196" s="35">
        <f t="shared" si="4"/>
        <v>103.60631104432758</v>
      </c>
      <c r="J196" s="35">
        <v>142.4</v>
      </c>
      <c r="K196" s="35">
        <f t="shared" si="4"/>
        <v>103.26323422770123</v>
      </c>
    </row>
    <row r="197" spans="1:11" ht="20.25" customHeight="1" x14ac:dyDescent="0.25">
      <c r="A197" s="50" t="s">
        <v>528</v>
      </c>
      <c r="B197" s="59">
        <v>2.2000000000000002</v>
      </c>
      <c r="C197" s="59">
        <v>110</v>
      </c>
      <c r="D197" s="35">
        <v>2.2999999999999998</v>
      </c>
      <c r="E197" s="35">
        <f t="shared" si="4"/>
        <v>104.54545454545452</v>
      </c>
      <c r="F197" s="35">
        <v>2.2999999999999998</v>
      </c>
      <c r="G197" s="35">
        <f t="shared" si="4"/>
        <v>100</v>
      </c>
      <c r="H197" s="35">
        <v>2.4</v>
      </c>
      <c r="I197" s="35">
        <f t="shared" si="4"/>
        <v>104.34782608695652</v>
      </c>
      <c r="J197" s="35">
        <v>2.5</v>
      </c>
      <c r="K197" s="35">
        <f t="shared" si="4"/>
        <v>104.16666666666667</v>
      </c>
    </row>
    <row r="198" spans="1:11" ht="20.25" customHeight="1" x14ac:dyDescent="0.25">
      <c r="A198" s="50" t="s">
        <v>519</v>
      </c>
      <c r="B198" s="59">
        <v>19.3</v>
      </c>
      <c r="C198" s="59">
        <v>104.9</v>
      </c>
      <c r="D198" s="35">
        <v>20</v>
      </c>
      <c r="E198" s="35">
        <f t="shared" si="4"/>
        <v>103.62694300518133</v>
      </c>
      <c r="F198" s="35">
        <v>20.399999999999999</v>
      </c>
      <c r="G198" s="35">
        <f t="shared" si="4"/>
        <v>102</v>
      </c>
      <c r="H198" s="35">
        <v>20.8</v>
      </c>
      <c r="I198" s="35">
        <f t="shared" si="4"/>
        <v>101.96078431372551</v>
      </c>
      <c r="J198" s="35">
        <v>21.2</v>
      </c>
      <c r="K198" s="35">
        <f t="shared" ref="K198" si="5">J198/H198*100</f>
        <v>101.92307692307692</v>
      </c>
    </row>
    <row r="199" spans="1:11" ht="36" x14ac:dyDescent="0.25">
      <c r="A199" s="44" t="s">
        <v>529</v>
      </c>
      <c r="B199" s="107">
        <v>4697.0200000000004</v>
      </c>
      <c r="C199" s="59">
        <v>102.9</v>
      </c>
      <c r="D199" s="35">
        <v>4901</v>
      </c>
      <c r="E199" s="35">
        <f t="shared" ref="E199:K227" si="6">D199/B199*100</f>
        <v>104.34275349051099</v>
      </c>
      <c r="F199" s="35">
        <v>5105.8999999999996</v>
      </c>
      <c r="G199" s="35">
        <f t="shared" si="6"/>
        <v>104.18077943276882</v>
      </c>
      <c r="H199" s="35">
        <v>5311.1</v>
      </c>
      <c r="I199" s="35">
        <f t="shared" si="6"/>
        <v>104.01888011907793</v>
      </c>
      <c r="J199" s="35">
        <v>5616.5</v>
      </c>
      <c r="K199" s="35">
        <f t="shared" si="6"/>
        <v>105.75022123477244</v>
      </c>
    </row>
    <row r="200" spans="1:11" ht="17.25" customHeight="1" x14ac:dyDescent="0.25">
      <c r="A200" s="50" t="s">
        <v>288</v>
      </c>
      <c r="B200" s="163">
        <v>58</v>
      </c>
      <c r="C200" s="160">
        <v>105.1</v>
      </c>
      <c r="D200" s="161">
        <v>60.2</v>
      </c>
      <c r="E200" s="161">
        <f t="shared" si="6"/>
        <v>103.79310344827586</v>
      </c>
      <c r="F200" s="161">
        <v>61</v>
      </c>
      <c r="G200" s="161">
        <f t="shared" si="6"/>
        <v>101.32890365448503</v>
      </c>
      <c r="H200" s="161">
        <v>62.2</v>
      </c>
      <c r="I200" s="161">
        <f t="shared" si="6"/>
        <v>101.9672131147541</v>
      </c>
      <c r="J200" s="161">
        <v>63.9</v>
      </c>
      <c r="K200" s="161">
        <f t="shared" si="6"/>
        <v>102.73311897106107</v>
      </c>
    </row>
    <row r="201" spans="1:11" ht="18.75" x14ac:dyDescent="0.25">
      <c r="A201" s="50" t="s">
        <v>466</v>
      </c>
      <c r="B201" s="160">
        <v>1576.8</v>
      </c>
      <c r="C201" s="160">
        <v>103.7</v>
      </c>
      <c r="D201" s="161">
        <v>1603.6</v>
      </c>
      <c r="E201" s="161">
        <f t="shared" si="6"/>
        <v>101.69964485032979</v>
      </c>
      <c r="F201" s="161">
        <v>1643.8</v>
      </c>
      <c r="G201" s="161">
        <f t="shared" si="6"/>
        <v>102.50685956597655</v>
      </c>
      <c r="H201" s="161">
        <v>1681.3</v>
      </c>
      <c r="I201" s="161">
        <f t="shared" si="6"/>
        <v>102.28129942815427</v>
      </c>
      <c r="J201" s="161">
        <v>1748.8</v>
      </c>
      <c r="K201" s="161">
        <f t="shared" si="6"/>
        <v>104.01475049069174</v>
      </c>
    </row>
    <row r="202" spans="1:11" ht="18.75" x14ac:dyDescent="0.25">
      <c r="A202" s="50" t="s">
        <v>290</v>
      </c>
      <c r="B202" s="160">
        <v>1219.5999999999999</v>
      </c>
      <c r="C202" s="160">
        <v>100.5</v>
      </c>
      <c r="D202" s="161">
        <v>1317.2</v>
      </c>
      <c r="E202" s="161">
        <f t="shared" si="6"/>
        <v>108.00262381108561</v>
      </c>
      <c r="F202" s="161">
        <v>1429.1</v>
      </c>
      <c r="G202" s="161">
        <f t="shared" si="6"/>
        <v>108.49529304585484</v>
      </c>
      <c r="H202" s="161">
        <v>1546.3</v>
      </c>
      <c r="I202" s="161">
        <f t="shared" si="6"/>
        <v>108.20096564271221</v>
      </c>
      <c r="J202" s="161">
        <v>1682.4</v>
      </c>
      <c r="K202" s="161">
        <f t="shared" si="6"/>
        <v>108.80165556489685</v>
      </c>
    </row>
    <row r="203" spans="1:11" ht="18.75" x14ac:dyDescent="0.25">
      <c r="A203" s="50" t="s">
        <v>291</v>
      </c>
      <c r="B203" s="160">
        <v>29.5</v>
      </c>
      <c r="C203" s="160">
        <v>151.30000000000001</v>
      </c>
      <c r="D203" s="161">
        <v>30.5</v>
      </c>
      <c r="E203" s="161">
        <f t="shared" si="6"/>
        <v>103.38983050847457</v>
      </c>
      <c r="F203" s="161">
        <v>31.5</v>
      </c>
      <c r="G203" s="161">
        <f t="shared" si="6"/>
        <v>103.27868852459017</v>
      </c>
      <c r="H203" s="161">
        <v>32.799999999999997</v>
      </c>
      <c r="I203" s="161">
        <f t="shared" si="6"/>
        <v>104.12698412698411</v>
      </c>
      <c r="J203" s="161">
        <v>33.799999999999997</v>
      </c>
      <c r="K203" s="161">
        <f t="shared" si="6"/>
        <v>103.04878048780488</v>
      </c>
    </row>
    <row r="204" spans="1:11" ht="18.75" x14ac:dyDescent="0.25">
      <c r="A204" s="50" t="s">
        <v>295</v>
      </c>
      <c r="B204" s="160">
        <v>37.5</v>
      </c>
      <c r="C204" s="160">
        <v>103.3</v>
      </c>
      <c r="D204" s="161">
        <v>39</v>
      </c>
      <c r="E204" s="161">
        <f t="shared" si="6"/>
        <v>104</v>
      </c>
      <c r="F204" s="161">
        <v>40.799999999999997</v>
      </c>
      <c r="G204" s="161">
        <f t="shared" si="6"/>
        <v>104.6153846153846</v>
      </c>
      <c r="H204" s="161">
        <v>42.7</v>
      </c>
      <c r="I204" s="161">
        <f t="shared" si="6"/>
        <v>104.65686274509804</v>
      </c>
      <c r="J204" s="161">
        <v>44</v>
      </c>
      <c r="K204" s="161">
        <f t="shared" si="6"/>
        <v>103.04449648711945</v>
      </c>
    </row>
    <row r="205" spans="1:11" ht="18.75" x14ac:dyDescent="0.25">
      <c r="A205" s="50" t="s">
        <v>294</v>
      </c>
      <c r="B205" s="160">
        <v>41.7</v>
      </c>
      <c r="C205" s="160">
        <v>101.5</v>
      </c>
      <c r="D205" s="161">
        <v>43</v>
      </c>
      <c r="E205" s="161">
        <f t="shared" si="6"/>
        <v>103.11750599520384</v>
      </c>
      <c r="F205" s="161">
        <v>44.7</v>
      </c>
      <c r="G205" s="161">
        <f t="shared" si="6"/>
        <v>103.95348837209303</v>
      </c>
      <c r="H205" s="161">
        <v>46.3</v>
      </c>
      <c r="I205" s="161">
        <f t="shared" si="6"/>
        <v>103.579418344519</v>
      </c>
      <c r="J205" s="161">
        <v>47.4</v>
      </c>
      <c r="K205" s="161">
        <f t="shared" si="6"/>
        <v>102.37580993520518</v>
      </c>
    </row>
    <row r="206" spans="1:11" ht="18.75" x14ac:dyDescent="0.25">
      <c r="A206" s="50" t="s">
        <v>300</v>
      </c>
      <c r="B206" s="160">
        <v>26.5</v>
      </c>
      <c r="C206" s="160">
        <v>101.9</v>
      </c>
      <c r="D206" s="161">
        <v>27.4</v>
      </c>
      <c r="E206" s="161">
        <f t="shared" si="6"/>
        <v>103.39622641509433</v>
      </c>
      <c r="F206" s="161">
        <v>28.5</v>
      </c>
      <c r="G206" s="161">
        <f t="shared" si="6"/>
        <v>104.01459854014598</v>
      </c>
      <c r="H206" s="161">
        <v>29.5</v>
      </c>
      <c r="I206" s="161">
        <f t="shared" si="6"/>
        <v>103.50877192982458</v>
      </c>
      <c r="J206" s="161">
        <v>30.1</v>
      </c>
      <c r="K206" s="161">
        <f t="shared" si="6"/>
        <v>102.03389830508476</v>
      </c>
    </row>
    <row r="207" spans="1:11" ht="18.75" x14ac:dyDescent="0.25">
      <c r="A207" s="50" t="s">
        <v>292</v>
      </c>
      <c r="B207" s="160">
        <v>34.700000000000003</v>
      </c>
      <c r="C207" s="160">
        <v>124.5</v>
      </c>
      <c r="D207" s="161">
        <v>36.200000000000003</v>
      </c>
      <c r="E207" s="161">
        <f t="shared" si="6"/>
        <v>104.3227665706052</v>
      </c>
      <c r="F207" s="161">
        <v>37.799999999999997</v>
      </c>
      <c r="G207" s="161">
        <f t="shared" si="6"/>
        <v>104.41988950276242</v>
      </c>
      <c r="H207" s="161">
        <v>39.4</v>
      </c>
      <c r="I207" s="161">
        <f t="shared" si="6"/>
        <v>104.23280423280423</v>
      </c>
      <c r="J207" s="161">
        <v>41</v>
      </c>
      <c r="K207" s="161">
        <f t="shared" si="6"/>
        <v>104.06091370558377</v>
      </c>
    </row>
    <row r="208" spans="1:11" ht="18.75" x14ac:dyDescent="0.25">
      <c r="A208" s="50" t="s">
        <v>293</v>
      </c>
      <c r="B208" s="160">
        <v>47</v>
      </c>
      <c r="C208" s="160">
        <v>102.7</v>
      </c>
      <c r="D208" s="161">
        <v>49</v>
      </c>
      <c r="E208" s="161">
        <f t="shared" si="6"/>
        <v>104.25531914893618</v>
      </c>
      <c r="F208" s="161">
        <v>50</v>
      </c>
      <c r="G208" s="161">
        <f t="shared" si="6"/>
        <v>102.04081632653062</v>
      </c>
      <c r="H208" s="161">
        <v>50.9</v>
      </c>
      <c r="I208" s="161">
        <f t="shared" si="6"/>
        <v>101.8</v>
      </c>
      <c r="J208" s="161">
        <v>52.2</v>
      </c>
      <c r="K208" s="161">
        <f t="shared" si="6"/>
        <v>102.5540275049116</v>
      </c>
    </row>
    <row r="209" spans="1:11" ht="18.75" x14ac:dyDescent="0.25">
      <c r="A209" s="50" t="s">
        <v>296</v>
      </c>
      <c r="B209" s="160">
        <v>292</v>
      </c>
      <c r="C209" s="160">
        <v>104.1</v>
      </c>
      <c r="D209" s="161">
        <v>304.60000000000002</v>
      </c>
      <c r="E209" s="161">
        <f t="shared" si="6"/>
        <v>104.31506849315069</v>
      </c>
      <c r="F209" s="161">
        <v>315.8</v>
      </c>
      <c r="G209" s="161">
        <f t="shared" si="6"/>
        <v>103.67695338148391</v>
      </c>
      <c r="H209" s="161">
        <v>325.89999999999998</v>
      </c>
      <c r="I209" s="161">
        <f t="shared" si="6"/>
        <v>103.19822672577578</v>
      </c>
      <c r="J209" s="161">
        <v>348.7</v>
      </c>
      <c r="K209" s="161">
        <f t="shared" si="6"/>
        <v>106.99601104633322</v>
      </c>
    </row>
    <row r="210" spans="1:11" ht="15" customHeight="1" x14ac:dyDescent="0.25">
      <c r="A210" s="50" t="s">
        <v>301</v>
      </c>
      <c r="B210" s="160">
        <v>91</v>
      </c>
      <c r="C210" s="160">
        <v>105.9</v>
      </c>
      <c r="D210" s="161">
        <v>94.9</v>
      </c>
      <c r="E210" s="161">
        <f t="shared" si="6"/>
        <v>104.28571428571429</v>
      </c>
      <c r="F210" s="161">
        <v>98.7</v>
      </c>
      <c r="G210" s="161">
        <f t="shared" si="6"/>
        <v>104.00421496311907</v>
      </c>
      <c r="H210" s="161">
        <v>102.5</v>
      </c>
      <c r="I210" s="161">
        <f t="shared" si="6"/>
        <v>103.8500506585613</v>
      </c>
      <c r="J210" s="161">
        <v>109.2</v>
      </c>
      <c r="K210" s="161">
        <f t="shared" si="6"/>
        <v>106.53658536585367</v>
      </c>
    </row>
    <row r="211" spans="1:11" ht="18.75" x14ac:dyDescent="0.25">
      <c r="A211" s="50" t="s">
        <v>299</v>
      </c>
      <c r="B211" s="160">
        <v>137.4</v>
      </c>
      <c r="C211" s="160">
        <v>112.3</v>
      </c>
      <c r="D211" s="161">
        <v>143.30000000000001</v>
      </c>
      <c r="E211" s="161">
        <f t="shared" si="6"/>
        <v>104.29403202328966</v>
      </c>
      <c r="F211" s="161">
        <v>145.9</v>
      </c>
      <c r="G211" s="161">
        <f t="shared" si="6"/>
        <v>101.81437543614793</v>
      </c>
      <c r="H211" s="161">
        <v>148.19999999999999</v>
      </c>
      <c r="I211" s="161">
        <f t="shared" si="6"/>
        <v>101.57642220699108</v>
      </c>
      <c r="J211" s="161">
        <v>153.1</v>
      </c>
      <c r="K211" s="161">
        <f t="shared" si="6"/>
        <v>103.30634278002699</v>
      </c>
    </row>
    <row r="212" spans="1:11" ht="18.75" x14ac:dyDescent="0.25">
      <c r="A212" s="50" t="s">
        <v>304</v>
      </c>
      <c r="B212" s="160">
        <v>318.8</v>
      </c>
      <c r="C212" s="160">
        <v>100.9</v>
      </c>
      <c r="D212" s="161">
        <v>332.5</v>
      </c>
      <c r="E212" s="161">
        <f t="shared" si="6"/>
        <v>104.29736511919698</v>
      </c>
      <c r="F212" s="161">
        <v>339.5</v>
      </c>
      <c r="G212" s="161">
        <f t="shared" si="6"/>
        <v>102.10526315789474</v>
      </c>
      <c r="H212" s="161">
        <v>346.3</v>
      </c>
      <c r="I212" s="161">
        <f t="shared" si="6"/>
        <v>102.00294550810014</v>
      </c>
      <c r="J212" s="161">
        <v>362.2</v>
      </c>
      <c r="K212" s="161">
        <f t="shared" si="6"/>
        <v>104.59139474444123</v>
      </c>
    </row>
    <row r="213" spans="1:11" ht="15.75" customHeight="1" x14ac:dyDescent="0.25">
      <c r="A213" s="50" t="s">
        <v>303</v>
      </c>
      <c r="B213" s="160">
        <v>538.20000000000005</v>
      </c>
      <c r="C213" s="160">
        <v>102.6</v>
      </c>
      <c r="D213" s="161">
        <v>561.29999999999995</v>
      </c>
      <c r="E213" s="161">
        <f t="shared" si="6"/>
        <v>104.29208472686733</v>
      </c>
      <c r="F213" s="162">
        <v>574.29999999999995</v>
      </c>
      <c r="G213" s="161">
        <f t="shared" si="6"/>
        <v>102.31605202209157</v>
      </c>
      <c r="H213" s="161">
        <v>586.29999999999995</v>
      </c>
      <c r="I213" s="161">
        <f t="shared" si="6"/>
        <v>102.08950026118752</v>
      </c>
      <c r="J213" s="161">
        <v>620.9</v>
      </c>
      <c r="K213" s="161">
        <f t="shared" si="6"/>
        <v>105.90141565751323</v>
      </c>
    </row>
    <row r="214" spans="1:11" ht="18.75" x14ac:dyDescent="0.25">
      <c r="A214" s="50" t="s">
        <v>298</v>
      </c>
      <c r="B214" s="160">
        <v>117.4</v>
      </c>
      <c r="C214" s="160">
        <v>103.6</v>
      </c>
      <c r="D214" s="161">
        <v>122.4</v>
      </c>
      <c r="E214" s="161">
        <f t="shared" si="6"/>
        <v>104.25894378194207</v>
      </c>
      <c r="F214" s="162">
        <v>125.5</v>
      </c>
      <c r="G214" s="161">
        <f t="shared" si="6"/>
        <v>102.53267973856208</v>
      </c>
      <c r="H214" s="161">
        <v>128.4</v>
      </c>
      <c r="I214" s="161">
        <f t="shared" si="6"/>
        <v>102.31075697211156</v>
      </c>
      <c r="J214" s="161">
        <v>132.4</v>
      </c>
      <c r="K214" s="161">
        <f t="shared" si="6"/>
        <v>103.11526479750779</v>
      </c>
    </row>
    <row r="215" spans="1:11" ht="18.75" x14ac:dyDescent="0.25">
      <c r="A215" s="50" t="s">
        <v>297</v>
      </c>
      <c r="B215" s="160">
        <v>97.7</v>
      </c>
      <c r="C215" s="160">
        <v>105.1</v>
      </c>
      <c r="D215" s="161">
        <v>101.9</v>
      </c>
      <c r="E215" s="161">
        <f t="shared" si="6"/>
        <v>104.29887410440124</v>
      </c>
      <c r="F215" s="162">
        <v>103.9</v>
      </c>
      <c r="G215" s="161">
        <f t="shared" si="6"/>
        <v>101.96270853778213</v>
      </c>
      <c r="H215" s="161">
        <v>105.8</v>
      </c>
      <c r="I215" s="161">
        <f t="shared" si="6"/>
        <v>101.82868142444657</v>
      </c>
      <c r="J215" s="161">
        <v>109</v>
      </c>
      <c r="K215" s="161">
        <f t="shared" si="6"/>
        <v>103.02457466918715</v>
      </c>
    </row>
    <row r="216" spans="1:11" ht="18.75" x14ac:dyDescent="0.25">
      <c r="A216" s="50" t="s">
        <v>519</v>
      </c>
      <c r="B216" s="160">
        <v>33.200000000000003</v>
      </c>
      <c r="C216" s="160">
        <v>100</v>
      </c>
      <c r="D216" s="161">
        <v>34</v>
      </c>
      <c r="E216" s="161">
        <f t="shared" si="6"/>
        <v>102.40963855421685</v>
      </c>
      <c r="F216" s="162">
        <v>35.1</v>
      </c>
      <c r="G216" s="161">
        <f t="shared" si="6"/>
        <v>103.23529411764707</v>
      </c>
      <c r="H216" s="161">
        <v>36.200000000000003</v>
      </c>
      <c r="I216" s="161">
        <f t="shared" si="6"/>
        <v>103.13390313390313</v>
      </c>
      <c r="J216" s="161">
        <v>37.4</v>
      </c>
      <c r="K216" s="161">
        <f t="shared" si="6"/>
        <v>103.31491712707181</v>
      </c>
    </row>
    <row r="217" spans="1:11" ht="33.75" customHeight="1" x14ac:dyDescent="0.25">
      <c r="A217" s="44" t="s">
        <v>530</v>
      </c>
      <c r="B217" s="59">
        <v>222.9</v>
      </c>
      <c r="C217" s="59">
        <v>56.8</v>
      </c>
      <c r="D217" s="35">
        <v>1200.3</v>
      </c>
      <c r="E217" s="35">
        <f t="shared" si="6"/>
        <v>538.49259757738889</v>
      </c>
      <c r="F217" s="109">
        <v>1600.3</v>
      </c>
      <c r="G217" s="35">
        <f t="shared" si="6"/>
        <v>133.32500208281263</v>
      </c>
      <c r="H217" s="35">
        <v>1733</v>
      </c>
      <c r="I217" s="35">
        <f t="shared" si="6"/>
        <v>108.29219521339751</v>
      </c>
      <c r="J217" s="35">
        <v>1867</v>
      </c>
      <c r="K217" s="35">
        <f t="shared" si="6"/>
        <v>107.73225620311599</v>
      </c>
    </row>
    <row r="218" spans="1:11" ht="18" x14ac:dyDescent="0.25">
      <c r="A218" s="50" t="s">
        <v>466</v>
      </c>
      <c r="B218" s="59">
        <v>73.7</v>
      </c>
      <c r="C218" s="59">
        <v>50.3</v>
      </c>
      <c r="D218" s="35">
        <v>546.1</v>
      </c>
      <c r="E218" s="35">
        <f t="shared" si="6"/>
        <v>740.97693351424687</v>
      </c>
      <c r="F218" s="109">
        <v>720.8</v>
      </c>
      <c r="G218" s="35">
        <f t="shared" si="6"/>
        <v>131.99047793444421</v>
      </c>
      <c r="H218" s="35">
        <v>782.2</v>
      </c>
      <c r="I218" s="35">
        <f t="shared" si="6"/>
        <v>108.5183129855716</v>
      </c>
      <c r="J218" s="35">
        <v>844.75</v>
      </c>
      <c r="K218" s="35">
        <f t="shared" si="6"/>
        <v>107.996676041933</v>
      </c>
    </row>
    <row r="219" spans="1:11" ht="18" x14ac:dyDescent="0.25">
      <c r="A219" s="50" t="s">
        <v>290</v>
      </c>
      <c r="B219" s="59">
        <v>115.6</v>
      </c>
      <c r="C219" s="59">
        <v>64.2</v>
      </c>
      <c r="D219" s="35">
        <v>520.20000000000005</v>
      </c>
      <c r="E219" s="35">
        <f t="shared" si="6"/>
        <v>450.00000000000011</v>
      </c>
      <c r="F219" s="109">
        <v>674.2</v>
      </c>
      <c r="G219" s="35">
        <f t="shared" si="6"/>
        <v>129.60399846212997</v>
      </c>
      <c r="H219" s="35">
        <v>731.5</v>
      </c>
      <c r="I219" s="35">
        <f t="shared" si="6"/>
        <v>108.49896173242361</v>
      </c>
      <c r="J219" s="35">
        <v>785.75</v>
      </c>
      <c r="K219" s="35">
        <f t="shared" si="6"/>
        <v>107.41626794258374</v>
      </c>
    </row>
    <row r="220" spans="1:11" ht="18" x14ac:dyDescent="0.25">
      <c r="A220" s="50" t="s">
        <v>295</v>
      </c>
      <c r="B220" s="59">
        <v>2.7</v>
      </c>
      <c r="C220" s="59">
        <v>40.299999999999997</v>
      </c>
      <c r="D220" s="35">
        <v>17</v>
      </c>
      <c r="E220" s="35">
        <f t="shared" si="6"/>
        <v>629.62962962962956</v>
      </c>
      <c r="F220" s="109">
        <v>25.5</v>
      </c>
      <c r="G220" s="35">
        <f t="shared" si="6"/>
        <v>150</v>
      </c>
      <c r="H220" s="35">
        <v>27.6</v>
      </c>
      <c r="I220" s="35">
        <f t="shared" si="6"/>
        <v>108.23529411764707</v>
      </c>
      <c r="J220" s="35">
        <v>29.4</v>
      </c>
      <c r="K220" s="35">
        <f t="shared" si="6"/>
        <v>106.52173913043477</v>
      </c>
    </row>
    <row r="221" spans="1:11" ht="18" x14ac:dyDescent="0.25">
      <c r="A221" s="50" t="s">
        <v>294</v>
      </c>
      <c r="B221" s="59">
        <v>8.8000000000000007</v>
      </c>
      <c r="C221" s="59">
        <v>45.8</v>
      </c>
      <c r="D221" s="35">
        <v>28</v>
      </c>
      <c r="E221" s="35">
        <f t="shared" si="6"/>
        <v>318.18181818181819</v>
      </c>
      <c r="F221" s="109">
        <v>43.47</v>
      </c>
      <c r="G221" s="35">
        <f t="shared" si="6"/>
        <v>155.25</v>
      </c>
      <c r="H221" s="35">
        <v>47.1</v>
      </c>
      <c r="I221" s="35">
        <f t="shared" si="6"/>
        <v>108.35058661145618</v>
      </c>
      <c r="J221" s="35">
        <v>51</v>
      </c>
      <c r="K221" s="35">
        <f t="shared" si="6"/>
        <v>108.28025477707006</v>
      </c>
    </row>
    <row r="222" spans="1:11" ht="18" x14ac:dyDescent="0.25">
      <c r="A222" s="50" t="s">
        <v>300</v>
      </c>
      <c r="B222" s="59">
        <v>3.1</v>
      </c>
      <c r="C222" s="59">
        <v>72.099999999999994</v>
      </c>
      <c r="D222" s="35">
        <v>14</v>
      </c>
      <c r="E222" s="35">
        <f t="shared" si="6"/>
        <v>451.61290322580641</v>
      </c>
      <c r="F222" s="109">
        <v>21.4</v>
      </c>
      <c r="G222" s="35">
        <f t="shared" si="6"/>
        <v>152.85714285714283</v>
      </c>
      <c r="H222" s="35">
        <v>23.2</v>
      </c>
      <c r="I222" s="35">
        <f t="shared" si="6"/>
        <v>108.41121495327104</v>
      </c>
      <c r="J222" s="35">
        <v>24.8</v>
      </c>
      <c r="K222" s="35">
        <f t="shared" si="6"/>
        <v>106.89655172413795</v>
      </c>
    </row>
    <row r="223" spans="1:11" ht="18" x14ac:dyDescent="0.25">
      <c r="A223" s="50" t="s">
        <v>292</v>
      </c>
      <c r="B223" s="59">
        <v>2.6</v>
      </c>
      <c r="C223" s="59">
        <v>40.6</v>
      </c>
      <c r="D223" s="35">
        <v>19</v>
      </c>
      <c r="E223" s="35">
        <f t="shared" si="6"/>
        <v>730.76923076923072</v>
      </c>
      <c r="F223" s="109">
        <v>28.5</v>
      </c>
      <c r="G223" s="35">
        <f t="shared" si="6"/>
        <v>150</v>
      </c>
      <c r="H223" s="35">
        <v>30.9</v>
      </c>
      <c r="I223" s="35">
        <f t="shared" si="6"/>
        <v>108.42105263157895</v>
      </c>
      <c r="J223" s="35">
        <v>33.700000000000003</v>
      </c>
      <c r="K223" s="35">
        <f t="shared" si="6"/>
        <v>109.06148867313917</v>
      </c>
    </row>
    <row r="224" spans="1:11" ht="15.75" customHeight="1" x14ac:dyDescent="0.25">
      <c r="A224" s="50" t="s">
        <v>296</v>
      </c>
      <c r="B224" s="59">
        <v>7.8</v>
      </c>
      <c r="C224" s="59">
        <v>58.2</v>
      </c>
      <c r="D224" s="35">
        <v>20</v>
      </c>
      <c r="E224" s="35">
        <f t="shared" si="6"/>
        <v>256.41025641025641</v>
      </c>
      <c r="F224" s="109">
        <v>31.8</v>
      </c>
      <c r="G224" s="35">
        <f t="shared" si="6"/>
        <v>159</v>
      </c>
      <c r="H224" s="35">
        <v>33.6</v>
      </c>
      <c r="I224" s="35">
        <f t="shared" si="6"/>
        <v>105.66037735849056</v>
      </c>
      <c r="J224" s="35">
        <v>36.1</v>
      </c>
      <c r="K224" s="35">
        <f t="shared" si="6"/>
        <v>107.44047619047619</v>
      </c>
    </row>
    <row r="225" spans="1:11" ht="18" x14ac:dyDescent="0.25">
      <c r="A225" s="50" t="s">
        <v>299</v>
      </c>
      <c r="B225" s="59">
        <v>0.7</v>
      </c>
      <c r="C225" s="59">
        <v>65.5</v>
      </c>
      <c r="D225" s="35">
        <v>4.5</v>
      </c>
      <c r="E225" s="35">
        <f t="shared" si="6"/>
        <v>642.85714285714289</v>
      </c>
      <c r="F225" s="109">
        <v>7.1</v>
      </c>
      <c r="G225" s="35">
        <f t="shared" si="6"/>
        <v>157.77777777777777</v>
      </c>
      <c r="H225" s="35">
        <v>7.7</v>
      </c>
      <c r="I225" s="35">
        <f t="shared" si="6"/>
        <v>108.45070422535213</v>
      </c>
      <c r="J225" s="35">
        <v>8.3000000000000007</v>
      </c>
      <c r="K225" s="35">
        <f t="shared" si="6"/>
        <v>107.79220779220779</v>
      </c>
    </row>
    <row r="226" spans="1:11" ht="14.25" customHeight="1" x14ac:dyDescent="0.25">
      <c r="A226" s="50" t="s">
        <v>303</v>
      </c>
      <c r="B226" s="59">
        <v>7.6</v>
      </c>
      <c r="C226" s="59">
        <v>49</v>
      </c>
      <c r="D226" s="35">
        <v>25</v>
      </c>
      <c r="E226" s="35">
        <f t="shared" si="6"/>
        <v>328.94736842105266</v>
      </c>
      <c r="F226" s="109">
        <v>37.5</v>
      </c>
      <c r="G226" s="35">
        <f t="shared" si="6"/>
        <v>150</v>
      </c>
      <c r="H226" s="35">
        <v>38.4</v>
      </c>
      <c r="I226" s="35">
        <f t="shared" si="6"/>
        <v>102.4</v>
      </c>
      <c r="J226" s="35">
        <v>41.4</v>
      </c>
      <c r="K226" s="35">
        <f t="shared" si="6"/>
        <v>107.8125</v>
      </c>
    </row>
    <row r="227" spans="1:11" ht="18" x14ac:dyDescent="0.25">
      <c r="A227" s="50" t="s">
        <v>301</v>
      </c>
      <c r="B227" s="59">
        <v>0.3</v>
      </c>
      <c r="C227" s="59"/>
      <c r="D227" s="35">
        <v>6.5</v>
      </c>
      <c r="E227" s="35">
        <f t="shared" si="6"/>
        <v>2166.666666666667</v>
      </c>
      <c r="F227" s="109">
        <v>10</v>
      </c>
      <c r="G227" s="35">
        <f t="shared" si="6"/>
        <v>153.84615384615387</v>
      </c>
      <c r="H227" s="35">
        <v>10.83</v>
      </c>
      <c r="I227" s="35">
        <f t="shared" si="6"/>
        <v>108.3</v>
      </c>
      <c r="J227" s="35">
        <v>11.8</v>
      </c>
      <c r="K227" s="35">
        <f t="shared" si="6"/>
        <v>108.95660203139428</v>
      </c>
    </row>
    <row r="228" spans="1:11" x14ac:dyDescent="0.25">
      <c r="A228" s="74"/>
      <c r="D228" s="117"/>
      <c r="E228" s="117"/>
      <c r="F228" s="117"/>
      <c r="G228" s="117"/>
      <c r="H228" s="117"/>
      <c r="I228" s="117"/>
      <c r="J228" s="117"/>
      <c r="K228" s="117"/>
    </row>
    <row r="229" spans="1:11" x14ac:dyDescent="0.25">
      <c r="D229" s="117"/>
      <c r="E229" s="117"/>
      <c r="F229" s="117"/>
      <c r="G229" s="117"/>
      <c r="H229" s="117"/>
      <c r="I229" s="117"/>
      <c r="J229" s="117"/>
      <c r="K229" s="117"/>
    </row>
    <row r="230" spans="1:11" x14ac:dyDescent="0.25">
      <c r="A230" s="74"/>
    </row>
    <row r="231" spans="1:11" x14ac:dyDescent="0.25">
      <c r="A231" s="74"/>
    </row>
  </sheetData>
  <mergeCells count="10">
    <mergeCell ref="A1:K1"/>
    <mergeCell ref="A2:K2"/>
    <mergeCell ref="A3:A5"/>
    <mergeCell ref="B3:C4"/>
    <mergeCell ref="D3:E4"/>
    <mergeCell ref="F3:G3"/>
    <mergeCell ref="H3:K3"/>
    <mergeCell ref="F4:G4"/>
    <mergeCell ref="H4:I4"/>
    <mergeCell ref="J4:K4"/>
  </mergeCells>
  <pageMargins left="0.43307086614173229" right="0.19685039370078741" top="0.35433070866141736" bottom="0.35433070866141736" header="0" footer="0"/>
  <pageSetup paperSize="9" scale="105" firstPageNumber="100" orientation="landscape" useFirstPageNumber="1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85" zoomScaleNormal="100" zoomScaleSheetLayoutView="85" zoomScalePageLayoutView="70" workbookViewId="0">
      <selection activeCell="F6" sqref="F6"/>
    </sheetView>
  </sheetViews>
  <sheetFormatPr defaultRowHeight="15" x14ac:dyDescent="0.25"/>
  <cols>
    <col min="1" max="1" width="36.5703125" customWidth="1"/>
    <col min="2" max="4" width="9.42578125" customWidth="1"/>
    <col min="5" max="5" width="8.5703125" customWidth="1"/>
    <col min="6" max="8" width="9.42578125" customWidth="1"/>
    <col min="9" max="9" width="8.7109375" customWidth="1"/>
    <col min="10" max="10" width="9.140625" customWidth="1"/>
    <col min="11" max="11" width="8.42578125" customWidth="1"/>
  </cols>
  <sheetData>
    <row r="1" spans="1:13" ht="45.75" customHeight="1" x14ac:dyDescent="0.3">
      <c r="A1" s="402" t="s">
        <v>983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6"/>
      <c r="M1" s="346"/>
    </row>
    <row r="2" spans="1:13" ht="18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49"/>
      <c r="M2" s="349"/>
    </row>
    <row r="3" spans="1:13" ht="18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49"/>
      <c r="M3" s="349"/>
    </row>
    <row r="4" spans="1:13" ht="31.5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327"/>
      <c r="M4" s="327"/>
    </row>
    <row r="5" spans="1:13" ht="54" x14ac:dyDescent="0.25">
      <c r="A5" s="58" t="s">
        <v>531</v>
      </c>
      <c r="B5" s="58">
        <v>13898</v>
      </c>
      <c r="C5" s="19">
        <v>101</v>
      </c>
      <c r="D5" s="58">
        <v>13910</v>
      </c>
      <c r="E5" s="18">
        <v>100</v>
      </c>
      <c r="F5" s="58">
        <v>13917</v>
      </c>
      <c r="G5" s="19">
        <v>100</v>
      </c>
      <c r="H5" s="58">
        <v>13920</v>
      </c>
      <c r="I5" s="18">
        <v>100</v>
      </c>
      <c r="J5" s="58">
        <v>14001</v>
      </c>
      <c r="K5" s="18">
        <v>100</v>
      </c>
      <c r="L5" s="327"/>
      <c r="M5" s="327"/>
    </row>
    <row r="6" spans="1:13" ht="54" x14ac:dyDescent="0.25">
      <c r="A6" s="148" t="s">
        <v>532</v>
      </c>
      <c r="B6" s="58">
        <v>259</v>
      </c>
      <c r="C6" s="58">
        <v>101</v>
      </c>
      <c r="D6" s="19">
        <v>260</v>
      </c>
      <c r="E6" s="18">
        <v>103</v>
      </c>
      <c r="F6" s="19">
        <v>268</v>
      </c>
      <c r="G6" s="18">
        <v>100</v>
      </c>
      <c r="H6" s="18">
        <v>270</v>
      </c>
      <c r="I6" s="18">
        <v>100</v>
      </c>
      <c r="J6" s="18">
        <v>273</v>
      </c>
      <c r="K6" s="18">
        <v>100</v>
      </c>
      <c r="L6" s="327"/>
      <c r="M6" s="327"/>
    </row>
    <row r="7" spans="1:13" ht="62.25" customHeight="1" x14ac:dyDescent="0.25">
      <c r="A7" s="148" t="s">
        <v>533</v>
      </c>
      <c r="B7" s="58">
        <f>3100+4000+768.647</f>
        <v>7868.6469999999999</v>
      </c>
      <c r="C7" s="19">
        <f>(75+80+67+70+60+65)/6</f>
        <v>69.5</v>
      </c>
      <c r="D7" s="58">
        <f>766.744+3200+4000</f>
        <v>7966.7440000000006</v>
      </c>
      <c r="E7" s="18">
        <f>(D7*100/B7)*100%</f>
        <v>101.24668192638455</v>
      </c>
      <c r="F7" s="19">
        <f>(768.7+3300+4200)</f>
        <v>8268.7000000000007</v>
      </c>
      <c r="G7" s="18">
        <f>(F7*100/D7)*100%</f>
        <v>103.79020588586756</v>
      </c>
      <c r="H7" s="58">
        <f>769.6+3300+4200</f>
        <v>8269.6</v>
      </c>
      <c r="I7" s="18">
        <f>(H7*100/F7)*100%</f>
        <v>100.01088441955808</v>
      </c>
      <c r="J7" s="58">
        <f>771.4+3400+4400</f>
        <v>8571.4</v>
      </c>
      <c r="K7" s="18">
        <f>J7*100/H7*100%</f>
        <v>103.64951146367417</v>
      </c>
      <c r="L7" s="327"/>
      <c r="M7" s="327"/>
    </row>
    <row r="8" spans="1:13" ht="18" x14ac:dyDescent="0.25">
      <c r="A8" s="58" t="s">
        <v>534</v>
      </c>
      <c r="B8" s="58">
        <f>(1600+1700+1800+2000+55+6)/6</f>
        <v>1193.5</v>
      </c>
      <c r="C8" s="19">
        <f>(78+48.7+50)/3</f>
        <v>58.9</v>
      </c>
      <c r="D8" s="19">
        <f>(77+80+1800+2000+2200+2300)/6</f>
        <v>1409.5</v>
      </c>
      <c r="E8" s="18">
        <f>D8*100/B8*100%</f>
        <v>118.09803100125681</v>
      </c>
      <c r="F8" s="19">
        <f>(87+90+2100+2200+2400+2500)/6</f>
        <v>1562.8333333333333</v>
      </c>
      <c r="G8" s="18">
        <f t="shared" ref="G8:G9" si="0">(F8*100/D8)*100%</f>
        <v>110.87856213787394</v>
      </c>
      <c r="H8" s="58">
        <f>(768.647+3100+4000)/3</f>
        <v>2622.8823333333335</v>
      </c>
      <c r="I8" s="18">
        <f t="shared" ref="I8:I9" si="1">(H8*100/F8)*100%</f>
        <v>167.8286658846113</v>
      </c>
      <c r="J8" s="58">
        <f>(768.647+3100+4000)/3</f>
        <v>2622.8823333333335</v>
      </c>
      <c r="K8" s="18">
        <f t="shared" ref="K8:K9" si="2">J8*100/H8*100%</f>
        <v>100</v>
      </c>
      <c r="L8" s="327"/>
      <c r="M8" s="327"/>
    </row>
    <row r="9" spans="1:13" ht="18" x14ac:dyDescent="0.25">
      <c r="A9" s="58" t="s">
        <v>535</v>
      </c>
      <c r="B9" s="58">
        <f>1200+680.54+1560.43</f>
        <v>3440.9700000000003</v>
      </c>
      <c r="C9" s="19">
        <f>(90+50+30)/3</f>
        <v>56.666666666666664</v>
      </c>
      <c r="D9" s="19">
        <f>(590.764+1100+1200+540+580)/5</f>
        <v>802.15280000000007</v>
      </c>
      <c r="E9" s="18">
        <f t="shared" ref="E9" si="3">D9*100/B9*100%</f>
        <v>23.31182195718068</v>
      </c>
      <c r="F9" s="19">
        <f>(590.764+1100+1200+540+580)/5</f>
        <v>802.15280000000007</v>
      </c>
      <c r="G9" s="18">
        <f t="shared" si="0"/>
        <v>100.00000000000001</v>
      </c>
      <c r="H9" s="58">
        <f>(768.647+3100+4000)/3</f>
        <v>2622.8823333333335</v>
      </c>
      <c r="I9" s="18">
        <f t="shared" si="1"/>
        <v>326.98038744405471</v>
      </c>
      <c r="J9" s="58">
        <f>(768.647+3100+4000)/3</f>
        <v>2622.8823333333335</v>
      </c>
      <c r="K9" s="18">
        <f t="shared" si="2"/>
        <v>100</v>
      </c>
      <c r="L9" s="327"/>
      <c r="M9" s="327"/>
    </row>
    <row r="10" spans="1:13" ht="36" x14ac:dyDescent="0.25">
      <c r="A10" s="58" t="s">
        <v>536</v>
      </c>
      <c r="B10" s="58">
        <v>19887.400000000001</v>
      </c>
      <c r="C10" s="19">
        <v>104.7</v>
      </c>
      <c r="D10" s="58">
        <v>20529</v>
      </c>
      <c r="E10" s="18">
        <f>D10/B10*100</f>
        <v>103.22616329937549</v>
      </c>
      <c r="F10" s="19">
        <f>D10*102.5%</f>
        <v>21042.224999999999</v>
      </c>
      <c r="G10" s="18">
        <v>102.5</v>
      </c>
      <c r="H10" s="58">
        <f>F10*102.5%</f>
        <v>21568.280624999996</v>
      </c>
      <c r="I10" s="18">
        <v>102.7</v>
      </c>
      <c r="J10" s="58">
        <f t="shared" ref="J10:J12" si="4">H10*102.5%</f>
        <v>22107.487640624993</v>
      </c>
      <c r="K10" s="18">
        <v>102.6</v>
      </c>
      <c r="L10" s="327"/>
      <c r="M10" s="327"/>
    </row>
    <row r="11" spans="1:13" ht="36" x14ac:dyDescent="0.25">
      <c r="A11" s="58" t="s">
        <v>537</v>
      </c>
      <c r="B11" s="17">
        <v>5413</v>
      </c>
      <c r="C11" s="19">
        <v>106.7</v>
      </c>
      <c r="D11" s="19">
        <v>5625</v>
      </c>
      <c r="E11" s="18">
        <f t="shared" ref="E11:E12" si="5">D11/B11*100</f>
        <v>103.91649732126362</v>
      </c>
      <c r="F11" s="19">
        <f t="shared" ref="F11:F12" si="6">D11*102.5%</f>
        <v>5765.6249999999991</v>
      </c>
      <c r="G11" s="18">
        <v>102.5</v>
      </c>
      <c r="H11" s="58">
        <f t="shared" ref="H11:H12" si="7">F11*102.5%</f>
        <v>5909.7656249999982</v>
      </c>
      <c r="I11" s="18">
        <v>102.6</v>
      </c>
      <c r="J11" s="58">
        <f t="shared" si="4"/>
        <v>6057.5097656249973</v>
      </c>
      <c r="K11" s="18">
        <v>102.9</v>
      </c>
      <c r="L11" s="327"/>
      <c r="M11" s="327"/>
    </row>
    <row r="12" spans="1:13" ht="18" x14ac:dyDescent="0.25">
      <c r="A12" s="58" t="s">
        <v>538</v>
      </c>
      <c r="B12" s="58">
        <v>14477</v>
      </c>
      <c r="C12" s="19">
        <v>103.9</v>
      </c>
      <c r="D12" s="19">
        <v>14907</v>
      </c>
      <c r="E12" s="18">
        <f t="shared" si="5"/>
        <v>102.97022863853009</v>
      </c>
      <c r="F12" s="19">
        <f t="shared" si="6"/>
        <v>15279.674999999999</v>
      </c>
      <c r="G12" s="18">
        <v>102.5</v>
      </c>
      <c r="H12" s="58">
        <f t="shared" si="7"/>
        <v>15661.666874999997</v>
      </c>
      <c r="I12" s="18">
        <v>102.3</v>
      </c>
      <c r="J12" s="58">
        <f t="shared" si="4"/>
        <v>16053.208546874996</v>
      </c>
      <c r="K12" s="18">
        <v>102.2</v>
      </c>
      <c r="L12" s="327"/>
      <c r="M12" s="327"/>
    </row>
    <row r="13" spans="1:13" ht="36" x14ac:dyDescent="0.25">
      <c r="A13" s="58" t="s">
        <v>539</v>
      </c>
      <c r="B13" s="58">
        <v>304</v>
      </c>
      <c r="C13" s="19">
        <v>100.6</v>
      </c>
      <c r="D13" s="19">
        <v>305</v>
      </c>
      <c r="E13" s="18">
        <v>102</v>
      </c>
      <c r="F13" s="19">
        <v>312</v>
      </c>
      <c r="G13" s="18">
        <v>100</v>
      </c>
      <c r="H13" s="58">
        <v>315</v>
      </c>
      <c r="I13" s="18">
        <v>100</v>
      </c>
      <c r="J13" s="18">
        <v>319</v>
      </c>
      <c r="K13" s="18">
        <v>100</v>
      </c>
      <c r="L13" s="327"/>
      <c r="M13" s="327"/>
    </row>
    <row r="14" spans="1:13" ht="36" x14ac:dyDescent="0.25">
      <c r="A14" s="58" t="s">
        <v>540</v>
      </c>
      <c r="B14" s="58">
        <v>3082.36</v>
      </c>
      <c r="C14" s="58">
        <v>100</v>
      </c>
      <c r="D14" s="19">
        <v>3410</v>
      </c>
      <c r="E14" s="18">
        <v>100</v>
      </c>
      <c r="F14" s="19">
        <v>3254</v>
      </c>
      <c r="G14" s="19">
        <v>100</v>
      </c>
      <c r="H14" s="18">
        <v>620</v>
      </c>
      <c r="I14" s="18">
        <v>100</v>
      </c>
      <c r="J14" s="18">
        <v>1100</v>
      </c>
      <c r="K14" s="18">
        <v>100</v>
      </c>
      <c r="L14" s="327"/>
      <c r="M14" s="327"/>
    </row>
    <row r="15" spans="1:13" ht="36" x14ac:dyDescent="0.25">
      <c r="A15" s="58" t="s">
        <v>541</v>
      </c>
      <c r="B15" s="58">
        <v>780.79</v>
      </c>
      <c r="C15" s="58">
        <v>100</v>
      </c>
      <c r="D15" s="19">
        <v>900</v>
      </c>
      <c r="E15" s="18">
        <v>100</v>
      </c>
      <c r="F15" s="19">
        <v>1400</v>
      </c>
      <c r="G15" s="19">
        <v>100</v>
      </c>
      <c r="H15" s="58">
        <v>1400</v>
      </c>
      <c r="I15" s="18">
        <v>100</v>
      </c>
      <c r="J15" s="58">
        <v>1400</v>
      </c>
      <c r="K15" s="18">
        <v>100</v>
      </c>
      <c r="L15" s="327"/>
      <c r="M15" s="327"/>
    </row>
    <row r="16" spans="1:13" x14ac:dyDescent="0.25">
      <c r="A16" s="327"/>
      <c r="B16" s="327"/>
      <c r="C16" s="327"/>
      <c r="D16" s="327"/>
      <c r="E16" s="327"/>
      <c r="F16" s="327"/>
      <c r="G16" s="327"/>
      <c r="H16" s="327"/>
      <c r="I16" s="327"/>
      <c r="J16" s="327"/>
      <c r="K16" s="327"/>
      <c r="L16" s="327"/>
      <c r="M16" s="327"/>
    </row>
    <row r="17" spans="1:13" x14ac:dyDescent="0.25">
      <c r="A17" s="327"/>
      <c r="B17" s="327"/>
      <c r="C17" s="327"/>
      <c r="D17" s="327"/>
      <c r="E17" s="327"/>
      <c r="F17" s="327"/>
      <c r="G17" s="327"/>
      <c r="H17" s="327"/>
      <c r="I17" s="327"/>
      <c r="J17" s="327"/>
      <c r="K17" s="327"/>
      <c r="L17" s="327"/>
      <c r="M17" s="327"/>
    </row>
    <row r="18" spans="1:13" x14ac:dyDescent="0.25">
      <c r="A18" s="327"/>
      <c r="B18" s="327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</row>
    <row r="19" spans="1:13" x14ac:dyDescent="0.25">
      <c r="A19" s="327"/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</row>
    <row r="20" spans="1:13" x14ac:dyDescent="0.25">
      <c r="A20" s="327"/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</row>
    <row r="21" spans="1:13" x14ac:dyDescent="0.25">
      <c r="A21" s="327"/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</row>
    <row r="22" spans="1:13" x14ac:dyDescent="0.25">
      <c r="A22" s="327"/>
      <c r="B22" s="327"/>
      <c r="C22" s="327"/>
      <c r="D22" s="327"/>
      <c r="E22" s="327"/>
      <c r="F22" s="327"/>
      <c r="G22" s="327"/>
      <c r="H22" s="327"/>
      <c r="I22" s="327"/>
      <c r="J22" s="327"/>
      <c r="K22" s="327"/>
      <c r="L22" s="327"/>
      <c r="M22" s="327"/>
    </row>
    <row r="23" spans="1:13" x14ac:dyDescent="0.25">
      <c r="A23" s="327"/>
      <c r="B23" s="327"/>
      <c r="C23" s="327"/>
      <c r="D23" s="327"/>
      <c r="E23" s="327"/>
      <c r="F23" s="327"/>
      <c r="G23" s="327"/>
      <c r="H23" s="327"/>
      <c r="I23" s="327"/>
      <c r="J23" s="327"/>
      <c r="K23" s="327"/>
      <c r="L23" s="327"/>
      <c r="M23" s="327"/>
    </row>
    <row r="24" spans="1:13" x14ac:dyDescent="0.25">
      <c r="A24" s="327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</row>
    <row r="25" spans="1:13" x14ac:dyDescent="0.25">
      <c r="A25" s="327"/>
      <c r="B25" s="327"/>
      <c r="C25" s="327"/>
      <c r="D25" s="327"/>
      <c r="E25" s="327"/>
      <c r="F25" s="327"/>
      <c r="G25" s="327"/>
      <c r="H25" s="327"/>
      <c r="I25" s="327"/>
      <c r="J25" s="327"/>
      <c r="K25" s="327"/>
      <c r="L25" s="327"/>
      <c r="M25" s="327"/>
    </row>
    <row r="26" spans="1:13" x14ac:dyDescent="0.25">
      <c r="A26" s="327"/>
      <c r="B26" s="327"/>
      <c r="C26" s="327"/>
      <c r="D26" s="327"/>
      <c r="E26" s="327"/>
      <c r="F26" s="327"/>
      <c r="G26" s="327"/>
      <c r="H26" s="327"/>
      <c r="I26" s="327"/>
      <c r="J26" s="327"/>
      <c r="K26" s="327"/>
      <c r="L26" s="327"/>
      <c r="M26" s="327"/>
    </row>
    <row r="27" spans="1:13" x14ac:dyDescent="0.25">
      <c r="A27" s="327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</row>
    <row r="28" spans="1:13" x14ac:dyDescent="0.25">
      <c r="A28" s="327"/>
      <c r="B28" s="327"/>
      <c r="C28" s="327"/>
      <c r="D28" s="327"/>
      <c r="E28" s="327"/>
      <c r="F28" s="327"/>
      <c r="G28" s="327"/>
      <c r="H28" s="327"/>
      <c r="I28" s="327"/>
      <c r="J28" s="327"/>
      <c r="K28" s="327"/>
      <c r="L28" s="327"/>
      <c r="M28" s="327"/>
    </row>
    <row r="29" spans="1:13" x14ac:dyDescent="0.25">
      <c r="A29" s="327"/>
      <c r="B29" s="327"/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327"/>
    </row>
    <row r="30" spans="1:13" x14ac:dyDescent="0.25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</row>
    <row r="31" spans="1:13" x14ac:dyDescent="0.25">
      <c r="A31" s="327"/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</row>
    <row r="32" spans="1:13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</row>
    <row r="33" spans="1:13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</row>
    <row r="34" spans="1:13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</row>
    <row r="35" spans="1:13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</row>
    <row r="36" spans="1:13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</row>
    <row r="37" spans="1:13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</row>
    <row r="38" spans="1:13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</row>
    <row r="39" spans="1:13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</row>
    <row r="40" spans="1:13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</row>
    <row r="41" spans="1:13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</row>
    <row r="42" spans="1:13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</row>
    <row r="43" spans="1:13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</row>
    <row r="44" spans="1:13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</row>
    <row r="45" spans="1:13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</row>
    <row r="46" spans="1:13" x14ac:dyDescent="0.25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</row>
    <row r="47" spans="1:13" x14ac:dyDescent="0.25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</row>
    <row r="48" spans="1:13" x14ac:dyDescent="0.25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</row>
    <row r="49" spans="1:13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</row>
    <row r="50" spans="1:13" x14ac:dyDescent="0.25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</row>
    <row r="51" spans="1:13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</row>
    <row r="52" spans="1:13" x14ac:dyDescent="0.25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</row>
    <row r="53" spans="1:13" x14ac:dyDescent="0.25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</row>
    <row r="54" spans="1:13" x14ac:dyDescent="0.25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</row>
    <row r="55" spans="1:13" x14ac:dyDescent="0.2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</row>
    <row r="56" spans="1:13" x14ac:dyDescent="0.25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</row>
    <row r="57" spans="1:13" x14ac:dyDescent="0.25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</row>
    <row r="58" spans="1:13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</row>
    <row r="59" spans="1:13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</row>
    <row r="60" spans="1:13" x14ac:dyDescent="0.25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</row>
    <row r="61" spans="1:13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</row>
    <row r="62" spans="1:13" x14ac:dyDescent="0.25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</row>
    <row r="63" spans="1:13" x14ac:dyDescent="0.25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</row>
    <row r="65" spans="1:13" x14ac:dyDescent="0.2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</row>
    <row r="66" spans="1:13" x14ac:dyDescent="0.25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</row>
    <row r="67" spans="1:13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</row>
    <row r="68" spans="1:13" x14ac:dyDescent="0.25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</row>
    <row r="69" spans="1:13" x14ac:dyDescent="0.25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</row>
    <row r="70" spans="1:13" x14ac:dyDescent="0.25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</row>
    <row r="71" spans="1:13" x14ac:dyDescent="0.25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2" spans="1:13" x14ac:dyDescent="0.25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</row>
    <row r="73" spans="1:13" x14ac:dyDescent="0.25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</row>
    <row r="74" spans="1:13" x14ac:dyDescent="0.25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</row>
    <row r="75" spans="1:13" x14ac:dyDescent="0.2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</row>
    <row r="76" spans="1:13" x14ac:dyDescent="0.25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</row>
    <row r="77" spans="1:13" x14ac:dyDescent="0.25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</row>
    <row r="78" spans="1:13" x14ac:dyDescent="0.25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</row>
    <row r="79" spans="1:13" x14ac:dyDescent="0.25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</row>
    <row r="80" spans="1:13" x14ac:dyDescent="0.25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</row>
    <row r="81" spans="1:13" x14ac:dyDescent="0.25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</row>
    <row r="82" spans="1:13" x14ac:dyDescent="0.25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</row>
    <row r="83" spans="1:13" x14ac:dyDescent="0.25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</row>
    <row r="84" spans="1:13" x14ac:dyDescent="0.25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</row>
    <row r="85" spans="1:13" x14ac:dyDescent="0.2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</row>
    <row r="86" spans="1:13" x14ac:dyDescent="0.25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10" orientation="landscape" useFirstPageNumber="1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145"/>
  <sheetViews>
    <sheetView view="pageBreakPreview" zoomScaleNormal="90" zoomScaleSheetLayoutView="100" workbookViewId="0">
      <selection activeCell="F6" sqref="F6"/>
    </sheetView>
  </sheetViews>
  <sheetFormatPr defaultRowHeight="15" x14ac:dyDescent="0.25"/>
  <cols>
    <col min="1" max="1" width="32.7109375" customWidth="1"/>
    <col min="2" max="2" width="8" customWidth="1"/>
    <col min="3" max="3" width="6.5703125" customWidth="1"/>
    <col min="4" max="4" width="8.42578125" customWidth="1"/>
    <col min="5" max="5" width="8.28515625" customWidth="1"/>
    <col min="6" max="6" width="7.42578125" customWidth="1"/>
    <col min="7" max="7" width="7.85546875" customWidth="1"/>
    <col min="8" max="9" width="6.5703125" customWidth="1"/>
    <col min="10" max="10" width="8.42578125" customWidth="1"/>
    <col min="11" max="11" width="6.5703125" customWidth="1"/>
    <col min="12" max="12" width="8.42578125" customWidth="1"/>
    <col min="13" max="13" width="7.5703125" customWidth="1"/>
    <col min="14" max="14" width="6.5703125" customWidth="1"/>
    <col min="15" max="15" width="8.42578125" customWidth="1"/>
  </cols>
  <sheetData>
    <row r="1" spans="1:15" ht="51.75" customHeight="1" x14ac:dyDescent="0.25">
      <c r="A1" s="404" t="s">
        <v>989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5"/>
      <c r="N1" s="406"/>
      <c r="O1" s="406"/>
    </row>
    <row r="2" spans="1:15" ht="18.75" thickBot="1" x14ac:dyDescent="0.3">
      <c r="A2" s="407" t="s">
        <v>242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8"/>
      <c r="N2" s="409"/>
      <c r="O2" s="409"/>
    </row>
    <row r="3" spans="1:15" ht="37.5" customHeight="1" x14ac:dyDescent="0.25">
      <c r="A3" s="390" t="s">
        <v>1</v>
      </c>
      <c r="B3" s="390" t="s">
        <v>899</v>
      </c>
      <c r="C3" s="390"/>
      <c r="D3" s="390" t="s">
        <v>898</v>
      </c>
      <c r="E3" s="390"/>
      <c r="F3" s="390"/>
      <c r="G3" s="390" t="s">
        <v>900</v>
      </c>
      <c r="H3" s="390"/>
      <c r="I3" s="390"/>
      <c r="J3" s="390" t="s">
        <v>4</v>
      </c>
      <c r="K3" s="390"/>
      <c r="L3" s="390"/>
      <c r="M3" s="411"/>
      <c r="N3" s="412"/>
      <c r="O3" s="413"/>
    </row>
    <row r="4" spans="1:15" ht="18" x14ac:dyDescent="0.25">
      <c r="A4" s="410"/>
      <c r="B4" s="414" t="s">
        <v>243</v>
      </c>
      <c r="C4" s="414" t="s">
        <v>244</v>
      </c>
      <c r="D4" s="414" t="s">
        <v>243</v>
      </c>
      <c r="E4" s="414" t="s">
        <v>245</v>
      </c>
      <c r="F4" s="414" t="s">
        <v>244</v>
      </c>
      <c r="G4" s="414" t="s">
        <v>243</v>
      </c>
      <c r="H4" s="414" t="s">
        <v>245</v>
      </c>
      <c r="I4" s="414" t="s">
        <v>244</v>
      </c>
      <c r="J4" s="390" t="s">
        <v>247</v>
      </c>
      <c r="K4" s="390"/>
      <c r="L4" s="390"/>
      <c r="M4" s="411" t="s">
        <v>877</v>
      </c>
      <c r="N4" s="415"/>
      <c r="O4" s="416"/>
    </row>
    <row r="5" spans="1:15" ht="78.75" customHeight="1" x14ac:dyDescent="0.25">
      <c r="A5" s="410"/>
      <c r="B5" s="414"/>
      <c r="C5" s="414"/>
      <c r="D5" s="414"/>
      <c r="E5" s="414"/>
      <c r="F5" s="414"/>
      <c r="G5" s="414"/>
      <c r="H5" s="414"/>
      <c r="I5" s="414"/>
      <c r="J5" s="276" t="s">
        <v>243</v>
      </c>
      <c r="K5" s="276" t="s">
        <v>245</v>
      </c>
      <c r="L5" s="276" t="s">
        <v>244</v>
      </c>
      <c r="M5" s="151" t="s">
        <v>243</v>
      </c>
      <c r="N5" s="307" t="s">
        <v>245</v>
      </c>
      <c r="O5" s="75" t="s">
        <v>244</v>
      </c>
    </row>
    <row r="6" spans="1:15" ht="36" x14ac:dyDescent="0.25">
      <c r="A6" s="58" t="s">
        <v>542</v>
      </c>
      <c r="B6" s="76">
        <v>56124.4</v>
      </c>
      <c r="C6" s="77">
        <v>113.4</v>
      </c>
      <c r="D6" s="76">
        <v>66591</v>
      </c>
      <c r="E6" s="76">
        <v>61650.7</v>
      </c>
      <c r="F6" s="77">
        <v>109.1</v>
      </c>
      <c r="G6" s="76">
        <v>75910</v>
      </c>
      <c r="H6" s="76">
        <v>70417.8</v>
      </c>
      <c r="I6" s="77">
        <v>108.4</v>
      </c>
      <c r="J6" s="76">
        <v>85619</v>
      </c>
      <c r="K6" s="76">
        <v>81849.2</v>
      </c>
      <c r="L6" s="77">
        <v>109.1</v>
      </c>
      <c r="M6" s="76">
        <v>94942</v>
      </c>
      <c r="N6" s="308">
        <v>92816</v>
      </c>
      <c r="O6" s="78">
        <v>108.6</v>
      </c>
    </row>
    <row r="7" spans="1:15" ht="18" x14ac:dyDescent="0.25">
      <c r="A7" s="58" t="s">
        <v>249</v>
      </c>
      <c r="B7" s="76"/>
      <c r="C7" s="77"/>
      <c r="D7" s="76"/>
      <c r="E7" s="76"/>
      <c r="F7" s="77"/>
      <c r="G7" s="76"/>
      <c r="H7" s="76"/>
      <c r="I7" s="77"/>
      <c r="J7" s="76"/>
      <c r="K7" s="76"/>
      <c r="L7" s="77"/>
      <c r="M7" s="76"/>
      <c r="N7" s="308"/>
      <c r="O7" s="78"/>
    </row>
    <row r="8" spans="1:15" ht="23.25" customHeight="1" x14ac:dyDescent="0.25">
      <c r="A8" s="58" t="s">
        <v>543</v>
      </c>
      <c r="B8" s="76">
        <v>47540.5</v>
      </c>
      <c r="C8" s="77">
        <v>115.4</v>
      </c>
      <c r="D8" s="76">
        <v>55632</v>
      </c>
      <c r="E8" s="76">
        <v>52497.4</v>
      </c>
      <c r="F8" s="6">
        <v>107.6</v>
      </c>
      <c r="G8" s="76">
        <v>63469</v>
      </c>
      <c r="H8" s="76">
        <v>60102.7</v>
      </c>
      <c r="I8" s="77">
        <v>108.6</v>
      </c>
      <c r="J8" s="76">
        <v>71707</v>
      </c>
      <c r="K8" s="76">
        <f>70003.5-3000</f>
        <v>67003.5</v>
      </c>
      <c r="L8" s="77">
        <v>108.6</v>
      </c>
      <c r="M8" s="76">
        <v>79516</v>
      </c>
      <c r="N8" s="308">
        <f>82531.8-6000</f>
        <v>76531.8</v>
      </c>
      <c r="O8" s="15">
        <v>107.5</v>
      </c>
    </row>
    <row r="9" spans="1:15" ht="50.25" customHeight="1" x14ac:dyDescent="0.25">
      <c r="A9" s="58" t="s">
        <v>544</v>
      </c>
      <c r="B9" s="76">
        <v>21760.3</v>
      </c>
      <c r="C9" s="77">
        <v>114.1</v>
      </c>
      <c r="D9" s="76">
        <v>24776</v>
      </c>
      <c r="E9" s="76">
        <f>24913-2000</f>
        <v>22913</v>
      </c>
      <c r="F9" s="77">
        <v>110.5</v>
      </c>
      <c r="G9" s="76">
        <v>28296</v>
      </c>
      <c r="H9" s="76">
        <f>29053.9-2000</f>
        <v>27053.9</v>
      </c>
      <c r="I9" s="113">
        <v>110</v>
      </c>
      <c r="J9" s="82">
        <v>31573</v>
      </c>
      <c r="K9" s="76">
        <f>34525.9-4000</f>
        <v>30525.9</v>
      </c>
      <c r="L9" s="110">
        <v>108.6</v>
      </c>
      <c r="M9" s="82">
        <v>35146</v>
      </c>
      <c r="N9" s="308">
        <f>41339.4-8000</f>
        <v>33339.4</v>
      </c>
      <c r="O9" s="110">
        <v>108.6</v>
      </c>
    </row>
    <row r="10" spans="1:15" ht="18" x14ac:dyDescent="0.25">
      <c r="A10" s="58" t="s">
        <v>249</v>
      </c>
      <c r="B10" s="76"/>
      <c r="C10" s="77"/>
      <c r="D10" s="76"/>
      <c r="E10" s="76"/>
      <c r="F10" s="77"/>
      <c r="G10" s="76"/>
      <c r="H10" s="76"/>
      <c r="I10" s="79"/>
      <c r="J10" s="76"/>
      <c r="K10" s="76"/>
      <c r="L10" s="77"/>
      <c r="M10" s="76"/>
      <c r="N10" s="308"/>
      <c r="O10" s="80"/>
    </row>
    <row r="11" spans="1:15" ht="36" x14ac:dyDescent="0.25">
      <c r="A11" s="58" t="s">
        <v>545</v>
      </c>
      <c r="B11" s="76">
        <v>16749</v>
      </c>
      <c r="C11" s="77">
        <v>118.4</v>
      </c>
      <c r="D11" s="16">
        <v>18353</v>
      </c>
      <c r="E11" s="76">
        <v>17946</v>
      </c>
      <c r="F11" s="6">
        <v>107.5</v>
      </c>
      <c r="G11" s="82">
        <v>21550</v>
      </c>
      <c r="H11" s="76">
        <v>20169.8</v>
      </c>
      <c r="I11" s="113">
        <v>112.9</v>
      </c>
      <c r="J11" s="16">
        <v>24381</v>
      </c>
      <c r="K11" s="76">
        <v>22597.3</v>
      </c>
      <c r="L11" s="113">
        <v>110.4</v>
      </c>
      <c r="M11" s="82">
        <v>27035</v>
      </c>
      <c r="N11" s="308">
        <v>26533.599999999999</v>
      </c>
      <c r="O11" s="113">
        <v>108.2</v>
      </c>
    </row>
    <row r="12" spans="1:15" ht="54.75" customHeight="1" thickBot="1" x14ac:dyDescent="0.3">
      <c r="A12" s="58" t="s">
        <v>546</v>
      </c>
      <c r="B12" s="110">
        <v>2311.8000000000002</v>
      </c>
      <c r="C12" s="113">
        <v>117.2</v>
      </c>
      <c r="D12" s="110">
        <v>2589.9</v>
      </c>
      <c r="E12" s="76">
        <v>2116.5</v>
      </c>
      <c r="F12" s="113">
        <v>114.8</v>
      </c>
      <c r="G12" s="110">
        <v>2816.3</v>
      </c>
      <c r="H12" s="76">
        <v>2631.7</v>
      </c>
      <c r="I12" s="113">
        <v>112.5</v>
      </c>
      <c r="J12" s="110">
        <v>3071.7</v>
      </c>
      <c r="K12" s="76">
        <v>2845.5</v>
      </c>
      <c r="L12" s="113">
        <v>112.5</v>
      </c>
      <c r="M12" s="110">
        <v>3343.6</v>
      </c>
      <c r="N12" s="309">
        <v>3089</v>
      </c>
      <c r="O12" s="81">
        <v>110</v>
      </c>
    </row>
    <row r="13" spans="1:15" x14ac:dyDescent="0.25">
      <c r="A13" s="295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327"/>
    </row>
    <row r="14" spans="1:15" ht="15.75" x14ac:dyDescent="0.25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76"/>
      <c r="L14" s="295"/>
      <c r="M14" s="327"/>
    </row>
    <row r="15" spans="1:15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5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7">
    <mergeCell ref="J4:L4"/>
    <mergeCell ref="A1:O1"/>
    <mergeCell ref="A2:O2"/>
    <mergeCell ref="A3:A5"/>
    <mergeCell ref="B3:C3"/>
    <mergeCell ref="D3:F3"/>
    <mergeCell ref="G3:I3"/>
    <mergeCell ref="J3:O3"/>
    <mergeCell ref="B4:B5"/>
    <mergeCell ref="C4:C5"/>
    <mergeCell ref="D4:D5"/>
    <mergeCell ref="M4:O4"/>
    <mergeCell ref="E4:E5"/>
    <mergeCell ref="F4:F5"/>
    <mergeCell ref="G4:G5"/>
    <mergeCell ref="H4:H5"/>
    <mergeCell ref="I4:I5"/>
  </mergeCells>
  <pageMargins left="0.43307086614173229" right="0.19685039370078741" top="0.35433070866141736" bottom="0.35433070866141736" header="0" footer="0"/>
  <pageSetup paperSize="9" firstPageNumber="111" orientation="landscape" useFirstPageNumber="1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70" zoomScaleNormal="100" zoomScaleSheetLayoutView="70" workbookViewId="0">
      <selection activeCell="F6" sqref="F6"/>
    </sheetView>
  </sheetViews>
  <sheetFormatPr defaultRowHeight="15" x14ac:dyDescent="0.25"/>
  <cols>
    <col min="1" max="1" width="35.28515625" customWidth="1"/>
    <col min="2" max="2" width="9.7109375" bestFit="1" customWidth="1"/>
    <col min="3" max="3" width="9.28515625" bestFit="1" customWidth="1"/>
    <col min="4" max="4" width="9.7109375" bestFit="1" customWidth="1"/>
    <col min="5" max="5" width="9.28515625" bestFit="1" customWidth="1"/>
    <col min="6" max="6" width="9.140625" bestFit="1" customWidth="1"/>
    <col min="7" max="7" width="8.5703125" customWidth="1"/>
    <col min="8" max="8" width="9.140625" bestFit="1" customWidth="1"/>
    <col min="9" max="9" width="9.28515625" bestFit="1" customWidth="1"/>
    <col min="10" max="10" width="9.140625" bestFit="1" customWidth="1"/>
    <col min="11" max="11" width="9.28515625" bestFit="1" customWidth="1"/>
  </cols>
  <sheetData>
    <row r="1" spans="1:13" ht="54.75" customHeight="1" x14ac:dyDescent="0.3">
      <c r="A1" s="385" t="s">
        <v>901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21" customHeight="1" x14ac:dyDescent="0.25">
      <c r="A2" s="407" t="s">
        <v>547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337"/>
      <c r="M2" s="349"/>
    </row>
    <row r="3" spans="1:13" ht="26.25" customHeight="1" x14ac:dyDescent="0.25">
      <c r="A3" s="386" t="s">
        <v>1</v>
      </c>
      <c r="B3" s="386" t="s">
        <v>888</v>
      </c>
      <c r="C3" s="386"/>
      <c r="D3" s="386" t="s">
        <v>887</v>
      </c>
      <c r="E3" s="386"/>
      <c r="F3" s="389" t="s">
        <v>8</v>
      </c>
      <c r="G3" s="389"/>
      <c r="H3" s="390" t="s">
        <v>4</v>
      </c>
      <c r="I3" s="390"/>
      <c r="J3" s="390"/>
      <c r="K3" s="390"/>
      <c r="L3" s="337"/>
      <c r="M3" s="349"/>
    </row>
    <row r="4" spans="1:13" ht="24" customHeight="1" x14ac:dyDescent="0.25">
      <c r="A4" s="386"/>
      <c r="B4" s="386"/>
      <c r="C4" s="386"/>
      <c r="D4" s="386"/>
      <c r="E4" s="386"/>
      <c r="F4" s="389" t="s">
        <v>246</v>
      </c>
      <c r="G4" s="389"/>
      <c r="H4" s="389" t="s">
        <v>247</v>
      </c>
      <c r="I4" s="389"/>
      <c r="J4" s="389" t="s">
        <v>877</v>
      </c>
      <c r="K4" s="389"/>
      <c r="L4" s="295"/>
      <c r="M4" s="327"/>
    </row>
    <row r="5" spans="1:13" ht="21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295"/>
      <c r="M5" s="327"/>
    </row>
    <row r="6" spans="1:13" ht="22.5" customHeight="1" x14ac:dyDescent="0.25">
      <c r="A6" s="58" t="s">
        <v>548</v>
      </c>
      <c r="B6" s="18">
        <v>8328.9</v>
      </c>
      <c r="C6" s="18">
        <v>113.9</v>
      </c>
      <c r="D6" s="5">
        <v>8510</v>
      </c>
      <c r="E6" s="7">
        <v>102.2</v>
      </c>
      <c r="F6" s="5">
        <v>8903</v>
      </c>
      <c r="G6" s="7">
        <v>104.6</v>
      </c>
      <c r="H6" s="5">
        <v>9271</v>
      </c>
      <c r="I6" s="7">
        <v>104.1</v>
      </c>
      <c r="J6" s="5">
        <v>9715</v>
      </c>
      <c r="K6" s="7">
        <v>104.8</v>
      </c>
      <c r="L6" s="295"/>
      <c r="M6" s="327"/>
    </row>
    <row r="7" spans="1:13" ht="23.25" customHeight="1" x14ac:dyDescent="0.25">
      <c r="A7" s="58" t="s">
        <v>549</v>
      </c>
      <c r="B7" s="19">
        <v>2448.8000000000002</v>
      </c>
      <c r="C7" s="18">
        <v>114.3</v>
      </c>
      <c r="D7" s="5">
        <v>2615</v>
      </c>
      <c r="E7" s="7">
        <v>106.8</v>
      </c>
      <c r="F7" s="5">
        <v>2954</v>
      </c>
      <c r="G7" s="7">
        <v>113</v>
      </c>
      <c r="H7" s="5">
        <v>3189</v>
      </c>
      <c r="I7" s="7">
        <v>108</v>
      </c>
      <c r="J7" s="5">
        <v>3505</v>
      </c>
      <c r="K7" s="7">
        <v>109.9</v>
      </c>
      <c r="L7" s="295"/>
      <c r="M7" s="327"/>
    </row>
    <row r="8" spans="1:13" ht="22.5" customHeight="1" x14ac:dyDescent="0.25">
      <c r="A8" s="58" t="s">
        <v>550</v>
      </c>
      <c r="B8" s="18">
        <v>5880.1</v>
      </c>
      <c r="C8" s="18">
        <v>113.8</v>
      </c>
      <c r="D8" s="5">
        <v>5895</v>
      </c>
      <c r="E8" s="7">
        <v>100.3</v>
      </c>
      <c r="F8" s="5">
        <v>5949</v>
      </c>
      <c r="G8" s="7">
        <v>100.9</v>
      </c>
      <c r="H8" s="5">
        <v>6082</v>
      </c>
      <c r="I8" s="7">
        <v>102.2</v>
      </c>
      <c r="J8" s="5">
        <v>6210</v>
      </c>
      <c r="K8" s="7">
        <v>102.1</v>
      </c>
      <c r="L8" s="295"/>
      <c r="M8" s="327"/>
    </row>
    <row r="9" spans="1:13" ht="27.75" customHeight="1" x14ac:dyDescent="0.25">
      <c r="A9" s="58" t="s">
        <v>551</v>
      </c>
      <c r="B9" s="82">
        <f>B7-B8</f>
        <v>-3431.3</v>
      </c>
      <c r="C9" s="82">
        <f>B9/3026*100*-1</f>
        <v>113.393919365499</v>
      </c>
      <c r="D9" s="82">
        <f t="shared" ref="D9:J9" si="0">D7-D8</f>
        <v>-3280</v>
      </c>
      <c r="E9" s="82">
        <f>D9/B9*100</f>
        <v>95.590592486812582</v>
      </c>
      <c r="F9" s="82">
        <f t="shared" si="0"/>
        <v>-2995</v>
      </c>
      <c r="G9" s="82">
        <f>F9/D9*100</f>
        <v>91.310975609756099</v>
      </c>
      <c r="H9" s="82">
        <f t="shared" si="0"/>
        <v>-2893</v>
      </c>
      <c r="I9" s="82">
        <f>H9/F9*100</f>
        <v>96.594323873121866</v>
      </c>
      <c r="J9" s="82">
        <f t="shared" si="0"/>
        <v>-2705</v>
      </c>
      <c r="K9" s="82">
        <f>J9/H9*100</f>
        <v>93.501555478741793</v>
      </c>
      <c r="L9" s="295"/>
      <c r="M9" s="327"/>
    </row>
    <row r="10" spans="1:13" x14ac:dyDescent="0.25">
      <c r="A10" s="295"/>
      <c r="B10" s="334"/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327"/>
    </row>
    <row r="11" spans="1:13" x14ac:dyDescent="0.25">
      <c r="A11" s="295"/>
      <c r="B11" s="295"/>
      <c r="C11" s="295"/>
      <c r="D11" s="295"/>
      <c r="E11" s="295"/>
      <c r="F11" s="295"/>
      <c r="G11" s="295"/>
      <c r="H11" s="295"/>
      <c r="I11" s="295"/>
      <c r="J11" s="295"/>
      <c r="K11" s="295"/>
      <c r="L11" s="295"/>
      <c r="M11" s="327"/>
    </row>
    <row r="12" spans="1:13" x14ac:dyDescent="0.25">
      <c r="A12" s="295"/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327"/>
    </row>
    <row r="13" spans="1:13" x14ac:dyDescent="0.25">
      <c r="A13" s="295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327"/>
    </row>
    <row r="14" spans="1:13" x14ac:dyDescent="0.25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0">
    <mergeCell ref="A1:K1"/>
    <mergeCell ref="A2:K2"/>
    <mergeCell ref="A3:A5"/>
    <mergeCell ref="B3:C4"/>
    <mergeCell ref="D3:E4"/>
    <mergeCell ref="F3:G3"/>
    <mergeCell ref="H3:K3"/>
    <mergeCell ref="F4:G4"/>
    <mergeCell ref="H4:I4"/>
    <mergeCell ref="J4:K4"/>
  </mergeCells>
  <pageMargins left="0.43307086614173229" right="0.19685039370078741" top="0.35433070866141736" bottom="0.35433070866141736" header="0" footer="0"/>
  <pageSetup paperSize="9" scale="110" firstPageNumber="112" orientation="landscape" useFirstPageNumber="1" r:id="rId1"/>
  <headerFoot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45"/>
  <sheetViews>
    <sheetView view="pageBreakPreview" zoomScale="80" zoomScaleNormal="100" zoomScaleSheetLayoutView="80" workbookViewId="0">
      <selection activeCell="F6" sqref="F6"/>
    </sheetView>
  </sheetViews>
  <sheetFormatPr defaultRowHeight="15" x14ac:dyDescent="0.25"/>
  <cols>
    <col min="1" max="1" width="33.42578125" customWidth="1"/>
    <col min="2" max="2" width="9.85546875" customWidth="1"/>
    <col min="3" max="3" width="10.5703125" bestFit="1" customWidth="1"/>
    <col min="4" max="4" width="8.5703125" customWidth="1"/>
    <col min="5" max="5" width="10" bestFit="1" customWidth="1"/>
    <col min="6" max="6" width="8.140625" customWidth="1"/>
    <col min="7" max="7" width="9.5703125" bestFit="1" customWidth="1"/>
    <col min="8" max="8" width="8.140625" customWidth="1"/>
    <col min="9" max="9" width="9.5703125" bestFit="1" customWidth="1"/>
    <col min="10" max="10" width="8" customWidth="1"/>
    <col min="11" max="11" width="9.5703125" bestFit="1" customWidth="1"/>
    <col min="12" max="12" width="7.5703125" customWidth="1"/>
  </cols>
  <sheetData>
    <row r="1" spans="1:13" ht="57" customHeight="1" x14ac:dyDescent="0.3">
      <c r="A1" s="403" t="s">
        <v>982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346"/>
    </row>
    <row r="2" spans="1:13" ht="18" x14ac:dyDescent="0.25">
      <c r="A2" s="386" t="s">
        <v>1</v>
      </c>
      <c r="B2" s="386" t="s">
        <v>311</v>
      </c>
      <c r="C2" s="386" t="s">
        <v>878</v>
      </c>
      <c r="D2" s="386"/>
      <c r="E2" s="386" t="s">
        <v>887</v>
      </c>
      <c r="F2" s="386"/>
      <c r="G2" s="386" t="s">
        <v>8</v>
      </c>
      <c r="H2" s="386"/>
      <c r="I2" s="387" t="s">
        <v>4</v>
      </c>
      <c r="J2" s="387"/>
      <c r="K2" s="387"/>
      <c r="L2" s="387"/>
      <c r="M2" s="349"/>
    </row>
    <row r="3" spans="1:13" ht="22.5" customHeight="1" x14ac:dyDescent="0.25">
      <c r="A3" s="386"/>
      <c r="B3" s="386"/>
      <c r="C3" s="386"/>
      <c r="D3" s="386"/>
      <c r="E3" s="386"/>
      <c r="F3" s="386"/>
      <c r="G3" s="386" t="s">
        <v>246</v>
      </c>
      <c r="H3" s="386"/>
      <c r="I3" s="386" t="s">
        <v>247</v>
      </c>
      <c r="J3" s="386"/>
      <c r="K3" s="386" t="s">
        <v>877</v>
      </c>
      <c r="L3" s="386"/>
      <c r="M3" s="349"/>
    </row>
    <row r="4" spans="1:13" ht="24" customHeight="1" x14ac:dyDescent="0.25">
      <c r="A4" s="386"/>
      <c r="B4" s="386"/>
      <c r="C4" s="153" t="s">
        <v>315</v>
      </c>
      <c r="D4" s="153" t="s">
        <v>316</v>
      </c>
      <c r="E4" s="153" t="s">
        <v>315</v>
      </c>
      <c r="F4" s="153" t="s">
        <v>316</v>
      </c>
      <c r="G4" s="153" t="s">
        <v>315</v>
      </c>
      <c r="H4" s="153" t="s">
        <v>316</v>
      </c>
      <c r="I4" s="153" t="s">
        <v>315</v>
      </c>
      <c r="J4" s="153" t="s">
        <v>316</v>
      </c>
      <c r="K4" s="153" t="s">
        <v>315</v>
      </c>
      <c r="L4" s="153" t="s">
        <v>316</v>
      </c>
      <c r="M4" s="327"/>
    </row>
    <row r="5" spans="1:13" ht="25.5" customHeight="1" x14ac:dyDescent="0.25">
      <c r="A5" s="274" t="s">
        <v>548</v>
      </c>
      <c r="B5" s="156" t="s">
        <v>552</v>
      </c>
      <c r="C5" s="18">
        <v>8328.9</v>
      </c>
      <c r="D5" s="18">
        <v>113.9</v>
      </c>
      <c r="E5" s="5">
        <v>8510</v>
      </c>
      <c r="F5" s="7">
        <v>102.2</v>
      </c>
      <c r="G5" s="5">
        <v>8903</v>
      </c>
      <c r="H5" s="7">
        <v>104.6</v>
      </c>
      <c r="I5" s="5">
        <v>9271</v>
      </c>
      <c r="J5" s="7">
        <v>104.1</v>
      </c>
      <c r="K5" s="5">
        <v>9715</v>
      </c>
      <c r="L5" s="7">
        <v>104.8</v>
      </c>
      <c r="M5" s="327"/>
    </row>
    <row r="6" spans="1:13" ht="31.5" x14ac:dyDescent="0.25">
      <c r="A6" s="60" t="s">
        <v>553</v>
      </c>
      <c r="B6" s="153" t="s">
        <v>552</v>
      </c>
      <c r="C6" s="19">
        <f>C8+C10+C12+C14+C30+C29+C27+C25+C23+C21</f>
        <v>2448.5999999999995</v>
      </c>
      <c r="D6" s="18">
        <v>114.3</v>
      </c>
      <c r="E6" s="19">
        <f>E8+E10+E12+E14+E30+E29+E27+E25+E23+E21</f>
        <v>2615.2033437013997</v>
      </c>
      <c r="F6" s="7">
        <v>106.8</v>
      </c>
      <c r="G6" s="19">
        <f>G8+G10+G12+G14+G30+G29+G27+G25+G23+G21</f>
        <v>2953.4941780821919</v>
      </c>
      <c r="H6" s="7">
        <v>113</v>
      </c>
      <c r="I6" s="19">
        <f>I8+I10+I12+I14+I30+I29+I27+I25+I23+I21</f>
        <v>3188.5944038155799</v>
      </c>
      <c r="J6" s="7">
        <v>108</v>
      </c>
      <c r="K6" s="19">
        <f>K8+K10+K12+K14+K30+K29+K27+K25+K23+K21</f>
        <v>3504.9999999999995</v>
      </c>
      <c r="L6" s="7">
        <v>109.9</v>
      </c>
      <c r="M6" s="327"/>
    </row>
    <row r="7" spans="1:13" ht="27.75" customHeight="1" x14ac:dyDescent="0.25">
      <c r="A7" s="386" t="s">
        <v>70</v>
      </c>
      <c r="B7" s="153" t="s">
        <v>68</v>
      </c>
      <c r="C7" s="7">
        <v>109.3</v>
      </c>
      <c r="D7" s="7">
        <v>134.93827160493828</v>
      </c>
      <c r="E7" s="7">
        <v>88.9</v>
      </c>
      <c r="F7" s="7">
        <v>81.3</v>
      </c>
      <c r="G7" s="7">
        <v>71.099999999999994</v>
      </c>
      <c r="H7" s="7">
        <v>80</v>
      </c>
      <c r="I7" s="7">
        <v>47.8</v>
      </c>
      <c r="J7" s="7">
        <v>67.3</v>
      </c>
      <c r="K7" s="7">
        <v>26.9</v>
      </c>
      <c r="L7" s="7">
        <v>56.2</v>
      </c>
      <c r="M7" s="327"/>
    </row>
    <row r="8" spans="1:13" ht="27" customHeight="1" x14ac:dyDescent="0.25">
      <c r="A8" s="386"/>
      <c r="B8" s="153" t="s">
        <v>552</v>
      </c>
      <c r="C8" s="7">
        <v>198.6</v>
      </c>
      <c r="D8" s="7">
        <v>102.00308166409862</v>
      </c>
      <c r="E8" s="5">
        <v>164.70839813374806</v>
      </c>
      <c r="F8" s="7">
        <v>81.7</v>
      </c>
      <c r="G8" s="7">
        <v>136.57191780821918</v>
      </c>
      <c r="H8" s="7">
        <v>82.9</v>
      </c>
      <c r="I8" s="7">
        <v>96.329093799682028</v>
      </c>
      <c r="J8" s="7">
        <v>70.900000000000006</v>
      </c>
      <c r="K8" s="7">
        <v>58.822337962962962</v>
      </c>
      <c r="L8" s="7">
        <v>60.5</v>
      </c>
      <c r="M8" s="327"/>
    </row>
    <row r="9" spans="1:13" ht="27" customHeight="1" x14ac:dyDescent="0.25">
      <c r="A9" s="386" t="s">
        <v>554</v>
      </c>
      <c r="B9" s="153" t="s">
        <v>68</v>
      </c>
      <c r="C9" s="148">
        <v>59.1</v>
      </c>
      <c r="D9" s="7">
        <v>115.88235294117648</v>
      </c>
      <c r="E9" s="7">
        <v>72.2</v>
      </c>
      <c r="F9" s="7">
        <v>122.1</v>
      </c>
      <c r="G9" s="7">
        <v>89.6</v>
      </c>
      <c r="H9" s="7">
        <v>124.1</v>
      </c>
      <c r="I9" s="7">
        <v>107.6</v>
      </c>
      <c r="J9" s="7">
        <v>120.1</v>
      </c>
      <c r="K9" s="7">
        <v>128.1</v>
      </c>
      <c r="L9" s="7">
        <v>119.1</v>
      </c>
      <c r="M9" s="327"/>
    </row>
    <row r="10" spans="1:13" ht="24.75" customHeight="1" x14ac:dyDescent="0.25">
      <c r="A10" s="386"/>
      <c r="B10" s="153" t="s">
        <v>552</v>
      </c>
      <c r="C10" s="7">
        <v>132.30000000000001</v>
      </c>
      <c r="D10" s="7">
        <v>94.567548248749105</v>
      </c>
      <c r="E10" s="5">
        <v>163.69167962674962</v>
      </c>
      <c r="F10" s="7">
        <v>121.9</v>
      </c>
      <c r="G10" s="7">
        <v>204.35205479452054</v>
      </c>
      <c r="H10" s="7">
        <v>125.5</v>
      </c>
      <c r="I10" s="7">
        <v>247.41367249602547</v>
      </c>
      <c r="J10" s="7">
        <v>120.4</v>
      </c>
      <c r="K10" s="7">
        <v>296.1400462962963</v>
      </c>
      <c r="L10" s="7">
        <v>119.8</v>
      </c>
      <c r="M10" s="327"/>
    </row>
    <row r="11" spans="1:13" ht="31.5" x14ac:dyDescent="0.25">
      <c r="A11" s="386" t="s">
        <v>80</v>
      </c>
      <c r="B11" s="153" t="s">
        <v>68</v>
      </c>
      <c r="C11" s="7">
        <v>243.9</v>
      </c>
      <c r="D11" s="7">
        <v>59.314202334630352</v>
      </c>
      <c r="E11" s="5">
        <v>159</v>
      </c>
      <c r="F11" s="7">
        <v>65.099999999999994</v>
      </c>
      <c r="G11" s="5">
        <v>136</v>
      </c>
      <c r="H11" s="7">
        <v>85.7</v>
      </c>
      <c r="I11" s="5">
        <v>113</v>
      </c>
      <c r="J11" s="7">
        <v>83.3</v>
      </c>
      <c r="K11" s="5">
        <v>90</v>
      </c>
      <c r="L11" s="7">
        <v>79.400000000000006</v>
      </c>
      <c r="M11" s="327"/>
    </row>
    <row r="12" spans="1:13" ht="31.5" x14ac:dyDescent="0.25">
      <c r="A12" s="386"/>
      <c r="B12" s="153" t="s">
        <v>552</v>
      </c>
      <c r="C12" s="7">
        <v>378.2</v>
      </c>
      <c r="D12" s="7">
        <v>51.751505199781064</v>
      </c>
      <c r="E12" s="5">
        <v>254.17962674961117</v>
      </c>
      <c r="F12" s="7">
        <v>66.2</v>
      </c>
      <c r="G12" s="7">
        <v>217.50342465753428</v>
      </c>
      <c r="H12" s="7">
        <v>85.8</v>
      </c>
      <c r="I12" s="7">
        <v>188.60222575516696</v>
      </c>
      <c r="J12" s="7">
        <v>86.7</v>
      </c>
      <c r="K12" s="7">
        <v>160.24016203703704</v>
      </c>
      <c r="L12" s="7">
        <v>84.9</v>
      </c>
      <c r="M12" s="327"/>
    </row>
    <row r="13" spans="1:13" ht="31.5" x14ac:dyDescent="0.25">
      <c r="A13" s="386" t="s">
        <v>72</v>
      </c>
      <c r="B13" s="153" t="s">
        <v>68</v>
      </c>
      <c r="C13" s="7">
        <v>177.1</v>
      </c>
      <c r="D13" s="7">
        <v>93.555203380876904</v>
      </c>
      <c r="E13" s="5">
        <v>203</v>
      </c>
      <c r="F13" s="7">
        <v>114.7</v>
      </c>
      <c r="G13" s="5">
        <v>223</v>
      </c>
      <c r="H13" s="7">
        <v>109.9</v>
      </c>
      <c r="I13" s="5">
        <v>238</v>
      </c>
      <c r="J13" s="7">
        <v>106.4</v>
      </c>
      <c r="K13" s="5">
        <v>255</v>
      </c>
      <c r="L13" s="7">
        <v>107.5</v>
      </c>
      <c r="M13" s="327"/>
    </row>
    <row r="14" spans="1:13" ht="31.5" x14ac:dyDescent="0.25">
      <c r="A14" s="386"/>
      <c r="B14" s="153" t="s">
        <v>552</v>
      </c>
      <c r="C14" s="7">
        <v>46.3</v>
      </c>
      <c r="D14" s="7">
        <v>89.902912621359221</v>
      </c>
      <c r="E14" s="7">
        <v>54.902799377916025</v>
      </c>
      <c r="F14" s="7">
        <v>116.7</v>
      </c>
      <c r="G14" s="7">
        <v>60.900958904109594</v>
      </c>
      <c r="H14" s="7">
        <v>111.4</v>
      </c>
      <c r="I14" s="7">
        <v>65.605182829888719</v>
      </c>
      <c r="J14" s="7">
        <v>107.5</v>
      </c>
      <c r="K14" s="7">
        <v>71.093894675925924</v>
      </c>
      <c r="L14" s="7">
        <v>108.3</v>
      </c>
      <c r="M14" s="327"/>
    </row>
    <row r="15" spans="1:13" ht="18" x14ac:dyDescent="0.25">
      <c r="A15" s="58" t="s">
        <v>249</v>
      </c>
      <c r="B15" s="301"/>
      <c r="C15" s="7"/>
      <c r="D15" s="7"/>
      <c r="E15" s="7"/>
      <c r="F15" s="7"/>
      <c r="G15" s="7"/>
      <c r="H15" s="7"/>
      <c r="I15" s="7"/>
      <c r="J15" s="7"/>
      <c r="K15" s="7"/>
      <c r="L15" s="7"/>
      <c r="M15" s="327"/>
    </row>
    <row r="16" spans="1:13" ht="31.5" x14ac:dyDescent="0.25">
      <c r="A16" s="386" t="s">
        <v>555</v>
      </c>
      <c r="B16" s="153" t="s">
        <v>68</v>
      </c>
      <c r="C16" s="7">
        <v>81.099999999999994</v>
      </c>
      <c r="D16" s="7">
        <v>162.19999999999999</v>
      </c>
      <c r="E16" s="7">
        <v>83.9</v>
      </c>
      <c r="F16" s="7">
        <v>103.4</v>
      </c>
      <c r="G16" s="7">
        <v>94</v>
      </c>
      <c r="H16" s="7">
        <v>112.1</v>
      </c>
      <c r="I16" s="7">
        <v>108.1</v>
      </c>
      <c r="J16" s="7">
        <v>115</v>
      </c>
      <c r="K16" s="7">
        <v>127.1</v>
      </c>
      <c r="L16" s="7">
        <v>117.6</v>
      </c>
      <c r="M16" s="327"/>
    </row>
    <row r="17" spans="1:13" ht="24" customHeight="1" x14ac:dyDescent="0.25">
      <c r="A17" s="386"/>
      <c r="B17" s="153" t="s">
        <v>552</v>
      </c>
      <c r="C17" s="7">
        <v>29</v>
      </c>
      <c r="D17" s="7">
        <v>115.07936507936509</v>
      </c>
      <c r="E17" s="7">
        <v>31.4</v>
      </c>
      <c r="F17" s="7">
        <v>108.3</v>
      </c>
      <c r="G17" s="7">
        <v>36.823835616438359</v>
      </c>
      <c r="H17" s="7">
        <v>115.9</v>
      </c>
      <c r="I17" s="7">
        <v>42.891796502384729</v>
      </c>
      <c r="J17" s="7">
        <v>116.1</v>
      </c>
      <c r="K17" s="7">
        <v>51.114583333333329</v>
      </c>
      <c r="L17" s="7">
        <v>119.2</v>
      </c>
      <c r="M17" s="327"/>
    </row>
    <row r="18" spans="1:13" ht="36" customHeight="1" x14ac:dyDescent="0.25">
      <c r="A18" s="386" t="s">
        <v>78</v>
      </c>
      <c r="B18" s="153" t="s">
        <v>68</v>
      </c>
      <c r="C18" s="7">
        <v>59.7</v>
      </c>
      <c r="D18" s="7">
        <v>89.371257485029957</v>
      </c>
      <c r="E18" s="7">
        <v>63.6</v>
      </c>
      <c r="F18" s="7">
        <v>106.5</v>
      </c>
      <c r="G18" s="7">
        <v>68.2</v>
      </c>
      <c r="H18" s="7">
        <v>107.2</v>
      </c>
      <c r="I18" s="7">
        <v>75.099999999999994</v>
      </c>
      <c r="J18" s="7">
        <v>110.2</v>
      </c>
      <c r="K18" s="7">
        <v>84.8</v>
      </c>
      <c r="L18" s="7">
        <v>112.9</v>
      </c>
      <c r="M18" s="327"/>
    </row>
    <row r="19" spans="1:13" ht="24" customHeight="1" x14ac:dyDescent="0.25">
      <c r="A19" s="386"/>
      <c r="B19" s="153" t="s">
        <v>552</v>
      </c>
      <c r="C19" s="7">
        <v>6.1</v>
      </c>
      <c r="D19" s="7">
        <v>89.705882352941174</v>
      </c>
      <c r="E19" s="7">
        <v>6.5</v>
      </c>
      <c r="F19" s="7">
        <v>107</v>
      </c>
      <c r="G19" s="7">
        <v>7.0815068493150681</v>
      </c>
      <c r="H19" s="7">
        <v>107.9</v>
      </c>
      <c r="I19" s="7">
        <v>8.0105246422893472</v>
      </c>
      <c r="J19" s="7">
        <v>112.2</v>
      </c>
      <c r="K19" s="7">
        <v>9.2290219907407405</v>
      </c>
      <c r="L19" s="7">
        <v>115.1</v>
      </c>
      <c r="M19" s="327"/>
    </row>
    <row r="20" spans="1:13" ht="33.75" customHeight="1" x14ac:dyDescent="0.25">
      <c r="A20" s="386" t="s">
        <v>86</v>
      </c>
      <c r="B20" s="153" t="s">
        <v>68</v>
      </c>
      <c r="C20" s="7">
        <v>13.7</v>
      </c>
      <c r="D20" s="7">
        <v>107.03124999999997</v>
      </c>
      <c r="E20" s="7">
        <v>17.7</v>
      </c>
      <c r="F20" s="7">
        <v>129.5</v>
      </c>
      <c r="G20" s="7">
        <v>19.600000000000001</v>
      </c>
      <c r="H20" s="7">
        <v>110.5</v>
      </c>
      <c r="I20" s="7">
        <v>22</v>
      </c>
      <c r="J20" s="7">
        <v>112</v>
      </c>
      <c r="K20" s="7">
        <v>25.1</v>
      </c>
      <c r="L20" s="7">
        <v>114.5</v>
      </c>
      <c r="M20" s="327"/>
    </row>
    <row r="21" spans="1:13" ht="35.25" customHeight="1" x14ac:dyDescent="0.25">
      <c r="A21" s="386"/>
      <c r="B21" s="153" t="s">
        <v>552</v>
      </c>
      <c r="C21" s="7">
        <v>38.9</v>
      </c>
      <c r="D21" s="7">
        <v>80.206185567010309</v>
      </c>
      <c r="E21" s="7">
        <v>51.445956454121308</v>
      </c>
      <c r="F21" s="7">
        <v>130.19999999999999</v>
      </c>
      <c r="G21" s="7">
        <v>56.75321917808219</v>
      </c>
      <c r="H21" s="7">
        <v>110.8</v>
      </c>
      <c r="I21" s="7">
        <v>65.402384737678858</v>
      </c>
      <c r="J21" s="7">
        <v>114.9</v>
      </c>
      <c r="K21" s="7">
        <v>75.961950231481495</v>
      </c>
      <c r="L21" s="7">
        <v>116.2</v>
      </c>
      <c r="M21" s="327"/>
    </row>
    <row r="22" spans="1:13" ht="36" customHeight="1" x14ac:dyDescent="0.25">
      <c r="A22" s="386" t="s">
        <v>88</v>
      </c>
      <c r="B22" s="153" t="s">
        <v>68</v>
      </c>
      <c r="C22" s="7">
        <v>4</v>
      </c>
      <c r="D22" s="7">
        <v>250</v>
      </c>
      <c r="E22" s="7">
        <v>5.0999999999999996</v>
      </c>
      <c r="F22" s="7">
        <v>127.3</v>
      </c>
      <c r="G22" s="7">
        <v>5.8</v>
      </c>
      <c r="H22" s="7">
        <v>114.3</v>
      </c>
      <c r="I22" s="7">
        <v>6.5</v>
      </c>
      <c r="J22" s="7">
        <v>112.5</v>
      </c>
      <c r="K22" s="7">
        <v>7.2</v>
      </c>
      <c r="L22" s="7">
        <v>110</v>
      </c>
      <c r="M22" s="327"/>
    </row>
    <row r="23" spans="1:13" ht="31.5" x14ac:dyDescent="0.25">
      <c r="A23" s="386"/>
      <c r="B23" s="153" t="s">
        <v>552</v>
      </c>
      <c r="C23" s="7">
        <v>12.2</v>
      </c>
      <c r="D23" s="7">
        <v>193.65079365079364</v>
      </c>
      <c r="E23" s="7">
        <v>15.962480559875582</v>
      </c>
      <c r="F23" s="7">
        <v>128.9</v>
      </c>
      <c r="G23" s="7">
        <v>17.804931506849318</v>
      </c>
      <c r="H23" s="7">
        <v>112.2</v>
      </c>
      <c r="I23" s="7">
        <v>20.786804451510335</v>
      </c>
      <c r="J23" s="7">
        <v>116.4</v>
      </c>
      <c r="K23" s="7">
        <v>24.13744212962963</v>
      </c>
      <c r="L23" s="7">
        <v>115.9</v>
      </c>
      <c r="M23" s="327"/>
    </row>
    <row r="24" spans="1:13" ht="31.5" x14ac:dyDescent="0.25">
      <c r="A24" s="386" t="s">
        <v>84</v>
      </c>
      <c r="B24" s="153" t="s">
        <v>68</v>
      </c>
      <c r="C24" s="7">
        <v>1</v>
      </c>
      <c r="D24" s="7">
        <v>500</v>
      </c>
      <c r="E24" s="7">
        <v>1.6</v>
      </c>
      <c r="F24" s="7">
        <v>157.1</v>
      </c>
      <c r="G24" s="7">
        <v>2.4</v>
      </c>
      <c r="H24" s="7">
        <v>154.5</v>
      </c>
      <c r="I24" s="7">
        <v>3.5</v>
      </c>
      <c r="J24" s="7">
        <v>142.9</v>
      </c>
      <c r="K24" s="7">
        <v>5.3</v>
      </c>
      <c r="L24" s="7">
        <v>152.9</v>
      </c>
      <c r="M24" s="327"/>
    </row>
    <row r="25" spans="1:13" ht="33.75" customHeight="1" x14ac:dyDescent="0.25">
      <c r="A25" s="386"/>
      <c r="B25" s="153" t="s">
        <v>552</v>
      </c>
      <c r="C25" s="7">
        <v>11</v>
      </c>
      <c r="D25" s="7">
        <v>846.15384615384619</v>
      </c>
      <c r="E25" s="7">
        <v>17.690902021772938</v>
      </c>
      <c r="F25" s="7">
        <v>158.5</v>
      </c>
      <c r="G25" s="7">
        <v>27.719041095890411</v>
      </c>
      <c r="H25" s="7">
        <v>156.9</v>
      </c>
      <c r="I25" s="7">
        <v>41.6750079491256</v>
      </c>
      <c r="J25" s="7">
        <v>150.4</v>
      </c>
      <c r="K25" s="7">
        <v>66.631510416666671</v>
      </c>
      <c r="L25" s="7">
        <v>159.80000000000001</v>
      </c>
      <c r="M25" s="327"/>
    </row>
    <row r="26" spans="1:13" ht="31.5" x14ac:dyDescent="0.25">
      <c r="A26" s="386" t="s">
        <v>82</v>
      </c>
      <c r="B26" s="153" t="s">
        <v>556</v>
      </c>
      <c r="C26" s="7">
        <v>939.9</v>
      </c>
      <c r="D26" s="7">
        <v>68.108695652173907</v>
      </c>
      <c r="E26" s="5">
        <v>1064</v>
      </c>
      <c r="F26" s="7">
        <v>113.2</v>
      </c>
      <c r="G26" s="5">
        <v>1282</v>
      </c>
      <c r="H26" s="7">
        <v>120.5</v>
      </c>
      <c r="I26" s="5">
        <v>1545</v>
      </c>
      <c r="J26" s="7">
        <v>120.5</v>
      </c>
      <c r="K26" s="5">
        <v>1980</v>
      </c>
      <c r="L26" s="7">
        <v>128.19999999999999</v>
      </c>
      <c r="M26" s="327"/>
    </row>
    <row r="27" spans="1:13" ht="35.25" customHeight="1" x14ac:dyDescent="0.25">
      <c r="A27" s="386"/>
      <c r="B27" s="153" t="s">
        <v>552</v>
      </c>
      <c r="C27" s="7">
        <v>34.700000000000003</v>
      </c>
      <c r="D27" s="7">
        <v>78.15315315315317</v>
      </c>
      <c r="E27" s="7">
        <v>40.160381026438564</v>
      </c>
      <c r="F27" s="7">
        <v>113.8</v>
      </c>
      <c r="G27" s="7">
        <v>48.761232876712327</v>
      </c>
      <c r="H27" s="7">
        <v>122</v>
      </c>
      <c r="I27" s="7">
        <v>60.636629570747218</v>
      </c>
      <c r="J27" s="7">
        <v>124.1</v>
      </c>
      <c r="K27" s="7">
        <v>78.598813657407405</v>
      </c>
      <c r="L27" s="7">
        <v>129.6</v>
      </c>
      <c r="M27" s="327"/>
    </row>
    <row r="28" spans="1:13" ht="31.5" x14ac:dyDescent="0.25">
      <c r="A28" s="386" t="s">
        <v>557</v>
      </c>
      <c r="B28" s="153" t="s">
        <v>558</v>
      </c>
      <c r="C28" s="7">
        <v>3606.6</v>
      </c>
      <c r="D28" s="7">
        <v>107.88190601537495</v>
      </c>
      <c r="E28" s="5">
        <v>4012</v>
      </c>
      <c r="F28" s="7">
        <v>111.2</v>
      </c>
      <c r="G28" s="5">
        <v>4420</v>
      </c>
      <c r="H28" s="7">
        <v>110.2</v>
      </c>
      <c r="I28" s="5">
        <v>4976</v>
      </c>
      <c r="J28" s="7">
        <v>112.6</v>
      </c>
      <c r="K28" s="5">
        <v>5560</v>
      </c>
      <c r="L28" s="7">
        <v>111.7</v>
      </c>
      <c r="M28" s="327"/>
    </row>
    <row r="29" spans="1:13" ht="35.25" customHeight="1" x14ac:dyDescent="0.25">
      <c r="A29" s="386"/>
      <c r="B29" s="153" t="s">
        <v>552</v>
      </c>
      <c r="C29" s="7">
        <v>110.4</v>
      </c>
      <c r="D29" s="7">
        <v>103.954802259887</v>
      </c>
      <c r="E29" s="5">
        <v>130.13996889580093</v>
      </c>
      <c r="F29" s="7">
        <v>116</v>
      </c>
      <c r="G29" s="7">
        <v>145.67671232876714</v>
      </c>
      <c r="H29" s="7">
        <v>112.4</v>
      </c>
      <c r="I29" s="7">
        <v>169.33640699523053</v>
      </c>
      <c r="J29" s="7">
        <v>116</v>
      </c>
      <c r="K29" s="7">
        <v>192.69386574074073</v>
      </c>
      <c r="L29" s="7">
        <v>113.8</v>
      </c>
      <c r="M29" s="327"/>
    </row>
    <row r="30" spans="1:13" ht="38.25" customHeight="1" x14ac:dyDescent="0.25">
      <c r="A30" s="58" t="s">
        <v>559</v>
      </c>
      <c r="B30" s="153" t="s">
        <v>552</v>
      </c>
      <c r="C30" s="19">
        <v>1486</v>
      </c>
      <c r="D30" s="18">
        <v>184.5</v>
      </c>
      <c r="E30" s="19">
        <v>1722.3211508553657</v>
      </c>
      <c r="F30" s="18">
        <v>114</v>
      </c>
      <c r="G30" s="7">
        <v>2037.4506849315069</v>
      </c>
      <c r="H30" s="18">
        <v>118.8</v>
      </c>
      <c r="I30" s="7">
        <v>2232.8069952305245</v>
      </c>
      <c r="J30" s="18">
        <v>109.3</v>
      </c>
      <c r="K30" s="7">
        <v>2480.6799768518517</v>
      </c>
      <c r="L30" s="18">
        <v>111.1</v>
      </c>
      <c r="M30" s="327"/>
    </row>
    <row r="31" spans="1:13" ht="36" customHeight="1" x14ac:dyDescent="0.25">
      <c r="A31" s="60" t="s">
        <v>560</v>
      </c>
      <c r="B31" s="153" t="s">
        <v>552</v>
      </c>
      <c r="C31" s="18">
        <v>5880.1</v>
      </c>
      <c r="D31" s="18">
        <v>113.8</v>
      </c>
      <c r="E31" s="5">
        <v>5895</v>
      </c>
      <c r="F31" s="7">
        <v>100.3</v>
      </c>
      <c r="G31" s="5">
        <v>5949</v>
      </c>
      <c r="H31" s="7">
        <v>100.9</v>
      </c>
      <c r="I31" s="5">
        <v>6082</v>
      </c>
      <c r="J31" s="7">
        <v>102.2</v>
      </c>
      <c r="K31" s="5">
        <v>6210</v>
      </c>
      <c r="L31" s="7">
        <v>102.1</v>
      </c>
      <c r="M31" s="327"/>
    </row>
    <row r="32" spans="1:13" ht="31.5" x14ac:dyDescent="0.25">
      <c r="A32" s="386" t="s">
        <v>113</v>
      </c>
      <c r="B32" s="153" t="s">
        <v>68</v>
      </c>
      <c r="C32" s="99">
        <v>1023.6</v>
      </c>
      <c r="D32" s="99">
        <v>102.8</v>
      </c>
      <c r="E32" s="19">
        <v>1077.8507999999999</v>
      </c>
      <c r="F32" s="18">
        <v>105.3</v>
      </c>
      <c r="G32" s="19">
        <v>1138.2104447999998</v>
      </c>
      <c r="H32" s="18">
        <v>105.6</v>
      </c>
      <c r="I32" s="19">
        <v>1206.5030714879997</v>
      </c>
      <c r="J32" s="18">
        <v>106</v>
      </c>
      <c r="K32" s="19">
        <v>1284.9257711347198</v>
      </c>
      <c r="L32" s="18">
        <v>106.5</v>
      </c>
      <c r="M32" s="152"/>
    </row>
    <row r="33" spans="1:13" ht="27" customHeight="1" x14ac:dyDescent="0.25">
      <c r="A33" s="386"/>
      <c r="B33" s="153" t="s">
        <v>552</v>
      </c>
      <c r="C33" s="99">
        <v>288.8</v>
      </c>
      <c r="D33" s="99">
        <v>87.7</v>
      </c>
      <c r="E33" s="19">
        <v>304.68400000000003</v>
      </c>
      <c r="F33" s="18">
        <v>105.5</v>
      </c>
      <c r="G33" s="19">
        <v>322.96504000000004</v>
      </c>
      <c r="H33" s="18">
        <v>106</v>
      </c>
      <c r="I33" s="19">
        <v>345.24962776000007</v>
      </c>
      <c r="J33" s="18">
        <v>106.9</v>
      </c>
      <c r="K33" s="19">
        <v>371.48859946976006</v>
      </c>
      <c r="L33" s="18">
        <v>107.6</v>
      </c>
      <c r="M33" s="152"/>
    </row>
    <row r="34" spans="1:13" ht="31.5" x14ac:dyDescent="0.25">
      <c r="A34" s="386" t="s">
        <v>115</v>
      </c>
      <c r="B34" s="153" t="s">
        <v>68</v>
      </c>
      <c r="C34" s="99">
        <v>56.7</v>
      </c>
      <c r="D34" s="99">
        <v>83.4</v>
      </c>
      <c r="E34" s="18">
        <v>54.6021</v>
      </c>
      <c r="F34" s="18">
        <v>96.3</v>
      </c>
      <c r="G34" s="18">
        <v>50.561544599999998</v>
      </c>
      <c r="H34" s="18">
        <v>92.6</v>
      </c>
      <c r="I34" s="18">
        <v>48.539082815999997</v>
      </c>
      <c r="J34" s="18">
        <v>96</v>
      </c>
      <c r="K34" s="18">
        <v>46.257745923648002</v>
      </c>
      <c r="L34" s="18">
        <v>95.3</v>
      </c>
      <c r="M34" s="152"/>
    </row>
    <row r="35" spans="1:13" ht="39" customHeight="1" x14ac:dyDescent="0.25">
      <c r="A35" s="386"/>
      <c r="B35" s="153" t="s">
        <v>552</v>
      </c>
      <c r="C35" s="99">
        <v>17.2</v>
      </c>
      <c r="D35" s="99">
        <v>69.900000000000006</v>
      </c>
      <c r="E35" s="18">
        <v>16.666800000000002</v>
      </c>
      <c r="F35" s="18">
        <v>96.9</v>
      </c>
      <c r="G35" s="18">
        <v>15.500124000000003</v>
      </c>
      <c r="H35" s="18">
        <v>93</v>
      </c>
      <c r="I35" s="18">
        <v>15.081620652000003</v>
      </c>
      <c r="J35" s="18">
        <v>97.3</v>
      </c>
      <c r="K35" s="18">
        <v>14.644253653092003</v>
      </c>
      <c r="L35" s="18">
        <v>97.1</v>
      </c>
      <c r="M35" s="152"/>
    </row>
    <row r="36" spans="1:13" ht="31.5" x14ac:dyDescent="0.25">
      <c r="A36" s="386" t="s">
        <v>119</v>
      </c>
      <c r="B36" s="153" t="s">
        <v>68</v>
      </c>
      <c r="C36" s="99">
        <v>141.5</v>
      </c>
      <c r="D36" s="99">
        <v>91.2</v>
      </c>
      <c r="E36" s="19">
        <v>153.66899999999998</v>
      </c>
      <c r="F36" s="18">
        <v>108.6</v>
      </c>
      <c r="G36" s="19">
        <v>165.808851</v>
      </c>
      <c r="H36" s="18">
        <v>107.9</v>
      </c>
      <c r="I36" s="19">
        <v>181.394882994</v>
      </c>
      <c r="J36" s="18">
        <v>109.4</v>
      </c>
      <c r="K36" s="19">
        <v>199.5343712934</v>
      </c>
      <c r="L36" s="18">
        <v>110</v>
      </c>
      <c r="M36" s="152"/>
    </row>
    <row r="37" spans="1:13" ht="35.25" customHeight="1" x14ac:dyDescent="0.25">
      <c r="A37" s="386"/>
      <c r="B37" s="153" t="s">
        <v>552</v>
      </c>
      <c r="C37" s="99">
        <v>94.7</v>
      </c>
      <c r="D37" s="99">
        <v>100.4</v>
      </c>
      <c r="E37" s="19">
        <v>103.6965</v>
      </c>
      <c r="F37" s="18">
        <v>109.5</v>
      </c>
      <c r="G37" s="19">
        <v>112.19961300000001</v>
      </c>
      <c r="H37" s="18">
        <v>108.2</v>
      </c>
      <c r="I37" s="19">
        <v>123.980572365</v>
      </c>
      <c r="J37" s="18">
        <v>110.5</v>
      </c>
      <c r="K37" s="19">
        <v>137.37047418042002</v>
      </c>
      <c r="L37" s="18">
        <v>110.8</v>
      </c>
      <c r="M37" s="152"/>
    </row>
    <row r="38" spans="1:13" ht="35.25" customHeight="1" x14ac:dyDescent="0.25">
      <c r="A38" s="386" t="s">
        <v>561</v>
      </c>
      <c r="B38" s="153" t="s">
        <v>68</v>
      </c>
      <c r="C38" s="99">
        <v>899</v>
      </c>
      <c r="D38" s="99">
        <v>114.7</v>
      </c>
      <c r="E38" s="19">
        <v>916.98</v>
      </c>
      <c r="F38" s="18">
        <v>102</v>
      </c>
      <c r="G38" s="19">
        <v>939.90449999999998</v>
      </c>
      <c r="H38" s="18">
        <v>102.5</v>
      </c>
      <c r="I38" s="19">
        <v>971.86125300000003</v>
      </c>
      <c r="J38" s="18">
        <v>103.4</v>
      </c>
      <c r="K38" s="19">
        <v>1008.7919806140001</v>
      </c>
      <c r="L38" s="18">
        <v>103.8</v>
      </c>
      <c r="M38" s="152"/>
    </row>
    <row r="39" spans="1:13" ht="35.25" customHeight="1" x14ac:dyDescent="0.25">
      <c r="A39" s="386"/>
      <c r="B39" s="153" t="s">
        <v>552</v>
      </c>
      <c r="C39" s="99">
        <v>667</v>
      </c>
      <c r="D39" s="99">
        <v>97.8</v>
      </c>
      <c r="E39" s="19">
        <v>681.67400000000009</v>
      </c>
      <c r="F39" s="18">
        <v>102.2</v>
      </c>
      <c r="G39" s="19">
        <v>699.39752400000009</v>
      </c>
      <c r="H39" s="18">
        <v>102.6</v>
      </c>
      <c r="I39" s="19">
        <v>725.27523238800018</v>
      </c>
      <c r="J39" s="18">
        <v>103.7</v>
      </c>
      <c r="K39" s="19">
        <v>760.81371877501226</v>
      </c>
      <c r="L39" s="18">
        <v>104.9</v>
      </c>
      <c r="M39" s="152"/>
    </row>
    <row r="40" spans="1:13" ht="18" x14ac:dyDescent="0.25">
      <c r="A40" s="58" t="s">
        <v>249</v>
      </c>
      <c r="B40" s="275"/>
      <c r="C40" s="99"/>
      <c r="D40" s="99"/>
      <c r="E40" s="19"/>
      <c r="F40" s="18"/>
      <c r="G40" s="19"/>
      <c r="H40" s="18"/>
      <c r="I40" s="19"/>
      <c r="J40" s="18"/>
      <c r="K40" s="19"/>
      <c r="L40" s="18"/>
      <c r="M40" s="152"/>
    </row>
    <row r="41" spans="1:13" ht="31.5" x14ac:dyDescent="0.25">
      <c r="A41" s="386" t="s">
        <v>109</v>
      </c>
      <c r="B41" s="153" t="s">
        <v>68</v>
      </c>
      <c r="C41" s="99">
        <v>348.1</v>
      </c>
      <c r="D41" s="99">
        <v>108.8</v>
      </c>
      <c r="E41" s="19">
        <v>376.64420000000007</v>
      </c>
      <c r="F41" s="18">
        <v>108.2</v>
      </c>
      <c r="G41" s="19">
        <v>398.11291940000012</v>
      </c>
      <c r="H41" s="18">
        <v>105.7</v>
      </c>
      <c r="I41" s="19">
        <v>409.65819406260016</v>
      </c>
      <c r="J41" s="18">
        <v>102.9</v>
      </c>
      <c r="K41" s="19">
        <v>415.80306697353916</v>
      </c>
      <c r="L41" s="18">
        <v>101.5</v>
      </c>
      <c r="M41" s="152"/>
    </row>
    <row r="42" spans="1:13" ht="31.5" x14ac:dyDescent="0.25">
      <c r="A42" s="386"/>
      <c r="B42" s="153" t="s">
        <v>552</v>
      </c>
      <c r="C42" s="99">
        <v>228.1</v>
      </c>
      <c r="D42" s="99">
        <v>92.8</v>
      </c>
      <c r="E42" s="19">
        <v>244.5232</v>
      </c>
      <c r="F42" s="18">
        <v>107.2</v>
      </c>
      <c r="G42" s="19">
        <v>258.9500688</v>
      </c>
      <c r="H42" s="18">
        <v>105.9</v>
      </c>
      <c r="I42" s="19">
        <v>271.89757223999999</v>
      </c>
      <c r="J42" s="18">
        <v>105</v>
      </c>
      <c r="K42" s="19">
        <v>281.95778241288002</v>
      </c>
      <c r="L42" s="18">
        <v>103.7</v>
      </c>
      <c r="M42" s="152"/>
    </row>
    <row r="43" spans="1:13" ht="31.5" x14ac:dyDescent="0.25">
      <c r="A43" s="386" t="s">
        <v>111</v>
      </c>
      <c r="B43" s="153" t="s">
        <v>68</v>
      </c>
      <c r="C43" s="99">
        <v>436.5</v>
      </c>
      <c r="D43" s="99">
        <v>112.7</v>
      </c>
      <c r="E43" s="19">
        <v>447.84899999999993</v>
      </c>
      <c r="F43" s="18">
        <v>102.6</v>
      </c>
      <c r="G43" s="19">
        <v>464.41941299999991</v>
      </c>
      <c r="H43" s="18">
        <v>103.7</v>
      </c>
      <c r="I43" s="19">
        <v>483.92502834599986</v>
      </c>
      <c r="J43" s="18">
        <v>104.2</v>
      </c>
      <c r="K43" s="19">
        <v>497.47492913968779</v>
      </c>
      <c r="L43" s="18">
        <v>102.8</v>
      </c>
      <c r="M43" s="152"/>
    </row>
    <row r="44" spans="1:13" ht="27.75" customHeight="1" x14ac:dyDescent="0.25">
      <c r="A44" s="386"/>
      <c r="B44" s="153" t="s">
        <v>552</v>
      </c>
      <c r="C44" s="99">
        <v>327.7</v>
      </c>
      <c r="D44" s="99">
        <v>96.6</v>
      </c>
      <c r="E44" s="19">
        <v>337.53100000000001</v>
      </c>
      <c r="F44" s="18">
        <v>103</v>
      </c>
      <c r="G44" s="19">
        <v>352.71989500000001</v>
      </c>
      <c r="H44" s="18">
        <v>104.5</v>
      </c>
      <c r="I44" s="19">
        <v>371.76676933000005</v>
      </c>
      <c r="J44" s="18">
        <v>105.4</v>
      </c>
      <c r="K44" s="19">
        <v>385.89390656454003</v>
      </c>
      <c r="L44" s="18">
        <v>103.8</v>
      </c>
      <c r="M44" s="152"/>
    </row>
    <row r="45" spans="1:13" ht="28.5" customHeight="1" x14ac:dyDescent="0.25">
      <c r="A45" s="386" t="s">
        <v>121</v>
      </c>
      <c r="B45" s="153" t="s">
        <v>68</v>
      </c>
      <c r="C45" s="99">
        <v>175.7</v>
      </c>
      <c r="D45" s="99">
        <v>88.2</v>
      </c>
      <c r="E45" s="19">
        <v>190.28309999999999</v>
      </c>
      <c r="F45" s="18">
        <v>108.3</v>
      </c>
      <c r="G45" s="19">
        <v>207.0280128</v>
      </c>
      <c r="H45" s="18">
        <v>108.8</v>
      </c>
      <c r="I45" s="19">
        <v>226.0745899776</v>
      </c>
      <c r="J45" s="18">
        <v>109.2</v>
      </c>
      <c r="K45" s="19">
        <v>250.0384965152256</v>
      </c>
      <c r="L45" s="18">
        <v>110.6</v>
      </c>
      <c r="M45" s="152"/>
    </row>
    <row r="46" spans="1:13" ht="28.5" customHeight="1" x14ac:dyDescent="0.25">
      <c r="A46" s="386"/>
      <c r="B46" s="153" t="s">
        <v>552</v>
      </c>
      <c r="C46" s="99">
        <v>63</v>
      </c>
      <c r="D46" s="99">
        <v>78.400000000000006</v>
      </c>
      <c r="E46" s="18">
        <v>68.922000000000011</v>
      </c>
      <c r="F46" s="18">
        <v>109.4</v>
      </c>
      <c r="G46" s="18">
        <v>75.607434000000012</v>
      </c>
      <c r="H46" s="18">
        <v>109.7</v>
      </c>
      <c r="I46" s="18">
        <v>83.016962532000022</v>
      </c>
      <c r="J46" s="18">
        <v>109.8</v>
      </c>
      <c r="K46" s="18">
        <v>93.311065885968034</v>
      </c>
      <c r="L46" s="18">
        <v>112.4</v>
      </c>
      <c r="M46" s="152"/>
    </row>
    <row r="47" spans="1:13" ht="31.5" x14ac:dyDescent="0.25">
      <c r="A47" s="361" t="s">
        <v>562</v>
      </c>
      <c r="B47" s="153" t="s">
        <v>68</v>
      </c>
      <c r="C47" s="145">
        <v>106.4</v>
      </c>
      <c r="D47" s="18">
        <f>106.4/76.2*100</f>
        <v>139.63254593175853</v>
      </c>
      <c r="E47" s="19">
        <f>106.4*97.9/100</f>
        <v>104.16560000000001</v>
      </c>
      <c r="F47" s="18">
        <f>E47/C47*100</f>
        <v>97.9</v>
      </c>
      <c r="G47" s="19">
        <f>E47*96.45621/100</f>
        <v>100.47418988376</v>
      </c>
      <c r="H47" s="18">
        <f>G47/E47*100</f>
        <v>96.456209999999999</v>
      </c>
      <c r="I47" s="19">
        <f>G47*97.2/100</f>
        <v>97.660912567014734</v>
      </c>
      <c r="J47" s="18">
        <f>I47/G47*100</f>
        <v>97.2</v>
      </c>
      <c r="K47" s="19">
        <f>I47*98.41/100</f>
        <v>96.108104057199199</v>
      </c>
      <c r="L47" s="18">
        <f>K47/I47*100</f>
        <v>98.41</v>
      </c>
      <c r="M47" s="152"/>
    </row>
    <row r="48" spans="1:13" ht="31.5" x14ac:dyDescent="0.25">
      <c r="A48" s="361"/>
      <c r="B48" s="153" t="s">
        <v>552</v>
      </c>
      <c r="C48" s="145">
        <v>96.1</v>
      </c>
      <c r="D48" s="58">
        <f>C48/92.4*100</f>
        <v>104.00432900432899</v>
      </c>
      <c r="E48" s="18">
        <f>C48*98/100</f>
        <v>94.177999999999997</v>
      </c>
      <c r="F48" s="18">
        <f>E48/C48*100</f>
        <v>98</v>
      </c>
      <c r="G48" s="19">
        <f>E48*97.45621/100</f>
        <v>91.782309453799996</v>
      </c>
      <c r="H48" s="18">
        <f>G48/E48*100</f>
        <v>97.456209999999999</v>
      </c>
      <c r="I48" s="18">
        <f>G48*96.15/100</f>
        <v>88.248690539828701</v>
      </c>
      <c r="J48" s="18">
        <f>I48/G48*100</f>
        <v>96.15</v>
      </c>
      <c r="K48" s="18">
        <f>I48*99.7/100</f>
        <v>87.983944468209216</v>
      </c>
      <c r="L48" s="18">
        <f>K48/I48*100</f>
        <v>99.7</v>
      </c>
      <c r="M48" s="152"/>
    </row>
    <row r="49" spans="1:13" ht="31.5" customHeight="1" x14ac:dyDescent="0.25">
      <c r="A49" s="417" t="s">
        <v>93</v>
      </c>
      <c r="B49" s="153" t="s">
        <v>68</v>
      </c>
      <c r="C49" s="146">
        <v>12.2</v>
      </c>
      <c r="D49" s="146">
        <f>C49/11.3*100</f>
        <v>107.9646017699115</v>
      </c>
      <c r="E49" s="18">
        <f>C49*104.2/100</f>
        <v>12.712400000000001</v>
      </c>
      <c r="F49" s="18">
        <f t="shared" ref="F49:F50" si="0">E49/C49*100</f>
        <v>104.2</v>
      </c>
      <c r="G49" s="18">
        <f>E49*105.2/100</f>
        <v>13.373444800000001</v>
      </c>
      <c r="H49" s="18">
        <f t="shared" ref="H49:H50" si="1">G49/E49*100</f>
        <v>105.2</v>
      </c>
      <c r="I49" s="18">
        <f>G49*104.8/100</f>
        <v>14.015370150400001</v>
      </c>
      <c r="J49" s="18">
        <f t="shared" ref="J49:J50" si="2">I49/G49*100</f>
        <v>104.80000000000001</v>
      </c>
      <c r="K49" s="18">
        <f>I49*105.01/100</f>
        <v>14.71754019493504</v>
      </c>
      <c r="L49" s="18">
        <f t="shared" ref="L49:L50" si="3">K49/I49*100</f>
        <v>105.01</v>
      </c>
      <c r="M49" s="152"/>
    </row>
    <row r="50" spans="1:13" ht="31.5" x14ac:dyDescent="0.25">
      <c r="A50" s="417"/>
      <c r="B50" s="153" t="s">
        <v>552</v>
      </c>
      <c r="C50" s="145">
        <v>46.3</v>
      </c>
      <c r="D50" s="145">
        <f>C50/42.8*100</f>
        <v>108.17757009345794</v>
      </c>
      <c r="E50" s="18">
        <f>C50*104.9/100</f>
        <v>48.5687</v>
      </c>
      <c r="F50" s="18">
        <f t="shared" si="0"/>
        <v>104.90000000000002</v>
      </c>
      <c r="G50" s="18">
        <f>E50*104.7/100</f>
        <v>50.851428900000002</v>
      </c>
      <c r="H50" s="18">
        <f t="shared" si="1"/>
        <v>104.70000000000002</v>
      </c>
      <c r="I50" s="18">
        <f>G50*104.4/100</f>
        <v>53.088891771600004</v>
      </c>
      <c r="J50" s="18">
        <f t="shared" si="2"/>
        <v>104.4</v>
      </c>
      <c r="K50" s="18">
        <f>I50*105.2/100</f>
        <v>55.849514143723212</v>
      </c>
      <c r="L50" s="18">
        <f t="shared" si="3"/>
        <v>105.2</v>
      </c>
      <c r="M50" s="152"/>
    </row>
    <row r="51" spans="1:13" ht="31.5" x14ac:dyDescent="0.25">
      <c r="A51" s="386" t="s">
        <v>160</v>
      </c>
      <c r="B51" s="153" t="s">
        <v>68</v>
      </c>
      <c r="C51" s="99">
        <v>11.3</v>
      </c>
      <c r="D51" s="99">
        <v>100.9</v>
      </c>
      <c r="E51" s="18">
        <v>7.7744000000000009</v>
      </c>
      <c r="F51" s="18">
        <v>68.8</v>
      </c>
      <c r="G51" s="18">
        <v>5.2865920000000006</v>
      </c>
      <c r="H51" s="18">
        <v>68</v>
      </c>
      <c r="I51" s="18">
        <v>3.5261568640000007</v>
      </c>
      <c r="J51" s="18">
        <v>66.7</v>
      </c>
      <c r="K51" s="18">
        <v>2.3061065890560006</v>
      </c>
      <c r="L51" s="18">
        <v>65.400000000000006</v>
      </c>
      <c r="M51" s="152"/>
    </row>
    <row r="52" spans="1:13" ht="31.5" x14ac:dyDescent="0.25">
      <c r="A52" s="386"/>
      <c r="B52" s="153" t="s">
        <v>552</v>
      </c>
      <c r="C52" s="99">
        <v>23.7</v>
      </c>
      <c r="D52" s="99">
        <v>106.3</v>
      </c>
      <c r="E52" s="18">
        <v>16.779599999999999</v>
      </c>
      <c r="F52" s="18">
        <v>70.8</v>
      </c>
      <c r="G52" s="18">
        <v>11.5611444</v>
      </c>
      <c r="H52" s="18">
        <v>68.900000000000006</v>
      </c>
      <c r="I52" s="18">
        <v>8.3240239680000006</v>
      </c>
      <c r="J52" s="18">
        <v>72</v>
      </c>
      <c r="K52" s="18">
        <v>5.8684368974400005</v>
      </c>
      <c r="L52" s="18">
        <v>70.5</v>
      </c>
      <c r="M52" s="152"/>
    </row>
    <row r="53" spans="1:13" ht="31.5" x14ac:dyDescent="0.25">
      <c r="A53" s="386" t="s">
        <v>563</v>
      </c>
      <c r="B53" s="153" t="s">
        <v>68</v>
      </c>
      <c r="C53" s="99">
        <v>583.9</v>
      </c>
      <c r="D53" s="99">
        <v>105.1</v>
      </c>
      <c r="E53" s="19">
        <v>602.58479999999997</v>
      </c>
      <c r="F53" s="18">
        <v>103.2</v>
      </c>
      <c r="G53" s="19">
        <v>613.43132639999999</v>
      </c>
      <c r="H53" s="18">
        <v>101.8</v>
      </c>
      <c r="I53" s="19">
        <v>620.79250231679998</v>
      </c>
      <c r="J53" s="18">
        <v>101.2</v>
      </c>
      <c r="K53" s="19">
        <v>629.4835973492352</v>
      </c>
      <c r="L53" s="18">
        <v>101.4</v>
      </c>
      <c r="M53" s="152"/>
    </row>
    <row r="54" spans="1:13" ht="31.5" x14ac:dyDescent="0.25">
      <c r="A54" s="386"/>
      <c r="B54" s="153" t="s">
        <v>552</v>
      </c>
      <c r="C54" s="99">
        <v>247.2</v>
      </c>
      <c r="D54" s="100">
        <v>114.97</v>
      </c>
      <c r="E54" s="19">
        <v>255.1104</v>
      </c>
      <c r="F54" s="18">
        <v>103.2</v>
      </c>
      <c r="G54" s="19">
        <v>259.70238719999998</v>
      </c>
      <c r="H54" s="18">
        <v>101.8</v>
      </c>
      <c r="I54" s="19">
        <v>262.81881584640001</v>
      </c>
      <c r="J54" s="18">
        <v>101.2</v>
      </c>
      <c r="K54" s="19">
        <v>266.76109808409603</v>
      </c>
      <c r="L54" s="18">
        <v>101.5</v>
      </c>
      <c r="M54" s="152"/>
    </row>
    <row r="55" spans="1:13" ht="31.5" x14ac:dyDescent="0.25">
      <c r="A55" s="386" t="s">
        <v>564</v>
      </c>
      <c r="B55" s="153" t="s">
        <v>68</v>
      </c>
      <c r="C55" s="99">
        <v>2.8</v>
      </c>
      <c r="D55" s="99">
        <v>127.3</v>
      </c>
      <c r="E55" s="18">
        <v>2.6347999999999998</v>
      </c>
      <c r="F55" s="18">
        <v>94.1</v>
      </c>
      <c r="G55" s="18">
        <v>2.4714423999999995</v>
      </c>
      <c r="H55" s="18">
        <v>93.8</v>
      </c>
      <c r="I55" s="18">
        <v>2.1427405607999996</v>
      </c>
      <c r="J55" s="18">
        <v>86.7</v>
      </c>
      <c r="K55" s="18">
        <v>1.8256149578015999</v>
      </c>
      <c r="L55" s="18">
        <v>85.2</v>
      </c>
      <c r="M55" s="152"/>
    </row>
    <row r="56" spans="1:13" ht="31.5" x14ac:dyDescent="0.25">
      <c r="A56" s="386"/>
      <c r="B56" s="153" t="s">
        <v>552</v>
      </c>
      <c r="C56" s="99">
        <v>8.4</v>
      </c>
      <c r="D56" s="99">
        <v>123.5</v>
      </c>
      <c r="E56" s="18">
        <v>7.9380000000000006</v>
      </c>
      <c r="F56" s="18">
        <v>94.5</v>
      </c>
      <c r="G56" s="18">
        <v>7.5331620000000008</v>
      </c>
      <c r="H56" s="18">
        <v>94.9</v>
      </c>
      <c r="I56" s="18">
        <v>6.787378962</v>
      </c>
      <c r="J56" s="18">
        <v>90.1</v>
      </c>
      <c r="K56" s="18">
        <v>6.0882789289139998</v>
      </c>
      <c r="L56" s="18">
        <v>89.7</v>
      </c>
      <c r="M56" s="152"/>
    </row>
    <row r="57" spans="1:13" ht="31.5" x14ac:dyDescent="0.25">
      <c r="A57" s="386" t="s">
        <v>565</v>
      </c>
      <c r="B57" s="153" t="s">
        <v>68</v>
      </c>
      <c r="C57" s="99">
        <v>11</v>
      </c>
      <c r="D57" s="99">
        <v>113.4</v>
      </c>
      <c r="E57" s="18">
        <v>10.879000000000001</v>
      </c>
      <c r="F57" s="18">
        <v>98.9</v>
      </c>
      <c r="G57" s="18">
        <v>10.160986000000001</v>
      </c>
      <c r="H57" s="18">
        <v>93.4</v>
      </c>
      <c r="I57" s="18">
        <v>9.4395559940000027</v>
      </c>
      <c r="J57" s="18">
        <v>92.9</v>
      </c>
      <c r="K57" s="18">
        <v>8.5711168425520015</v>
      </c>
      <c r="L57" s="18">
        <v>90.8</v>
      </c>
      <c r="M57" s="152"/>
    </row>
    <row r="58" spans="1:13" ht="31.5" x14ac:dyDescent="0.25">
      <c r="A58" s="386"/>
      <c r="B58" s="153" t="s">
        <v>552</v>
      </c>
      <c r="C58" s="99">
        <v>23.7</v>
      </c>
      <c r="D58" s="99">
        <v>122.2</v>
      </c>
      <c r="E58" s="18">
        <v>23.984400000000001</v>
      </c>
      <c r="F58" s="18">
        <v>101.2</v>
      </c>
      <c r="G58" s="18">
        <v>22.425414</v>
      </c>
      <c r="H58" s="18">
        <v>93.5</v>
      </c>
      <c r="I58" s="18">
        <v>21.147165401999999</v>
      </c>
      <c r="J58" s="18">
        <v>94.3</v>
      </c>
      <c r="K58" s="18">
        <v>19.793746816271998</v>
      </c>
      <c r="L58" s="18">
        <v>93.6</v>
      </c>
      <c r="M58" s="152"/>
    </row>
    <row r="59" spans="1:13" ht="31.5" x14ac:dyDescent="0.25">
      <c r="A59" s="389" t="s">
        <v>100</v>
      </c>
      <c r="B59" s="153" t="s">
        <v>68</v>
      </c>
      <c r="C59" s="99">
        <v>123.1</v>
      </c>
      <c r="D59" s="99">
        <v>106.8</v>
      </c>
      <c r="E59" s="19">
        <v>148.45859999999999</v>
      </c>
      <c r="F59" s="18">
        <v>120.6</v>
      </c>
      <c r="G59" s="19">
        <v>183.346371</v>
      </c>
      <c r="H59" s="18">
        <v>123.5</v>
      </c>
      <c r="I59" s="19">
        <v>238.71697504199997</v>
      </c>
      <c r="J59" s="18">
        <v>130.19999999999999</v>
      </c>
      <c r="K59" s="19">
        <v>299.58980367770999</v>
      </c>
      <c r="L59" s="18">
        <v>125.5</v>
      </c>
      <c r="M59" s="152"/>
    </row>
    <row r="60" spans="1:13" ht="31.5" x14ac:dyDescent="0.25">
      <c r="A60" s="389"/>
      <c r="B60" s="153" t="s">
        <v>57</v>
      </c>
      <c r="C60" s="99">
        <v>76.900000000000006</v>
      </c>
      <c r="D60" s="99">
        <v>109.4</v>
      </c>
      <c r="E60" s="19">
        <v>93.510400000000004</v>
      </c>
      <c r="F60" s="18">
        <v>121.6</v>
      </c>
      <c r="G60" s="19">
        <v>116.23342720000001</v>
      </c>
      <c r="H60" s="18">
        <v>124.3</v>
      </c>
      <c r="I60" s="19">
        <v>152.73072334080001</v>
      </c>
      <c r="J60" s="18">
        <v>131.4</v>
      </c>
      <c r="K60" s="19">
        <v>193.05163430277125</v>
      </c>
      <c r="L60" s="18">
        <v>126.4</v>
      </c>
      <c r="M60" s="152"/>
    </row>
    <row r="61" spans="1:13" ht="47.25" x14ac:dyDescent="0.25">
      <c r="A61" s="389" t="s">
        <v>566</v>
      </c>
      <c r="B61" s="153" t="s">
        <v>567</v>
      </c>
      <c r="C61" s="101">
        <v>219.8</v>
      </c>
      <c r="D61" s="101">
        <v>113.6</v>
      </c>
      <c r="E61" s="19">
        <v>261.12240000000003</v>
      </c>
      <c r="F61" s="18">
        <v>118.8</v>
      </c>
      <c r="G61" s="19">
        <v>284.36229360000004</v>
      </c>
      <c r="H61" s="18">
        <v>108.9</v>
      </c>
      <c r="I61" s="19">
        <v>317.06395736400003</v>
      </c>
      <c r="J61" s="18">
        <v>111.5</v>
      </c>
      <c r="K61" s="19">
        <v>355.11163224768001</v>
      </c>
      <c r="L61" s="18">
        <v>112</v>
      </c>
      <c r="M61" s="152"/>
    </row>
    <row r="62" spans="1:13" ht="31.5" x14ac:dyDescent="0.25">
      <c r="A62" s="389"/>
      <c r="B62" s="153" t="s">
        <v>552</v>
      </c>
      <c r="C62" s="99">
        <v>27.8</v>
      </c>
      <c r="D62" s="99">
        <v>113.5</v>
      </c>
      <c r="E62" s="18">
        <v>34.055</v>
      </c>
      <c r="F62" s="18">
        <v>122.5</v>
      </c>
      <c r="G62" s="18">
        <v>37.119949999999996</v>
      </c>
      <c r="H62" s="18">
        <v>109</v>
      </c>
      <c r="I62" s="18">
        <v>42.725062449999996</v>
      </c>
      <c r="J62" s="18">
        <v>115.1</v>
      </c>
      <c r="K62" s="18">
        <v>49.048371692599993</v>
      </c>
      <c r="L62" s="18">
        <v>114.8</v>
      </c>
      <c r="M62" s="152"/>
    </row>
    <row r="63" spans="1:13" ht="31.5" x14ac:dyDescent="0.25">
      <c r="A63" s="389" t="s">
        <v>102</v>
      </c>
      <c r="B63" s="153" t="s">
        <v>68</v>
      </c>
      <c r="C63" s="99">
        <v>411</v>
      </c>
      <c r="D63" s="99">
        <v>103.6</v>
      </c>
      <c r="E63" s="19">
        <v>425.79599999999999</v>
      </c>
      <c r="F63" s="18">
        <v>103.6</v>
      </c>
      <c r="G63" s="19">
        <v>432.60873599999996</v>
      </c>
      <c r="H63" s="18">
        <v>101.6</v>
      </c>
      <c r="I63" s="19">
        <v>448.18265049599989</v>
      </c>
      <c r="J63" s="18">
        <v>103.6</v>
      </c>
      <c r="K63" s="19">
        <v>465.2135912148479</v>
      </c>
      <c r="L63" s="18">
        <v>103.8</v>
      </c>
      <c r="M63" s="152"/>
    </row>
    <row r="64" spans="1:13" ht="31.5" x14ac:dyDescent="0.25">
      <c r="A64" s="389"/>
      <c r="B64" s="153" t="s">
        <v>552</v>
      </c>
      <c r="C64" s="99">
        <v>182.2</v>
      </c>
      <c r="D64" s="99">
        <v>92.1</v>
      </c>
      <c r="E64" s="19">
        <v>189.30579999999998</v>
      </c>
      <c r="F64" s="18">
        <v>103.9</v>
      </c>
      <c r="G64" s="19">
        <v>194.79566819999999</v>
      </c>
      <c r="H64" s="18">
        <v>102.9</v>
      </c>
      <c r="I64" s="19">
        <v>210.18452598780001</v>
      </c>
      <c r="J64" s="18">
        <v>107.9</v>
      </c>
      <c r="K64" s="19">
        <v>226.15854996287283</v>
      </c>
      <c r="L64" s="18">
        <v>107.6</v>
      </c>
      <c r="M64" s="152"/>
    </row>
    <row r="65" spans="1:13" ht="31.5" x14ac:dyDescent="0.25">
      <c r="A65" s="58" t="s">
        <v>559</v>
      </c>
      <c r="B65" s="153" t="s">
        <v>57</v>
      </c>
      <c r="C65" s="99">
        <f>C36-C38-C40-C42-C44-C50-C52-C54-C56-C58-C60-C62-C64</f>
        <v>-1949.5000000000002</v>
      </c>
      <c r="D65" s="99">
        <v>127.3</v>
      </c>
      <c r="E65" s="99">
        <f t="shared" ref="E65:K65" si="4">E36-E38-E40-E42-E44-E50-E52-E54-E56-E58-E60-E62-E64</f>
        <v>-2014.6175000000003</v>
      </c>
      <c r="F65" s="100">
        <f>E65/C65*100</f>
        <v>103.34021543985639</v>
      </c>
      <c r="G65" s="99">
        <f t="shared" si="4"/>
        <v>-2085.9881946999999</v>
      </c>
      <c r="H65" s="99">
        <f>G65/E65*100</f>
        <v>103.54264244701537</v>
      </c>
      <c r="I65" s="99">
        <f t="shared" si="4"/>
        <v>-2191.9372993045999</v>
      </c>
      <c r="J65" s="100">
        <f>I65/G65*100</f>
        <v>105.07908457362278</v>
      </c>
      <c r="K65" s="99">
        <f t="shared" si="4"/>
        <v>-2299.7289291267089</v>
      </c>
      <c r="L65" s="100">
        <f>K65/I65*100</f>
        <v>104.91764202636207</v>
      </c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37">
    <mergeCell ref="A59:A60"/>
    <mergeCell ref="A61:A62"/>
    <mergeCell ref="A63:A64"/>
    <mergeCell ref="A47:A48"/>
    <mergeCell ref="A49:A50"/>
    <mergeCell ref="A51:A52"/>
    <mergeCell ref="A53:A54"/>
    <mergeCell ref="A55:A56"/>
    <mergeCell ref="A57:A58"/>
    <mergeCell ref="A45:A46"/>
    <mergeCell ref="A20:A21"/>
    <mergeCell ref="A22:A23"/>
    <mergeCell ref="A24:A25"/>
    <mergeCell ref="A26:A27"/>
    <mergeCell ref="A28:A29"/>
    <mergeCell ref="A32:A33"/>
    <mergeCell ref="A34:A35"/>
    <mergeCell ref="A36:A37"/>
    <mergeCell ref="A38:A39"/>
    <mergeCell ref="A41:A42"/>
    <mergeCell ref="A43:A44"/>
    <mergeCell ref="A18:A19"/>
    <mergeCell ref="A1:L1"/>
    <mergeCell ref="A2:A4"/>
    <mergeCell ref="B2:B4"/>
    <mergeCell ref="C2:D3"/>
    <mergeCell ref="E2:F3"/>
    <mergeCell ref="G2:H2"/>
    <mergeCell ref="I2:L2"/>
    <mergeCell ref="G3:H3"/>
    <mergeCell ref="I3:J3"/>
    <mergeCell ref="K3:L3"/>
    <mergeCell ref="A7:A8"/>
    <mergeCell ref="A9:A10"/>
    <mergeCell ref="A11:A12"/>
    <mergeCell ref="A13:A14"/>
    <mergeCell ref="A16:A17"/>
  </mergeCells>
  <pageMargins left="0.43307086614173229" right="0.19685039370078741" top="0.35433070866141736" bottom="0.35433070866141736" header="0" footer="0"/>
  <pageSetup paperSize="9" scale="105" firstPageNumber="113" orientation="landscape" useFirstPageNumber="1" r:id="rId1"/>
  <headerFooter>
    <oddFooter>&amp;C&amp;P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90" zoomScaleNormal="100" zoomScaleSheetLayoutView="90" workbookViewId="0">
      <selection activeCell="F6" sqref="F6"/>
    </sheetView>
  </sheetViews>
  <sheetFormatPr defaultRowHeight="15" x14ac:dyDescent="0.25"/>
  <cols>
    <col min="1" max="1" width="41" customWidth="1"/>
    <col min="2" max="2" width="8.85546875" customWidth="1"/>
    <col min="3" max="3" width="8.28515625" customWidth="1"/>
    <col min="4" max="4" width="8.85546875" customWidth="1"/>
    <col min="5" max="5" width="8.42578125" customWidth="1"/>
    <col min="6" max="6" width="8.85546875" customWidth="1"/>
    <col min="7" max="7" width="9" customWidth="1"/>
    <col min="8" max="8" width="8.85546875" customWidth="1"/>
    <col min="9" max="9" width="8.5703125" customWidth="1"/>
    <col min="10" max="10" width="8.85546875" customWidth="1"/>
    <col min="11" max="11" width="8.42578125" customWidth="1"/>
  </cols>
  <sheetData>
    <row r="1" spans="1:13" ht="57" customHeight="1" x14ac:dyDescent="0.3">
      <c r="A1" s="394" t="s">
        <v>902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45"/>
      <c r="M1" s="346"/>
    </row>
    <row r="2" spans="1:13" ht="26.25" customHeight="1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37"/>
      <c r="M2" s="349"/>
    </row>
    <row r="3" spans="1:13" ht="27" customHeight="1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37"/>
      <c r="M3" s="349"/>
    </row>
    <row r="4" spans="1:13" ht="26.25" customHeight="1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295"/>
      <c r="M4" s="327"/>
    </row>
    <row r="5" spans="1:13" ht="74.25" customHeight="1" x14ac:dyDescent="0.25">
      <c r="A5" s="86" t="s">
        <v>568</v>
      </c>
      <c r="B5" s="155">
        <v>19859</v>
      </c>
      <c r="C5" s="259">
        <v>1.2198777603734758</v>
      </c>
      <c r="D5" s="155">
        <v>21499</v>
      </c>
      <c r="E5" s="260">
        <v>1.0825822045420213</v>
      </c>
      <c r="F5" s="155">
        <v>26742</v>
      </c>
      <c r="G5" s="260">
        <v>1.2438718079910693</v>
      </c>
      <c r="H5" s="261">
        <v>31293</v>
      </c>
      <c r="I5" s="260">
        <v>1.1701817365941216</v>
      </c>
      <c r="J5" s="155">
        <v>36005</v>
      </c>
      <c r="K5" s="260">
        <v>1.1505768063145112</v>
      </c>
      <c r="L5" s="295"/>
      <c r="M5" s="327"/>
    </row>
    <row r="6" spans="1:13" ht="18" x14ac:dyDescent="0.25">
      <c r="A6" s="58" t="s">
        <v>249</v>
      </c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95"/>
      <c r="M6" s="327"/>
    </row>
    <row r="7" spans="1:13" ht="18" x14ac:dyDescent="0.25">
      <c r="A7" s="58" t="s">
        <v>569</v>
      </c>
      <c r="B7" s="262">
        <v>7923</v>
      </c>
      <c r="C7" s="263">
        <v>1.1760602057326071</v>
      </c>
      <c r="D7" s="262">
        <v>6042</v>
      </c>
      <c r="E7" s="260">
        <v>0.76258992805755399</v>
      </c>
      <c r="F7" s="262">
        <v>6882</v>
      </c>
      <c r="G7" s="260">
        <v>1.1390268123138034</v>
      </c>
      <c r="H7" s="262">
        <v>7866</v>
      </c>
      <c r="I7" s="260">
        <v>1.1429816913687882</v>
      </c>
      <c r="J7" s="262">
        <v>8818</v>
      </c>
      <c r="K7" s="260">
        <v>1.1210272056953978</v>
      </c>
      <c r="L7" s="295"/>
      <c r="M7" s="327"/>
    </row>
    <row r="8" spans="1:13" ht="18" x14ac:dyDescent="0.25">
      <c r="A8" s="58" t="s">
        <v>570</v>
      </c>
      <c r="B8" s="262">
        <v>5519</v>
      </c>
      <c r="C8" s="263">
        <v>1.1762574595055413</v>
      </c>
      <c r="D8" s="262">
        <v>6800</v>
      </c>
      <c r="E8" s="260">
        <v>1.2321072658090233</v>
      </c>
      <c r="F8" s="262">
        <v>7900</v>
      </c>
      <c r="G8" s="260">
        <v>1.161764705882353</v>
      </c>
      <c r="H8" s="262">
        <v>8850</v>
      </c>
      <c r="I8" s="260">
        <v>1.120253164556962</v>
      </c>
      <c r="J8" s="262">
        <v>9730</v>
      </c>
      <c r="K8" s="260">
        <v>1.0994350282485876</v>
      </c>
      <c r="L8" s="295"/>
      <c r="M8" s="327"/>
    </row>
    <row r="9" spans="1:13" ht="18" x14ac:dyDescent="0.25">
      <c r="A9" s="17" t="s">
        <v>571</v>
      </c>
      <c r="B9" s="262">
        <v>6417</v>
      </c>
      <c r="C9" s="263">
        <v>1.3229291221704531</v>
      </c>
      <c r="D9" s="262">
        <v>8657</v>
      </c>
      <c r="E9" s="260">
        <v>1.349072775440237</v>
      </c>
      <c r="F9" s="262">
        <v>11960</v>
      </c>
      <c r="G9" s="260">
        <v>1.3815409495206192</v>
      </c>
      <c r="H9" s="262">
        <v>14577</v>
      </c>
      <c r="I9" s="260">
        <v>1.2188127090301004</v>
      </c>
      <c r="J9" s="262">
        <v>17457</v>
      </c>
      <c r="K9" s="260">
        <v>1.1975715167729986</v>
      </c>
      <c r="L9" s="295"/>
      <c r="M9" s="327"/>
    </row>
    <row r="10" spans="1:13" ht="57" customHeight="1" x14ac:dyDescent="0.25">
      <c r="A10" s="86" t="s">
        <v>572</v>
      </c>
      <c r="B10" s="264">
        <v>2690</v>
      </c>
      <c r="C10" s="264">
        <v>1.072183028418829</v>
      </c>
      <c r="D10" s="264">
        <v>3222</v>
      </c>
      <c r="E10" s="260">
        <v>1.1977695167286246</v>
      </c>
      <c r="F10" s="264">
        <v>3790</v>
      </c>
      <c r="G10" s="260">
        <v>1.1762880198634389</v>
      </c>
      <c r="H10" s="264">
        <v>4077</v>
      </c>
      <c r="I10" s="260">
        <v>1.0757255936675463</v>
      </c>
      <c r="J10" s="264">
        <v>4428</v>
      </c>
      <c r="K10" s="260">
        <v>1.0860927152317881</v>
      </c>
      <c r="L10" s="295"/>
      <c r="M10" s="327"/>
    </row>
    <row r="11" spans="1:13" ht="18" x14ac:dyDescent="0.25">
      <c r="A11" s="58" t="s">
        <v>573</v>
      </c>
      <c r="B11" s="265"/>
      <c r="C11" s="265"/>
      <c r="D11" s="265"/>
      <c r="E11" s="266"/>
      <c r="F11" s="265"/>
      <c r="G11" s="267"/>
      <c r="H11" s="265"/>
      <c r="I11" s="267"/>
      <c r="J11" s="265"/>
      <c r="K11" s="267"/>
      <c r="L11" s="295"/>
      <c r="M11" s="327"/>
    </row>
    <row r="12" spans="1:13" ht="18" x14ac:dyDescent="0.25">
      <c r="A12" s="58" t="s">
        <v>574</v>
      </c>
      <c r="B12" s="268">
        <v>221</v>
      </c>
      <c r="C12" s="269">
        <v>0.46234309623430964</v>
      </c>
      <c r="D12" s="270">
        <v>310</v>
      </c>
      <c r="E12" s="271">
        <v>1.4027149321266967</v>
      </c>
      <c r="F12" s="270">
        <v>360</v>
      </c>
      <c r="G12" s="271">
        <v>1.1612903225806452</v>
      </c>
      <c r="H12" s="270">
        <v>390</v>
      </c>
      <c r="I12" s="271">
        <v>1.0833333333333333</v>
      </c>
      <c r="J12" s="270">
        <v>435</v>
      </c>
      <c r="K12" s="271">
        <v>1.1153846153846154</v>
      </c>
      <c r="L12" s="295"/>
      <c r="M12" s="327"/>
    </row>
    <row r="13" spans="1:13" ht="18" x14ac:dyDescent="0.25">
      <c r="A13" s="58" t="s">
        <v>575</v>
      </c>
      <c r="B13" s="272">
        <v>193.7</v>
      </c>
      <c r="C13" s="269">
        <v>0.89180478821362796</v>
      </c>
      <c r="D13" s="270">
        <v>350</v>
      </c>
      <c r="E13" s="271">
        <v>1.8069179143004648</v>
      </c>
      <c r="F13" s="270">
        <v>430</v>
      </c>
      <c r="G13" s="271">
        <v>1.2285714285714286</v>
      </c>
      <c r="H13" s="270">
        <v>550</v>
      </c>
      <c r="I13" s="271">
        <v>1.2790697674418605</v>
      </c>
      <c r="J13" s="270">
        <v>620</v>
      </c>
      <c r="K13" s="271">
        <v>1.1272727272727272</v>
      </c>
      <c r="L13" s="295"/>
      <c r="M13" s="327"/>
    </row>
    <row r="14" spans="1:13" ht="18" x14ac:dyDescent="0.25">
      <c r="A14" s="58" t="s">
        <v>576</v>
      </c>
      <c r="B14" s="272">
        <v>491.3</v>
      </c>
      <c r="C14" s="269">
        <v>1.5889391979301424</v>
      </c>
      <c r="D14" s="270">
        <v>560</v>
      </c>
      <c r="E14" s="271">
        <v>1.1398330958681051</v>
      </c>
      <c r="F14" s="270">
        <v>640</v>
      </c>
      <c r="G14" s="271">
        <v>1.1428571428571428</v>
      </c>
      <c r="H14" s="270">
        <v>690</v>
      </c>
      <c r="I14" s="271">
        <v>1.078125</v>
      </c>
      <c r="J14" s="270">
        <v>730</v>
      </c>
      <c r="K14" s="271">
        <v>1.0579710144927537</v>
      </c>
      <c r="L14" s="295"/>
      <c r="M14" s="327"/>
    </row>
    <row r="15" spans="1:13" ht="78" customHeight="1" x14ac:dyDescent="0.25">
      <c r="A15" s="58" t="s">
        <v>577</v>
      </c>
      <c r="B15" s="273">
        <v>5864</v>
      </c>
      <c r="C15" s="263">
        <v>1.0795287187039764</v>
      </c>
      <c r="D15" s="273">
        <v>6400</v>
      </c>
      <c r="E15" s="267">
        <v>1.0914051841746248</v>
      </c>
      <c r="F15" s="273">
        <v>7000</v>
      </c>
      <c r="G15" s="267">
        <v>1.09375</v>
      </c>
      <c r="H15" s="273">
        <v>7650</v>
      </c>
      <c r="I15" s="267">
        <v>1.0928571428571427</v>
      </c>
      <c r="J15" s="273">
        <v>8400</v>
      </c>
      <c r="K15" s="267">
        <v>1.0980392156862746</v>
      </c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18" orientation="landscape" useFirstPageNumber="1" r:id="rId1"/>
  <headerFooter>
    <oddFooter>&amp;C&amp;P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85" zoomScaleNormal="100" zoomScaleSheetLayoutView="85" workbookViewId="0">
      <selection activeCell="F6" sqref="F6"/>
    </sheetView>
  </sheetViews>
  <sheetFormatPr defaultRowHeight="15" x14ac:dyDescent="0.25"/>
  <cols>
    <col min="1" max="1" width="20.28515625" customWidth="1"/>
    <col min="2" max="2" width="11.28515625" customWidth="1"/>
    <col min="3" max="3" width="7.85546875" customWidth="1"/>
    <col min="4" max="4" width="9" customWidth="1"/>
    <col min="5" max="5" width="8.7109375" customWidth="1"/>
    <col min="6" max="6" width="10.7109375" customWidth="1"/>
    <col min="7" max="7" width="8.7109375" customWidth="1"/>
    <col min="8" max="8" width="11.42578125" customWidth="1"/>
    <col min="9" max="9" width="8.7109375" customWidth="1"/>
    <col min="10" max="10" width="10.42578125" customWidth="1"/>
    <col min="11" max="11" width="8.7109375" customWidth="1"/>
    <col min="12" max="12" width="11.7109375" customWidth="1"/>
  </cols>
  <sheetData>
    <row r="1" spans="1:13" ht="56.25" customHeight="1" x14ac:dyDescent="0.3">
      <c r="A1" s="403" t="s">
        <v>981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346"/>
    </row>
    <row r="2" spans="1:13" ht="18" x14ac:dyDescent="0.25">
      <c r="A2" s="407" t="s">
        <v>578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235"/>
      <c r="M2" s="349"/>
    </row>
    <row r="3" spans="1:13" ht="22.5" customHeight="1" x14ac:dyDescent="0.25">
      <c r="A3" s="386" t="s">
        <v>579</v>
      </c>
      <c r="B3" s="386" t="s">
        <v>888</v>
      </c>
      <c r="C3" s="386"/>
      <c r="D3" s="386" t="s">
        <v>887</v>
      </c>
      <c r="E3" s="386"/>
      <c r="F3" s="389" t="s">
        <v>8</v>
      </c>
      <c r="G3" s="389"/>
      <c r="H3" s="390" t="s">
        <v>4</v>
      </c>
      <c r="I3" s="390"/>
      <c r="J3" s="390"/>
      <c r="K3" s="390"/>
      <c r="L3" s="386" t="s">
        <v>903</v>
      </c>
      <c r="M3" s="349"/>
    </row>
    <row r="4" spans="1:13" ht="24.75" customHeight="1" x14ac:dyDescent="0.25">
      <c r="A4" s="386"/>
      <c r="B4" s="386"/>
      <c r="C4" s="386"/>
      <c r="D4" s="386"/>
      <c r="E4" s="386"/>
      <c r="F4" s="389" t="s">
        <v>246</v>
      </c>
      <c r="G4" s="389"/>
      <c r="H4" s="389" t="s">
        <v>247</v>
      </c>
      <c r="I4" s="389"/>
      <c r="J4" s="389" t="s">
        <v>877</v>
      </c>
      <c r="K4" s="389"/>
      <c r="L4" s="418"/>
      <c r="M4" s="327"/>
    </row>
    <row r="5" spans="1:13" ht="27.75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418"/>
      <c r="M5" s="327"/>
    </row>
    <row r="6" spans="1:13" ht="30.75" customHeight="1" x14ac:dyDescent="0.25">
      <c r="A6" s="235" t="s">
        <v>32</v>
      </c>
      <c r="B6" s="236">
        <v>130681.60000000001</v>
      </c>
      <c r="C6" s="237">
        <v>0.30763088512241055</v>
      </c>
      <c r="D6" s="238">
        <v>177000</v>
      </c>
      <c r="E6" s="239">
        <v>1.3544370439296733</v>
      </c>
      <c r="F6" s="240">
        <v>197400</v>
      </c>
      <c r="G6" s="241">
        <v>1.1152542372881356</v>
      </c>
      <c r="H6" s="242">
        <v>215000</v>
      </c>
      <c r="I6" s="243">
        <v>1.0891590678824721</v>
      </c>
      <c r="J6" s="242">
        <v>247000</v>
      </c>
      <c r="K6" s="243">
        <v>1.1488372093023256</v>
      </c>
      <c r="L6" s="244">
        <f>F6+H6+J6</f>
        <v>659400</v>
      </c>
      <c r="M6" s="327"/>
    </row>
    <row r="7" spans="1:13" ht="30.75" customHeight="1" x14ac:dyDescent="0.25">
      <c r="A7" s="235" t="s">
        <v>580</v>
      </c>
      <c r="B7" s="245">
        <v>22392.1</v>
      </c>
      <c r="C7" s="237">
        <v>3.0259594594594592</v>
      </c>
      <c r="D7" s="238">
        <v>36700</v>
      </c>
      <c r="E7" s="239">
        <v>1.6389708870539164</v>
      </c>
      <c r="F7" s="240">
        <v>38000</v>
      </c>
      <c r="G7" s="241">
        <v>1.0354223433242506</v>
      </c>
      <c r="H7" s="242">
        <v>40000</v>
      </c>
      <c r="I7" s="243">
        <v>1.0526315789473684</v>
      </c>
      <c r="J7" s="242">
        <v>43000</v>
      </c>
      <c r="K7" s="243">
        <v>1.075</v>
      </c>
      <c r="L7" s="244">
        <f t="shared" ref="L7:L19" si="0">F7+H7+J7</f>
        <v>121000</v>
      </c>
      <c r="M7" s="327"/>
    </row>
    <row r="8" spans="1:13" ht="30.75" customHeight="1" x14ac:dyDescent="0.25">
      <c r="A8" s="235" t="s">
        <v>581</v>
      </c>
      <c r="B8" s="245">
        <v>29375.5</v>
      </c>
      <c r="C8" s="246" t="s">
        <v>954</v>
      </c>
      <c r="D8" s="238">
        <v>44000</v>
      </c>
      <c r="E8" s="239">
        <v>1.4978468451600824</v>
      </c>
      <c r="F8" s="240">
        <v>55100</v>
      </c>
      <c r="G8" s="241">
        <v>1.2522727272727272</v>
      </c>
      <c r="H8" s="242">
        <v>60000</v>
      </c>
      <c r="I8" s="243">
        <v>1.0889292196007259</v>
      </c>
      <c r="J8" s="242">
        <v>61000</v>
      </c>
      <c r="K8" s="243">
        <v>1.0166666666666666</v>
      </c>
      <c r="L8" s="244">
        <f t="shared" si="0"/>
        <v>176100</v>
      </c>
      <c r="M8" s="327"/>
    </row>
    <row r="9" spans="1:13" ht="30.75" customHeight="1" x14ac:dyDescent="0.25">
      <c r="A9" s="247" t="s">
        <v>582</v>
      </c>
      <c r="B9" s="236">
        <v>39272.6</v>
      </c>
      <c r="C9" s="237">
        <v>1.2060461074037792</v>
      </c>
      <c r="D9" s="248">
        <v>64000</v>
      </c>
      <c r="E9" s="239">
        <v>1.6296349108538779</v>
      </c>
      <c r="F9" s="249">
        <v>76000</v>
      </c>
      <c r="G9" s="241">
        <v>1.1875</v>
      </c>
      <c r="H9" s="249">
        <v>92000</v>
      </c>
      <c r="I9" s="243">
        <v>1.2105263157894737</v>
      </c>
      <c r="J9" s="249">
        <v>101000</v>
      </c>
      <c r="K9" s="243">
        <v>1.0978260869565217</v>
      </c>
      <c r="L9" s="244">
        <f t="shared" si="0"/>
        <v>269000</v>
      </c>
      <c r="M9" s="327"/>
    </row>
    <row r="10" spans="1:13" ht="30.75" customHeight="1" x14ac:dyDescent="0.25">
      <c r="A10" s="247" t="s">
        <v>583</v>
      </c>
      <c r="B10" s="236">
        <v>48667.3</v>
      </c>
      <c r="C10" s="237">
        <v>1.4842523887511401</v>
      </c>
      <c r="D10" s="248">
        <v>58000</v>
      </c>
      <c r="E10" s="239">
        <v>1.1917653126431915</v>
      </c>
      <c r="F10" s="249">
        <v>73000</v>
      </c>
      <c r="G10" s="241">
        <v>1.2586206896551724</v>
      </c>
      <c r="H10" s="249">
        <v>87000</v>
      </c>
      <c r="I10" s="243">
        <v>1.1917808219178083</v>
      </c>
      <c r="J10" s="249">
        <v>104800</v>
      </c>
      <c r="K10" s="243">
        <v>1.2045977011494253</v>
      </c>
      <c r="L10" s="244">
        <f t="shared" si="0"/>
        <v>264800</v>
      </c>
      <c r="M10" s="327"/>
    </row>
    <row r="11" spans="1:13" ht="30.75" customHeight="1" x14ac:dyDescent="0.25">
      <c r="A11" s="247" t="s">
        <v>35</v>
      </c>
      <c r="B11" s="236">
        <v>50980.600000000006</v>
      </c>
      <c r="C11" s="237">
        <v>3.4975713501646548</v>
      </c>
      <c r="D11" s="248">
        <v>60970</v>
      </c>
      <c r="E11" s="239">
        <v>1.1959451242237242</v>
      </c>
      <c r="F11" s="249">
        <v>70500</v>
      </c>
      <c r="G11" s="241">
        <v>1.1563063801869773</v>
      </c>
      <c r="H11" s="249">
        <v>83300</v>
      </c>
      <c r="I11" s="243">
        <v>1.1815602836879433</v>
      </c>
      <c r="J11" s="249">
        <v>92800</v>
      </c>
      <c r="K11" s="243">
        <v>1.1140456182472989</v>
      </c>
      <c r="L11" s="244">
        <f t="shared" si="0"/>
        <v>246600</v>
      </c>
      <c r="M11" s="327"/>
    </row>
    <row r="12" spans="1:13" ht="30.75" customHeight="1" x14ac:dyDescent="0.25">
      <c r="A12" s="247" t="s">
        <v>584</v>
      </c>
      <c r="B12" s="245">
        <v>19919</v>
      </c>
      <c r="C12" s="237">
        <v>0.93218831898165477</v>
      </c>
      <c r="D12" s="238">
        <v>33000</v>
      </c>
      <c r="E12" s="239">
        <v>1.6567096741804308</v>
      </c>
      <c r="F12" s="240">
        <v>45000</v>
      </c>
      <c r="G12" s="241">
        <v>1.3636363636363635</v>
      </c>
      <c r="H12" s="240">
        <v>58000</v>
      </c>
      <c r="I12" s="243">
        <v>1.288888888888889</v>
      </c>
      <c r="J12" s="240">
        <v>70000</v>
      </c>
      <c r="K12" s="243">
        <v>1.2068965517241379</v>
      </c>
      <c r="L12" s="244">
        <f t="shared" si="0"/>
        <v>173000</v>
      </c>
      <c r="M12" s="327"/>
    </row>
    <row r="13" spans="1:13" ht="30.75" customHeight="1" x14ac:dyDescent="0.25">
      <c r="A13" s="247" t="s">
        <v>585</v>
      </c>
      <c r="B13" s="245">
        <v>41237</v>
      </c>
      <c r="C13" s="237">
        <v>1.4363688295041313</v>
      </c>
      <c r="D13" s="238">
        <v>52900</v>
      </c>
      <c r="E13" s="239">
        <v>1.2828285277784515</v>
      </c>
      <c r="F13" s="240">
        <v>60500</v>
      </c>
      <c r="G13" s="241">
        <v>1.1436672967863895</v>
      </c>
      <c r="H13" s="240">
        <v>75000</v>
      </c>
      <c r="I13" s="243">
        <v>1.2396694214876034</v>
      </c>
      <c r="J13" s="240">
        <v>88300</v>
      </c>
      <c r="K13" s="243">
        <v>1.1773333333333333</v>
      </c>
      <c r="L13" s="244">
        <f t="shared" si="0"/>
        <v>223800</v>
      </c>
      <c r="M13" s="327"/>
    </row>
    <row r="14" spans="1:13" ht="30.75" customHeight="1" x14ac:dyDescent="0.25">
      <c r="A14" s="247" t="s">
        <v>586</v>
      </c>
      <c r="B14" s="245">
        <v>172642.5</v>
      </c>
      <c r="C14" s="237">
        <v>0.87359615121293199</v>
      </c>
      <c r="D14" s="238">
        <v>238000</v>
      </c>
      <c r="E14" s="239">
        <v>1.3785713251372056</v>
      </c>
      <c r="F14" s="240">
        <v>289500</v>
      </c>
      <c r="G14" s="241">
        <v>1.2163865546218486</v>
      </c>
      <c r="H14" s="240">
        <v>342400</v>
      </c>
      <c r="I14" s="243">
        <v>1.1827288428324698</v>
      </c>
      <c r="J14" s="240">
        <v>360900</v>
      </c>
      <c r="K14" s="243">
        <v>1.0540303738317758</v>
      </c>
      <c r="L14" s="244">
        <f t="shared" si="0"/>
        <v>992800</v>
      </c>
      <c r="M14" s="327"/>
    </row>
    <row r="15" spans="1:13" ht="30.75" customHeight="1" x14ac:dyDescent="0.25">
      <c r="A15" s="247" t="s">
        <v>587</v>
      </c>
      <c r="B15" s="245">
        <v>259998.6</v>
      </c>
      <c r="C15" s="237">
        <v>1.6984147825592766</v>
      </c>
      <c r="D15" s="238">
        <v>333000</v>
      </c>
      <c r="E15" s="239">
        <v>1.2807761272560698</v>
      </c>
      <c r="F15" s="240">
        <v>372500</v>
      </c>
      <c r="G15" s="241">
        <v>1.1186186186186187</v>
      </c>
      <c r="H15" s="240">
        <v>404100</v>
      </c>
      <c r="I15" s="243">
        <v>1.0848322147651006</v>
      </c>
      <c r="J15" s="240">
        <v>425200</v>
      </c>
      <c r="K15" s="243">
        <v>1.0522147983172483</v>
      </c>
      <c r="L15" s="244">
        <f t="shared" si="0"/>
        <v>1201800</v>
      </c>
      <c r="M15" s="327"/>
    </row>
    <row r="16" spans="1:13" ht="30.75" customHeight="1" x14ac:dyDescent="0.25">
      <c r="A16" s="247" t="s">
        <v>588</v>
      </c>
      <c r="B16" s="245">
        <v>21884.799999999999</v>
      </c>
      <c r="C16" s="237">
        <v>1.0876380371147136</v>
      </c>
      <c r="D16" s="238">
        <v>30000</v>
      </c>
      <c r="E16" s="239">
        <v>1.3708144465565142</v>
      </c>
      <c r="F16" s="240">
        <v>38000</v>
      </c>
      <c r="G16" s="241">
        <v>1.2666666666666666</v>
      </c>
      <c r="H16" s="240">
        <v>42400</v>
      </c>
      <c r="I16" s="243">
        <v>1.1157894736842104</v>
      </c>
      <c r="J16" s="240">
        <v>47000</v>
      </c>
      <c r="K16" s="243">
        <v>1.1084905660377358</v>
      </c>
      <c r="L16" s="244">
        <f t="shared" si="0"/>
        <v>127400</v>
      </c>
      <c r="M16" s="327"/>
    </row>
    <row r="17" spans="1:13" ht="38.25" customHeight="1" x14ac:dyDescent="0.25">
      <c r="A17" s="247" t="s">
        <v>589</v>
      </c>
      <c r="B17" s="245">
        <v>1310.4000000000001</v>
      </c>
      <c r="C17" s="237">
        <v>0.6704528012279356</v>
      </c>
      <c r="D17" s="238">
        <v>5430</v>
      </c>
      <c r="E17" s="250" t="s">
        <v>955</v>
      </c>
      <c r="F17" s="240">
        <v>8700</v>
      </c>
      <c r="G17" s="241">
        <v>1.6022099447513811</v>
      </c>
      <c r="H17" s="240">
        <v>12800</v>
      </c>
      <c r="I17" s="243">
        <v>1.4712643678160919</v>
      </c>
      <c r="J17" s="240">
        <v>16750</v>
      </c>
      <c r="K17" s="243">
        <v>1.30859375</v>
      </c>
      <c r="L17" s="244">
        <f t="shared" si="0"/>
        <v>38250</v>
      </c>
      <c r="M17" s="327"/>
    </row>
    <row r="18" spans="1:13" ht="30.75" customHeight="1" x14ac:dyDescent="0.25">
      <c r="A18" s="247" t="s">
        <v>590</v>
      </c>
      <c r="B18" s="245">
        <v>68107.5</v>
      </c>
      <c r="C18" s="237">
        <v>1.0206887766571253</v>
      </c>
      <c r="D18" s="238">
        <v>87000</v>
      </c>
      <c r="E18" s="239">
        <v>1.2773923576698603</v>
      </c>
      <c r="F18" s="240">
        <v>105800</v>
      </c>
      <c r="G18" s="241">
        <v>1.2160919540229884</v>
      </c>
      <c r="H18" s="240">
        <v>118000</v>
      </c>
      <c r="I18" s="243">
        <v>1.1153119092627599</v>
      </c>
      <c r="J18" s="240">
        <v>127250</v>
      </c>
      <c r="K18" s="243">
        <v>1.0783898305084745</v>
      </c>
      <c r="L18" s="244">
        <f t="shared" si="0"/>
        <v>351050</v>
      </c>
      <c r="M18" s="327"/>
    </row>
    <row r="19" spans="1:13" ht="30.75" customHeight="1" x14ac:dyDescent="0.25">
      <c r="A19" s="251" t="s">
        <v>591</v>
      </c>
      <c r="B19" s="252">
        <v>906469.50000000012</v>
      </c>
      <c r="C19" s="253">
        <v>0.9024857653841567</v>
      </c>
      <c r="D19" s="254">
        <v>1220000</v>
      </c>
      <c r="E19" s="255">
        <v>1.3458809149121949</v>
      </c>
      <c r="F19" s="256">
        <v>1430000</v>
      </c>
      <c r="G19" s="257">
        <v>1.1721311475409837</v>
      </c>
      <c r="H19" s="256">
        <v>1630000</v>
      </c>
      <c r="I19" s="258">
        <v>1.1398601398601398</v>
      </c>
      <c r="J19" s="256">
        <v>1785000</v>
      </c>
      <c r="K19" s="258">
        <v>1.0950920245398772</v>
      </c>
      <c r="L19" s="244">
        <f t="shared" si="0"/>
        <v>4845000</v>
      </c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1">
    <mergeCell ref="J4:K4"/>
    <mergeCell ref="A1:L1"/>
    <mergeCell ref="A3:A5"/>
    <mergeCell ref="B3:C4"/>
    <mergeCell ref="D3:E4"/>
    <mergeCell ref="F3:G3"/>
    <mergeCell ref="H3:K3"/>
    <mergeCell ref="L3:L5"/>
    <mergeCell ref="F4:G4"/>
    <mergeCell ref="H4:I4"/>
    <mergeCell ref="A2:K2"/>
  </mergeCells>
  <pageMargins left="0.43307086614173229" right="0.19685039370078741" top="0.35433070866141736" bottom="0.35433070866141736" header="0" footer="0"/>
  <pageSetup paperSize="9" scale="110" firstPageNumber="119" orientation="landscape" useFirstPageNumber="1" r:id="rId1"/>
  <headerFooter>
    <oddFooter>&amp;C&amp;P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115" zoomScaleNormal="100" zoomScaleSheetLayoutView="115" workbookViewId="0">
      <selection activeCell="F6" sqref="F6"/>
    </sheetView>
  </sheetViews>
  <sheetFormatPr defaultRowHeight="15" x14ac:dyDescent="0.25"/>
  <cols>
    <col min="1" max="1" width="17.7109375" customWidth="1"/>
    <col min="2" max="2" width="13" customWidth="1"/>
    <col min="3" max="3" width="8.140625" customWidth="1"/>
    <col min="4" max="4" width="10.140625" customWidth="1"/>
    <col min="5" max="5" width="8" customWidth="1"/>
    <col min="6" max="6" width="11" customWidth="1"/>
    <col min="7" max="7" width="10" customWidth="1"/>
    <col min="8" max="8" width="10.5703125" customWidth="1"/>
    <col min="9" max="10" width="9.85546875" customWidth="1"/>
    <col min="11" max="11" width="9" customWidth="1"/>
    <col min="12" max="12" width="10.42578125" customWidth="1"/>
  </cols>
  <sheetData>
    <row r="1" spans="1:13" ht="59.25" customHeight="1" x14ac:dyDescent="0.3">
      <c r="A1" s="388" t="s">
        <v>990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346"/>
    </row>
    <row r="2" spans="1:13" ht="18" customHeight="1" x14ac:dyDescent="0.25">
      <c r="A2" s="407" t="s">
        <v>578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235"/>
      <c r="M2" s="349"/>
    </row>
    <row r="3" spans="1:13" ht="21" customHeight="1" x14ac:dyDescent="0.25">
      <c r="A3" s="386" t="s">
        <v>592</v>
      </c>
      <c r="B3" s="386" t="s">
        <v>888</v>
      </c>
      <c r="C3" s="386"/>
      <c r="D3" s="386" t="s">
        <v>905</v>
      </c>
      <c r="E3" s="386"/>
      <c r="F3" s="389" t="s">
        <v>8</v>
      </c>
      <c r="G3" s="389"/>
      <c r="H3" s="390" t="s">
        <v>4</v>
      </c>
      <c r="I3" s="390"/>
      <c r="J3" s="390"/>
      <c r="K3" s="390"/>
      <c r="L3" s="386" t="s">
        <v>904</v>
      </c>
      <c r="M3" s="349"/>
    </row>
    <row r="4" spans="1:13" ht="24" customHeight="1" x14ac:dyDescent="0.25">
      <c r="A4" s="386"/>
      <c r="B4" s="386"/>
      <c r="C4" s="386"/>
      <c r="D4" s="386"/>
      <c r="E4" s="386"/>
      <c r="F4" s="389" t="s">
        <v>246</v>
      </c>
      <c r="G4" s="389"/>
      <c r="H4" s="389" t="s">
        <v>247</v>
      </c>
      <c r="I4" s="389"/>
      <c r="J4" s="389" t="s">
        <v>877</v>
      </c>
      <c r="K4" s="389"/>
      <c r="L4" s="418"/>
      <c r="M4" s="327"/>
    </row>
    <row r="5" spans="1:13" ht="23.25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418"/>
      <c r="M5" s="327"/>
    </row>
    <row r="6" spans="1:13" ht="30.75" customHeight="1" x14ac:dyDescent="0.25">
      <c r="A6" s="86" t="s">
        <v>32</v>
      </c>
      <c r="B6" s="222">
        <v>130681.60000000001</v>
      </c>
      <c r="C6" s="223">
        <v>0.30763088512241055</v>
      </c>
      <c r="D6" s="224">
        <v>177000</v>
      </c>
      <c r="E6" s="223">
        <v>1.3544370439296733</v>
      </c>
      <c r="F6" s="225">
        <v>197400</v>
      </c>
      <c r="G6" s="226">
        <v>1.1152542372881356</v>
      </c>
      <c r="H6" s="227">
        <v>215000</v>
      </c>
      <c r="I6" s="228">
        <v>1.0891590678824721</v>
      </c>
      <c r="J6" s="227">
        <v>247000</v>
      </c>
      <c r="K6" s="228">
        <v>1.1488372093023256</v>
      </c>
      <c r="L6" s="229">
        <f>F6+H6+J6</f>
        <v>659400</v>
      </c>
      <c r="M6" s="327"/>
    </row>
    <row r="7" spans="1:13" ht="30.75" customHeight="1" x14ac:dyDescent="0.25">
      <c r="A7" s="86" t="s">
        <v>593</v>
      </c>
      <c r="B7" s="222">
        <v>22392.1</v>
      </c>
      <c r="C7" s="223">
        <v>3.0259594594594592</v>
      </c>
      <c r="D7" s="224">
        <v>36700</v>
      </c>
      <c r="E7" s="223">
        <v>1.6389708870539164</v>
      </c>
      <c r="F7" s="225">
        <v>38000</v>
      </c>
      <c r="G7" s="226">
        <v>1.0354223433242506</v>
      </c>
      <c r="H7" s="227">
        <v>40000</v>
      </c>
      <c r="I7" s="228">
        <v>1.0526315789473684</v>
      </c>
      <c r="J7" s="227">
        <v>43000</v>
      </c>
      <c r="K7" s="228">
        <v>1.075</v>
      </c>
      <c r="L7" s="229">
        <f t="shared" ref="L7:L14" si="0">F7+H7+J7</f>
        <v>121000</v>
      </c>
      <c r="M7" s="327"/>
    </row>
    <row r="8" spans="1:13" ht="30.75" customHeight="1" x14ac:dyDescent="0.25">
      <c r="A8" s="86" t="s">
        <v>594</v>
      </c>
      <c r="B8" s="222">
        <v>21527.5</v>
      </c>
      <c r="C8" s="223"/>
      <c r="D8" s="224">
        <v>26300</v>
      </c>
      <c r="E8" s="223">
        <v>1.221693183137847</v>
      </c>
      <c r="F8" s="225">
        <v>31000</v>
      </c>
      <c r="G8" s="226">
        <v>1.1787072243346008</v>
      </c>
      <c r="H8" s="227">
        <v>34000</v>
      </c>
      <c r="I8" s="228">
        <v>1.096774193548387</v>
      </c>
      <c r="J8" s="227">
        <v>36700</v>
      </c>
      <c r="K8" s="228">
        <v>1.0794117647058823</v>
      </c>
      <c r="L8" s="229">
        <f t="shared" si="0"/>
        <v>101700</v>
      </c>
      <c r="M8" s="327"/>
    </row>
    <row r="9" spans="1:13" ht="30.75" customHeight="1" x14ac:dyDescent="0.25">
      <c r="A9" s="86" t="s">
        <v>595</v>
      </c>
      <c r="B9" s="222"/>
      <c r="C9" s="223"/>
      <c r="D9" s="224"/>
      <c r="E9" s="223"/>
      <c r="F9" s="225">
        <v>3000</v>
      </c>
      <c r="G9" s="226" t="e">
        <v>#DIV/0!</v>
      </c>
      <c r="H9" s="227">
        <v>3500</v>
      </c>
      <c r="I9" s="228">
        <v>1.1666666666666667</v>
      </c>
      <c r="J9" s="227">
        <v>4300</v>
      </c>
      <c r="K9" s="228">
        <v>1.2285714285714286</v>
      </c>
      <c r="L9" s="229">
        <f t="shared" si="0"/>
        <v>10800</v>
      </c>
      <c r="M9" s="327"/>
    </row>
    <row r="10" spans="1:13" ht="30.75" customHeight="1" x14ac:dyDescent="0.25">
      <c r="A10" s="86" t="s">
        <v>596</v>
      </c>
      <c r="B10" s="222">
        <v>29375.5</v>
      </c>
      <c r="C10" s="230" t="s">
        <v>954</v>
      </c>
      <c r="D10" s="224">
        <v>44000</v>
      </c>
      <c r="E10" s="223">
        <v>1.4978468451600824</v>
      </c>
      <c r="F10" s="225">
        <v>55100</v>
      </c>
      <c r="G10" s="226">
        <v>1.2522727272727272</v>
      </c>
      <c r="H10" s="227">
        <v>60000</v>
      </c>
      <c r="I10" s="228">
        <v>1.0889292196007259</v>
      </c>
      <c r="J10" s="227">
        <v>61000</v>
      </c>
      <c r="K10" s="228">
        <v>1.0166666666666666</v>
      </c>
      <c r="L10" s="229">
        <f t="shared" si="0"/>
        <v>176100</v>
      </c>
      <c r="M10" s="327"/>
    </row>
    <row r="11" spans="1:13" ht="30.75" customHeight="1" x14ac:dyDescent="0.25">
      <c r="A11" s="85" t="s">
        <v>586</v>
      </c>
      <c r="B11" s="222"/>
      <c r="C11" s="223"/>
      <c r="D11" s="224"/>
      <c r="E11" s="223"/>
      <c r="F11" s="225">
        <v>2000</v>
      </c>
      <c r="G11" s="226" t="e">
        <v>#DIV/0!</v>
      </c>
      <c r="H11" s="227">
        <v>2400</v>
      </c>
      <c r="I11" s="228">
        <v>1.2</v>
      </c>
      <c r="J11" s="227">
        <v>2900</v>
      </c>
      <c r="K11" s="228">
        <v>1.2083333333333333</v>
      </c>
      <c r="L11" s="229">
        <f t="shared" si="0"/>
        <v>7300</v>
      </c>
      <c r="M11" s="327"/>
    </row>
    <row r="12" spans="1:13" ht="30.75" customHeight="1" x14ac:dyDescent="0.25">
      <c r="A12" s="86" t="s">
        <v>597</v>
      </c>
      <c r="B12" s="222">
        <v>799.6</v>
      </c>
      <c r="C12" s="223"/>
      <c r="D12" s="224">
        <v>1000</v>
      </c>
      <c r="E12" s="223">
        <v>1.250625312656328</v>
      </c>
      <c r="F12" s="225">
        <v>1500</v>
      </c>
      <c r="G12" s="226">
        <v>1.5</v>
      </c>
      <c r="H12" s="227">
        <v>2100</v>
      </c>
      <c r="I12" s="228">
        <v>1.4</v>
      </c>
      <c r="J12" s="227">
        <v>3200</v>
      </c>
      <c r="K12" s="228">
        <v>1.5238095238095237</v>
      </c>
      <c r="L12" s="229">
        <f t="shared" si="0"/>
        <v>6800</v>
      </c>
      <c r="M12" s="327"/>
    </row>
    <row r="13" spans="1:13" ht="36" x14ac:dyDescent="0.25">
      <c r="A13" s="86" t="s">
        <v>590</v>
      </c>
      <c r="B13" s="222">
        <v>16570.599999999999</v>
      </c>
      <c r="C13" s="223">
        <v>0.3844686774941995</v>
      </c>
      <c r="D13" s="224">
        <v>25000</v>
      </c>
      <c r="E13" s="223">
        <v>1.5086961244613957</v>
      </c>
      <c r="F13" s="225">
        <v>32000</v>
      </c>
      <c r="G13" s="226">
        <v>1.28</v>
      </c>
      <c r="H13" s="227">
        <v>33000</v>
      </c>
      <c r="I13" s="228">
        <v>1.03125</v>
      </c>
      <c r="J13" s="227">
        <v>36900</v>
      </c>
      <c r="K13" s="228">
        <v>1.1181818181818182</v>
      </c>
      <c r="L13" s="229">
        <f t="shared" si="0"/>
        <v>101900</v>
      </c>
      <c r="M13" s="327"/>
    </row>
    <row r="14" spans="1:13" ht="18" x14ac:dyDescent="0.25">
      <c r="A14" s="231" t="s">
        <v>598</v>
      </c>
      <c r="B14" s="232">
        <v>221346.90000000002</v>
      </c>
      <c r="C14" s="223">
        <v>0.46306882845188291</v>
      </c>
      <c r="D14" s="233">
        <v>310000</v>
      </c>
      <c r="E14" s="223">
        <v>1.4005165647226141</v>
      </c>
      <c r="F14" s="234">
        <v>360000</v>
      </c>
      <c r="G14" s="226">
        <v>1.1612903225806452</v>
      </c>
      <c r="H14" s="234">
        <v>390000</v>
      </c>
      <c r="I14" s="228">
        <v>1.0833333333333333</v>
      </c>
      <c r="J14" s="234">
        <v>435000</v>
      </c>
      <c r="K14" s="228">
        <v>1.1153846153846154</v>
      </c>
      <c r="L14" s="229">
        <f t="shared" si="0"/>
        <v>1185000</v>
      </c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1">
    <mergeCell ref="J4:K4"/>
    <mergeCell ref="A1:L1"/>
    <mergeCell ref="A3:A5"/>
    <mergeCell ref="B3:C4"/>
    <mergeCell ref="D3:E4"/>
    <mergeCell ref="F3:G3"/>
    <mergeCell ref="H3:K3"/>
    <mergeCell ref="L3:L5"/>
    <mergeCell ref="F4:G4"/>
    <mergeCell ref="H4:I4"/>
    <mergeCell ref="A2:K2"/>
  </mergeCells>
  <pageMargins left="0.43307086614173229" right="0.19685039370078741" top="0.35433070866141736" bottom="0.35433070866141736" header="0" footer="0"/>
  <pageSetup paperSize="9" scale="110" firstPageNumber="120" orientation="landscape" useFirstPageNumber="1" r:id="rId1"/>
  <headerFooter>
    <oddFooter>&amp;C&amp;P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90" zoomScaleNormal="100" zoomScaleSheetLayoutView="90" workbookViewId="0">
      <selection activeCell="F6" sqref="F6"/>
    </sheetView>
  </sheetViews>
  <sheetFormatPr defaultRowHeight="15" x14ac:dyDescent="0.25"/>
  <cols>
    <col min="1" max="1" width="29.42578125" customWidth="1"/>
    <col min="2" max="2" width="10.85546875" customWidth="1"/>
    <col min="3" max="3" width="9.42578125" customWidth="1"/>
    <col min="4" max="4" width="11" customWidth="1"/>
    <col min="5" max="5" width="9.42578125" customWidth="1"/>
    <col min="6" max="6" width="10" customWidth="1"/>
    <col min="7" max="11" width="9.42578125" customWidth="1"/>
    <col min="12" max="12" width="13" customWidth="1"/>
  </cols>
  <sheetData>
    <row r="1" spans="1:13" ht="43.5" customHeight="1" x14ac:dyDescent="0.3">
      <c r="A1" s="403" t="s">
        <v>980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346"/>
    </row>
    <row r="2" spans="1:13" ht="18" x14ac:dyDescent="0.25">
      <c r="A2" s="407" t="s">
        <v>578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235"/>
      <c r="M2" s="349"/>
    </row>
    <row r="3" spans="1:13" ht="21.75" customHeight="1" x14ac:dyDescent="0.25">
      <c r="A3" s="386" t="s">
        <v>599</v>
      </c>
      <c r="B3" s="386" t="s">
        <v>888</v>
      </c>
      <c r="C3" s="386"/>
      <c r="D3" s="386" t="s">
        <v>906</v>
      </c>
      <c r="E3" s="386"/>
      <c r="F3" s="389" t="s">
        <v>8</v>
      </c>
      <c r="G3" s="389"/>
      <c r="H3" s="390" t="s">
        <v>4</v>
      </c>
      <c r="I3" s="390"/>
      <c r="J3" s="390"/>
      <c r="K3" s="390"/>
      <c r="L3" s="386" t="s">
        <v>907</v>
      </c>
      <c r="M3" s="349"/>
    </row>
    <row r="4" spans="1:13" ht="22.5" customHeight="1" x14ac:dyDescent="0.25">
      <c r="A4" s="386"/>
      <c r="B4" s="386"/>
      <c r="C4" s="386"/>
      <c r="D4" s="386"/>
      <c r="E4" s="386"/>
      <c r="F4" s="389" t="s">
        <v>246</v>
      </c>
      <c r="G4" s="389"/>
      <c r="H4" s="389" t="s">
        <v>247</v>
      </c>
      <c r="I4" s="389"/>
      <c r="J4" s="389" t="s">
        <v>877</v>
      </c>
      <c r="K4" s="389"/>
      <c r="L4" s="418"/>
      <c r="M4" s="327"/>
    </row>
    <row r="5" spans="1:13" ht="22.5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418"/>
      <c r="M5" s="327"/>
    </row>
    <row r="6" spans="1:13" s="84" customFormat="1" ht="22.5" customHeight="1" x14ac:dyDescent="0.25">
      <c r="A6" s="211" t="s">
        <v>600</v>
      </c>
      <c r="B6" s="212">
        <v>15817</v>
      </c>
      <c r="C6" s="166">
        <v>1.1627599246635665</v>
      </c>
      <c r="D6" s="213">
        <v>35000</v>
      </c>
      <c r="E6" s="166" t="s">
        <v>956</v>
      </c>
      <c r="F6" s="212">
        <v>45000</v>
      </c>
      <c r="G6" s="166">
        <v>1.2857142857142858</v>
      </c>
      <c r="H6" s="214">
        <v>56000</v>
      </c>
      <c r="I6" s="166">
        <v>1.2444444444444445</v>
      </c>
      <c r="J6" s="214">
        <v>61000</v>
      </c>
      <c r="K6" s="166">
        <v>1.0892857142857142</v>
      </c>
      <c r="L6" s="289">
        <f>SUM(B6,D6,F6,H6,J6)</f>
        <v>212817</v>
      </c>
      <c r="M6" s="333"/>
    </row>
    <row r="7" spans="1:13" ht="30.75" customHeight="1" x14ac:dyDescent="0.25">
      <c r="A7" s="3" t="s">
        <v>582</v>
      </c>
      <c r="B7" s="212">
        <v>7755</v>
      </c>
      <c r="C7" s="166"/>
      <c r="D7" s="213">
        <v>15000</v>
      </c>
      <c r="E7" s="166">
        <v>1.9342359767891684</v>
      </c>
      <c r="F7" s="212">
        <v>24000</v>
      </c>
      <c r="G7" s="166">
        <v>1.6</v>
      </c>
      <c r="H7" s="214">
        <v>33500</v>
      </c>
      <c r="I7" s="166">
        <v>1.3958333333333333</v>
      </c>
      <c r="J7" s="214">
        <v>46500</v>
      </c>
      <c r="K7" s="166">
        <v>1.3880597014925373</v>
      </c>
      <c r="L7" s="289">
        <f t="shared" ref="L7:L27" si="0">SUM(B7,D7,F7,H7,J7)</f>
        <v>126755</v>
      </c>
      <c r="M7" s="327"/>
    </row>
    <row r="8" spans="1:13" ht="30.75" customHeight="1" x14ac:dyDescent="0.25">
      <c r="A8" s="3" t="s">
        <v>583</v>
      </c>
      <c r="B8" s="212">
        <v>3551.3</v>
      </c>
      <c r="C8" s="166">
        <v>1.0487845935306295</v>
      </c>
      <c r="D8" s="213">
        <v>5670</v>
      </c>
      <c r="E8" s="166">
        <v>1.5965984287444033</v>
      </c>
      <c r="F8" s="212">
        <v>8000</v>
      </c>
      <c r="G8" s="166">
        <v>1.4109347442680775</v>
      </c>
      <c r="H8" s="214">
        <v>12600</v>
      </c>
      <c r="I8" s="166">
        <v>1.575</v>
      </c>
      <c r="J8" s="214">
        <v>16000</v>
      </c>
      <c r="K8" s="166">
        <v>1.2698412698412698</v>
      </c>
      <c r="L8" s="289">
        <f t="shared" si="0"/>
        <v>45821.3</v>
      </c>
      <c r="M8" s="327"/>
    </row>
    <row r="9" spans="1:13" ht="30.75" customHeight="1" x14ac:dyDescent="0.25">
      <c r="A9" s="85" t="s">
        <v>35</v>
      </c>
      <c r="B9" s="212">
        <v>10576</v>
      </c>
      <c r="C9" s="166">
        <v>1.4051235993271989</v>
      </c>
      <c r="D9" s="213">
        <v>23000</v>
      </c>
      <c r="E9" s="166" t="s">
        <v>957</v>
      </c>
      <c r="F9" s="212">
        <v>34000</v>
      </c>
      <c r="G9" s="166">
        <v>1.4782608695652173</v>
      </c>
      <c r="H9" s="214">
        <v>45000</v>
      </c>
      <c r="I9" s="166">
        <v>1.3235294117647058</v>
      </c>
      <c r="J9" s="214">
        <v>55000</v>
      </c>
      <c r="K9" s="166">
        <v>1.2222222222222223</v>
      </c>
      <c r="L9" s="289">
        <f t="shared" si="0"/>
        <v>167576</v>
      </c>
      <c r="M9" s="327"/>
    </row>
    <row r="10" spans="1:13" ht="30.75" customHeight="1" x14ac:dyDescent="0.25">
      <c r="A10" s="85" t="s">
        <v>601</v>
      </c>
      <c r="B10" s="212">
        <v>3819</v>
      </c>
      <c r="C10" s="166">
        <v>1.3351186189440711</v>
      </c>
      <c r="D10" s="213">
        <v>8000</v>
      </c>
      <c r="E10" s="166" t="s">
        <v>957</v>
      </c>
      <c r="F10" s="212">
        <v>9500</v>
      </c>
      <c r="G10" s="166">
        <v>1.1875</v>
      </c>
      <c r="H10" s="214">
        <v>17000</v>
      </c>
      <c r="I10" s="166">
        <v>1.7894736842105263</v>
      </c>
      <c r="J10" s="214">
        <v>23700</v>
      </c>
      <c r="K10" s="166">
        <v>1.3941176470588235</v>
      </c>
      <c r="L10" s="289">
        <f t="shared" si="0"/>
        <v>62019</v>
      </c>
      <c r="M10" s="327"/>
    </row>
    <row r="11" spans="1:13" ht="30.75" customHeight="1" x14ac:dyDescent="0.25">
      <c r="A11" s="85" t="s">
        <v>585</v>
      </c>
      <c r="B11" s="212">
        <v>77783.5</v>
      </c>
      <c r="C11" s="166">
        <v>0.66724169137900424</v>
      </c>
      <c r="D11" s="213">
        <v>130000</v>
      </c>
      <c r="E11" s="166">
        <v>1.6713056110871842</v>
      </c>
      <c r="F11" s="212">
        <v>153500</v>
      </c>
      <c r="G11" s="166">
        <v>1.1807692307692308</v>
      </c>
      <c r="H11" s="214">
        <v>197000</v>
      </c>
      <c r="I11" s="166">
        <v>1.283387622149837</v>
      </c>
      <c r="J11" s="214">
        <v>210000</v>
      </c>
      <c r="K11" s="166">
        <v>1.0659898477157361</v>
      </c>
      <c r="L11" s="289">
        <f t="shared" si="0"/>
        <v>768283.5</v>
      </c>
      <c r="M11" s="327"/>
    </row>
    <row r="12" spans="1:13" ht="30.75" customHeight="1" x14ac:dyDescent="0.25">
      <c r="A12" s="85" t="s">
        <v>586</v>
      </c>
      <c r="B12" s="212">
        <v>71054</v>
      </c>
      <c r="C12" s="166">
        <v>1.0919574675389541</v>
      </c>
      <c r="D12" s="213">
        <v>120000</v>
      </c>
      <c r="E12" s="166">
        <v>1.6888563627663467</v>
      </c>
      <c r="F12" s="212">
        <v>135000</v>
      </c>
      <c r="G12" s="166">
        <v>1.125</v>
      </c>
      <c r="H12" s="214">
        <v>160000</v>
      </c>
      <c r="I12" s="166">
        <v>1.1851851851851851</v>
      </c>
      <c r="J12" s="214">
        <v>172000</v>
      </c>
      <c r="K12" s="166">
        <v>1.075</v>
      </c>
      <c r="L12" s="289">
        <f t="shared" si="0"/>
        <v>658054</v>
      </c>
      <c r="M12" s="327"/>
    </row>
    <row r="13" spans="1:13" ht="30.75" customHeight="1" x14ac:dyDescent="0.25">
      <c r="A13" s="85" t="s">
        <v>38</v>
      </c>
      <c r="B13" s="212">
        <v>2010.8</v>
      </c>
      <c r="C13" s="166">
        <v>0.45900082632931738</v>
      </c>
      <c r="D13" s="213">
        <v>4000</v>
      </c>
      <c r="E13" s="166">
        <v>1.9892580067634773</v>
      </c>
      <c r="F13" s="212">
        <v>6000</v>
      </c>
      <c r="G13" s="166">
        <v>1.5</v>
      </c>
      <c r="H13" s="214">
        <v>7400</v>
      </c>
      <c r="I13" s="166">
        <v>1.2333333333333334</v>
      </c>
      <c r="J13" s="214">
        <v>9000</v>
      </c>
      <c r="K13" s="166">
        <v>1.2162162162162162</v>
      </c>
      <c r="L13" s="289">
        <f t="shared" si="0"/>
        <v>28410.799999999999</v>
      </c>
      <c r="M13" s="327"/>
    </row>
    <row r="14" spans="1:13" ht="30.75" customHeight="1" x14ac:dyDescent="0.25">
      <c r="A14" s="85" t="s">
        <v>602</v>
      </c>
      <c r="B14" s="212">
        <v>468.4</v>
      </c>
      <c r="C14" s="166">
        <v>1.6971014492753622</v>
      </c>
      <c r="D14" s="213">
        <v>4330</v>
      </c>
      <c r="E14" s="166" t="s">
        <v>958</v>
      </c>
      <c r="F14" s="212">
        <v>7000</v>
      </c>
      <c r="G14" s="166">
        <v>1.6166281755196306</v>
      </c>
      <c r="H14" s="214">
        <v>10500</v>
      </c>
      <c r="I14" s="166">
        <v>1.5</v>
      </c>
      <c r="J14" s="214">
        <v>13450</v>
      </c>
      <c r="K14" s="166">
        <v>1.2809523809523808</v>
      </c>
      <c r="L14" s="289">
        <f t="shared" si="0"/>
        <v>35748.400000000001</v>
      </c>
      <c r="M14" s="327"/>
    </row>
    <row r="15" spans="1:13" ht="39" customHeight="1" x14ac:dyDescent="0.25">
      <c r="A15" s="86" t="s">
        <v>603</v>
      </c>
      <c r="B15" s="212">
        <v>960.9</v>
      </c>
      <c r="C15" s="166">
        <v>0.27596684606857097</v>
      </c>
      <c r="D15" s="213">
        <v>5000</v>
      </c>
      <c r="E15" s="166" t="s">
        <v>959</v>
      </c>
      <c r="F15" s="212">
        <v>8000</v>
      </c>
      <c r="G15" s="166">
        <v>1.6</v>
      </c>
      <c r="H15" s="214">
        <v>11000</v>
      </c>
      <c r="I15" s="166">
        <v>1.375</v>
      </c>
      <c r="J15" s="214">
        <v>13350</v>
      </c>
      <c r="K15" s="166">
        <v>1.2136363636363636</v>
      </c>
      <c r="L15" s="289">
        <f t="shared" si="0"/>
        <v>38310.9</v>
      </c>
      <c r="M15" s="327"/>
    </row>
    <row r="16" spans="1:13" ht="30.75" customHeight="1" x14ac:dyDescent="0.25">
      <c r="A16" s="86" t="s">
        <v>604</v>
      </c>
      <c r="B16" s="215">
        <v>193795.89999999997</v>
      </c>
      <c r="C16" s="166">
        <v>0.89241062385289061</v>
      </c>
      <c r="D16" s="213">
        <v>350000</v>
      </c>
      <c r="E16" s="166">
        <v>1.8060237600485876</v>
      </c>
      <c r="F16" s="215">
        <v>430000</v>
      </c>
      <c r="G16" s="166">
        <v>1.2285714285714286</v>
      </c>
      <c r="H16" s="216">
        <v>550000</v>
      </c>
      <c r="I16" s="166">
        <v>1.2790697674418605</v>
      </c>
      <c r="J16" s="216">
        <v>620000</v>
      </c>
      <c r="K16" s="166">
        <v>1.1272727272727272</v>
      </c>
      <c r="L16" s="289">
        <f t="shared" si="0"/>
        <v>2143795.9</v>
      </c>
      <c r="M16" s="327"/>
    </row>
    <row r="17" spans="1:13" s="84" customFormat="1" ht="30.75" customHeight="1" x14ac:dyDescent="0.25">
      <c r="A17" s="211" t="s">
        <v>605</v>
      </c>
      <c r="B17" s="217">
        <v>23455.599999999999</v>
      </c>
      <c r="C17" s="166">
        <v>1.2371018748826483</v>
      </c>
      <c r="D17" s="213">
        <v>29000</v>
      </c>
      <c r="E17" s="166">
        <v>1.2363785194154062</v>
      </c>
      <c r="F17" s="212">
        <v>31000</v>
      </c>
      <c r="G17" s="166">
        <v>1.0689655172413792</v>
      </c>
      <c r="H17" s="214">
        <v>36000</v>
      </c>
      <c r="I17" s="166">
        <v>1.1612903225806452</v>
      </c>
      <c r="J17" s="214">
        <v>40000</v>
      </c>
      <c r="K17" s="166">
        <v>1.1111111111111112</v>
      </c>
      <c r="L17" s="289">
        <f t="shared" si="0"/>
        <v>159455.6</v>
      </c>
      <c r="M17" s="333"/>
    </row>
    <row r="18" spans="1:13" ht="28.5" customHeight="1" x14ac:dyDescent="0.25">
      <c r="A18" s="3" t="s">
        <v>582</v>
      </c>
      <c r="B18" s="217">
        <v>40912.300000000003</v>
      </c>
      <c r="C18" s="166">
        <v>1.2477408651045623</v>
      </c>
      <c r="D18" s="213">
        <v>43000</v>
      </c>
      <c r="E18" s="166">
        <v>1.0510286637514878</v>
      </c>
      <c r="F18" s="212">
        <v>46000</v>
      </c>
      <c r="G18" s="166">
        <v>1.069767441860465</v>
      </c>
      <c r="H18" s="214">
        <v>50000</v>
      </c>
      <c r="I18" s="166">
        <v>1.0869565217391304</v>
      </c>
      <c r="J18" s="214">
        <v>54000</v>
      </c>
      <c r="K18" s="166">
        <v>1.08</v>
      </c>
      <c r="L18" s="289">
        <f t="shared" si="0"/>
        <v>233912.3</v>
      </c>
      <c r="M18" s="327"/>
    </row>
    <row r="19" spans="1:13" ht="27" customHeight="1" x14ac:dyDescent="0.25">
      <c r="A19" s="3" t="s">
        <v>583</v>
      </c>
      <c r="B19" s="217">
        <v>25901.8</v>
      </c>
      <c r="C19" s="166">
        <v>2.314750189680149</v>
      </c>
      <c r="D19" s="213">
        <v>29000</v>
      </c>
      <c r="E19" s="166">
        <v>1.1196133087275788</v>
      </c>
      <c r="F19" s="212">
        <v>31500</v>
      </c>
      <c r="G19" s="166">
        <v>1.0862068965517242</v>
      </c>
      <c r="H19" s="214">
        <v>36700</v>
      </c>
      <c r="I19" s="166">
        <v>1.1650793650793652</v>
      </c>
      <c r="J19" s="214">
        <v>40100</v>
      </c>
      <c r="K19" s="166">
        <v>1.0926430517711172</v>
      </c>
      <c r="L19" s="289">
        <f t="shared" si="0"/>
        <v>163201.79999999999</v>
      </c>
      <c r="M19" s="327"/>
    </row>
    <row r="20" spans="1:13" ht="25.5" customHeight="1" x14ac:dyDescent="0.25">
      <c r="A20" s="85" t="s">
        <v>35</v>
      </c>
      <c r="B20" s="217">
        <v>9343</v>
      </c>
      <c r="C20" s="166">
        <v>0.67501080103978972</v>
      </c>
      <c r="D20" s="213">
        <v>10000</v>
      </c>
      <c r="E20" s="166">
        <v>1.0703200256876806</v>
      </c>
      <c r="F20" s="212">
        <v>11000</v>
      </c>
      <c r="G20" s="166">
        <v>1.1000000000000001</v>
      </c>
      <c r="H20" s="214">
        <v>13000</v>
      </c>
      <c r="I20" s="166">
        <v>1.1818181818181819</v>
      </c>
      <c r="J20" s="214">
        <v>15000</v>
      </c>
      <c r="K20" s="166">
        <v>1.1538461538461537</v>
      </c>
      <c r="L20" s="289">
        <f t="shared" si="0"/>
        <v>58343</v>
      </c>
      <c r="M20" s="327"/>
    </row>
    <row r="21" spans="1:13" ht="26.25" customHeight="1" x14ac:dyDescent="0.25">
      <c r="A21" s="85" t="s">
        <v>601</v>
      </c>
      <c r="B21" s="217">
        <v>37418</v>
      </c>
      <c r="C21" s="166">
        <v>1.4475731543229506</v>
      </c>
      <c r="D21" s="213">
        <v>44900</v>
      </c>
      <c r="E21" s="166">
        <v>1.1999572398310974</v>
      </c>
      <c r="F21" s="212">
        <v>51000</v>
      </c>
      <c r="G21" s="166">
        <v>1.1358574610244989</v>
      </c>
      <c r="H21" s="214">
        <v>58000</v>
      </c>
      <c r="I21" s="166">
        <v>1.1372549019607843</v>
      </c>
      <c r="J21" s="214">
        <v>64600</v>
      </c>
      <c r="K21" s="166">
        <v>1.1137931034482758</v>
      </c>
      <c r="L21" s="289">
        <f t="shared" si="0"/>
        <v>255918</v>
      </c>
      <c r="M21" s="327"/>
    </row>
    <row r="22" spans="1:13" ht="25.5" customHeight="1" x14ac:dyDescent="0.25">
      <c r="A22" s="85" t="s">
        <v>585</v>
      </c>
      <c r="B22" s="217">
        <v>94859</v>
      </c>
      <c r="C22" s="166">
        <v>1.1704040367149968</v>
      </c>
      <c r="D22" s="213">
        <v>108000</v>
      </c>
      <c r="E22" s="166">
        <v>1.1385319263327676</v>
      </c>
      <c r="F22" s="212">
        <v>134000</v>
      </c>
      <c r="G22" s="166">
        <v>1.2407407407407407</v>
      </c>
      <c r="H22" s="214">
        <v>143000</v>
      </c>
      <c r="I22" s="166">
        <v>1.0671641791044777</v>
      </c>
      <c r="J22" s="214">
        <v>148000</v>
      </c>
      <c r="K22" s="166">
        <v>1.034965034965035</v>
      </c>
      <c r="L22" s="289">
        <f t="shared" si="0"/>
        <v>627859</v>
      </c>
      <c r="M22" s="327"/>
    </row>
    <row r="23" spans="1:13" ht="24.75" customHeight="1" x14ac:dyDescent="0.25">
      <c r="A23" s="85" t="s">
        <v>586</v>
      </c>
      <c r="B23" s="217">
        <v>188145</v>
      </c>
      <c r="C23" s="166" t="s">
        <v>957</v>
      </c>
      <c r="D23" s="213">
        <v>212000</v>
      </c>
      <c r="E23" s="166">
        <v>1.1267905073214808</v>
      </c>
      <c r="F23" s="212">
        <v>236000</v>
      </c>
      <c r="G23" s="166">
        <v>1.1132075471698113</v>
      </c>
      <c r="H23" s="214">
        <v>242000</v>
      </c>
      <c r="I23" s="166">
        <v>1.0254237288135593</v>
      </c>
      <c r="J23" s="214">
        <v>250000</v>
      </c>
      <c r="K23" s="166">
        <v>1.0330578512396693</v>
      </c>
      <c r="L23" s="289">
        <f t="shared" si="0"/>
        <v>1128145</v>
      </c>
      <c r="M23" s="327"/>
    </row>
    <row r="24" spans="1:13" ht="24" customHeight="1" x14ac:dyDescent="0.25">
      <c r="A24" s="85" t="s">
        <v>38</v>
      </c>
      <c r="B24" s="217">
        <v>19874</v>
      </c>
      <c r="C24" s="166">
        <v>1.2625964227493522</v>
      </c>
      <c r="D24" s="213">
        <v>26000</v>
      </c>
      <c r="E24" s="166">
        <v>1.3082419241219685</v>
      </c>
      <c r="F24" s="212">
        <v>32000</v>
      </c>
      <c r="G24" s="166">
        <v>1.2307692307692308</v>
      </c>
      <c r="H24" s="214">
        <v>35000</v>
      </c>
      <c r="I24" s="166">
        <v>1.09375</v>
      </c>
      <c r="J24" s="214">
        <v>38000</v>
      </c>
      <c r="K24" s="166">
        <v>1.0857142857142856</v>
      </c>
      <c r="L24" s="289">
        <f t="shared" si="0"/>
        <v>150874</v>
      </c>
      <c r="M24" s="327"/>
    </row>
    <row r="25" spans="1:13" ht="27" customHeight="1" x14ac:dyDescent="0.25">
      <c r="A25" s="85" t="s">
        <v>602</v>
      </c>
      <c r="B25" s="217">
        <v>842</v>
      </c>
      <c r="C25" s="166">
        <v>0.50163836759011027</v>
      </c>
      <c r="D25" s="213">
        <v>1100</v>
      </c>
      <c r="E25" s="166">
        <v>1.3064133016627077</v>
      </c>
      <c r="F25" s="212">
        <v>1700</v>
      </c>
      <c r="G25" s="166">
        <v>1.5454545454545454</v>
      </c>
      <c r="H25" s="218">
        <v>2300</v>
      </c>
      <c r="I25" s="166">
        <v>1.3529411764705883</v>
      </c>
      <c r="J25" s="218">
        <v>3300</v>
      </c>
      <c r="K25" s="166">
        <v>1.4347826086956521</v>
      </c>
      <c r="L25" s="289">
        <f t="shared" si="0"/>
        <v>9242</v>
      </c>
      <c r="M25" s="327"/>
    </row>
    <row r="26" spans="1:13" ht="36" x14ac:dyDescent="0.25">
      <c r="A26" s="86" t="s">
        <v>603</v>
      </c>
      <c r="B26" s="217">
        <v>50576</v>
      </c>
      <c r="C26" s="166" t="s">
        <v>960</v>
      </c>
      <c r="D26" s="213">
        <v>57000</v>
      </c>
      <c r="E26" s="166">
        <v>1.1270167668459348</v>
      </c>
      <c r="F26" s="212">
        <v>65800</v>
      </c>
      <c r="G26" s="166">
        <v>1.1543859649122807</v>
      </c>
      <c r="H26" s="214">
        <v>74000</v>
      </c>
      <c r="I26" s="166">
        <v>1.1246200607902737</v>
      </c>
      <c r="J26" s="214">
        <v>77000</v>
      </c>
      <c r="K26" s="166">
        <v>1.0405405405405406</v>
      </c>
      <c r="L26" s="289">
        <f t="shared" si="0"/>
        <v>324376</v>
      </c>
      <c r="M26" s="327"/>
    </row>
    <row r="27" spans="1:13" ht="21" customHeight="1" x14ac:dyDescent="0.25">
      <c r="A27" s="86" t="s">
        <v>604</v>
      </c>
      <c r="B27" s="219">
        <v>491326.7</v>
      </c>
      <c r="C27" s="166">
        <v>1.5887472107490095</v>
      </c>
      <c r="D27" s="220">
        <v>560000</v>
      </c>
      <c r="E27" s="166">
        <v>1.1397711543052718</v>
      </c>
      <c r="F27" s="219">
        <v>640000</v>
      </c>
      <c r="G27" s="166">
        <v>1.1428571428571428</v>
      </c>
      <c r="H27" s="221">
        <v>690000</v>
      </c>
      <c r="I27" s="166">
        <v>1.078125</v>
      </c>
      <c r="J27" s="221">
        <v>730000</v>
      </c>
      <c r="K27" s="166">
        <v>1.0579710144927537</v>
      </c>
      <c r="L27" s="289">
        <f t="shared" si="0"/>
        <v>3111326.7</v>
      </c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1">
    <mergeCell ref="J4:K4"/>
    <mergeCell ref="A1:L1"/>
    <mergeCell ref="A3:A5"/>
    <mergeCell ref="B3:C4"/>
    <mergeCell ref="D3:E4"/>
    <mergeCell ref="F3:G3"/>
    <mergeCell ref="H3:K3"/>
    <mergeCell ref="L3:L5"/>
    <mergeCell ref="F4:G4"/>
    <mergeCell ref="H4:I4"/>
    <mergeCell ref="A2:K2"/>
  </mergeCells>
  <pageMargins left="0.43307086614173229" right="0.19685039370078741" top="0.35433070866141736" bottom="0.35433070866141736" header="0" footer="0"/>
  <pageSetup paperSize="9" firstPageNumber="121" orientation="landscape" useFirstPageNumber="1" r:id="rId1"/>
  <headerFooter>
    <oddFooter>&amp;C&amp;P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55" zoomScaleNormal="100" zoomScaleSheetLayoutView="55" workbookViewId="0">
      <selection activeCell="F6" sqref="F6"/>
    </sheetView>
  </sheetViews>
  <sheetFormatPr defaultRowHeight="15" x14ac:dyDescent="0.25"/>
  <cols>
    <col min="1" max="1" width="35" customWidth="1"/>
    <col min="2" max="2" width="16.85546875" customWidth="1"/>
    <col min="3" max="3" width="9.28515625" customWidth="1"/>
    <col min="4" max="4" width="16.140625" customWidth="1"/>
    <col min="5" max="5" width="12.7109375" customWidth="1"/>
    <col min="6" max="6" width="15.85546875" customWidth="1"/>
    <col min="7" max="7" width="11.28515625" customWidth="1"/>
    <col min="8" max="8" width="16" customWidth="1"/>
    <col min="9" max="9" width="10.85546875" customWidth="1"/>
    <col min="10" max="10" width="17.42578125" customWidth="1"/>
    <col min="11" max="11" width="11.28515625" customWidth="1"/>
  </cols>
  <sheetData>
    <row r="1" spans="1:13" ht="36.75" customHeight="1" x14ac:dyDescent="0.3">
      <c r="A1" s="403" t="s">
        <v>979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18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37"/>
      <c r="M2" s="349"/>
    </row>
    <row r="3" spans="1:13" ht="18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37"/>
      <c r="M3" s="349"/>
    </row>
    <row r="4" spans="1:13" ht="15.75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295"/>
      <c r="M4" s="327"/>
    </row>
    <row r="5" spans="1:13" ht="72" x14ac:dyDescent="0.25">
      <c r="A5" s="148" t="s">
        <v>606</v>
      </c>
      <c r="B5" s="154">
        <v>6917508</v>
      </c>
      <c r="C5" s="154">
        <v>100</v>
      </c>
      <c r="D5" s="154">
        <v>8732525</v>
      </c>
      <c r="E5" s="208">
        <f>D5/B5*100</f>
        <v>126.23801808396897</v>
      </c>
      <c r="F5" s="154">
        <f>D5*7/100+D5</f>
        <v>9343801.75</v>
      </c>
      <c r="G5" s="208">
        <f>F5/D5*100</f>
        <v>107</v>
      </c>
      <c r="H5" s="154">
        <f>F5*5/100+F5</f>
        <v>9810991.8375000004</v>
      </c>
      <c r="I5" s="208">
        <f>H5/F5*100</f>
        <v>105</v>
      </c>
      <c r="J5" s="154">
        <f>H5*5/100+H5</f>
        <v>10301541.429375</v>
      </c>
      <c r="K5" s="208">
        <f>J5/H5*100</f>
        <v>105</v>
      </c>
      <c r="L5" s="295"/>
      <c r="M5" s="327"/>
    </row>
    <row r="6" spans="1:13" ht="54" x14ac:dyDescent="0.25">
      <c r="A6" s="148" t="s">
        <v>607</v>
      </c>
      <c r="B6" s="154">
        <v>6712747</v>
      </c>
      <c r="C6" s="154">
        <v>100</v>
      </c>
      <c r="D6" s="154">
        <v>8527764</v>
      </c>
      <c r="E6" s="208">
        <f>D6/B6*100</f>
        <v>127.03836447284547</v>
      </c>
      <c r="F6" s="154">
        <f>D6*7/100+D6</f>
        <v>9124707.4800000004</v>
      </c>
      <c r="G6" s="208">
        <f>F6/D6*100</f>
        <v>107</v>
      </c>
      <c r="H6" s="154">
        <f>F6*5/100+F6</f>
        <v>9580942.8540000003</v>
      </c>
      <c r="I6" s="208">
        <f>H6/F6*100</f>
        <v>105</v>
      </c>
      <c r="J6" s="154">
        <f>H6*5/100+H6</f>
        <v>10059989.9967</v>
      </c>
      <c r="K6" s="208">
        <f>J6/H6*100</f>
        <v>105</v>
      </c>
      <c r="L6" s="295"/>
      <c r="M6" s="327"/>
    </row>
    <row r="7" spans="1:13" ht="36" x14ac:dyDescent="0.25">
      <c r="A7" s="148" t="s">
        <v>608</v>
      </c>
      <c r="B7" s="130">
        <f>O7*0.1/100+O7</f>
        <v>0</v>
      </c>
      <c r="C7" s="130">
        <v>100</v>
      </c>
      <c r="D7" s="154">
        <v>96</v>
      </c>
      <c r="E7" s="208">
        <v>99.9</v>
      </c>
      <c r="F7" s="154">
        <v>96</v>
      </c>
      <c r="G7" s="208">
        <f t="shared" ref="G7:G14" si="0">F7/D7*100</f>
        <v>100</v>
      </c>
      <c r="H7" s="154">
        <v>96</v>
      </c>
      <c r="I7" s="208">
        <f t="shared" ref="I7:J14" si="1">H7/F7*100</f>
        <v>100</v>
      </c>
      <c r="J7" s="208">
        <v>96</v>
      </c>
      <c r="K7" s="208">
        <f t="shared" ref="K7:K14" si="2">J7/H7*100</f>
        <v>100</v>
      </c>
      <c r="L7" s="295"/>
      <c r="M7" s="327"/>
    </row>
    <row r="8" spans="1:13" ht="54" x14ac:dyDescent="0.25">
      <c r="A8" s="148" t="s">
        <v>609</v>
      </c>
      <c r="B8" s="130">
        <v>3469</v>
      </c>
      <c r="C8" s="130">
        <v>87</v>
      </c>
      <c r="D8" s="154">
        <f t="shared" ref="D8:D14" si="3">B8*5/100+B8</f>
        <v>3642.45</v>
      </c>
      <c r="E8" s="208">
        <f t="shared" ref="E8:E14" si="4">D8/B8*100</f>
        <v>105</v>
      </c>
      <c r="F8" s="154">
        <f t="shared" ref="F8:F14" si="5">D8*5/100+D8</f>
        <v>3824.5724999999998</v>
      </c>
      <c r="G8" s="208">
        <f t="shared" si="0"/>
        <v>105</v>
      </c>
      <c r="H8" s="154">
        <f t="shared" ref="H8:H14" si="6">F8*5/100+F8</f>
        <v>4015.801125</v>
      </c>
      <c r="I8" s="208">
        <f t="shared" si="1"/>
        <v>105</v>
      </c>
      <c r="J8" s="208">
        <f t="shared" si="1"/>
        <v>100</v>
      </c>
      <c r="K8" s="208">
        <f t="shared" si="2"/>
        <v>2.4901631551786569</v>
      </c>
      <c r="L8" s="295"/>
      <c r="M8" s="327"/>
    </row>
    <row r="9" spans="1:13" ht="22.5" customHeight="1" x14ac:dyDescent="0.25">
      <c r="A9" s="148" t="s">
        <v>249</v>
      </c>
      <c r="B9" s="130">
        <f t="shared" ref="B9" si="7">O9*0.1/100+O9</f>
        <v>0</v>
      </c>
      <c r="C9" s="130"/>
      <c r="D9" s="209">
        <f t="shared" si="3"/>
        <v>0</v>
      </c>
      <c r="E9" s="210" t="e">
        <f t="shared" si="4"/>
        <v>#DIV/0!</v>
      </c>
      <c r="F9" s="209">
        <f t="shared" si="5"/>
        <v>0</v>
      </c>
      <c r="G9" s="210" t="e">
        <f t="shared" si="0"/>
        <v>#DIV/0!</v>
      </c>
      <c r="H9" s="209">
        <f t="shared" si="6"/>
        <v>0</v>
      </c>
      <c r="I9" s="210" t="e">
        <f t="shared" si="1"/>
        <v>#DIV/0!</v>
      </c>
      <c r="J9" s="210" t="e">
        <f t="shared" si="1"/>
        <v>#DIV/0!</v>
      </c>
      <c r="K9" s="208"/>
      <c r="L9" s="295"/>
      <c r="M9" s="327"/>
    </row>
    <row r="10" spans="1:13" ht="25.5" customHeight="1" x14ac:dyDescent="0.25">
      <c r="A10" s="148" t="s">
        <v>610</v>
      </c>
      <c r="B10" s="130">
        <v>865</v>
      </c>
      <c r="C10" s="130">
        <v>113</v>
      </c>
      <c r="D10" s="154">
        <f t="shared" si="3"/>
        <v>908.25</v>
      </c>
      <c r="E10" s="208">
        <f t="shared" si="4"/>
        <v>105</v>
      </c>
      <c r="F10" s="154">
        <f t="shared" si="5"/>
        <v>953.66250000000002</v>
      </c>
      <c r="G10" s="208">
        <f t="shared" si="0"/>
        <v>105</v>
      </c>
      <c r="H10" s="154">
        <f t="shared" si="6"/>
        <v>1001.345625</v>
      </c>
      <c r="I10" s="208">
        <f t="shared" si="1"/>
        <v>105</v>
      </c>
      <c r="J10" s="208">
        <f t="shared" si="1"/>
        <v>100</v>
      </c>
      <c r="K10" s="208">
        <f t="shared" si="2"/>
        <v>9.9865618327338268</v>
      </c>
      <c r="L10" s="295"/>
      <c r="M10" s="327"/>
    </row>
    <row r="11" spans="1:13" ht="27" customHeight="1" x14ac:dyDescent="0.25">
      <c r="A11" s="148" t="s">
        <v>611</v>
      </c>
      <c r="B11" s="130">
        <v>4370</v>
      </c>
      <c r="C11" s="130">
        <v>135</v>
      </c>
      <c r="D11" s="154">
        <f t="shared" si="3"/>
        <v>4588.5</v>
      </c>
      <c r="E11" s="208">
        <f t="shared" si="4"/>
        <v>105</v>
      </c>
      <c r="F11" s="154">
        <f t="shared" si="5"/>
        <v>4817.9250000000002</v>
      </c>
      <c r="G11" s="208">
        <f t="shared" si="0"/>
        <v>105</v>
      </c>
      <c r="H11" s="154">
        <f t="shared" si="6"/>
        <v>5058.82125</v>
      </c>
      <c r="I11" s="208">
        <f t="shared" si="1"/>
        <v>105</v>
      </c>
      <c r="J11" s="208">
        <f t="shared" si="1"/>
        <v>100</v>
      </c>
      <c r="K11" s="208">
        <f t="shared" si="2"/>
        <v>1.9767450767310666</v>
      </c>
      <c r="L11" s="295"/>
      <c r="M11" s="327"/>
    </row>
    <row r="12" spans="1:13" ht="29.25" customHeight="1" x14ac:dyDescent="0.25">
      <c r="A12" s="148" t="s">
        <v>612</v>
      </c>
      <c r="B12" s="130">
        <v>150</v>
      </c>
      <c r="C12" s="130">
        <v>130</v>
      </c>
      <c r="D12" s="154">
        <f t="shared" si="3"/>
        <v>157.5</v>
      </c>
      <c r="E12" s="208">
        <f t="shared" si="4"/>
        <v>105</v>
      </c>
      <c r="F12" s="154">
        <f t="shared" si="5"/>
        <v>165.375</v>
      </c>
      <c r="G12" s="208">
        <f t="shared" si="0"/>
        <v>105</v>
      </c>
      <c r="H12" s="154">
        <f t="shared" si="6"/>
        <v>173.64375000000001</v>
      </c>
      <c r="I12" s="208">
        <f t="shared" si="1"/>
        <v>105</v>
      </c>
      <c r="J12" s="208">
        <f t="shared" si="1"/>
        <v>100</v>
      </c>
      <c r="K12" s="208">
        <f>J12/H12*99.9</f>
        <v>57.531584062196309</v>
      </c>
      <c r="L12" s="295"/>
      <c r="M12" s="327"/>
    </row>
    <row r="13" spans="1:13" ht="21.75" customHeight="1" x14ac:dyDescent="0.25">
      <c r="A13" s="148" t="s">
        <v>613</v>
      </c>
      <c r="B13" s="130">
        <v>265</v>
      </c>
      <c r="C13" s="130">
        <v>105</v>
      </c>
      <c r="D13" s="154">
        <f t="shared" si="3"/>
        <v>278.25</v>
      </c>
      <c r="E13" s="208">
        <f t="shared" si="4"/>
        <v>105</v>
      </c>
      <c r="F13" s="154">
        <f t="shared" si="5"/>
        <v>292.16250000000002</v>
      </c>
      <c r="G13" s="208">
        <f t="shared" si="0"/>
        <v>105</v>
      </c>
      <c r="H13" s="154">
        <f t="shared" si="6"/>
        <v>306.770625</v>
      </c>
      <c r="I13" s="208">
        <f t="shared" si="1"/>
        <v>104.99999999999999</v>
      </c>
      <c r="J13" s="208">
        <f t="shared" si="1"/>
        <v>99.999999999999986</v>
      </c>
      <c r="K13" s="208">
        <f t="shared" si="2"/>
        <v>32.597645227602868</v>
      </c>
      <c r="L13" s="295"/>
      <c r="M13" s="327"/>
    </row>
    <row r="14" spans="1:13" ht="26.25" customHeight="1" x14ac:dyDescent="0.25">
      <c r="A14" s="148" t="s">
        <v>614</v>
      </c>
      <c r="B14" s="130">
        <v>163</v>
      </c>
      <c r="C14" s="130">
        <v>105</v>
      </c>
      <c r="D14" s="154">
        <f t="shared" si="3"/>
        <v>171.15</v>
      </c>
      <c r="E14" s="208">
        <f t="shared" si="4"/>
        <v>105</v>
      </c>
      <c r="F14" s="154">
        <f t="shared" si="5"/>
        <v>179.70750000000001</v>
      </c>
      <c r="G14" s="208">
        <f t="shared" si="0"/>
        <v>105</v>
      </c>
      <c r="H14" s="154">
        <f t="shared" si="6"/>
        <v>188.69287500000002</v>
      </c>
      <c r="I14" s="208">
        <f t="shared" si="1"/>
        <v>105</v>
      </c>
      <c r="J14" s="208">
        <f t="shared" si="1"/>
        <v>100</v>
      </c>
      <c r="K14" s="208">
        <f t="shared" si="2"/>
        <v>52.996171689047614</v>
      </c>
      <c r="L14" s="295"/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80" firstPageNumber="122" orientation="landscape" useFirstPageNumber="1" r:id="rId1"/>
  <headerFooter>
    <oddFooter>&amp;C&amp;P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70" zoomScaleNormal="100" zoomScaleSheetLayoutView="70" workbookViewId="0">
      <selection activeCell="F6" sqref="F6"/>
    </sheetView>
  </sheetViews>
  <sheetFormatPr defaultRowHeight="15" x14ac:dyDescent="0.25"/>
  <cols>
    <col min="1" max="1" width="36.42578125" customWidth="1"/>
    <col min="2" max="2" width="9.5703125" bestFit="1" customWidth="1"/>
    <col min="3" max="3" width="9.28515625" bestFit="1" customWidth="1"/>
    <col min="4" max="4" width="9.5703125" bestFit="1" customWidth="1"/>
    <col min="5" max="5" width="9.28515625" bestFit="1" customWidth="1"/>
    <col min="6" max="6" width="9.5703125" bestFit="1" customWidth="1"/>
    <col min="7" max="7" width="9.28515625" bestFit="1" customWidth="1"/>
    <col min="8" max="8" width="9.5703125" bestFit="1" customWidth="1"/>
    <col min="9" max="9" width="9.28515625" bestFit="1" customWidth="1"/>
    <col min="10" max="10" width="9.5703125" bestFit="1" customWidth="1"/>
    <col min="11" max="11" width="9.28515625" bestFit="1" customWidth="1"/>
  </cols>
  <sheetData>
    <row r="1" spans="1:13" ht="54.75" customHeight="1" x14ac:dyDescent="0.3">
      <c r="A1" s="403" t="s">
        <v>978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18" customHeight="1" x14ac:dyDescent="0.25">
      <c r="A2" s="395" t="s">
        <v>615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37"/>
      <c r="M2" s="349"/>
    </row>
    <row r="3" spans="1:13" ht="25.5" customHeight="1" x14ac:dyDescent="0.25">
      <c r="A3" s="386" t="s">
        <v>1</v>
      </c>
      <c r="B3" s="386" t="s">
        <v>888</v>
      </c>
      <c r="C3" s="386"/>
      <c r="D3" s="386" t="s">
        <v>887</v>
      </c>
      <c r="E3" s="386"/>
      <c r="F3" s="389" t="s">
        <v>8</v>
      </c>
      <c r="G3" s="389"/>
      <c r="H3" s="390" t="s">
        <v>4</v>
      </c>
      <c r="I3" s="390"/>
      <c r="J3" s="390"/>
      <c r="K3" s="390"/>
      <c r="L3" s="337"/>
      <c r="M3" s="349"/>
    </row>
    <row r="4" spans="1:13" ht="24" customHeight="1" x14ac:dyDescent="0.25">
      <c r="A4" s="386"/>
      <c r="B4" s="386"/>
      <c r="C4" s="386"/>
      <c r="D4" s="386"/>
      <c r="E4" s="386"/>
      <c r="F4" s="389" t="s">
        <v>246</v>
      </c>
      <c r="G4" s="389"/>
      <c r="H4" s="389" t="s">
        <v>247</v>
      </c>
      <c r="I4" s="389"/>
      <c r="J4" s="389" t="s">
        <v>877</v>
      </c>
      <c r="K4" s="389"/>
      <c r="L4" s="295"/>
      <c r="M4" s="327"/>
    </row>
    <row r="5" spans="1:13" ht="30.75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295"/>
      <c r="M5" s="327"/>
    </row>
    <row r="6" spans="1:13" ht="38.25" customHeight="1" x14ac:dyDescent="0.25">
      <c r="A6" s="58" t="s">
        <v>616</v>
      </c>
      <c r="B6" s="110">
        <v>6000</v>
      </c>
      <c r="C6" s="110">
        <v>83</v>
      </c>
      <c r="D6" s="111">
        <v>7365</v>
      </c>
      <c r="E6" s="111">
        <f>D6/B6*100</f>
        <v>122.75</v>
      </c>
      <c r="F6" s="111">
        <f>D6*6/100+D6</f>
        <v>7806.9</v>
      </c>
      <c r="G6" s="111">
        <f>F6/D6*99</f>
        <v>104.94000000000001</v>
      </c>
      <c r="H6" s="111">
        <f>F6*5/100+F6</f>
        <v>8197.244999999999</v>
      </c>
      <c r="I6" s="111">
        <f>H6/F6*100</f>
        <v>104.99999999999999</v>
      </c>
      <c r="J6" s="111">
        <f>H6*5/100+H6</f>
        <v>8607.1072499999991</v>
      </c>
      <c r="K6" s="111">
        <f>J6/H6*100</f>
        <v>105</v>
      </c>
      <c r="L6" s="295"/>
      <c r="M6" s="327"/>
    </row>
    <row r="7" spans="1:13" ht="27.75" customHeight="1" x14ac:dyDescent="0.25">
      <c r="A7" s="58" t="s">
        <v>617</v>
      </c>
      <c r="B7" s="110">
        <v>2107</v>
      </c>
      <c r="C7" s="110">
        <v>106</v>
      </c>
      <c r="D7" s="82">
        <v>1983</v>
      </c>
      <c r="E7" s="82">
        <f t="shared" ref="E7:E24" si="0">D7/B7*100</f>
        <v>94.114855244423339</v>
      </c>
      <c r="F7" s="82">
        <f>D7*5/100+D7</f>
        <v>2082.15</v>
      </c>
      <c r="G7" s="82">
        <f t="shared" ref="G7:G24" si="1">F7/D7*100</f>
        <v>105</v>
      </c>
      <c r="H7" s="82">
        <f t="shared" ref="H7:H24" si="2">F7*5/100+F7</f>
        <v>2186.2575000000002</v>
      </c>
      <c r="I7" s="82">
        <f t="shared" ref="I7:I21" si="3">H7/F7*100</f>
        <v>105</v>
      </c>
      <c r="J7" s="82">
        <f t="shared" ref="J7:J24" si="4">H7*5/100+H7</f>
        <v>2295.5703750000002</v>
      </c>
      <c r="K7" s="82">
        <f t="shared" ref="K7:K21" si="5">J7/H7*100</f>
        <v>105</v>
      </c>
      <c r="L7" s="295"/>
      <c r="M7" s="327"/>
    </row>
    <row r="8" spans="1:13" ht="44.25" customHeight="1" x14ac:dyDescent="0.25">
      <c r="A8" s="58" t="s">
        <v>618</v>
      </c>
      <c r="B8" s="110">
        <v>2316</v>
      </c>
      <c r="C8" s="110">
        <v>38.6</v>
      </c>
      <c r="D8" s="111">
        <f>D9+D10</f>
        <v>2316</v>
      </c>
      <c r="E8" s="111">
        <f t="shared" si="0"/>
        <v>100</v>
      </c>
      <c r="F8" s="111">
        <f>F9+F10</f>
        <v>2501.2799999999997</v>
      </c>
      <c r="G8" s="111">
        <f t="shared" si="1"/>
        <v>107.99999999999999</v>
      </c>
      <c r="H8" s="111">
        <f t="shared" si="2"/>
        <v>2626.3439999999996</v>
      </c>
      <c r="I8" s="111">
        <f t="shared" si="3"/>
        <v>105</v>
      </c>
      <c r="J8" s="111">
        <f t="shared" si="4"/>
        <v>2757.6611999999996</v>
      </c>
      <c r="K8" s="111">
        <f t="shared" si="5"/>
        <v>105</v>
      </c>
      <c r="L8" s="295"/>
      <c r="M8" s="327"/>
    </row>
    <row r="9" spans="1:13" ht="26.25" customHeight="1" x14ac:dyDescent="0.25">
      <c r="A9" s="58" t="s">
        <v>617</v>
      </c>
      <c r="B9" s="110">
        <v>1218</v>
      </c>
      <c r="C9" s="110">
        <v>57.8</v>
      </c>
      <c r="D9" s="82">
        <v>1217</v>
      </c>
      <c r="E9" s="82">
        <f t="shared" si="0"/>
        <v>99.917898193760252</v>
      </c>
      <c r="F9" s="82">
        <f>D9*8/100+D9</f>
        <v>1314.36</v>
      </c>
      <c r="G9" s="82">
        <f t="shared" si="1"/>
        <v>107.99999999999999</v>
      </c>
      <c r="H9" s="82">
        <f t="shared" si="2"/>
        <v>1380.078</v>
      </c>
      <c r="I9" s="82">
        <f t="shared" si="3"/>
        <v>105</v>
      </c>
      <c r="J9" s="82">
        <f t="shared" si="4"/>
        <v>1449.0818999999999</v>
      </c>
      <c r="K9" s="82">
        <f t="shared" si="5"/>
        <v>105</v>
      </c>
      <c r="L9" s="295"/>
      <c r="M9" s="327"/>
    </row>
    <row r="10" spans="1:13" ht="28.5" customHeight="1" x14ac:dyDescent="0.25">
      <c r="A10" s="58" t="s">
        <v>619</v>
      </c>
      <c r="B10" s="110">
        <v>1089</v>
      </c>
      <c r="C10" s="110">
        <v>27.97</v>
      </c>
      <c r="D10" s="82">
        <v>1099</v>
      </c>
      <c r="E10" s="82">
        <f t="shared" si="0"/>
        <v>100.91827364554638</v>
      </c>
      <c r="F10" s="82">
        <f>D10*8/100+D10</f>
        <v>1186.92</v>
      </c>
      <c r="G10" s="82">
        <f t="shared" si="1"/>
        <v>108</v>
      </c>
      <c r="H10" s="82">
        <f t="shared" si="2"/>
        <v>1246.2660000000001</v>
      </c>
      <c r="I10" s="82">
        <f t="shared" si="3"/>
        <v>105</v>
      </c>
      <c r="J10" s="82">
        <f t="shared" si="4"/>
        <v>1308.5793000000001</v>
      </c>
      <c r="K10" s="82">
        <f t="shared" si="5"/>
        <v>105</v>
      </c>
      <c r="L10" s="295"/>
      <c r="M10" s="327"/>
    </row>
    <row r="11" spans="1:13" ht="36" x14ac:dyDescent="0.25">
      <c r="A11" s="58" t="s">
        <v>620</v>
      </c>
      <c r="B11" s="110">
        <v>87</v>
      </c>
      <c r="C11" s="110">
        <v>135</v>
      </c>
      <c r="D11" s="111">
        <f>B11*0.0001/100+B11</f>
        <v>87.000086999999994</v>
      </c>
      <c r="E11" s="111">
        <f t="shared" si="0"/>
        <v>100.00009999999999</v>
      </c>
      <c r="F11" s="111">
        <f>D11*0.005/100+D11</f>
        <v>87.004437004349995</v>
      </c>
      <c r="G11" s="111">
        <f t="shared" si="1"/>
        <v>100.00500000000001</v>
      </c>
      <c r="H11" s="111">
        <f>F11*0.02/100+F11</f>
        <v>87.021837891750863</v>
      </c>
      <c r="I11" s="111">
        <f t="shared" si="3"/>
        <v>100.02</v>
      </c>
      <c r="J11" s="111">
        <f>H11*0.002/100+H11</f>
        <v>87.023578328508691</v>
      </c>
      <c r="K11" s="111">
        <f t="shared" si="5"/>
        <v>100.002</v>
      </c>
      <c r="L11" s="295"/>
      <c r="M11" s="327"/>
    </row>
    <row r="12" spans="1:13" ht="27.75" customHeight="1" x14ac:dyDescent="0.25">
      <c r="A12" s="58" t="s">
        <v>617</v>
      </c>
      <c r="B12" s="110">
        <v>76</v>
      </c>
      <c r="C12" s="110">
        <v>211</v>
      </c>
      <c r="D12" s="82">
        <f>B12*0.0001/100+B12</f>
        <v>76.000076000000007</v>
      </c>
      <c r="E12" s="82">
        <f t="shared" si="0"/>
        <v>100.00010000000002</v>
      </c>
      <c r="F12" s="82">
        <f>D12*0.005/100+D12</f>
        <v>76.003876003800002</v>
      </c>
      <c r="G12" s="82">
        <f t="shared" si="1"/>
        <v>100.005</v>
      </c>
      <c r="H12" s="82">
        <f>F12*0.02/100+F12</f>
        <v>76.019076779000756</v>
      </c>
      <c r="I12" s="82">
        <f t="shared" si="3"/>
        <v>100.02</v>
      </c>
      <c r="J12" s="82">
        <f>H12*0.002/100+H12</f>
        <v>76.02059716053634</v>
      </c>
      <c r="K12" s="82">
        <f t="shared" si="5"/>
        <v>100.00200000000001</v>
      </c>
      <c r="L12" s="295"/>
      <c r="M12" s="327"/>
    </row>
    <row r="13" spans="1:13" ht="36" x14ac:dyDescent="0.25">
      <c r="A13" s="58" t="s">
        <v>621</v>
      </c>
      <c r="B13" s="110">
        <v>12</v>
      </c>
      <c r="C13" s="110">
        <v>15</v>
      </c>
      <c r="D13" s="111">
        <v>78</v>
      </c>
      <c r="E13" s="111">
        <f t="shared" si="0"/>
        <v>650</v>
      </c>
      <c r="F13" s="111">
        <f>D13*5/100+D13</f>
        <v>81.900000000000006</v>
      </c>
      <c r="G13" s="111">
        <f>F13/D13*95</f>
        <v>99.75</v>
      </c>
      <c r="H13" s="111">
        <f t="shared" si="2"/>
        <v>85.995000000000005</v>
      </c>
      <c r="I13" s="111">
        <f t="shared" si="3"/>
        <v>105</v>
      </c>
      <c r="J13" s="111">
        <f t="shared" si="4"/>
        <v>90.294750000000008</v>
      </c>
      <c r="K13" s="111">
        <f t="shared" si="5"/>
        <v>105</v>
      </c>
      <c r="L13" s="295"/>
      <c r="M13" s="327"/>
    </row>
    <row r="14" spans="1:13" ht="27" customHeight="1" x14ac:dyDescent="0.25">
      <c r="A14" s="58" t="s">
        <v>617</v>
      </c>
      <c r="B14" s="110">
        <v>9</v>
      </c>
      <c r="C14" s="110">
        <v>7</v>
      </c>
      <c r="D14" s="82">
        <v>32</v>
      </c>
      <c r="E14" s="82">
        <f t="shared" si="0"/>
        <v>355.55555555555554</v>
      </c>
      <c r="F14" s="82">
        <f>D14*5/100+D14</f>
        <v>33.6</v>
      </c>
      <c r="G14" s="82">
        <f t="shared" ref="G14:G16" si="6">F14/D14*95</f>
        <v>99.75</v>
      </c>
      <c r="H14" s="82">
        <f t="shared" si="2"/>
        <v>35.28</v>
      </c>
      <c r="I14" s="82">
        <f>H14/F14*97</f>
        <v>101.85000000000001</v>
      </c>
      <c r="J14" s="82">
        <f t="shared" si="4"/>
        <v>37.044000000000004</v>
      </c>
      <c r="K14" s="82">
        <f t="shared" si="5"/>
        <v>105</v>
      </c>
      <c r="L14" s="295"/>
      <c r="M14" s="327"/>
    </row>
    <row r="15" spans="1:13" ht="24" customHeight="1" x14ac:dyDescent="0.25">
      <c r="A15" s="58" t="s">
        <v>619</v>
      </c>
      <c r="B15" s="110">
        <v>3</v>
      </c>
      <c r="C15" s="110">
        <v>63</v>
      </c>
      <c r="D15" s="82">
        <f>B15*5/100+B15</f>
        <v>3.15</v>
      </c>
      <c r="E15" s="82">
        <f t="shared" si="0"/>
        <v>105</v>
      </c>
      <c r="F15" s="82">
        <f>D15*5/100+D15</f>
        <v>3.3075000000000001</v>
      </c>
      <c r="G15" s="82">
        <f t="shared" si="6"/>
        <v>99.75</v>
      </c>
      <c r="H15" s="82">
        <f t="shared" si="2"/>
        <v>3.4728750000000002</v>
      </c>
      <c r="I15" s="82">
        <f>H15/F15*97</f>
        <v>101.85000000000001</v>
      </c>
      <c r="J15" s="82">
        <f t="shared" si="4"/>
        <v>3.6465187500000003</v>
      </c>
      <c r="K15" s="82">
        <f t="shared" si="5"/>
        <v>105</v>
      </c>
      <c r="L15" s="295"/>
      <c r="M15" s="327"/>
    </row>
    <row r="16" spans="1:13" ht="26.25" customHeight="1" x14ac:dyDescent="0.25">
      <c r="A16" s="58" t="s">
        <v>622</v>
      </c>
      <c r="B16" s="110">
        <v>500</v>
      </c>
      <c r="C16" s="110">
        <v>100</v>
      </c>
      <c r="D16" s="82">
        <f>B16*5/100+B16</f>
        <v>525</v>
      </c>
      <c r="E16" s="82">
        <f t="shared" si="0"/>
        <v>105</v>
      </c>
      <c r="F16" s="82">
        <f>D16*5/100+D16</f>
        <v>551.25</v>
      </c>
      <c r="G16" s="82">
        <f t="shared" si="6"/>
        <v>99.75</v>
      </c>
      <c r="H16" s="82">
        <f t="shared" si="2"/>
        <v>578.8125</v>
      </c>
      <c r="I16" s="82">
        <f>H16/F16*97</f>
        <v>101.85000000000001</v>
      </c>
      <c r="J16" s="82">
        <f t="shared" si="4"/>
        <v>607.75312499999995</v>
      </c>
      <c r="K16" s="82">
        <f t="shared" si="5"/>
        <v>104.99999999999999</v>
      </c>
      <c r="L16" s="295"/>
      <c r="M16" s="327"/>
    </row>
    <row r="17" spans="1:13" ht="36" x14ac:dyDescent="0.25">
      <c r="A17" s="58" t="s">
        <v>623</v>
      </c>
      <c r="B17" s="110">
        <v>1818</v>
      </c>
      <c r="C17" s="110">
        <v>103</v>
      </c>
      <c r="D17" s="111">
        <v>1876</v>
      </c>
      <c r="E17" s="111">
        <f t="shared" si="0"/>
        <v>103.19031903190319</v>
      </c>
      <c r="F17" s="111">
        <f>D17*3/100+D17</f>
        <v>1932.28</v>
      </c>
      <c r="G17" s="111">
        <f t="shared" si="1"/>
        <v>103</v>
      </c>
      <c r="H17" s="111">
        <f t="shared" si="2"/>
        <v>2028.894</v>
      </c>
      <c r="I17" s="111">
        <f t="shared" si="3"/>
        <v>105</v>
      </c>
      <c r="J17" s="111">
        <f>H17*6/100+H17</f>
        <v>2150.6276400000002</v>
      </c>
      <c r="K17" s="111">
        <f t="shared" si="5"/>
        <v>106</v>
      </c>
      <c r="L17" s="295"/>
      <c r="M17" s="327"/>
    </row>
    <row r="18" spans="1:13" ht="26.25" customHeight="1" x14ac:dyDescent="0.25">
      <c r="A18" s="58" t="s">
        <v>617</v>
      </c>
      <c r="B18" s="110">
        <v>1055</v>
      </c>
      <c r="C18" s="110">
        <v>112</v>
      </c>
      <c r="D18" s="82">
        <v>986</v>
      </c>
      <c r="E18" s="82">
        <f t="shared" si="0"/>
        <v>93.459715639810426</v>
      </c>
      <c r="F18" s="82">
        <f>D18*5/100+D18</f>
        <v>1035.3</v>
      </c>
      <c r="G18" s="82">
        <f t="shared" si="1"/>
        <v>105</v>
      </c>
      <c r="H18" s="82">
        <f t="shared" si="2"/>
        <v>1087.0650000000001</v>
      </c>
      <c r="I18" s="82">
        <f t="shared" si="3"/>
        <v>105</v>
      </c>
      <c r="J18" s="82">
        <f>H18*6/100+H18</f>
        <v>1152.2889</v>
      </c>
      <c r="K18" s="82">
        <f t="shared" si="5"/>
        <v>106</v>
      </c>
      <c r="L18" s="295"/>
      <c r="M18" s="327"/>
    </row>
    <row r="19" spans="1:13" ht="40.5" customHeight="1" x14ac:dyDescent="0.25">
      <c r="A19" s="58" t="s">
        <v>624</v>
      </c>
      <c r="B19" s="110">
        <v>134</v>
      </c>
      <c r="C19" s="110">
        <v>69.400000000000006</v>
      </c>
      <c r="D19" s="82">
        <v>85</v>
      </c>
      <c r="E19" s="82">
        <f t="shared" si="0"/>
        <v>63.432835820895527</v>
      </c>
      <c r="F19" s="82">
        <f>D19*4/100+D19</f>
        <v>88.4</v>
      </c>
      <c r="G19" s="82">
        <f>F19/D19*96</f>
        <v>99.84</v>
      </c>
      <c r="H19" s="82">
        <f>F19*6/100+F19</f>
        <v>93.704000000000008</v>
      </c>
      <c r="I19" s="82">
        <f>H19/F19*96</f>
        <v>101.76</v>
      </c>
      <c r="J19" s="82">
        <f>H19*7/100+H19</f>
        <v>100.26328000000001</v>
      </c>
      <c r="K19" s="82">
        <f t="shared" si="5"/>
        <v>107</v>
      </c>
      <c r="L19" s="295"/>
      <c r="M19" s="327"/>
    </row>
    <row r="20" spans="1:13" ht="28.5" customHeight="1" x14ac:dyDescent="0.25">
      <c r="A20" s="58" t="s">
        <v>617</v>
      </c>
      <c r="B20" s="110">
        <v>88</v>
      </c>
      <c r="C20" s="110">
        <v>111</v>
      </c>
      <c r="D20" s="82">
        <v>93</v>
      </c>
      <c r="E20" s="82">
        <f>D20/B20*95</f>
        <v>100.39772727272728</v>
      </c>
      <c r="F20" s="82">
        <f>D20*5/100+D20</f>
        <v>97.65</v>
      </c>
      <c r="G20" s="82">
        <f>F20/D20*97</f>
        <v>101.85000000000001</v>
      </c>
      <c r="H20" s="82">
        <f t="shared" si="2"/>
        <v>102.5325</v>
      </c>
      <c r="I20" s="82">
        <f>H20/F20*95</f>
        <v>99.749999999999986</v>
      </c>
      <c r="J20" s="82">
        <f t="shared" si="4"/>
        <v>107.659125</v>
      </c>
      <c r="K20" s="82">
        <f>J20/H20*95</f>
        <v>99.75</v>
      </c>
      <c r="L20" s="295"/>
      <c r="M20" s="327"/>
    </row>
    <row r="21" spans="1:13" ht="54" x14ac:dyDescent="0.25">
      <c r="A21" s="58" t="s">
        <v>625</v>
      </c>
      <c r="B21" s="207">
        <v>396</v>
      </c>
      <c r="C21" s="165">
        <v>260</v>
      </c>
      <c r="D21" s="111">
        <f>D22+D23</f>
        <v>535</v>
      </c>
      <c r="E21" s="111">
        <f t="shared" si="0"/>
        <v>135.1010101010101</v>
      </c>
      <c r="F21" s="111">
        <f>F22+F23</f>
        <v>401</v>
      </c>
      <c r="G21" s="111">
        <f t="shared" si="1"/>
        <v>74.953271028037378</v>
      </c>
      <c r="H21" s="111">
        <f t="shared" si="2"/>
        <v>421.05</v>
      </c>
      <c r="I21" s="111">
        <f t="shared" si="3"/>
        <v>105</v>
      </c>
      <c r="J21" s="111">
        <f t="shared" si="4"/>
        <v>442.10250000000002</v>
      </c>
      <c r="K21" s="111">
        <f t="shared" si="5"/>
        <v>105</v>
      </c>
      <c r="L21" s="295"/>
      <c r="M21" s="327"/>
    </row>
    <row r="22" spans="1:13" ht="25.5" customHeight="1" x14ac:dyDescent="0.25">
      <c r="A22" s="58" t="s">
        <v>617</v>
      </c>
      <c r="B22" s="76">
        <v>369</v>
      </c>
      <c r="C22" s="165">
        <v>174</v>
      </c>
      <c r="D22" s="82">
        <v>463</v>
      </c>
      <c r="E22" s="111">
        <f t="shared" si="0"/>
        <v>125.47425474254743</v>
      </c>
      <c r="F22" s="82">
        <v>369</v>
      </c>
      <c r="G22" s="82">
        <f t="shared" si="1"/>
        <v>79.697624190064801</v>
      </c>
      <c r="H22" s="82">
        <f t="shared" si="2"/>
        <v>387.45</v>
      </c>
      <c r="I22" s="82">
        <f>H22/F22*101</f>
        <v>106.05000000000001</v>
      </c>
      <c r="J22" s="82">
        <f t="shared" si="4"/>
        <v>406.82249999999999</v>
      </c>
      <c r="K22" s="82">
        <f>J22/H22*98</f>
        <v>102.9</v>
      </c>
      <c r="L22" s="295"/>
      <c r="M22" s="327"/>
    </row>
    <row r="23" spans="1:13" ht="29.25" customHeight="1" x14ac:dyDescent="0.25">
      <c r="A23" s="58" t="s">
        <v>619</v>
      </c>
      <c r="B23" s="76">
        <v>32</v>
      </c>
      <c r="C23" s="165">
        <v>112</v>
      </c>
      <c r="D23" s="82">
        <v>72</v>
      </c>
      <c r="E23" s="111">
        <f t="shared" si="0"/>
        <v>225</v>
      </c>
      <c r="F23" s="82">
        <v>32</v>
      </c>
      <c r="G23" s="82">
        <f t="shared" si="1"/>
        <v>44.444444444444443</v>
      </c>
      <c r="H23" s="82">
        <f t="shared" si="2"/>
        <v>33.6</v>
      </c>
      <c r="I23" s="82">
        <f>H23/F23*101</f>
        <v>106.05000000000001</v>
      </c>
      <c r="J23" s="82">
        <f t="shared" si="4"/>
        <v>35.28</v>
      </c>
      <c r="K23" s="82">
        <f t="shared" ref="K23:K24" si="7">J23/H23*98</f>
        <v>102.9</v>
      </c>
      <c r="L23" s="295"/>
      <c r="M23" s="327"/>
    </row>
    <row r="24" spans="1:13" ht="54" x14ac:dyDescent="0.25">
      <c r="A24" s="58" t="s">
        <v>626</v>
      </c>
      <c r="B24" s="76">
        <v>46</v>
      </c>
      <c r="C24" s="165">
        <v>73</v>
      </c>
      <c r="D24" s="82">
        <v>47</v>
      </c>
      <c r="E24" s="111">
        <f t="shared" si="0"/>
        <v>102.17391304347827</v>
      </c>
      <c r="F24" s="82">
        <f>D24*5/100+D24</f>
        <v>49.35</v>
      </c>
      <c r="G24" s="82">
        <f t="shared" si="1"/>
        <v>105</v>
      </c>
      <c r="H24" s="82">
        <f t="shared" si="2"/>
        <v>51.817500000000003</v>
      </c>
      <c r="I24" s="82">
        <f>H24/F24*101</f>
        <v>106.05000000000001</v>
      </c>
      <c r="J24" s="82">
        <f t="shared" si="4"/>
        <v>54.408375000000007</v>
      </c>
      <c r="K24" s="82">
        <f t="shared" si="7"/>
        <v>102.9</v>
      </c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0">
    <mergeCell ref="A1:K1"/>
    <mergeCell ref="A2:K2"/>
    <mergeCell ref="A3:A5"/>
    <mergeCell ref="B3:C4"/>
    <mergeCell ref="D3:E4"/>
    <mergeCell ref="F3:G3"/>
    <mergeCell ref="H3:K3"/>
    <mergeCell ref="F4:G4"/>
    <mergeCell ref="H4:I4"/>
    <mergeCell ref="J4:K4"/>
  </mergeCells>
  <pageMargins left="0.43307086614173229" right="0.19685039370078741" top="0.35433070866141736" bottom="0.35433070866141736" header="0" footer="0"/>
  <pageSetup paperSize="9" scale="105" firstPageNumber="123" orientation="landscape" useFirstPageNumber="1" r:id="rId1"/>
  <headerFooter>
    <oddFooter>&amp;C&amp;P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90" zoomScaleNormal="100" zoomScaleSheetLayoutView="90" workbookViewId="0">
      <selection activeCell="F6" sqref="F6"/>
    </sheetView>
  </sheetViews>
  <sheetFormatPr defaultRowHeight="15" x14ac:dyDescent="0.25"/>
  <cols>
    <col min="1" max="1" width="35.28515625" customWidth="1"/>
    <col min="2" max="2" width="9.140625" customWidth="1"/>
    <col min="3" max="3" width="9.85546875" customWidth="1"/>
    <col min="4" max="4" width="9.5703125" customWidth="1"/>
    <col min="5" max="5" width="10.140625" customWidth="1"/>
    <col min="6" max="6" width="9.85546875" customWidth="1"/>
    <col min="7" max="7" width="10.28515625" customWidth="1"/>
    <col min="8" max="8" width="9.28515625" customWidth="1"/>
    <col min="9" max="9" width="9.42578125" customWidth="1"/>
    <col min="10" max="10" width="8.85546875" customWidth="1"/>
    <col min="11" max="11" width="9" customWidth="1"/>
  </cols>
  <sheetData>
    <row r="1" spans="1:13" ht="67.5" customHeight="1" x14ac:dyDescent="0.3">
      <c r="A1" s="403" t="s">
        <v>991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23.25" customHeight="1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37"/>
      <c r="M2" s="349"/>
    </row>
    <row r="3" spans="1:13" ht="23.25" customHeight="1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37"/>
      <c r="M3" s="349"/>
    </row>
    <row r="4" spans="1:13" ht="24" customHeight="1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295"/>
      <c r="M4" s="327"/>
    </row>
    <row r="5" spans="1:13" ht="37.5" customHeight="1" x14ac:dyDescent="0.25">
      <c r="A5" s="58" t="s">
        <v>627</v>
      </c>
      <c r="B5" s="63">
        <v>717</v>
      </c>
      <c r="C5" s="204">
        <v>103.02</v>
      </c>
      <c r="D5" s="185">
        <f>B5*1/100+B5</f>
        <v>724.17</v>
      </c>
      <c r="E5" s="185">
        <f>D5/B5*100</f>
        <v>101</v>
      </c>
      <c r="F5" s="185">
        <f>D5*1/100+D5</f>
        <v>731.4117</v>
      </c>
      <c r="G5" s="185">
        <f>F5/D5*100</f>
        <v>101</v>
      </c>
      <c r="H5" s="185">
        <f>F5*1/100+F5</f>
        <v>738.72581700000001</v>
      </c>
      <c r="I5" s="185">
        <f>H5/F5*100</f>
        <v>101</v>
      </c>
      <c r="J5" s="185">
        <f>H5*1/100+H5</f>
        <v>746.11307517</v>
      </c>
      <c r="K5" s="185">
        <f>J5/H5*100</f>
        <v>101</v>
      </c>
      <c r="L5" s="295"/>
      <c r="M5" s="327"/>
    </row>
    <row r="6" spans="1:13" ht="21" customHeight="1" x14ac:dyDescent="0.25">
      <c r="A6" s="58" t="s">
        <v>628</v>
      </c>
      <c r="B6" s="63">
        <v>140</v>
      </c>
      <c r="C6" s="204">
        <v>107.69</v>
      </c>
      <c r="D6" s="185">
        <f>B6*4/100+B6</f>
        <v>145.6</v>
      </c>
      <c r="E6" s="185">
        <f t="shared" ref="E6:K18" si="0">D6/B6*100</f>
        <v>104</v>
      </c>
      <c r="F6" s="185">
        <f>D6*4/100+D6</f>
        <v>151.42400000000001</v>
      </c>
      <c r="G6" s="185">
        <f t="shared" si="0"/>
        <v>104</v>
      </c>
      <c r="H6" s="185">
        <f>F6*4/100+F6</f>
        <v>157.48096000000001</v>
      </c>
      <c r="I6" s="185">
        <f t="shared" si="0"/>
        <v>104</v>
      </c>
      <c r="J6" s="185">
        <f>H6*4/100+H6</f>
        <v>163.78019840000002</v>
      </c>
      <c r="K6" s="185">
        <f t="shared" si="0"/>
        <v>104</v>
      </c>
      <c r="L6" s="295"/>
      <c r="M6" s="327"/>
    </row>
    <row r="7" spans="1:13" ht="74.25" customHeight="1" x14ac:dyDescent="0.25">
      <c r="A7" s="58" t="s">
        <v>629</v>
      </c>
      <c r="B7" s="113">
        <v>104.9</v>
      </c>
      <c r="C7" s="204">
        <v>103.69</v>
      </c>
      <c r="D7" s="185">
        <f>B7*4/100+B7</f>
        <v>109.096</v>
      </c>
      <c r="E7" s="185">
        <f t="shared" si="0"/>
        <v>104</v>
      </c>
      <c r="F7" s="185">
        <f>D7*4/100+D7</f>
        <v>113.45984</v>
      </c>
      <c r="G7" s="185">
        <f t="shared" si="0"/>
        <v>104</v>
      </c>
      <c r="H7" s="185">
        <f>F7*4/100+F7</f>
        <v>117.99823360000001</v>
      </c>
      <c r="I7" s="185">
        <f t="shared" si="0"/>
        <v>104</v>
      </c>
      <c r="J7" s="185">
        <f>H7*4/100+H7</f>
        <v>122.718162944</v>
      </c>
      <c r="K7" s="185">
        <f t="shared" si="0"/>
        <v>104</v>
      </c>
      <c r="L7" s="295"/>
      <c r="M7" s="327"/>
    </row>
    <row r="8" spans="1:13" ht="42" customHeight="1" x14ac:dyDescent="0.25">
      <c r="A8" s="58" t="s">
        <v>630</v>
      </c>
      <c r="B8" s="113">
        <v>1535.4</v>
      </c>
      <c r="C8" s="204">
        <v>93</v>
      </c>
      <c r="D8" s="185">
        <f>B8*7/100+B8</f>
        <v>1642.8780000000002</v>
      </c>
      <c r="E8" s="185">
        <f t="shared" si="0"/>
        <v>107</v>
      </c>
      <c r="F8" s="185">
        <f>D8*7/100+D8</f>
        <v>1757.8794600000001</v>
      </c>
      <c r="G8" s="185">
        <f t="shared" si="0"/>
        <v>107</v>
      </c>
      <c r="H8" s="185">
        <f>F8*7/100+F8</f>
        <v>1880.9310222000001</v>
      </c>
      <c r="I8" s="185">
        <f t="shared" si="0"/>
        <v>107</v>
      </c>
      <c r="J8" s="185">
        <f>H8*7/100+H8</f>
        <v>2012.5961937540001</v>
      </c>
      <c r="K8" s="185">
        <f t="shared" si="0"/>
        <v>107</v>
      </c>
      <c r="L8" s="295"/>
      <c r="M8" s="327"/>
    </row>
    <row r="9" spans="1:13" ht="39" customHeight="1" x14ac:dyDescent="0.25">
      <c r="A9" s="58" t="s">
        <v>631</v>
      </c>
      <c r="B9" s="113">
        <v>2404.5</v>
      </c>
      <c r="C9" s="204">
        <v>101</v>
      </c>
      <c r="D9" s="185">
        <f>B9*7/100+B9</f>
        <v>2572.8150000000001</v>
      </c>
      <c r="E9" s="185">
        <f t="shared" si="0"/>
        <v>107</v>
      </c>
      <c r="F9" s="185">
        <f>D9*7/100+D9</f>
        <v>2752.9120499999999</v>
      </c>
      <c r="G9" s="185">
        <f t="shared" si="0"/>
        <v>106.99999999999999</v>
      </c>
      <c r="H9" s="185">
        <f>F9*7/100+F9</f>
        <v>2945.6158934999999</v>
      </c>
      <c r="I9" s="185">
        <f t="shared" si="0"/>
        <v>107</v>
      </c>
      <c r="J9" s="185">
        <f>H9*7/100+H9</f>
        <v>3151.8090060449999</v>
      </c>
      <c r="K9" s="185">
        <f t="shared" si="0"/>
        <v>107</v>
      </c>
      <c r="L9" s="295"/>
      <c r="M9" s="327"/>
    </row>
    <row r="10" spans="1:13" ht="54" x14ac:dyDescent="0.25">
      <c r="A10" s="58" t="s">
        <v>632</v>
      </c>
      <c r="B10" s="113">
        <v>98</v>
      </c>
      <c r="C10" s="204">
        <v>100</v>
      </c>
      <c r="D10" s="185">
        <f>B10*2/100+B10</f>
        <v>99.96</v>
      </c>
      <c r="E10" s="185">
        <f t="shared" si="0"/>
        <v>102</v>
      </c>
      <c r="F10" s="185">
        <f>D10*1/100+D10</f>
        <v>100.95959999999999</v>
      </c>
      <c r="G10" s="185">
        <f t="shared" si="0"/>
        <v>101</v>
      </c>
      <c r="H10" s="185">
        <f>F10*1/100+F10</f>
        <v>101.969196</v>
      </c>
      <c r="I10" s="185">
        <f t="shared" si="0"/>
        <v>101</v>
      </c>
      <c r="J10" s="185">
        <f>H10*1/100+H10</f>
        <v>102.98888796</v>
      </c>
      <c r="K10" s="185">
        <f t="shared" si="0"/>
        <v>101</v>
      </c>
      <c r="L10" s="295"/>
      <c r="M10" s="327"/>
    </row>
    <row r="11" spans="1:13" ht="36" x14ac:dyDescent="0.25">
      <c r="A11" s="58" t="s">
        <v>633</v>
      </c>
      <c r="B11" s="113">
        <v>3991</v>
      </c>
      <c r="C11" s="204">
        <v>101.29</v>
      </c>
      <c r="D11" s="185">
        <f>B11*0.3/100+B11</f>
        <v>4002.973</v>
      </c>
      <c r="E11" s="185">
        <f t="shared" si="0"/>
        <v>100.29999999999998</v>
      </c>
      <c r="F11" s="185">
        <f>D11*0.3/100+D11</f>
        <v>4014.9819189999998</v>
      </c>
      <c r="G11" s="185">
        <f t="shared" si="0"/>
        <v>100.29999999999998</v>
      </c>
      <c r="H11" s="185">
        <f>F11*0.3/100+F11</f>
        <v>4027.0268647569997</v>
      </c>
      <c r="I11" s="185">
        <f t="shared" si="0"/>
        <v>100.29999999999998</v>
      </c>
      <c r="J11" s="185">
        <f>H11*0.3/100+H11</f>
        <v>4039.1079453512707</v>
      </c>
      <c r="K11" s="185">
        <f t="shared" si="0"/>
        <v>100.30000000000001</v>
      </c>
      <c r="L11" s="295"/>
      <c r="M11" s="327"/>
    </row>
    <row r="12" spans="1:13" ht="18" x14ac:dyDescent="0.25">
      <c r="A12" s="58" t="s">
        <v>628</v>
      </c>
      <c r="B12" s="113">
        <v>86</v>
      </c>
      <c r="C12" s="204">
        <v>110.26</v>
      </c>
      <c r="D12" s="185">
        <f>B12*6/100+B12</f>
        <v>91.16</v>
      </c>
      <c r="E12" s="185">
        <f t="shared" si="0"/>
        <v>106</v>
      </c>
      <c r="F12" s="185">
        <f>D12*5/100+D12</f>
        <v>95.717999999999989</v>
      </c>
      <c r="G12" s="185">
        <f t="shared" si="0"/>
        <v>104.99999999999999</v>
      </c>
      <c r="H12" s="185">
        <f>F12*5/100+F12</f>
        <v>100.50389999999999</v>
      </c>
      <c r="I12" s="185">
        <f t="shared" si="0"/>
        <v>105</v>
      </c>
      <c r="J12" s="185">
        <f>H12*5/100+H12</f>
        <v>105.52909499999998</v>
      </c>
      <c r="K12" s="185">
        <f t="shared" si="0"/>
        <v>105</v>
      </c>
      <c r="L12" s="295"/>
      <c r="M12" s="327"/>
    </row>
    <row r="13" spans="1:13" ht="72.75" customHeight="1" x14ac:dyDescent="0.25">
      <c r="A13" s="58" t="s">
        <v>634</v>
      </c>
      <c r="B13" s="113">
        <v>2278.6</v>
      </c>
      <c r="C13" s="204">
        <v>103.78</v>
      </c>
      <c r="D13" s="185">
        <f>B13*6/100+B13</f>
        <v>2415.3159999999998</v>
      </c>
      <c r="E13" s="185">
        <f t="shared" si="0"/>
        <v>106</v>
      </c>
      <c r="F13" s="185">
        <f>D13*6/100+D13</f>
        <v>2560.2349599999998</v>
      </c>
      <c r="G13" s="185">
        <f t="shared" si="0"/>
        <v>106</v>
      </c>
      <c r="H13" s="185">
        <f>F13*6/100+F13</f>
        <v>2713.8490575999999</v>
      </c>
      <c r="I13" s="185">
        <f t="shared" si="0"/>
        <v>106</v>
      </c>
      <c r="J13" s="185">
        <f>H13*6/100+H13</f>
        <v>2876.680001056</v>
      </c>
      <c r="K13" s="185">
        <f t="shared" si="0"/>
        <v>106</v>
      </c>
      <c r="L13" s="295"/>
      <c r="M13" s="327"/>
    </row>
    <row r="14" spans="1:13" ht="88.5" customHeight="1" x14ac:dyDescent="0.25">
      <c r="A14" s="58" t="s">
        <v>635</v>
      </c>
      <c r="B14" s="113">
        <v>102.7</v>
      </c>
      <c r="C14" s="204">
        <v>91.18</v>
      </c>
      <c r="D14" s="185">
        <f>B14*3/100+B14</f>
        <v>105.78100000000001</v>
      </c>
      <c r="E14" s="185">
        <f t="shared" si="0"/>
        <v>103</v>
      </c>
      <c r="F14" s="185">
        <f>D14*3/100+D14</f>
        <v>108.95443</v>
      </c>
      <c r="G14" s="185">
        <f t="shared" si="0"/>
        <v>103</v>
      </c>
      <c r="H14" s="185">
        <f>F14*3/100+F14</f>
        <v>112.2230629</v>
      </c>
      <c r="I14" s="185">
        <f t="shared" si="0"/>
        <v>103</v>
      </c>
      <c r="J14" s="185">
        <f>H14*3/100+H14</f>
        <v>115.589754787</v>
      </c>
      <c r="K14" s="185">
        <f t="shared" si="0"/>
        <v>103</v>
      </c>
      <c r="L14" s="295"/>
      <c r="M14" s="327"/>
    </row>
    <row r="15" spans="1:13" ht="70.5" customHeight="1" x14ac:dyDescent="0.25">
      <c r="A15" s="58" t="s">
        <v>636</v>
      </c>
      <c r="B15" s="113">
        <v>7416</v>
      </c>
      <c r="C15" s="204">
        <v>5756.56</v>
      </c>
      <c r="D15" s="185">
        <f>B15*3/100+B15</f>
        <v>7638.48</v>
      </c>
      <c r="E15" s="185">
        <f t="shared" si="0"/>
        <v>103</v>
      </c>
      <c r="F15" s="185">
        <f>D15*3/100+D15</f>
        <v>7867.6343999999999</v>
      </c>
      <c r="G15" s="185">
        <f t="shared" si="0"/>
        <v>103</v>
      </c>
      <c r="H15" s="185">
        <f>F15*3/100+F15</f>
        <v>8103.6634320000003</v>
      </c>
      <c r="I15" s="185">
        <f t="shared" si="0"/>
        <v>103</v>
      </c>
      <c r="J15" s="185">
        <f>H15*3/100+H15</f>
        <v>8346.7733349600003</v>
      </c>
      <c r="K15" s="185">
        <f t="shared" si="0"/>
        <v>103</v>
      </c>
      <c r="L15" s="295"/>
      <c r="M15" s="327"/>
    </row>
    <row r="16" spans="1:13" ht="25.5" customHeight="1" x14ac:dyDescent="0.25">
      <c r="A16" s="58" t="s">
        <v>637</v>
      </c>
      <c r="B16" s="113"/>
      <c r="C16" s="205" t="e">
        <f t="shared" ref="C16" si="1">B16/N16*100</f>
        <v>#DIV/0!</v>
      </c>
      <c r="D16" s="206">
        <f>B16*1/100+B16</f>
        <v>0</v>
      </c>
      <c r="E16" s="206" t="e">
        <f t="shared" si="0"/>
        <v>#DIV/0!</v>
      </c>
      <c r="F16" s="185"/>
      <c r="G16" s="206" t="e">
        <f t="shared" si="0"/>
        <v>#DIV/0!</v>
      </c>
      <c r="H16" s="206">
        <f>F16*1/100+F16</f>
        <v>0</v>
      </c>
      <c r="I16" s="206" t="e">
        <f t="shared" si="0"/>
        <v>#DIV/0!</v>
      </c>
      <c r="J16" s="206">
        <f>H16*1/100+H16</f>
        <v>0</v>
      </c>
      <c r="K16" s="206" t="e">
        <f t="shared" si="0"/>
        <v>#DIV/0!</v>
      </c>
      <c r="L16" s="295"/>
      <c r="M16" s="327"/>
    </row>
    <row r="17" spans="1:13" ht="58.5" customHeight="1" x14ac:dyDescent="0.25">
      <c r="A17" s="58" t="s">
        <v>638</v>
      </c>
      <c r="B17" s="113">
        <v>104</v>
      </c>
      <c r="C17" s="204">
        <v>128.4</v>
      </c>
      <c r="D17" s="185">
        <f>B17*1/100+B17</f>
        <v>105.04</v>
      </c>
      <c r="E17" s="185">
        <f t="shared" si="0"/>
        <v>101</v>
      </c>
      <c r="F17" s="185">
        <f>D17*1/100+D17</f>
        <v>106.0904</v>
      </c>
      <c r="G17" s="185">
        <f t="shared" si="0"/>
        <v>101</v>
      </c>
      <c r="H17" s="185">
        <f>F17*1/100+F17</f>
        <v>107.151304</v>
      </c>
      <c r="I17" s="185">
        <f t="shared" si="0"/>
        <v>101</v>
      </c>
      <c r="J17" s="185">
        <f>H17*1/100+H17</f>
        <v>108.22281704</v>
      </c>
      <c r="K17" s="185">
        <f t="shared" si="0"/>
        <v>101</v>
      </c>
      <c r="L17" s="295"/>
      <c r="M17" s="327"/>
    </row>
    <row r="18" spans="1:13" ht="78.75" customHeight="1" x14ac:dyDescent="0.25">
      <c r="A18" s="58" t="s">
        <v>639</v>
      </c>
      <c r="B18" s="113">
        <v>1020</v>
      </c>
      <c r="C18" s="204">
        <v>100</v>
      </c>
      <c r="D18" s="185">
        <f>B18*1/100+B18</f>
        <v>1030.2</v>
      </c>
      <c r="E18" s="185">
        <f t="shared" si="0"/>
        <v>101</v>
      </c>
      <c r="F18" s="185">
        <f>D18*1/100+D18</f>
        <v>1040.502</v>
      </c>
      <c r="G18" s="185">
        <f t="shared" si="0"/>
        <v>101</v>
      </c>
      <c r="H18" s="185">
        <f>F18*1/100+F18</f>
        <v>1050.9070199999999</v>
      </c>
      <c r="I18" s="185">
        <f t="shared" si="0"/>
        <v>101</v>
      </c>
      <c r="J18" s="185">
        <f>H18*1/100+H18</f>
        <v>1061.4160901999999</v>
      </c>
      <c r="K18" s="185">
        <f t="shared" si="0"/>
        <v>101</v>
      </c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25" orientation="landscape" useFirstPageNumber="1" r:id="rId1"/>
  <headerFooter>
    <oddFooter>&amp;C&amp;P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90" zoomScaleNormal="100" zoomScaleSheetLayoutView="90" workbookViewId="0">
      <selection activeCell="F6" sqref="F6"/>
    </sheetView>
  </sheetViews>
  <sheetFormatPr defaultRowHeight="15" x14ac:dyDescent="0.25"/>
  <cols>
    <col min="1" max="1" width="42.42578125" customWidth="1"/>
    <col min="2" max="11" width="8.85546875" customWidth="1"/>
  </cols>
  <sheetData>
    <row r="1" spans="1:13" ht="53.25" customHeight="1" x14ac:dyDescent="0.3">
      <c r="A1" s="403" t="s">
        <v>977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18" x14ac:dyDescent="0.25">
      <c r="A2" s="395"/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37"/>
      <c r="M2" s="349"/>
    </row>
    <row r="3" spans="1:13" ht="27" customHeight="1" x14ac:dyDescent="0.25">
      <c r="A3" s="386" t="s">
        <v>1</v>
      </c>
      <c r="B3" s="386" t="s">
        <v>888</v>
      </c>
      <c r="C3" s="386"/>
      <c r="D3" s="386" t="s">
        <v>908</v>
      </c>
      <c r="E3" s="386"/>
      <c r="F3" s="389" t="s">
        <v>8</v>
      </c>
      <c r="G3" s="389"/>
      <c r="H3" s="390" t="s">
        <v>4</v>
      </c>
      <c r="I3" s="390"/>
      <c r="J3" s="390"/>
      <c r="K3" s="390"/>
      <c r="L3" s="337"/>
      <c r="M3" s="349"/>
    </row>
    <row r="4" spans="1:13" ht="22.5" customHeight="1" x14ac:dyDescent="0.25">
      <c r="A4" s="386"/>
      <c r="B4" s="386"/>
      <c r="C4" s="386"/>
      <c r="D4" s="386"/>
      <c r="E4" s="386"/>
      <c r="F4" s="389" t="s">
        <v>246</v>
      </c>
      <c r="G4" s="389"/>
      <c r="H4" s="389" t="s">
        <v>247</v>
      </c>
      <c r="I4" s="389"/>
      <c r="J4" s="389" t="s">
        <v>877</v>
      </c>
      <c r="K4" s="389"/>
      <c r="L4" s="295"/>
      <c r="M4" s="327"/>
    </row>
    <row r="5" spans="1:13" ht="22.5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295"/>
      <c r="M5" s="327"/>
    </row>
    <row r="6" spans="1:13" ht="63" x14ac:dyDescent="0.25">
      <c r="A6" s="194" t="s">
        <v>640</v>
      </c>
      <c r="B6" s="112">
        <f>B7+B8+B11</f>
        <v>49040</v>
      </c>
      <c r="C6" s="116">
        <v>74</v>
      </c>
      <c r="D6" s="116">
        <f>D7+D8+D11</f>
        <v>69373</v>
      </c>
      <c r="E6" s="114">
        <f t="shared" ref="E6:E41" si="0">D6/B6*100</f>
        <v>141.46207177814028</v>
      </c>
      <c r="F6" s="116">
        <f>F7+F11</f>
        <v>71273.02</v>
      </c>
      <c r="G6" s="116">
        <f>F6/D6*99</f>
        <v>101.71145806005219</v>
      </c>
      <c r="H6" s="116">
        <f>H7+H11</f>
        <v>72576.847699999998</v>
      </c>
      <c r="I6" s="116">
        <f>H6/F6*100</f>
        <v>101.82934257591441</v>
      </c>
      <c r="J6" s="116">
        <f>J7+J11</f>
        <v>73302.616177000004</v>
      </c>
      <c r="K6" s="116">
        <f>J6/H6*101</f>
        <v>102.01</v>
      </c>
      <c r="L6" s="295"/>
      <c r="M6" s="327"/>
    </row>
    <row r="7" spans="1:13" ht="19.5" customHeight="1" x14ac:dyDescent="0.25">
      <c r="A7" s="195" t="s">
        <v>641</v>
      </c>
      <c r="B7" s="112">
        <v>13997</v>
      </c>
      <c r="C7" s="114">
        <v>111</v>
      </c>
      <c r="D7" s="114">
        <v>11809</v>
      </c>
      <c r="E7" s="114">
        <f t="shared" si="0"/>
        <v>84.368078874044443</v>
      </c>
      <c r="F7" s="114">
        <f>D7*3/100+D7</f>
        <v>12163.27</v>
      </c>
      <c r="G7" s="116">
        <f t="shared" ref="G7:G41" si="1">F7/D7*99</f>
        <v>101.97</v>
      </c>
      <c r="H7" s="114">
        <f>F7*1/100+F7</f>
        <v>12284.902700000001</v>
      </c>
      <c r="I7" s="114">
        <f t="shared" ref="I7:I41" si="2">H7/F7*100</f>
        <v>101</v>
      </c>
      <c r="J7" s="114">
        <f t="shared" ref="J7:J27" si="3">H7*1/100+H7</f>
        <v>12407.751727000001</v>
      </c>
      <c r="K7" s="114">
        <f t="shared" ref="K7:K41" si="4">J7/H7*100</f>
        <v>101</v>
      </c>
      <c r="L7" s="295"/>
      <c r="M7" s="327"/>
    </row>
    <row r="8" spans="1:13" ht="15.75" x14ac:dyDescent="0.25">
      <c r="A8" s="195" t="s">
        <v>642</v>
      </c>
      <c r="B8" s="112">
        <f>B9+B10</f>
        <v>1279</v>
      </c>
      <c r="C8" s="114">
        <v>100</v>
      </c>
      <c r="D8" s="114">
        <f>D9+D10</f>
        <v>1269</v>
      </c>
      <c r="E8" s="114">
        <f t="shared" si="0"/>
        <v>99.21813917122752</v>
      </c>
      <c r="F8" s="114">
        <f>F9+F10</f>
        <v>1300.8899999999999</v>
      </c>
      <c r="G8" s="116">
        <f>F8/D8*99.9</f>
        <v>102.41048936170212</v>
      </c>
      <c r="H8" s="114">
        <f>H9+H10</f>
        <v>1307.39445</v>
      </c>
      <c r="I8" s="114">
        <f t="shared" si="2"/>
        <v>100.50000000000001</v>
      </c>
      <c r="J8" s="114">
        <f>J9+J10</f>
        <v>1311.9905159999998</v>
      </c>
      <c r="K8" s="114">
        <f t="shared" si="4"/>
        <v>100.35154394299286</v>
      </c>
      <c r="L8" s="295"/>
      <c r="M8" s="327"/>
    </row>
    <row r="9" spans="1:13" ht="15.75" x14ac:dyDescent="0.25">
      <c r="A9" s="195" t="s">
        <v>643</v>
      </c>
      <c r="B9" s="112">
        <v>656</v>
      </c>
      <c r="C9" s="114">
        <v>99</v>
      </c>
      <c r="D9" s="114">
        <v>651</v>
      </c>
      <c r="E9" s="114">
        <f t="shared" si="0"/>
        <v>99.237804878048792</v>
      </c>
      <c r="F9" s="114">
        <f>D9*3/100+D9</f>
        <v>670.53</v>
      </c>
      <c r="G9" s="116">
        <f>F9/D9*100</f>
        <v>103</v>
      </c>
      <c r="H9" s="114">
        <f>F9*0.5/100+F9</f>
        <v>673.88265000000001</v>
      </c>
      <c r="I9" s="114">
        <f>H9/F9*99.9</f>
        <v>100.39950000000002</v>
      </c>
      <c r="J9" s="114">
        <f>H9*0.4/100+H9</f>
        <v>676.5781806</v>
      </c>
      <c r="K9" s="114">
        <f t="shared" si="4"/>
        <v>100.4</v>
      </c>
      <c r="L9" s="295"/>
      <c r="M9" s="327"/>
    </row>
    <row r="10" spans="1:13" ht="15.75" x14ac:dyDescent="0.25">
      <c r="A10" s="195" t="s">
        <v>644</v>
      </c>
      <c r="B10" s="112">
        <v>623</v>
      </c>
      <c r="C10" s="114">
        <v>100</v>
      </c>
      <c r="D10" s="114">
        <v>618</v>
      </c>
      <c r="E10" s="114">
        <f t="shared" si="0"/>
        <v>99.197431781701439</v>
      </c>
      <c r="F10" s="114">
        <f>D10*2/100+D10</f>
        <v>630.36</v>
      </c>
      <c r="G10" s="116">
        <f t="shared" si="1"/>
        <v>100.98</v>
      </c>
      <c r="H10" s="114">
        <f>F10*0.5/100+F10</f>
        <v>633.51179999999999</v>
      </c>
      <c r="I10" s="114">
        <f>H10/F10*99.9</f>
        <v>100.39949999999999</v>
      </c>
      <c r="J10" s="114">
        <f>H10*0.3/100+H10</f>
        <v>635.41233539999996</v>
      </c>
      <c r="K10" s="114">
        <f t="shared" si="4"/>
        <v>100.29999999999998</v>
      </c>
      <c r="L10" s="295"/>
      <c r="M10" s="327"/>
    </row>
    <row r="11" spans="1:13" ht="15.75" x14ac:dyDescent="0.25">
      <c r="A11" s="195" t="s">
        <v>645</v>
      </c>
      <c r="B11" s="112">
        <v>33764</v>
      </c>
      <c r="C11" s="114">
        <v>63</v>
      </c>
      <c r="D11" s="114">
        <v>56295</v>
      </c>
      <c r="E11" s="196">
        <f>D11/B11*99.99</f>
        <v>166.71416449472812</v>
      </c>
      <c r="F11" s="114">
        <f>D11*5/100+D11</f>
        <v>59109.75</v>
      </c>
      <c r="G11" s="116">
        <f t="shared" si="1"/>
        <v>103.95</v>
      </c>
      <c r="H11" s="114">
        <f>F11*2/100+F11</f>
        <v>60291.945</v>
      </c>
      <c r="I11" s="114">
        <f t="shared" si="2"/>
        <v>102</v>
      </c>
      <c r="J11" s="114">
        <f t="shared" si="3"/>
        <v>60894.864450000001</v>
      </c>
      <c r="K11" s="114">
        <f t="shared" si="4"/>
        <v>101</v>
      </c>
      <c r="L11" s="295"/>
      <c r="M11" s="327"/>
    </row>
    <row r="12" spans="1:13" ht="19.5" customHeight="1" x14ac:dyDescent="0.25">
      <c r="A12" s="195" t="s">
        <v>646</v>
      </c>
      <c r="B12" s="112">
        <v>1450</v>
      </c>
      <c r="C12" s="114">
        <v>38</v>
      </c>
      <c r="D12" s="114">
        <v>3016</v>
      </c>
      <c r="E12" s="114">
        <f t="shared" si="0"/>
        <v>208</v>
      </c>
      <c r="F12" s="114">
        <f>D12*1/100+D12</f>
        <v>3046.16</v>
      </c>
      <c r="G12" s="116">
        <f t="shared" si="1"/>
        <v>99.99</v>
      </c>
      <c r="H12" s="114">
        <f>F12*2/100+F12</f>
        <v>3107.0832</v>
      </c>
      <c r="I12" s="114">
        <f t="shared" si="2"/>
        <v>102</v>
      </c>
      <c r="J12" s="114">
        <f t="shared" si="3"/>
        <v>3138.1540319999999</v>
      </c>
      <c r="K12" s="114">
        <f t="shared" si="4"/>
        <v>101</v>
      </c>
      <c r="L12" s="295"/>
      <c r="M12" s="327"/>
    </row>
    <row r="13" spans="1:13" ht="39.75" customHeight="1" x14ac:dyDescent="0.25">
      <c r="A13" s="195" t="s">
        <v>647</v>
      </c>
      <c r="B13" s="112">
        <v>2863</v>
      </c>
      <c r="C13" s="114">
        <v>2726</v>
      </c>
      <c r="D13" s="114">
        <v>2978</v>
      </c>
      <c r="E13" s="114">
        <f t="shared" si="0"/>
        <v>104.01676563045757</v>
      </c>
      <c r="F13" s="114">
        <f>D13*4/100+D13</f>
        <v>3097.12</v>
      </c>
      <c r="G13" s="116">
        <f t="shared" si="1"/>
        <v>102.96000000000001</v>
      </c>
      <c r="H13" s="114">
        <f>F13*3/100+F13</f>
        <v>3190.0335999999998</v>
      </c>
      <c r="I13" s="114">
        <f t="shared" si="2"/>
        <v>103</v>
      </c>
      <c r="J13" s="114">
        <f>H13*4/100+H13</f>
        <v>3317.6349439999999</v>
      </c>
      <c r="K13" s="114">
        <f t="shared" si="4"/>
        <v>104</v>
      </c>
      <c r="L13" s="295"/>
      <c r="M13" s="327"/>
    </row>
    <row r="14" spans="1:13" ht="38.25" customHeight="1" x14ac:dyDescent="0.25">
      <c r="A14" s="194" t="s">
        <v>648</v>
      </c>
      <c r="B14" s="115">
        <f>B15+B16+B17</f>
        <v>2239</v>
      </c>
      <c r="C14" s="114">
        <v>74</v>
      </c>
      <c r="D14" s="116">
        <f>D15+D16+D17</f>
        <v>2333.06</v>
      </c>
      <c r="E14" s="114">
        <f t="shared" si="0"/>
        <v>104.20098258150961</v>
      </c>
      <c r="F14" s="114">
        <f>D14*4/100+D14</f>
        <v>2426.3824</v>
      </c>
      <c r="G14" s="116">
        <f t="shared" si="1"/>
        <v>102.96000000000001</v>
      </c>
      <c r="H14" s="114">
        <f t="shared" ref="H14:H27" si="5">F14*1/100+F14</f>
        <v>2450.6462240000001</v>
      </c>
      <c r="I14" s="114">
        <f t="shared" si="2"/>
        <v>101</v>
      </c>
      <c r="J14" s="114">
        <f t="shared" si="3"/>
        <v>2475.1526862400001</v>
      </c>
      <c r="K14" s="114">
        <f t="shared" si="4"/>
        <v>101</v>
      </c>
      <c r="L14" s="295"/>
      <c r="M14" s="327"/>
    </row>
    <row r="15" spans="1:13" ht="19.5" customHeight="1" x14ac:dyDescent="0.25">
      <c r="A15" s="195" t="s">
        <v>649</v>
      </c>
      <c r="B15" s="114">
        <v>150</v>
      </c>
      <c r="C15" s="114">
        <v>80</v>
      </c>
      <c r="D15" s="114">
        <f>B15*7/100+B15</f>
        <v>160.5</v>
      </c>
      <c r="E15" s="114">
        <f t="shared" si="0"/>
        <v>107</v>
      </c>
      <c r="F15" s="114">
        <f>D15*4/100+D15</f>
        <v>166.92</v>
      </c>
      <c r="G15" s="116">
        <f>F15/D15*100</f>
        <v>103.99999999999999</v>
      </c>
      <c r="H15" s="114">
        <f t="shared" si="5"/>
        <v>168.58919999999998</v>
      </c>
      <c r="I15" s="114">
        <f t="shared" si="2"/>
        <v>101</v>
      </c>
      <c r="J15" s="114">
        <f t="shared" si="3"/>
        <v>170.27509199999997</v>
      </c>
      <c r="K15" s="114">
        <f t="shared" si="4"/>
        <v>101</v>
      </c>
      <c r="L15" s="295"/>
      <c r="M15" s="327"/>
    </row>
    <row r="16" spans="1:13" ht="39.75" customHeight="1" x14ac:dyDescent="0.25">
      <c r="A16" s="195" t="s">
        <v>650</v>
      </c>
      <c r="B16" s="114">
        <v>2012</v>
      </c>
      <c r="C16" s="114">
        <v>80</v>
      </c>
      <c r="D16" s="114">
        <f>B16*4/100+B16</f>
        <v>2092.48</v>
      </c>
      <c r="E16" s="114">
        <f t="shared" si="0"/>
        <v>104</v>
      </c>
      <c r="F16" s="114">
        <f>D16*4/100+D16</f>
        <v>2176.1792</v>
      </c>
      <c r="G16" s="116">
        <f t="shared" si="1"/>
        <v>102.96000000000001</v>
      </c>
      <c r="H16" s="114">
        <f t="shared" si="5"/>
        <v>2197.9409919999998</v>
      </c>
      <c r="I16" s="114">
        <f t="shared" si="2"/>
        <v>101</v>
      </c>
      <c r="J16" s="114">
        <f t="shared" si="3"/>
        <v>2219.9204019199997</v>
      </c>
      <c r="K16" s="114">
        <f t="shared" si="4"/>
        <v>101</v>
      </c>
      <c r="L16" s="295"/>
      <c r="M16" s="327"/>
    </row>
    <row r="17" spans="1:13" ht="24" customHeight="1" x14ac:dyDescent="0.25">
      <c r="A17" s="195" t="s">
        <v>651</v>
      </c>
      <c r="B17" s="114">
        <v>77</v>
      </c>
      <c r="C17" s="114">
        <v>113</v>
      </c>
      <c r="D17" s="114">
        <f>B17*4/100+B17</f>
        <v>80.08</v>
      </c>
      <c r="E17" s="114">
        <f t="shared" si="0"/>
        <v>104</v>
      </c>
      <c r="F17" s="114">
        <f>D17*4/100+D17</f>
        <v>83.283199999999994</v>
      </c>
      <c r="G17" s="116">
        <f t="shared" si="1"/>
        <v>102.96000000000001</v>
      </c>
      <c r="H17" s="114">
        <f t="shared" si="5"/>
        <v>84.11603199999999</v>
      </c>
      <c r="I17" s="114">
        <f t="shared" si="2"/>
        <v>101</v>
      </c>
      <c r="J17" s="114">
        <f t="shared" si="3"/>
        <v>84.95719231999999</v>
      </c>
      <c r="K17" s="114">
        <f t="shared" si="4"/>
        <v>101</v>
      </c>
      <c r="L17" s="295"/>
      <c r="M17" s="327"/>
    </row>
    <row r="18" spans="1:13" ht="35.25" customHeight="1" x14ac:dyDescent="0.25">
      <c r="A18" s="194" t="s">
        <v>652</v>
      </c>
      <c r="B18" s="112">
        <f>B19+B20</f>
        <v>39636</v>
      </c>
      <c r="C18" s="116">
        <v>76</v>
      </c>
      <c r="D18" s="116">
        <f>D19+D20+D21+D22+D23</f>
        <v>52090</v>
      </c>
      <c r="E18" s="114">
        <f t="shared" si="0"/>
        <v>131.42093046725199</v>
      </c>
      <c r="F18" s="116">
        <f>+F19+F20+F21+F22</f>
        <v>53230.41</v>
      </c>
      <c r="G18" s="116">
        <f t="shared" si="1"/>
        <v>101.16741389902093</v>
      </c>
      <c r="H18" s="116">
        <f>+H19+H20+H21+H22</f>
        <v>55575.525300000001</v>
      </c>
      <c r="I18" s="116">
        <f t="shared" si="2"/>
        <v>104.40559315624283</v>
      </c>
      <c r="J18" s="116">
        <f>+J19+J20+J21+J22</f>
        <v>57642.149634000001</v>
      </c>
      <c r="K18" s="116">
        <f t="shared" si="4"/>
        <v>103.71858713497397</v>
      </c>
      <c r="L18" s="295"/>
      <c r="M18" s="327"/>
    </row>
    <row r="19" spans="1:13" ht="56.25" customHeight="1" x14ac:dyDescent="0.25">
      <c r="A19" s="195" t="s">
        <v>641</v>
      </c>
      <c r="B19" s="112">
        <v>11629</v>
      </c>
      <c r="C19" s="114">
        <v>86</v>
      </c>
      <c r="D19" s="114">
        <v>13542</v>
      </c>
      <c r="E19" s="114">
        <f t="shared" si="0"/>
        <v>116.45025367615445</v>
      </c>
      <c r="F19" s="114">
        <f>D19*3/100+D19</f>
        <v>13948.26</v>
      </c>
      <c r="G19" s="116">
        <f t="shared" si="1"/>
        <v>101.97</v>
      </c>
      <c r="H19" s="114">
        <f>F19*3/100+F19</f>
        <v>14366.7078</v>
      </c>
      <c r="I19" s="114">
        <f t="shared" si="2"/>
        <v>103</v>
      </c>
      <c r="J19" s="114">
        <f>H19*3/100+H19</f>
        <v>14797.709034</v>
      </c>
      <c r="K19" s="114">
        <f t="shared" si="4"/>
        <v>103</v>
      </c>
      <c r="L19" s="295"/>
      <c r="M19" s="327"/>
    </row>
    <row r="20" spans="1:13" ht="15.75" x14ac:dyDescent="0.25">
      <c r="A20" s="195" t="s">
        <v>653</v>
      </c>
      <c r="B20" s="112">
        <v>28007</v>
      </c>
      <c r="C20" s="114">
        <v>77</v>
      </c>
      <c r="D20" s="114">
        <v>36223</v>
      </c>
      <c r="E20" s="114">
        <f t="shared" si="0"/>
        <v>129.33552326204162</v>
      </c>
      <c r="F20" s="114">
        <f>D20*5/100+D20</f>
        <v>38034.15</v>
      </c>
      <c r="G20" s="116">
        <f>F20/D20*100</f>
        <v>105</v>
      </c>
      <c r="H20" s="114">
        <f>F20*5/100+F20</f>
        <v>39935.857499999998</v>
      </c>
      <c r="I20" s="114">
        <f t="shared" si="2"/>
        <v>104.99999999999999</v>
      </c>
      <c r="J20" s="114">
        <f>H20*4/100+H20</f>
        <v>41533.291799999999</v>
      </c>
      <c r="K20" s="114">
        <f t="shared" si="4"/>
        <v>104</v>
      </c>
      <c r="L20" s="295"/>
      <c r="M20" s="327"/>
    </row>
    <row r="21" spans="1:13" ht="15.75" x14ac:dyDescent="0.25">
      <c r="A21" s="195" t="s">
        <v>654</v>
      </c>
      <c r="B21" s="112">
        <v>1200</v>
      </c>
      <c r="C21" s="114">
        <v>100</v>
      </c>
      <c r="D21" s="114">
        <v>1200</v>
      </c>
      <c r="E21" s="114">
        <f t="shared" si="0"/>
        <v>100</v>
      </c>
      <c r="F21" s="114">
        <f t="shared" ref="F21:F27" si="6">D21*4/100+D21</f>
        <v>1248</v>
      </c>
      <c r="G21" s="116">
        <f t="shared" si="1"/>
        <v>102.96000000000001</v>
      </c>
      <c r="H21" s="114">
        <f>F21*2/100+F21</f>
        <v>1272.96</v>
      </c>
      <c r="I21" s="114">
        <f t="shared" si="2"/>
        <v>102</v>
      </c>
      <c r="J21" s="114">
        <f>H21*3/100+H21</f>
        <v>1311.1487999999999</v>
      </c>
      <c r="K21" s="114">
        <f t="shared" si="4"/>
        <v>103</v>
      </c>
      <c r="L21" s="295"/>
      <c r="M21" s="327"/>
    </row>
    <row r="22" spans="1:13" ht="31.5" x14ac:dyDescent="0.25">
      <c r="A22" s="195" t="s">
        <v>647</v>
      </c>
      <c r="B22" s="197">
        <v>0</v>
      </c>
      <c r="C22" s="114" t="s">
        <v>29</v>
      </c>
      <c r="D22" s="114">
        <v>0</v>
      </c>
      <c r="E22" s="114">
        <v>0</v>
      </c>
      <c r="F22" s="114">
        <f t="shared" si="6"/>
        <v>0</v>
      </c>
      <c r="G22" s="116" t="e">
        <f t="shared" si="1"/>
        <v>#DIV/0!</v>
      </c>
      <c r="H22" s="114">
        <f t="shared" si="5"/>
        <v>0</v>
      </c>
      <c r="I22" s="114">
        <v>0</v>
      </c>
      <c r="J22" s="114">
        <f t="shared" si="3"/>
        <v>0</v>
      </c>
      <c r="K22" s="114">
        <v>0</v>
      </c>
      <c r="L22" s="295"/>
      <c r="M22" s="327"/>
    </row>
    <row r="23" spans="1:13" ht="25.5" customHeight="1" x14ac:dyDescent="0.25">
      <c r="A23" s="195" t="s">
        <v>642</v>
      </c>
      <c r="B23" s="112">
        <f>B24+B25</f>
        <v>1249</v>
      </c>
      <c r="C23" s="114">
        <v>111</v>
      </c>
      <c r="D23" s="114">
        <f>D24+D25</f>
        <v>1125</v>
      </c>
      <c r="E23" s="114">
        <f t="shared" si="0"/>
        <v>90.072057646116903</v>
      </c>
      <c r="F23" s="114">
        <f t="shared" si="6"/>
        <v>1170</v>
      </c>
      <c r="G23" s="116">
        <f t="shared" si="1"/>
        <v>102.96000000000001</v>
      </c>
      <c r="H23" s="114">
        <f t="shared" si="5"/>
        <v>1181.7</v>
      </c>
      <c r="I23" s="114">
        <f t="shared" si="2"/>
        <v>101</v>
      </c>
      <c r="J23" s="114">
        <f t="shared" si="3"/>
        <v>1193.5170000000001</v>
      </c>
      <c r="K23" s="114">
        <f t="shared" si="4"/>
        <v>101</v>
      </c>
      <c r="L23" s="295"/>
      <c r="M23" s="327"/>
    </row>
    <row r="24" spans="1:13" ht="22.5" customHeight="1" x14ac:dyDescent="0.25">
      <c r="A24" s="195" t="s">
        <v>643</v>
      </c>
      <c r="B24" s="112">
        <v>622</v>
      </c>
      <c r="C24" s="114">
        <v>100</v>
      </c>
      <c r="D24" s="112">
        <v>625</v>
      </c>
      <c r="E24" s="114">
        <f t="shared" si="0"/>
        <v>100.48231511254019</v>
      </c>
      <c r="F24" s="114">
        <f t="shared" si="6"/>
        <v>650</v>
      </c>
      <c r="G24" s="116">
        <f t="shared" si="1"/>
        <v>102.96000000000001</v>
      </c>
      <c r="H24" s="114">
        <f t="shared" si="5"/>
        <v>656.5</v>
      </c>
      <c r="I24" s="114">
        <f t="shared" si="2"/>
        <v>101</v>
      </c>
      <c r="J24" s="114">
        <f t="shared" si="3"/>
        <v>663.06500000000005</v>
      </c>
      <c r="K24" s="114">
        <f t="shared" si="4"/>
        <v>101</v>
      </c>
      <c r="L24" s="295"/>
      <c r="M24" s="327"/>
    </row>
    <row r="25" spans="1:13" ht="15.75" x14ac:dyDescent="0.25">
      <c r="A25" s="195" t="s">
        <v>644</v>
      </c>
      <c r="B25" s="112">
        <v>627</v>
      </c>
      <c r="C25" s="114">
        <v>125</v>
      </c>
      <c r="D25" s="112">
        <v>500</v>
      </c>
      <c r="E25" s="114">
        <f t="shared" si="0"/>
        <v>79.744816586921857</v>
      </c>
      <c r="F25" s="114">
        <f t="shared" si="6"/>
        <v>520</v>
      </c>
      <c r="G25" s="116">
        <f t="shared" si="1"/>
        <v>102.96000000000001</v>
      </c>
      <c r="H25" s="114">
        <f t="shared" si="5"/>
        <v>525.20000000000005</v>
      </c>
      <c r="I25" s="114">
        <f t="shared" si="2"/>
        <v>101</v>
      </c>
      <c r="J25" s="114">
        <f t="shared" si="3"/>
        <v>530.452</v>
      </c>
      <c r="K25" s="114">
        <f t="shared" si="4"/>
        <v>101</v>
      </c>
      <c r="L25" s="295"/>
      <c r="M25" s="327"/>
    </row>
    <row r="26" spans="1:13" ht="47.25" x14ac:dyDescent="0.25">
      <c r="A26" s="194" t="s">
        <v>655</v>
      </c>
      <c r="B26" s="112">
        <v>15</v>
      </c>
      <c r="C26" s="116">
        <v>107</v>
      </c>
      <c r="D26" s="116">
        <v>16</v>
      </c>
      <c r="E26" s="116">
        <f t="shared" si="0"/>
        <v>106.66666666666667</v>
      </c>
      <c r="F26" s="116">
        <f t="shared" si="6"/>
        <v>16.64</v>
      </c>
      <c r="G26" s="116">
        <f t="shared" si="1"/>
        <v>102.96000000000001</v>
      </c>
      <c r="H26" s="116">
        <f t="shared" si="5"/>
        <v>16.8064</v>
      </c>
      <c r="I26" s="116">
        <f>H26/F26*99</f>
        <v>99.99</v>
      </c>
      <c r="J26" s="116">
        <f t="shared" si="3"/>
        <v>16.974464000000001</v>
      </c>
      <c r="K26" s="116">
        <f>J26/H26*99</f>
        <v>99.99</v>
      </c>
      <c r="L26" s="295"/>
      <c r="M26" s="327"/>
    </row>
    <row r="27" spans="1:13" ht="15.75" x14ac:dyDescent="0.25">
      <c r="A27" s="195" t="s">
        <v>656</v>
      </c>
      <c r="B27" s="112">
        <v>15</v>
      </c>
      <c r="C27" s="114">
        <v>107</v>
      </c>
      <c r="D27" s="114">
        <v>16</v>
      </c>
      <c r="E27" s="114">
        <f t="shared" si="0"/>
        <v>106.66666666666667</v>
      </c>
      <c r="F27" s="114">
        <f t="shared" si="6"/>
        <v>16.64</v>
      </c>
      <c r="G27" s="198">
        <f>F27/D27*102.2</f>
        <v>106.28800000000001</v>
      </c>
      <c r="H27" s="114">
        <f t="shared" si="5"/>
        <v>16.8064</v>
      </c>
      <c r="I27" s="116">
        <f>H27/F27*99</f>
        <v>99.99</v>
      </c>
      <c r="J27" s="114">
        <f t="shared" si="3"/>
        <v>16.974464000000001</v>
      </c>
      <c r="K27" s="114">
        <f>J27/H27*99</f>
        <v>99.99</v>
      </c>
      <c r="L27" s="295"/>
      <c r="M27" s="327"/>
    </row>
    <row r="28" spans="1:13" ht="51.75" customHeight="1" x14ac:dyDescent="0.25">
      <c r="A28" s="194" t="s">
        <v>657</v>
      </c>
      <c r="B28" s="112">
        <f>B29+B30</f>
        <v>214580</v>
      </c>
      <c r="C28" s="199">
        <v>99205</v>
      </c>
      <c r="D28" s="199">
        <f>D29+D30</f>
        <v>221017.4</v>
      </c>
      <c r="E28" s="200">
        <f t="shared" si="0"/>
        <v>103</v>
      </c>
      <c r="F28" s="199">
        <f>F29+F30</f>
        <v>233707.09269999998</v>
      </c>
      <c r="G28" s="199">
        <f t="shared" si="1"/>
        <v>104.68407544971572</v>
      </c>
      <c r="H28" s="199">
        <f>H29+H30</f>
        <v>243655.29527299997</v>
      </c>
      <c r="I28" s="114">
        <f t="shared" si="2"/>
        <v>104.25669690126608</v>
      </c>
      <c r="J28" s="199">
        <f>J29+J30</f>
        <v>255838.06003664999</v>
      </c>
      <c r="K28" s="114">
        <f t="shared" si="4"/>
        <v>105</v>
      </c>
      <c r="L28" s="295"/>
      <c r="M28" s="327"/>
    </row>
    <row r="29" spans="1:13" ht="15.75" x14ac:dyDescent="0.25">
      <c r="A29" s="195" t="s">
        <v>641</v>
      </c>
      <c r="B29" s="112">
        <v>55471</v>
      </c>
      <c r="C29" s="200">
        <v>51291</v>
      </c>
      <c r="D29" s="200">
        <f>B29*3/100+B29</f>
        <v>57135.13</v>
      </c>
      <c r="E29" s="200">
        <f t="shared" si="0"/>
        <v>103</v>
      </c>
      <c r="F29" s="200">
        <f>D29*5/100+D29</f>
        <v>59991.886499999993</v>
      </c>
      <c r="G29" s="199">
        <f t="shared" si="1"/>
        <v>103.94999999999999</v>
      </c>
      <c r="H29" s="200">
        <f>F29*5/100+F29</f>
        <v>62991.480824999991</v>
      </c>
      <c r="I29" s="114">
        <f t="shared" si="2"/>
        <v>105</v>
      </c>
      <c r="J29" s="114">
        <f>H29*5/100+H29</f>
        <v>66141.054866249993</v>
      </c>
      <c r="K29" s="114">
        <f t="shared" si="4"/>
        <v>105</v>
      </c>
      <c r="L29" s="295"/>
      <c r="M29" s="327"/>
    </row>
    <row r="30" spans="1:13" ht="15.75" x14ac:dyDescent="0.25">
      <c r="A30" s="195" t="s">
        <v>653</v>
      </c>
      <c r="B30" s="112">
        <v>159109</v>
      </c>
      <c r="C30" s="200">
        <v>147119</v>
      </c>
      <c r="D30" s="200">
        <f>B30*3/100+B30</f>
        <v>163882.26999999999</v>
      </c>
      <c r="E30" s="200">
        <f t="shared" si="0"/>
        <v>103</v>
      </c>
      <c r="F30" s="200">
        <f>D30*6/100+D30</f>
        <v>173715.20619999999</v>
      </c>
      <c r="G30" s="199">
        <f t="shared" si="1"/>
        <v>104.94000000000001</v>
      </c>
      <c r="H30" s="200">
        <f>F30*4/100+F30</f>
        <v>180663.81444799999</v>
      </c>
      <c r="I30" s="114">
        <f t="shared" si="2"/>
        <v>104</v>
      </c>
      <c r="J30" s="200">
        <f>H30*5/100+H30</f>
        <v>189697.00517039999</v>
      </c>
      <c r="K30" s="114">
        <f t="shared" si="4"/>
        <v>105</v>
      </c>
      <c r="L30" s="295"/>
      <c r="M30" s="327"/>
    </row>
    <row r="31" spans="1:13" ht="47.25" x14ac:dyDescent="0.25">
      <c r="A31" s="194" t="s">
        <v>658</v>
      </c>
      <c r="B31" s="112">
        <v>25706</v>
      </c>
      <c r="C31" s="116">
        <v>57</v>
      </c>
      <c r="D31" s="116">
        <v>45438</v>
      </c>
      <c r="E31" s="114">
        <f t="shared" si="0"/>
        <v>176.760289426593</v>
      </c>
      <c r="F31" s="114">
        <f t="shared" ref="F31:F41" si="7">D31*4/100+D31</f>
        <v>47255.519999999997</v>
      </c>
      <c r="G31" s="116">
        <f t="shared" si="1"/>
        <v>102.96000000000001</v>
      </c>
      <c r="H31" s="114">
        <f>F31*3/100+F31</f>
        <v>48673.185599999997</v>
      </c>
      <c r="I31" s="114">
        <f t="shared" si="2"/>
        <v>103</v>
      </c>
      <c r="J31" s="114">
        <f>H31*3/100+H31</f>
        <v>50133.381168</v>
      </c>
      <c r="K31" s="114">
        <f t="shared" si="4"/>
        <v>103</v>
      </c>
      <c r="L31" s="295"/>
      <c r="M31" s="327"/>
    </row>
    <row r="32" spans="1:13" ht="15.75" x14ac:dyDescent="0.25">
      <c r="A32" s="195" t="s">
        <v>641</v>
      </c>
      <c r="B32" s="112">
        <v>6024</v>
      </c>
      <c r="C32" s="114">
        <v>61</v>
      </c>
      <c r="D32" s="114">
        <v>9800</v>
      </c>
      <c r="E32" s="114">
        <f t="shared" si="0"/>
        <v>162.68260292164675</v>
      </c>
      <c r="F32" s="114">
        <f t="shared" si="7"/>
        <v>10192</v>
      </c>
      <c r="G32" s="116">
        <f t="shared" si="1"/>
        <v>102.96000000000001</v>
      </c>
      <c r="H32" s="114">
        <f>F32*4/100+F32</f>
        <v>10599.68</v>
      </c>
      <c r="I32" s="114">
        <f t="shared" si="2"/>
        <v>104</v>
      </c>
      <c r="J32" s="114">
        <f>H32*4/100+H32</f>
        <v>11023.6672</v>
      </c>
      <c r="K32" s="114">
        <f t="shared" si="4"/>
        <v>104</v>
      </c>
      <c r="L32" s="291"/>
      <c r="M32" s="152"/>
    </row>
    <row r="33" spans="1:13" ht="47.25" x14ac:dyDescent="0.25">
      <c r="A33" s="194" t="s">
        <v>659</v>
      </c>
      <c r="B33" s="112">
        <v>21476</v>
      </c>
      <c r="C33" s="116">
        <v>82</v>
      </c>
      <c r="D33" s="116">
        <v>26293</v>
      </c>
      <c r="E33" s="114">
        <f t="shared" si="0"/>
        <v>122.42968895511268</v>
      </c>
      <c r="F33" s="116">
        <f t="shared" si="7"/>
        <v>27344.720000000001</v>
      </c>
      <c r="G33" s="116">
        <f t="shared" si="1"/>
        <v>102.96000000000001</v>
      </c>
      <c r="H33" s="116">
        <f>F33*4/100+F33</f>
        <v>28438.5088</v>
      </c>
      <c r="I33" s="114">
        <f t="shared" si="2"/>
        <v>104</v>
      </c>
      <c r="J33" s="116">
        <f>H33*4/100+H33</f>
        <v>29576.049152</v>
      </c>
      <c r="K33" s="114">
        <f t="shared" si="4"/>
        <v>104</v>
      </c>
      <c r="L33" s="291"/>
      <c r="M33" s="152"/>
    </row>
    <row r="34" spans="1:13" ht="24.75" customHeight="1" x14ac:dyDescent="0.25">
      <c r="A34" s="195" t="s">
        <v>641</v>
      </c>
      <c r="B34" s="112">
        <v>4901</v>
      </c>
      <c r="C34" s="114">
        <v>61</v>
      </c>
      <c r="D34" s="114">
        <v>8054</v>
      </c>
      <c r="E34" s="114">
        <f t="shared" si="0"/>
        <v>164.3338094266476</v>
      </c>
      <c r="F34" s="114">
        <f t="shared" si="7"/>
        <v>8376.16</v>
      </c>
      <c r="G34" s="116">
        <f t="shared" si="1"/>
        <v>102.96000000000001</v>
      </c>
      <c r="H34" s="114">
        <f t="shared" ref="H34:H41" si="8">F34*3/100+F34</f>
        <v>8627.4447999999993</v>
      </c>
      <c r="I34" s="114">
        <f t="shared" si="2"/>
        <v>103</v>
      </c>
      <c r="J34" s="114">
        <f>H34*4/100+H34</f>
        <v>8972.5425919999998</v>
      </c>
      <c r="K34" s="114">
        <f t="shared" si="4"/>
        <v>104</v>
      </c>
      <c r="L34" s="291"/>
      <c r="M34" s="152"/>
    </row>
    <row r="35" spans="1:13" ht="49.5" customHeight="1" x14ac:dyDescent="0.25">
      <c r="A35" s="194" t="s">
        <v>660</v>
      </c>
      <c r="B35" s="112">
        <v>88300</v>
      </c>
      <c r="C35" s="116">
        <v>83231</v>
      </c>
      <c r="D35" s="116">
        <f>B35*3/100+B35</f>
        <v>90949</v>
      </c>
      <c r="E35" s="114">
        <f t="shared" si="0"/>
        <v>103</v>
      </c>
      <c r="F35" s="116">
        <f t="shared" si="7"/>
        <v>94586.96</v>
      </c>
      <c r="G35" s="116">
        <f t="shared" si="1"/>
        <v>102.96000000000001</v>
      </c>
      <c r="H35" s="114">
        <f t="shared" si="8"/>
        <v>97424.568800000008</v>
      </c>
      <c r="I35" s="114">
        <f t="shared" si="2"/>
        <v>103</v>
      </c>
      <c r="J35" s="200">
        <f t="shared" ref="J35:J41" si="9">H35*3/100+H35</f>
        <v>100347.30586400001</v>
      </c>
      <c r="K35" s="114">
        <f t="shared" si="4"/>
        <v>103</v>
      </c>
      <c r="L35" s="291"/>
      <c r="M35" s="152"/>
    </row>
    <row r="36" spans="1:13" ht="58.5" customHeight="1" x14ac:dyDescent="0.25">
      <c r="A36" s="194" t="s">
        <v>661</v>
      </c>
      <c r="B36" s="112">
        <v>13329</v>
      </c>
      <c r="C36" s="116">
        <v>68</v>
      </c>
      <c r="D36" s="116">
        <v>19493</v>
      </c>
      <c r="E36" s="114">
        <f t="shared" si="0"/>
        <v>146.24502963463127</v>
      </c>
      <c r="F36" s="116">
        <f t="shared" si="7"/>
        <v>20272.72</v>
      </c>
      <c r="G36" s="116">
        <f t="shared" si="1"/>
        <v>102.96000000000001</v>
      </c>
      <c r="H36" s="114">
        <f t="shared" si="8"/>
        <v>20880.901600000001</v>
      </c>
      <c r="I36" s="114">
        <f t="shared" si="2"/>
        <v>103</v>
      </c>
      <c r="J36" s="114">
        <f t="shared" si="9"/>
        <v>21507.328648000002</v>
      </c>
      <c r="K36" s="114">
        <f t="shared" si="4"/>
        <v>103</v>
      </c>
      <c r="L36" s="291"/>
      <c r="M36" s="152"/>
    </row>
    <row r="37" spans="1:13" ht="23.25" customHeight="1" x14ac:dyDescent="0.25">
      <c r="A37" s="195" t="s">
        <v>662</v>
      </c>
      <c r="B37" s="112">
        <v>11784</v>
      </c>
      <c r="C37" s="114">
        <v>83</v>
      </c>
      <c r="D37" s="114">
        <v>14150</v>
      </c>
      <c r="E37" s="114">
        <f t="shared" si="0"/>
        <v>120.07807196198235</v>
      </c>
      <c r="F37" s="114">
        <f t="shared" si="7"/>
        <v>14716</v>
      </c>
      <c r="G37" s="116">
        <f t="shared" si="1"/>
        <v>102.96000000000001</v>
      </c>
      <c r="H37" s="114">
        <f t="shared" si="8"/>
        <v>15157.48</v>
      </c>
      <c r="I37" s="114">
        <f t="shared" si="2"/>
        <v>103</v>
      </c>
      <c r="J37" s="114">
        <f t="shared" si="9"/>
        <v>15612.204399999999</v>
      </c>
      <c r="K37" s="114">
        <f t="shared" si="4"/>
        <v>103</v>
      </c>
      <c r="L37" s="291"/>
      <c r="M37" s="152"/>
    </row>
    <row r="38" spans="1:13" ht="49.5" customHeight="1" x14ac:dyDescent="0.25">
      <c r="A38" s="194" t="s">
        <v>663</v>
      </c>
      <c r="B38" s="112">
        <v>9378</v>
      </c>
      <c r="C38" s="116">
        <v>76</v>
      </c>
      <c r="D38" s="116">
        <v>12384</v>
      </c>
      <c r="E38" s="114">
        <f t="shared" si="0"/>
        <v>132.05374280230328</v>
      </c>
      <c r="F38" s="116">
        <f t="shared" si="7"/>
        <v>12879.36</v>
      </c>
      <c r="G38" s="116">
        <f t="shared" si="1"/>
        <v>102.96000000000001</v>
      </c>
      <c r="H38" s="114">
        <f t="shared" si="8"/>
        <v>13265.740800000001</v>
      </c>
      <c r="I38" s="114">
        <f t="shared" si="2"/>
        <v>103</v>
      </c>
      <c r="J38" s="114">
        <f t="shared" si="9"/>
        <v>13663.713024000001</v>
      </c>
      <c r="K38" s="114">
        <f t="shared" si="4"/>
        <v>103</v>
      </c>
      <c r="L38" s="291"/>
      <c r="M38" s="152"/>
    </row>
    <row r="39" spans="1:13" ht="21" customHeight="1" x14ac:dyDescent="0.25">
      <c r="A39" s="195" t="s">
        <v>641</v>
      </c>
      <c r="B39" s="112">
        <v>7918</v>
      </c>
      <c r="C39" s="114">
        <v>75</v>
      </c>
      <c r="D39" s="114">
        <v>10535</v>
      </c>
      <c r="E39" s="114">
        <f t="shared" si="0"/>
        <v>133.05127557464007</v>
      </c>
      <c r="F39" s="114">
        <f t="shared" si="7"/>
        <v>10956.4</v>
      </c>
      <c r="G39" s="116">
        <f t="shared" si="1"/>
        <v>102.96000000000001</v>
      </c>
      <c r="H39" s="114">
        <f t="shared" si="8"/>
        <v>11285.091999999999</v>
      </c>
      <c r="I39" s="114">
        <f t="shared" si="2"/>
        <v>103</v>
      </c>
      <c r="J39" s="114">
        <f t="shared" si="9"/>
        <v>11623.644759999999</v>
      </c>
      <c r="K39" s="114">
        <f t="shared" si="4"/>
        <v>103</v>
      </c>
      <c r="L39" s="291"/>
      <c r="M39" s="152"/>
    </row>
    <row r="40" spans="1:13" ht="56.25" customHeight="1" x14ac:dyDescent="0.25">
      <c r="A40" s="194" t="s">
        <v>664</v>
      </c>
      <c r="B40" s="112">
        <v>20777</v>
      </c>
      <c r="C40" s="116">
        <v>19584</v>
      </c>
      <c r="D40" s="116">
        <f>B40*3/100+B40</f>
        <v>21400.31</v>
      </c>
      <c r="E40" s="114">
        <f t="shared" si="0"/>
        <v>103</v>
      </c>
      <c r="F40" s="116">
        <f t="shared" si="7"/>
        <v>22256.322400000001</v>
      </c>
      <c r="G40" s="116">
        <f t="shared" si="1"/>
        <v>102.96000000000001</v>
      </c>
      <c r="H40" s="114">
        <f t="shared" si="8"/>
        <v>22924.012072000001</v>
      </c>
      <c r="I40" s="114">
        <f t="shared" si="2"/>
        <v>103</v>
      </c>
      <c r="J40" s="114">
        <f t="shared" si="9"/>
        <v>23611.73243416</v>
      </c>
      <c r="K40" s="114">
        <f t="shared" si="4"/>
        <v>103</v>
      </c>
      <c r="L40" s="291"/>
      <c r="M40" s="152"/>
    </row>
    <row r="41" spans="1:13" ht="32.25" customHeight="1" x14ac:dyDescent="0.25">
      <c r="A41" s="195" t="s">
        <v>641</v>
      </c>
      <c r="B41" s="201">
        <v>18180</v>
      </c>
      <c r="C41" s="202">
        <v>103</v>
      </c>
      <c r="D41" s="203">
        <f>B41*3/100+B41</f>
        <v>18725.400000000001</v>
      </c>
      <c r="E41" s="203">
        <f t="shared" si="0"/>
        <v>103</v>
      </c>
      <c r="F41" s="203">
        <f t="shared" si="7"/>
        <v>19474.416000000001</v>
      </c>
      <c r="G41" s="202">
        <f t="shared" si="1"/>
        <v>102.96000000000001</v>
      </c>
      <c r="H41" s="203">
        <f t="shared" si="8"/>
        <v>20058.64848</v>
      </c>
      <c r="I41" s="203">
        <f t="shared" si="2"/>
        <v>103</v>
      </c>
      <c r="J41" s="203">
        <f t="shared" si="9"/>
        <v>20660.407934399998</v>
      </c>
      <c r="K41" s="203">
        <f t="shared" si="4"/>
        <v>103</v>
      </c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0">
    <mergeCell ref="A1:K1"/>
    <mergeCell ref="A2:K2"/>
    <mergeCell ref="A3:A5"/>
    <mergeCell ref="B3:C4"/>
    <mergeCell ref="D3:E4"/>
    <mergeCell ref="F3:G3"/>
    <mergeCell ref="H3:K3"/>
    <mergeCell ref="F4:G4"/>
    <mergeCell ref="H4:I4"/>
    <mergeCell ref="J4:K4"/>
  </mergeCells>
  <pageMargins left="0.43307086614173229" right="0.19685039370078741" top="0.35433070866141736" bottom="0.35433070866141736" header="0" footer="0"/>
  <pageSetup paperSize="9" scale="105" firstPageNumber="127" orientation="landscape" useFirstPageNumber="1" r:id="rId1"/>
  <headerFooter>
    <oddFooter>&amp;C&amp;P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45"/>
  <sheetViews>
    <sheetView view="pageBreakPreview" zoomScale="80" zoomScaleNormal="100" zoomScaleSheetLayoutView="80" workbookViewId="0">
      <selection activeCell="F6" sqref="F6"/>
    </sheetView>
  </sheetViews>
  <sheetFormatPr defaultRowHeight="15" x14ac:dyDescent="0.25"/>
  <cols>
    <col min="1" max="1" width="35.28515625" customWidth="1"/>
    <col min="2" max="2" width="8.85546875" customWidth="1"/>
    <col min="3" max="3" width="9.28515625" customWidth="1"/>
    <col min="4" max="5" width="9.5703125" customWidth="1"/>
    <col min="6" max="6" width="9" customWidth="1"/>
    <col min="7" max="7" width="9.42578125" customWidth="1"/>
    <col min="8" max="9" width="9.5703125" customWidth="1"/>
    <col min="10" max="10" width="9.140625" customWidth="1"/>
    <col min="11" max="11" width="9.5703125" customWidth="1"/>
  </cols>
  <sheetData>
    <row r="1" spans="1:13" ht="51" customHeight="1" x14ac:dyDescent="0.3">
      <c r="A1" s="419" t="s">
        <v>992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345"/>
      <c r="M1" s="346"/>
    </row>
    <row r="2" spans="1:13" ht="25.5" customHeight="1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37"/>
      <c r="M2" s="349"/>
    </row>
    <row r="3" spans="1:13" ht="21.75" customHeight="1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37"/>
      <c r="M3" s="349"/>
    </row>
    <row r="4" spans="1:13" ht="33" customHeight="1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295"/>
      <c r="M4" s="327"/>
    </row>
    <row r="5" spans="1:13" ht="36" x14ac:dyDescent="0.25">
      <c r="A5" s="58" t="s">
        <v>665</v>
      </c>
      <c r="B5" s="17">
        <v>49881</v>
      </c>
      <c r="C5" s="15">
        <v>100</v>
      </c>
      <c r="D5" s="17">
        <v>50000</v>
      </c>
      <c r="E5" s="15">
        <v>100.2</v>
      </c>
      <c r="F5" s="17">
        <v>51000</v>
      </c>
      <c r="G5" s="15">
        <v>102</v>
      </c>
      <c r="H5" s="17">
        <v>52000</v>
      </c>
      <c r="I5" s="15">
        <v>102</v>
      </c>
      <c r="J5" s="17">
        <v>53000</v>
      </c>
      <c r="K5" s="15">
        <v>101.9</v>
      </c>
      <c r="L5" s="295"/>
      <c r="M5" s="327"/>
    </row>
    <row r="6" spans="1:13" ht="54" x14ac:dyDescent="0.25">
      <c r="A6" s="58" t="s">
        <v>666</v>
      </c>
      <c r="B6" s="17">
        <v>90663</v>
      </c>
      <c r="C6" s="15">
        <v>100</v>
      </c>
      <c r="D6" s="17">
        <v>81542</v>
      </c>
      <c r="E6" s="15">
        <v>90</v>
      </c>
      <c r="F6" s="17">
        <v>73387</v>
      </c>
      <c r="G6" s="15">
        <v>90</v>
      </c>
      <c r="H6" s="17">
        <v>66049</v>
      </c>
      <c r="I6" s="15">
        <v>90</v>
      </c>
      <c r="J6" s="17">
        <v>59445</v>
      </c>
      <c r="K6" s="15">
        <v>90</v>
      </c>
      <c r="L6" s="295"/>
      <c r="M6" s="327"/>
    </row>
    <row r="7" spans="1:13" ht="36" x14ac:dyDescent="0.25">
      <c r="A7" s="58" t="s">
        <v>667</v>
      </c>
      <c r="B7" s="17">
        <v>5145</v>
      </c>
      <c r="C7" s="15">
        <v>100</v>
      </c>
      <c r="D7" s="17">
        <v>5180</v>
      </c>
      <c r="E7" s="15">
        <v>100.7</v>
      </c>
      <c r="F7" s="17">
        <v>5215</v>
      </c>
      <c r="G7" s="15">
        <v>100.7</v>
      </c>
      <c r="H7" s="17">
        <v>5250</v>
      </c>
      <c r="I7" s="15">
        <v>100.7</v>
      </c>
      <c r="J7" s="17">
        <v>5285</v>
      </c>
      <c r="K7" s="15">
        <v>100.7</v>
      </c>
      <c r="L7" s="295"/>
      <c r="M7" s="327"/>
    </row>
    <row r="8" spans="1:13" ht="54" x14ac:dyDescent="0.25">
      <c r="A8" s="58" t="s">
        <v>668</v>
      </c>
      <c r="B8" s="17">
        <v>2982</v>
      </c>
      <c r="C8" s="15">
        <v>100</v>
      </c>
      <c r="D8" s="17">
        <v>2982</v>
      </c>
      <c r="E8" s="15">
        <v>100</v>
      </c>
      <c r="F8" s="17">
        <v>2992</v>
      </c>
      <c r="G8" s="15">
        <v>103</v>
      </c>
      <c r="H8" s="17">
        <v>3002</v>
      </c>
      <c r="I8" s="15">
        <v>103</v>
      </c>
      <c r="J8" s="17">
        <v>3012</v>
      </c>
      <c r="K8" s="15">
        <v>103</v>
      </c>
      <c r="L8" s="295"/>
      <c r="M8" s="327"/>
    </row>
    <row r="9" spans="1:13" ht="36" x14ac:dyDescent="0.25">
      <c r="A9" s="58" t="s">
        <v>669</v>
      </c>
      <c r="B9" s="22">
        <v>3</v>
      </c>
      <c r="C9" s="15">
        <v>100</v>
      </c>
      <c r="D9" s="17">
        <v>3</v>
      </c>
      <c r="E9" s="15">
        <v>100</v>
      </c>
      <c r="F9" s="17">
        <v>3</v>
      </c>
      <c r="G9" s="15">
        <v>100</v>
      </c>
      <c r="H9" s="17">
        <v>3</v>
      </c>
      <c r="I9" s="15">
        <v>100</v>
      </c>
      <c r="J9" s="17">
        <v>3</v>
      </c>
      <c r="K9" s="15">
        <v>100</v>
      </c>
      <c r="L9" s="295"/>
      <c r="M9" s="327"/>
    </row>
    <row r="10" spans="1:13" ht="36" x14ac:dyDescent="0.25">
      <c r="A10" s="58" t="s">
        <v>670</v>
      </c>
      <c r="B10" s="22">
        <v>106</v>
      </c>
      <c r="C10" s="15">
        <v>100</v>
      </c>
      <c r="D10" s="22">
        <v>110</v>
      </c>
      <c r="E10" s="15">
        <v>103.8</v>
      </c>
      <c r="F10" s="17">
        <v>113</v>
      </c>
      <c r="G10" s="15">
        <v>102.7</v>
      </c>
      <c r="H10" s="17">
        <v>115</v>
      </c>
      <c r="I10" s="15">
        <v>101</v>
      </c>
      <c r="J10" s="17">
        <v>120</v>
      </c>
      <c r="K10" s="15">
        <v>104.3</v>
      </c>
      <c r="L10" s="295"/>
      <c r="M10" s="327"/>
    </row>
    <row r="11" spans="1:13" ht="54" x14ac:dyDescent="0.25">
      <c r="A11" s="58" t="s">
        <v>962</v>
      </c>
      <c r="B11" s="22"/>
      <c r="C11" s="15"/>
      <c r="D11" s="17"/>
      <c r="E11" s="15"/>
      <c r="F11" s="17"/>
      <c r="G11" s="15"/>
      <c r="H11" s="17"/>
      <c r="I11" s="15"/>
      <c r="J11" s="17"/>
      <c r="K11" s="15"/>
      <c r="L11" s="295"/>
      <c r="M11" s="327"/>
    </row>
    <row r="12" spans="1:13" ht="36" x14ac:dyDescent="0.25">
      <c r="A12" s="58" t="s">
        <v>671</v>
      </c>
      <c r="B12" s="17">
        <v>81126</v>
      </c>
      <c r="C12" s="15">
        <v>103.5</v>
      </c>
      <c r="D12" s="17">
        <v>84452</v>
      </c>
      <c r="E12" s="15">
        <v>104.1</v>
      </c>
      <c r="F12" s="17">
        <v>88702</v>
      </c>
      <c r="G12" s="15">
        <v>105</v>
      </c>
      <c r="H12" s="17">
        <v>93293</v>
      </c>
      <c r="I12" s="15">
        <v>105.2</v>
      </c>
      <c r="J12" s="17">
        <f>H12*105.2%</f>
        <v>98144.236000000004</v>
      </c>
      <c r="K12" s="15">
        <f>J12/H12*100</f>
        <v>105.2</v>
      </c>
      <c r="L12" s="295"/>
      <c r="M12" s="327"/>
    </row>
    <row r="13" spans="1:13" ht="22.5" customHeight="1" x14ac:dyDescent="0.25">
      <c r="A13" s="58" t="s">
        <v>249</v>
      </c>
      <c r="B13" s="17"/>
      <c r="C13" s="15"/>
      <c r="D13" s="17"/>
      <c r="E13" s="16"/>
      <c r="F13" s="17"/>
      <c r="G13" s="16"/>
      <c r="H13" s="17"/>
      <c r="I13" s="16"/>
      <c r="J13" s="17"/>
      <c r="K13" s="15"/>
      <c r="L13" s="295"/>
      <c r="M13" s="327"/>
    </row>
    <row r="14" spans="1:13" ht="24.75" customHeight="1" x14ac:dyDescent="0.25">
      <c r="A14" s="58" t="s">
        <v>672</v>
      </c>
      <c r="B14" s="17">
        <v>20792</v>
      </c>
      <c r="C14" s="15">
        <v>100</v>
      </c>
      <c r="D14" s="17">
        <v>21374</v>
      </c>
      <c r="E14" s="15">
        <v>102.8</v>
      </c>
      <c r="F14" s="17">
        <v>21983</v>
      </c>
      <c r="G14" s="15">
        <v>102.8</v>
      </c>
      <c r="H14" s="17">
        <v>22699</v>
      </c>
      <c r="I14" s="15">
        <v>103.3</v>
      </c>
      <c r="J14" s="17">
        <f>H14*103.3%</f>
        <v>23448.066999999999</v>
      </c>
      <c r="K14" s="15">
        <f t="shared" ref="K14" si="0">J14/H14*100</f>
        <v>103.3</v>
      </c>
      <c r="L14" s="295"/>
      <c r="M14" s="327"/>
    </row>
    <row r="15" spans="1:13" ht="24.75" customHeight="1" x14ac:dyDescent="0.25">
      <c r="A15" s="58" t="s">
        <v>673</v>
      </c>
      <c r="B15" s="17"/>
      <c r="C15" s="15"/>
      <c r="D15" s="17"/>
      <c r="E15" s="15"/>
      <c r="F15" s="17"/>
      <c r="G15" s="15"/>
      <c r="H15" s="17"/>
      <c r="I15" s="15"/>
      <c r="J15" s="17"/>
      <c r="K15" s="15"/>
      <c r="L15" s="295"/>
      <c r="M15" s="327"/>
    </row>
    <row r="16" spans="1:13" ht="36" x14ac:dyDescent="0.25">
      <c r="A16" s="58" t="s">
        <v>674</v>
      </c>
      <c r="B16" s="17">
        <v>260</v>
      </c>
      <c r="C16" s="15">
        <v>100</v>
      </c>
      <c r="D16" s="17">
        <v>260</v>
      </c>
      <c r="E16" s="15">
        <v>100</v>
      </c>
      <c r="F16" s="17">
        <v>260</v>
      </c>
      <c r="G16" s="15">
        <v>100</v>
      </c>
      <c r="H16" s="17">
        <v>260</v>
      </c>
      <c r="I16" s="15">
        <v>100</v>
      </c>
      <c r="J16" s="17">
        <v>260</v>
      </c>
      <c r="K16" s="15">
        <v>100</v>
      </c>
      <c r="L16" s="295"/>
      <c r="M16" s="327"/>
    </row>
    <row r="17" spans="1:13" ht="54" x14ac:dyDescent="0.25">
      <c r="A17" s="58" t="s">
        <v>675</v>
      </c>
      <c r="B17" s="17">
        <v>1355</v>
      </c>
      <c r="C17" s="15">
        <v>100</v>
      </c>
      <c r="D17" s="17">
        <v>1355</v>
      </c>
      <c r="E17" s="15">
        <v>100</v>
      </c>
      <c r="F17" s="17">
        <v>1355</v>
      </c>
      <c r="G17" s="15">
        <v>100</v>
      </c>
      <c r="H17" s="17">
        <v>1355</v>
      </c>
      <c r="I17" s="15">
        <v>100</v>
      </c>
      <c r="J17" s="17">
        <v>1355</v>
      </c>
      <c r="K17" s="15">
        <v>100</v>
      </c>
      <c r="L17" s="295"/>
      <c r="M17" s="327"/>
    </row>
    <row r="18" spans="1:13" ht="36" x14ac:dyDescent="0.25">
      <c r="A18" s="58" t="s">
        <v>676</v>
      </c>
      <c r="B18" s="17"/>
      <c r="C18" s="15"/>
      <c r="D18" s="17"/>
      <c r="E18" s="17"/>
      <c r="F18" s="17"/>
      <c r="G18" s="17"/>
      <c r="H18" s="17"/>
      <c r="I18" s="17"/>
      <c r="J18" s="17"/>
      <c r="K18" s="17"/>
      <c r="L18" s="295"/>
      <c r="M18" s="327"/>
    </row>
    <row r="19" spans="1:13" ht="36" x14ac:dyDescent="0.25">
      <c r="A19" s="58" t="s">
        <v>677</v>
      </c>
      <c r="B19" s="15">
        <v>42.8</v>
      </c>
      <c r="C19" s="15">
        <v>100</v>
      </c>
      <c r="D19" s="15">
        <v>42.8</v>
      </c>
      <c r="E19" s="15">
        <v>100</v>
      </c>
      <c r="F19" s="15">
        <v>43.1</v>
      </c>
      <c r="G19" s="15">
        <v>101</v>
      </c>
      <c r="H19" s="15">
        <v>43.2</v>
      </c>
      <c r="I19" s="15">
        <v>101</v>
      </c>
      <c r="J19" s="15">
        <v>43.2</v>
      </c>
      <c r="K19" s="15">
        <v>101</v>
      </c>
      <c r="L19" s="295"/>
      <c r="M19" s="327"/>
    </row>
    <row r="20" spans="1:13" ht="18" x14ac:dyDescent="0.25">
      <c r="A20" s="58" t="s">
        <v>678</v>
      </c>
      <c r="B20" s="15">
        <v>21.3</v>
      </c>
      <c r="C20" s="15">
        <v>100.7</v>
      </c>
      <c r="D20" s="15">
        <v>21.4</v>
      </c>
      <c r="E20" s="15">
        <v>100.3</v>
      </c>
      <c r="F20" s="15">
        <v>22.3</v>
      </c>
      <c r="G20" s="15">
        <v>104</v>
      </c>
      <c r="H20" s="15">
        <v>24.3</v>
      </c>
      <c r="I20" s="15">
        <v>109</v>
      </c>
      <c r="J20" s="15">
        <v>24.4</v>
      </c>
      <c r="K20" s="15">
        <v>101</v>
      </c>
      <c r="L20" s="295"/>
      <c r="M20" s="327"/>
    </row>
    <row r="21" spans="1:13" ht="36" x14ac:dyDescent="0.25">
      <c r="A21" s="58" t="s">
        <v>679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295"/>
      <c r="M21" s="327"/>
    </row>
    <row r="22" spans="1:13" ht="54" x14ac:dyDescent="0.25">
      <c r="A22" s="58" t="s">
        <v>680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30" orientation="landscape" useFirstPageNumber="1" r:id="rId1"/>
  <headerFooter>
    <oddFooter>&amp;C&amp;P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96" zoomScaleNormal="100" zoomScaleSheetLayoutView="96" workbookViewId="0">
      <selection activeCell="F6" sqref="F6"/>
    </sheetView>
  </sheetViews>
  <sheetFormatPr defaultRowHeight="15" x14ac:dyDescent="0.25"/>
  <cols>
    <col min="1" max="1" width="40.42578125" customWidth="1"/>
    <col min="2" max="2" width="9" customWidth="1"/>
    <col min="3" max="3" width="8.140625" customWidth="1"/>
    <col min="4" max="4" width="9" customWidth="1"/>
    <col min="5" max="5" width="8.42578125" customWidth="1"/>
    <col min="6" max="6" width="9" customWidth="1"/>
    <col min="7" max="7" width="8.7109375" customWidth="1"/>
    <col min="8" max="8" width="9" customWidth="1"/>
    <col min="9" max="9" width="8.42578125" customWidth="1"/>
    <col min="10" max="10" width="9" customWidth="1"/>
    <col min="11" max="11" width="7.5703125" customWidth="1"/>
    <col min="257" max="257" width="40.42578125" customWidth="1"/>
    <col min="258" max="258" width="9" customWidth="1"/>
    <col min="259" max="259" width="8.140625" customWidth="1"/>
    <col min="260" max="260" width="9" customWidth="1"/>
    <col min="261" max="261" width="8.42578125" customWidth="1"/>
    <col min="262" max="262" width="9" customWidth="1"/>
    <col min="263" max="263" width="8.7109375" customWidth="1"/>
    <col min="264" max="264" width="9" customWidth="1"/>
    <col min="265" max="265" width="8.42578125" customWidth="1"/>
    <col min="266" max="266" width="9" customWidth="1"/>
    <col min="267" max="267" width="7.5703125" customWidth="1"/>
    <col min="513" max="513" width="40.42578125" customWidth="1"/>
    <col min="514" max="514" width="9" customWidth="1"/>
    <col min="515" max="515" width="8.140625" customWidth="1"/>
    <col min="516" max="516" width="9" customWidth="1"/>
    <col min="517" max="517" width="8.42578125" customWidth="1"/>
    <col min="518" max="518" width="9" customWidth="1"/>
    <col min="519" max="519" width="8.7109375" customWidth="1"/>
    <col min="520" max="520" width="9" customWidth="1"/>
    <col min="521" max="521" width="8.42578125" customWidth="1"/>
    <col min="522" max="522" width="9" customWidth="1"/>
    <col min="523" max="523" width="7.5703125" customWidth="1"/>
    <col min="769" max="769" width="40.42578125" customWidth="1"/>
    <col min="770" max="770" width="9" customWidth="1"/>
    <col min="771" max="771" width="8.140625" customWidth="1"/>
    <col min="772" max="772" width="9" customWidth="1"/>
    <col min="773" max="773" width="8.42578125" customWidth="1"/>
    <col min="774" max="774" width="9" customWidth="1"/>
    <col min="775" max="775" width="8.7109375" customWidth="1"/>
    <col min="776" max="776" width="9" customWidth="1"/>
    <col min="777" max="777" width="8.42578125" customWidth="1"/>
    <col min="778" max="778" width="9" customWidth="1"/>
    <col min="779" max="779" width="7.5703125" customWidth="1"/>
    <col min="1025" max="1025" width="40.42578125" customWidth="1"/>
    <col min="1026" max="1026" width="9" customWidth="1"/>
    <col min="1027" max="1027" width="8.140625" customWidth="1"/>
    <col min="1028" max="1028" width="9" customWidth="1"/>
    <col min="1029" max="1029" width="8.42578125" customWidth="1"/>
    <col min="1030" max="1030" width="9" customWidth="1"/>
    <col min="1031" max="1031" width="8.7109375" customWidth="1"/>
    <col min="1032" max="1032" width="9" customWidth="1"/>
    <col min="1033" max="1033" width="8.42578125" customWidth="1"/>
    <col min="1034" max="1034" width="9" customWidth="1"/>
    <col min="1035" max="1035" width="7.5703125" customWidth="1"/>
    <col min="1281" max="1281" width="40.42578125" customWidth="1"/>
    <col min="1282" max="1282" width="9" customWidth="1"/>
    <col min="1283" max="1283" width="8.140625" customWidth="1"/>
    <col min="1284" max="1284" width="9" customWidth="1"/>
    <col min="1285" max="1285" width="8.42578125" customWidth="1"/>
    <col min="1286" max="1286" width="9" customWidth="1"/>
    <col min="1287" max="1287" width="8.7109375" customWidth="1"/>
    <col min="1288" max="1288" width="9" customWidth="1"/>
    <col min="1289" max="1289" width="8.42578125" customWidth="1"/>
    <col min="1290" max="1290" width="9" customWidth="1"/>
    <col min="1291" max="1291" width="7.5703125" customWidth="1"/>
    <col min="1537" max="1537" width="40.42578125" customWidth="1"/>
    <col min="1538" max="1538" width="9" customWidth="1"/>
    <col min="1539" max="1539" width="8.140625" customWidth="1"/>
    <col min="1540" max="1540" width="9" customWidth="1"/>
    <col min="1541" max="1541" width="8.42578125" customWidth="1"/>
    <col min="1542" max="1542" width="9" customWidth="1"/>
    <col min="1543" max="1543" width="8.7109375" customWidth="1"/>
    <col min="1544" max="1544" width="9" customWidth="1"/>
    <col min="1545" max="1545" width="8.42578125" customWidth="1"/>
    <col min="1546" max="1546" width="9" customWidth="1"/>
    <col min="1547" max="1547" width="7.5703125" customWidth="1"/>
    <col min="1793" max="1793" width="40.42578125" customWidth="1"/>
    <col min="1794" max="1794" width="9" customWidth="1"/>
    <col min="1795" max="1795" width="8.140625" customWidth="1"/>
    <col min="1796" max="1796" width="9" customWidth="1"/>
    <col min="1797" max="1797" width="8.42578125" customWidth="1"/>
    <col min="1798" max="1798" width="9" customWidth="1"/>
    <col min="1799" max="1799" width="8.7109375" customWidth="1"/>
    <col min="1800" max="1800" width="9" customWidth="1"/>
    <col min="1801" max="1801" width="8.42578125" customWidth="1"/>
    <col min="1802" max="1802" width="9" customWidth="1"/>
    <col min="1803" max="1803" width="7.5703125" customWidth="1"/>
    <col min="2049" max="2049" width="40.42578125" customWidth="1"/>
    <col min="2050" max="2050" width="9" customWidth="1"/>
    <col min="2051" max="2051" width="8.140625" customWidth="1"/>
    <col min="2052" max="2052" width="9" customWidth="1"/>
    <col min="2053" max="2053" width="8.42578125" customWidth="1"/>
    <col min="2054" max="2054" width="9" customWidth="1"/>
    <col min="2055" max="2055" width="8.7109375" customWidth="1"/>
    <col min="2056" max="2056" width="9" customWidth="1"/>
    <col min="2057" max="2057" width="8.42578125" customWidth="1"/>
    <col min="2058" max="2058" width="9" customWidth="1"/>
    <col min="2059" max="2059" width="7.5703125" customWidth="1"/>
    <col min="2305" max="2305" width="40.42578125" customWidth="1"/>
    <col min="2306" max="2306" width="9" customWidth="1"/>
    <col min="2307" max="2307" width="8.140625" customWidth="1"/>
    <col min="2308" max="2308" width="9" customWidth="1"/>
    <col min="2309" max="2309" width="8.42578125" customWidth="1"/>
    <col min="2310" max="2310" width="9" customWidth="1"/>
    <col min="2311" max="2311" width="8.7109375" customWidth="1"/>
    <col min="2312" max="2312" width="9" customWidth="1"/>
    <col min="2313" max="2313" width="8.42578125" customWidth="1"/>
    <col min="2314" max="2314" width="9" customWidth="1"/>
    <col min="2315" max="2315" width="7.5703125" customWidth="1"/>
    <col min="2561" max="2561" width="40.42578125" customWidth="1"/>
    <col min="2562" max="2562" width="9" customWidth="1"/>
    <col min="2563" max="2563" width="8.140625" customWidth="1"/>
    <col min="2564" max="2564" width="9" customWidth="1"/>
    <col min="2565" max="2565" width="8.42578125" customWidth="1"/>
    <col min="2566" max="2566" width="9" customWidth="1"/>
    <col min="2567" max="2567" width="8.7109375" customWidth="1"/>
    <col min="2568" max="2568" width="9" customWidth="1"/>
    <col min="2569" max="2569" width="8.42578125" customWidth="1"/>
    <col min="2570" max="2570" width="9" customWidth="1"/>
    <col min="2571" max="2571" width="7.5703125" customWidth="1"/>
    <col min="2817" max="2817" width="40.42578125" customWidth="1"/>
    <col min="2818" max="2818" width="9" customWidth="1"/>
    <col min="2819" max="2819" width="8.140625" customWidth="1"/>
    <col min="2820" max="2820" width="9" customWidth="1"/>
    <col min="2821" max="2821" width="8.42578125" customWidth="1"/>
    <col min="2822" max="2822" width="9" customWidth="1"/>
    <col min="2823" max="2823" width="8.7109375" customWidth="1"/>
    <col min="2824" max="2824" width="9" customWidth="1"/>
    <col min="2825" max="2825" width="8.42578125" customWidth="1"/>
    <col min="2826" max="2826" width="9" customWidth="1"/>
    <col min="2827" max="2827" width="7.5703125" customWidth="1"/>
    <col min="3073" max="3073" width="40.42578125" customWidth="1"/>
    <col min="3074" max="3074" width="9" customWidth="1"/>
    <col min="3075" max="3075" width="8.140625" customWidth="1"/>
    <col min="3076" max="3076" width="9" customWidth="1"/>
    <col min="3077" max="3077" width="8.42578125" customWidth="1"/>
    <col min="3078" max="3078" width="9" customWidth="1"/>
    <col min="3079" max="3079" width="8.7109375" customWidth="1"/>
    <col min="3080" max="3080" width="9" customWidth="1"/>
    <col min="3081" max="3081" width="8.42578125" customWidth="1"/>
    <col min="3082" max="3082" width="9" customWidth="1"/>
    <col min="3083" max="3083" width="7.5703125" customWidth="1"/>
    <col min="3329" max="3329" width="40.42578125" customWidth="1"/>
    <col min="3330" max="3330" width="9" customWidth="1"/>
    <col min="3331" max="3331" width="8.140625" customWidth="1"/>
    <col min="3332" max="3332" width="9" customWidth="1"/>
    <col min="3333" max="3333" width="8.42578125" customWidth="1"/>
    <col min="3334" max="3334" width="9" customWidth="1"/>
    <col min="3335" max="3335" width="8.7109375" customWidth="1"/>
    <col min="3336" max="3336" width="9" customWidth="1"/>
    <col min="3337" max="3337" width="8.42578125" customWidth="1"/>
    <col min="3338" max="3338" width="9" customWidth="1"/>
    <col min="3339" max="3339" width="7.5703125" customWidth="1"/>
    <col min="3585" max="3585" width="40.42578125" customWidth="1"/>
    <col min="3586" max="3586" width="9" customWidth="1"/>
    <col min="3587" max="3587" width="8.140625" customWidth="1"/>
    <col min="3588" max="3588" width="9" customWidth="1"/>
    <col min="3589" max="3589" width="8.42578125" customWidth="1"/>
    <col min="3590" max="3590" width="9" customWidth="1"/>
    <col min="3591" max="3591" width="8.7109375" customWidth="1"/>
    <col min="3592" max="3592" width="9" customWidth="1"/>
    <col min="3593" max="3593" width="8.42578125" customWidth="1"/>
    <col min="3594" max="3594" width="9" customWidth="1"/>
    <col min="3595" max="3595" width="7.5703125" customWidth="1"/>
    <col min="3841" max="3841" width="40.42578125" customWidth="1"/>
    <col min="3842" max="3842" width="9" customWidth="1"/>
    <col min="3843" max="3843" width="8.140625" customWidth="1"/>
    <col min="3844" max="3844" width="9" customWidth="1"/>
    <col min="3845" max="3845" width="8.42578125" customWidth="1"/>
    <col min="3846" max="3846" width="9" customWidth="1"/>
    <col min="3847" max="3847" width="8.7109375" customWidth="1"/>
    <col min="3848" max="3848" width="9" customWidth="1"/>
    <col min="3849" max="3849" width="8.42578125" customWidth="1"/>
    <col min="3850" max="3850" width="9" customWidth="1"/>
    <col min="3851" max="3851" width="7.5703125" customWidth="1"/>
    <col min="4097" max="4097" width="40.42578125" customWidth="1"/>
    <col min="4098" max="4098" width="9" customWidth="1"/>
    <col min="4099" max="4099" width="8.140625" customWidth="1"/>
    <col min="4100" max="4100" width="9" customWidth="1"/>
    <col min="4101" max="4101" width="8.42578125" customWidth="1"/>
    <col min="4102" max="4102" width="9" customWidth="1"/>
    <col min="4103" max="4103" width="8.7109375" customWidth="1"/>
    <col min="4104" max="4104" width="9" customWidth="1"/>
    <col min="4105" max="4105" width="8.42578125" customWidth="1"/>
    <col min="4106" max="4106" width="9" customWidth="1"/>
    <col min="4107" max="4107" width="7.5703125" customWidth="1"/>
    <col min="4353" max="4353" width="40.42578125" customWidth="1"/>
    <col min="4354" max="4354" width="9" customWidth="1"/>
    <col min="4355" max="4355" width="8.140625" customWidth="1"/>
    <col min="4356" max="4356" width="9" customWidth="1"/>
    <col min="4357" max="4357" width="8.42578125" customWidth="1"/>
    <col min="4358" max="4358" width="9" customWidth="1"/>
    <col min="4359" max="4359" width="8.7109375" customWidth="1"/>
    <col min="4360" max="4360" width="9" customWidth="1"/>
    <col min="4361" max="4361" width="8.42578125" customWidth="1"/>
    <col min="4362" max="4362" width="9" customWidth="1"/>
    <col min="4363" max="4363" width="7.5703125" customWidth="1"/>
    <col min="4609" max="4609" width="40.42578125" customWidth="1"/>
    <col min="4610" max="4610" width="9" customWidth="1"/>
    <col min="4611" max="4611" width="8.140625" customWidth="1"/>
    <col min="4612" max="4612" width="9" customWidth="1"/>
    <col min="4613" max="4613" width="8.42578125" customWidth="1"/>
    <col min="4614" max="4614" width="9" customWidth="1"/>
    <col min="4615" max="4615" width="8.7109375" customWidth="1"/>
    <col min="4616" max="4616" width="9" customWidth="1"/>
    <col min="4617" max="4617" width="8.42578125" customWidth="1"/>
    <col min="4618" max="4618" width="9" customWidth="1"/>
    <col min="4619" max="4619" width="7.5703125" customWidth="1"/>
    <col min="4865" max="4865" width="40.42578125" customWidth="1"/>
    <col min="4866" max="4866" width="9" customWidth="1"/>
    <col min="4867" max="4867" width="8.140625" customWidth="1"/>
    <col min="4868" max="4868" width="9" customWidth="1"/>
    <col min="4869" max="4869" width="8.42578125" customWidth="1"/>
    <col min="4870" max="4870" width="9" customWidth="1"/>
    <col min="4871" max="4871" width="8.7109375" customWidth="1"/>
    <col min="4872" max="4872" width="9" customWidth="1"/>
    <col min="4873" max="4873" width="8.42578125" customWidth="1"/>
    <col min="4874" max="4874" width="9" customWidth="1"/>
    <col min="4875" max="4875" width="7.5703125" customWidth="1"/>
    <col min="5121" max="5121" width="40.42578125" customWidth="1"/>
    <col min="5122" max="5122" width="9" customWidth="1"/>
    <col min="5123" max="5123" width="8.140625" customWidth="1"/>
    <col min="5124" max="5124" width="9" customWidth="1"/>
    <col min="5125" max="5125" width="8.42578125" customWidth="1"/>
    <col min="5126" max="5126" width="9" customWidth="1"/>
    <col min="5127" max="5127" width="8.7109375" customWidth="1"/>
    <col min="5128" max="5128" width="9" customWidth="1"/>
    <col min="5129" max="5129" width="8.42578125" customWidth="1"/>
    <col min="5130" max="5130" width="9" customWidth="1"/>
    <col min="5131" max="5131" width="7.5703125" customWidth="1"/>
    <col min="5377" max="5377" width="40.42578125" customWidth="1"/>
    <col min="5378" max="5378" width="9" customWidth="1"/>
    <col min="5379" max="5379" width="8.140625" customWidth="1"/>
    <col min="5380" max="5380" width="9" customWidth="1"/>
    <col min="5381" max="5381" width="8.42578125" customWidth="1"/>
    <col min="5382" max="5382" width="9" customWidth="1"/>
    <col min="5383" max="5383" width="8.7109375" customWidth="1"/>
    <col min="5384" max="5384" width="9" customWidth="1"/>
    <col min="5385" max="5385" width="8.42578125" customWidth="1"/>
    <col min="5386" max="5386" width="9" customWidth="1"/>
    <col min="5387" max="5387" width="7.5703125" customWidth="1"/>
    <col min="5633" max="5633" width="40.42578125" customWidth="1"/>
    <col min="5634" max="5634" width="9" customWidth="1"/>
    <col min="5635" max="5635" width="8.140625" customWidth="1"/>
    <col min="5636" max="5636" width="9" customWidth="1"/>
    <col min="5637" max="5637" width="8.42578125" customWidth="1"/>
    <col min="5638" max="5638" width="9" customWidth="1"/>
    <col min="5639" max="5639" width="8.7109375" customWidth="1"/>
    <col min="5640" max="5640" width="9" customWidth="1"/>
    <col min="5641" max="5641" width="8.42578125" customWidth="1"/>
    <col min="5642" max="5642" width="9" customWidth="1"/>
    <col min="5643" max="5643" width="7.5703125" customWidth="1"/>
    <col min="5889" max="5889" width="40.42578125" customWidth="1"/>
    <col min="5890" max="5890" width="9" customWidth="1"/>
    <col min="5891" max="5891" width="8.140625" customWidth="1"/>
    <col min="5892" max="5892" width="9" customWidth="1"/>
    <col min="5893" max="5893" width="8.42578125" customWidth="1"/>
    <col min="5894" max="5894" width="9" customWidth="1"/>
    <col min="5895" max="5895" width="8.7109375" customWidth="1"/>
    <col min="5896" max="5896" width="9" customWidth="1"/>
    <col min="5897" max="5897" width="8.42578125" customWidth="1"/>
    <col min="5898" max="5898" width="9" customWidth="1"/>
    <col min="5899" max="5899" width="7.5703125" customWidth="1"/>
    <col min="6145" max="6145" width="40.42578125" customWidth="1"/>
    <col min="6146" max="6146" width="9" customWidth="1"/>
    <col min="6147" max="6147" width="8.140625" customWidth="1"/>
    <col min="6148" max="6148" width="9" customWidth="1"/>
    <col min="6149" max="6149" width="8.42578125" customWidth="1"/>
    <col min="6150" max="6150" width="9" customWidth="1"/>
    <col min="6151" max="6151" width="8.7109375" customWidth="1"/>
    <col min="6152" max="6152" width="9" customWidth="1"/>
    <col min="6153" max="6153" width="8.42578125" customWidth="1"/>
    <col min="6154" max="6154" width="9" customWidth="1"/>
    <col min="6155" max="6155" width="7.5703125" customWidth="1"/>
    <col min="6401" max="6401" width="40.42578125" customWidth="1"/>
    <col min="6402" max="6402" width="9" customWidth="1"/>
    <col min="6403" max="6403" width="8.140625" customWidth="1"/>
    <col min="6404" max="6404" width="9" customWidth="1"/>
    <col min="6405" max="6405" width="8.42578125" customWidth="1"/>
    <col min="6406" max="6406" width="9" customWidth="1"/>
    <col min="6407" max="6407" width="8.7109375" customWidth="1"/>
    <col min="6408" max="6408" width="9" customWidth="1"/>
    <col min="6409" max="6409" width="8.42578125" customWidth="1"/>
    <col min="6410" max="6410" width="9" customWidth="1"/>
    <col min="6411" max="6411" width="7.5703125" customWidth="1"/>
    <col min="6657" max="6657" width="40.42578125" customWidth="1"/>
    <col min="6658" max="6658" width="9" customWidth="1"/>
    <col min="6659" max="6659" width="8.140625" customWidth="1"/>
    <col min="6660" max="6660" width="9" customWidth="1"/>
    <col min="6661" max="6661" width="8.42578125" customWidth="1"/>
    <col min="6662" max="6662" width="9" customWidth="1"/>
    <col min="6663" max="6663" width="8.7109375" customWidth="1"/>
    <col min="6664" max="6664" width="9" customWidth="1"/>
    <col min="6665" max="6665" width="8.42578125" customWidth="1"/>
    <col min="6666" max="6666" width="9" customWidth="1"/>
    <col min="6667" max="6667" width="7.5703125" customWidth="1"/>
    <col min="6913" max="6913" width="40.42578125" customWidth="1"/>
    <col min="6914" max="6914" width="9" customWidth="1"/>
    <col min="6915" max="6915" width="8.140625" customWidth="1"/>
    <col min="6916" max="6916" width="9" customWidth="1"/>
    <col min="6917" max="6917" width="8.42578125" customWidth="1"/>
    <col min="6918" max="6918" width="9" customWidth="1"/>
    <col min="6919" max="6919" width="8.7109375" customWidth="1"/>
    <col min="6920" max="6920" width="9" customWidth="1"/>
    <col min="6921" max="6921" width="8.42578125" customWidth="1"/>
    <col min="6922" max="6922" width="9" customWidth="1"/>
    <col min="6923" max="6923" width="7.5703125" customWidth="1"/>
    <col min="7169" max="7169" width="40.42578125" customWidth="1"/>
    <col min="7170" max="7170" width="9" customWidth="1"/>
    <col min="7171" max="7171" width="8.140625" customWidth="1"/>
    <col min="7172" max="7172" width="9" customWidth="1"/>
    <col min="7173" max="7173" width="8.42578125" customWidth="1"/>
    <col min="7174" max="7174" width="9" customWidth="1"/>
    <col min="7175" max="7175" width="8.7109375" customWidth="1"/>
    <col min="7176" max="7176" width="9" customWidth="1"/>
    <col min="7177" max="7177" width="8.42578125" customWidth="1"/>
    <col min="7178" max="7178" width="9" customWidth="1"/>
    <col min="7179" max="7179" width="7.5703125" customWidth="1"/>
    <col min="7425" max="7425" width="40.42578125" customWidth="1"/>
    <col min="7426" max="7426" width="9" customWidth="1"/>
    <col min="7427" max="7427" width="8.140625" customWidth="1"/>
    <col min="7428" max="7428" width="9" customWidth="1"/>
    <col min="7429" max="7429" width="8.42578125" customWidth="1"/>
    <col min="7430" max="7430" width="9" customWidth="1"/>
    <col min="7431" max="7431" width="8.7109375" customWidth="1"/>
    <col min="7432" max="7432" width="9" customWidth="1"/>
    <col min="7433" max="7433" width="8.42578125" customWidth="1"/>
    <col min="7434" max="7434" width="9" customWidth="1"/>
    <col min="7435" max="7435" width="7.5703125" customWidth="1"/>
    <col min="7681" max="7681" width="40.42578125" customWidth="1"/>
    <col min="7682" max="7682" width="9" customWidth="1"/>
    <col min="7683" max="7683" width="8.140625" customWidth="1"/>
    <col min="7684" max="7684" width="9" customWidth="1"/>
    <col min="7685" max="7685" width="8.42578125" customWidth="1"/>
    <col min="7686" max="7686" width="9" customWidth="1"/>
    <col min="7687" max="7687" width="8.7109375" customWidth="1"/>
    <col min="7688" max="7688" width="9" customWidth="1"/>
    <col min="7689" max="7689" width="8.42578125" customWidth="1"/>
    <col min="7690" max="7690" width="9" customWidth="1"/>
    <col min="7691" max="7691" width="7.5703125" customWidth="1"/>
    <col min="7937" max="7937" width="40.42578125" customWidth="1"/>
    <col min="7938" max="7938" width="9" customWidth="1"/>
    <col min="7939" max="7939" width="8.140625" customWidth="1"/>
    <col min="7940" max="7940" width="9" customWidth="1"/>
    <col min="7941" max="7941" width="8.42578125" customWidth="1"/>
    <col min="7942" max="7942" width="9" customWidth="1"/>
    <col min="7943" max="7943" width="8.7109375" customWidth="1"/>
    <col min="7944" max="7944" width="9" customWidth="1"/>
    <col min="7945" max="7945" width="8.42578125" customWidth="1"/>
    <col min="7946" max="7946" width="9" customWidth="1"/>
    <col min="7947" max="7947" width="7.5703125" customWidth="1"/>
    <col min="8193" max="8193" width="40.42578125" customWidth="1"/>
    <col min="8194" max="8194" width="9" customWidth="1"/>
    <col min="8195" max="8195" width="8.140625" customWidth="1"/>
    <col min="8196" max="8196" width="9" customWidth="1"/>
    <col min="8197" max="8197" width="8.42578125" customWidth="1"/>
    <col min="8198" max="8198" width="9" customWidth="1"/>
    <col min="8199" max="8199" width="8.7109375" customWidth="1"/>
    <col min="8200" max="8200" width="9" customWidth="1"/>
    <col min="8201" max="8201" width="8.42578125" customWidth="1"/>
    <col min="8202" max="8202" width="9" customWidth="1"/>
    <col min="8203" max="8203" width="7.5703125" customWidth="1"/>
    <col min="8449" max="8449" width="40.42578125" customWidth="1"/>
    <col min="8450" max="8450" width="9" customWidth="1"/>
    <col min="8451" max="8451" width="8.140625" customWidth="1"/>
    <col min="8452" max="8452" width="9" customWidth="1"/>
    <col min="8453" max="8453" width="8.42578125" customWidth="1"/>
    <col min="8454" max="8454" width="9" customWidth="1"/>
    <col min="8455" max="8455" width="8.7109375" customWidth="1"/>
    <col min="8456" max="8456" width="9" customWidth="1"/>
    <col min="8457" max="8457" width="8.42578125" customWidth="1"/>
    <col min="8458" max="8458" width="9" customWidth="1"/>
    <col min="8459" max="8459" width="7.5703125" customWidth="1"/>
    <col min="8705" max="8705" width="40.42578125" customWidth="1"/>
    <col min="8706" max="8706" width="9" customWidth="1"/>
    <col min="8707" max="8707" width="8.140625" customWidth="1"/>
    <col min="8708" max="8708" width="9" customWidth="1"/>
    <col min="8709" max="8709" width="8.42578125" customWidth="1"/>
    <col min="8710" max="8710" width="9" customWidth="1"/>
    <col min="8711" max="8711" width="8.7109375" customWidth="1"/>
    <col min="8712" max="8712" width="9" customWidth="1"/>
    <col min="8713" max="8713" width="8.42578125" customWidth="1"/>
    <col min="8714" max="8714" width="9" customWidth="1"/>
    <col min="8715" max="8715" width="7.5703125" customWidth="1"/>
    <col min="8961" max="8961" width="40.42578125" customWidth="1"/>
    <col min="8962" max="8962" width="9" customWidth="1"/>
    <col min="8963" max="8963" width="8.140625" customWidth="1"/>
    <col min="8964" max="8964" width="9" customWidth="1"/>
    <col min="8965" max="8965" width="8.42578125" customWidth="1"/>
    <col min="8966" max="8966" width="9" customWidth="1"/>
    <col min="8967" max="8967" width="8.7109375" customWidth="1"/>
    <col min="8968" max="8968" width="9" customWidth="1"/>
    <col min="8969" max="8969" width="8.42578125" customWidth="1"/>
    <col min="8970" max="8970" width="9" customWidth="1"/>
    <col min="8971" max="8971" width="7.5703125" customWidth="1"/>
    <col min="9217" max="9217" width="40.42578125" customWidth="1"/>
    <col min="9218" max="9218" width="9" customWidth="1"/>
    <col min="9219" max="9219" width="8.140625" customWidth="1"/>
    <col min="9220" max="9220" width="9" customWidth="1"/>
    <col min="9221" max="9221" width="8.42578125" customWidth="1"/>
    <col min="9222" max="9222" width="9" customWidth="1"/>
    <col min="9223" max="9223" width="8.7109375" customWidth="1"/>
    <col min="9224" max="9224" width="9" customWidth="1"/>
    <col min="9225" max="9225" width="8.42578125" customWidth="1"/>
    <col min="9226" max="9226" width="9" customWidth="1"/>
    <col min="9227" max="9227" width="7.5703125" customWidth="1"/>
    <col min="9473" max="9473" width="40.42578125" customWidth="1"/>
    <col min="9474" max="9474" width="9" customWidth="1"/>
    <col min="9475" max="9475" width="8.140625" customWidth="1"/>
    <col min="9476" max="9476" width="9" customWidth="1"/>
    <col min="9477" max="9477" width="8.42578125" customWidth="1"/>
    <col min="9478" max="9478" width="9" customWidth="1"/>
    <col min="9479" max="9479" width="8.7109375" customWidth="1"/>
    <col min="9480" max="9480" width="9" customWidth="1"/>
    <col min="9481" max="9481" width="8.42578125" customWidth="1"/>
    <col min="9482" max="9482" width="9" customWidth="1"/>
    <col min="9483" max="9483" width="7.5703125" customWidth="1"/>
    <col min="9729" max="9729" width="40.42578125" customWidth="1"/>
    <col min="9730" max="9730" width="9" customWidth="1"/>
    <col min="9731" max="9731" width="8.140625" customWidth="1"/>
    <col min="9732" max="9732" width="9" customWidth="1"/>
    <col min="9733" max="9733" width="8.42578125" customWidth="1"/>
    <col min="9734" max="9734" width="9" customWidth="1"/>
    <col min="9735" max="9735" width="8.7109375" customWidth="1"/>
    <col min="9736" max="9736" width="9" customWidth="1"/>
    <col min="9737" max="9737" width="8.42578125" customWidth="1"/>
    <col min="9738" max="9738" width="9" customWidth="1"/>
    <col min="9739" max="9739" width="7.5703125" customWidth="1"/>
    <col min="9985" max="9985" width="40.42578125" customWidth="1"/>
    <col min="9986" max="9986" width="9" customWidth="1"/>
    <col min="9987" max="9987" width="8.140625" customWidth="1"/>
    <col min="9988" max="9988" width="9" customWidth="1"/>
    <col min="9989" max="9989" width="8.42578125" customWidth="1"/>
    <col min="9990" max="9990" width="9" customWidth="1"/>
    <col min="9991" max="9991" width="8.7109375" customWidth="1"/>
    <col min="9992" max="9992" width="9" customWidth="1"/>
    <col min="9993" max="9993" width="8.42578125" customWidth="1"/>
    <col min="9994" max="9994" width="9" customWidth="1"/>
    <col min="9995" max="9995" width="7.5703125" customWidth="1"/>
    <col min="10241" max="10241" width="40.42578125" customWidth="1"/>
    <col min="10242" max="10242" width="9" customWidth="1"/>
    <col min="10243" max="10243" width="8.140625" customWidth="1"/>
    <col min="10244" max="10244" width="9" customWidth="1"/>
    <col min="10245" max="10245" width="8.42578125" customWidth="1"/>
    <col min="10246" max="10246" width="9" customWidth="1"/>
    <col min="10247" max="10247" width="8.7109375" customWidth="1"/>
    <col min="10248" max="10248" width="9" customWidth="1"/>
    <col min="10249" max="10249" width="8.42578125" customWidth="1"/>
    <col min="10250" max="10250" width="9" customWidth="1"/>
    <col min="10251" max="10251" width="7.5703125" customWidth="1"/>
    <col min="10497" max="10497" width="40.42578125" customWidth="1"/>
    <col min="10498" max="10498" width="9" customWidth="1"/>
    <col min="10499" max="10499" width="8.140625" customWidth="1"/>
    <col min="10500" max="10500" width="9" customWidth="1"/>
    <col min="10501" max="10501" width="8.42578125" customWidth="1"/>
    <col min="10502" max="10502" width="9" customWidth="1"/>
    <col min="10503" max="10503" width="8.7109375" customWidth="1"/>
    <col min="10504" max="10504" width="9" customWidth="1"/>
    <col min="10505" max="10505" width="8.42578125" customWidth="1"/>
    <col min="10506" max="10506" width="9" customWidth="1"/>
    <col min="10507" max="10507" width="7.5703125" customWidth="1"/>
    <col min="10753" max="10753" width="40.42578125" customWidth="1"/>
    <col min="10754" max="10754" width="9" customWidth="1"/>
    <col min="10755" max="10755" width="8.140625" customWidth="1"/>
    <col min="10756" max="10756" width="9" customWidth="1"/>
    <col min="10757" max="10757" width="8.42578125" customWidth="1"/>
    <col min="10758" max="10758" width="9" customWidth="1"/>
    <col min="10759" max="10759" width="8.7109375" customWidth="1"/>
    <col min="10760" max="10760" width="9" customWidth="1"/>
    <col min="10761" max="10761" width="8.42578125" customWidth="1"/>
    <col min="10762" max="10762" width="9" customWidth="1"/>
    <col min="10763" max="10763" width="7.5703125" customWidth="1"/>
    <col min="11009" max="11009" width="40.42578125" customWidth="1"/>
    <col min="11010" max="11010" width="9" customWidth="1"/>
    <col min="11011" max="11011" width="8.140625" customWidth="1"/>
    <col min="11012" max="11012" width="9" customWidth="1"/>
    <col min="11013" max="11013" width="8.42578125" customWidth="1"/>
    <col min="11014" max="11014" width="9" customWidth="1"/>
    <col min="11015" max="11015" width="8.7109375" customWidth="1"/>
    <col min="11016" max="11016" width="9" customWidth="1"/>
    <col min="11017" max="11017" width="8.42578125" customWidth="1"/>
    <col min="11018" max="11018" width="9" customWidth="1"/>
    <col min="11019" max="11019" width="7.5703125" customWidth="1"/>
    <col min="11265" max="11265" width="40.42578125" customWidth="1"/>
    <col min="11266" max="11266" width="9" customWidth="1"/>
    <col min="11267" max="11267" width="8.140625" customWidth="1"/>
    <col min="11268" max="11268" width="9" customWidth="1"/>
    <col min="11269" max="11269" width="8.42578125" customWidth="1"/>
    <col min="11270" max="11270" width="9" customWidth="1"/>
    <col min="11271" max="11271" width="8.7109375" customWidth="1"/>
    <col min="11272" max="11272" width="9" customWidth="1"/>
    <col min="11273" max="11273" width="8.42578125" customWidth="1"/>
    <col min="11274" max="11274" width="9" customWidth="1"/>
    <col min="11275" max="11275" width="7.5703125" customWidth="1"/>
    <col min="11521" max="11521" width="40.42578125" customWidth="1"/>
    <col min="11522" max="11522" width="9" customWidth="1"/>
    <col min="11523" max="11523" width="8.140625" customWidth="1"/>
    <col min="11524" max="11524" width="9" customWidth="1"/>
    <col min="11525" max="11525" width="8.42578125" customWidth="1"/>
    <col min="11526" max="11526" width="9" customWidth="1"/>
    <col min="11527" max="11527" width="8.7109375" customWidth="1"/>
    <col min="11528" max="11528" width="9" customWidth="1"/>
    <col min="11529" max="11529" width="8.42578125" customWidth="1"/>
    <col min="11530" max="11530" width="9" customWidth="1"/>
    <col min="11531" max="11531" width="7.5703125" customWidth="1"/>
    <col min="11777" max="11777" width="40.42578125" customWidth="1"/>
    <col min="11778" max="11778" width="9" customWidth="1"/>
    <col min="11779" max="11779" width="8.140625" customWidth="1"/>
    <col min="11780" max="11780" width="9" customWidth="1"/>
    <col min="11781" max="11781" width="8.42578125" customWidth="1"/>
    <col min="11782" max="11782" width="9" customWidth="1"/>
    <col min="11783" max="11783" width="8.7109375" customWidth="1"/>
    <col min="11784" max="11784" width="9" customWidth="1"/>
    <col min="11785" max="11785" width="8.42578125" customWidth="1"/>
    <col min="11786" max="11786" width="9" customWidth="1"/>
    <col min="11787" max="11787" width="7.5703125" customWidth="1"/>
    <col min="12033" max="12033" width="40.42578125" customWidth="1"/>
    <col min="12034" max="12034" width="9" customWidth="1"/>
    <col min="12035" max="12035" width="8.140625" customWidth="1"/>
    <col min="12036" max="12036" width="9" customWidth="1"/>
    <col min="12037" max="12037" width="8.42578125" customWidth="1"/>
    <col min="12038" max="12038" width="9" customWidth="1"/>
    <col min="12039" max="12039" width="8.7109375" customWidth="1"/>
    <col min="12040" max="12040" width="9" customWidth="1"/>
    <col min="12041" max="12041" width="8.42578125" customWidth="1"/>
    <col min="12042" max="12042" width="9" customWidth="1"/>
    <col min="12043" max="12043" width="7.5703125" customWidth="1"/>
    <col min="12289" max="12289" width="40.42578125" customWidth="1"/>
    <col min="12290" max="12290" width="9" customWidth="1"/>
    <col min="12291" max="12291" width="8.140625" customWidth="1"/>
    <col min="12292" max="12292" width="9" customWidth="1"/>
    <col min="12293" max="12293" width="8.42578125" customWidth="1"/>
    <col min="12294" max="12294" width="9" customWidth="1"/>
    <col min="12295" max="12295" width="8.7109375" customWidth="1"/>
    <col min="12296" max="12296" width="9" customWidth="1"/>
    <col min="12297" max="12297" width="8.42578125" customWidth="1"/>
    <col min="12298" max="12298" width="9" customWidth="1"/>
    <col min="12299" max="12299" width="7.5703125" customWidth="1"/>
    <col min="12545" max="12545" width="40.42578125" customWidth="1"/>
    <col min="12546" max="12546" width="9" customWidth="1"/>
    <col min="12547" max="12547" width="8.140625" customWidth="1"/>
    <col min="12548" max="12548" width="9" customWidth="1"/>
    <col min="12549" max="12549" width="8.42578125" customWidth="1"/>
    <col min="12550" max="12550" width="9" customWidth="1"/>
    <col min="12551" max="12551" width="8.7109375" customWidth="1"/>
    <col min="12552" max="12552" width="9" customWidth="1"/>
    <col min="12553" max="12553" width="8.42578125" customWidth="1"/>
    <col min="12554" max="12554" width="9" customWidth="1"/>
    <col min="12555" max="12555" width="7.5703125" customWidth="1"/>
    <col min="12801" max="12801" width="40.42578125" customWidth="1"/>
    <col min="12802" max="12802" width="9" customWidth="1"/>
    <col min="12803" max="12803" width="8.140625" customWidth="1"/>
    <col min="12804" max="12804" width="9" customWidth="1"/>
    <col min="12805" max="12805" width="8.42578125" customWidth="1"/>
    <col min="12806" max="12806" width="9" customWidth="1"/>
    <col min="12807" max="12807" width="8.7109375" customWidth="1"/>
    <col min="12808" max="12808" width="9" customWidth="1"/>
    <col min="12809" max="12809" width="8.42578125" customWidth="1"/>
    <col min="12810" max="12810" width="9" customWidth="1"/>
    <col min="12811" max="12811" width="7.5703125" customWidth="1"/>
    <col min="13057" max="13057" width="40.42578125" customWidth="1"/>
    <col min="13058" max="13058" width="9" customWidth="1"/>
    <col min="13059" max="13059" width="8.140625" customWidth="1"/>
    <col min="13060" max="13060" width="9" customWidth="1"/>
    <col min="13061" max="13061" width="8.42578125" customWidth="1"/>
    <col min="13062" max="13062" width="9" customWidth="1"/>
    <col min="13063" max="13063" width="8.7109375" customWidth="1"/>
    <col min="13064" max="13064" width="9" customWidth="1"/>
    <col min="13065" max="13065" width="8.42578125" customWidth="1"/>
    <col min="13066" max="13066" width="9" customWidth="1"/>
    <col min="13067" max="13067" width="7.5703125" customWidth="1"/>
    <col min="13313" max="13313" width="40.42578125" customWidth="1"/>
    <col min="13314" max="13314" width="9" customWidth="1"/>
    <col min="13315" max="13315" width="8.140625" customWidth="1"/>
    <col min="13316" max="13316" width="9" customWidth="1"/>
    <col min="13317" max="13317" width="8.42578125" customWidth="1"/>
    <col min="13318" max="13318" width="9" customWidth="1"/>
    <col min="13319" max="13319" width="8.7109375" customWidth="1"/>
    <col min="13320" max="13320" width="9" customWidth="1"/>
    <col min="13321" max="13321" width="8.42578125" customWidth="1"/>
    <col min="13322" max="13322" width="9" customWidth="1"/>
    <col min="13323" max="13323" width="7.5703125" customWidth="1"/>
    <col min="13569" max="13569" width="40.42578125" customWidth="1"/>
    <col min="13570" max="13570" width="9" customWidth="1"/>
    <col min="13571" max="13571" width="8.140625" customWidth="1"/>
    <col min="13572" max="13572" width="9" customWidth="1"/>
    <col min="13573" max="13573" width="8.42578125" customWidth="1"/>
    <col min="13574" max="13574" width="9" customWidth="1"/>
    <col min="13575" max="13575" width="8.7109375" customWidth="1"/>
    <col min="13576" max="13576" width="9" customWidth="1"/>
    <col min="13577" max="13577" width="8.42578125" customWidth="1"/>
    <col min="13578" max="13578" width="9" customWidth="1"/>
    <col min="13579" max="13579" width="7.5703125" customWidth="1"/>
    <col min="13825" max="13825" width="40.42578125" customWidth="1"/>
    <col min="13826" max="13826" width="9" customWidth="1"/>
    <col min="13827" max="13827" width="8.140625" customWidth="1"/>
    <col min="13828" max="13828" width="9" customWidth="1"/>
    <col min="13829" max="13829" width="8.42578125" customWidth="1"/>
    <col min="13830" max="13830" width="9" customWidth="1"/>
    <col min="13831" max="13831" width="8.7109375" customWidth="1"/>
    <col min="13832" max="13832" width="9" customWidth="1"/>
    <col min="13833" max="13833" width="8.42578125" customWidth="1"/>
    <col min="13834" max="13834" width="9" customWidth="1"/>
    <col min="13835" max="13835" width="7.5703125" customWidth="1"/>
    <col min="14081" max="14081" width="40.42578125" customWidth="1"/>
    <col min="14082" max="14082" width="9" customWidth="1"/>
    <col min="14083" max="14083" width="8.140625" customWidth="1"/>
    <col min="14084" max="14084" width="9" customWidth="1"/>
    <col min="14085" max="14085" width="8.42578125" customWidth="1"/>
    <col min="14086" max="14086" width="9" customWidth="1"/>
    <col min="14087" max="14087" width="8.7109375" customWidth="1"/>
    <col min="14088" max="14088" width="9" customWidth="1"/>
    <col min="14089" max="14089" width="8.42578125" customWidth="1"/>
    <col min="14090" max="14090" width="9" customWidth="1"/>
    <col min="14091" max="14091" width="7.5703125" customWidth="1"/>
    <col min="14337" max="14337" width="40.42578125" customWidth="1"/>
    <col min="14338" max="14338" width="9" customWidth="1"/>
    <col min="14339" max="14339" width="8.140625" customWidth="1"/>
    <col min="14340" max="14340" width="9" customWidth="1"/>
    <col min="14341" max="14341" width="8.42578125" customWidth="1"/>
    <col min="14342" max="14342" width="9" customWidth="1"/>
    <col min="14343" max="14343" width="8.7109375" customWidth="1"/>
    <col min="14344" max="14344" width="9" customWidth="1"/>
    <col min="14345" max="14345" width="8.42578125" customWidth="1"/>
    <col min="14346" max="14346" width="9" customWidth="1"/>
    <col min="14347" max="14347" width="7.5703125" customWidth="1"/>
    <col min="14593" max="14593" width="40.42578125" customWidth="1"/>
    <col min="14594" max="14594" width="9" customWidth="1"/>
    <col min="14595" max="14595" width="8.140625" customWidth="1"/>
    <col min="14596" max="14596" width="9" customWidth="1"/>
    <col min="14597" max="14597" width="8.42578125" customWidth="1"/>
    <col min="14598" max="14598" width="9" customWidth="1"/>
    <col min="14599" max="14599" width="8.7109375" customWidth="1"/>
    <col min="14600" max="14600" width="9" customWidth="1"/>
    <col min="14601" max="14601" width="8.42578125" customWidth="1"/>
    <col min="14602" max="14602" width="9" customWidth="1"/>
    <col min="14603" max="14603" width="7.5703125" customWidth="1"/>
    <col min="14849" max="14849" width="40.42578125" customWidth="1"/>
    <col min="14850" max="14850" width="9" customWidth="1"/>
    <col min="14851" max="14851" width="8.140625" customWidth="1"/>
    <col min="14852" max="14852" width="9" customWidth="1"/>
    <col min="14853" max="14853" width="8.42578125" customWidth="1"/>
    <col min="14854" max="14854" width="9" customWidth="1"/>
    <col min="14855" max="14855" width="8.7109375" customWidth="1"/>
    <col min="14856" max="14856" width="9" customWidth="1"/>
    <col min="14857" max="14857" width="8.42578125" customWidth="1"/>
    <col min="14858" max="14858" width="9" customWidth="1"/>
    <col min="14859" max="14859" width="7.5703125" customWidth="1"/>
    <col min="15105" max="15105" width="40.42578125" customWidth="1"/>
    <col min="15106" max="15106" width="9" customWidth="1"/>
    <col min="15107" max="15107" width="8.140625" customWidth="1"/>
    <col min="15108" max="15108" width="9" customWidth="1"/>
    <col min="15109" max="15109" width="8.42578125" customWidth="1"/>
    <col min="15110" max="15110" width="9" customWidth="1"/>
    <col min="15111" max="15111" width="8.7109375" customWidth="1"/>
    <col min="15112" max="15112" width="9" customWidth="1"/>
    <col min="15113" max="15113" width="8.42578125" customWidth="1"/>
    <col min="15114" max="15114" width="9" customWidth="1"/>
    <col min="15115" max="15115" width="7.5703125" customWidth="1"/>
    <col min="15361" max="15361" width="40.42578125" customWidth="1"/>
    <col min="15362" max="15362" width="9" customWidth="1"/>
    <col min="15363" max="15363" width="8.140625" customWidth="1"/>
    <col min="15364" max="15364" width="9" customWidth="1"/>
    <col min="15365" max="15365" width="8.42578125" customWidth="1"/>
    <col min="15366" max="15366" width="9" customWidth="1"/>
    <col min="15367" max="15367" width="8.7109375" customWidth="1"/>
    <col min="15368" max="15368" width="9" customWidth="1"/>
    <col min="15369" max="15369" width="8.42578125" customWidth="1"/>
    <col min="15370" max="15370" width="9" customWidth="1"/>
    <col min="15371" max="15371" width="7.5703125" customWidth="1"/>
    <col min="15617" max="15617" width="40.42578125" customWidth="1"/>
    <col min="15618" max="15618" width="9" customWidth="1"/>
    <col min="15619" max="15619" width="8.140625" customWidth="1"/>
    <col min="15620" max="15620" width="9" customWidth="1"/>
    <col min="15621" max="15621" width="8.42578125" customWidth="1"/>
    <col min="15622" max="15622" width="9" customWidth="1"/>
    <col min="15623" max="15623" width="8.7109375" customWidth="1"/>
    <col min="15624" max="15624" width="9" customWidth="1"/>
    <col min="15625" max="15625" width="8.42578125" customWidth="1"/>
    <col min="15626" max="15626" width="9" customWidth="1"/>
    <col min="15627" max="15627" width="7.5703125" customWidth="1"/>
    <col min="15873" max="15873" width="40.42578125" customWidth="1"/>
    <col min="15874" max="15874" width="9" customWidth="1"/>
    <col min="15875" max="15875" width="8.140625" customWidth="1"/>
    <col min="15876" max="15876" width="9" customWidth="1"/>
    <col min="15877" max="15877" width="8.42578125" customWidth="1"/>
    <col min="15878" max="15878" width="9" customWidth="1"/>
    <col min="15879" max="15879" width="8.7109375" customWidth="1"/>
    <col min="15880" max="15880" width="9" customWidth="1"/>
    <col min="15881" max="15881" width="8.42578125" customWidth="1"/>
    <col min="15882" max="15882" width="9" customWidth="1"/>
    <col min="15883" max="15883" width="7.5703125" customWidth="1"/>
    <col min="16129" max="16129" width="40.42578125" customWidth="1"/>
    <col min="16130" max="16130" width="9" customWidth="1"/>
    <col min="16131" max="16131" width="8.140625" customWidth="1"/>
    <col min="16132" max="16132" width="9" customWidth="1"/>
    <col min="16133" max="16133" width="8.42578125" customWidth="1"/>
    <col min="16134" max="16134" width="9" customWidth="1"/>
    <col min="16135" max="16135" width="8.7109375" customWidth="1"/>
    <col min="16136" max="16136" width="9" customWidth="1"/>
    <col min="16137" max="16137" width="8.42578125" customWidth="1"/>
    <col min="16138" max="16138" width="9" customWidth="1"/>
    <col min="16139" max="16139" width="7.5703125" customWidth="1"/>
  </cols>
  <sheetData>
    <row r="1" spans="1:13" ht="38.25" customHeight="1" x14ac:dyDescent="0.3">
      <c r="A1" s="403" t="s">
        <v>993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17.25" customHeight="1" x14ac:dyDescent="0.25">
      <c r="A2" s="395" t="s">
        <v>681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37"/>
      <c r="M2" s="349"/>
    </row>
    <row r="3" spans="1:13" ht="19.5" customHeight="1" x14ac:dyDescent="0.25">
      <c r="A3" s="386" t="s">
        <v>1</v>
      </c>
      <c r="B3" s="386" t="s">
        <v>888</v>
      </c>
      <c r="C3" s="386"/>
      <c r="D3" s="386" t="s">
        <v>909</v>
      </c>
      <c r="E3" s="386"/>
      <c r="F3" s="389" t="s">
        <v>8</v>
      </c>
      <c r="G3" s="389"/>
      <c r="H3" s="386" t="s">
        <v>4</v>
      </c>
      <c r="I3" s="386"/>
      <c r="J3" s="386"/>
      <c r="K3" s="386"/>
      <c r="L3" s="337"/>
      <c r="M3" s="349"/>
    </row>
    <row r="4" spans="1:13" ht="18.75" customHeight="1" x14ac:dyDescent="0.25">
      <c r="A4" s="386"/>
      <c r="B4" s="386"/>
      <c r="C4" s="386"/>
      <c r="D4" s="386"/>
      <c r="E4" s="386"/>
      <c r="F4" s="389" t="s">
        <v>246</v>
      </c>
      <c r="G4" s="389"/>
      <c r="H4" s="386" t="s">
        <v>247</v>
      </c>
      <c r="I4" s="386"/>
      <c r="J4" s="386" t="s">
        <v>877</v>
      </c>
      <c r="K4" s="386"/>
      <c r="L4" s="295"/>
      <c r="M4" s="327"/>
    </row>
    <row r="5" spans="1:13" ht="30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295"/>
      <c r="M5" s="327"/>
    </row>
    <row r="6" spans="1:13" ht="18" x14ac:dyDescent="0.25">
      <c r="A6" s="287" t="s">
        <v>235</v>
      </c>
      <c r="B6" s="192">
        <v>5834.4</v>
      </c>
      <c r="C6" s="61">
        <v>101.4</v>
      </c>
      <c r="D6" s="192">
        <v>5916</v>
      </c>
      <c r="E6" s="61">
        <v>101.4</v>
      </c>
      <c r="F6" s="192">
        <v>5998.8</v>
      </c>
      <c r="G6" s="61">
        <v>101.4</v>
      </c>
      <c r="H6" s="192">
        <v>6082.7</v>
      </c>
      <c r="I6" s="61">
        <v>101.4</v>
      </c>
      <c r="J6" s="193">
        <v>6169.8</v>
      </c>
      <c r="K6" s="192">
        <v>101.4</v>
      </c>
      <c r="L6" s="295"/>
      <c r="M6" s="327"/>
    </row>
    <row r="7" spans="1:13" ht="36" x14ac:dyDescent="0.25">
      <c r="A7" s="86" t="s">
        <v>682</v>
      </c>
      <c r="B7" s="15">
        <v>2570.4</v>
      </c>
      <c r="C7" s="15">
        <v>101</v>
      </c>
      <c r="D7" s="15">
        <v>2622.2</v>
      </c>
      <c r="E7" s="15">
        <v>102</v>
      </c>
      <c r="F7" s="17">
        <v>2666.5</v>
      </c>
      <c r="G7" s="15">
        <v>101.7</v>
      </c>
      <c r="H7" s="15">
        <v>2702.1</v>
      </c>
      <c r="I7" s="15">
        <v>101.3</v>
      </c>
      <c r="J7" s="17">
        <v>2762.5</v>
      </c>
      <c r="K7" s="15">
        <v>102.2</v>
      </c>
      <c r="L7" s="295"/>
      <c r="M7" s="327"/>
    </row>
    <row r="8" spans="1:13" ht="18" x14ac:dyDescent="0.25">
      <c r="A8" s="86" t="s">
        <v>249</v>
      </c>
      <c r="B8" s="17"/>
      <c r="C8" s="15"/>
      <c r="D8" s="17"/>
      <c r="E8" s="15"/>
      <c r="F8" s="17"/>
      <c r="G8" s="15"/>
      <c r="H8" s="17"/>
      <c r="I8" s="15"/>
      <c r="J8" s="17"/>
      <c r="K8" s="15"/>
      <c r="L8" s="295"/>
      <c r="M8" s="327"/>
    </row>
    <row r="9" spans="1:13" ht="18" x14ac:dyDescent="0.25">
      <c r="A9" s="287" t="s">
        <v>683</v>
      </c>
      <c r="B9" s="193">
        <v>1856.2</v>
      </c>
      <c r="C9" s="61">
        <v>100.9</v>
      </c>
      <c r="D9" s="192">
        <v>1875.7</v>
      </c>
      <c r="E9" s="61">
        <v>101.1</v>
      </c>
      <c r="F9" s="193">
        <v>1894.9</v>
      </c>
      <c r="G9" s="61">
        <v>101</v>
      </c>
      <c r="H9" s="192">
        <v>1906</v>
      </c>
      <c r="I9" s="61">
        <v>100.6</v>
      </c>
      <c r="J9" s="193">
        <v>1925</v>
      </c>
      <c r="K9" s="192">
        <v>101</v>
      </c>
      <c r="L9" s="295"/>
      <c r="M9" s="327"/>
    </row>
    <row r="10" spans="1:13" ht="36" x14ac:dyDescent="0.25">
      <c r="A10" s="86" t="s">
        <v>684</v>
      </c>
      <c r="B10" s="17">
        <v>1611.3</v>
      </c>
      <c r="C10" s="15">
        <v>100.2</v>
      </c>
      <c r="D10" s="15">
        <v>1624.4</v>
      </c>
      <c r="E10" s="15">
        <v>100.8</v>
      </c>
      <c r="F10" s="17">
        <v>1632.6</v>
      </c>
      <c r="G10" s="15">
        <v>100.5</v>
      </c>
      <c r="H10" s="17">
        <v>1645.2</v>
      </c>
      <c r="I10" s="15">
        <v>100.8</v>
      </c>
      <c r="J10" s="17">
        <v>1652.4</v>
      </c>
      <c r="K10" s="15">
        <v>100.4</v>
      </c>
      <c r="L10" s="295"/>
      <c r="M10" s="327"/>
    </row>
    <row r="11" spans="1:13" ht="36" x14ac:dyDescent="0.25">
      <c r="A11" s="86" t="s">
        <v>685</v>
      </c>
      <c r="B11" s="17">
        <v>16.899999999999999</v>
      </c>
      <c r="C11" s="15">
        <v>101.8</v>
      </c>
      <c r="D11" s="17">
        <v>17.2</v>
      </c>
      <c r="E11" s="15">
        <v>101.8</v>
      </c>
      <c r="F11" s="17">
        <v>20.2</v>
      </c>
      <c r="G11" s="15">
        <v>117.4</v>
      </c>
      <c r="H11" s="17">
        <v>25.9</v>
      </c>
      <c r="I11" s="15">
        <v>128.19999999999999</v>
      </c>
      <c r="J11" s="15">
        <v>30</v>
      </c>
      <c r="K11" s="15">
        <v>115.8</v>
      </c>
      <c r="L11" s="295"/>
      <c r="M11" s="327"/>
    </row>
    <row r="12" spans="1:13" ht="18" x14ac:dyDescent="0.25">
      <c r="A12" s="86" t="s">
        <v>686</v>
      </c>
      <c r="B12" s="17">
        <v>115.9</v>
      </c>
      <c r="C12" s="15">
        <v>113.1</v>
      </c>
      <c r="D12" s="17">
        <v>118.3</v>
      </c>
      <c r="E12" s="15">
        <v>102.1</v>
      </c>
      <c r="F12" s="17">
        <v>120.8</v>
      </c>
      <c r="G12" s="15">
        <v>102.1</v>
      </c>
      <c r="H12" s="17">
        <v>110.5</v>
      </c>
      <c r="I12" s="15">
        <v>91.5</v>
      </c>
      <c r="J12" s="17">
        <v>116.2</v>
      </c>
      <c r="K12" s="15">
        <v>105.2</v>
      </c>
      <c r="L12" s="295"/>
      <c r="M12" s="327"/>
    </row>
    <row r="13" spans="1:13" ht="18" x14ac:dyDescent="0.25">
      <c r="A13" s="86" t="s">
        <v>687</v>
      </c>
      <c r="B13" s="17">
        <v>112.1</v>
      </c>
      <c r="C13" s="15">
        <v>112</v>
      </c>
      <c r="D13" s="17">
        <v>115.8</v>
      </c>
      <c r="E13" s="15">
        <v>103.3</v>
      </c>
      <c r="F13" s="15">
        <v>121.3</v>
      </c>
      <c r="G13" s="15">
        <v>104.7</v>
      </c>
      <c r="H13" s="17">
        <v>124.4</v>
      </c>
      <c r="I13" s="15">
        <v>102.6</v>
      </c>
      <c r="J13" s="17">
        <v>126.4</v>
      </c>
      <c r="K13" s="15">
        <v>101.6</v>
      </c>
      <c r="L13" s="295"/>
      <c r="M13" s="332"/>
    </row>
    <row r="14" spans="1:13" ht="18" x14ac:dyDescent="0.25">
      <c r="A14" s="287" t="s">
        <v>688</v>
      </c>
      <c r="B14" s="193">
        <v>714.2</v>
      </c>
      <c r="C14" s="61">
        <v>101.2</v>
      </c>
      <c r="D14" s="192">
        <v>746.5</v>
      </c>
      <c r="E14" s="61">
        <v>104.5</v>
      </c>
      <c r="F14" s="192">
        <v>771.6</v>
      </c>
      <c r="G14" s="61">
        <v>103.4</v>
      </c>
      <c r="H14" s="192">
        <v>796.41</v>
      </c>
      <c r="I14" s="61">
        <v>103.2</v>
      </c>
      <c r="J14" s="193">
        <v>837.5</v>
      </c>
      <c r="K14" s="192">
        <v>105.23</v>
      </c>
      <c r="L14" s="296"/>
      <c r="M14" s="327"/>
    </row>
    <row r="15" spans="1:13" ht="38.25" customHeight="1" x14ac:dyDescent="0.25">
      <c r="A15" s="86" t="s">
        <v>689</v>
      </c>
      <c r="B15" s="17">
        <v>116</v>
      </c>
      <c r="C15" s="15">
        <v>101</v>
      </c>
      <c r="D15" s="17">
        <v>118.2</v>
      </c>
      <c r="E15" s="15">
        <v>101.9</v>
      </c>
      <c r="F15" s="15">
        <v>121.5</v>
      </c>
      <c r="G15" s="15">
        <v>102.8</v>
      </c>
      <c r="H15" s="17">
        <v>123.2</v>
      </c>
      <c r="I15" s="15">
        <v>101.4</v>
      </c>
      <c r="J15" s="17">
        <v>128.5</v>
      </c>
      <c r="K15" s="15">
        <v>104.3</v>
      </c>
      <c r="L15" s="295"/>
      <c r="M15" s="327"/>
    </row>
    <row r="16" spans="1:13" ht="18" customHeight="1" x14ac:dyDescent="0.25">
      <c r="A16" s="297" t="s">
        <v>690</v>
      </c>
      <c r="B16" s="17">
        <v>51.5</v>
      </c>
      <c r="C16" s="15">
        <v>101</v>
      </c>
      <c r="D16" s="17">
        <v>53.6</v>
      </c>
      <c r="E16" s="15">
        <v>104.1</v>
      </c>
      <c r="F16" s="17">
        <v>54.4</v>
      </c>
      <c r="G16" s="15">
        <v>101.5</v>
      </c>
      <c r="H16" s="17">
        <v>55.3</v>
      </c>
      <c r="I16" s="15">
        <v>101.7</v>
      </c>
      <c r="J16" s="17">
        <v>62.2</v>
      </c>
      <c r="K16" s="15">
        <v>112.5</v>
      </c>
      <c r="L16" s="295"/>
      <c r="M16" s="327"/>
    </row>
    <row r="17" spans="1:13" ht="18" x14ac:dyDescent="0.25">
      <c r="A17" s="297" t="s">
        <v>691</v>
      </c>
      <c r="B17" s="17">
        <v>11.8</v>
      </c>
      <c r="C17" s="15">
        <v>100.9</v>
      </c>
      <c r="D17" s="15">
        <v>13</v>
      </c>
      <c r="E17" s="15">
        <v>110.2</v>
      </c>
      <c r="F17" s="17">
        <v>14.1</v>
      </c>
      <c r="G17" s="15">
        <v>108.5</v>
      </c>
      <c r="H17" s="17">
        <v>14.6</v>
      </c>
      <c r="I17" s="15">
        <v>103.5</v>
      </c>
      <c r="J17" s="17">
        <v>16.5</v>
      </c>
      <c r="K17" s="15">
        <v>113</v>
      </c>
      <c r="L17" s="295"/>
      <c r="M17" s="327"/>
    </row>
    <row r="18" spans="1:13" ht="18" customHeight="1" x14ac:dyDescent="0.25">
      <c r="A18" s="298" t="s">
        <v>692</v>
      </c>
      <c r="B18" s="15">
        <v>5.3</v>
      </c>
      <c r="C18" s="15">
        <v>112.8</v>
      </c>
      <c r="D18" s="17">
        <v>5.5</v>
      </c>
      <c r="E18" s="15">
        <v>103.8</v>
      </c>
      <c r="F18" s="17">
        <v>6.1</v>
      </c>
      <c r="G18" s="15">
        <v>110.9</v>
      </c>
      <c r="H18" s="17">
        <v>6.5</v>
      </c>
      <c r="I18" s="15">
        <v>106.6</v>
      </c>
      <c r="J18" s="17">
        <v>7.1</v>
      </c>
      <c r="K18" s="15">
        <v>109.2</v>
      </c>
      <c r="L18" s="295"/>
      <c r="M18" s="327"/>
    </row>
    <row r="19" spans="1:13" ht="18.75" customHeight="1" x14ac:dyDescent="0.25">
      <c r="A19" s="86" t="s">
        <v>693</v>
      </c>
      <c r="B19" s="15">
        <v>17.100000000000001</v>
      </c>
      <c r="C19" s="15">
        <v>100.6</v>
      </c>
      <c r="D19" s="17">
        <v>19.8</v>
      </c>
      <c r="E19" s="15">
        <v>115.8</v>
      </c>
      <c r="F19" s="17">
        <v>21.6</v>
      </c>
      <c r="G19" s="15">
        <v>109.1</v>
      </c>
      <c r="H19" s="17">
        <v>23.4</v>
      </c>
      <c r="I19" s="15">
        <v>108.3</v>
      </c>
      <c r="J19" s="15">
        <v>26.8</v>
      </c>
      <c r="K19" s="15">
        <v>114.5</v>
      </c>
      <c r="L19" s="295"/>
      <c r="M19" s="327"/>
    </row>
    <row r="20" spans="1:13" ht="36" x14ac:dyDescent="0.25">
      <c r="A20" s="299" t="s">
        <v>694</v>
      </c>
      <c r="B20" s="17">
        <v>21.4</v>
      </c>
      <c r="C20" s="15">
        <v>100.9</v>
      </c>
      <c r="D20" s="17">
        <v>24.1</v>
      </c>
      <c r="E20" s="15">
        <v>112.6</v>
      </c>
      <c r="F20" s="17">
        <v>26.8</v>
      </c>
      <c r="G20" s="15">
        <v>111.2</v>
      </c>
      <c r="H20" s="17">
        <v>29.7</v>
      </c>
      <c r="I20" s="15">
        <v>110.8</v>
      </c>
      <c r="J20" s="15">
        <v>33.799999999999997</v>
      </c>
      <c r="K20" s="15">
        <v>113.8</v>
      </c>
      <c r="L20" s="295"/>
      <c r="M20" s="327"/>
    </row>
    <row r="21" spans="1:13" ht="37.5" customHeight="1" x14ac:dyDescent="0.25">
      <c r="A21" s="299" t="s">
        <v>695</v>
      </c>
      <c r="B21" s="17">
        <v>6.5</v>
      </c>
      <c r="C21" s="15">
        <v>104.8</v>
      </c>
      <c r="D21" s="17">
        <v>7</v>
      </c>
      <c r="E21" s="15">
        <v>107.7</v>
      </c>
      <c r="F21" s="17">
        <v>7.1</v>
      </c>
      <c r="G21" s="15">
        <v>101.4</v>
      </c>
      <c r="H21" s="17">
        <v>7.5</v>
      </c>
      <c r="I21" s="15">
        <v>105.6</v>
      </c>
      <c r="J21" s="15">
        <v>8</v>
      </c>
      <c r="K21" s="15">
        <v>106.7</v>
      </c>
      <c r="L21" s="295"/>
      <c r="M21" s="327"/>
    </row>
    <row r="22" spans="1:13" ht="34.5" customHeight="1" x14ac:dyDescent="0.25">
      <c r="A22" s="299" t="s">
        <v>696</v>
      </c>
      <c r="B22" s="17">
        <v>23</v>
      </c>
      <c r="C22" s="15">
        <v>101.3</v>
      </c>
      <c r="D22" s="17">
        <v>24.2</v>
      </c>
      <c r="E22" s="15">
        <v>105.2</v>
      </c>
      <c r="F22" s="15">
        <v>27</v>
      </c>
      <c r="G22" s="15">
        <v>111.6</v>
      </c>
      <c r="H22" s="17">
        <v>31.2</v>
      </c>
      <c r="I22" s="15">
        <v>115.6</v>
      </c>
      <c r="J22" s="17">
        <v>35.4</v>
      </c>
      <c r="K22" s="15">
        <v>113.5</v>
      </c>
      <c r="L22" s="295"/>
      <c r="M22" s="327"/>
    </row>
    <row r="23" spans="1:13" ht="48" customHeight="1" x14ac:dyDescent="0.25">
      <c r="A23" s="287" t="s">
        <v>697</v>
      </c>
      <c r="B23" s="193">
        <v>50.2</v>
      </c>
      <c r="C23" s="61">
        <v>100.8</v>
      </c>
      <c r="D23" s="193">
        <v>52.2</v>
      </c>
      <c r="E23" s="61">
        <v>104</v>
      </c>
      <c r="F23" s="193">
        <v>53.9</v>
      </c>
      <c r="G23" s="61">
        <v>103.3</v>
      </c>
      <c r="H23" s="193">
        <v>55.8</v>
      </c>
      <c r="I23" s="61">
        <v>103.5</v>
      </c>
      <c r="J23" s="193">
        <v>61.1</v>
      </c>
      <c r="K23" s="192">
        <v>109.5</v>
      </c>
      <c r="L23" s="295"/>
      <c r="M23" s="327"/>
    </row>
    <row r="24" spans="1:13" ht="36" customHeight="1" x14ac:dyDescent="0.25">
      <c r="A24" s="299" t="s">
        <v>692</v>
      </c>
      <c r="B24" s="15">
        <v>5.5</v>
      </c>
      <c r="C24" s="15">
        <v>100</v>
      </c>
      <c r="D24" s="15">
        <v>6</v>
      </c>
      <c r="E24" s="15">
        <v>109.1</v>
      </c>
      <c r="F24" s="17">
        <v>6.8</v>
      </c>
      <c r="G24" s="15">
        <v>113.3</v>
      </c>
      <c r="H24" s="17">
        <v>7.2</v>
      </c>
      <c r="I24" s="15">
        <v>105.9</v>
      </c>
      <c r="J24" s="15">
        <v>8.1</v>
      </c>
      <c r="K24" s="15">
        <v>112.5</v>
      </c>
      <c r="L24" s="295"/>
      <c r="M24" s="327"/>
    </row>
    <row r="25" spans="1:13" ht="20.25" customHeight="1" x14ac:dyDescent="0.25">
      <c r="A25" s="86" t="s">
        <v>582</v>
      </c>
      <c r="B25" s="17">
        <v>254.7</v>
      </c>
      <c r="C25" s="15">
        <v>101</v>
      </c>
      <c r="D25" s="15">
        <v>256</v>
      </c>
      <c r="E25" s="15">
        <v>100.5</v>
      </c>
      <c r="F25" s="17">
        <v>261.39999999999998</v>
      </c>
      <c r="G25" s="15">
        <v>102.1</v>
      </c>
      <c r="H25" s="17">
        <v>270.3</v>
      </c>
      <c r="I25" s="15">
        <v>103.4</v>
      </c>
      <c r="J25" s="17">
        <v>275.39999999999998</v>
      </c>
      <c r="K25" s="15">
        <v>101.9</v>
      </c>
      <c r="L25" s="295"/>
      <c r="M25" s="327"/>
    </row>
    <row r="26" spans="1:13" ht="35.25" customHeight="1" x14ac:dyDescent="0.25">
      <c r="A26" s="300" t="s">
        <v>698</v>
      </c>
      <c r="B26" s="17">
        <v>122.7</v>
      </c>
      <c r="C26" s="15">
        <v>102.3</v>
      </c>
      <c r="D26" s="17">
        <v>125.5</v>
      </c>
      <c r="E26" s="15">
        <v>102.3</v>
      </c>
      <c r="F26" s="17">
        <v>126.2</v>
      </c>
      <c r="G26" s="15">
        <v>100.6</v>
      </c>
      <c r="H26" s="17">
        <v>128.9</v>
      </c>
      <c r="I26" s="15">
        <v>102.1</v>
      </c>
      <c r="J26" s="17">
        <v>131.19999999999999</v>
      </c>
      <c r="K26" s="15">
        <v>101.8</v>
      </c>
      <c r="L26" s="295"/>
      <c r="M26" s="327"/>
    </row>
    <row r="27" spans="1:13" ht="20.25" customHeight="1" x14ac:dyDescent="0.25">
      <c r="A27" s="299" t="s">
        <v>699</v>
      </c>
      <c r="B27" s="17">
        <v>13.9</v>
      </c>
      <c r="C27" s="15">
        <v>100.7</v>
      </c>
      <c r="D27" s="17">
        <v>15.6</v>
      </c>
      <c r="E27" s="15">
        <v>112.2</v>
      </c>
      <c r="F27" s="17">
        <v>16.100000000000001</v>
      </c>
      <c r="G27" s="15">
        <v>103.2</v>
      </c>
      <c r="H27" s="17">
        <v>17.399999999999999</v>
      </c>
      <c r="I27" s="15">
        <v>108.1</v>
      </c>
      <c r="J27" s="15">
        <v>18</v>
      </c>
      <c r="K27" s="15">
        <v>103.4</v>
      </c>
      <c r="L27" s="295"/>
      <c r="M27" s="327"/>
    </row>
    <row r="28" spans="1:13" ht="23.25" customHeight="1" x14ac:dyDescent="0.25">
      <c r="A28" s="299" t="s">
        <v>700</v>
      </c>
      <c r="B28" s="17">
        <v>19.7</v>
      </c>
      <c r="C28" s="15">
        <v>100.5</v>
      </c>
      <c r="D28" s="17">
        <v>25.6</v>
      </c>
      <c r="E28" s="15">
        <v>129.9</v>
      </c>
      <c r="F28" s="17">
        <v>28.4</v>
      </c>
      <c r="G28" s="15">
        <v>110.9</v>
      </c>
      <c r="H28" s="17">
        <v>31.3</v>
      </c>
      <c r="I28" s="15">
        <v>110.2</v>
      </c>
      <c r="J28" s="17">
        <v>32.200000000000003</v>
      </c>
      <c r="K28" s="15">
        <v>102.9</v>
      </c>
      <c r="L28" s="295"/>
      <c r="M28" s="327"/>
    </row>
    <row r="29" spans="1:13" ht="36.75" customHeight="1" x14ac:dyDescent="0.25">
      <c r="A29" s="299" t="s">
        <v>701</v>
      </c>
      <c r="B29" s="17">
        <v>0.2</v>
      </c>
      <c r="C29" s="15">
        <v>100</v>
      </c>
      <c r="D29" s="17">
        <v>0.2</v>
      </c>
      <c r="E29" s="15">
        <v>100</v>
      </c>
      <c r="F29" s="17">
        <v>0.2</v>
      </c>
      <c r="G29" s="15">
        <v>100</v>
      </c>
      <c r="H29" s="17">
        <v>0.3</v>
      </c>
      <c r="I29" s="15">
        <v>150</v>
      </c>
      <c r="J29" s="17">
        <v>0.3</v>
      </c>
      <c r="K29" s="15">
        <v>100</v>
      </c>
      <c r="L29" s="296"/>
      <c r="M29" s="327"/>
    </row>
    <row r="30" spans="1:13" ht="18.75" customHeight="1" x14ac:dyDescent="0.25">
      <c r="A30" s="194" t="s">
        <v>702</v>
      </c>
      <c r="B30" s="17"/>
      <c r="C30" s="15"/>
      <c r="D30" s="17"/>
      <c r="E30" s="15"/>
      <c r="F30" s="17"/>
      <c r="G30" s="15"/>
      <c r="H30" s="17"/>
      <c r="I30" s="15"/>
      <c r="J30" s="17"/>
      <c r="K30" s="15"/>
      <c r="L30" s="295"/>
      <c r="M30" s="327"/>
    </row>
    <row r="31" spans="1:13" ht="35.25" customHeight="1" x14ac:dyDescent="0.25">
      <c r="A31" s="86" t="s">
        <v>703</v>
      </c>
      <c r="B31" s="17">
        <v>507.4</v>
      </c>
      <c r="C31" s="15">
        <v>101</v>
      </c>
      <c r="D31" s="17">
        <v>516.5</v>
      </c>
      <c r="E31" s="15">
        <v>101.8</v>
      </c>
      <c r="F31" s="15">
        <v>527</v>
      </c>
      <c r="G31" s="15">
        <v>102</v>
      </c>
      <c r="H31" s="17">
        <v>540.20000000000005</v>
      </c>
      <c r="I31" s="15">
        <v>102.5</v>
      </c>
      <c r="J31" s="17">
        <v>542.5</v>
      </c>
      <c r="K31" s="15">
        <v>100.4</v>
      </c>
      <c r="L31" s="295"/>
      <c r="M31" s="327"/>
    </row>
    <row r="32" spans="1:13" ht="18.75" customHeight="1" x14ac:dyDescent="0.25">
      <c r="A32" s="86" t="s">
        <v>704</v>
      </c>
      <c r="B32" s="17">
        <v>236.8</v>
      </c>
      <c r="C32" s="15">
        <v>100.6</v>
      </c>
      <c r="D32" s="17">
        <v>243.1</v>
      </c>
      <c r="E32" s="15">
        <v>102.7</v>
      </c>
      <c r="F32" s="17">
        <v>255.1</v>
      </c>
      <c r="G32" s="15">
        <v>104.9</v>
      </c>
      <c r="H32" s="17">
        <v>261.5</v>
      </c>
      <c r="I32" s="15">
        <v>102.5</v>
      </c>
      <c r="J32" s="17">
        <v>257.10000000000002</v>
      </c>
      <c r="K32" s="15">
        <v>98.3</v>
      </c>
      <c r="L32" s="295"/>
      <c r="M32" s="152"/>
    </row>
    <row r="33" spans="1:13" ht="17.25" customHeight="1" x14ac:dyDescent="0.25">
      <c r="A33" s="297" t="s">
        <v>705</v>
      </c>
      <c r="B33" s="17" t="s">
        <v>961</v>
      </c>
      <c r="C33" s="15">
        <v>101</v>
      </c>
      <c r="D33" s="17">
        <v>1830.3</v>
      </c>
      <c r="E33" s="15">
        <v>101.5</v>
      </c>
      <c r="F33" s="15">
        <v>1849</v>
      </c>
      <c r="G33" s="15">
        <v>101</v>
      </c>
      <c r="H33" s="17">
        <v>1860.1</v>
      </c>
      <c r="I33" s="15">
        <v>100.6</v>
      </c>
      <c r="J33" s="17">
        <v>1935.1</v>
      </c>
      <c r="K33" s="15">
        <v>104</v>
      </c>
      <c r="L33" s="295"/>
      <c r="M33" s="152"/>
    </row>
    <row r="34" spans="1:13" ht="18.75" customHeight="1" x14ac:dyDescent="0.25">
      <c r="A34" s="297" t="s">
        <v>706</v>
      </c>
      <c r="B34" s="15">
        <v>6</v>
      </c>
      <c r="C34" s="15">
        <v>117.6</v>
      </c>
      <c r="D34" s="17">
        <v>6.5</v>
      </c>
      <c r="E34" s="15">
        <v>108.3</v>
      </c>
      <c r="F34" s="17">
        <v>7.3</v>
      </c>
      <c r="G34" s="15">
        <v>112.3</v>
      </c>
      <c r="H34" s="17">
        <v>7.4</v>
      </c>
      <c r="I34" s="15">
        <v>101.4</v>
      </c>
      <c r="J34" s="17">
        <v>8.1999999999999993</v>
      </c>
      <c r="K34" s="15">
        <v>110.8</v>
      </c>
      <c r="L34" s="295"/>
      <c r="M34" s="152"/>
    </row>
    <row r="35" spans="1:13" ht="22.5" customHeight="1" x14ac:dyDescent="0.25">
      <c r="A35" s="297" t="s">
        <v>707</v>
      </c>
      <c r="B35" s="17">
        <v>17.8</v>
      </c>
      <c r="C35" s="15">
        <v>104.1</v>
      </c>
      <c r="D35" s="17">
        <v>25.8</v>
      </c>
      <c r="E35" s="15">
        <v>144.9</v>
      </c>
      <c r="F35" s="17">
        <v>28.1</v>
      </c>
      <c r="G35" s="15">
        <v>108.9</v>
      </c>
      <c r="H35" s="17">
        <v>32.9</v>
      </c>
      <c r="I35" s="15">
        <v>117.1</v>
      </c>
      <c r="J35" s="17">
        <v>31.2</v>
      </c>
      <c r="K35" s="15">
        <v>94.8</v>
      </c>
      <c r="L35" s="295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5"/>
      <c r="M36" s="152"/>
    </row>
    <row r="37" spans="1:13" ht="33.75" customHeight="1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5"/>
      <c r="K37" s="291"/>
      <c r="L37" s="295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0">
    <mergeCell ref="A1:K1"/>
    <mergeCell ref="A2:K2"/>
    <mergeCell ref="A3:A5"/>
    <mergeCell ref="B3:C4"/>
    <mergeCell ref="D3:E4"/>
    <mergeCell ref="F3:G3"/>
    <mergeCell ref="H3:K3"/>
    <mergeCell ref="F4:G4"/>
    <mergeCell ref="H4:I4"/>
    <mergeCell ref="J4:K4"/>
  </mergeCells>
  <pageMargins left="0.43307086614173229" right="0.19685039370078741" top="0.35433070866141736" bottom="0.35433070866141736" header="0" footer="0"/>
  <pageSetup paperSize="9" scale="110" firstPageNumber="131" orientation="landscape" useFirstPageNumber="1" r:id="rId1"/>
  <headerFooter>
    <oddFooter>&amp;C&amp;P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Normal="100" zoomScaleSheetLayoutView="100" workbookViewId="0">
      <selection activeCell="F6" sqref="F6"/>
    </sheetView>
  </sheetViews>
  <sheetFormatPr defaultRowHeight="15" x14ac:dyDescent="0.25"/>
  <cols>
    <col min="1" max="1" width="35.28515625" customWidth="1"/>
    <col min="2" max="2" width="11.7109375" customWidth="1"/>
    <col min="3" max="3" width="9.5703125" customWidth="1"/>
    <col min="4" max="4" width="11" customWidth="1"/>
    <col min="5" max="5" width="9.5703125" customWidth="1"/>
    <col min="6" max="6" width="11.42578125" customWidth="1"/>
    <col min="7" max="7" width="9.5703125" customWidth="1"/>
    <col min="8" max="8" width="11.28515625" customWidth="1"/>
    <col min="9" max="9" width="9.5703125" customWidth="1"/>
    <col min="10" max="10" width="10.85546875" customWidth="1"/>
    <col min="11" max="11" width="9.5703125" customWidth="1"/>
  </cols>
  <sheetData>
    <row r="1" spans="1:13" ht="48.75" customHeight="1" x14ac:dyDescent="0.3">
      <c r="A1" s="385" t="s">
        <v>994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18" x14ac:dyDescent="0.25">
      <c r="A2" s="395" t="s">
        <v>681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37"/>
      <c r="M2" s="349"/>
    </row>
    <row r="3" spans="1:13" ht="27" customHeight="1" x14ac:dyDescent="0.25">
      <c r="A3" s="386" t="s">
        <v>1</v>
      </c>
      <c r="B3" s="386" t="s">
        <v>888</v>
      </c>
      <c r="C3" s="386"/>
      <c r="D3" s="386" t="s">
        <v>909</v>
      </c>
      <c r="E3" s="386"/>
      <c r="F3" s="389" t="s">
        <v>8</v>
      </c>
      <c r="G3" s="389"/>
      <c r="H3" s="390" t="s">
        <v>4</v>
      </c>
      <c r="I3" s="390"/>
      <c r="J3" s="390"/>
      <c r="K3" s="390"/>
      <c r="L3" s="337"/>
      <c r="M3" s="349"/>
    </row>
    <row r="4" spans="1:13" ht="20.25" customHeight="1" x14ac:dyDescent="0.25">
      <c r="A4" s="386"/>
      <c r="B4" s="386"/>
      <c r="C4" s="386"/>
      <c r="D4" s="386"/>
      <c r="E4" s="386"/>
      <c r="F4" s="389" t="s">
        <v>246</v>
      </c>
      <c r="G4" s="389"/>
      <c r="H4" s="389" t="s">
        <v>247</v>
      </c>
      <c r="I4" s="389"/>
      <c r="J4" s="389" t="s">
        <v>877</v>
      </c>
      <c r="K4" s="389"/>
      <c r="L4" s="295"/>
      <c r="M4" s="327"/>
    </row>
    <row r="5" spans="1:13" ht="25.5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295"/>
      <c r="M5" s="327"/>
    </row>
    <row r="6" spans="1:13" ht="42.75" customHeight="1" x14ac:dyDescent="0.25">
      <c r="A6" s="58" t="s">
        <v>708</v>
      </c>
      <c r="B6" s="15">
        <v>230747</v>
      </c>
      <c r="C6" s="15">
        <v>118</v>
      </c>
      <c r="D6" s="15">
        <v>240821</v>
      </c>
      <c r="E6" s="15">
        <v>104.4</v>
      </c>
      <c r="F6" s="15">
        <v>251421</v>
      </c>
      <c r="G6" s="15">
        <v>104.4</v>
      </c>
      <c r="H6" s="15">
        <v>259300</v>
      </c>
      <c r="I6" s="15">
        <v>103.1</v>
      </c>
      <c r="J6" s="15">
        <v>268578</v>
      </c>
      <c r="K6" s="15">
        <v>103.6</v>
      </c>
      <c r="L6" s="295"/>
      <c r="M6" s="327"/>
    </row>
    <row r="7" spans="1:13" ht="27" customHeight="1" x14ac:dyDescent="0.25">
      <c r="A7" s="58" t="s">
        <v>709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295"/>
      <c r="M7" s="327"/>
    </row>
    <row r="8" spans="1:13" ht="27" customHeight="1" x14ac:dyDescent="0.25">
      <c r="A8" s="58" t="s">
        <v>710</v>
      </c>
      <c r="B8" s="15">
        <v>155284</v>
      </c>
      <c r="C8" s="15">
        <v>123.8</v>
      </c>
      <c r="D8" s="15">
        <v>160812</v>
      </c>
      <c r="E8" s="15">
        <v>103.6</v>
      </c>
      <c r="F8" s="15">
        <v>166121</v>
      </c>
      <c r="G8" s="15">
        <v>103.3</v>
      </c>
      <c r="H8" s="15">
        <v>169537</v>
      </c>
      <c r="I8" s="15">
        <v>102.1</v>
      </c>
      <c r="J8" s="15">
        <v>174931</v>
      </c>
      <c r="K8" s="15">
        <v>103.2</v>
      </c>
      <c r="L8" s="295"/>
      <c r="M8" s="327"/>
    </row>
    <row r="9" spans="1:13" ht="33.75" customHeight="1" x14ac:dyDescent="0.25">
      <c r="A9" s="58" t="s">
        <v>711</v>
      </c>
      <c r="B9" s="15">
        <v>75463</v>
      </c>
      <c r="C9" s="15">
        <v>107.7</v>
      </c>
      <c r="D9" s="15">
        <v>80009</v>
      </c>
      <c r="E9" s="15">
        <v>106</v>
      </c>
      <c r="F9" s="15">
        <v>85300</v>
      </c>
      <c r="G9" s="15">
        <v>106.6</v>
      </c>
      <c r="H9" s="15">
        <v>89763</v>
      </c>
      <c r="I9" s="15">
        <v>105.2</v>
      </c>
      <c r="J9" s="15">
        <v>93647</v>
      </c>
      <c r="K9" s="15">
        <v>104.3</v>
      </c>
      <c r="L9" s="295"/>
      <c r="M9" s="327"/>
    </row>
    <row r="10" spans="1:13" x14ac:dyDescent="0.25">
      <c r="A10" s="295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327"/>
    </row>
    <row r="11" spans="1:13" x14ac:dyDescent="0.25">
      <c r="A11" s="295"/>
      <c r="B11" s="295"/>
      <c r="C11" s="295"/>
      <c r="D11" s="295"/>
      <c r="E11" s="295"/>
      <c r="F11" s="295"/>
      <c r="G11" s="295"/>
      <c r="H11" s="295"/>
      <c r="I11" s="295"/>
      <c r="J11" s="295"/>
      <c r="K11" s="295"/>
      <c r="L11" s="295"/>
      <c r="M11" s="327"/>
    </row>
    <row r="12" spans="1:13" x14ac:dyDescent="0.25">
      <c r="A12" s="295"/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327"/>
    </row>
    <row r="13" spans="1:13" x14ac:dyDescent="0.25">
      <c r="A13" s="295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327"/>
    </row>
    <row r="14" spans="1:13" x14ac:dyDescent="0.25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0">
    <mergeCell ref="A1:K1"/>
    <mergeCell ref="A2:K2"/>
    <mergeCell ref="A3:A5"/>
    <mergeCell ref="B3:C4"/>
    <mergeCell ref="D3:E4"/>
    <mergeCell ref="F3:G3"/>
    <mergeCell ref="H3:K3"/>
    <mergeCell ref="F4:G4"/>
    <mergeCell ref="H4:I4"/>
    <mergeCell ref="J4:K4"/>
  </mergeCells>
  <pageMargins left="0.43307086614173229" right="0.19685039370078741" top="0.35433070866141736" bottom="0.35433070866141736" header="0" footer="0"/>
  <pageSetup paperSize="9" firstPageNumber="133" orientation="landscape" useFirstPageNumber="1" r:id="rId1"/>
  <headerFooter>
    <oddFooter>&amp;C&amp;P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Normal="100" zoomScaleSheetLayoutView="100" workbookViewId="0">
      <selection activeCell="F6" sqref="F6"/>
    </sheetView>
  </sheetViews>
  <sheetFormatPr defaultRowHeight="15" x14ac:dyDescent="0.25"/>
  <cols>
    <col min="1" max="1" width="35.28515625" customWidth="1"/>
    <col min="2" max="11" width="9.5703125" customWidth="1"/>
  </cols>
  <sheetData>
    <row r="1" spans="1:13" ht="48" customHeight="1" x14ac:dyDescent="0.3">
      <c r="A1" s="403" t="s">
        <v>995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18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37"/>
      <c r="M2" s="349"/>
    </row>
    <row r="3" spans="1:13" ht="18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37"/>
      <c r="M3" s="349"/>
    </row>
    <row r="4" spans="1:13" ht="31.5" x14ac:dyDescent="0.25">
      <c r="A4" s="386"/>
      <c r="B4" s="153" t="s">
        <v>712</v>
      </c>
      <c r="C4" s="153" t="s">
        <v>316</v>
      </c>
      <c r="D4" s="153" t="s">
        <v>712</v>
      </c>
      <c r="E4" s="153" t="s">
        <v>316</v>
      </c>
      <c r="F4" s="153" t="s">
        <v>712</v>
      </c>
      <c r="G4" s="153" t="s">
        <v>316</v>
      </c>
      <c r="H4" s="153" t="s">
        <v>712</v>
      </c>
      <c r="I4" s="153" t="s">
        <v>316</v>
      </c>
      <c r="J4" s="153" t="s">
        <v>712</v>
      </c>
      <c r="K4" s="153" t="s">
        <v>316</v>
      </c>
      <c r="L4" s="295"/>
      <c r="M4" s="327"/>
    </row>
    <row r="5" spans="1:13" ht="39.75" customHeight="1" x14ac:dyDescent="0.25">
      <c r="A5" s="58" t="s">
        <v>713</v>
      </c>
      <c r="B5" s="16">
        <v>7192</v>
      </c>
      <c r="C5" s="15">
        <v>100</v>
      </c>
      <c r="D5" s="16">
        <v>7190</v>
      </c>
      <c r="E5" s="15">
        <v>100</v>
      </c>
      <c r="F5" s="16">
        <v>7192</v>
      </c>
      <c r="G5" s="15">
        <v>100</v>
      </c>
      <c r="H5" s="16">
        <v>7190</v>
      </c>
      <c r="I5" s="15">
        <v>100.4</v>
      </c>
      <c r="J5" s="16">
        <v>7192</v>
      </c>
      <c r="K5" s="15">
        <v>100.1</v>
      </c>
      <c r="L5" s="16"/>
      <c r="M5" s="83"/>
    </row>
    <row r="6" spans="1:13" ht="21.75" customHeight="1" x14ac:dyDescent="0.25">
      <c r="A6" s="58" t="s">
        <v>714</v>
      </c>
      <c r="B6" s="16">
        <v>876</v>
      </c>
      <c r="C6" s="15">
        <v>100</v>
      </c>
      <c r="D6" s="16">
        <v>876</v>
      </c>
      <c r="E6" s="15">
        <v>100</v>
      </c>
      <c r="F6" s="16">
        <v>877</v>
      </c>
      <c r="G6" s="15">
        <v>100.114</v>
      </c>
      <c r="H6" s="16">
        <v>878</v>
      </c>
      <c r="I6" s="15">
        <v>100.114</v>
      </c>
      <c r="J6" s="16">
        <v>879</v>
      </c>
      <c r="K6" s="15">
        <v>100.1</v>
      </c>
      <c r="L6" s="295"/>
      <c r="M6" s="327"/>
    </row>
    <row r="7" spans="1:13" ht="18" x14ac:dyDescent="0.25">
      <c r="A7" s="58" t="s">
        <v>715</v>
      </c>
      <c r="B7" s="295"/>
      <c r="C7" s="15"/>
      <c r="D7" s="16"/>
      <c r="E7" s="15"/>
      <c r="F7" s="16"/>
      <c r="G7" s="15"/>
      <c r="H7" s="16"/>
      <c r="I7" s="15"/>
      <c r="J7" s="16"/>
      <c r="K7" s="15"/>
      <c r="L7" s="295"/>
      <c r="M7" s="327"/>
    </row>
    <row r="8" spans="1:13" ht="20.25" customHeight="1" x14ac:dyDescent="0.25">
      <c r="A8" s="58" t="s">
        <v>716</v>
      </c>
      <c r="B8" s="16">
        <v>2</v>
      </c>
      <c r="C8" s="15">
        <v>100</v>
      </c>
      <c r="D8" s="16">
        <v>2</v>
      </c>
      <c r="E8" s="15">
        <v>100</v>
      </c>
      <c r="F8" s="16">
        <v>2</v>
      </c>
      <c r="G8" s="15">
        <v>100</v>
      </c>
      <c r="H8" s="16">
        <v>2</v>
      </c>
      <c r="I8" s="15">
        <v>100</v>
      </c>
      <c r="J8" s="16">
        <v>2</v>
      </c>
      <c r="K8" s="15">
        <v>100</v>
      </c>
      <c r="L8" s="295"/>
      <c r="M8" s="327"/>
    </row>
    <row r="9" spans="1:13" ht="23.25" customHeight="1" x14ac:dyDescent="0.25">
      <c r="A9" s="58" t="s">
        <v>717</v>
      </c>
      <c r="B9" s="16">
        <v>6088</v>
      </c>
      <c r="C9" s="15">
        <v>100</v>
      </c>
      <c r="D9" s="16">
        <v>6088</v>
      </c>
      <c r="E9" s="15">
        <v>100</v>
      </c>
      <c r="F9" s="16">
        <v>6088</v>
      </c>
      <c r="G9" s="15">
        <v>100</v>
      </c>
      <c r="H9" s="16">
        <v>6088</v>
      </c>
      <c r="I9" s="15">
        <v>100</v>
      </c>
      <c r="J9" s="16">
        <v>6088</v>
      </c>
      <c r="K9" s="15">
        <v>100</v>
      </c>
      <c r="L9" s="295"/>
      <c r="M9" s="327"/>
    </row>
    <row r="10" spans="1:13" ht="21.75" customHeight="1" x14ac:dyDescent="0.25">
      <c r="A10" s="58" t="s">
        <v>715</v>
      </c>
      <c r="B10" s="295"/>
      <c r="C10" s="15"/>
      <c r="D10" s="16"/>
      <c r="E10" s="15"/>
      <c r="F10" s="16"/>
      <c r="G10" s="15"/>
      <c r="H10" s="16"/>
      <c r="I10" s="15"/>
      <c r="J10" s="16"/>
      <c r="K10" s="15"/>
      <c r="L10" s="295"/>
      <c r="M10" s="327"/>
    </row>
    <row r="11" spans="1:13" ht="21" customHeight="1" x14ac:dyDescent="0.25">
      <c r="A11" s="58" t="s">
        <v>716</v>
      </c>
      <c r="B11" s="16">
        <v>2</v>
      </c>
      <c r="C11" s="15">
        <v>100</v>
      </c>
      <c r="D11" s="16">
        <v>2</v>
      </c>
      <c r="E11" s="15">
        <v>100</v>
      </c>
      <c r="F11" s="16">
        <v>2</v>
      </c>
      <c r="G11" s="15"/>
      <c r="H11" s="16">
        <v>2</v>
      </c>
      <c r="I11" s="15"/>
      <c r="J11" s="16">
        <v>2</v>
      </c>
      <c r="K11" s="15">
        <v>100</v>
      </c>
      <c r="L11" s="295"/>
      <c r="M11" s="327"/>
    </row>
    <row r="12" spans="1:13" ht="18" x14ac:dyDescent="0.25">
      <c r="A12" s="58" t="s">
        <v>718</v>
      </c>
      <c r="B12" s="16">
        <v>101</v>
      </c>
      <c r="C12" s="15">
        <v>100</v>
      </c>
      <c r="D12" s="16">
        <v>99</v>
      </c>
      <c r="E12" s="15">
        <v>99</v>
      </c>
      <c r="F12" s="16">
        <v>100</v>
      </c>
      <c r="G12" s="15">
        <v>101</v>
      </c>
      <c r="H12" s="16">
        <v>101</v>
      </c>
      <c r="I12" s="15">
        <f>H12/F12*100</f>
        <v>101</v>
      </c>
      <c r="J12" s="16">
        <v>104</v>
      </c>
      <c r="K12" s="15">
        <v>103</v>
      </c>
      <c r="L12" s="295"/>
      <c r="M12" s="327"/>
    </row>
    <row r="13" spans="1:13" ht="18" x14ac:dyDescent="0.25">
      <c r="A13" s="58" t="s">
        <v>719</v>
      </c>
      <c r="B13" s="16">
        <v>41</v>
      </c>
      <c r="C13" s="15">
        <v>100</v>
      </c>
      <c r="D13" s="16">
        <v>41</v>
      </c>
      <c r="E13" s="15">
        <v>100</v>
      </c>
      <c r="F13" s="16">
        <v>41</v>
      </c>
      <c r="G13" s="15">
        <v>100</v>
      </c>
      <c r="H13" s="16">
        <v>42</v>
      </c>
      <c r="I13" s="15">
        <v>101</v>
      </c>
      <c r="J13" s="16">
        <v>42</v>
      </c>
      <c r="K13" s="15">
        <v>100</v>
      </c>
      <c r="L13" s="295"/>
      <c r="M13" s="327"/>
    </row>
    <row r="14" spans="1:13" ht="36" x14ac:dyDescent="0.25">
      <c r="A14" s="58" t="s">
        <v>720</v>
      </c>
      <c r="B14" s="16">
        <v>18</v>
      </c>
      <c r="C14" s="15">
        <v>100</v>
      </c>
      <c r="D14" s="16">
        <v>18</v>
      </c>
      <c r="E14" s="15">
        <v>100</v>
      </c>
      <c r="F14" s="16">
        <v>18</v>
      </c>
      <c r="G14" s="15">
        <v>100</v>
      </c>
      <c r="H14" s="16">
        <v>19</v>
      </c>
      <c r="I14" s="15">
        <v>101</v>
      </c>
      <c r="J14" s="16">
        <v>19</v>
      </c>
      <c r="K14" s="15">
        <v>100</v>
      </c>
      <c r="L14" s="295"/>
      <c r="M14" s="327"/>
    </row>
    <row r="15" spans="1:13" ht="24" customHeight="1" x14ac:dyDescent="0.25">
      <c r="A15" s="58" t="s">
        <v>721</v>
      </c>
      <c r="B15" s="16">
        <v>86</v>
      </c>
      <c r="C15" s="15">
        <v>100</v>
      </c>
      <c r="D15" s="16">
        <v>86</v>
      </c>
      <c r="E15" s="15">
        <v>100</v>
      </c>
      <c r="F15" s="16">
        <v>86</v>
      </c>
      <c r="G15" s="15">
        <v>100</v>
      </c>
      <c r="H15" s="16">
        <v>86</v>
      </c>
      <c r="I15" s="15">
        <v>100</v>
      </c>
      <c r="J15" s="16">
        <v>86</v>
      </c>
      <c r="K15" s="15">
        <v>100</v>
      </c>
      <c r="L15" s="295"/>
      <c r="M15" s="327"/>
    </row>
    <row r="16" spans="1:13" ht="39" customHeight="1" x14ac:dyDescent="0.25">
      <c r="A16" s="58" t="s">
        <v>722</v>
      </c>
      <c r="B16" s="16">
        <v>15.3</v>
      </c>
      <c r="C16" s="15">
        <v>100</v>
      </c>
      <c r="D16" s="15">
        <v>15.5</v>
      </c>
      <c r="E16" s="15">
        <v>100</v>
      </c>
      <c r="F16" s="15">
        <v>15.5</v>
      </c>
      <c r="G16" s="15">
        <v>100</v>
      </c>
      <c r="H16" s="15">
        <v>16.5</v>
      </c>
      <c r="I16" s="15">
        <v>106.452</v>
      </c>
      <c r="J16" s="15">
        <v>16.5</v>
      </c>
      <c r="K16" s="15">
        <v>100</v>
      </c>
      <c r="L16" s="295"/>
      <c r="M16" s="327"/>
    </row>
    <row r="17" spans="1:13" ht="42.75" customHeight="1" x14ac:dyDescent="0.25">
      <c r="A17" s="58" t="s">
        <v>723</v>
      </c>
      <c r="B17" s="16">
        <v>4.2</v>
      </c>
      <c r="C17" s="15">
        <v>100</v>
      </c>
      <c r="D17" s="15">
        <v>4.2</v>
      </c>
      <c r="E17" s="15">
        <v>100</v>
      </c>
      <c r="F17" s="15">
        <v>4.2</v>
      </c>
      <c r="G17" s="15">
        <v>100</v>
      </c>
      <c r="H17" s="15">
        <v>4.3</v>
      </c>
      <c r="I17" s="15">
        <v>102.381</v>
      </c>
      <c r="J17" s="15">
        <v>4.3</v>
      </c>
      <c r="K17" s="15">
        <v>100</v>
      </c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34" orientation="landscape" useFirstPageNumber="1" r:id="rId1"/>
  <headerFooter>
    <oddFooter>&amp;C&amp;P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145"/>
  <sheetViews>
    <sheetView view="pageBreakPreview" zoomScaleNormal="100" zoomScaleSheetLayoutView="100" workbookViewId="0">
      <selection activeCell="F6" sqref="F6"/>
    </sheetView>
  </sheetViews>
  <sheetFormatPr defaultRowHeight="15" x14ac:dyDescent="0.25"/>
  <cols>
    <col min="1" max="1" width="40" customWidth="1"/>
    <col min="2" max="2" width="9.140625" customWidth="1"/>
    <col min="3" max="3" width="8.28515625" customWidth="1"/>
    <col min="4" max="4" width="9" customWidth="1"/>
    <col min="5" max="5" width="8.5703125" customWidth="1"/>
    <col min="6" max="6" width="9" customWidth="1"/>
    <col min="7" max="7" width="8.7109375" customWidth="1"/>
    <col min="8" max="8" width="9" customWidth="1"/>
    <col min="9" max="9" width="8.5703125" customWidth="1"/>
    <col min="10" max="10" width="9" customWidth="1"/>
    <col min="11" max="11" width="8.7109375" customWidth="1"/>
    <col min="257" max="257" width="40" customWidth="1"/>
    <col min="258" max="267" width="9" customWidth="1"/>
    <col min="513" max="513" width="40" customWidth="1"/>
    <col min="514" max="523" width="9" customWidth="1"/>
    <col min="769" max="769" width="40" customWidth="1"/>
    <col min="770" max="779" width="9" customWidth="1"/>
    <col min="1025" max="1025" width="40" customWidth="1"/>
    <col min="1026" max="1035" width="9" customWidth="1"/>
    <col min="1281" max="1281" width="40" customWidth="1"/>
    <col min="1282" max="1291" width="9" customWidth="1"/>
    <col min="1537" max="1537" width="40" customWidth="1"/>
    <col min="1538" max="1547" width="9" customWidth="1"/>
    <col min="1793" max="1793" width="40" customWidth="1"/>
    <col min="1794" max="1803" width="9" customWidth="1"/>
    <col min="2049" max="2049" width="40" customWidth="1"/>
    <col min="2050" max="2059" width="9" customWidth="1"/>
    <col min="2305" max="2305" width="40" customWidth="1"/>
    <col min="2306" max="2315" width="9" customWidth="1"/>
    <col min="2561" max="2561" width="40" customWidth="1"/>
    <col min="2562" max="2571" width="9" customWidth="1"/>
    <col min="2817" max="2817" width="40" customWidth="1"/>
    <col min="2818" max="2827" width="9" customWidth="1"/>
    <col min="3073" max="3073" width="40" customWidth="1"/>
    <col min="3074" max="3083" width="9" customWidth="1"/>
    <col min="3329" max="3329" width="40" customWidth="1"/>
    <col min="3330" max="3339" width="9" customWidth="1"/>
    <col min="3585" max="3585" width="40" customWidth="1"/>
    <col min="3586" max="3595" width="9" customWidth="1"/>
    <col min="3841" max="3841" width="40" customWidth="1"/>
    <col min="3842" max="3851" width="9" customWidth="1"/>
    <col min="4097" max="4097" width="40" customWidth="1"/>
    <col min="4098" max="4107" width="9" customWidth="1"/>
    <col min="4353" max="4353" width="40" customWidth="1"/>
    <col min="4354" max="4363" width="9" customWidth="1"/>
    <col min="4609" max="4609" width="40" customWidth="1"/>
    <col min="4610" max="4619" width="9" customWidth="1"/>
    <col min="4865" max="4865" width="40" customWidth="1"/>
    <col min="4866" max="4875" width="9" customWidth="1"/>
    <col min="5121" max="5121" width="40" customWidth="1"/>
    <col min="5122" max="5131" width="9" customWidth="1"/>
    <col min="5377" max="5377" width="40" customWidth="1"/>
    <col min="5378" max="5387" width="9" customWidth="1"/>
    <col min="5633" max="5633" width="40" customWidth="1"/>
    <col min="5634" max="5643" width="9" customWidth="1"/>
    <col min="5889" max="5889" width="40" customWidth="1"/>
    <col min="5890" max="5899" width="9" customWidth="1"/>
    <col min="6145" max="6145" width="40" customWidth="1"/>
    <col min="6146" max="6155" width="9" customWidth="1"/>
    <col min="6401" max="6401" width="40" customWidth="1"/>
    <col min="6402" max="6411" width="9" customWidth="1"/>
    <col min="6657" max="6657" width="40" customWidth="1"/>
    <col min="6658" max="6667" width="9" customWidth="1"/>
    <col min="6913" max="6913" width="40" customWidth="1"/>
    <col min="6914" max="6923" width="9" customWidth="1"/>
    <col min="7169" max="7169" width="40" customWidth="1"/>
    <col min="7170" max="7179" width="9" customWidth="1"/>
    <col min="7425" max="7425" width="40" customWidth="1"/>
    <col min="7426" max="7435" width="9" customWidth="1"/>
    <col min="7681" max="7681" width="40" customWidth="1"/>
    <col min="7682" max="7691" width="9" customWidth="1"/>
    <col min="7937" max="7937" width="40" customWidth="1"/>
    <col min="7938" max="7947" width="9" customWidth="1"/>
    <col min="8193" max="8193" width="40" customWidth="1"/>
    <col min="8194" max="8203" width="9" customWidth="1"/>
    <col min="8449" max="8449" width="40" customWidth="1"/>
    <col min="8450" max="8459" width="9" customWidth="1"/>
    <col min="8705" max="8705" width="40" customWidth="1"/>
    <col min="8706" max="8715" width="9" customWidth="1"/>
    <col min="8961" max="8961" width="40" customWidth="1"/>
    <col min="8962" max="8971" width="9" customWidth="1"/>
    <col min="9217" max="9217" width="40" customWidth="1"/>
    <col min="9218" max="9227" width="9" customWidth="1"/>
    <col min="9473" max="9473" width="40" customWidth="1"/>
    <col min="9474" max="9483" width="9" customWidth="1"/>
    <col min="9729" max="9729" width="40" customWidth="1"/>
    <col min="9730" max="9739" width="9" customWidth="1"/>
    <col min="9985" max="9985" width="40" customWidth="1"/>
    <col min="9986" max="9995" width="9" customWidth="1"/>
    <col min="10241" max="10241" width="40" customWidth="1"/>
    <col min="10242" max="10251" width="9" customWidth="1"/>
    <col min="10497" max="10497" width="40" customWidth="1"/>
    <col min="10498" max="10507" width="9" customWidth="1"/>
    <col min="10753" max="10753" width="40" customWidth="1"/>
    <col min="10754" max="10763" width="9" customWidth="1"/>
    <col min="11009" max="11009" width="40" customWidth="1"/>
    <col min="11010" max="11019" width="9" customWidth="1"/>
    <col min="11265" max="11265" width="40" customWidth="1"/>
    <col min="11266" max="11275" width="9" customWidth="1"/>
    <col min="11521" max="11521" width="40" customWidth="1"/>
    <col min="11522" max="11531" width="9" customWidth="1"/>
    <col min="11777" max="11777" width="40" customWidth="1"/>
    <col min="11778" max="11787" width="9" customWidth="1"/>
    <col min="12033" max="12033" width="40" customWidth="1"/>
    <col min="12034" max="12043" width="9" customWidth="1"/>
    <col min="12289" max="12289" width="40" customWidth="1"/>
    <col min="12290" max="12299" width="9" customWidth="1"/>
    <col min="12545" max="12545" width="40" customWidth="1"/>
    <col min="12546" max="12555" width="9" customWidth="1"/>
    <col min="12801" max="12801" width="40" customWidth="1"/>
    <col min="12802" max="12811" width="9" customWidth="1"/>
    <col min="13057" max="13057" width="40" customWidth="1"/>
    <col min="13058" max="13067" width="9" customWidth="1"/>
    <col min="13313" max="13313" width="40" customWidth="1"/>
    <col min="13314" max="13323" width="9" customWidth="1"/>
    <col min="13569" max="13569" width="40" customWidth="1"/>
    <col min="13570" max="13579" width="9" customWidth="1"/>
    <col min="13825" max="13825" width="40" customWidth="1"/>
    <col min="13826" max="13835" width="9" customWidth="1"/>
    <col min="14081" max="14081" width="40" customWidth="1"/>
    <col min="14082" max="14091" width="9" customWidth="1"/>
    <col min="14337" max="14337" width="40" customWidth="1"/>
    <col min="14338" max="14347" width="9" customWidth="1"/>
    <col min="14593" max="14593" width="40" customWidth="1"/>
    <col min="14594" max="14603" width="9" customWidth="1"/>
    <col min="14849" max="14849" width="40" customWidth="1"/>
    <col min="14850" max="14859" width="9" customWidth="1"/>
    <col min="15105" max="15105" width="40" customWidth="1"/>
    <col min="15106" max="15115" width="9" customWidth="1"/>
    <col min="15361" max="15361" width="40" customWidth="1"/>
    <col min="15362" max="15371" width="9" customWidth="1"/>
    <col min="15617" max="15617" width="40" customWidth="1"/>
    <col min="15618" max="15627" width="9" customWidth="1"/>
    <col min="15873" max="15873" width="40" customWidth="1"/>
    <col min="15874" max="15883" width="9" customWidth="1"/>
    <col min="16129" max="16129" width="40" customWidth="1"/>
    <col min="16130" max="16139" width="9" customWidth="1"/>
  </cols>
  <sheetData>
    <row r="1" spans="1:14" ht="61.5" customHeight="1" x14ac:dyDescent="0.3">
      <c r="A1" s="403" t="s">
        <v>976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4" ht="30" customHeight="1" x14ac:dyDescent="0.25">
      <c r="A2" s="386" t="s">
        <v>1</v>
      </c>
      <c r="B2" s="386" t="s">
        <v>910</v>
      </c>
      <c r="C2" s="386"/>
      <c r="D2" s="386" t="s">
        <v>911</v>
      </c>
      <c r="E2" s="386"/>
      <c r="F2" s="386" t="s">
        <v>912</v>
      </c>
      <c r="G2" s="386"/>
      <c r="H2" s="386" t="s">
        <v>4</v>
      </c>
      <c r="I2" s="386"/>
      <c r="J2" s="386"/>
      <c r="K2" s="386"/>
      <c r="L2" s="337"/>
      <c r="M2" s="349"/>
    </row>
    <row r="3" spans="1:14" ht="24" customHeight="1" x14ac:dyDescent="0.25">
      <c r="A3" s="420"/>
      <c r="B3" s="386"/>
      <c r="C3" s="386"/>
      <c r="D3" s="386"/>
      <c r="E3" s="386"/>
      <c r="F3" s="386"/>
      <c r="G3" s="386"/>
      <c r="H3" s="386" t="s">
        <v>247</v>
      </c>
      <c r="I3" s="386"/>
      <c r="J3" s="386" t="s">
        <v>877</v>
      </c>
      <c r="K3" s="386"/>
      <c r="L3" s="337"/>
      <c r="M3" s="349"/>
    </row>
    <row r="4" spans="1:14" ht="36" customHeight="1" x14ac:dyDescent="0.25">
      <c r="A4" s="421"/>
      <c r="B4" s="153" t="s">
        <v>712</v>
      </c>
      <c r="C4" s="153" t="s">
        <v>316</v>
      </c>
      <c r="D4" s="153" t="s">
        <v>712</v>
      </c>
      <c r="E4" s="153" t="s">
        <v>316</v>
      </c>
      <c r="F4" s="153" t="s">
        <v>712</v>
      </c>
      <c r="G4" s="153" t="s">
        <v>316</v>
      </c>
      <c r="H4" s="153" t="s">
        <v>712</v>
      </c>
      <c r="I4" s="153" t="s">
        <v>316</v>
      </c>
      <c r="J4" s="153" t="s">
        <v>712</v>
      </c>
      <c r="K4" s="153" t="s">
        <v>316</v>
      </c>
      <c r="L4" s="295"/>
      <c r="M4" s="327"/>
    </row>
    <row r="5" spans="1:14" ht="39" customHeight="1" x14ac:dyDescent="0.25">
      <c r="A5" s="58" t="s">
        <v>724</v>
      </c>
      <c r="B5" s="58">
        <v>54</v>
      </c>
      <c r="C5" s="58">
        <v>107.91</v>
      </c>
      <c r="D5" s="191">
        <v>55</v>
      </c>
      <c r="E5" s="58">
        <v>109.87</v>
      </c>
      <c r="F5" s="191">
        <v>56</v>
      </c>
      <c r="G5" s="191">
        <v>111.83</v>
      </c>
      <c r="H5" s="191">
        <v>57</v>
      </c>
      <c r="I5" s="58">
        <v>113.82</v>
      </c>
      <c r="J5" s="191">
        <v>57</v>
      </c>
      <c r="K5" s="58">
        <v>113.905</v>
      </c>
      <c r="L5" s="295"/>
      <c r="M5" s="327"/>
    </row>
    <row r="6" spans="1:14" ht="20.25" customHeight="1" x14ac:dyDescent="0.25">
      <c r="A6" s="58" t="s">
        <v>725</v>
      </c>
      <c r="B6" s="58">
        <v>15</v>
      </c>
      <c r="C6" s="58">
        <v>114.78</v>
      </c>
      <c r="D6" s="191">
        <v>15</v>
      </c>
      <c r="E6" s="58">
        <v>114.78</v>
      </c>
      <c r="F6" s="191">
        <v>15</v>
      </c>
      <c r="G6" s="191">
        <v>114.78</v>
      </c>
      <c r="H6" s="191">
        <v>16</v>
      </c>
      <c r="I6" s="58">
        <v>122.43</v>
      </c>
      <c r="J6" s="191">
        <v>16</v>
      </c>
      <c r="K6" s="58">
        <v>122.43</v>
      </c>
      <c r="L6" s="295"/>
      <c r="M6" s="327"/>
      <c r="N6" s="87"/>
    </row>
    <row r="7" spans="1:14" ht="16.5" customHeight="1" x14ac:dyDescent="0.25">
      <c r="A7" s="58" t="s">
        <v>726</v>
      </c>
      <c r="B7" s="58">
        <v>39</v>
      </c>
      <c r="C7" s="58">
        <v>124.82</v>
      </c>
      <c r="D7" s="191">
        <v>38</v>
      </c>
      <c r="E7" s="58">
        <v>121.63</v>
      </c>
      <c r="F7" s="191">
        <v>39</v>
      </c>
      <c r="G7" s="191">
        <v>124.82</v>
      </c>
      <c r="H7" s="191">
        <v>40</v>
      </c>
      <c r="I7" s="191">
        <v>128</v>
      </c>
      <c r="J7" s="191">
        <v>41</v>
      </c>
      <c r="K7" s="191">
        <v>131</v>
      </c>
      <c r="L7" s="295"/>
      <c r="M7" s="327"/>
    </row>
    <row r="8" spans="1:14" ht="57.75" customHeight="1" x14ac:dyDescent="0.25">
      <c r="A8" s="58" t="s">
        <v>727</v>
      </c>
      <c r="B8" s="58">
        <v>553</v>
      </c>
      <c r="C8" s="58">
        <v>115.77</v>
      </c>
      <c r="D8" s="191">
        <v>537</v>
      </c>
      <c r="E8" s="58">
        <v>119.11</v>
      </c>
      <c r="F8" s="191">
        <v>553</v>
      </c>
      <c r="G8" s="191">
        <v>124.13</v>
      </c>
      <c r="H8" s="191">
        <v>569</v>
      </c>
      <c r="I8" s="191">
        <v>127.48</v>
      </c>
      <c r="J8" s="191">
        <v>569</v>
      </c>
      <c r="K8" s="191">
        <v>127.48</v>
      </c>
      <c r="L8" s="295"/>
      <c r="M8" s="327"/>
    </row>
    <row r="9" spans="1:14" ht="26.25" customHeight="1" x14ac:dyDescent="0.25">
      <c r="A9" s="58" t="s">
        <v>728</v>
      </c>
      <c r="B9" s="58">
        <v>341</v>
      </c>
      <c r="C9" s="58">
        <v>111.44</v>
      </c>
      <c r="D9" s="58">
        <v>341</v>
      </c>
      <c r="E9" s="58">
        <v>111.43</v>
      </c>
      <c r="F9" s="58">
        <v>341</v>
      </c>
      <c r="G9" s="58">
        <v>111.42</v>
      </c>
      <c r="H9" s="58">
        <v>341</v>
      </c>
      <c r="I9" s="191">
        <v>111.42</v>
      </c>
      <c r="J9" s="58">
        <v>341</v>
      </c>
      <c r="K9" s="191">
        <v>111.42</v>
      </c>
      <c r="L9" s="295"/>
      <c r="M9" s="327"/>
    </row>
    <row r="10" spans="1:14" ht="54" customHeight="1" x14ac:dyDescent="0.25">
      <c r="A10" s="58" t="s">
        <v>729</v>
      </c>
      <c r="B10" s="18">
        <v>77.677090000000007</v>
      </c>
      <c r="C10" s="58">
        <v>83.4</v>
      </c>
      <c r="D10" s="191">
        <v>79.167299999999997</v>
      </c>
      <c r="E10" s="58">
        <v>85</v>
      </c>
      <c r="F10" s="191">
        <v>80.098680000000002</v>
      </c>
      <c r="G10" s="191">
        <v>86</v>
      </c>
      <c r="H10" s="191">
        <v>81.030060000000006</v>
      </c>
      <c r="I10" s="58">
        <v>87</v>
      </c>
      <c r="J10" s="191">
        <v>82.240849999999995</v>
      </c>
      <c r="K10" s="58">
        <v>88.3</v>
      </c>
      <c r="L10" s="295"/>
      <c r="M10" s="327"/>
    </row>
    <row r="11" spans="1:14" ht="38.25" customHeight="1" x14ac:dyDescent="0.25">
      <c r="A11" s="58" t="s">
        <v>730</v>
      </c>
      <c r="B11" s="58">
        <v>142</v>
      </c>
      <c r="C11" s="58" t="s">
        <v>29</v>
      </c>
      <c r="D11" s="191">
        <v>192</v>
      </c>
      <c r="E11" s="58"/>
      <c r="F11" s="191">
        <v>232</v>
      </c>
      <c r="G11" s="191" t="s">
        <v>29</v>
      </c>
      <c r="H11" s="191">
        <v>272</v>
      </c>
      <c r="I11" s="191">
        <v>106.15</v>
      </c>
      <c r="J11" s="191">
        <v>304</v>
      </c>
      <c r="K11" s="191" t="s">
        <v>29</v>
      </c>
      <c r="L11" s="295"/>
      <c r="M11" s="327"/>
    </row>
    <row r="12" spans="1:14" ht="38.25" customHeight="1" x14ac:dyDescent="0.25">
      <c r="A12" s="58" t="s">
        <v>731</v>
      </c>
      <c r="B12" s="58">
        <v>33</v>
      </c>
      <c r="C12" s="58">
        <v>103.03</v>
      </c>
      <c r="D12" s="191">
        <v>33</v>
      </c>
      <c r="E12" s="58">
        <v>103.03</v>
      </c>
      <c r="F12" s="191">
        <v>34</v>
      </c>
      <c r="G12" s="58">
        <v>106.15</v>
      </c>
      <c r="H12" s="191">
        <v>34</v>
      </c>
      <c r="I12" s="58">
        <v>100</v>
      </c>
      <c r="J12" s="191">
        <v>35</v>
      </c>
      <c r="K12" s="58">
        <v>109.27</v>
      </c>
      <c r="L12" s="295"/>
      <c r="M12" s="327"/>
    </row>
    <row r="13" spans="1:14" ht="20.25" customHeight="1" x14ac:dyDescent="0.25">
      <c r="A13" s="58" t="s">
        <v>725</v>
      </c>
      <c r="B13" s="58">
        <v>10</v>
      </c>
      <c r="C13" s="58">
        <v>100</v>
      </c>
      <c r="D13" s="191">
        <v>10</v>
      </c>
      <c r="E13" s="58">
        <v>100</v>
      </c>
      <c r="F13" s="58">
        <v>10</v>
      </c>
      <c r="G13" s="191">
        <v>100</v>
      </c>
      <c r="H13" s="58">
        <v>10</v>
      </c>
      <c r="I13" s="58">
        <v>100</v>
      </c>
      <c r="J13" s="58">
        <v>10</v>
      </c>
      <c r="K13" s="58">
        <v>100</v>
      </c>
      <c r="L13" s="295"/>
      <c r="M13" s="327"/>
    </row>
    <row r="14" spans="1:14" ht="19.5" customHeight="1" x14ac:dyDescent="0.25">
      <c r="A14" s="58" t="s">
        <v>726</v>
      </c>
      <c r="B14" s="58">
        <v>23</v>
      </c>
      <c r="C14" s="58">
        <v>104.54</v>
      </c>
      <c r="D14" s="191">
        <v>23</v>
      </c>
      <c r="E14" s="58">
        <v>104.54</v>
      </c>
      <c r="F14" s="191">
        <v>24</v>
      </c>
      <c r="G14" s="58">
        <v>109.08</v>
      </c>
      <c r="H14" s="191">
        <v>24</v>
      </c>
      <c r="I14" s="58">
        <v>109.08</v>
      </c>
      <c r="J14" s="191">
        <v>25</v>
      </c>
      <c r="K14" s="58">
        <v>113.62</v>
      </c>
      <c r="L14" s="295"/>
      <c r="M14" s="327"/>
    </row>
    <row r="15" spans="1:14" ht="36" x14ac:dyDescent="0.25">
      <c r="A15" s="58" t="s">
        <v>732</v>
      </c>
      <c r="B15" s="58">
        <v>495</v>
      </c>
      <c r="C15" s="58">
        <v>103.34</v>
      </c>
      <c r="D15" s="191">
        <v>495</v>
      </c>
      <c r="E15" s="58">
        <v>103.34</v>
      </c>
      <c r="F15" s="191">
        <v>511</v>
      </c>
      <c r="G15" s="58">
        <v>106.68</v>
      </c>
      <c r="H15" s="191">
        <v>511</v>
      </c>
      <c r="I15" s="58">
        <v>106.68</v>
      </c>
      <c r="J15" s="191">
        <v>529</v>
      </c>
      <c r="K15" s="58">
        <v>110.43</v>
      </c>
      <c r="L15" s="295"/>
      <c r="M15" s="327"/>
    </row>
    <row r="16" spans="1:14" ht="23.25" customHeight="1" x14ac:dyDescent="0.25">
      <c r="A16" s="58" t="s">
        <v>733</v>
      </c>
      <c r="B16" s="58">
        <v>187</v>
      </c>
      <c r="C16" s="58">
        <v>100</v>
      </c>
      <c r="D16" s="58">
        <v>187</v>
      </c>
      <c r="E16" s="58">
        <v>100</v>
      </c>
      <c r="F16" s="58">
        <v>187</v>
      </c>
      <c r="G16" s="58">
        <v>100</v>
      </c>
      <c r="H16" s="58">
        <v>187</v>
      </c>
      <c r="I16" s="58">
        <v>100</v>
      </c>
      <c r="J16" s="58">
        <v>187</v>
      </c>
      <c r="K16" s="58">
        <v>100</v>
      </c>
      <c r="L16" s="295"/>
      <c r="M16" s="327"/>
    </row>
    <row r="17" spans="1:16" ht="54" x14ac:dyDescent="0.25">
      <c r="A17" s="58" t="s">
        <v>734</v>
      </c>
      <c r="B17" s="58">
        <v>82.520259999999993</v>
      </c>
      <c r="C17" s="58">
        <v>88.6</v>
      </c>
      <c r="D17" s="58">
        <v>83.172229999999999</v>
      </c>
      <c r="E17" s="58">
        <v>89.3</v>
      </c>
      <c r="F17" s="58">
        <v>84.28989</v>
      </c>
      <c r="G17" s="58">
        <v>90.5</v>
      </c>
      <c r="H17" s="58">
        <v>85.034989999999993</v>
      </c>
      <c r="I17" s="58">
        <v>91.3</v>
      </c>
      <c r="J17" s="58">
        <v>86.245779999999996</v>
      </c>
      <c r="K17" s="58">
        <v>92.6</v>
      </c>
      <c r="L17" s="295"/>
      <c r="M17" s="327"/>
    </row>
    <row r="18" spans="1:16" ht="36" x14ac:dyDescent="0.25">
      <c r="A18" s="58" t="s">
        <v>735</v>
      </c>
      <c r="B18" s="58">
        <v>165</v>
      </c>
      <c r="C18" s="58" t="s">
        <v>29</v>
      </c>
      <c r="D18" s="58">
        <v>180</v>
      </c>
      <c r="E18" s="58" t="s">
        <v>29</v>
      </c>
      <c r="F18" s="58">
        <v>195</v>
      </c>
      <c r="G18" s="88" t="s">
        <v>29</v>
      </c>
      <c r="H18" s="58">
        <v>210</v>
      </c>
      <c r="I18" s="58" t="s">
        <v>29</v>
      </c>
      <c r="J18" s="58">
        <v>225</v>
      </c>
      <c r="K18" s="58" t="s">
        <v>29</v>
      </c>
      <c r="L18" s="295"/>
      <c r="M18" s="327"/>
    </row>
    <row r="19" spans="1:16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  <c r="N19" s="117"/>
      <c r="O19" s="117"/>
      <c r="P19" s="117"/>
    </row>
    <row r="20" spans="1:16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  <c r="N20" s="117"/>
      <c r="O20" s="117"/>
      <c r="P20" s="117"/>
    </row>
    <row r="21" spans="1:16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  <c r="N21" s="117"/>
      <c r="O21" s="117"/>
      <c r="P21" s="117"/>
    </row>
    <row r="22" spans="1:16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  <c r="N22" s="117"/>
      <c r="O22" s="117"/>
      <c r="P22" s="117"/>
    </row>
    <row r="23" spans="1:16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  <c r="N23" s="117"/>
      <c r="O23" s="117"/>
      <c r="P23" s="117"/>
    </row>
    <row r="24" spans="1:16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  <c r="N24" s="117"/>
      <c r="O24" s="117"/>
      <c r="P24" s="117"/>
    </row>
    <row r="25" spans="1:16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  <c r="N25" s="117"/>
      <c r="O25" s="117"/>
      <c r="P25" s="117"/>
    </row>
    <row r="26" spans="1:16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6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6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6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6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6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6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8">
    <mergeCell ref="A1:K1"/>
    <mergeCell ref="A2:A4"/>
    <mergeCell ref="B2:C3"/>
    <mergeCell ref="D2:E3"/>
    <mergeCell ref="F2:G3"/>
    <mergeCell ref="H2:K2"/>
    <mergeCell ref="H3:I3"/>
    <mergeCell ref="J3:K3"/>
  </mergeCells>
  <pageMargins left="0.43307086614173229" right="0.19685039370078741" top="0.35433070866141736" bottom="0.35433070866141736" header="0" footer="0"/>
  <pageSetup paperSize="9" scale="110" firstPageNumber="135" orientation="landscape" useFirstPageNumber="1" r:id="rId1"/>
  <headerFooter>
    <oddFooter>&amp;C&amp;P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85" zoomScaleNormal="100" zoomScaleSheetLayoutView="85" workbookViewId="0">
      <selection activeCell="F6" sqref="F6"/>
    </sheetView>
  </sheetViews>
  <sheetFormatPr defaultRowHeight="15" x14ac:dyDescent="0.25"/>
  <cols>
    <col min="1" max="1" width="35.28515625" customWidth="1"/>
    <col min="2" max="11" width="9.5703125" customWidth="1"/>
  </cols>
  <sheetData>
    <row r="1" spans="1:13" ht="48" customHeight="1" x14ac:dyDescent="0.3">
      <c r="A1" s="403" t="s">
        <v>996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21.75" customHeight="1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37"/>
      <c r="M2" s="349"/>
    </row>
    <row r="3" spans="1:13" ht="21" customHeight="1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37"/>
      <c r="M3" s="349"/>
    </row>
    <row r="4" spans="1:13" ht="19.5" customHeight="1" x14ac:dyDescent="0.25">
      <c r="A4" s="386"/>
      <c r="B4" s="153" t="s">
        <v>315</v>
      </c>
      <c r="C4" s="153" t="s">
        <v>316</v>
      </c>
      <c r="D4" s="153" t="s">
        <v>315</v>
      </c>
      <c r="E4" s="153" t="s">
        <v>316</v>
      </c>
      <c r="F4" s="153" t="s">
        <v>315</v>
      </c>
      <c r="G4" s="153" t="s">
        <v>316</v>
      </c>
      <c r="H4" s="153" t="s">
        <v>315</v>
      </c>
      <c r="I4" s="153" t="s">
        <v>316</v>
      </c>
      <c r="J4" s="153" t="s">
        <v>315</v>
      </c>
      <c r="K4" s="153" t="s">
        <v>316</v>
      </c>
      <c r="L4" s="295"/>
      <c r="M4" s="327"/>
    </row>
    <row r="5" spans="1:13" ht="113.25" customHeight="1" x14ac:dyDescent="0.25">
      <c r="A5" s="58" t="s">
        <v>736</v>
      </c>
      <c r="B5" s="89">
        <v>0</v>
      </c>
      <c r="C5" s="89">
        <v>0</v>
      </c>
      <c r="D5" s="89">
        <v>0</v>
      </c>
      <c r="E5" s="89">
        <v>0</v>
      </c>
      <c r="F5" s="89">
        <v>0</v>
      </c>
      <c r="G5" s="89">
        <v>0</v>
      </c>
      <c r="H5" s="89">
        <v>0</v>
      </c>
      <c r="I5" s="89">
        <v>0</v>
      </c>
      <c r="J5" s="89">
        <v>0</v>
      </c>
      <c r="K5" s="89">
        <v>0</v>
      </c>
      <c r="L5" s="295"/>
      <c r="M5" s="327"/>
    </row>
    <row r="6" spans="1:13" ht="23.25" customHeight="1" x14ac:dyDescent="0.25">
      <c r="A6" s="58" t="s">
        <v>737</v>
      </c>
      <c r="B6" s="182">
        <v>70</v>
      </c>
      <c r="C6" s="183">
        <v>137</v>
      </c>
      <c r="D6" s="182">
        <v>46</v>
      </c>
      <c r="E6" s="184">
        <f>D6/B6*100</f>
        <v>65.714285714285708</v>
      </c>
      <c r="F6" s="185">
        <f>D6*7/100+D6</f>
        <v>49.22</v>
      </c>
      <c r="G6" s="185">
        <f>F6/D6*100</f>
        <v>107</v>
      </c>
      <c r="H6" s="185">
        <f>F6*7/100+F6</f>
        <v>52.665399999999998</v>
      </c>
      <c r="I6" s="185">
        <f>H6/F6*100</f>
        <v>107</v>
      </c>
      <c r="J6" s="185">
        <f>H6*7/100+H6</f>
        <v>56.351977999999995</v>
      </c>
      <c r="K6" s="185">
        <f>J6/H6*100</f>
        <v>106.99999999999999</v>
      </c>
      <c r="L6" s="295"/>
      <c r="M6" s="327"/>
    </row>
    <row r="7" spans="1:13" ht="21.75" customHeight="1" x14ac:dyDescent="0.25">
      <c r="A7" s="58" t="s">
        <v>738</v>
      </c>
      <c r="B7" s="182">
        <v>4398</v>
      </c>
      <c r="C7" s="183">
        <v>82</v>
      </c>
      <c r="D7" s="182">
        <v>1580</v>
      </c>
      <c r="E7" s="184">
        <f>D7/B7*100</f>
        <v>35.925420645748069</v>
      </c>
      <c r="F7" s="185">
        <f>D7*7/100+D7</f>
        <v>1690.6</v>
      </c>
      <c r="G7" s="185">
        <f>F7/D7*100</f>
        <v>106.99999999999999</v>
      </c>
      <c r="H7" s="185">
        <f>F7*7/100+F7</f>
        <v>1808.942</v>
      </c>
      <c r="I7" s="185">
        <f>H7/F7*100</f>
        <v>107</v>
      </c>
      <c r="J7" s="185">
        <f>H7*7/100+H7</f>
        <v>1935.5679399999999</v>
      </c>
      <c r="K7" s="185">
        <f>J7/H7*100</f>
        <v>106.99999999999999</v>
      </c>
      <c r="L7" s="295"/>
      <c r="M7" s="327"/>
    </row>
    <row r="8" spans="1:13" ht="57.75" customHeight="1" x14ac:dyDescent="0.25">
      <c r="A8" s="58" t="s">
        <v>739</v>
      </c>
      <c r="B8" s="182">
        <v>0</v>
      </c>
      <c r="C8" s="182">
        <v>0</v>
      </c>
      <c r="D8" s="182">
        <v>0</v>
      </c>
      <c r="E8" s="186">
        <v>0</v>
      </c>
      <c r="F8" s="182">
        <v>0</v>
      </c>
      <c r="G8" s="182">
        <v>0</v>
      </c>
      <c r="H8" s="182">
        <v>0</v>
      </c>
      <c r="I8" s="182">
        <v>0</v>
      </c>
      <c r="J8" s="182">
        <v>0</v>
      </c>
      <c r="K8" s="182">
        <v>0</v>
      </c>
      <c r="L8" s="295"/>
      <c r="M8" s="327"/>
    </row>
    <row r="9" spans="1:13" ht="25.5" customHeight="1" x14ac:dyDescent="0.25">
      <c r="A9" s="58" t="s">
        <v>737</v>
      </c>
      <c r="B9" s="182">
        <v>4</v>
      </c>
      <c r="C9" s="183">
        <v>100</v>
      </c>
      <c r="D9" s="182">
        <v>6</v>
      </c>
      <c r="E9" s="184">
        <f>D9/B9*100</f>
        <v>150</v>
      </c>
      <c r="F9" s="185">
        <f>D9*7/100+D9</f>
        <v>6.42</v>
      </c>
      <c r="G9" s="185">
        <f>F9/D9*99.7</f>
        <v>106.67900000000002</v>
      </c>
      <c r="H9" s="185">
        <f>F9*7/100+F9</f>
        <v>6.8693999999999997</v>
      </c>
      <c r="I9" s="185">
        <f>H9/F9*100</f>
        <v>107</v>
      </c>
      <c r="J9" s="185">
        <f>H9*7/100+H9</f>
        <v>7.3502580000000002</v>
      </c>
      <c r="K9" s="185">
        <f>J9/H9*100</f>
        <v>107</v>
      </c>
      <c r="L9" s="295"/>
      <c r="M9" s="327"/>
    </row>
    <row r="10" spans="1:13" ht="20.25" customHeight="1" x14ac:dyDescent="0.25">
      <c r="A10" s="58" t="s">
        <v>738</v>
      </c>
      <c r="B10" s="182">
        <v>1.6</v>
      </c>
      <c r="C10" s="183">
        <v>100</v>
      </c>
      <c r="D10" s="182">
        <v>9.1999999999999998E-2</v>
      </c>
      <c r="E10" s="184">
        <f>D10/B10*100</f>
        <v>5.75</v>
      </c>
      <c r="F10" s="185">
        <f>D10*7/100+D10</f>
        <v>9.844E-2</v>
      </c>
      <c r="G10" s="185">
        <f>F10/D10*99.7</f>
        <v>106.67900000000002</v>
      </c>
      <c r="H10" s="185">
        <f>F10*7/100+F10</f>
        <v>0.1053308</v>
      </c>
      <c r="I10" s="187">
        <f>H10/F10*93</f>
        <v>99.51</v>
      </c>
      <c r="J10" s="185">
        <f>H10*7/100+H10</f>
        <v>0.11270395600000001</v>
      </c>
      <c r="K10" s="187">
        <f>J10/H10*93</f>
        <v>99.51</v>
      </c>
      <c r="L10" s="295"/>
      <c r="M10" s="327"/>
    </row>
    <row r="11" spans="1:13" ht="56.25" customHeight="1" x14ac:dyDescent="0.25">
      <c r="A11" s="58" t="s">
        <v>740</v>
      </c>
      <c r="B11" s="182">
        <v>0</v>
      </c>
      <c r="C11" s="182">
        <v>0</v>
      </c>
      <c r="D11" s="182">
        <v>0</v>
      </c>
      <c r="E11" s="186">
        <v>0</v>
      </c>
      <c r="F11" s="182">
        <v>0</v>
      </c>
      <c r="G11" s="182">
        <v>0</v>
      </c>
      <c r="H11" s="182">
        <v>0</v>
      </c>
      <c r="I11" s="182">
        <v>0</v>
      </c>
      <c r="J11" s="182">
        <v>0</v>
      </c>
      <c r="K11" s="182">
        <v>0</v>
      </c>
      <c r="L11" s="295"/>
      <c r="M11" s="327"/>
    </row>
    <row r="12" spans="1:13" ht="19.5" customHeight="1" x14ac:dyDescent="0.25">
      <c r="A12" s="58" t="s">
        <v>737</v>
      </c>
      <c r="B12" s="182">
        <v>2</v>
      </c>
      <c r="C12" s="183">
        <v>100</v>
      </c>
      <c r="D12" s="182">
        <v>2</v>
      </c>
      <c r="E12" s="184">
        <f>D12/B12*100</f>
        <v>100</v>
      </c>
      <c r="F12" s="185">
        <f>D12*7/100+D12</f>
        <v>2.14</v>
      </c>
      <c r="G12" s="185">
        <f>F12/D12*100</f>
        <v>107</v>
      </c>
      <c r="H12" s="185">
        <f>F12*7/100+F12</f>
        <v>2.2898000000000001</v>
      </c>
      <c r="I12" s="187">
        <f>H12/F12*102</f>
        <v>109.14</v>
      </c>
      <c r="J12" s="185">
        <f>H12*7/100+H12</f>
        <v>2.4500860000000002</v>
      </c>
      <c r="K12" s="185">
        <f>J12/H12*101.6</f>
        <v>108.712</v>
      </c>
      <c r="L12" s="295"/>
      <c r="M12" s="327"/>
    </row>
    <row r="13" spans="1:13" ht="27" customHeight="1" x14ac:dyDescent="0.25">
      <c r="A13" s="58" t="s">
        <v>738</v>
      </c>
      <c r="B13" s="188">
        <v>2.8</v>
      </c>
      <c r="C13" s="189">
        <v>100</v>
      </c>
      <c r="D13" s="188">
        <v>0.13200000000000001</v>
      </c>
      <c r="E13" s="184">
        <f>D13/B13*100</f>
        <v>4.7142857142857144</v>
      </c>
      <c r="F13" s="190">
        <f>D13*7/100+D13</f>
        <v>0.14124</v>
      </c>
      <c r="G13" s="190">
        <f>F13/D13*100</f>
        <v>107</v>
      </c>
      <c r="H13" s="190">
        <f>F13*7/100+F13</f>
        <v>0.15112680000000001</v>
      </c>
      <c r="I13" s="190">
        <f>H13/F13*100</f>
        <v>107</v>
      </c>
      <c r="J13" s="190">
        <f>H13*7/100+H13</f>
        <v>0.16170567599999999</v>
      </c>
      <c r="K13" s="190">
        <f>J13/H13*100</f>
        <v>106.99999999999999</v>
      </c>
      <c r="L13" s="295"/>
      <c r="M13" s="327"/>
    </row>
    <row r="14" spans="1:13" x14ac:dyDescent="0.25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37" orientation="landscape" useFirstPageNumber="1" r:id="rId1"/>
  <headerFooter>
    <oddFooter>&amp;C&amp;P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70" zoomScaleNormal="100" zoomScaleSheetLayoutView="70" workbookViewId="0">
      <selection activeCell="F6" sqref="F6"/>
    </sheetView>
  </sheetViews>
  <sheetFormatPr defaultRowHeight="15" x14ac:dyDescent="0.25"/>
  <cols>
    <col min="1" max="1" width="35.28515625" customWidth="1"/>
    <col min="2" max="11" width="9.5703125" customWidth="1"/>
  </cols>
  <sheetData>
    <row r="1" spans="1:13" ht="69.75" customHeight="1" x14ac:dyDescent="0.3">
      <c r="A1" s="403" t="s">
        <v>997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18" x14ac:dyDescent="0.25">
      <c r="A2" s="395" t="s">
        <v>741</v>
      </c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37"/>
      <c r="M2" s="349"/>
    </row>
    <row r="3" spans="1:13" ht="18" customHeight="1" x14ac:dyDescent="0.25">
      <c r="A3" s="386" t="s">
        <v>1</v>
      </c>
      <c r="B3" s="386" t="s">
        <v>878</v>
      </c>
      <c r="C3" s="386"/>
      <c r="D3" s="386" t="s">
        <v>887</v>
      </c>
      <c r="E3" s="386"/>
      <c r="F3" s="386" t="s">
        <v>8</v>
      </c>
      <c r="G3" s="386"/>
      <c r="H3" s="387" t="s">
        <v>4</v>
      </c>
      <c r="I3" s="387"/>
      <c r="J3" s="387"/>
      <c r="K3" s="387"/>
      <c r="L3" s="337"/>
      <c r="M3" s="349"/>
    </row>
    <row r="4" spans="1:13" ht="18" x14ac:dyDescent="0.25">
      <c r="A4" s="386"/>
      <c r="B4" s="386"/>
      <c r="C4" s="386"/>
      <c r="D4" s="386"/>
      <c r="E4" s="386"/>
      <c r="F4" s="386" t="s">
        <v>246</v>
      </c>
      <c r="G4" s="386"/>
      <c r="H4" s="386" t="s">
        <v>247</v>
      </c>
      <c r="I4" s="386"/>
      <c r="J4" s="386" t="s">
        <v>877</v>
      </c>
      <c r="K4" s="386"/>
      <c r="L4" s="295"/>
      <c r="M4" s="327"/>
    </row>
    <row r="5" spans="1:13" ht="21.75" customHeight="1" x14ac:dyDescent="0.25">
      <c r="A5" s="386"/>
      <c r="B5" s="153" t="s">
        <v>315</v>
      </c>
      <c r="C5" s="153" t="s">
        <v>316</v>
      </c>
      <c r="D5" s="153" t="s">
        <v>315</v>
      </c>
      <c r="E5" s="153" t="s">
        <v>316</v>
      </c>
      <c r="F5" s="153" t="s">
        <v>315</v>
      </c>
      <c r="G5" s="153" t="s">
        <v>316</v>
      </c>
      <c r="H5" s="153" t="s">
        <v>315</v>
      </c>
      <c r="I5" s="153" t="s">
        <v>316</v>
      </c>
      <c r="J5" s="153" t="s">
        <v>315</v>
      </c>
      <c r="K5" s="153" t="s">
        <v>316</v>
      </c>
      <c r="L5" s="295"/>
      <c r="M5" s="327"/>
    </row>
    <row r="6" spans="1:13" ht="42" customHeight="1" x14ac:dyDescent="0.25">
      <c r="A6" s="58" t="s">
        <v>742</v>
      </c>
      <c r="B6" s="110">
        <v>1</v>
      </c>
      <c r="C6" s="110">
        <v>3</v>
      </c>
      <c r="D6" s="110">
        <v>1</v>
      </c>
      <c r="E6" s="110">
        <v>3</v>
      </c>
      <c r="F6" s="110">
        <v>1</v>
      </c>
      <c r="G6" s="110">
        <v>3</v>
      </c>
      <c r="H6" s="110">
        <v>1</v>
      </c>
      <c r="I6" s="110">
        <v>3</v>
      </c>
      <c r="J6" s="110">
        <v>1</v>
      </c>
      <c r="K6" s="110">
        <v>3</v>
      </c>
      <c r="L6" s="295"/>
      <c r="M6" s="327"/>
    </row>
    <row r="7" spans="1:13" ht="40.5" customHeight="1" x14ac:dyDescent="0.25">
      <c r="A7" s="58" t="s">
        <v>743</v>
      </c>
      <c r="B7" s="110">
        <v>2</v>
      </c>
      <c r="C7" s="110">
        <v>100</v>
      </c>
      <c r="D7" s="110">
        <v>2</v>
      </c>
      <c r="E7" s="180">
        <f t="shared" ref="E7:E8" si="0">D7/B7*100</f>
        <v>100</v>
      </c>
      <c r="F7" s="181">
        <f>D7*3/100+D7</f>
        <v>2.06</v>
      </c>
      <c r="G7" s="181">
        <f>F7/D7*97</f>
        <v>99.91</v>
      </c>
      <c r="H7" s="181">
        <f>F7*1/100+F7</f>
        <v>2.0806</v>
      </c>
      <c r="I7" s="181">
        <f>H7/F7*99</f>
        <v>99.99</v>
      </c>
      <c r="J7" s="181">
        <f t="shared" ref="J7:J8" si="1">H7*1/100+H7</f>
        <v>2.1014059999999999</v>
      </c>
      <c r="K7" s="181">
        <f>J7/H7*99</f>
        <v>99.99</v>
      </c>
      <c r="L7" s="295"/>
      <c r="M7" s="327"/>
    </row>
    <row r="8" spans="1:13" ht="41.25" customHeight="1" x14ac:dyDescent="0.25">
      <c r="A8" s="58" t="s">
        <v>744</v>
      </c>
      <c r="B8" s="110">
        <v>5</v>
      </c>
      <c r="C8" s="110">
        <v>100</v>
      </c>
      <c r="D8" s="110">
        <v>4</v>
      </c>
      <c r="E8" s="180">
        <f t="shared" si="0"/>
        <v>80</v>
      </c>
      <c r="F8" s="181">
        <f>D8*3/100+D8</f>
        <v>4.12</v>
      </c>
      <c r="G8" s="181">
        <f>F8/D8*97</f>
        <v>99.91</v>
      </c>
      <c r="H8" s="181">
        <f>F8*1/100+F8</f>
        <v>4.1612</v>
      </c>
      <c r="I8" s="181">
        <f>H8/F8*99</f>
        <v>99.99</v>
      </c>
      <c r="J8" s="181">
        <f t="shared" si="1"/>
        <v>4.2028119999999998</v>
      </c>
      <c r="K8" s="181">
        <f>J8/H8*99</f>
        <v>99.99</v>
      </c>
      <c r="L8" s="295"/>
      <c r="M8" s="327"/>
    </row>
    <row r="9" spans="1:13" ht="44.25" customHeight="1" x14ac:dyDescent="0.25">
      <c r="A9" s="58" t="s">
        <v>745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295"/>
      <c r="M9" s="327"/>
    </row>
    <row r="10" spans="1:13" x14ac:dyDescent="0.25">
      <c r="A10" s="295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327"/>
    </row>
    <row r="11" spans="1:13" x14ac:dyDescent="0.25">
      <c r="A11" s="295"/>
      <c r="B11" s="295"/>
      <c r="C11" s="295"/>
      <c r="D11" s="295"/>
      <c r="E11" s="295"/>
      <c r="F11" s="295"/>
      <c r="G11" s="295"/>
      <c r="H11" s="295"/>
      <c r="I11" s="295"/>
      <c r="J11" s="295"/>
      <c r="K11" s="295"/>
      <c r="L11" s="295"/>
      <c r="M11" s="327"/>
    </row>
    <row r="12" spans="1:13" x14ac:dyDescent="0.25">
      <c r="A12" s="295"/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327"/>
    </row>
    <row r="13" spans="1:13" x14ac:dyDescent="0.25">
      <c r="A13" s="295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327"/>
    </row>
    <row r="14" spans="1:13" x14ac:dyDescent="0.25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0">
    <mergeCell ref="A1:K1"/>
    <mergeCell ref="A2:K2"/>
    <mergeCell ref="A3:A5"/>
    <mergeCell ref="B3:C4"/>
    <mergeCell ref="D3:E4"/>
    <mergeCell ref="F3:G3"/>
    <mergeCell ref="H3:K3"/>
    <mergeCell ref="F4:G4"/>
    <mergeCell ref="H4:I4"/>
    <mergeCell ref="J4:K4"/>
  </mergeCells>
  <pageMargins left="0.43307086614173229" right="0.19685039370078741" top="0.35433070866141736" bottom="0.35433070866141736" header="0" footer="0"/>
  <pageSetup paperSize="9" scale="105" firstPageNumber="138" orientation="landscape" useFirstPageNumber="1" r:id="rId1"/>
  <headerFooter>
    <oddFooter>&amp;C&amp;P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55" zoomScaleNormal="100" zoomScaleSheetLayoutView="55" workbookViewId="0">
      <selection activeCell="F6" sqref="F6"/>
    </sheetView>
  </sheetViews>
  <sheetFormatPr defaultRowHeight="15" x14ac:dyDescent="0.25"/>
  <cols>
    <col min="1" max="1" width="44.28515625" customWidth="1"/>
    <col min="2" max="2" width="13.28515625" customWidth="1"/>
    <col min="3" max="3" width="10.140625" customWidth="1"/>
    <col min="4" max="4" width="12.7109375" customWidth="1"/>
    <col min="5" max="5" width="10.140625" customWidth="1"/>
    <col min="6" max="6" width="13.5703125" customWidth="1"/>
    <col min="7" max="7" width="10.140625" customWidth="1"/>
    <col min="8" max="8" width="14.42578125" customWidth="1"/>
    <col min="9" max="9" width="10.5703125" customWidth="1"/>
    <col min="10" max="10" width="15.28515625" customWidth="1"/>
    <col min="11" max="11" width="10.140625" customWidth="1"/>
  </cols>
  <sheetData>
    <row r="1" spans="1:13" ht="29.25" customHeight="1" x14ac:dyDescent="0.3">
      <c r="A1" s="403" t="s">
        <v>975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18" x14ac:dyDescent="0.25">
      <c r="A2" s="386" t="s">
        <v>1</v>
      </c>
      <c r="B2" s="386" t="s">
        <v>888</v>
      </c>
      <c r="C2" s="386"/>
      <c r="D2" s="386" t="s">
        <v>887</v>
      </c>
      <c r="E2" s="386"/>
      <c r="F2" s="389" t="s">
        <v>8</v>
      </c>
      <c r="G2" s="389"/>
      <c r="H2" s="390" t="s">
        <v>4</v>
      </c>
      <c r="I2" s="390"/>
      <c r="J2" s="390"/>
      <c r="K2" s="390"/>
      <c r="L2" s="337"/>
      <c r="M2" s="349"/>
    </row>
    <row r="3" spans="1:13" ht="18" x14ac:dyDescent="0.25">
      <c r="A3" s="386"/>
      <c r="B3" s="386"/>
      <c r="C3" s="386"/>
      <c r="D3" s="386"/>
      <c r="E3" s="386"/>
      <c r="F3" s="389" t="s">
        <v>246</v>
      </c>
      <c r="G3" s="389"/>
      <c r="H3" s="389" t="s">
        <v>247</v>
      </c>
      <c r="I3" s="389"/>
      <c r="J3" s="389" t="s">
        <v>877</v>
      </c>
      <c r="K3" s="389"/>
      <c r="L3" s="337"/>
      <c r="M3" s="349"/>
    </row>
    <row r="4" spans="1:13" ht="47.25" x14ac:dyDescent="0.25">
      <c r="A4" s="386"/>
      <c r="B4" s="153" t="s">
        <v>746</v>
      </c>
      <c r="C4" s="153" t="s">
        <v>316</v>
      </c>
      <c r="D4" s="153" t="s">
        <v>746</v>
      </c>
      <c r="E4" s="153" t="s">
        <v>316</v>
      </c>
      <c r="F4" s="153" t="s">
        <v>746</v>
      </c>
      <c r="G4" s="153" t="s">
        <v>316</v>
      </c>
      <c r="H4" s="153" t="s">
        <v>746</v>
      </c>
      <c r="I4" s="153" t="s">
        <v>316</v>
      </c>
      <c r="J4" s="153" t="s">
        <v>746</v>
      </c>
      <c r="K4" s="153" t="s">
        <v>316</v>
      </c>
      <c r="L4" s="295"/>
      <c r="M4" s="327"/>
    </row>
    <row r="5" spans="1:13" ht="18" x14ac:dyDescent="0.25">
      <c r="A5" s="60" t="s">
        <v>747</v>
      </c>
      <c r="B5" s="17"/>
      <c r="C5" s="17"/>
      <c r="D5" s="110"/>
      <c r="E5" s="110"/>
      <c r="F5" s="110"/>
      <c r="G5" s="110"/>
      <c r="H5" s="110"/>
      <c r="I5" s="110"/>
      <c r="J5" s="110"/>
      <c r="K5" s="110"/>
      <c r="L5" s="295"/>
      <c r="M5" s="327"/>
    </row>
    <row r="6" spans="1:13" ht="54.75" customHeight="1" x14ac:dyDescent="0.25">
      <c r="A6" s="58" t="s">
        <v>748</v>
      </c>
      <c r="B6" s="17">
        <v>120000</v>
      </c>
      <c r="C6" s="17">
        <v>20</v>
      </c>
      <c r="D6" s="17">
        <v>1441200</v>
      </c>
      <c r="E6" s="16">
        <v>20</v>
      </c>
      <c r="F6" s="17">
        <v>1729440</v>
      </c>
      <c r="G6" s="16">
        <v>20</v>
      </c>
      <c r="H6" s="17">
        <v>2075328</v>
      </c>
      <c r="I6" s="16">
        <v>20</v>
      </c>
      <c r="J6" s="17">
        <v>2490393</v>
      </c>
      <c r="K6" s="16">
        <v>20</v>
      </c>
      <c r="L6" s="295"/>
      <c r="M6" s="327"/>
    </row>
    <row r="7" spans="1:13" ht="56.25" customHeight="1" x14ac:dyDescent="0.25">
      <c r="A7" s="58" t="s">
        <v>749</v>
      </c>
      <c r="B7" s="17">
        <v>904500</v>
      </c>
      <c r="C7" s="15">
        <v>20</v>
      </c>
      <c r="D7" s="17">
        <v>1085400</v>
      </c>
      <c r="E7" s="16">
        <v>20</v>
      </c>
      <c r="F7" s="17">
        <v>1302480</v>
      </c>
      <c r="G7" s="16">
        <v>20</v>
      </c>
      <c r="H7" s="17">
        <v>1562976</v>
      </c>
      <c r="I7" s="16">
        <v>20</v>
      </c>
      <c r="J7" s="17">
        <v>1875571</v>
      </c>
      <c r="K7" s="16">
        <v>20</v>
      </c>
      <c r="L7" s="295"/>
      <c r="M7" s="327"/>
    </row>
    <row r="8" spans="1:13" ht="72" customHeight="1" x14ac:dyDescent="0.25">
      <c r="A8" s="58" t="s">
        <v>750</v>
      </c>
      <c r="B8" s="17"/>
      <c r="C8" s="17"/>
      <c r="D8" s="17"/>
      <c r="E8" s="15"/>
      <c r="F8" s="17"/>
      <c r="G8" s="16"/>
      <c r="H8" s="17"/>
      <c r="I8" s="16"/>
      <c r="J8" s="17"/>
      <c r="K8" s="16"/>
      <c r="L8" s="295"/>
      <c r="M8" s="327"/>
    </row>
    <row r="9" spans="1:13" ht="57" customHeight="1" x14ac:dyDescent="0.25">
      <c r="A9" s="58" t="s">
        <v>751</v>
      </c>
      <c r="B9" s="17">
        <v>30464000</v>
      </c>
      <c r="C9" s="17">
        <v>20</v>
      </c>
      <c r="D9" s="17">
        <v>36556400</v>
      </c>
      <c r="E9" s="16">
        <v>20</v>
      </c>
      <c r="F9" s="17">
        <v>43864160</v>
      </c>
      <c r="G9" s="16">
        <v>20</v>
      </c>
      <c r="H9" s="17">
        <v>52641792</v>
      </c>
      <c r="I9" s="16">
        <v>20</v>
      </c>
      <c r="J9" s="17">
        <v>63170150</v>
      </c>
      <c r="K9" s="16">
        <v>20</v>
      </c>
      <c r="L9" s="295"/>
      <c r="M9" s="327"/>
    </row>
    <row r="10" spans="1:13" ht="55.5" customHeight="1" x14ac:dyDescent="0.25">
      <c r="A10" s="58" t="s">
        <v>752</v>
      </c>
      <c r="B10" s="17">
        <v>1151000</v>
      </c>
      <c r="C10" s="17">
        <v>20</v>
      </c>
      <c r="D10" s="17">
        <v>1381200</v>
      </c>
      <c r="E10" s="16">
        <v>20</v>
      </c>
      <c r="F10" s="17">
        <v>1657440</v>
      </c>
      <c r="G10" s="16">
        <v>20</v>
      </c>
      <c r="H10" s="17">
        <v>1984924</v>
      </c>
      <c r="I10" s="16">
        <v>20</v>
      </c>
      <c r="J10" s="17">
        <v>2386713</v>
      </c>
      <c r="K10" s="16">
        <v>20</v>
      </c>
      <c r="L10" s="295"/>
      <c r="M10" s="327"/>
    </row>
    <row r="11" spans="1:13" ht="18" x14ac:dyDescent="0.25">
      <c r="A11" s="60" t="s">
        <v>753</v>
      </c>
      <c r="B11" s="17"/>
      <c r="C11" s="17"/>
      <c r="D11" s="17"/>
      <c r="E11" s="16"/>
      <c r="F11" s="17"/>
      <c r="G11" s="16"/>
      <c r="H11" s="17"/>
      <c r="I11" s="16"/>
      <c r="J11" s="17"/>
      <c r="K11" s="16"/>
      <c r="L11" s="295"/>
      <c r="M11" s="327"/>
    </row>
    <row r="12" spans="1:13" ht="38.25" customHeight="1" x14ac:dyDescent="0.25">
      <c r="A12" s="58" t="s">
        <v>754</v>
      </c>
      <c r="B12" s="17">
        <v>334642</v>
      </c>
      <c r="C12" s="17">
        <v>20</v>
      </c>
      <c r="D12" s="17">
        <v>401570</v>
      </c>
      <c r="E12" s="16">
        <v>20</v>
      </c>
      <c r="F12" s="17">
        <v>481884</v>
      </c>
      <c r="G12" s="16">
        <v>20</v>
      </c>
      <c r="H12" s="17">
        <v>578261</v>
      </c>
      <c r="I12" s="16">
        <v>20</v>
      </c>
      <c r="J12" s="17">
        <v>693913</v>
      </c>
      <c r="K12" s="16">
        <v>20</v>
      </c>
      <c r="L12" s="295"/>
      <c r="M12" s="327"/>
    </row>
    <row r="13" spans="1:13" ht="51.75" customHeight="1" x14ac:dyDescent="0.25">
      <c r="A13" s="58" t="s">
        <v>755</v>
      </c>
      <c r="B13" s="17"/>
      <c r="C13" s="17"/>
      <c r="D13" s="17"/>
      <c r="E13" s="16"/>
      <c r="F13" s="17"/>
      <c r="G13" s="16"/>
      <c r="H13" s="17"/>
      <c r="I13" s="16"/>
      <c r="J13" s="17"/>
      <c r="K13" s="16"/>
      <c r="L13" s="295"/>
      <c r="M13" s="327"/>
    </row>
    <row r="14" spans="1:13" ht="22.5" customHeight="1" x14ac:dyDescent="0.25">
      <c r="A14" s="58" t="s">
        <v>756</v>
      </c>
      <c r="B14" s="17">
        <v>225</v>
      </c>
      <c r="C14" s="16">
        <v>20</v>
      </c>
      <c r="D14" s="17">
        <v>270</v>
      </c>
      <c r="E14" s="16">
        <v>20</v>
      </c>
      <c r="F14" s="17">
        <v>324</v>
      </c>
      <c r="G14" s="16">
        <v>20</v>
      </c>
      <c r="H14" s="17">
        <v>388</v>
      </c>
      <c r="I14" s="16">
        <v>20</v>
      </c>
      <c r="J14" s="17">
        <v>466</v>
      </c>
      <c r="K14" s="16">
        <v>20</v>
      </c>
      <c r="L14" s="295"/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85" firstPageNumber="139" orientation="landscape" useFirstPageNumber="1" r:id="rId1"/>
  <headerFooter>
    <oddFooter>&amp;C&amp;P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Normal="100" zoomScaleSheetLayoutView="100" workbookViewId="0">
      <selection activeCell="F6" sqref="F6"/>
    </sheetView>
  </sheetViews>
  <sheetFormatPr defaultRowHeight="15" x14ac:dyDescent="0.25"/>
  <cols>
    <col min="1" max="1" width="32.7109375" customWidth="1"/>
    <col min="2" max="2" width="8.7109375" customWidth="1"/>
    <col min="3" max="11" width="9.5703125" customWidth="1"/>
  </cols>
  <sheetData>
    <row r="1" spans="1:13" ht="39.75" customHeight="1" x14ac:dyDescent="0.3">
      <c r="A1" s="403" t="s">
        <v>974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21.75" customHeight="1" x14ac:dyDescent="0.25">
      <c r="A2" s="386" t="s">
        <v>1</v>
      </c>
      <c r="B2" s="386" t="s">
        <v>888</v>
      </c>
      <c r="C2" s="420"/>
      <c r="D2" s="386" t="s">
        <v>887</v>
      </c>
      <c r="E2" s="420"/>
      <c r="F2" s="389" t="s">
        <v>8</v>
      </c>
      <c r="G2" s="420"/>
      <c r="H2" s="390" t="s">
        <v>4</v>
      </c>
      <c r="I2" s="390"/>
      <c r="J2" s="390"/>
      <c r="K2" s="390"/>
      <c r="L2" s="337"/>
      <c r="M2" s="349"/>
    </row>
    <row r="3" spans="1:13" ht="21" customHeight="1" x14ac:dyDescent="0.25">
      <c r="A3" s="420"/>
      <c r="B3" s="420"/>
      <c r="C3" s="420"/>
      <c r="D3" s="420"/>
      <c r="E3" s="420"/>
      <c r="F3" s="389" t="s">
        <v>246</v>
      </c>
      <c r="G3" s="420"/>
      <c r="H3" s="389" t="s">
        <v>247</v>
      </c>
      <c r="I3" s="420"/>
      <c r="J3" s="389" t="s">
        <v>877</v>
      </c>
      <c r="K3" s="389"/>
      <c r="L3" s="337"/>
      <c r="M3" s="349"/>
    </row>
    <row r="4" spans="1:13" ht="47.25" x14ac:dyDescent="0.25">
      <c r="A4" s="421"/>
      <c r="B4" s="153" t="s">
        <v>712</v>
      </c>
      <c r="C4" s="153" t="s">
        <v>316</v>
      </c>
      <c r="D4" s="153" t="s">
        <v>712</v>
      </c>
      <c r="E4" s="153" t="s">
        <v>316</v>
      </c>
      <c r="F4" s="153" t="s">
        <v>712</v>
      </c>
      <c r="G4" s="153" t="s">
        <v>316</v>
      </c>
      <c r="H4" s="153" t="s">
        <v>712</v>
      </c>
      <c r="I4" s="153" t="s">
        <v>316</v>
      </c>
      <c r="J4" s="153" t="s">
        <v>712</v>
      </c>
      <c r="K4" s="153" t="s">
        <v>316</v>
      </c>
      <c r="L4" s="295"/>
      <c r="M4" s="327"/>
    </row>
    <row r="5" spans="1:13" ht="54" x14ac:dyDescent="0.25">
      <c r="A5" s="58" t="s">
        <v>757</v>
      </c>
      <c r="B5" s="88">
        <v>37</v>
      </c>
      <c r="C5" s="88">
        <v>108.8</v>
      </c>
      <c r="D5" s="88">
        <v>30</v>
      </c>
      <c r="E5" s="89">
        <v>81.099999999999994</v>
      </c>
      <c r="F5" s="88">
        <v>25</v>
      </c>
      <c r="G5" s="89">
        <v>83.3</v>
      </c>
      <c r="H5" s="88">
        <v>20</v>
      </c>
      <c r="I5" s="92">
        <v>80</v>
      </c>
      <c r="J5" s="88">
        <v>15</v>
      </c>
      <c r="K5" s="92">
        <v>75</v>
      </c>
      <c r="L5" s="295"/>
      <c r="M5" s="327"/>
    </row>
    <row r="6" spans="1:13" ht="18" x14ac:dyDescent="0.25">
      <c r="A6" s="58" t="s">
        <v>249</v>
      </c>
      <c r="B6" s="90"/>
      <c r="C6" s="90"/>
      <c r="D6" s="90"/>
      <c r="E6" s="89"/>
      <c r="F6" s="88"/>
      <c r="G6" s="89"/>
      <c r="H6" s="88"/>
      <c r="I6" s="89"/>
      <c r="J6" s="88"/>
      <c r="K6" s="88"/>
      <c r="L6" s="295"/>
      <c r="M6" s="327"/>
    </row>
    <row r="7" spans="1:13" ht="18" x14ac:dyDescent="0.25">
      <c r="A7" s="58" t="s">
        <v>758</v>
      </c>
      <c r="B7" s="88">
        <v>35</v>
      </c>
      <c r="C7" s="88">
        <v>106</v>
      </c>
      <c r="D7" s="88">
        <v>29</v>
      </c>
      <c r="E7" s="89">
        <v>82.8</v>
      </c>
      <c r="F7" s="88">
        <v>23</v>
      </c>
      <c r="G7" s="89">
        <v>79.3</v>
      </c>
      <c r="H7" s="88">
        <v>18</v>
      </c>
      <c r="I7" s="89">
        <v>78.2</v>
      </c>
      <c r="J7" s="88">
        <v>13</v>
      </c>
      <c r="K7" s="89">
        <v>72.2</v>
      </c>
      <c r="L7" s="295"/>
      <c r="M7" s="327"/>
    </row>
    <row r="8" spans="1:13" ht="36" x14ac:dyDescent="0.25">
      <c r="A8" s="58" t="s">
        <v>759</v>
      </c>
      <c r="B8" s="88">
        <v>2</v>
      </c>
      <c r="C8" s="88">
        <v>200</v>
      </c>
      <c r="D8" s="88">
        <v>1</v>
      </c>
      <c r="E8" s="92">
        <v>200</v>
      </c>
      <c r="F8" s="88">
        <v>2</v>
      </c>
      <c r="G8" s="92">
        <v>100</v>
      </c>
      <c r="H8" s="88">
        <v>2</v>
      </c>
      <c r="I8" s="92">
        <v>100</v>
      </c>
      <c r="J8" s="88">
        <v>2</v>
      </c>
      <c r="K8" s="92">
        <v>100</v>
      </c>
      <c r="L8" s="295"/>
      <c r="M8" s="327"/>
    </row>
    <row r="9" spans="1:13" ht="23.25" customHeight="1" x14ac:dyDescent="0.25">
      <c r="A9" s="58" t="s">
        <v>760</v>
      </c>
      <c r="B9" s="90"/>
      <c r="C9" s="90"/>
      <c r="D9" s="90"/>
      <c r="E9" s="91"/>
      <c r="F9" s="90"/>
      <c r="G9" s="89"/>
      <c r="H9" s="90"/>
      <c r="I9" s="89"/>
      <c r="J9" s="90"/>
      <c r="K9" s="90"/>
      <c r="L9" s="295"/>
      <c r="M9" s="327"/>
    </row>
    <row r="10" spans="1:13" ht="19.5" customHeight="1" x14ac:dyDescent="0.25">
      <c r="A10" s="58" t="s">
        <v>761</v>
      </c>
      <c r="B10" s="90" t="s">
        <v>29</v>
      </c>
      <c r="C10" s="90" t="s">
        <v>29</v>
      </c>
      <c r="D10" s="90" t="s">
        <v>29</v>
      </c>
      <c r="E10" s="90" t="s">
        <v>29</v>
      </c>
      <c r="F10" s="90">
        <v>1</v>
      </c>
      <c r="G10" s="92">
        <v>100</v>
      </c>
      <c r="H10" s="90">
        <v>2</v>
      </c>
      <c r="I10" s="92">
        <v>200</v>
      </c>
      <c r="J10" s="90">
        <v>1</v>
      </c>
      <c r="K10" s="90">
        <v>50</v>
      </c>
      <c r="L10" s="295"/>
      <c r="M10" s="327"/>
    </row>
    <row r="11" spans="1:13" ht="21" customHeight="1" x14ac:dyDescent="0.25">
      <c r="A11" s="58" t="s">
        <v>762</v>
      </c>
      <c r="B11" s="90" t="s">
        <v>29</v>
      </c>
      <c r="C11" s="90" t="s">
        <v>29</v>
      </c>
      <c r="D11" s="90" t="s">
        <v>29</v>
      </c>
      <c r="E11" s="90" t="s">
        <v>29</v>
      </c>
      <c r="F11" s="90" t="s">
        <v>29</v>
      </c>
      <c r="G11" s="90" t="s">
        <v>29</v>
      </c>
      <c r="H11" s="90" t="s">
        <v>29</v>
      </c>
      <c r="I11" s="90" t="s">
        <v>29</v>
      </c>
      <c r="J11" s="90" t="s">
        <v>29</v>
      </c>
      <c r="K11" s="90" t="s">
        <v>29</v>
      </c>
      <c r="L11" s="295"/>
      <c r="M11" s="327"/>
    </row>
    <row r="12" spans="1:13" ht="21.75" customHeight="1" x14ac:dyDescent="0.25">
      <c r="A12" s="58" t="s">
        <v>763</v>
      </c>
      <c r="B12" s="90" t="s">
        <v>29</v>
      </c>
      <c r="C12" s="90" t="s">
        <v>29</v>
      </c>
      <c r="D12" s="88">
        <v>1</v>
      </c>
      <c r="E12" s="102">
        <v>100</v>
      </c>
      <c r="F12" s="88">
        <v>2</v>
      </c>
      <c r="G12" s="92">
        <v>200</v>
      </c>
      <c r="H12" s="88">
        <v>2</v>
      </c>
      <c r="I12" s="92">
        <v>100</v>
      </c>
      <c r="J12" s="88">
        <v>3</v>
      </c>
      <c r="K12" s="92">
        <v>150</v>
      </c>
      <c r="L12" s="295"/>
      <c r="M12" s="327"/>
    </row>
    <row r="13" spans="1:13" ht="36" x14ac:dyDescent="0.25">
      <c r="A13" s="58" t="s">
        <v>764</v>
      </c>
      <c r="B13" s="90" t="s">
        <v>29</v>
      </c>
      <c r="C13" s="90" t="s">
        <v>29</v>
      </c>
      <c r="D13" s="88">
        <v>1</v>
      </c>
      <c r="E13" s="102">
        <v>100</v>
      </c>
      <c r="F13" s="88">
        <v>2</v>
      </c>
      <c r="G13" s="92">
        <v>200</v>
      </c>
      <c r="H13" s="88">
        <v>2</v>
      </c>
      <c r="I13" s="92">
        <v>100</v>
      </c>
      <c r="J13" s="88">
        <v>1</v>
      </c>
      <c r="K13" s="92">
        <v>50</v>
      </c>
      <c r="L13" s="295"/>
      <c r="M13" s="327"/>
    </row>
    <row r="14" spans="1:13" ht="21.75" customHeight="1" x14ac:dyDescent="0.25">
      <c r="A14" s="58" t="s">
        <v>765</v>
      </c>
      <c r="B14" s="90" t="s">
        <v>29</v>
      </c>
      <c r="C14" s="90" t="s">
        <v>29</v>
      </c>
      <c r="D14" s="88">
        <v>1</v>
      </c>
      <c r="E14" s="92">
        <v>200</v>
      </c>
      <c r="F14" s="88">
        <v>1</v>
      </c>
      <c r="G14" s="92">
        <v>100</v>
      </c>
      <c r="H14" s="88">
        <v>3</v>
      </c>
      <c r="I14" s="92">
        <v>300</v>
      </c>
      <c r="J14" s="88"/>
      <c r="K14" s="89"/>
      <c r="L14" s="295"/>
      <c r="M14" s="327"/>
    </row>
    <row r="15" spans="1:13" ht="21.75" customHeight="1" x14ac:dyDescent="0.25">
      <c r="A15" s="58" t="s">
        <v>766</v>
      </c>
      <c r="B15" s="90">
        <v>1</v>
      </c>
      <c r="C15" s="90" t="s">
        <v>29</v>
      </c>
      <c r="D15" s="88">
        <v>1</v>
      </c>
      <c r="E15" s="102">
        <v>100</v>
      </c>
      <c r="F15" s="88">
        <v>1</v>
      </c>
      <c r="G15" s="92">
        <v>100</v>
      </c>
      <c r="H15" s="88">
        <v>3</v>
      </c>
      <c r="I15" s="92">
        <v>300</v>
      </c>
      <c r="J15" s="88">
        <v>2</v>
      </c>
      <c r="K15" s="89">
        <v>66.599999999999994</v>
      </c>
      <c r="L15" s="295"/>
      <c r="M15" s="327"/>
    </row>
    <row r="16" spans="1:13" ht="21" customHeight="1" x14ac:dyDescent="0.25">
      <c r="A16" s="58" t="s">
        <v>767</v>
      </c>
      <c r="B16" s="90" t="s">
        <v>29</v>
      </c>
      <c r="C16" s="90" t="s">
        <v>29</v>
      </c>
      <c r="D16" s="90" t="s">
        <v>29</v>
      </c>
      <c r="E16" s="90" t="s">
        <v>29</v>
      </c>
      <c r="F16" s="90" t="s">
        <v>29</v>
      </c>
      <c r="G16" s="90" t="s">
        <v>29</v>
      </c>
      <c r="H16" s="90" t="s">
        <v>29</v>
      </c>
      <c r="I16" s="90" t="s">
        <v>29</v>
      </c>
      <c r="J16" s="90" t="s">
        <v>29</v>
      </c>
      <c r="K16" s="90" t="s">
        <v>29</v>
      </c>
      <c r="L16" s="295"/>
      <c r="M16" s="327"/>
    </row>
    <row r="17" spans="1:13" ht="19.5" customHeight="1" x14ac:dyDescent="0.25">
      <c r="A17" s="58" t="s">
        <v>768</v>
      </c>
      <c r="B17" s="90" t="s">
        <v>29</v>
      </c>
      <c r="C17" s="90" t="s">
        <v>29</v>
      </c>
      <c r="D17" s="88">
        <v>1</v>
      </c>
      <c r="E17" s="102">
        <v>100</v>
      </c>
      <c r="F17" s="88">
        <v>3</v>
      </c>
      <c r="G17" s="92">
        <v>300</v>
      </c>
      <c r="H17" s="88">
        <v>2</v>
      </c>
      <c r="I17" s="92">
        <v>100</v>
      </c>
      <c r="J17" s="88">
        <v>1</v>
      </c>
      <c r="K17" s="92">
        <v>50</v>
      </c>
      <c r="L17" s="295"/>
      <c r="M17" s="327"/>
    </row>
    <row r="18" spans="1:13" ht="18.75" customHeight="1" x14ac:dyDescent="0.25">
      <c r="A18" s="58" t="s">
        <v>769</v>
      </c>
      <c r="B18" s="90" t="s">
        <v>29</v>
      </c>
      <c r="C18" s="90" t="s">
        <v>29</v>
      </c>
      <c r="D18" s="88">
        <v>1</v>
      </c>
      <c r="E18" s="102">
        <v>100</v>
      </c>
      <c r="F18" s="88">
        <v>2</v>
      </c>
      <c r="G18" s="92">
        <v>200</v>
      </c>
      <c r="H18" s="88">
        <v>2</v>
      </c>
      <c r="I18" s="92">
        <v>100</v>
      </c>
      <c r="J18" s="88">
        <v>3</v>
      </c>
      <c r="K18" s="92">
        <v>150</v>
      </c>
      <c r="L18" s="295"/>
      <c r="M18" s="327"/>
    </row>
    <row r="19" spans="1:13" ht="21.75" customHeight="1" x14ac:dyDescent="0.25">
      <c r="A19" s="58" t="s">
        <v>770</v>
      </c>
      <c r="B19" s="90">
        <v>1</v>
      </c>
      <c r="C19" s="90" t="s">
        <v>29</v>
      </c>
      <c r="D19" s="88">
        <v>1</v>
      </c>
      <c r="E19" s="102">
        <v>100</v>
      </c>
      <c r="F19" s="88">
        <v>1</v>
      </c>
      <c r="G19" s="92">
        <v>100</v>
      </c>
      <c r="H19" s="88">
        <v>1</v>
      </c>
      <c r="I19" s="92">
        <v>100</v>
      </c>
      <c r="J19" s="88">
        <v>2</v>
      </c>
      <c r="K19" s="92">
        <v>200</v>
      </c>
      <c r="L19" s="295"/>
      <c r="M19" s="327"/>
    </row>
    <row r="20" spans="1:13" ht="21.75" customHeight="1" x14ac:dyDescent="0.25">
      <c r="A20" s="58" t="s">
        <v>771</v>
      </c>
      <c r="B20" s="90" t="s">
        <v>29</v>
      </c>
      <c r="C20" s="90" t="s">
        <v>29</v>
      </c>
      <c r="D20" s="88">
        <v>3</v>
      </c>
      <c r="E20" s="102">
        <v>300</v>
      </c>
      <c r="F20" s="88">
        <v>2</v>
      </c>
      <c r="G20" s="89">
        <v>66.599999999999994</v>
      </c>
      <c r="H20" s="88">
        <v>2</v>
      </c>
      <c r="I20" s="92">
        <v>100</v>
      </c>
      <c r="J20" s="88">
        <v>1</v>
      </c>
      <c r="K20" s="92">
        <v>50</v>
      </c>
      <c r="L20" s="295"/>
      <c r="M20" s="327"/>
    </row>
    <row r="21" spans="1:13" ht="22.5" customHeight="1" x14ac:dyDescent="0.25">
      <c r="A21" s="58" t="s">
        <v>772</v>
      </c>
      <c r="B21" s="88">
        <v>35</v>
      </c>
      <c r="C21" s="88">
        <v>106</v>
      </c>
      <c r="D21" s="88">
        <v>20</v>
      </c>
      <c r="E21" s="89">
        <v>57.1</v>
      </c>
      <c r="F21" s="88">
        <v>10</v>
      </c>
      <c r="G21" s="92">
        <v>20</v>
      </c>
      <c r="H21" s="88">
        <v>1</v>
      </c>
      <c r="I21" s="92" t="s">
        <v>915</v>
      </c>
      <c r="J21" s="88">
        <v>1</v>
      </c>
      <c r="K21" s="92">
        <v>100</v>
      </c>
      <c r="L21" s="295"/>
      <c r="M21" s="327"/>
    </row>
    <row r="22" spans="1:13" ht="54" x14ac:dyDescent="0.25">
      <c r="A22" s="58" t="s">
        <v>773</v>
      </c>
      <c r="B22" s="88">
        <v>19.3</v>
      </c>
      <c r="C22" s="88">
        <v>84.6</v>
      </c>
      <c r="D22" s="88">
        <v>15.6</v>
      </c>
      <c r="E22" s="89">
        <v>68.5</v>
      </c>
      <c r="F22" s="88">
        <v>12.9</v>
      </c>
      <c r="G22" s="92">
        <v>57</v>
      </c>
      <c r="H22" s="88">
        <v>12</v>
      </c>
      <c r="I22" s="89">
        <v>45.6</v>
      </c>
      <c r="J22" s="88">
        <v>10.7</v>
      </c>
      <c r="K22" s="89">
        <v>89.1</v>
      </c>
      <c r="L22" s="295"/>
      <c r="M22" s="327"/>
    </row>
    <row r="23" spans="1:13" ht="18" x14ac:dyDescent="0.25">
      <c r="A23" s="392" t="s">
        <v>774</v>
      </c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L23" s="295"/>
      <c r="M23" s="327"/>
    </row>
    <row r="24" spans="1:13" ht="36" x14ac:dyDescent="0.25">
      <c r="A24" s="58" t="s">
        <v>775</v>
      </c>
      <c r="B24" s="92">
        <v>350253</v>
      </c>
      <c r="C24" s="89">
        <v>2.9</v>
      </c>
      <c r="D24" s="92">
        <v>359709</v>
      </c>
      <c r="E24" s="89">
        <v>2.7</v>
      </c>
      <c r="F24" s="92">
        <v>370124</v>
      </c>
      <c r="G24" s="89">
        <v>2.9</v>
      </c>
      <c r="H24" s="92">
        <v>380503</v>
      </c>
      <c r="I24" s="89">
        <v>2.8</v>
      </c>
      <c r="J24" s="92">
        <v>391679</v>
      </c>
      <c r="K24" s="89">
        <v>2.9</v>
      </c>
      <c r="L24" s="295"/>
      <c r="M24" s="327"/>
    </row>
    <row r="25" spans="1:13" ht="13.5" customHeight="1" x14ac:dyDescent="0.25">
      <c r="A25" s="58" t="s">
        <v>573</v>
      </c>
      <c r="B25" s="89"/>
      <c r="C25" s="89"/>
      <c r="D25" s="92"/>
      <c r="E25" s="89"/>
      <c r="F25" s="92"/>
      <c r="G25" s="89"/>
      <c r="H25" s="92"/>
      <c r="I25" s="89"/>
      <c r="J25" s="92"/>
      <c r="K25" s="89"/>
      <c r="L25" s="295"/>
      <c r="M25" s="327"/>
    </row>
    <row r="26" spans="1:13" ht="49.5" customHeight="1" x14ac:dyDescent="0.25">
      <c r="A26" s="58" t="s">
        <v>776</v>
      </c>
      <c r="B26" s="92">
        <v>35669</v>
      </c>
      <c r="C26" s="89">
        <v>0.3</v>
      </c>
      <c r="D26" s="92">
        <v>36725</v>
      </c>
      <c r="E26" s="89">
        <v>2.9</v>
      </c>
      <c r="F26" s="92">
        <v>37500</v>
      </c>
      <c r="G26" s="89">
        <v>2.1</v>
      </c>
      <c r="H26" s="92">
        <v>39950</v>
      </c>
      <c r="I26" s="89">
        <v>6.5</v>
      </c>
      <c r="J26" s="92">
        <v>41550</v>
      </c>
      <c r="K26" s="89">
        <v>4</v>
      </c>
      <c r="L26" s="295"/>
      <c r="M26" s="327"/>
    </row>
    <row r="27" spans="1:13" ht="36" x14ac:dyDescent="0.25">
      <c r="A27" s="58" t="s">
        <v>777</v>
      </c>
      <c r="B27" s="92">
        <v>46966</v>
      </c>
      <c r="C27" s="89">
        <v>0.4</v>
      </c>
      <c r="D27" s="92">
        <v>48535</v>
      </c>
      <c r="E27" s="89">
        <v>3.3</v>
      </c>
      <c r="F27" s="92">
        <v>49846</v>
      </c>
      <c r="G27" s="89">
        <v>2.7</v>
      </c>
      <c r="H27" s="92">
        <v>52016</v>
      </c>
      <c r="I27" s="89">
        <v>4.4000000000000004</v>
      </c>
      <c r="J27" s="92">
        <v>54526</v>
      </c>
      <c r="K27" s="89">
        <v>4.8</v>
      </c>
      <c r="L27" s="295"/>
      <c r="M27" s="327"/>
    </row>
    <row r="28" spans="1:13" ht="36" x14ac:dyDescent="0.25">
      <c r="A28" s="58" t="s">
        <v>969</v>
      </c>
      <c r="B28" s="92">
        <v>176524</v>
      </c>
      <c r="C28" s="89">
        <v>9.5</v>
      </c>
      <c r="D28" s="92">
        <v>179427</v>
      </c>
      <c r="E28" s="89">
        <v>1.6</v>
      </c>
      <c r="F28" s="92">
        <v>182470</v>
      </c>
      <c r="G28" s="89">
        <v>1.7</v>
      </c>
      <c r="H28" s="92">
        <v>185126</v>
      </c>
      <c r="I28" s="89">
        <v>1.5</v>
      </c>
      <c r="J28" s="92">
        <v>187867</v>
      </c>
      <c r="K28" s="89">
        <v>1.5</v>
      </c>
      <c r="L28" s="295"/>
      <c r="M28" s="327"/>
    </row>
    <row r="29" spans="1:13" ht="33.75" customHeight="1" x14ac:dyDescent="0.25">
      <c r="A29" s="58" t="s">
        <v>778</v>
      </c>
      <c r="B29" s="92">
        <v>33379</v>
      </c>
      <c r="C29" s="89">
        <v>2.5</v>
      </c>
      <c r="D29" s="92">
        <v>34946</v>
      </c>
      <c r="E29" s="89">
        <v>4.7</v>
      </c>
      <c r="F29" s="92">
        <v>36850</v>
      </c>
      <c r="G29" s="89">
        <v>5.4</v>
      </c>
      <c r="H29" s="92">
        <v>38269</v>
      </c>
      <c r="I29" s="89">
        <v>3.9</v>
      </c>
      <c r="J29" s="92">
        <v>39554</v>
      </c>
      <c r="K29" s="89">
        <v>3.4</v>
      </c>
      <c r="L29" s="295"/>
      <c r="M29" s="327"/>
    </row>
    <row r="30" spans="1:13" ht="54" x14ac:dyDescent="0.25">
      <c r="A30" s="58" t="s">
        <v>779</v>
      </c>
      <c r="B30" s="92">
        <v>411</v>
      </c>
      <c r="C30" s="89">
        <v>3.5</v>
      </c>
      <c r="D30" s="92">
        <v>425</v>
      </c>
      <c r="E30" s="89">
        <v>3.4</v>
      </c>
      <c r="F30" s="92">
        <v>460</v>
      </c>
      <c r="G30" s="89">
        <v>8.1999999999999993</v>
      </c>
      <c r="H30" s="92">
        <v>490</v>
      </c>
      <c r="I30" s="89">
        <v>6.5</v>
      </c>
      <c r="J30" s="92">
        <v>530</v>
      </c>
      <c r="K30" s="89">
        <v>8.1999999999999993</v>
      </c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89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0">
    <mergeCell ref="A23:K23"/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10" firstPageNumber="140" orientation="landscape" useFirstPageNumber="1" r:id="rId1"/>
  <headerFooter>
    <oddFooter>&amp;C&amp;P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85" zoomScaleNormal="100" zoomScaleSheetLayoutView="85" workbookViewId="0">
      <selection activeCell="F6" sqref="F6"/>
    </sheetView>
  </sheetViews>
  <sheetFormatPr defaultRowHeight="15" x14ac:dyDescent="0.25"/>
  <cols>
    <col min="1" max="1" width="30.28515625" customWidth="1"/>
    <col min="2" max="2" width="10.42578125" customWidth="1"/>
    <col min="3" max="3" width="10" customWidth="1"/>
    <col min="4" max="4" width="10.42578125" customWidth="1"/>
    <col min="5" max="5" width="9.28515625" customWidth="1"/>
    <col min="6" max="6" width="10.42578125" customWidth="1"/>
    <col min="7" max="7" width="9" customWidth="1"/>
    <col min="8" max="8" width="10.42578125" customWidth="1"/>
    <col min="9" max="9" width="9" customWidth="1"/>
    <col min="10" max="10" width="10.42578125" customWidth="1"/>
    <col min="11" max="11" width="9" customWidth="1"/>
  </cols>
  <sheetData>
    <row r="1" spans="1:13" ht="45.75" customHeight="1" x14ac:dyDescent="0.3">
      <c r="A1" s="403" t="s">
        <v>998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345"/>
      <c r="M1" s="346"/>
    </row>
    <row r="2" spans="1:13" ht="24.75" customHeight="1" x14ac:dyDescent="0.25">
      <c r="A2" s="386" t="s">
        <v>1</v>
      </c>
      <c r="B2" s="386" t="s">
        <v>888</v>
      </c>
      <c r="C2" s="420"/>
      <c r="D2" s="386" t="s">
        <v>887</v>
      </c>
      <c r="E2" s="386"/>
      <c r="F2" s="386" t="s">
        <v>8</v>
      </c>
      <c r="G2" s="386"/>
      <c r="H2" s="387" t="s">
        <v>4</v>
      </c>
      <c r="I2" s="387"/>
      <c r="J2" s="387"/>
      <c r="K2" s="387"/>
      <c r="L2" s="337"/>
      <c r="M2" s="349"/>
    </row>
    <row r="3" spans="1:13" ht="22.5" customHeight="1" x14ac:dyDescent="0.25">
      <c r="A3" s="420"/>
      <c r="B3" s="420"/>
      <c r="C3" s="420"/>
      <c r="D3" s="386"/>
      <c r="E3" s="386"/>
      <c r="F3" s="386" t="s">
        <v>246</v>
      </c>
      <c r="G3" s="386"/>
      <c r="H3" s="386" t="s">
        <v>247</v>
      </c>
      <c r="I3" s="386"/>
      <c r="J3" s="386" t="s">
        <v>877</v>
      </c>
      <c r="K3" s="386"/>
      <c r="L3" s="337"/>
      <c r="M3" s="349"/>
    </row>
    <row r="4" spans="1:13" ht="23.25" customHeight="1" x14ac:dyDescent="0.25">
      <c r="A4" s="421"/>
      <c r="B4" s="153" t="s">
        <v>780</v>
      </c>
      <c r="C4" s="153" t="s">
        <v>316</v>
      </c>
      <c r="D4" s="153" t="s">
        <v>780</v>
      </c>
      <c r="E4" s="153" t="s">
        <v>316</v>
      </c>
      <c r="F4" s="153" t="s">
        <v>780</v>
      </c>
      <c r="G4" s="153" t="s">
        <v>316</v>
      </c>
      <c r="H4" s="153" t="s">
        <v>780</v>
      </c>
      <c r="I4" s="153" t="s">
        <v>316</v>
      </c>
      <c r="J4" s="153" t="s">
        <v>780</v>
      </c>
      <c r="K4" s="153" t="s">
        <v>316</v>
      </c>
      <c r="L4" s="295"/>
      <c r="M4" s="327"/>
    </row>
    <row r="5" spans="1:13" ht="59.25" customHeight="1" x14ac:dyDescent="0.25">
      <c r="A5" s="58" t="s">
        <v>781</v>
      </c>
      <c r="B5" s="6">
        <v>35.9</v>
      </c>
      <c r="C5" s="6">
        <v>113.5</v>
      </c>
      <c r="D5" s="6">
        <v>39.85</v>
      </c>
      <c r="E5" s="6">
        <v>116</v>
      </c>
      <c r="F5" s="6">
        <v>45.82</v>
      </c>
      <c r="G5" s="22">
        <v>115</v>
      </c>
      <c r="H5" s="6">
        <v>52.69</v>
      </c>
      <c r="I5" s="22">
        <v>115</v>
      </c>
      <c r="J5" s="6">
        <v>60.59</v>
      </c>
      <c r="K5" s="22">
        <v>115</v>
      </c>
      <c r="L5" s="295"/>
      <c r="M5" s="327"/>
    </row>
    <row r="6" spans="1:13" ht="23.25" customHeight="1" x14ac:dyDescent="0.25">
      <c r="A6" s="148" t="s">
        <v>782</v>
      </c>
      <c r="B6" s="22">
        <v>26.51</v>
      </c>
      <c r="C6" s="6">
        <v>117</v>
      </c>
      <c r="D6" s="22">
        <v>30.75</v>
      </c>
      <c r="E6" s="22">
        <v>116</v>
      </c>
      <c r="F6" s="6">
        <v>35.36</v>
      </c>
      <c r="G6" s="6">
        <v>115</v>
      </c>
      <c r="H6" s="6">
        <v>40.659999999999997</v>
      </c>
      <c r="I6" s="6">
        <v>115</v>
      </c>
      <c r="J6" s="6">
        <v>46.75</v>
      </c>
      <c r="K6" s="6">
        <v>115</v>
      </c>
      <c r="L6" s="295"/>
      <c r="M6" s="327"/>
    </row>
    <row r="7" spans="1:13" ht="41.25" customHeight="1" x14ac:dyDescent="0.25">
      <c r="A7" s="178" t="s">
        <v>783</v>
      </c>
      <c r="B7" s="22">
        <v>8</v>
      </c>
      <c r="C7" s="22">
        <v>100</v>
      </c>
      <c r="D7" s="22">
        <v>9</v>
      </c>
      <c r="E7" s="6">
        <v>112.5</v>
      </c>
      <c r="F7" s="22">
        <v>8</v>
      </c>
      <c r="G7" s="6">
        <v>111</v>
      </c>
      <c r="H7" s="22">
        <v>8</v>
      </c>
      <c r="I7" s="6">
        <v>120</v>
      </c>
      <c r="J7" s="22">
        <v>8</v>
      </c>
      <c r="K7" s="6">
        <v>120</v>
      </c>
      <c r="L7" s="295"/>
      <c r="M7" s="327"/>
    </row>
    <row r="8" spans="1:13" ht="93" customHeight="1" x14ac:dyDescent="0.25">
      <c r="A8" s="148" t="s">
        <v>784</v>
      </c>
      <c r="B8" s="6">
        <f>1.55+3.75</f>
        <v>5.3</v>
      </c>
      <c r="C8" s="179">
        <f>(B8*100)/4.7*100%</f>
        <v>112.7659574468085</v>
      </c>
      <c r="D8" s="6">
        <f>F8/110*100</f>
        <v>5.290909090909091</v>
      </c>
      <c r="E8" s="6">
        <f>D8/B8*100</f>
        <v>99.828473413379086</v>
      </c>
      <c r="F8" s="22">
        <f>1.7+4.12</f>
        <v>5.82</v>
      </c>
      <c r="G8" s="6">
        <v>110</v>
      </c>
      <c r="H8" s="22">
        <f>1.87+4.53</f>
        <v>6.4</v>
      </c>
      <c r="I8" s="6">
        <v>110</v>
      </c>
      <c r="J8" s="22">
        <f>2.06+4.98</f>
        <v>7.0400000000000009</v>
      </c>
      <c r="K8" s="6">
        <v>110</v>
      </c>
      <c r="L8" s="295"/>
      <c r="M8" s="327"/>
    </row>
    <row r="9" spans="1:13" ht="32.25" customHeight="1" x14ac:dyDescent="0.25">
      <c r="A9" s="148" t="s">
        <v>785</v>
      </c>
      <c r="B9" s="6">
        <f>3.6+0.49</f>
        <v>4.09</v>
      </c>
      <c r="C9" s="88">
        <f>(B9*100/3.6)*100%</f>
        <v>113.61111111111111</v>
      </c>
      <c r="D9" s="6">
        <f>B9*C9%</f>
        <v>4.646694444444444</v>
      </c>
      <c r="E9" s="6">
        <f>(D9*100/B9)*100%</f>
        <v>113.61111111111111</v>
      </c>
      <c r="F9" s="6">
        <f>D9+0.54</f>
        <v>5.1866944444444441</v>
      </c>
      <c r="G9" s="6">
        <v>110</v>
      </c>
      <c r="H9" s="6">
        <f>F9+0.6</f>
        <v>5.7866944444444437</v>
      </c>
      <c r="I9" s="6">
        <v>110</v>
      </c>
      <c r="J9" s="6">
        <f>H9+0.65</f>
        <v>6.4366944444444441</v>
      </c>
      <c r="K9" s="6">
        <v>110</v>
      </c>
      <c r="L9" s="295"/>
      <c r="M9" s="327"/>
    </row>
    <row r="10" spans="1:13" ht="18" x14ac:dyDescent="0.25">
      <c r="A10" s="295"/>
      <c r="B10" s="6"/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327"/>
    </row>
    <row r="11" spans="1:13" ht="18" x14ac:dyDescent="0.25">
      <c r="A11" s="295"/>
      <c r="B11" s="6"/>
      <c r="C11" s="295"/>
      <c r="D11" s="295"/>
      <c r="E11" s="295"/>
      <c r="F11" s="295"/>
      <c r="G11" s="295"/>
      <c r="H11" s="295"/>
      <c r="I11" s="295"/>
      <c r="J11" s="295"/>
      <c r="K11" s="295"/>
      <c r="L11" s="295"/>
      <c r="M11" s="327"/>
    </row>
    <row r="12" spans="1:13" x14ac:dyDescent="0.25">
      <c r="A12" s="295"/>
      <c r="B12" s="295"/>
      <c r="C12" s="295"/>
      <c r="D12" s="295"/>
      <c r="E12" s="295"/>
      <c r="F12" s="295"/>
      <c r="G12" s="295"/>
      <c r="H12" s="295"/>
      <c r="I12" s="295"/>
      <c r="J12" s="295"/>
      <c r="K12" s="295"/>
      <c r="L12" s="295"/>
      <c r="M12" s="327"/>
    </row>
    <row r="13" spans="1:13" x14ac:dyDescent="0.25">
      <c r="A13" s="295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327"/>
    </row>
    <row r="14" spans="1:13" x14ac:dyDescent="0.25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327"/>
    </row>
    <row r="15" spans="1:13" x14ac:dyDescent="0.2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295"/>
      <c r="L15" s="295"/>
      <c r="M15" s="327"/>
    </row>
    <row r="16" spans="1:13" x14ac:dyDescent="0.25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327"/>
    </row>
    <row r="17" spans="1:13" x14ac:dyDescent="0.25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327"/>
    </row>
    <row r="18" spans="1:13" x14ac:dyDescent="0.25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295"/>
      <c r="L18" s="295"/>
      <c r="M18" s="327"/>
    </row>
    <row r="19" spans="1:13" x14ac:dyDescent="0.25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295"/>
      <c r="L19" s="295"/>
      <c r="M19" s="327"/>
    </row>
    <row r="20" spans="1:13" x14ac:dyDescent="0.25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327"/>
    </row>
    <row r="21" spans="1:13" x14ac:dyDescent="0.25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327"/>
    </row>
    <row r="22" spans="1:13" x14ac:dyDescent="0.25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327"/>
    </row>
    <row r="23" spans="1:13" x14ac:dyDescent="0.25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295"/>
      <c r="L23" s="295"/>
      <c r="M23" s="327"/>
    </row>
    <row r="24" spans="1:13" x14ac:dyDescent="0.25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295"/>
      <c r="L24" s="295"/>
      <c r="M24" s="327"/>
    </row>
    <row r="25" spans="1:13" x14ac:dyDescent="0.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327"/>
    </row>
    <row r="26" spans="1:13" x14ac:dyDescent="0.25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295"/>
      <c r="L26" s="295"/>
      <c r="M26" s="327"/>
    </row>
    <row r="27" spans="1:13" x14ac:dyDescent="0.25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327"/>
    </row>
    <row r="28" spans="1:13" x14ac:dyDescent="0.25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295"/>
      <c r="L28" s="295"/>
      <c r="M28" s="327"/>
    </row>
    <row r="29" spans="1:13" x14ac:dyDescent="0.25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327"/>
    </row>
    <row r="30" spans="1:13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27"/>
    </row>
    <row r="31" spans="1:13" x14ac:dyDescent="0.25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295"/>
      <c r="L31" s="295"/>
      <c r="M31" s="327"/>
    </row>
    <row r="32" spans="1:13" x14ac:dyDescent="0.25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  <c r="M32" s="152"/>
    </row>
    <row r="33" spans="1:13" x14ac:dyDescent="0.25">
      <c r="A33" s="291"/>
      <c r="B33" s="291"/>
      <c r="C33" s="291"/>
      <c r="D33" s="291"/>
      <c r="E33" s="291"/>
      <c r="F33" s="291"/>
      <c r="G33" s="291"/>
      <c r="H33" s="291"/>
      <c r="I33" s="291"/>
      <c r="J33" s="291"/>
      <c r="K33" s="291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9"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42" orientation="landscape" useFirstPageNumber="1" r:id="rId1"/>
  <headerFooter>
    <oddFooter>&amp;C&amp;P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45"/>
  <sheetViews>
    <sheetView view="pageBreakPreview" zoomScale="70" zoomScaleNormal="100" zoomScaleSheetLayoutView="70" workbookViewId="0">
      <selection activeCell="F6" sqref="F6"/>
    </sheetView>
  </sheetViews>
  <sheetFormatPr defaultRowHeight="15" x14ac:dyDescent="0.25"/>
  <cols>
    <col min="1" max="1" width="35.28515625" customWidth="1"/>
    <col min="2" max="2" width="2.42578125" customWidth="1"/>
    <col min="3" max="3" width="10.140625" customWidth="1"/>
    <col min="4" max="4" width="10.28515625" customWidth="1"/>
    <col min="5" max="5" width="14.140625" customWidth="1"/>
    <col min="6" max="6" width="10.5703125" customWidth="1"/>
    <col min="7" max="7" width="16.7109375" customWidth="1"/>
    <col min="8" max="8" width="10.85546875" customWidth="1"/>
    <col min="9" max="9" width="17.42578125" customWidth="1"/>
    <col min="10" max="10" width="10.28515625" customWidth="1"/>
    <col min="11" max="11" width="16.42578125" customWidth="1"/>
    <col min="12" max="12" width="10.140625" customWidth="1"/>
  </cols>
  <sheetData>
    <row r="1" spans="1:13" ht="55.5" customHeight="1" x14ac:dyDescent="0.3">
      <c r="A1" s="422" t="s">
        <v>999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346"/>
    </row>
    <row r="2" spans="1:13" ht="20.25" customHeight="1" x14ac:dyDescent="0.25">
      <c r="A2" s="361" t="s">
        <v>1</v>
      </c>
      <c r="B2" s="361"/>
      <c r="C2" s="386" t="s">
        <v>878</v>
      </c>
      <c r="D2" s="386"/>
      <c r="E2" s="386" t="s">
        <v>887</v>
      </c>
      <c r="F2" s="386"/>
      <c r="G2" s="386" t="s">
        <v>8</v>
      </c>
      <c r="H2" s="386"/>
      <c r="I2" s="387" t="s">
        <v>4</v>
      </c>
      <c r="J2" s="387"/>
      <c r="K2" s="387"/>
      <c r="L2" s="387"/>
      <c r="M2" s="349"/>
    </row>
    <row r="3" spans="1:13" ht="18" x14ac:dyDescent="0.25">
      <c r="A3" s="361"/>
      <c r="B3" s="361"/>
      <c r="C3" s="386"/>
      <c r="D3" s="386"/>
      <c r="E3" s="386"/>
      <c r="F3" s="386"/>
      <c r="G3" s="386" t="s">
        <v>246</v>
      </c>
      <c r="H3" s="386"/>
      <c r="I3" s="386" t="s">
        <v>247</v>
      </c>
      <c r="J3" s="386"/>
      <c r="K3" s="386" t="s">
        <v>877</v>
      </c>
      <c r="L3" s="386"/>
      <c r="M3" s="349"/>
    </row>
    <row r="4" spans="1:13" ht="21" customHeight="1" x14ac:dyDescent="0.25">
      <c r="A4" s="361"/>
      <c r="B4" s="361"/>
      <c r="C4" s="4" t="s">
        <v>315</v>
      </c>
      <c r="D4" s="4" t="s">
        <v>316</v>
      </c>
      <c r="E4" s="4" t="s">
        <v>315</v>
      </c>
      <c r="F4" s="4" t="s">
        <v>316</v>
      </c>
      <c r="G4" s="4" t="s">
        <v>315</v>
      </c>
      <c r="H4" s="4" t="s">
        <v>316</v>
      </c>
      <c r="I4" s="4" t="s">
        <v>315</v>
      </c>
      <c r="J4" s="4" t="s">
        <v>316</v>
      </c>
      <c r="K4" s="4" t="s">
        <v>315</v>
      </c>
      <c r="L4" s="4" t="s">
        <v>316</v>
      </c>
      <c r="M4" s="327"/>
    </row>
    <row r="5" spans="1:13" ht="18.75" customHeight="1" x14ac:dyDescent="0.25">
      <c r="A5" s="423" t="s">
        <v>786</v>
      </c>
      <c r="B5" s="423"/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327"/>
    </row>
    <row r="6" spans="1:13" ht="18" x14ac:dyDescent="0.25">
      <c r="A6" s="361" t="s">
        <v>800</v>
      </c>
      <c r="B6" s="361"/>
      <c r="C6" s="148">
        <f>C13+C20+C28+C36+C44</f>
        <v>96</v>
      </c>
      <c r="D6" s="148">
        <f>C6/86*100</f>
        <v>111.62790697674419</v>
      </c>
      <c r="E6" s="148">
        <f t="shared" ref="E6:K6" si="0">E13+E20+E28+E36+E44</f>
        <v>115</v>
      </c>
      <c r="F6" s="148">
        <f>E6/C6*100</f>
        <v>119.79166666666667</v>
      </c>
      <c r="G6" s="148">
        <f t="shared" si="0"/>
        <v>134</v>
      </c>
      <c r="H6" s="148">
        <f t="shared" ref="H6:H10" si="1">G6/E6*100</f>
        <v>116.52173913043478</v>
      </c>
      <c r="I6" s="148">
        <f t="shared" si="0"/>
        <v>155</v>
      </c>
      <c r="J6" s="148">
        <f t="shared" ref="J6:L11" si="2">I6/G6*100</f>
        <v>115.67164179104476</v>
      </c>
      <c r="K6" s="148">
        <f t="shared" si="0"/>
        <v>177</v>
      </c>
      <c r="L6" s="148">
        <f t="shared" si="2"/>
        <v>114.19354838709677</v>
      </c>
      <c r="M6" s="327"/>
    </row>
    <row r="7" spans="1:13" ht="36" customHeight="1" x14ac:dyDescent="0.25">
      <c r="A7" s="357" t="s">
        <v>964</v>
      </c>
      <c r="B7" s="357"/>
      <c r="C7" s="148">
        <f t="shared" ref="C7:K10" si="3">C14+C21+C29+C37+C45</f>
        <v>460.8</v>
      </c>
      <c r="D7" s="148">
        <f>C7/488*100</f>
        <v>94.426229508196727</v>
      </c>
      <c r="E7" s="148">
        <f t="shared" si="3"/>
        <v>633.32764999999995</v>
      </c>
      <c r="F7" s="148">
        <f>E7/C7*100</f>
        <v>137.4408962673611</v>
      </c>
      <c r="G7" s="148">
        <f t="shared" si="3"/>
        <v>908.77699999999993</v>
      </c>
      <c r="H7" s="148">
        <f t="shared" si="1"/>
        <v>143.49239291857856</v>
      </c>
      <c r="I7" s="148">
        <f t="shared" si="3"/>
        <v>1076.7090000000001</v>
      </c>
      <c r="J7" s="148">
        <f t="shared" si="2"/>
        <v>118.47890076443397</v>
      </c>
      <c r="K7" s="148">
        <f t="shared" si="3"/>
        <v>1267.3709999999999</v>
      </c>
      <c r="L7" s="148">
        <f t="shared" si="2"/>
        <v>117.70784863876867</v>
      </c>
      <c r="M7" s="327"/>
    </row>
    <row r="8" spans="1:13" ht="18" x14ac:dyDescent="0.25">
      <c r="A8" s="357" t="s">
        <v>788</v>
      </c>
      <c r="B8" s="357"/>
      <c r="C8" s="148">
        <f t="shared" si="3"/>
        <v>29</v>
      </c>
      <c r="D8" s="148">
        <f>C8/11*100</f>
        <v>263.63636363636363</v>
      </c>
      <c r="E8" s="148">
        <f t="shared" si="3"/>
        <v>33.562000000000005</v>
      </c>
      <c r="F8" s="148">
        <f>E8/C8*100</f>
        <v>115.73103448275863</v>
      </c>
      <c r="G8" s="148">
        <f t="shared" si="3"/>
        <v>38.067999999999998</v>
      </c>
      <c r="H8" s="148">
        <f>G8/E8*100</f>
        <v>113.42589833740537</v>
      </c>
      <c r="I8" s="148">
        <f t="shared" si="3"/>
        <v>42.190999999999995</v>
      </c>
      <c r="J8" s="148">
        <f>I8/G8*100</f>
        <v>110.83061889250814</v>
      </c>
      <c r="K8" s="148">
        <f t="shared" si="3"/>
        <v>46.876999999999995</v>
      </c>
      <c r="L8" s="148">
        <f t="shared" si="2"/>
        <v>111.10663411628072</v>
      </c>
      <c r="M8" s="327"/>
    </row>
    <row r="9" spans="1:13" ht="36.75" customHeight="1" x14ac:dyDescent="0.25">
      <c r="A9" s="357" t="s">
        <v>803</v>
      </c>
      <c r="B9" s="357"/>
      <c r="C9" s="148">
        <f t="shared" si="3"/>
        <v>1357</v>
      </c>
      <c r="D9" s="148">
        <f>C9/1367*100</f>
        <v>99.268471104608636</v>
      </c>
      <c r="E9" s="148">
        <f t="shared" si="3"/>
        <v>1297</v>
      </c>
      <c r="F9" s="148">
        <f t="shared" ref="F9:L17" si="4">E9/C9*100</f>
        <v>95.578481945467942</v>
      </c>
      <c r="G9" s="148">
        <f t="shared" si="3"/>
        <v>1805</v>
      </c>
      <c r="H9" s="148">
        <f t="shared" si="1"/>
        <v>139.16730917501928</v>
      </c>
      <c r="I9" s="148">
        <f t="shared" si="3"/>
        <v>1609</v>
      </c>
      <c r="J9" s="148">
        <f t="shared" si="2"/>
        <v>89.14127423822714</v>
      </c>
      <c r="K9" s="148">
        <f t="shared" si="3"/>
        <v>2405</v>
      </c>
      <c r="L9" s="148">
        <f t="shared" si="2"/>
        <v>149.47172156619018</v>
      </c>
      <c r="M9" s="331"/>
    </row>
    <row r="10" spans="1:13" ht="36.75" customHeight="1" x14ac:dyDescent="0.25">
      <c r="A10" s="357" t="s">
        <v>965</v>
      </c>
      <c r="B10" s="357"/>
      <c r="C10" s="7">
        <f t="shared" si="3"/>
        <v>147.10478799999999</v>
      </c>
      <c r="D10" s="7">
        <f>C10/109*100</f>
        <v>134.95852110091741</v>
      </c>
      <c r="E10" s="7">
        <f t="shared" si="3"/>
        <v>167.48602740000001</v>
      </c>
      <c r="F10" s="148">
        <f t="shared" si="4"/>
        <v>113.85491232277228</v>
      </c>
      <c r="G10" s="7">
        <f t="shared" si="3"/>
        <v>195.04532879999999</v>
      </c>
      <c r="H10" s="148">
        <f t="shared" si="1"/>
        <v>116.45468689407816</v>
      </c>
      <c r="I10" s="7">
        <f t="shared" si="3"/>
        <v>299.4075952</v>
      </c>
      <c r="J10" s="148">
        <f t="shared" si="2"/>
        <v>153.50667306009331</v>
      </c>
      <c r="K10" s="7">
        <f t="shared" si="3"/>
        <v>315.27797500000003</v>
      </c>
      <c r="L10" s="148">
        <f t="shared" si="2"/>
        <v>105.30059359028579</v>
      </c>
      <c r="M10" s="327"/>
    </row>
    <row r="11" spans="1:13" ht="36.75" customHeight="1" x14ac:dyDescent="0.25">
      <c r="A11" s="3" t="s">
        <v>790</v>
      </c>
      <c r="B11" s="3"/>
      <c r="C11" s="148">
        <f>C18+C25+C33+C41+C49</f>
        <v>15.44</v>
      </c>
      <c r="D11" s="148">
        <f>C11/13*100</f>
        <v>118.76923076923076</v>
      </c>
      <c r="E11" s="148">
        <f t="shared" ref="E11:K11" si="5">E18+E25+E33+E41+E49</f>
        <v>21.896000000000001</v>
      </c>
      <c r="F11" s="148">
        <f t="shared" si="4"/>
        <v>141.81347150259069</v>
      </c>
      <c r="G11" s="148">
        <f t="shared" si="5"/>
        <v>28.6447</v>
      </c>
      <c r="H11" s="148">
        <f>G11/E11*100</f>
        <v>130.82161125319692</v>
      </c>
      <c r="I11" s="148">
        <f t="shared" si="5"/>
        <v>32.852199999999996</v>
      </c>
      <c r="J11" s="148">
        <f>I11/G11*100</f>
        <v>114.68858113368266</v>
      </c>
      <c r="K11" s="148">
        <f t="shared" si="5"/>
        <v>38.8917</v>
      </c>
      <c r="L11" s="148">
        <f t="shared" si="2"/>
        <v>118.38385252738021</v>
      </c>
      <c r="M11" s="327"/>
    </row>
    <row r="12" spans="1:13" ht="18" customHeight="1" x14ac:dyDescent="0.25">
      <c r="A12" s="423" t="s">
        <v>792</v>
      </c>
      <c r="B12" s="423"/>
      <c r="C12" s="423"/>
      <c r="D12" s="423"/>
      <c r="E12" s="423"/>
      <c r="F12" s="423"/>
      <c r="G12" s="423"/>
      <c r="H12" s="423"/>
      <c r="I12" s="423"/>
      <c r="J12" s="423"/>
      <c r="K12" s="423"/>
      <c r="L12" s="423"/>
      <c r="M12" s="327"/>
    </row>
    <row r="13" spans="1:13" ht="17.25" customHeight="1" x14ac:dyDescent="0.25">
      <c r="A13" s="357" t="s">
        <v>800</v>
      </c>
      <c r="B13" s="357"/>
      <c r="C13" s="148">
        <v>34</v>
      </c>
      <c r="D13" s="148">
        <v>123</v>
      </c>
      <c r="E13" s="148">
        <v>40</v>
      </c>
      <c r="F13" s="148">
        <f t="shared" si="4"/>
        <v>117.64705882352942</v>
      </c>
      <c r="G13" s="148">
        <v>45</v>
      </c>
      <c r="H13" s="148">
        <f t="shared" si="4"/>
        <v>112.5</v>
      </c>
      <c r="I13" s="148">
        <v>50</v>
      </c>
      <c r="J13" s="148">
        <f t="shared" si="4"/>
        <v>111.11111111111111</v>
      </c>
      <c r="K13" s="148">
        <v>55</v>
      </c>
      <c r="L13" s="148">
        <f t="shared" si="4"/>
        <v>110.00000000000001</v>
      </c>
      <c r="M13" s="327"/>
    </row>
    <row r="14" spans="1:13" ht="39" customHeight="1" x14ac:dyDescent="0.25">
      <c r="A14" s="357" t="s">
        <v>801</v>
      </c>
      <c r="B14" s="357"/>
      <c r="C14" s="148">
        <v>76</v>
      </c>
      <c r="D14" s="148">
        <v>104</v>
      </c>
      <c r="E14" s="148">
        <v>103</v>
      </c>
      <c r="F14" s="148">
        <f t="shared" si="4"/>
        <v>135.5263157894737</v>
      </c>
      <c r="G14" s="148">
        <v>149</v>
      </c>
      <c r="H14" s="148">
        <f t="shared" si="4"/>
        <v>144.66019417475729</v>
      </c>
      <c r="I14" s="148">
        <v>170</v>
      </c>
      <c r="J14" s="148">
        <f t="shared" si="4"/>
        <v>114.09395973154362</v>
      </c>
      <c r="K14" s="148">
        <v>190</v>
      </c>
      <c r="L14" s="148">
        <f t="shared" si="4"/>
        <v>111.76470588235294</v>
      </c>
      <c r="M14" s="327"/>
    </row>
    <row r="15" spans="1:13" ht="18" customHeight="1" x14ac:dyDescent="0.25">
      <c r="A15" s="357" t="s">
        <v>788</v>
      </c>
      <c r="B15" s="357"/>
      <c r="C15" s="148">
        <v>4</v>
      </c>
      <c r="D15" s="148">
        <v>100</v>
      </c>
      <c r="E15" s="148">
        <v>4.8</v>
      </c>
      <c r="F15" s="148">
        <f t="shared" si="4"/>
        <v>120</v>
      </c>
      <c r="G15" s="148">
        <v>5.7</v>
      </c>
      <c r="H15" s="148">
        <f t="shared" si="4"/>
        <v>118.75</v>
      </c>
      <c r="I15" s="148">
        <v>6.8</v>
      </c>
      <c r="J15" s="148">
        <f t="shared" si="4"/>
        <v>119.29824561403508</v>
      </c>
      <c r="K15" s="148">
        <v>8</v>
      </c>
      <c r="L15" s="148">
        <f t="shared" si="4"/>
        <v>117.64705882352942</v>
      </c>
      <c r="M15" s="327"/>
    </row>
    <row r="16" spans="1:13" ht="36" customHeight="1" x14ac:dyDescent="0.25">
      <c r="A16" s="357" t="s">
        <v>966</v>
      </c>
      <c r="B16" s="357"/>
      <c r="C16" s="148">
        <v>362</v>
      </c>
      <c r="D16" s="148">
        <v>100</v>
      </c>
      <c r="E16" s="148">
        <v>150</v>
      </c>
      <c r="F16" s="148">
        <f t="shared" si="4"/>
        <v>41.436464088397791</v>
      </c>
      <c r="G16" s="148">
        <v>510</v>
      </c>
      <c r="H16" s="148">
        <f t="shared" si="4"/>
        <v>340</v>
      </c>
      <c r="I16" s="148">
        <v>130</v>
      </c>
      <c r="J16" s="148">
        <f t="shared" si="4"/>
        <v>25.490196078431371</v>
      </c>
      <c r="K16" s="148">
        <v>700</v>
      </c>
      <c r="L16" s="148">
        <f t="shared" si="4"/>
        <v>538.46153846153845</v>
      </c>
      <c r="M16" s="327"/>
    </row>
    <row r="17" spans="1:14" ht="34.5" customHeight="1" x14ac:dyDescent="0.25">
      <c r="A17" s="357" t="s">
        <v>967</v>
      </c>
      <c r="B17" s="357"/>
      <c r="C17" s="148">
        <v>41.28</v>
      </c>
      <c r="D17" s="148">
        <v>106</v>
      </c>
      <c r="E17" s="148">
        <v>49</v>
      </c>
      <c r="F17" s="148">
        <f t="shared" si="4"/>
        <v>118.70155038759688</v>
      </c>
      <c r="G17" s="148">
        <v>58</v>
      </c>
      <c r="H17" s="148">
        <f t="shared" si="4"/>
        <v>118.36734693877551</v>
      </c>
      <c r="I17" s="148">
        <v>130</v>
      </c>
      <c r="J17" s="148">
        <f t="shared" si="4"/>
        <v>224.13793103448273</v>
      </c>
      <c r="K17" s="148">
        <v>82</v>
      </c>
      <c r="L17" s="148">
        <f t="shared" si="4"/>
        <v>63.076923076923073</v>
      </c>
      <c r="M17" s="327"/>
    </row>
    <row r="18" spans="1:14" ht="21.75" customHeight="1" x14ac:dyDescent="0.25">
      <c r="A18" s="361" t="s">
        <v>794</v>
      </c>
      <c r="B18" s="361"/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148">
        <v>0</v>
      </c>
      <c r="I18" s="4">
        <v>0</v>
      </c>
      <c r="J18" s="4">
        <v>0</v>
      </c>
      <c r="K18" s="4">
        <v>0</v>
      </c>
      <c r="L18" s="4">
        <v>0</v>
      </c>
      <c r="M18" s="327"/>
    </row>
    <row r="19" spans="1:14" ht="22.5" customHeight="1" x14ac:dyDescent="0.25">
      <c r="A19" s="353" t="s">
        <v>795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27"/>
      <c r="N19" t="s">
        <v>29</v>
      </c>
    </row>
    <row r="20" spans="1:14" ht="25.5" customHeight="1" x14ac:dyDescent="0.25">
      <c r="A20" s="357" t="s">
        <v>800</v>
      </c>
      <c r="B20" s="357"/>
      <c r="C20" s="148">
        <v>8</v>
      </c>
      <c r="D20" s="148">
        <v>114</v>
      </c>
      <c r="E20" s="148">
        <v>10</v>
      </c>
      <c r="F20" s="5">
        <v>125</v>
      </c>
      <c r="G20" s="148">
        <v>12</v>
      </c>
      <c r="H20" s="5">
        <v>120</v>
      </c>
      <c r="I20" s="148">
        <v>15</v>
      </c>
      <c r="J20" s="5">
        <v>125</v>
      </c>
      <c r="K20" s="148">
        <v>19</v>
      </c>
      <c r="L20" s="5">
        <v>126</v>
      </c>
      <c r="M20" s="327"/>
    </row>
    <row r="21" spans="1:14" ht="40.5" customHeight="1" x14ac:dyDescent="0.25">
      <c r="A21" s="357" t="s">
        <v>801</v>
      </c>
      <c r="B21" s="357"/>
      <c r="C21" s="148">
        <v>0.3</v>
      </c>
      <c r="D21" s="104" t="s">
        <v>29</v>
      </c>
      <c r="E21" s="148">
        <v>0.4</v>
      </c>
      <c r="F21" s="148">
        <v>133</v>
      </c>
      <c r="G21" s="148">
        <v>0.6</v>
      </c>
      <c r="H21" s="5">
        <v>150</v>
      </c>
      <c r="I21" s="148">
        <v>0.8</v>
      </c>
      <c r="J21" s="5">
        <v>133</v>
      </c>
      <c r="K21" s="148">
        <v>1.1000000000000001</v>
      </c>
      <c r="L21" s="5">
        <v>137</v>
      </c>
      <c r="M21" s="327"/>
    </row>
    <row r="22" spans="1:14" ht="27.75" customHeight="1" x14ac:dyDescent="0.25">
      <c r="A22" s="357" t="s">
        <v>788</v>
      </c>
      <c r="B22" s="357"/>
      <c r="C22" s="148">
        <v>0</v>
      </c>
      <c r="D22" s="148" t="s">
        <v>29</v>
      </c>
      <c r="E22" s="148">
        <v>3.0000000000000001E-3</v>
      </c>
      <c r="F22" s="7">
        <v>100</v>
      </c>
      <c r="G22" s="148">
        <v>5.0000000000000001E-3</v>
      </c>
      <c r="H22" s="5">
        <v>166</v>
      </c>
      <c r="I22" s="148">
        <v>8.0000000000000002E-3</v>
      </c>
      <c r="J22" s="5">
        <v>160</v>
      </c>
      <c r="K22" s="148">
        <v>1.0999999999999999E-2</v>
      </c>
      <c r="L22" s="5">
        <v>137</v>
      </c>
      <c r="M22" s="327"/>
    </row>
    <row r="23" spans="1:14" ht="33.75" customHeight="1" x14ac:dyDescent="0.25">
      <c r="A23" s="357" t="s">
        <v>803</v>
      </c>
      <c r="B23" s="357"/>
      <c r="C23" s="148">
        <v>31</v>
      </c>
      <c r="D23" s="148">
        <v>134</v>
      </c>
      <c r="E23" s="148">
        <v>40</v>
      </c>
      <c r="F23" s="5">
        <v>129</v>
      </c>
      <c r="G23" s="148">
        <v>55</v>
      </c>
      <c r="H23" s="5">
        <v>137</v>
      </c>
      <c r="I23" s="148">
        <v>75</v>
      </c>
      <c r="J23" s="5">
        <v>136</v>
      </c>
      <c r="K23" s="148">
        <v>95</v>
      </c>
      <c r="L23" s="5">
        <v>126</v>
      </c>
      <c r="M23" s="327"/>
    </row>
    <row r="24" spans="1:14" ht="33.75" customHeight="1" x14ac:dyDescent="0.25">
      <c r="A24" s="357" t="s">
        <v>804</v>
      </c>
      <c r="B24" s="357"/>
      <c r="C24" s="148">
        <v>7.1</v>
      </c>
      <c r="D24" s="148">
        <v>88</v>
      </c>
      <c r="E24" s="148">
        <v>8</v>
      </c>
      <c r="F24" s="5">
        <v>112</v>
      </c>
      <c r="G24" s="148">
        <v>9.1999999999999993</v>
      </c>
      <c r="H24" s="5">
        <v>115</v>
      </c>
      <c r="I24" s="148">
        <v>10.5</v>
      </c>
      <c r="J24" s="5">
        <v>114</v>
      </c>
      <c r="K24" s="148">
        <v>12</v>
      </c>
      <c r="L24" s="5">
        <v>114</v>
      </c>
      <c r="M24" s="327"/>
    </row>
    <row r="25" spans="1:14" ht="35.25" customHeight="1" x14ac:dyDescent="0.25">
      <c r="A25" s="357" t="s">
        <v>968</v>
      </c>
      <c r="B25" s="357"/>
      <c r="C25" s="148">
        <v>0</v>
      </c>
      <c r="D25" s="148">
        <v>0</v>
      </c>
      <c r="E25" s="148">
        <v>0</v>
      </c>
      <c r="F25" s="7">
        <v>0</v>
      </c>
      <c r="G25" s="148">
        <v>0</v>
      </c>
      <c r="H25" s="148">
        <v>0</v>
      </c>
      <c r="I25" s="148">
        <v>0</v>
      </c>
      <c r="J25" s="7">
        <v>0</v>
      </c>
      <c r="K25" s="148">
        <v>0</v>
      </c>
      <c r="L25" s="7">
        <v>0</v>
      </c>
      <c r="M25" s="327"/>
    </row>
    <row r="26" spans="1:14" ht="18" hidden="1" customHeight="1" x14ac:dyDescent="0.25">
      <c r="A26" s="361" t="s">
        <v>794</v>
      </c>
      <c r="B26" s="361"/>
      <c r="C26" s="4" t="s">
        <v>29</v>
      </c>
      <c r="D26" s="4" t="s">
        <v>29</v>
      </c>
      <c r="E26" s="4" t="s">
        <v>29</v>
      </c>
      <c r="F26" s="4" t="s">
        <v>29</v>
      </c>
      <c r="G26" s="4" t="s">
        <v>29</v>
      </c>
      <c r="H26" s="4" t="s">
        <v>29</v>
      </c>
      <c r="I26" s="4" t="s">
        <v>29</v>
      </c>
      <c r="J26" s="4" t="s">
        <v>29</v>
      </c>
      <c r="K26" s="4" t="s">
        <v>29</v>
      </c>
      <c r="L26" s="4" t="s">
        <v>29</v>
      </c>
      <c r="M26" s="327"/>
    </row>
    <row r="27" spans="1:14" ht="18.75" customHeight="1" x14ac:dyDescent="0.25">
      <c r="A27" s="423" t="s">
        <v>798</v>
      </c>
      <c r="B27" s="423"/>
      <c r="C27" s="423"/>
      <c r="D27" s="423"/>
      <c r="E27" s="423"/>
      <c r="F27" s="423"/>
      <c r="G27" s="423"/>
      <c r="H27" s="423"/>
      <c r="I27" s="423"/>
      <c r="J27" s="423"/>
      <c r="K27" s="423"/>
      <c r="L27" s="423"/>
      <c r="M27" s="327"/>
    </row>
    <row r="28" spans="1:14" ht="24" customHeight="1" x14ac:dyDescent="0.25">
      <c r="A28" s="357" t="s">
        <v>800</v>
      </c>
      <c r="B28" s="357"/>
      <c r="C28" s="148">
        <v>35</v>
      </c>
      <c r="D28" s="148">
        <v>116.7</v>
      </c>
      <c r="E28" s="148">
        <v>40</v>
      </c>
      <c r="F28" s="5">
        <v>114.3</v>
      </c>
      <c r="G28" s="148">
        <v>45</v>
      </c>
      <c r="H28" s="7">
        <v>112.5</v>
      </c>
      <c r="I28" s="148">
        <v>51</v>
      </c>
      <c r="J28" s="7">
        <v>133.30000000000001</v>
      </c>
      <c r="K28" s="148">
        <v>57</v>
      </c>
      <c r="L28" s="7">
        <v>111.7</v>
      </c>
      <c r="M28" s="327"/>
    </row>
    <row r="29" spans="1:14" ht="33.75" customHeight="1" x14ac:dyDescent="0.25">
      <c r="A29" s="357" t="s">
        <v>801</v>
      </c>
      <c r="B29" s="357"/>
      <c r="C29" s="148">
        <v>352.9</v>
      </c>
      <c r="D29" s="148">
        <v>103</v>
      </c>
      <c r="E29" s="148">
        <v>460</v>
      </c>
      <c r="F29" s="5">
        <v>130.30000000000001</v>
      </c>
      <c r="G29" s="148">
        <v>580</v>
      </c>
      <c r="H29" s="7">
        <v>126.1</v>
      </c>
      <c r="I29" s="148">
        <v>700</v>
      </c>
      <c r="J29" s="7">
        <v>120.7</v>
      </c>
      <c r="K29" s="148">
        <v>840</v>
      </c>
      <c r="L29" s="5">
        <v>120</v>
      </c>
      <c r="M29" s="327"/>
    </row>
    <row r="30" spans="1:14" ht="24.75" customHeight="1" x14ac:dyDescent="0.25">
      <c r="A30" s="357" t="s">
        <v>788</v>
      </c>
      <c r="B30" s="357"/>
      <c r="C30" s="148">
        <v>23.5</v>
      </c>
      <c r="D30" s="148">
        <v>5.8</v>
      </c>
      <c r="E30" s="148">
        <v>26</v>
      </c>
      <c r="F30" s="7">
        <v>110.6</v>
      </c>
      <c r="G30" s="148">
        <v>28.5</v>
      </c>
      <c r="H30" s="7">
        <v>109.6</v>
      </c>
      <c r="I30" s="148">
        <v>31.1</v>
      </c>
      <c r="J30" s="7">
        <v>109.1</v>
      </c>
      <c r="K30" s="148">
        <v>34</v>
      </c>
      <c r="L30" s="7">
        <v>109.3</v>
      </c>
      <c r="M30" s="327"/>
    </row>
    <row r="31" spans="1:14" ht="45" customHeight="1" x14ac:dyDescent="0.25">
      <c r="A31" s="357" t="s">
        <v>803</v>
      </c>
      <c r="B31" s="357"/>
      <c r="C31" s="148">
        <v>910</v>
      </c>
      <c r="D31" s="148">
        <v>113.9</v>
      </c>
      <c r="E31" s="148">
        <v>1020</v>
      </c>
      <c r="F31" s="7">
        <v>112.1</v>
      </c>
      <c r="G31" s="148">
        <v>1120</v>
      </c>
      <c r="H31" s="5">
        <v>109.8</v>
      </c>
      <c r="I31" s="148">
        <v>1220</v>
      </c>
      <c r="J31" s="7">
        <v>108.9</v>
      </c>
      <c r="K31" s="148">
        <v>1300</v>
      </c>
      <c r="L31" s="7">
        <v>106.6</v>
      </c>
      <c r="M31" s="327"/>
    </row>
    <row r="32" spans="1:14" ht="38.25" customHeight="1" x14ac:dyDescent="0.25">
      <c r="A32" s="357" t="s">
        <v>796</v>
      </c>
      <c r="B32" s="357"/>
      <c r="C32" s="148">
        <v>32</v>
      </c>
      <c r="D32" s="148">
        <v>135</v>
      </c>
      <c r="E32" s="148">
        <v>35</v>
      </c>
      <c r="F32" s="7">
        <v>109.4</v>
      </c>
      <c r="G32" s="148">
        <v>38.5</v>
      </c>
      <c r="H32" s="7">
        <v>110</v>
      </c>
      <c r="I32" s="148">
        <v>40</v>
      </c>
      <c r="J32" s="7">
        <v>103.9</v>
      </c>
      <c r="K32" s="148">
        <v>40.799999999999997</v>
      </c>
      <c r="L32" s="7">
        <v>102</v>
      </c>
      <c r="M32" s="152"/>
    </row>
    <row r="33" spans="1:14" ht="37.5" customHeight="1" x14ac:dyDescent="0.25">
      <c r="A33" s="357" t="s">
        <v>797</v>
      </c>
      <c r="B33" s="357"/>
      <c r="C33" s="148">
        <v>12.34</v>
      </c>
      <c r="D33" s="148">
        <v>98.8</v>
      </c>
      <c r="E33" s="148">
        <v>15.6</v>
      </c>
      <c r="F33" s="7">
        <v>127.2</v>
      </c>
      <c r="G33" s="148">
        <v>17.399999999999999</v>
      </c>
      <c r="H33" s="7">
        <v>111.5</v>
      </c>
      <c r="I33" s="148">
        <v>19.2</v>
      </c>
      <c r="J33" s="5">
        <v>110.3</v>
      </c>
      <c r="K33" s="148">
        <v>21.2</v>
      </c>
      <c r="L33" s="7">
        <v>110.4</v>
      </c>
      <c r="M33" s="152"/>
    </row>
    <row r="34" spans="1:14" ht="18" hidden="1" customHeight="1" x14ac:dyDescent="0.25">
      <c r="A34" s="361" t="s">
        <v>794</v>
      </c>
      <c r="B34" s="361"/>
      <c r="C34" s="4">
        <v>9.3000000000000007</v>
      </c>
      <c r="D34" s="4">
        <v>226.8</v>
      </c>
      <c r="E34" s="79">
        <v>11</v>
      </c>
      <c r="F34" s="77">
        <f>E34/C34*100</f>
        <v>118.27956989247311</v>
      </c>
      <c r="G34" s="79">
        <v>12.5</v>
      </c>
      <c r="H34" s="77">
        <f>G34/E34*100</f>
        <v>113.63636363636364</v>
      </c>
      <c r="I34" s="79">
        <v>14</v>
      </c>
      <c r="J34" s="77">
        <f>I34/G34*100</f>
        <v>112.00000000000001</v>
      </c>
      <c r="K34" s="79">
        <v>15.5</v>
      </c>
      <c r="L34" s="77">
        <f>K34/I34*100</f>
        <v>110.71428571428572</v>
      </c>
      <c r="M34" s="152"/>
    </row>
    <row r="35" spans="1:14" ht="20.25" customHeight="1" x14ac:dyDescent="0.25">
      <c r="A35" s="423" t="s">
        <v>942</v>
      </c>
      <c r="B35" s="423"/>
      <c r="C35" s="423"/>
      <c r="D35" s="423"/>
      <c r="E35" s="423"/>
      <c r="F35" s="423"/>
      <c r="G35" s="423"/>
      <c r="H35" s="423"/>
      <c r="I35" s="423"/>
      <c r="J35" s="423"/>
      <c r="K35" s="423"/>
      <c r="L35" s="423"/>
      <c r="M35" s="152"/>
      <c r="N35" t="s">
        <v>29</v>
      </c>
    </row>
    <row r="36" spans="1:14" ht="27" customHeight="1" x14ac:dyDescent="0.25">
      <c r="A36" s="357" t="s">
        <v>800</v>
      </c>
      <c r="B36" s="357"/>
      <c r="C36" s="148">
        <v>5</v>
      </c>
      <c r="D36" s="148" t="s">
        <v>29</v>
      </c>
      <c r="E36" s="148">
        <v>7</v>
      </c>
      <c r="F36" s="148">
        <v>140</v>
      </c>
      <c r="G36" s="148">
        <v>10</v>
      </c>
      <c r="H36" s="5">
        <v>143</v>
      </c>
      <c r="I36" s="148">
        <v>13</v>
      </c>
      <c r="J36" s="5">
        <v>130</v>
      </c>
      <c r="K36" s="148">
        <v>16</v>
      </c>
      <c r="L36" s="5">
        <v>123</v>
      </c>
      <c r="M36" s="152"/>
    </row>
    <row r="37" spans="1:14" ht="33.75" customHeight="1" x14ac:dyDescent="0.25">
      <c r="A37" s="357" t="s">
        <v>801</v>
      </c>
      <c r="B37" s="357"/>
      <c r="C37" s="148">
        <v>0</v>
      </c>
      <c r="D37" s="148" t="s">
        <v>29</v>
      </c>
      <c r="E37" s="148">
        <v>0.91764999999999997</v>
      </c>
      <c r="F37" s="148" t="s">
        <v>29</v>
      </c>
      <c r="G37" s="148">
        <v>105.25700000000001</v>
      </c>
      <c r="H37" s="5">
        <v>115</v>
      </c>
      <c r="I37" s="148">
        <v>118.749</v>
      </c>
      <c r="J37" s="5">
        <v>113</v>
      </c>
      <c r="K37" s="148">
        <v>132.24100000000001</v>
      </c>
      <c r="L37" s="5">
        <v>111</v>
      </c>
      <c r="M37" s="152"/>
    </row>
    <row r="38" spans="1:14" ht="28.5" customHeight="1" x14ac:dyDescent="0.25">
      <c r="A38" s="357" t="s">
        <v>802</v>
      </c>
      <c r="B38" s="357"/>
      <c r="C38" s="148">
        <v>0</v>
      </c>
      <c r="D38" s="148" t="s">
        <v>29</v>
      </c>
      <c r="E38" s="148">
        <v>0.01</v>
      </c>
      <c r="F38" s="148" t="s">
        <v>29</v>
      </c>
      <c r="G38" s="148">
        <v>0.25</v>
      </c>
      <c r="H38" s="148">
        <v>250</v>
      </c>
      <c r="I38" s="148">
        <v>3.2000000000000001E-2</v>
      </c>
      <c r="J38" s="7">
        <v>128</v>
      </c>
      <c r="K38" s="148">
        <v>4.7E-2</v>
      </c>
      <c r="L38" s="5">
        <v>147</v>
      </c>
      <c r="M38" s="152"/>
    </row>
    <row r="39" spans="1:14" ht="36.75" customHeight="1" x14ac:dyDescent="0.25">
      <c r="A39" s="357" t="s">
        <v>803</v>
      </c>
      <c r="B39" s="357"/>
      <c r="C39" s="148">
        <v>0</v>
      </c>
      <c r="D39" s="148" t="s">
        <v>29</v>
      </c>
      <c r="E39" s="148">
        <v>20</v>
      </c>
      <c r="F39" s="148" t="s">
        <v>29</v>
      </c>
      <c r="G39" s="148">
        <v>30</v>
      </c>
      <c r="H39" s="5">
        <v>150</v>
      </c>
      <c r="I39" s="148">
        <v>40</v>
      </c>
      <c r="J39" s="5">
        <v>133</v>
      </c>
      <c r="K39" s="148">
        <v>50</v>
      </c>
      <c r="L39" s="5">
        <v>125</v>
      </c>
      <c r="M39" s="152"/>
    </row>
    <row r="40" spans="1:14" ht="36.75" customHeight="1" x14ac:dyDescent="0.25">
      <c r="A40" s="357" t="s">
        <v>804</v>
      </c>
      <c r="B40" s="357"/>
      <c r="C40" s="7">
        <v>39.224787999999997</v>
      </c>
      <c r="D40" s="148">
        <v>106</v>
      </c>
      <c r="E40" s="7">
        <v>41.1860274</v>
      </c>
      <c r="F40" s="148">
        <v>105</v>
      </c>
      <c r="G40" s="7">
        <v>43.245328800000003</v>
      </c>
      <c r="H40" s="5">
        <v>105</v>
      </c>
      <c r="I40" s="7">
        <v>45.407595200000003</v>
      </c>
      <c r="J40" s="7">
        <v>105</v>
      </c>
      <c r="K40" s="7">
        <v>47.677975000000004</v>
      </c>
      <c r="L40" s="7">
        <v>105</v>
      </c>
      <c r="M40" s="152"/>
    </row>
    <row r="41" spans="1:14" ht="43.5" customHeight="1" x14ac:dyDescent="0.25">
      <c r="A41" s="357" t="s">
        <v>797</v>
      </c>
      <c r="B41" s="357"/>
      <c r="C41" s="148">
        <v>0</v>
      </c>
      <c r="D41" s="148">
        <v>0</v>
      </c>
      <c r="E41" s="148">
        <v>0</v>
      </c>
      <c r="F41" s="148">
        <v>0</v>
      </c>
      <c r="G41" s="148">
        <v>4.5</v>
      </c>
      <c r="H41" s="148">
        <v>0</v>
      </c>
      <c r="I41" s="148">
        <v>5.7</v>
      </c>
      <c r="J41" s="5">
        <v>127</v>
      </c>
      <c r="K41" s="148">
        <v>8.1999999999999993</v>
      </c>
      <c r="L41" s="5">
        <v>144</v>
      </c>
      <c r="M41" s="152"/>
    </row>
    <row r="42" spans="1:14" ht="18" hidden="1" customHeight="1" x14ac:dyDescent="0.25">
      <c r="A42" s="361" t="s">
        <v>794</v>
      </c>
      <c r="B42" s="361"/>
      <c r="C42" s="4" t="s">
        <v>29</v>
      </c>
      <c r="D42" s="4" t="s">
        <v>29</v>
      </c>
      <c r="E42" s="4" t="s">
        <v>29</v>
      </c>
      <c r="F42" s="4" t="s">
        <v>29</v>
      </c>
      <c r="G42" s="4" t="s">
        <v>29</v>
      </c>
      <c r="H42" s="4" t="s">
        <v>29</v>
      </c>
      <c r="I42" s="4" t="s">
        <v>29</v>
      </c>
      <c r="J42" s="4" t="s">
        <v>29</v>
      </c>
      <c r="K42" s="4" t="s">
        <v>29</v>
      </c>
      <c r="L42" s="4" t="s">
        <v>29</v>
      </c>
      <c r="M42" s="152"/>
    </row>
    <row r="43" spans="1:14" ht="26.25" customHeight="1" x14ac:dyDescent="0.25">
      <c r="A43" s="423" t="s">
        <v>805</v>
      </c>
      <c r="B43" s="423"/>
      <c r="C43" s="423"/>
      <c r="D43" s="423"/>
      <c r="E43" s="423"/>
      <c r="F43" s="423"/>
      <c r="G43" s="423"/>
      <c r="H43" s="423"/>
      <c r="I43" s="423"/>
      <c r="J43" s="423"/>
      <c r="K43" s="423"/>
      <c r="L43" s="423"/>
      <c r="M43" s="152"/>
    </row>
    <row r="44" spans="1:14" ht="25.5" customHeight="1" x14ac:dyDescent="0.25">
      <c r="A44" s="357" t="s">
        <v>787</v>
      </c>
      <c r="B44" s="357"/>
      <c r="C44" s="148">
        <v>14</v>
      </c>
      <c r="D44" s="148">
        <v>100</v>
      </c>
      <c r="E44" s="148">
        <v>18</v>
      </c>
      <c r="F44" s="148">
        <v>129</v>
      </c>
      <c r="G44" s="148">
        <v>22</v>
      </c>
      <c r="H44" s="148">
        <v>122</v>
      </c>
      <c r="I44" s="148">
        <v>26</v>
      </c>
      <c r="J44" s="148">
        <v>118</v>
      </c>
      <c r="K44" s="148">
        <v>30</v>
      </c>
      <c r="L44" s="148">
        <v>115</v>
      </c>
      <c r="M44" s="152"/>
    </row>
    <row r="45" spans="1:14" ht="35.25" customHeight="1" x14ac:dyDescent="0.25">
      <c r="A45" s="424" t="s">
        <v>793</v>
      </c>
      <c r="B45" s="424"/>
      <c r="C45" s="148">
        <v>31.6</v>
      </c>
      <c r="D45" s="148">
        <v>100</v>
      </c>
      <c r="E45" s="7">
        <v>69.010000000000005</v>
      </c>
      <c r="F45" s="10">
        <v>218.37</v>
      </c>
      <c r="G45" s="148">
        <v>73.92</v>
      </c>
      <c r="H45" s="10">
        <v>107.12</v>
      </c>
      <c r="I45" s="148">
        <v>87.16</v>
      </c>
      <c r="J45" s="148">
        <v>117.9</v>
      </c>
      <c r="K45" s="10">
        <v>104.03</v>
      </c>
      <c r="L45" s="7">
        <v>119.36</v>
      </c>
      <c r="M45" s="152"/>
    </row>
    <row r="46" spans="1:14" ht="18" customHeight="1" x14ac:dyDescent="0.25">
      <c r="A46" s="357" t="s">
        <v>788</v>
      </c>
      <c r="B46" s="357"/>
      <c r="C46" s="148">
        <v>1.5</v>
      </c>
      <c r="D46" s="148">
        <v>100</v>
      </c>
      <c r="E46" s="148">
        <v>2.7490000000000001</v>
      </c>
      <c r="F46" s="10">
        <v>183.27</v>
      </c>
      <c r="G46" s="148">
        <v>3.613</v>
      </c>
      <c r="H46" s="10">
        <v>131.43</v>
      </c>
      <c r="I46" s="148">
        <v>4.2510000000000003</v>
      </c>
      <c r="J46" s="10">
        <v>117.66</v>
      </c>
      <c r="K46" s="105">
        <v>4.819</v>
      </c>
      <c r="L46" s="10">
        <v>113.36</v>
      </c>
      <c r="M46" s="152"/>
    </row>
    <row r="47" spans="1:14" ht="36.75" customHeight="1" x14ac:dyDescent="0.25">
      <c r="A47" s="357" t="s">
        <v>789</v>
      </c>
      <c r="B47" s="357"/>
      <c r="C47" s="148">
        <v>54</v>
      </c>
      <c r="D47" s="148">
        <v>100</v>
      </c>
      <c r="E47" s="148">
        <v>67</v>
      </c>
      <c r="F47" s="10">
        <v>124.07</v>
      </c>
      <c r="G47" s="148">
        <v>90</v>
      </c>
      <c r="H47" s="148">
        <v>134.33000000000001</v>
      </c>
      <c r="I47" s="148">
        <v>144</v>
      </c>
      <c r="J47" s="148">
        <v>160</v>
      </c>
      <c r="K47" s="5">
        <v>260</v>
      </c>
      <c r="L47" s="10">
        <v>180.56</v>
      </c>
      <c r="M47" s="152"/>
    </row>
    <row r="48" spans="1:14" ht="36.75" customHeight="1" x14ac:dyDescent="0.25">
      <c r="A48" s="357" t="s">
        <v>791</v>
      </c>
      <c r="B48" s="357"/>
      <c r="C48" s="148">
        <v>27.5</v>
      </c>
      <c r="D48" s="148">
        <v>100</v>
      </c>
      <c r="E48" s="148">
        <v>34.299999999999997</v>
      </c>
      <c r="F48" s="10">
        <v>124.73</v>
      </c>
      <c r="G48" s="7">
        <v>46.1</v>
      </c>
      <c r="H48" s="148">
        <v>134.4</v>
      </c>
      <c r="I48" s="148">
        <v>73.5</v>
      </c>
      <c r="J48" s="10">
        <v>159.44</v>
      </c>
      <c r="K48" s="7">
        <v>132.80000000000001</v>
      </c>
      <c r="L48" s="10">
        <v>180.68</v>
      </c>
      <c r="M48" s="152"/>
    </row>
    <row r="49" spans="1:13" ht="33.75" customHeight="1" x14ac:dyDescent="0.25">
      <c r="A49" s="357" t="s">
        <v>930</v>
      </c>
      <c r="B49" s="357"/>
      <c r="C49" s="148">
        <v>3.1</v>
      </c>
      <c r="D49" s="148">
        <v>100</v>
      </c>
      <c r="E49" s="148">
        <v>6.2960000000000003</v>
      </c>
      <c r="F49" s="7">
        <v>203.1</v>
      </c>
      <c r="G49" s="9">
        <v>6.7446999999999999</v>
      </c>
      <c r="H49" s="7">
        <v>107.1</v>
      </c>
      <c r="I49" s="148">
        <v>7.9522000000000004</v>
      </c>
      <c r="J49" s="10">
        <v>117.9</v>
      </c>
      <c r="K49" s="9">
        <v>9.4916999999999998</v>
      </c>
      <c r="L49" s="10">
        <v>119.36</v>
      </c>
      <c r="M49" s="152"/>
    </row>
    <row r="50" spans="1:13" ht="18" hidden="1" customHeight="1" x14ac:dyDescent="0.25">
      <c r="A50" s="361" t="s">
        <v>794</v>
      </c>
      <c r="B50" s="361"/>
      <c r="C50" s="4"/>
      <c r="D50" s="4"/>
      <c r="E50" s="4"/>
      <c r="F50" s="4"/>
      <c r="G50" s="4"/>
      <c r="H50" s="4"/>
      <c r="I50" s="4"/>
      <c r="J50" s="4"/>
      <c r="K50" s="4"/>
      <c r="L50" s="4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54">
    <mergeCell ref="A49:B49"/>
    <mergeCell ref="A50:B50"/>
    <mergeCell ref="A42:B42"/>
    <mergeCell ref="A43:L43"/>
    <mergeCell ref="A44:B44"/>
    <mergeCell ref="A45:B45"/>
    <mergeCell ref="A46:B46"/>
    <mergeCell ref="A47:B47"/>
    <mergeCell ref="A48:B48"/>
    <mergeCell ref="A41:B41"/>
    <mergeCell ref="A30:B30"/>
    <mergeCell ref="A31:B31"/>
    <mergeCell ref="A32:B32"/>
    <mergeCell ref="A33:B33"/>
    <mergeCell ref="A34:B34"/>
    <mergeCell ref="A35:L35"/>
    <mergeCell ref="A36:B36"/>
    <mergeCell ref="A37:B37"/>
    <mergeCell ref="A38:B38"/>
    <mergeCell ref="A39:B39"/>
    <mergeCell ref="A40:B40"/>
    <mergeCell ref="A29:B29"/>
    <mergeCell ref="A18:B18"/>
    <mergeCell ref="A19:L19"/>
    <mergeCell ref="A20:B20"/>
    <mergeCell ref="A21:B21"/>
    <mergeCell ref="A22:B22"/>
    <mergeCell ref="A23:B23"/>
    <mergeCell ref="A24:B24"/>
    <mergeCell ref="A25:B25"/>
    <mergeCell ref="A26:B26"/>
    <mergeCell ref="A27:L27"/>
    <mergeCell ref="A28:B28"/>
    <mergeCell ref="A17:B17"/>
    <mergeCell ref="A5:L5"/>
    <mergeCell ref="A6:B6"/>
    <mergeCell ref="A7:B7"/>
    <mergeCell ref="A8:B8"/>
    <mergeCell ref="A9:B9"/>
    <mergeCell ref="A12:L12"/>
    <mergeCell ref="A13:B13"/>
    <mergeCell ref="A14:B14"/>
    <mergeCell ref="A15:B15"/>
    <mergeCell ref="A16:B16"/>
    <mergeCell ref="A10:B10"/>
    <mergeCell ref="A1:L1"/>
    <mergeCell ref="A2:B4"/>
    <mergeCell ref="C2:D3"/>
    <mergeCell ref="E2:F3"/>
    <mergeCell ref="G2:H2"/>
    <mergeCell ref="I2:L2"/>
    <mergeCell ref="G3:H3"/>
    <mergeCell ref="I3:J3"/>
    <mergeCell ref="K3:L3"/>
  </mergeCells>
  <pageMargins left="0.43307086614173229" right="0.19685039370078741" top="0.35433070866141736" bottom="0.35433070866141736" header="0" footer="0"/>
  <pageSetup paperSize="9" scale="85" firstPageNumber="143" orientation="landscape" useFirstPageNumber="1" r:id="rId1"/>
  <headerFooter>
    <oddFooter>&amp;C&amp;P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="85" zoomScaleNormal="100" zoomScaleSheetLayoutView="85" workbookViewId="0">
      <selection activeCell="F6" sqref="F6"/>
    </sheetView>
  </sheetViews>
  <sheetFormatPr defaultRowHeight="15" x14ac:dyDescent="0.25"/>
  <cols>
    <col min="1" max="1" width="36.42578125" style="94" customWidth="1"/>
    <col min="2" max="2" width="9.42578125" customWidth="1"/>
    <col min="3" max="3" width="9.5703125" customWidth="1"/>
    <col min="4" max="4" width="9.85546875" customWidth="1"/>
    <col min="5" max="5" width="9.28515625" customWidth="1"/>
    <col min="6" max="6" width="11.140625" customWidth="1"/>
    <col min="7" max="7" width="9.28515625" customWidth="1"/>
    <col min="8" max="8" width="10.85546875" customWidth="1"/>
    <col min="9" max="9" width="9.42578125" customWidth="1"/>
    <col min="10" max="10" width="10.85546875" customWidth="1"/>
    <col min="11" max="11" width="9.28515625" customWidth="1"/>
  </cols>
  <sheetData>
    <row r="1" spans="1:13" ht="51.75" customHeight="1" x14ac:dyDescent="0.3">
      <c r="A1" s="425" t="s">
        <v>973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347"/>
      <c r="M1" s="346"/>
    </row>
    <row r="2" spans="1:13" ht="28.5" customHeight="1" x14ac:dyDescent="0.25">
      <c r="A2" s="361" t="s">
        <v>806</v>
      </c>
      <c r="B2" s="386" t="s">
        <v>878</v>
      </c>
      <c r="C2" s="386"/>
      <c r="D2" s="386" t="s">
        <v>887</v>
      </c>
      <c r="E2" s="386"/>
      <c r="F2" s="386" t="s">
        <v>8</v>
      </c>
      <c r="G2" s="386"/>
      <c r="H2" s="387" t="s">
        <v>4</v>
      </c>
      <c r="I2" s="387"/>
      <c r="J2" s="387"/>
      <c r="K2" s="387"/>
      <c r="L2" s="168"/>
      <c r="M2" s="349"/>
    </row>
    <row r="3" spans="1:13" ht="24" customHeight="1" x14ac:dyDescent="0.25">
      <c r="A3" s="361"/>
      <c r="B3" s="386"/>
      <c r="C3" s="386"/>
      <c r="D3" s="386"/>
      <c r="E3" s="386"/>
      <c r="F3" s="386" t="s">
        <v>246</v>
      </c>
      <c r="G3" s="386"/>
      <c r="H3" s="386" t="s">
        <v>247</v>
      </c>
      <c r="I3" s="386"/>
      <c r="J3" s="386" t="s">
        <v>877</v>
      </c>
      <c r="K3" s="386"/>
      <c r="L3" s="168"/>
      <c r="M3" s="349"/>
    </row>
    <row r="4" spans="1:13" ht="24.75" customHeight="1" x14ac:dyDescent="0.25">
      <c r="A4" s="361"/>
      <c r="B4" s="4" t="s">
        <v>315</v>
      </c>
      <c r="C4" s="4" t="s">
        <v>316</v>
      </c>
      <c r="D4" s="4" t="s">
        <v>315</v>
      </c>
      <c r="E4" s="4" t="s">
        <v>316</v>
      </c>
      <c r="F4" s="4" t="s">
        <v>315</v>
      </c>
      <c r="G4" s="4" t="s">
        <v>316</v>
      </c>
      <c r="H4" s="4" t="s">
        <v>315</v>
      </c>
      <c r="I4" s="4" t="s">
        <v>316</v>
      </c>
      <c r="J4" s="4" t="s">
        <v>315</v>
      </c>
      <c r="K4" s="4" t="s">
        <v>316</v>
      </c>
      <c r="L4" s="330"/>
      <c r="M4" s="327"/>
    </row>
    <row r="5" spans="1:13" ht="25.5" customHeight="1" x14ac:dyDescent="0.25">
      <c r="A5" s="423" t="s">
        <v>799</v>
      </c>
      <c r="B5" s="423"/>
      <c r="C5" s="423"/>
      <c r="D5" s="423"/>
      <c r="E5" s="423"/>
      <c r="F5" s="423"/>
      <c r="G5" s="423"/>
      <c r="H5" s="423"/>
      <c r="I5" s="423"/>
      <c r="J5" s="423"/>
      <c r="K5" s="423"/>
      <c r="L5" s="330"/>
      <c r="M5" s="327"/>
    </row>
    <row r="6" spans="1:13" ht="24.75" customHeight="1" x14ac:dyDescent="0.25">
      <c r="A6" s="148" t="s">
        <v>807</v>
      </c>
      <c r="B6" s="58">
        <v>0</v>
      </c>
      <c r="C6" s="58" t="s">
        <v>29</v>
      </c>
      <c r="D6" s="58">
        <v>125</v>
      </c>
      <c r="E6" s="58" t="s">
        <v>29</v>
      </c>
      <c r="F6" s="58">
        <v>130</v>
      </c>
      <c r="G6" s="58">
        <v>140</v>
      </c>
      <c r="H6" s="58">
        <v>135</v>
      </c>
      <c r="I6" s="58">
        <v>104</v>
      </c>
      <c r="J6" s="58">
        <v>140</v>
      </c>
      <c r="K6" s="58">
        <v>104</v>
      </c>
      <c r="L6" s="330"/>
      <c r="M6" s="327"/>
    </row>
    <row r="7" spans="1:13" ht="40.5" customHeight="1" x14ac:dyDescent="0.25">
      <c r="A7" s="148" t="s">
        <v>808</v>
      </c>
      <c r="B7" s="58">
        <v>0</v>
      </c>
      <c r="C7" s="58" t="s">
        <v>29</v>
      </c>
      <c r="D7" s="58">
        <v>200</v>
      </c>
      <c r="E7" s="58" t="s">
        <v>29</v>
      </c>
      <c r="F7" s="58">
        <v>250</v>
      </c>
      <c r="G7" s="58">
        <v>125</v>
      </c>
      <c r="H7" s="58">
        <v>300</v>
      </c>
      <c r="I7" s="58">
        <v>120</v>
      </c>
      <c r="J7" s="58">
        <v>350</v>
      </c>
      <c r="K7" s="58">
        <v>117</v>
      </c>
      <c r="L7" s="330"/>
      <c r="M7" s="327"/>
    </row>
    <row r="8" spans="1:13" ht="37.5" customHeight="1" x14ac:dyDescent="0.25">
      <c r="A8" s="148" t="s">
        <v>809</v>
      </c>
      <c r="B8" s="58">
        <v>0</v>
      </c>
      <c r="C8" s="58" t="s">
        <v>29</v>
      </c>
      <c r="D8" s="58">
        <v>10000</v>
      </c>
      <c r="E8" s="58" t="s">
        <v>29</v>
      </c>
      <c r="F8" s="58">
        <v>12000</v>
      </c>
      <c r="G8" s="58">
        <v>120</v>
      </c>
      <c r="H8" s="58">
        <v>14000</v>
      </c>
      <c r="I8" s="58">
        <v>117</v>
      </c>
      <c r="J8" s="58">
        <v>16000</v>
      </c>
      <c r="K8" s="58">
        <v>114</v>
      </c>
      <c r="L8" s="330"/>
      <c r="M8" s="327"/>
    </row>
    <row r="9" spans="1:13" ht="36" x14ac:dyDescent="0.25">
      <c r="A9" s="148" t="s">
        <v>810</v>
      </c>
      <c r="B9" s="58">
        <v>0</v>
      </c>
      <c r="C9" s="58" t="s">
        <v>29</v>
      </c>
      <c r="D9" s="58">
        <v>14</v>
      </c>
      <c r="E9" s="58" t="s">
        <v>29</v>
      </c>
      <c r="F9" s="58">
        <v>17</v>
      </c>
      <c r="G9" s="58">
        <v>121</v>
      </c>
      <c r="H9" s="17">
        <v>20</v>
      </c>
      <c r="I9" s="17">
        <v>118</v>
      </c>
      <c r="J9" s="17">
        <v>23</v>
      </c>
      <c r="K9" s="17">
        <v>115</v>
      </c>
      <c r="L9" s="330"/>
      <c r="M9" s="327"/>
    </row>
    <row r="10" spans="1:13" ht="18" x14ac:dyDescent="0.25">
      <c r="A10" s="148" t="s">
        <v>811</v>
      </c>
      <c r="B10" s="93"/>
      <c r="C10" s="93"/>
      <c r="D10" s="93"/>
      <c r="E10" s="93"/>
      <c r="F10" s="93"/>
      <c r="G10" s="93"/>
      <c r="H10" s="93"/>
      <c r="I10" s="93"/>
      <c r="J10" s="93"/>
      <c r="K10" s="34"/>
      <c r="L10" s="330"/>
      <c r="M10" s="327"/>
    </row>
    <row r="11" spans="1:13" ht="23.25" customHeight="1" x14ac:dyDescent="0.25">
      <c r="A11" s="423" t="s">
        <v>805</v>
      </c>
      <c r="B11" s="423"/>
      <c r="C11" s="423"/>
      <c r="D11" s="423"/>
      <c r="E11" s="423"/>
      <c r="F11" s="423"/>
      <c r="G11" s="423"/>
      <c r="H11" s="423"/>
      <c r="I11" s="423"/>
      <c r="J11" s="423"/>
      <c r="K11" s="423"/>
      <c r="L11" s="330"/>
      <c r="M11" s="327"/>
    </row>
    <row r="12" spans="1:13" ht="18" x14ac:dyDescent="0.25">
      <c r="A12" s="148" t="s">
        <v>812</v>
      </c>
      <c r="B12" s="58"/>
      <c r="C12" s="58"/>
      <c r="D12" s="58"/>
      <c r="E12" s="58"/>
      <c r="F12" s="58"/>
      <c r="G12" s="19"/>
      <c r="H12" s="19"/>
      <c r="I12" s="19"/>
      <c r="J12" s="19"/>
      <c r="K12" s="58"/>
      <c r="L12" s="330"/>
      <c r="M12" s="327"/>
    </row>
    <row r="13" spans="1:13" ht="18" x14ac:dyDescent="0.25">
      <c r="A13" s="148" t="s">
        <v>813</v>
      </c>
      <c r="B13" s="148"/>
      <c r="C13" s="148"/>
      <c r="D13" s="22"/>
      <c r="E13" s="22"/>
      <c r="F13" s="22"/>
      <c r="G13" s="6"/>
      <c r="H13" s="22"/>
      <c r="I13" s="6"/>
      <c r="J13" s="12"/>
      <c r="K13" s="58"/>
      <c r="L13" s="330"/>
      <c r="M13" s="327"/>
    </row>
    <row r="14" spans="1:13" ht="18" x14ac:dyDescent="0.25">
      <c r="A14" s="22" t="s">
        <v>109</v>
      </c>
      <c r="B14" s="58">
        <v>4045</v>
      </c>
      <c r="C14" s="58">
        <v>100</v>
      </c>
      <c r="D14" s="58">
        <v>7000</v>
      </c>
      <c r="E14" s="58">
        <v>173</v>
      </c>
      <c r="F14" s="58">
        <v>7200</v>
      </c>
      <c r="G14" s="58">
        <v>103</v>
      </c>
      <c r="H14" s="58">
        <v>8500</v>
      </c>
      <c r="I14" s="58">
        <v>118</v>
      </c>
      <c r="J14" s="19">
        <v>10000</v>
      </c>
      <c r="K14" s="58">
        <v>118</v>
      </c>
      <c r="L14" s="330"/>
      <c r="M14" s="327"/>
    </row>
    <row r="15" spans="1:13" ht="18" x14ac:dyDescent="0.25">
      <c r="A15" s="22" t="s">
        <v>814</v>
      </c>
      <c r="B15" s="58"/>
      <c r="C15" s="58"/>
      <c r="D15" s="58"/>
      <c r="E15" s="58"/>
      <c r="F15" s="58"/>
      <c r="G15" s="19"/>
      <c r="H15" s="58"/>
      <c r="I15" s="19"/>
      <c r="J15" s="19"/>
      <c r="K15" s="58"/>
      <c r="L15" s="330"/>
      <c r="M15" s="327"/>
    </row>
    <row r="16" spans="1:13" ht="36" x14ac:dyDescent="0.25">
      <c r="A16" s="148" t="s">
        <v>932</v>
      </c>
      <c r="B16" s="58">
        <v>40</v>
      </c>
      <c r="C16" s="58">
        <v>100</v>
      </c>
      <c r="D16" s="58">
        <v>150</v>
      </c>
      <c r="E16" s="58">
        <v>375</v>
      </c>
      <c r="F16" s="58">
        <v>150</v>
      </c>
      <c r="G16" s="19">
        <v>100</v>
      </c>
      <c r="H16" s="58">
        <v>150</v>
      </c>
      <c r="I16" s="58">
        <v>100</v>
      </c>
      <c r="J16" s="19">
        <v>150</v>
      </c>
      <c r="K16" s="58">
        <v>100</v>
      </c>
      <c r="L16" s="330"/>
      <c r="M16" s="327"/>
    </row>
    <row r="17" spans="1:13" ht="23.25" customHeight="1" x14ac:dyDescent="0.25">
      <c r="A17" s="148" t="s">
        <v>815</v>
      </c>
      <c r="B17" s="58"/>
      <c r="C17" s="58"/>
      <c r="D17" s="58"/>
      <c r="E17" s="19"/>
      <c r="F17" s="58"/>
      <c r="G17" s="58"/>
      <c r="H17" s="58"/>
      <c r="I17" s="19"/>
      <c r="J17" s="19"/>
      <c r="K17" s="58"/>
      <c r="L17" s="330"/>
      <c r="M17" s="327"/>
    </row>
    <row r="18" spans="1:13" ht="41.25" customHeight="1" x14ac:dyDescent="0.25">
      <c r="A18" s="148" t="s">
        <v>917</v>
      </c>
      <c r="B18" s="58">
        <v>0</v>
      </c>
      <c r="C18" s="58">
        <v>0</v>
      </c>
      <c r="D18" s="58">
        <v>2880</v>
      </c>
      <c r="E18" s="58"/>
      <c r="F18" s="58" t="s">
        <v>914</v>
      </c>
      <c r="G18" s="58">
        <v>125</v>
      </c>
      <c r="H18" s="58">
        <v>4300</v>
      </c>
      <c r="I18" s="19">
        <v>119</v>
      </c>
      <c r="J18" s="19">
        <v>5400</v>
      </c>
      <c r="K18" s="58">
        <v>126</v>
      </c>
      <c r="L18" s="330"/>
      <c r="M18" s="327"/>
    </row>
    <row r="19" spans="1:13" ht="53.25" customHeight="1" x14ac:dyDescent="0.25">
      <c r="A19" s="148" t="s">
        <v>944</v>
      </c>
      <c r="B19" s="58">
        <v>66</v>
      </c>
      <c r="C19" s="58">
        <v>100</v>
      </c>
      <c r="D19" s="58">
        <v>255</v>
      </c>
      <c r="E19" s="19">
        <v>273</v>
      </c>
      <c r="F19" s="58">
        <v>360</v>
      </c>
      <c r="G19" s="58">
        <v>286</v>
      </c>
      <c r="H19" s="17">
        <v>415</v>
      </c>
      <c r="I19" s="58">
        <v>235</v>
      </c>
      <c r="J19" s="19">
        <v>430</v>
      </c>
      <c r="K19" s="58">
        <v>270</v>
      </c>
      <c r="L19" s="330"/>
      <c r="M19" s="327"/>
    </row>
    <row r="20" spans="1:13" ht="36" x14ac:dyDescent="0.25">
      <c r="A20" s="148" t="s">
        <v>943</v>
      </c>
      <c r="B20" s="58">
        <v>0</v>
      </c>
      <c r="C20" s="58">
        <v>0</v>
      </c>
      <c r="D20" s="58">
        <v>75</v>
      </c>
      <c r="E20" s="19"/>
      <c r="F20" s="58">
        <v>110</v>
      </c>
      <c r="G20" s="58">
        <v>147</v>
      </c>
      <c r="H20" s="17">
        <v>135</v>
      </c>
      <c r="I20" s="58">
        <v>123</v>
      </c>
      <c r="J20" s="19">
        <v>210</v>
      </c>
      <c r="K20" s="58">
        <v>156</v>
      </c>
      <c r="L20" s="330"/>
      <c r="M20" s="327"/>
    </row>
    <row r="21" spans="1:13" ht="20.25" customHeight="1" x14ac:dyDescent="0.25">
      <c r="A21" s="423" t="s">
        <v>792</v>
      </c>
      <c r="B21" s="423"/>
      <c r="C21" s="423"/>
      <c r="D21" s="423"/>
      <c r="E21" s="423"/>
      <c r="F21" s="423"/>
      <c r="G21" s="423"/>
      <c r="H21" s="423"/>
      <c r="I21" s="423"/>
      <c r="J21" s="423"/>
      <c r="K21" s="423"/>
      <c r="L21" s="330"/>
      <c r="M21" s="327"/>
    </row>
    <row r="22" spans="1:13" ht="20.25" customHeight="1" x14ac:dyDescent="0.25">
      <c r="A22" s="148" t="s">
        <v>933</v>
      </c>
      <c r="B22" s="173">
        <v>0</v>
      </c>
      <c r="C22" s="173">
        <v>20</v>
      </c>
      <c r="D22" s="173">
        <v>100</v>
      </c>
      <c r="E22" s="173"/>
      <c r="F22" s="173">
        <v>120</v>
      </c>
      <c r="G22" s="173"/>
      <c r="H22" s="173">
        <v>130</v>
      </c>
      <c r="I22" s="173"/>
      <c r="J22" s="173">
        <v>140</v>
      </c>
      <c r="K22" s="173"/>
      <c r="L22" s="330"/>
      <c r="M22" s="327"/>
    </row>
    <row r="23" spans="1:13" ht="20.25" customHeight="1" x14ac:dyDescent="0.25">
      <c r="A23" s="148" t="s">
        <v>934</v>
      </c>
      <c r="B23" s="173">
        <v>0</v>
      </c>
      <c r="C23" s="173">
        <v>0</v>
      </c>
      <c r="D23" s="173">
        <v>430</v>
      </c>
      <c r="E23" s="173"/>
      <c r="F23" s="173">
        <v>440</v>
      </c>
      <c r="G23" s="173"/>
      <c r="H23" s="173">
        <v>450</v>
      </c>
      <c r="I23" s="173"/>
      <c r="J23" s="173">
        <v>460</v>
      </c>
      <c r="K23" s="173"/>
      <c r="L23" s="330"/>
      <c r="M23" s="327"/>
    </row>
    <row r="24" spans="1:13" ht="36" x14ac:dyDescent="0.25">
      <c r="A24" s="148" t="s">
        <v>816</v>
      </c>
      <c r="B24" s="174">
        <v>32761</v>
      </c>
      <c r="C24" s="174">
        <v>60</v>
      </c>
      <c r="D24" s="174">
        <v>39313</v>
      </c>
      <c r="E24" s="174"/>
      <c r="F24" s="174">
        <v>47175</v>
      </c>
      <c r="G24" s="174"/>
      <c r="H24" s="174">
        <v>56610</v>
      </c>
      <c r="I24" s="174"/>
      <c r="J24" s="174">
        <v>67932</v>
      </c>
      <c r="K24" s="174"/>
      <c r="L24" s="330"/>
      <c r="M24" s="327"/>
    </row>
    <row r="25" spans="1:13" ht="37.5" customHeight="1" x14ac:dyDescent="0.25">
      <c r="A25" s="148" t="s">
        <v>935</v>
      </c>
      <c r="B25" s="174">
        <v>0</v>
      </c>
      <c r="C25" s="174">
        <v>0</v>
      </c>
      <c r="D25" s="174">
        <v>0</v>
      </c>
      <c r="E25" s="174"/>
      <c r="F25" s="174">
        <v>0</v>
      </c>
      <c r="G25" s="174"/>
      <c r="H25" s="174">
        <v>0</v>
      </c>
      <c r="I25" s="174"/>
      <c r="J25" s="174">
        <v>0</v>
      </c>
      <c r="K25" s="174"/>
      <c r="L25" s="330"/>
      <c r="M25" s="327"/>
    </row>
    <row r="26" spans="1:13" ht="37.5" customHeight="1" x14ac:dyDescent="0.25">
      <c r="A26" s="148" t="s">
        <v>936</v>
      </c>
      <c r="B26" s="174">
        <v>6010</v>
      </c>
      <c r="C26" s="174">
        <v>112</v>
      </c>
      <c r="D26" s="174">
        <v>7212</v>
      </c>
      <c r="E26" s="174"/>
      <c r="F26" s="174">
        <v>8600</v>
      </c>
      <c r="G26" s="174"/>
      <c r="H26" s="174">
        <v>10300</v>
      </c>
      <c r="I26" s="174"/>
      <c r="J26" s="174">
        <v>12300</v>
      </c>
      <c r="K26" s="174"/>
      <c r="L26" s="330"/>
      <c r="M26" s="327"/>
    </row>
    <row r="27" spans="1:13" ht="36" x14ac:dyDescent="0.25">
      <c r="A27" s="148" t="s">
        <v>937</v>
      </c>
      <c r="B27" s="174">
        <v>8100</v>
      </c>
      <c r="C27" s="174">
        <v>106</v>
      </c>
      <c r="D27" s="174">
        <v>9700</v>
      </c>
      <c r="E27" s="174"/>
      <c r="F27" s="174">
        <v>11600</v>
      </c>
      <c r="G27" s="174"/>
      <c r="H27" s="174">
        <v>13900</v>
      </c>
      <c r="I27" s="174"/>
      <c r="J27" s="174">
        <v>16600</v>
      </c>
      <c r="K27" s="174"/>
      <c r="L27" s="330"/>
      <c r="M27" s="327"/>
    </row>
    <row r="28" spans="1:13" ht="36" x14ac:dyDescent="0.25">
      <c r="A28" s="148" t="s">
        <v>817</v>
      </c>
      <c r="B28" s="174">
        <v>11166</v>
      </c>
      <c r="C28" s="174">
        <v>145</v>
      </c>
      <c r="D28" s="174">
        <v>13300</v>
      </c>
      <c r="E28" s="174"/>
      <c r="F28" s="174">
        <v>15900</v>
      </c>
      <c r="G28" s="174"/>
      <c r="H28" s="174">
        <v>19000</v>
      </c>
      <c r="I28" s="174"/>
      <c r="J28" s="174">
        <v>22800</v>
      </c>
      <c r="K28" s="174"/>
      <c r="L28" s="330"/>
      <c r="M28" s="327"/>
    </row>
    <row r="29" spans="1:13" ht="18" x14ac:dyDescent="0.25">
      <c r="A29" s="148" t="s">
        <v>818</v>
      </c>
      <c r="B29" s="174">
        <v>1597</v>
      </c>
      <c r="C29" s="174">
        <v>121</v>
      </c>
      <c r="D29" s="174">
        <v>1900</v>
      </c>
      <c r="E29" s="174"/>
      <c r="F29" s="174">
        <v>2200</v>
      </c>
      <c r="G29" s="174"/>
      <c r="H29" s="174">
        <v>2600</v>
      </c>
      <c r="I29" s="174"/>
      <c r="J29" s="174">
        <v>3100</v>
      </c>
      <c r="K29" s="174"/>
      <c r="L29" s="330"/>
      <c r="M29" s="327"/>
    </row>
    <row r="30" spans="1:13" ht="18" x14ac:dyDescent="0.25">
      <c r="A30" s="148" t="s">
        <v>819</v>
      </c>
      <c r="B30" s="22"/>
      <c r="C30" s="6"/>
      <c r="D30" s="12"/>
      <c r="E30" s="6"/>
      <c r="F30" s="22"/>
      <c r="G30" s="6"/>
      <c r="H30" s="22"/>
      <c r="I30" s="6"/>
      <c r="J30" s="22"/>
      <c r="K30" s="6"/>
      <c r="L30" s="330"/>
      <c r="M30" s="327"/>
    </row>
    <row r="31" spans="1:13" ht="54" x14ac:dyDescent="0.25">
      <c r="A31" s="148" t="s">
        <v>820</v>
      </c>
      <c r="B31" s="174">
        <v>814</v>
      </c>
      <c r="C31" s="174">
        <v>101</v>
      </c>
      <c r="D31" s="174">
        <v>970</v>
      </c>
      <c r="E31" s="174"/>
      <c r="F31" s="174">
        <v>1100</v>
      </c>
      <c r="G31" s="174"/>
      <c r="H31" s="174">
        <v>1300</v>
      </c>
      <c r="I31" s="174"/>
      <c r="J31" s="174">
        <v>1500</v>
      </c>
      <c r="K31" s="174"/>
      <c r="L31" s="330"/>
      <c r="M31" s="327"/>
    </row>
    <row r="32" spans="1:13" ht="18" x14ac:dyDescent="0.25">
      <c r="A32" s="148" t="s">
        <v>821</v>
      </c>
      <c r="B32" s="174">
        <v>0</v>
      </c>
      <c r="C32" s="174"/>
      <c r="D32" s="174">
        <v>5</v>
      </c>
      <c r="E32" s="174"/>
      <c r="F32" s="174">
        <v>6</v>
      </c>
      <c r="G32" s="174"/>
      <c r="H32" s="174">
        <v>7</v>
      </c>
      <c r="I32" s="174"/>
      <c r="J32" s="174">
        <v>8</v>
      </c>
      <c r="K32" s="174"/>
      <c r="L32" s="292"/>
      <c r="M32" s="152"/>
    </row>
    <row r="33" spans="1:13" ht="18" x14ac:dyDescent="0.25">
      <c r="A33" s="148" t="s">
        <v>822</v>
      </c>
      <c r="B33" s="174">
        <v>0</v>
      </c>
      <c r="C33" s="174">
        <v>27500</v>
      </c>
      <c r="D33" s="174">
        <v>32000</v>
      </c>
      <c r="E33" s="174"/>
      <c r="F33" s="174">
        <v>38000</v>
      </c>
      <c r="G33" s="174"/>
      <c r="H33" s="174">
        <v>45600</v>
      </c>
      <c r="I33" s="174"/>
      <c r="J33" s="174">
        <v>47000</v>
      </c>
      <c r="K33" s="174"/>
      <c r="L33" s="292"/>
      <c r="M33" s="152"/>
    </row>
    <row r="34" spans="1:13" ht="18" customHeight="1" x14ac:dyDescent="0.25">
      <c r="A34" s="423" t="s">
        <v>795</v>
      </c>
      <c r="B34" s="423"/>
      <c r="C34" s="423"/>
      <c r="D34" s="423"/>
      <c r="E34" s="423"/>
      <c r="F34" s="423"/>
      <c r="G34" s="423"/>
      <c r="H34" s="423"/>
      <c r="I34" s="423"/>
      <c r="J34" s="423"/>
      <c r="K34" s="423"/>
      <c r="L34" s="292"/>
      <c r="M34" s="152"/>
    </row>
    <row r="35" spans="1:13" ht="18" customHeight="1" x14ac:dyDescent="0.25">
      <c r="A35" s="79" t="s">
        <v>823</v>
      </c>
      <c r="B35" s="58">
        <v>88000</v>
      </c>
      <c r="C35" s="58">
        <v>117</v>
      </c>
      <c r="D35" s="58">
        <v>95000</v>
      </c>
      <c r="E35" s="19">
        <v>108</v>
      </c>
      <c r="F35" s="58">
        <v>105000</v>
      </c>
      <c r="G35" s="19">
        <v>110</v>
      </c>
      <c r="H35" s="58">
        <v>115000</v>
      </c>
      <c r="I35" s="19">
        <v>109</v>
      </c>
      <c r="J35" s="175">
        <v>130</v>
      </c>
      <c r="K35" s="19">
        <v>130</v>
      </c>
      <c r="L35" s="292"/>
      <c r="M35" s="152"/>
    </row>
    <row r="36" spans="1:13" ht="18" customHeight="1" x14ac:dyDescent="0.25">
      <c r="A36" s="79" t="s">
        <v>825</v>
      </c>
      <c r="B36" s="60"/>
      <c r="C36" s="60"/>
      <c r="D36" s="60"/>
      <c r="E36" s="60"/>
      <c r="F36" s="58">
        <v>30</v>
      </c>
      <c r="G36" s="58"/>
      <c r="H36" s="176">
        <v>35</v>
      </c>
      <c r="I36" s="176">
        <v>116</v>
      </c>
      <c r="J36" s="176">
        <v>45</v>
      </c>
      <c r="K36" s="177">
        <v>128</v>
      </c>
      <c r="L36" s="292"/>
      <c r="M36" s="152"/>
    </row>
    <row r="37" spans="1:13" ht="18" customHeight="1" x14ac:dyDescent="0.25">
      <c r="A37" s="79" t="s">
        <v>826</v>
      </c>
      <c r="B37" s="60"/>
      <c r="C37" s="60"/>
      <c r="D37" s="60"/>
      <c r="E37" s="60"/>
      <c r="F37" s="58">
        <v>100</v>
      </c>
      <c r="G37" s="58"/>
      <c r="H37" s="58">
        <v>110</v>
      </c>
      <c r="I37" s="58">
        <v>110</v>
      </c>
      <c r="J37" s="58">
        <v>120</v>
      </c>
      <c r="K37" s="19">
        <v>110</v>
      </c>
      <c r="L37" s="292"/>
      <c r="M37" s="152"/>
    </row>
    <row r="38" spans="1:13" ht="18" customHeight="1" x14ac:dyDescent="0.25">
      <c r="A38" s="79" t="s">
        <v>946</v>
      </c>
      <c r="B38" s="60"/>
      <c r="C38" s="60"/>
      <c r="D38" s="60"/>
      <c r="E38" s="60"/>
      <c r="F38" s="175">
        <v>3</v>
      </c>
      <c r="G38" s="58"/>
      <c r="H38" s="175">
        <v>3.5</v>
      </c>
      <c r="I38" s="58">
        <v>116</v>
      </c>
      <c r="J38" s="175">
        <v>4</v>
      </c>
      <c r="K38" s="19">
        <v>114</v>
      </c>
      <c r="L38" s="292"/>
      <c r="M38" s="152"/>
    </row>
    <row r="39" spans="1:13" ht="20.25" x14ac:dyDescent="0.25">
      <c r="A39" s="423" t="s">
        <v>827</v>
      </c>
      <c r="B39" s="423"/>
      <c r="C39" s="423"/>
      <c r="D39" s="423"/>
      <c r="E39" s="423"/>
      <c r="F39" s="423"/>
      <c r="G39" s="423"/>
      <c r="H39" s="423"/>
      <c r="I39" s="423"/>
      <c r="J39" s="423"/>
      <c r="K39" s="423"/>
      <c r="L39" s="292"/>
      <c r="M39" s="152"/>
    </row>
    <row r="40" spans="1:13" ht="36.75" x14ac:dyDescent="0.25">
      <c r="A40" s="148" t="s">
        <v>828</v>
      </c>
      <c r="B40" s="17">
        <v>200238</v>
      </c>
      <c r="C40" s="16">
        <v>30</v>
      </c>
      <c r="D40" s="16">
        <v>228271</v>
      </c>
      <c r="E40" s="16">
        <v>114</v>
      </c>
      <c r="F40" s="16">
        <v>260229</v>
      </c>
      <c r="G40" s="16">
        <v>114</v>
      </c>
      <c r="H40" s="16">
        <v>281047</v>
      </c>
      <c r="I40" s="16">
        <v>108</v>
      </c>
      <c r="J40" s="16">
        <v>303531</v>
      </c>
      <c r="K40" s="16">
        <v>108</v>
      </c>
      <c r="L40" s="292"/>
      <c r="M40" s="152"/>
    </row>
    <row r="41" spans="1:13" ht="36" x14ac:dyDescent="0.25">
      <c r="A41" s="148" t="s">
        <v>829</v>
      </c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292"/>
      <c r="M41" s="152"/>
    </row>
    <row r="42" spans="1:13" ht="36.75" x14ac:dyDescent="0.25">
      <c r="A42" s="148" t="s">
        <v>830</v>
      </c>
      <c r="B42" s="17">
        <v>26770</v>
      </c>
      <c r="C42" s="16">
        <v>138.5</v>
      </c>
      <c r="D42" s="16">
        <v>32124</v>
      </c>
      <c r="E42" s="16">
        <v>112.8</v>
      </c>
      <c r="F42" s="16">
        <v>35336.400000000001</v>
      </c>
      <c r="G42" s="16">
        <v>106</v>
      </c>
      <c r="H42" s="17">
        <v>38770</v>
      </c>
      <c r="I42" s="16">
        <v>106</v>
      </c>
      <c r="J42" s="16">
        <v>42757</v>
      </c>
      <c r="K42" s="16">
        <v>106</v>
      </c>
      <c r="L42" s="292"/>
      <c r="M42" s="152"/>
    </row>
    <row r="43" spans="1:13" ht="37.5" x14ac:dyDescent="0.25">
      <c r="A43" s="148" t="s">
        <v>831</v>
      </c>
      <c r="B43" s="16">
        <v>1423.2</v>
      </c>
      <c r="C43" s="16">
        <v>69.599999999999994</v>
      </c>
      <c r="D43" s="16">
        <v>1707.8</v>
      </c>
      <c r="E43" s="16">
        <v>112.8</v>
      </c>
      <c r="F43" s="16">
        <v>1878.6</v>
      </c>
      <c r="G43" s="16">
        <v>106</v>
      </c>
      <c r="H43" s="16">
        <v>2066.4</v>
      </c>
      <c r="I43" s="16">
        <v>106</v>
      </c>
      <c r="J43" s="16">
        <v>2273.1</v>
      </c>
      <c r="K43" s="16">
        <v>106</v>
      </c>
      <c r="L43" s="292"/>
      <c r="M43" s="152"/>
    </row>
    <row r="44" spans="1:13" ht="22.5" customHeight="1" x14ac:dyDescent="0.25">
      <c r="A44" s="148" t="s">
        <v>832</v>
      </c>
      <c r="B44" s="19">
        <v>684.11</v>
      </c>
      <c r="C44" s="19">
        <v>157.19999999999999</v>
      </c>
      <c r="D44" s="19">
        <v>752.5</v>
      </c>
      <c r="E44" s="16">
        <v>110</v>
      </c>
      <c r="F44" s="19">
        <v>827.7</v>
      </c>
      <c r="G44" s="16">
        <v>104</v>
      </c>
      <c r="H44" s="19">
        <v>893.9</v>
      </c>
      <c r="I44" s="16">
        <v>108</v>
      </c>
      <c r="J44" s="19">
        <v>965.5</v>
      </c>
      <c r="K44" s="16">
        <v>108</v>
      </c>
      <c r="L44" s="292"/>
      <c r="M44" s="152"/>
    </row>
    <row r="45" spans="1:13" ht="24" customHeight="1" x14ac:dyDescent="0.25">
      <c r="A45" s="148" t="s">
        <v>833</v>
      </c>
      <c r="B45" s="16">
        <v>1587.76</v>
      </c>
      <c r="C45" s="16">
        <v>121.1</v>
      </c>
      <c r="D45" s="17">
        <v>1746.5</v>
      </c>
      <c r="E45" s="17">
        <v>110</v>
      </c>
      <c r="F45" s="16">
        <v>1921.2</v>
      </c>
      <c r="G45" s="16">
        <v>110</v>
      </c>
      <c r="H45" s="16">
        <v>2074.9</v>
      </c>
      <c r="I45" s="17">
        <v>108</v>
      </c>
      <c r="J45" s="16">
        <v>2240.9</v>
      </c>
      <c r="K45" s="16">
        <v>108</v>
      </c>
      <c r="L45" s="292"/>
      <c r="M45" s="152"/>
    </row>
    <row r="46" spans="1:13" ht="31.5" customHeight="1" x14ac:dyDescent="0.25">
      <c r="A46" s="148" t="s">
        <v>834</v>
      </c>
      <c r="B46" s="16">
        <v>2367.23</v>
      </c>
      <c r="C46" s="16">
        <v>84.2</v>
      </c>
      <c r="D46" s="16">
        <v>2603.9</v>
      </c>
      <c r="E46" s="16">
        <v>110</v>
      </c>
      <c r="F46" s="17">
        <v>2864.3</v>
      </c>
      <c r="G46" s="16">
        <v>110</v>
      </c>
      <c r="H46" s="16">
        <v>3093.5</v>
      </c>
      <c r="I46" s="16">
        <v>108</v>
      </c>
      <c r="J46" s="17">
        <v>3340.9</v>
      </c>
      <c r="K46" s="16" t="s">
        <v>939</v>
      </c>
      <c r="L46" s="292"/>
      <c r="M46" s="152"/>
    </row>
    <row r="47" spans="1:13" ht="36.75" x14ac:dyDescent="0.25">
      <c r="A47" s="148" t="s">
        <v>835</v>
      </c>
      <c r="B47" s="16">
        <v>63.5</v>
      </c>
      <c r="C47" s="16">
        <v>24.4</v>
      </c>
      <c r="D47" s="16">
        <v>76.2</v>
      </c>
      <c r="E47" s="16">
        <v>120</v>
      </c>
      <c r="F47" s="16">
        <v>92</v>
      </c>
      <c r="G47" s="16">
        <v>120.7</v>
      </c>
      <c r="H47" s="16">
        <v>106.4</v>
      </c>
      <c r="I47" s="16">
        <v>115.7</v>
      </c>
      <c r="J47" s="16">
        <v>119.2</v>
      </c>
      <c r="K47" s="16">
        <v>112</v>
      </c>
      <c r="L47" s="292"/>
      <c r="M47" s="152"/>
    </row>
    <row r="48" spans="1:13" ht="36.75" x14ac:dyDescent="0.25">
      <c r="A48" s="148" t="s">
        <v>836</v>
      </c>
      <c r="B48" s="17">
        <v>7183.05</v>
      </c>
      <c r="C48" s="17">
        <v>112</v>
      </c>
      <c r="D48" s="17">
        <v>8000</v>
      </c>
      <c r="E48" s="16">
        <v>111.4</v>
      </c>
      <c r="F48" s="17">
        <v>5800</v>
      </c>
      <c r="G48" s="16">
        <v>106.3</v>
      </c>
      <c r="H48" s="17">
        <v>9000</v>
      </c>
      <c r="I48" s="16">
        <v>105.9</v>
      </c>
      <c r="J48" s="17">
        <v>9500</v>
      </c>
      <c r="K48" s="16">
        <v>105.5</v>
      </c>
      <c r="L48" s="292"/>
      <c r="M48" s="152"/>
    </row>
    <row r="49" spans="1:13" ht="36" x14ac:dyDescent="0.25">
      <c r="A49" s="148" t="s">
        <v>837</v>
      </c>
      <c r="B49" s="17">
        <v>366.5</v>
      </c>
      <c r="C49" s="17">
        <v>116</v>
      </c>
      <c r="D49" s="17">
        <v>466.6</v>
      </c>
      <c r="E49" s="16">
        <v>127</v>
      </c>
      <c r="F49" s="17">
        <v>559.9</v>
      </c>
      <c r="G49" s="16">
        <v>120</v>
      </c>
      <c r="H49" s="17">
        <v>671.9</v>
      </c>
      <c r="I49" s="16">
        <v>120</v>
      </c>
      <c r="J49" s="17">
        <v>806.3</v>
      </c>
      <c r="K49" s="16">
        <v>120</v>
      </c>
      <c r="L49" s="292"/>
      <c r="M49" s="152"/>
    </row>
    <row r="50" spans="1:13" ht="18" x14ac:dyDescent="0.25">
      <c r="A50" s="148" t="s">
        <v>838</v>
      </c>
      <c r="B50" s="16">
        <v>9987.2999999999993</v>
      </c>
      <c r="C50" s="16">
        <v>36.700000000000003</v>
      </c>
      <c r="D50" s="16">
        <v>1088.2</v>
      </c>
      <c r="E50" s="16">
        <v>109</v>
      </c>
      <c r="F50" s="16">
        <v>11865.9</v>
      </c>
      <c r="G50" s="16">
        <v>109</v>
      </c>
      <c r="H50" s="16">
        <v>12696.5</v>
      </c>
      <c r="I50" s="16">
        <v>107</v>
      </c>
      <c r="J50" s="16">
        <v>13585.3</v>
      </c>
      <c r="K50" s="16">
        <v>107</v>
      </c>
      <c r="L50" s="292"/>
      <c r="M50" s="152"/>
    </row>
    <row r="51" spans="1:13" ht="37.5" x14ac:dyDescent="0.25">
      <c r="A51" s="148" t="s">
        <v>839</v>
      </c>
      <c r="B51" s="16">
        <v>8994.7000000000007</v>
      </c>
      <c r="C51" s="16">
        <v>101.3</v>
      </c>
      <c r="D51" s="16">
        <v>9894.2000000000007</v>
      </c>
      <c r="E51" s="16">
        <v>110</v>
      </c>
      <c r="F51" s="16">
        <v>10883.6</v>
      </c>
      <c r="G51" s="16">
        <v>110</v>
      </c>
      <c r="H51" s="16">
        <v>11972</v>
      </c>
      <c r="I51" s="16">
        <v>110</v>
      </c>
      <c r="J51" s="16">
        <v>13169.2</v>
      </c>
      <c r="K51" s="16">
        <v>110</v>
      </c>
      <c r="L51" s="292"/>
      <c r="M51" s="152"/>
    </row>
    <row r="52" spans="1:13" ht="37.5" x14ac:dyDescent="0.25">
      <c r="A52" s="148" t="s">
        <v>840</v>
      </c>
      <c r="B52" s="16">
        <v>1105.5999999999999</v>
      </c>
      <c r="C52" s="16">
        <v>86.3</v>
      </c>
      <c r="D52" s="16">
        <v>1216.2</v>
      </c>
      <c r="E52" s="16">
        <v>110</v>
      </c>
      <c r="F52" s="16">
        <v>1337.8</v>
      </c>
      <c r="G52" s="16">
        <v>110</v>
      </c>
      <c r="H52" s="16">
        <v>1471.6</v>
      </c>
      <c r="I52" s="16">
        <v>110</v>
      </c>
      <c r="J52" s="16">
        <v>1618.7</v>
      </c>
      <c r="K52" s="16">
        <v>110</v>
      </c>
      <c r="L52" s="292"/>
      <c r="M52" s="152"/>
    </row>
    <row r="53" spans="1:13" ht="36" x14ac:dyDescent="0.25">
      <c r="A53" s="148" t="s">
        <v>841</v>
      </c>
      <c r="B53" s="16">
        <v>205.7</v>
      </c>
      <c r="C53" s="16">
        <v>50.6</v>
      </c>
      <c r="D53" s="16">
        <v>213.9</v>
      </c>
      <c r="E53" s="16">
        <v>104</v>
      </c>
      <c r="F53" s="16">
        <v>222.5</v>
      </c>
      <c r="G53" s="16">
        <v>104.5</v>
      </c>
      <c r="H53" s="16">
        <v>231.4</v>
      </c>
      <c r="I53" s="16">
        <v>104.5</v>
      </c>
      <c r="J53" s="16">
        <v>240.6</v>
      </c>
      <c r="K53" s="16">
        <v>104</v>
      </c>
      <c r="L53" s="292"/>
      <c r="M53" s="152"/>
    </row>
    <row r="54" spans="1:13" ht="36" x14ac:dyDescent="0.25">
      <c r="A54" s="148" t="s">
        <v>842</v>
      </c>
      <c r="B54" s="16"/>
      <c r="C54" s="16"/>
      <c r="D54" s="16"/>
      <c r="E54" s="16"/>
      <c r="F54" s="17"/>
      <c r="G54" s="16"/>
      <c r="H54" s="16"/>
      <c r="I54" s="16"/>
      <c r="J54" s="16"/>
      <c r="K54" s="16"/>
      <c r="L54" s="292"/>
      <c r="M54" s="152"/>
    </row>
    <row r="55" spans="1:13" ht="33.75" customHeight="1" x14ac:dyDescent="0.25">
      <c r="A55" s="148" t="s">
        <v>843</v>
      </c>
      <c r="B55" s="16"/>
      <c r="C55" s="16"/>
      <c r="D55" s="16"/>
      <c r="E55" s="16"/>
      <c r="F55" s="17"/>
      <c r="G55" s="16"/>
      <c r="H55" s="16"/>
      <c r="I55" s="16"/>
      <c r="J55" s="16"/>
      <c r="K55" s="16"/>
      <c r="L55" s="292"/>
      <c r="M55" s="152"/>
    </row>
    <row r="56" spans="1:13" ht="36" x14ac:dyDescent="0.25">
      <c r="A56" s="148" t="s">
        <v>844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292"/>
      <c r="M56" s="152"/>
    </row>
    <row r="57" spans="1:13" ht="36.75" x14ac:dyDescent="0.25">
      <c r="A57" s="148" t="s">
        <v>835</v>
      </c>
      <c r="B57" s="16">
        <v>2823.9</v>
      </c>
      <c r="C57" s="16">
        <v>144</v>
      </c>
      <c r="D57" s="16">
        <v>3501.6</v>
      </c>
      <c r="E57" s="16">
        <v>124</v>
      </c>
      <c r="F57" s="17">
        <v>3991.8</v>
      </c>
      <c r="G57" s="16">
        <v>114</v>
      </c>
      <c r="H57" s="16">
        <v>4550.6000000000004</v>
      </c>
      <c r="I57" s="16">
        <v>114</v>
      </c>
      <c r="J57" s="16">
        <v>51</v>
      </c>
      <c r="K57" s="16"/>
      <c r="L57" s="292"/>
      <c r="M57" s="152"/>
    </row>
    <row r="58" spans="1:13" ht="36" x14ac:dyDescent="0.25">
      <c r="A58" s="148" t="s">
        <v>845</v>
      </c>
      <c r="B58" s="16">
        <v>3343.6</v>
      </c>
      <c r="C58" s="16">
        <v>90</v>
      </c>
      <c r="D58" s="16">
        <v>3678</v>
      </c>
      <c r="E58" s="16">
        <v>110</v>
      </c>
      <c r="F58" s="16">
        <v>4045.8</v>
      </c>
      <c r="G58" s="16">
        <v>110</v>
      </c>
      <c r="H58" s="16">
        <v>4248.1000000000004</v>
      </c>
      <c r="I58" s="16">
        <v>105</v>
      </c>
      <c r="J58" s="16">
        <v>4460.5</v>
      </c>
      <c r="K58" s="16">
        <v>105</v>
      </c>
      <c r="L58" s="292"/>
      <c r="M58" s="152"/>
    </row>
    <row r="59" spans="1:13" ht="36.75" x14ac:dyDescent="0.25">
      <c r="A59" s="148" t="s">
        <v>846</v>
      </c>
      <c r="B59" s="16">
        <v>133.5</v>
      </c>
      <c r="C59" s="16">
        <v>70.7</v>
      </c>
      <c r="D59" s="16">
        <v>160.19999999999999</v>
      </c>
      <c r="E59" s="16">
        <v>120</v>
      </c>
      <c r="F59" s="16">
        <v>192.2</v>
      </c>
      <c r="G59" s="16">
        <v>120</v>
      </c>
      <c r="H59" s="16">
        <v>211.5</v>
      </c>
      <c r="I59" s="16">
        <v>110</v>
      </c>
      <c r="J59" s="16">
        <v>232.6</v>
      </c>
      <c r="K59" s="16">
        <v>110</v>
      </c>
      <c r="L59" s="292"/>
      <c r="M59" s="152"/>
    </row>
    <row r="60" spans="1:13" ht="18.75" x14ac:dyDescent="0.25">
      <c r="A60" s="290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291"/>
      <c r="M60" s="152"/>
    </row>
    <row r="61" spans="1:13" ht="15.75" x14ac:dyDescent="0.25">
      <c r="A61" s="290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1"/>
      <c r="M61" s="152"/>
    </row>
    <row r="62" spans="1:13" x14ac:dyDescent="0.25">
      <c r="A62" s="290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0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0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0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0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0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0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0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0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0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0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0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0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0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0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0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0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0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0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0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0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0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0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0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0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294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294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294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294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294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294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294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294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294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294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294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294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294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294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294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294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294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294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294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294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294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294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294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294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294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294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294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294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294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294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294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294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294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294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294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294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294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294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294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294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294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294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294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294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294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294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294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294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294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294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294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294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294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294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294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294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294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294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294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4">
    <mergeCell ref="A5:K5"/>
    <mergeCell ref="A11:K11"/>
    <mergeCell ref="A21:K21"/>
    <mergeCell ref="A34:K34"/>
    <mergeCell ref="A39:K39"/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firstPageNumber="146" orientation="landscape" useFirstPageNumber="1" r:id="rId1"/>
  <headerFooter>
    <oddFooter>&amp;C&amp;P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zoomScaleNormal="100" zoomScaleSheetLayoutView="100" workbookViewId="0">
      <selection activeCell="F6" sqref="F6"/>
    </sheetView>
  </sheetViews>
  <sheetFormatPr defaultRowHeight="15" x14ac:dyDescent="0.25"/>
  <cols>
    <col min="1" max="1" width="39.7109375" customWidth="1"/>
    <col min="2" max="10" width="9.28515625" customWidth="1"/>
    <col min="11" max="11" width="9.85546875" customWidth="1"/>
  </cols>
  <sheetData>
    <row r="1" spans="1:13" ht="51.75" customHeight="1" x14ac:dyDescent="0.3">
      <c r="A1" s="425" t="s">
        <v>972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345"/>
      <c r="M1" s="346"/>
    </row>
    <row r="2" spans="1:13" ht="21" customHeight="1" x14ac:dyDescent="0.25">
      <c r="A2" s="361" t="s">
        <v>847</v>
      </c>
      <c r="B2" s="386" t="s">
        <v>878</v>
      </c>
      <c r="C2" s="386"/>
      <c r="D2" s="386" t="s">
        <v>887</v>
      </c>
      <c r="E2" s="386"/>
      <c r="F2" s="386" t="s">
        <v>8</v>
      </c>
      <c r="G2" s="386"/>
      <c r="H2" s="387" t="s">
        <v>4</v>
      </c>
      <c r="I2" s="387"/>
      <c r="J2" s="387"/>
      <c r="K2" s="387"/>
      <c r="L2" s="337"/>
      <c r="M2" s="349"/>
    </row>
    <row r="3" spans="1:13" ht="23.25" customHeight="1" x14ac:dyDescent="0.25">
      <c r="A3" s="361"/>
      <c r="B3" s="386"/>
      <c r="C3" s="386"/>
      <c r="D3" s="386"/>
      <c r="E3" s="386"/>
      <c r="F3" s="386" t="s">
        <v>246</v>
      </c>
      <c r="G3" s="386"/>
      <c r="H3" s="386" t="s">
        <v>247</v>
      </c>
      <c r="I3" s="386"/>
      <c r="J3" s="386" t="s">
        <v>877</v>
      </c>
      <c r="K3" s="386"/>
      <c r="L3" s="337"/>
      <c r="M3" s="349"/>
    </row>
    <row r="4" spans="1:13" ht="21.75" customHeight="1" x14ac:dyDescent="0.25">
      <c r="A4" s="361"/>
      <c r="B4" s="4" t="s">
        <v>315</v>
      </c>
      <c r="C4" s="4" t="s">
        <v>316</v>
      </c>
      <c r="D4" s="4" t="s">
        <v>315</v>
      </c>
      <c r="E4" s="4" t="s">
        <v>316</v>
      </c>
      <c r="F4" s="4" t="s">
        <v>315</v>
      </c>
      <c r="G4" s="4" t="s">
        <v>316</v>
      </c>
      <c r="H4" s="4" t="s">
        <v>315</v>
      </c>
      <c r="I4" s="4" t="s">
        <v>316</v>
      </c>
      <c r="J4" s="4" t="s">
        <v>315</v>
      </c>
      <c r="K4" s="4" t="s">
        <v>316</v>
      </c>
      <c r="L4" s="295"/>
      <c r="M4" s="327"/>
    </row>
    <row r="5" spans="1:13" ht="27.75" customHeight="1" x14ac:dyDescent="0.25">
      <c r="A5" s="423" t="s">
        <v>827</v>
      </c>
      <c r="B5" s="423"/>
      <c r="C5" s="423"/>
      <c r="D5" s="423"/>
      <c r="E5" s="423"/>
      <c r="F5" s="423"/>
      <c r="G5" s="423"/>
      <c r="H5" s="423"/>
      <c r="I5" s="423"/>
      <c r="J5" s="423"/>
      <c r="K5" s="423"/>
      <c r="L5" s="295"/>
      <c r="M5" s="327"/>
    </row>
    <row r="6" spans="1:13" ht="43.5" customHeight="1" x14ac:dyDescent="0.25">
      <c r="A6" s="106" t="s">
        <v>918</v>
      </c>
      <c r="B6" s="16">
        <v>50.4</v>
      </c>
      <c r="C6" s="16">
        <v>126</v>
      </c>
      <c r="D6" s="16">
        <v>52</v>
      </c>
      <c r="E6" s="16">
        <v>103.2</v>
      </c>
      <c r="F6" s="16">
        <v>55</v>
      </c>
      <c r="G6" s="16">
        <v>109.1</v>
      </c>
      <c r="H6" s="16">
        <v>58</v>
      </c>
      <c r="I6" s="16">
        <v>115.1</v>
      </c>
      <c r="J6" s="16">
        <v>60</v>
      </c>
      <c r="K6" s="16">
        <v>119</v>
      </c>
      <c r="L6" s="295"/>
      <c r="M6" s="327"/>
    </row>
    <row r="7" spans="1:13" ht="58.5" customHeight="1" x14ac:dyDescent="0.25">
      <c r="A7" s="106" t="s">
        <v>922</v>
      </c>
      <c r="B7" s="16">
        <v>1678.4</v>
      </c>
      <c r="C7" s="16">
        <v>93.2</v>
      </c>
      <c r="D7" s="16">
        <v>2016.8</v>
      </c>
      <c r="E7" s="16">
        <v>120.2</v>
      </c>
      <c r="F7" s="16">
        <v>2100.8000000000002</v>
      </c>
      <c r="G7" s="16">
        <v>104.2</v>
      </c>
      <c r="H7" s="16">
        <v>2184.9</v>
      </c>
      <c r="I7" s="16">
        <v>104</v>
      </c>
      <c r="J7" s="16">
        <v>2268.9</v>
      </c>
      <c r="K7" s="16">
        <v>103.8</v>
      </c>
      <c r="L7" s="295"/>
      <c r="M7" s="327"/>
    </row>
    <row r="8" spans="1:13" ht="54" customHeight="1" x14ac:dyDescent="0.25">
      <c r="A8" s="106" t="s">
        <v>921</v>
      </c>
      <c r="B8" s="16">
        <v>600</v>
      </c>
      <c r="C8" s="16">
        <v>63.2</v>
      </c>
      <c r="D8" s="16">
        <v>660</v>
      </c>
      <c r="E8" s="16">
        <v>110</v>
      </c>
      <c r="F8" s="16">
        <v>690</v>
      </c>
      <c r="G8" s="16">
        <v>104.5</v>
      </c>
      <c r="H8" s="16">
        <v>720</v>
      </c>
      <c r="I8" s="16">
        <v>104.3</v>
      </c>
      <c r="J8" s="16">
        <v>780</v>
      </c>
      <c r="K8" s="16">
        <v>108.3</v>
      </c>
      <c r="L8" s="295"/>
      <c r="M8" s="327"/>
    </row>
    <row r="9" spans="1:13" ht="55.5" customHeight="1" x14ac:dyDescent="0.25">
      <c r="A9" s="106" t="s">
        <v>849</v>
      </c>
      <c r="B9" s="16">
        <v>986.6</v>
      </c>
      <c r="C9" s="16">
        <v>80.3</v>
      </c>
      <c r="D9" s="16">
        <v>1085.3</v>
      </c>
      <c r="E9" s="16">
        <v>110</v>
      </c>
      <c r="F9" s="16">
        <v>1200</v>
      </c>
      <c r="G9" s="16">
        <v>110.6</v>
      </c>
      <c r="H9" s="16">
        <v>1284</v>
      </c>
      <c r="I9" s="16">
        <v>107</v>
      </c>
      <c r="J9" s="16">
        <v>1361.1</v>
      </c>
      <c r="K9" s="16">
        <v>106</v>
      </c>
      <c r="L9" s="295"/>
      <c r="M9" s="327"/>
    </row>
    <row r="10" spans="1:13" ht="24.75" customHeight="1" x14ac:dyDescent="0.25">
      <c r="A10" s="423" t="s">
        <v>850</v>
      </c>
      <c r="B10" s="423"/>
      <c r="C10" s="423"/>
      <c r="D10" s="423"/>
      <c r="E10" s="423"/>
      <c r="F10" s="423"/>
      <c r="G10" s="423"/>
      <c r="H10" s="423"/>
      <c r="I10" s="423"/>
      <c r="J10" s="423"/>
      <c r="K10" s="423"/>
      <c r="L10" s="295"/>
      <c r="M10" s="327"/>
    </row>
    <row r="11" spans="1:13" ht="42.75" customHeight="1" x14ac:dyDescent="0.25">
      <c r="A11" s="148" t="s">
        <v>920</v>
      </c>
      <c r="B11" s="17">
        <v>7.2</v>
      </c>
      <c r="C11" s="16">
        <v>100</v>
      </c>
      <c r="D11" s="17">
        <v>180</v>
      </c>
      <c r="E11" s="17">
        <v>2500</v>
      </c>
      <c r="F11" s="17">
        <v>300</v>
      </c>
      <c r="G11" s="16">
        <v>167</v>
      </c>
      <c r="H11" s="17">
        <v>500</v>
      </c>
      <c r="I11" s="16">
        <v>167</v>
      </c>
      <c r="J11" s="17">
        <v>725</v>
      </c>
      <c r="K11" s="17">
        <v>145</v>
      </c>
      <c r="L11" s="295"/>
      <c r="M11" s="327"/>
    </row>
    <row r="12" spans="1:13" ht="42.75" customHeight="1" x14ac:dyDescent="0.25">
      <c r="A12" s="148" t="s">
        <v>919</v>
      </c>
      <c r="B12" s="17">
        <v>12</v>
      </c>
      <c r="C12" s="16">
        <v>100</v>
      </c>
      <c r="D12" s="17">
        <v>24</v>
      </c>
      <c r="E12" s="17">
        <v>200</v>
      </c>
      <c r="F12" s="17">
        <v>38</v>
      </c>
      <c r="G12" s="16">
        <v>158</v>
      </c>
      <c r="H12" s="17">
        <v>55</v>
      </c>
      <c r="I12" s="16">
        <v>145</v>
      </c>
      <c r="J12" s="17">
        <v>60</v>
      </c>
      <c r="K12" s="17">
        <v>109</v>
      </c>
      <c r="L12" s="295"/>
      <c r="M12" s="327"/>
    </row>
    <row r="13" spans="1:13" ht="42.75" customHeight="1" x14ac:dyDescent="0.25">
      <c r="A13" s="148" t="s">
        <v>925</v>
      </c>
      <c r="B13" s="17">
        <v>0</v>
      </c>
      <c r="C13" s="16">
        <v>0</v>
      </c>
      <c r="D13" s="17">
        <v>8</v>
      </c>
      <c r="E13" s="17">
        <v>100</v>
      </c>
      <c r="F13" s="17">
        <v>16</v>
      </c>
      <c r="G13" s="16">
        <v>200</v>
      </c>
      <c r="H13" s="17">
        <v>24</v>
      </c>
      <c r="I13" s="16">
        <v>150</v>
      </c>
      <c r="J13" s="17">
        <v>48</v>
      </c>
      <c r="K13" s="17">
        <v>200</v>
      </c>
      <c r="L13" s="295"/>
      <c r="M13" s="327"/>
    </row>
    <row r="14" spans="1:13" ht="42.75" customHeight="1" x14ac:dyDescent="0.25">
      <c r="A14" s="148" t="s">
        <v>931</v>
      </c>
      <c r="B14" s="15">
        <v>5.6</v>
      </c>
      <c r="C14" s="16">
        <v>100</v>
      </c>
      <c r="D14" s="17">
        <v>25</v>
      </c>
      <c r="E14" s="17">
        <v>446</v>
      </c>
      <c r="F14" s="17">
        <v>35</v>
      </c>
      <c r="G14" s="16">
        <v>140</v>
      </c>
      <c r="H14" s="17">
        <v>12</v>
      </c>
      <c r="I14" s="16">
        <v>120</v>
      </c>
      <c r="J14" s="17">
        <v>50</v>
      </c>
      <c r="K14" s="17">
        <v>119</v>
      </c>
      <c r="L14" s="295"/>
      <c r="M14" s="327"/>
    </row>
    <row r="15" spans="1:13" ht="42.75" customHeight="1" x14ac:dyDescent="0.25">
      <c r="A15" s="148" t="s">
        <v>923</v>
      </c>
      <c r="B15" s="17">
        <v>4.5</v>
      </c>
      <c r="C15" s="16">
        <v>100</v>
      </c>
      <c r="D15" s="17">
        <v>12</v>
      </c>
      <c r="E15" s="17">
        <v>267</v>
      </c>
      <c r="F15" s="17">
        <v>24</v>
      </c>
      <c r="G15" s="16">
        <v>200</v>
      </c>
      <c r="H15" s="17">
        <v>30</v>
      </c>
      <c r="I15" s="16">
        <v>125</v>
      </c>
      <c r="J15" s="17">
        <v>36</v>
      </c>
      <c r="K15" s="17">
        <v>120</v>
      </c>
      <c r="L15" s="295"/>
      <c r="M15" s="327"/>
    </row>
    <row r="16" spans="1:13" ht="39.75" customHeight="1" x14ac:dyDescent="0.25">
      <c r="A16" s="148" t="s">
        <v>924</v>
      </c>
      <c r="B16" s="17">
        <v>1500</v>
      </c>
      <c r="C16" s="16">
        <v>100</v>
      </c>
      <c r="D16" s="17">
        <v>2500</v>
      </c>
      <c r="E16" s="16">
        <v>167</v>
      </c>
      <c r="F16" s="17">
        <v>2500</v>
      </c>
      <c r="G16" s="16">
        <v>100</v>
      </c>
      <c r="H16" s="17">
        <v>2500</v>
      </c>
      <c r="I16" s="17">
        <v>100</v>
      </c>
      <c r="J16" s="17">
        <v>2500</v>
      </c>
      <c r="K16" s="17">
        <v>100</v>
      </c>
      <c r="L16" s="295"/>
      <c r="M16" s="327"/>
    </row>
    <row r="17" spans="1:13" ht="27" customHeight="1" x14ac:dyDescent="0.25">
      <c r="A17" s="423" t="s">
        <v>799</v>
      </c>
      <c r="B17" s="423"/>
      <c r="C17" s="423"/>
      <c r="D17" s="423"/>
      <c r="E17" s="423"/>
      <c r="F17" s="423"/>
      <c r="G17" s="423"/>
      <c r="H17" s="423"/>
      <c r="I17" s="423"/>
      <c r="J17" s="423"/>
      <c r="K17" s="423"/>
      <c r="L17" s="295"/>
      <c r="M17" s="327"/>
    </row>
    <row r="18" spans="1:13" ht="75" customHeight="1" x14ac:dyDescent="0.25">
      <c r="A18" s="148" t="s">
        <v>852</v>
      </c>
      <c r="B18" s="110">
        <v>0</v>
      </c>
      <c r="C18" s="110" t="s">
        <v>29</v>
      </c>
      <c r="D18" s="110">
        <v>1000</v>
      </c>
      <c r="E18" s="110" t="s">
        <v>29</v>
      </c>
      <c r="F18" s="110">
        <v>2500</v>
      </c>
      <c r="G18" s="110">
        <v>250</v>
      </c>
      <c r="H18" s="110">
        <v>3200</v>
      </c>
      <c r="I18" s="110">
        <v>128</v>
      </c>
      <c r="J18" s="110">
        <v>4700</v>
      </c>
      <c r="K18" s="82">
        <v>147</v>
      </c>
      <c r="L18" s="295"/>
      <c r="M18" s="327"/>
    </row>
    <row r="19" spans="1:13" ht="46.5" customHeight="1" x14ac:dyDescent="0.25">
      <c r="A19" s="106" t="s">
        <v>918</v>
      </c>
      <c r="B19" s="110"/>
      <c r="C19" s="110"/>
      <c r="D19" s="110"/>
      <c r="E19" s="110"/>
      <c r="F19" s="110"/>
      <c r="G19" s="110"/>
      <c r="H19" s="110"/>
      <c r="I19" s="110"/>
      <c r="J19" s="110"/>
      <c r="K19" s="82"/>
      <c r="L19" s="295"/>
      <c r="M19" s="327"/>
    </row>
    <row r="20" spans="1:13" ht="46.5" customHeight="1" x14ac:dyDescent="0.25">
      <c r="A20" s="106"/>
      <c r="B20" s="110"/>
      <c r="C20" s="110"/>
      <c r="D20" s="110"/>
      <c r="E20" s="110"/>
      <c r="F20" s="110"/>
      <c r="G20" s="110"/>
      <c r="H20" s="110"/>
      <c r="I20" s="110"/>
      <c r="J20" s="110"/>
      <c r="K20" s="82"/>
      <c r="L20" s="295"/>
      <c r="M20" s="327"/>
    </row>
    <row r="21" spans="1:13" ht="46.5" customHeight="1" x14ac:dyDescent="0.25">
      <c r="A21" s="106"/>
      <c r="B21" s="110"/>
      <c r="C21" s="110"/>
      <c r="D21" s="110"/>
      <c r="E21" s="110"/>
      <c r="F21" s="110"/>
      <c r="G21" s="110"/>
      <c r="H21" s="110"/>
      <c r="I21" s="110"/>
      <c r="J21" s="110"/>
      <c r="K21" s="82"/>
      <c r="L21" s="295"/>
      <c r="M21" s="327"/>
    </row>
    <row r="22" spans="1:13" ht="46.5" customHeight="1" x14ac:dyDescent="0.25">
      <c r="A22" s="106"/>
      <c r="B22" s="110"/>
      <c r="C22" s="110"/>
      <c r="D22" s="110"/>
      <c r="E22" s="110"/>
      <c r="F22" s="110"/>
      <c r="G22" s="110"/>
      <c r="H22" s="110"/>
      <c r="I22" s="110"/>
      <c r="J22" s="110"/>
      <c r="K22" s="82"/>
      <c r="L22" s="295"/>
      <c r="M22" s="327"/>
    </row>
    <row r="23" spans="1:13" ht="27.75" customHeight="1" x14ac:dyDescent="0.25">
      <c r="A23" s="423" t="s">
        <v>792</v>
      </c>
      <c r="B23" s="423"/>
      <c r="C23" s="423"/>
      <c r="D23" s="423"/>
      <c r="E23" s="423"/>
      <c r="F23" s="423"/>
      <c r="G23" s="423"/>
      <c r="H23" s="423"/>
      <c r="I23" s="423"/>
      <c r="J23" s="423"/>
      <c r="K23" s="423"/>
      <c r="L23" s="295"/>
      <c r="M23" s="327"/>
    </row>
    <row r="24" spans="1:13" ht="73.5" customHeight="1" x14ac:dyDescent="0.25">
      <c r="A24" s="148" t="s">
        <v>852</v>
      </c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295"/>
      <c r="M24" s="327"/>
    </row>
    <row r="25" spans="1:13" ht="32.25" customHeight="1" x14ac:dyDescent="0.25">
      <c r="A25" s="148" t="s">
        <v>938</v>
      </c>
      <c r="B25" s="170">
        <v>9178</v>
      </c>
      <c r="C25" s="170">
        <v>100</v>
      </c>
      <c r="D25" s="170">
        <v>9361</v>
      </c>
      <c r="E25" s="170"/>
      <c r="F25" s="170">
        <v>9548</v>
      </c>
      <c r="G25" s="170"/>
      <c r="H25" s="170">
        <v>9738</v>
      </c>
      <c r="I25" s="170"/>
      <c r="J25" s="170">
        <v>9932</v>
      </c>
      <c r="K25" s="170"/>
      <c r="L25" s="295"/>
      <c r="M25" s="327"/>
    </row>
    <row r="26" spans="1:13" ht="33" customHeight="1" x14ac:dyDescent="0.25">
      <c r="A26" s="148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295"/>
      <c r="M26" s="327"/>
    </row>
    <row r="27" spans="1:13" ht="32.25" customHeight="1" x14ac:dyDescent="0.25">
      <c r="A27" s="148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295"/>
      <c r="M27" s="327"/>
    </row>
    <row r="28" spans="1:13" ht="21.75" customHeight="1" x14ac:dyDescent="0.25">
      <c r="A28" s="148" t="s">
        <v>851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295"/>
      <c r="M28" s="327"/>
    </row>
    <row r="29" spans="1:13" ht="18" customHeight="1" x14ac:dyDescent="0.25">
      <c r="A29" s="423" t="s">
        <v>853</v>
      </c>
      <c r="B29" s="423"/>
      <c r="C29" s="423"/>
      <c r="D29" s="423"/>
      <c r="E29" s="423"/>
      <c r="F29" s="423"/>
      <c r="G29" s="423"/>
      <c r="H29" s="423"/>
      <c r="I29" s="423"/>
      <c r="J29" s="423"/>
      <c r="K29" s="423"/>
      <c r="L29" s="295"/>
      <c r="M29" s="327"/>
    </row>
    <row r="30" spans="1:13" ht="38.25" customHeight="1" x14ac:dyDescent="0.25">
      <c r="A30" s="106" t="s">
        <v>848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295"/>
      <c r="M30" s="327"/>
    </row>
    <row r="31" spans="1:13" ht="18" customHeight="1" x14ac:dyDescent="0.25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295"/>
      <c r="M31" s="327"/>
    </row>
    <row r="32" spans="1:13" ht="18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291"/>
      <c r="M32" s="152"/>
    </row>
    <row r="33" spans="1:13" ht="18" customHeight="1" x14ac:dyDescent="0.25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291"/>
      <c r="M33" s="152"/>
    </row>
    <row r="34" spans="1:13" x14ac:dyDescent="0.25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152"/>
    </row>
    <row r="35" spans="1:13" x14ac:dyDescent="0.25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152"/>
    </row>
    <row r="36" spans="1:13" x14ac:dyDescent="0.25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152"/>
    </row>
    <row r="37" spans="1:13" x14ac:dyDescent="0.25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152"/>
    </row>
    <row r="38" spans="1:13" x14ac:dyDescent="0.25">
      <c r="A38" s="291"/>
      <c r="B38" s="291"/>
      <c r="C38" s="291"/>
      <c r="D38" s="291"/>
      <c r="E38" s="291"/>
      <c r="F38" s="291"/>
      <c r="G38" s="291"/>
      <c r="H38" s="291"/>
      <c r="I38" s="291"/>
      <c r="J38" s="291"/>
      <c r="K38" s="291"/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4">
    <mergeCell ref="A5:K5"/>
    <mergeCell ref="A10:K10"/>
    <mergeCell ref="A17:K17"/>
    <mergeCell ref="A23:K23"/>
    <mergeCell ref="A29:K29"/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50" orientation="landscape" useFirstPageNumber="1" r:id="rId1"/>
  <headerFooter>
    <oddFooter>&amp;C&amp;P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5"/>
  <sheetViews>
    <sheetView view="pageBreakPreview" topLeftCell="A37" zoomScale="80" zoomScaleNormal="100" zoomScaleSheetLayoutView="80" workbookViewId="0">
      <selection activeCell="F6" sqref="F6"/>
    </sheetView>
  </sheetViews>
  <sheetFormatPr defaultRowHeight="15" x14ac:dyDescent="0.25"/>
  <cols>
    <col min="1" max="1" width="35.28515625" customWidth="1"/>
    <col min="2" max="9" width="9.5703125" customWidth="1"/>
    <col min="10" max="10" width="10.28515625" customWidth="1"/>
    <col min="11" max="11" width="9.5703125" customWidth="1"/>
  </cols>
  <sheetData>
    <row r="1" spans="1:13" ht="51.75" customHeight="1" x14ac:dyDescent="0.3">
      <c r="A1" s="425" t="s">
        <v>971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345"/>
      <c r="M1" s="346"/>
    </row>
    <row r="2" spans="1:13" ht="18" x14ac:dyDescent="0.25">
      <c r="A2" s="361" t="s">
        <v>854</v>
      </c>
      <c r="B2" s="361" t="s">
        <v>888</v>
      </c>
      <c r="C2" s="361"/>
      <c r="D2" s="361" t="s">
        <v>887</v>
      </c>
      <c r="E2" s="361"/>
      <c r="F2" s="426" t="s">
        <v>8</v>
      </c>
      <c r="G2" s="426"/>
      <c r="H2" s="361" t="s">
        <v>4</v>
      </c>
      <c r="I2" s="361"/>
      <c r="J2" s="361"/>
      <c r="K2" s="361"/>
      <c r="L2" s="337"/>
      <c r="M2" s="349"/>
    </row>
    <row r="3" spans="1:13" ht="24" customHeight="1" x14ac:dyDescent="0.25">
      <c r="A3" s="361"/>
      <c r="B3" s="361"/>
      <c r="C3" s="361"/>
      <c r="D3" s="361"/>
      <c r="E3" s="361"/>
      <c r="F3" s="426" t="s">
        <v>246</v>
      </c>
      <c r="G3" s="426"/>
      <c r="H3" s="426" t="s">
        <v>247</v>
      </c>
      <c r="I3" s="426"/>
      <c r="J3" s="426" t="s">
        <v>877</v>
      </c>
      <c r="K3" s="426"/>
      <c r="L3" s="337"/>
      <c r="M3" s="349"/>
    </row>
    <row r="4" spans="1:13" ht="23.25" customHeight="1" x14ac:dyDescent="0.25">
      <c r="A4" s="361"/>
      <c r="B4" s="4" t="s">
        <v>315</v>
      </c>
      <c r="C4" s="4" t="s">
        <v>316</v>
      </c>
      <c r="D4" s="4" t="s">
        <v>315</v>
      </c>
      <c r="E4" s="4" t="s">
        <v>316</v>
      </c>
      <c r="F4" s="4" t="s">
        <v>315</v>
      </c>
      <c r="G4" s="4" t="s">
        <v>316</v>
      </c>
      <c r="H4" s="4" t="s">
        <v>315</v>
      </c>
      <c r="I4" s="4" t="s">
        <v>316</v>
      </c>
      <c r="J4" s="4" t="s">
        <v>315</v>
      </c>
      <c r="K4" s="4" t="s">
        <v>316</v>
      </c>
      <c r="L4" s="295"/>
      <c r="M4" s="327"/>
    </row>
    <row r="5" spans="1:13" ht="25.5" customHeight="1" x14ac:dyDescent="0.25">
      <c r="A5" s="423" t="s">
        <v>850</v>
      </c>
      <c r="B5" s="423"/>
      <c r="C5" s="423"/>
      <c r="D5" s="423"/>
      <c r="E5" s="423"/>
      <c r="F5" s="423"/>
      <c r="G5" s="423"/>
      <c r="H5" s="423"/>
      <c r="I5" s="423"/>
      <c r="J5" s="423"/>
      <c r="K5" s="423"/>
      <c r="L5" s="295"/>
      <c r="M5" s="327"/>
    </row>
    <row r="6" spans="1:13" ht="23.25" customHeight="1" x14ac:dyDescent="0.25">
      <c r="A6" s="148" t="s">
        <v>855</v>
      </c>
      <c r="B6" s="148"/>
      <c r="C6" s="148"/>
      <c r="D6" s="22"/>
      <c r="E6" s="22"/>
      <c r="F6" s="22"/>
      <c r="G6" s="6"/>
      <c r="H6" s="22"/>
      <c r="I6" s="6"/>
      <c r="J6" s="22"/>
      <c r="K6" s="6"/>
      <c r="L6" s="295"/>
      <c r="M6" s="327"/>
    </row>
    <row r="7" spans="1:13" ht="22.5" customHeight="1" x14ac:dyDescent="0.25">
      <c r="A7" s="168" t="s">
        <v>813</v>
      </c>
      <c r="B7" s="168"/>
      <c r="C7" s="168"/>
      <c r="D7" s="22"/>
      <c r="E7" s="22"/>
      <c r="F7" s="22"/>
      <c r="G7" s="6"/>
      <c r="H7" s="22"/>
      <c r="I7" s="6"/>
      <c r="J7" s="22"/>
      <c r="K7" s="6"/>
      <c r="L7" s="295"/>
      <c r="M7" s="327"/>
    </row>
    <row r="8" spans="1:13" ht="23.25" customHeight="1" x14ac:dyDescent="0.25">
      <c r="A8" s="148" t="s">
        <v>926</v>
      </c>
      <c r="B8" s="148">
        <v>31.55</v>
      </c>
      <c r="C8" s="148">
        <v>100</v>
      </c>
      <c r="D8" s="22">
        <v>54.6</v>
      </c>
      <c r="E8" s="22">
        <v>173</v>
      </c>
      <c r="F8" s="22">
        <v>56.16</v>
      </c>
      <c r="G8" s="12">
        <v>103</v>
      </c>
      <c r="H8" s="22">
        <v>66.3</v>
      </c>
      <c r="I8" s="12">
        <v>118</v>
      </c>
      <c r="J8" s="22">
        <v>78</v>
      </c>
      <c r="K8" s="12">
        <v>118</v>
      </c>
      <c r="L8" s="295"/>
      <c r="M8" s="327"/>
    </row>
    <row r="9" spans="1:13" ht="24.75" customHeight="1" x14ac:dyDescent="0.25">
      <c r="A9" s="148" t="s">
        <v>856</v>
      </c>
      <c r="B9" s="148"/>
      <c r="C9" s="148"/>
      <c r="D9" s="22"/>
      <c r="E9" s="22"/>
      <c r="F9" s="22"/>
      <c r="G9" s="6"/>
      <c r="H9" s="22"/>
      <c r="I9" s="6"/>
      <c r="J9" s="22"/>
      <c r="K9" s="12"/>
      <c r="L9" s="295"/>
      <c r="M9" s="327"/>
    </row>
    <row r="10" spans="1:13" ht="41.25" customHeight="1" x14ac:dyDescent="0.25">
      <c r="A10" s="148" t="s">
        <v>927</v>
      </c>
      <c r="B10" s="148">
        <v>0.48</v>
      </c>
      <c r="C10" s="148">
        <v>100</v>
      </c>
      <c r="D10" s="22">
        <v>1.8</v>
      </c>
      <c r="E10" s="22">
        <v>375</v>
      </c>
      <c r="F10" s="22">
        <v>1.8</v>
      </c>
      <c r="G10" s="12">
        <v>100</v>
      </c>
      <c r="H10" s="22">
        <v>1.8</v>
      </c>
      <c r="I10" s="12">
        <v>100</v>
      </c>
      <c r="J10" s="22">
        <v>1.8</v>
      </c>
      <c r="K10" s="12">
        <v>100</v>
      </c>
      <c r="L10" s="295"/>
      <c r="M10" s="327"/>
    </row>
    <row r="11" spans="1:13" ht="53.25" customHeight="1" x14ac:dyDescent="0.25">
      <c r="A11" s="148" t="s">
        <v>928</v>
      </c>
      <c r="B11" s="148">
        <v>0.14799999999999999</v>
      </c>
      <c r="C11" s="148">
        <v>100</v>
      </c>
      <c r="D11" s="22">
        <v>0.40400000000000003</v>
      </c>
      <c r="E11" s="22">
        <v>273</v>
      </c>
      <c r="F11" s="22">
        <v>0.56100000000000005</v>
      </c>
      <c r="G11" s="12">
        <v>139</v>
      </c>
      <c r="H11" s="22">
        <v>0.628</v>
      </c>
      <c r="I11" s="12">
        <v>112</v>
      </c>
      <c r="J11" s="22">
        <v>0.71799999999999997</v>
      </c>
      <c r="K11" s="12">
        <v>114</v>
      </c>
      <c r="L11" s="295"/>
      <c r="M11" s="327"/>
    </row>
    <row r="12" spans="1:13" ht="36.75" customHeight="1" x14ac:dyDescent="0.25">
      <c r="A12" s="148" t="s">
        <v>929</v>
      </c>
      <c r="B12" s="148">
        <v>0</v>
      </c>
      <c r="C12" s="148">
        <v>0</v>
      </c>
      <c r="D12" s="22">
        <v>11.52</v>
      </c>
      <c r="E12" s="22"/>
      <c r="F12" s="22">
        <v>14.4</v>
      </c>
      <c r="G12" s="12">
        <v>125</v>
      </c>
      <c r="H12" s="22">
        <v>17.2</v>
      </c>
      <c r="I12" s="6">
        <v>119</v>
      </c>
      <c r="J12" s="22">
        <v>24.6</v>
      </c>
      <c r="K12" s="6">
        <v>126</v>
      </c>
      <c r="L12" s="295"/>
      <c r="M12" s="327"/>
    </row>
    <row r="13" spans="1:13" ht="40.5" customHeight="1" x14ac:dyDescent="0.25">
      <c r="A13" s="148" t="s">
        <v>945</v>
      </c>
      <c r="B13" s="148">
        <v>0</v>
      </c>
      <c r="C13" s="148">
        <v>0</v>
      </c>
      <c r="D13" s="22">
        <v>0.6825</v>
      </c>
      <c r="E13" s="22"/>
      <c r="F13" s="22">
        <v>1.0009999999999999</v>
      </c>
      <c r="G13" s="6">
        <v>147</v>
      </c>
      <c r="H13" s="22">
        <v>1.2284999999999999</v>
      </c>
      <c r="I13" s="6">
        <v>123</v>
      </c>
      <c r="J13" s="22">
        <v>1.911</v>
      </c>
      <c r="K13" s="12">
        <v>156</v>
      </c>
      <c r="L13" s="295"/>
      <c r="M13" s="327"/>
    </row>
    <row r="14" spans="1:13" ht="25.5" customHeight="1" x14ac:dyDescent="0.25">
      <c r="A14" s="423" t="s">
        <v>792</v>
      </c>
      <c r="B14" s="423"/>
      <c r="C14" s="423"/>
      <c r="D14" s="423"/>
      <c r="E14" s="423"/>
      <c r="F14" s="423"/>
      <c r="G14" s="423"/>
      <c r="H14" s="423"/>
      <c r="I14" s="423"/>
      <c r="J14" s="423"/>
      <c r="K14" s="423"/>
      <c r="L14" s="295"/>
      <c r="M14" s="327"/>
    </row>
    <row r="15" spans="1:13" s="95" customFormat="1" ht="23.25" customHeight="1" x14ac:dyDescent="0.25">
      <c r="A15" s="148" t="s">
        <v>857</v>
      </c>
      <c r="B15" s="148">
        <v>0</v>
      </c>
      <c r="C15" s="148"/>
      <c r="D15" s="22">
        <v>0</v>
      </c>
      <c r="E15" s="6"/>
      <c r="F15" s="22">
        <v>0</v>
      </c>
      <c r="G15" s="6"/>
      <c r="H15" s="22">
        <v>0</v>
      </c>
      <c r="I15" s="6"/>
      <c r="J15" s="22">
        <v>0</v>
      </c>
      <c r="K15" s="6"/>
      <c r="L15" s="328"/>
      <c r="M15" s="329"/>
    </row>
    <row r="16" spans="1:13" ht="27" customHeight="1" x14ac:dyDescent="0.25">
      <c r="A16" s="423" t="s">
        <v>853</v>
      </c>
      <c r="B16" s="423"/>
      <c r="C16" s="423"/>
      <c r="D16" s="423"/>
      <c r="E16" s="423"/>
      <c r="F16" s="423"/>
      <c r="G16" s="423"/>
      <c r="H16" s="423"/>
      <c r="I16" s="423"/>
      <c r="J16" s="423"/>
      <c r="K16" s="423"/>
      <c r="L16" s="295"/>
      <c r="M16" s="327"/>
    </row>
    <row r="17" spans="1:13" ht="36" customHeight="1" x14ac:dyDescent="0.25">
      <c r="A17" s="148" t="s">
        <v>823</v>
      </c>
      <c r="B17" s="148">
        <v>88000</v>
      </c>
      <c r="C17" s="148">
        <v>117</v>
      </c>
      <c r="D17" s="14">
        <v>95000</v>
      </c>
      <c r="E17" s="148">
        <v>108</v>
      </c>
      <c r="F17" s="12">
        <v>105000</v>
      </c>
      <c r="G17" s="12">
        <v>110</v>
      </c>
      <c r="H17" s="12">
        <v>115000</v>
      </c>
      <c r="I17" s="12">
        <v>109</v>
      </c>
      <c r="J17" s="169">
        <v>130</v>
      </c>
      <c r="K17" s="12">
        <v>113</v>
      </c>
      <c r="L17" s="295"/>
      <c r="M17" s="327"/>
    </row>
    <row r="18" spans="1:13" ht="19.5" customHeight="1" x14ac:dyDescent="0.25">
      <c r="A18" s="148" t="s">
        <v>824</v>
      </c>
      <c r="B18" s="148"/>
      <c r="C18" s="148"/>
      <c r="D18" s="148"/>
      <c r="E18" s="148"/>
      <c r="F18" s="169">
        <v>3</v>
      </c>
      <c r="G18" s="12"/>
      <c r="H18" s="169">
        <v>3.5</v>
      </c>
      <c r="I18" s="12">
        <v>116</v>
      </c>
      <c r="J18" s="169">
        <v>4</v>
      </c>
      <c r="K18" s="12">
        <v>114</v>
      </c>
      <c r="L18" s="295"/>
      <c r="M18" s="327"/>
    </row>
    <row r="19" spans="1:13" ht="24" customHeight="1" x14ac:dyDescent="0.25">
      <c r="A19" s="148" t="s">
        <v>825</v>
      </c>
      <c r="B19" s="148"/>
      <c r="C19" s="148"/>
      <c r="D19" s="148"/>
      <c r="E19" s="148"/>
      <c r="F19" s="12">
        <v>30</v>
      </c>
      <c r="G19" s="12"/>
      <c r="H19" s="12">
        <v>35</v>
      </c>
      <c r="I19" s="12">
        <v>116</v>
      </c>
      <c r="J19" s="12">
        <v>45</v>
      </c>
      <c r="K19" s="12">
        <v>128</v>
      </c>
      <c r="L19" s="295"/>
      <c r="M19" s="327"/>
    </row>
    <row r="20" spans="1:13" ht="23.25" customHeight="1" x14ac:dyDescent="0.25">
      <c r="A20" s="148" t="s">
        <v>826</v>
      </c>
      <c r="B20" s="148"/>
      <c r="C20" s="148"/>
      <c r="D20" s="148"/>
      <c r="E20" s="148"/>
      <c r="F20" s="12">
        <v>100</v>
      </c>
      <c r="G20" s="12"/>
      <c r="H20" s="12">
        <v>110</v>
      </c>
      <c r="I20" s="12">
        <v>110</v>
      </c>
      <c r="J20" s="12">
        <v>120</v>
      </c>
      <c r="K20" s="12">
        <v>110</v>
      </c>
      <c r="L20" s="295"/>
      <c r="M20" s="327"/>
    </row>
    <row r="21" spans="1:13" ht="25.5" customHeight="1" x14ac:dyDescent="0.25">
      <c r="A21" s="148" t="s">
        <v>858</v>
      </c>
      <c r="B21" s="148"/>
      <c r="C21" s="148"/>
      <c r="D21" s="148"/>
      <c r="E21" s="148"/>
      <c r="F21" s="12"/>
      <c r="G21" s="12"/>
      <c r="H21" s="12"/>
      <c r="I21" s="12"/>
      <c r="J21" s="12"/>
      <c r="K21" s="12"/>
      <c r="L21" s="295"/>
      <c r="M21" s="327"/>
    </row>
    <row r="22" spans="1:13" ht="42" customHeight="1" x14ac:dyDescent="0.25">
      <c r="A22" s="148" t="s">
        <v>859</v>
      </c>
      <c r="B22" s="148"/>
      <c r="C22" s="148"/>
      <c r="D22" s="148"/>
      <c r="E22" s="148"/>
      <c r="F22" s="12"/>
      <c r="G22" s="12"/>
      <c r="H22" s="12"/>
      <c r="I22" s="6"/>
      <c r="J22" s="12"/>
      <c r="K22" s="12"/>
      <c r="L22" s="295"/>
      <c r="M22" s="327"/>
    </row>
    <row r="23" spans="1:13" ht="24.75" customHeight="1" x14ac:dyDescent="0.25">
      <c r="A23" s="148" t="s">
        <v>860</v>
      </c>
      <c r="B23" s="148"/>
      <c r="C23" s="148"/>
      <c r="D23" s="148"/>
      <c r="E23" s="148"/>
      <c r="F23" s="12"/>
      <c r="G23" s="12" t="s">
        <v>915</v>
      </c>
      <c r="H23" s="12"/>
      <c r="I23" s="12"/>
      <c r="J23" s="12"/>
      <c r="K23" s="12"/>
      <c r="L23" s="295"/>
      <c r="M23" s="327"/>
    </row>
    <row r="24" spans="1:13" ht="37.5" customHeight="1" x14ac:dyDescent="0.25">
      <c r="A24" s="148" t="s">
        <v>861</v>
      </c>
      <c r="B24" s="148"/>
      <c r="C24" s="148"/>
      <c r="D24" s="148"/>
      <c r="E24" s="148"/>
      <c r="F24" s="12"/>
      <c r="G24" s="12"/>
      <c r="H24" s="12"/>
      <c r="I24" s="12"/>
      <c r="J24" s="12"/>
      <c r="K24" s="12"/>
      <c r="L24" s="295"/>
      <c r="M24" s="327"/>
    </row>
    <row r="25" spans="1:13" ht="25.5" customHeight="1" x14ac:dyDescent="0.25">
      <c r="A25" s="423" t="s">
        <v>827</v>
      </c>
      <c r="B25" s="423"/>
      <c r="C25" s="423"/>
      <c r="D25" s="423"/>
      <c r="E25" s="423"/>
      <c r="F25" s="423"/>
      <c r="G25" s="423"/>
      <c r="H25" s="423"/>
      <c r="I25" s="423"/>
      <c r="J25" s="423"/>
      <c r="K25" s="423"/>
      <c r="L25" s="295"/>
      <c r="M25" s="327"/>
    </row>
    <row r="26" spans="1:13" ht="33.75" customHeight="1" x14ac:dyDescent="0.25">
      <c r="A26" s="148" t="s">
        <v>862</v>
      </c>
      <c r="B26" s="22">
        <v>9730</v>
      </c>
      <c r="C26" s="22">
        <v>93.4</v>
      </c>
      <c r="D26" s="12">
        <v>12903</v>
      </c>
      <c r="E26" s="6">
        <v>132.6</v>
      </c>
      <c r="F26" s="12">
        <v>14258</v>
      </c>
      <c r="G26" s="6">
        <v>111</v>
      </c>
      <c r="H26" s="12">
        <v>15755</v>
      </c>
      <c r="I26" s="6">
        <v>111</v>
      </c>
      <c r="J26" s="12">
        <v>17409</v>
      </c>
      <c r="K26" s="6">
        <v>111</v>
      </c>
      <c r="L26" s="295"/>
      <c r="M26" s="327"/>
    </row>
    <row r="27" spans="1:13" ht="36.75" customHeight="1" x14ac:dyDescent="0.25">
      <c r="A27" s="148" t="s">
        <v>863</v>
      </c>
      <c r="B27" s="22">
        <v>100.1</v>
      </c>
      <c r="C27" s="22">
        <v>119</v>
      </c>
      <c r="D27" s="6">
        <v>111</v>
      </c>
      <c r="E27" s="6">
        <v>111</v>
      </c>
      <c r="F27" s="6">
        <v>122</v>
      </c>
      <c r="G27" s="6">
        <v>111</v>
      </c>
      <c r="H27" s="6">
        <v>135</v>
      </c>
      <c r="I27" s="6">
        <v>111</v>
      </c>
      <c r="J27" s="6">
        <v>149</v>
      </c>
      <c r="K27" s="6">
        <v>111</v>
      </c>
      <c r="L27" s="295"/>
      <c r="M27" s="327"/>
    </row>
    <row r="28" spans="1:13" ht="37.5" customHeight="1" x14ac:dyDescent="0.25">
      <c r="A28" s="148" t="s">
        <v>864</v>
      </c>
      <c r="B28" s="6">
        <v>865</v>
      </c>
      <c r="C28" s="22">
        <v>80.400000000000006</v>
      </c>
      <c r="D28" s="6">
        <v>899.6</v>
      </c>
      <c r="E28" s="6">
        <v>104</v>
      </c>
      <c r="F28" s="6">
        <v>935.6</v>
      </c>
      <c r="G28" s="6">
        <v>104</v>
      </c>
      <c r="H28" s="6">
        <v>973</v>
      </c>
      <c r="I28" s="6">
        <v>104</v>
      </c>
      <c r="J28" s="6">
        <v>1100</v>
      </c>
      <c r="K28" s="6">
        <v>104</v>
      </c>
      <c r="L28" s="295"/>
      <c r="M28" s="327"/>
    </row>
    <row r="29" spans="1:13" ht="35.25" customHeight="1" x14ac:dyDescent="0.25">
      <c r="A29" s="148" t="s">
        <v>865</v>
      </c>
      <c r="B29" s="6">
        <v>19.7</v>
      </c>
      <c r="C29" s="22">
        <v>136.80000000000001</v>
      </c>
      <c r="D29" s="6">
        <v>20.5</v>
      </c>
      <c r="E29" s="6">
        <v>104</v>
      </c>
      <c r="F29" s="6">
        <v>21.3</v>
      </c>
      <c r="G29" s="6">
        <v>104</v>
      </c>
      <c r="H29" s="6">
        <v>21.7</v>
      </c>
      <c r="I29" s="6">
        <v>102</v>
      </c>
      <c r="J29" s="6">
        <v>22.1</v>
      </c>
      <c r="K29" s="6">
        <v>102</v>
      </c>
      <c r="L29" s="295"/>
      <c r="M29" s="327"/>
    </row>
    <row r="30" spans="1:13" ht="32.25" customHeight="1" x14ac:dyDescent="0.25">
      <c r="A30" s="148" t="s">
        <v>866</v>
      </c>
      <c r="B30" s="22">
        <v>637.5</v>
      </c>
      <c r="C30" s="22">
        <v>86.3</v>
      </c>
      <c r="D30" s="6">
        <v>700</v>
      </c>
      <c r="E30" s="6">
        <v>109.8</v>
      </c>
      <c r="F30" s="6">
        <v>784</v>
      </c>
      <c r="G30" s="6">
        <v>112</v>
      </c>
      <c r="H30" s="6">
        <v>807</v>
      </c>
      <c r="I30" s="6">
        <v>103</v>
      </c>
      <c r="J30" s="6">
        <v>831</v>
      </c>
      <c r="K30" s="6">
        <v>103</v>
      </c>
      <c r="L30" s="295"/>
      <c r="M30" s="327"/>
    </row>
    <row r="31" spans="1:13" ht="72" customHeight="1" x14ac:dyDescent="0.25">
      <c r="A31" s="148" t="s">
        <v>940</v>
      </c>
      <c r="B31" s="22">
        <v>68.2</v>
      </c>
      <c r="C31" s="22">
        <v>195</v>
      </c>
      <c r="D31" s="6">
        <v>81</v>
      </c>
      <c r="E31" s="6">
        <v>118</v>
      </c>
      <c r="F31" s="6">
        <v>88.6</v>
      </c>
      <c r="G31" s="6">
        <v>110</v>
      </c>
      <c r="H31" s="6">
        <v>96.6</v>
      </c>
      <c r="I31" s="6">
        <v>109</v>
      </c>
      <c r="J31" s="6">
        <v>107.3</v>
      </c>
      <c r="K31" s="6">
        <v>111</v>
      </c>
      <c r="L31" s="295"/>
      <c r="M31" s="327"/>
    </row>
    <row r="32" spans="1:13" ht="32.25" customHeight="1" x14ac:dyDescent="0.25">
      <c r="A32" s="148" t="s">
        <v>941</v>
      </c>
      <c r="B32" s="22">
        <v>9.6999999999999993</v>
      </c>
      <c r="C32" s="22">
        <v>100</v>
      </c>
      <c r="D32" s="6">
        <v>10.6</v>
      </c>
      <c r="E32" s="6">
        <v>110</v>
      </c>
      <c r="F32" s="6">
        <v>11.6</v>
      </c>
      <c r="G32" s="6">
        <v>110</v>
      </c>
      <c r="H32" s="6">
        <v>12.2</v>
      </c>
      <c r="I32" s="6">
        <v>105.2</v>
      </c>
      <c r="J32" s="6">
        <v>12.7</v>
      </c>
      <c r="K32" s="6">
        <v>104.1</v>
      </c>
      <c r="L32" s="291"/>
      <c r="M32" s="152"/>
    </row>
    <row r="33" spans="1:13" ht="57.75" customHeight="1" x14ac:dyDescent="0.25">
      <c r="A33" s="148" t="s">
        <v>867</v>
      </c>
      <c r="B33" s="22"/>
      <c r="C33" s="22"/>
      <c r="D33" s="6"/>
      <c r="E33" s="6"/>
      <c r="F33" s="6"/>
      <c r="G33" s="6"/>
      <c r="H33" s="6"/>
      <c r="I33" s="6"/>
      <c r="J33" s="6"/>
      <c r="K33" s="6"/>
      <c r="L33" s="291"/>
      <c r="M33" s="152"/>
    </row>
    <row r="34" spans="1:13" ht="26.25" customHeight="1" x14ac:dyDescent="0.25">
      <c r="A34" s="423" t="s">
        <v>799</v>
      </c>
      <c r="B34" s="423"/>
      <c r="C34" s="423"/>
      <c r="D34" s="423"/>
      <c r="E34" s="423"/>
      <c r="F34" s="423"/>
      <c r="G34" s="423"/>
      <c r="H34" s="423"/>
      <c r="I34" s="423"/>
      <c r="J34" s="423"/>
      <c r="K34" s="423"/>
      <c r="L34" s="291"/>
      <c r="M34" s="152"/>
    </row>
    <row r="35" spans="1:13" ht="23.25" customHeight="1" x14ac:dyDescent="0.25">
      <c r="A35" s="148" t="s">
        <v>868</v>
      </c>
      <c r="B35" s="148">
        <v>0</v>
      </c>
      <c r="C35" s="148" t="s">
        <v>29</v>
      </c>
      <c r="D35" s="148">
        <v>31250</v>
      </c>
      <c r="E35" s="148" t="s">
        <v>29</v>
      </c>
      <c r="F35" s="148">
        <v>32500</v>
      </c>
      <c r="G35" s="148">
        <v>104</v>
      </c>
      <c r="H35" s="148">
        <v>33750</v>
      </c>
      <c r="I35" s="5">
        <v>104</v>
      </c>
      <c r="J35" s="148">
        <v>35000</v>
      </c>
      <c r="K35" s="5">
        <v>104</v>
      </c>
      <c r="L35" s="291"/>
      <c r="M35" s="152"/>
    </row>
    <row r="36" spans="1:13" ht="36" x14ac:dyDescent="0.25">
      <c r="A36" s="148" t="s">
        <v>869</v>
      </c>
      <c r="B36" s="148">
        <v>0</v>
      </c>
      <c r="C36" s="148" t="s">
        <v>29</v>
      </c>
      <c r="D36" s="148">
        <v>60000</v>
      </c>
      <c r="E36" s="148" t="s">
        <v>29</v>
      </c>
      <c r="F36" s="148">
        <v>75000</v>
      </c>
      <c r="G36" s="148">
        <v>125</v>
      </c>
      <c r="H36" s="148">
        <v>90000</v>
      </c>
      <c r="I36" s="5">
        <v>120</v>
      </c>
      <c r="J36" s="148">
        <v>105000</v>
      </c>
      <c r="K36" s="5">
        <v>117</v>
      </c>
      <c r="L36" s="291"/>
      <c r="M36" s="152"/>
    </row>
    <row r="37" spans="1:13" ht="36" x14ac:dyDescent="0.25">
      <c r="A37" s="148" t="s">
        <v>870</v>
      </c>
      <c r="B37" s="148">
        <v>0</v>
      </c>
      <c r="C37" s="148" t="s">
        <v>29</v>
      </c>
      <c r="D37" s="148">
        <v>50000</v>
      </c>
      <c r="E37" s="148" t="s">
        <v>29</v>
      </c>
      <c r="F37" s="148">
        <v>60000</v>
      </c>
      <c r="G37" s="5">
        <v>120</v>
      </c>
      <c r="H37" s="148">
        <v>70000</v>
      </c>
      <c r="I37" s="148">
        <v>117</v>
      </c>
      <c r="J37" s="148">
        <v>80000</v>
      </c>
      <c r="K37" s="5">
        <v>114</v>
      </c>
      <c r="L37" s="291"/>
      <c r="M37" s="152"/>
    </row>
    <row r="38" spans="1:13" ht="36" x14ac:dyDescent="0.25">
      <c r="A38" s="148" t="s">
        <v>871</v>
      </c>
      <c r="B38" s="148">
        <v>0</v>
      </c>
      <c r="C38" s="148" t="s">
        <v>29</v>
      </c>
      <c r="D38" s="148">
        <v>21000</v>
      </c>
      <c r="E38" s="148" t="s">
        <v>29</v>
      </c>
      <c r="F38" s="148">
        <v>25500</v>
      </c>
      <c r="G38" s="5">
        <v>121</v>
      </c>
      <c r="H38" s="148">
        <v>30000</v>
      </c>
      <c r="I38" s="7">
        <v>118</v>
      </c>
      <c r="J38" s="148">
        <v>34500</v>
      </c>
      <c r="K38" s="148">
        <v>115</v>
      </c>
      <c r="L38" s="291"/>
      <c r="M38" s="152"/>
    </row>
    <row r="39" spans="1:13" x14ac:dyDescent="0.25">
      <c r="A39" s="291"/>
      <c r="B39" s="291"/>
      <c r="C39" s="291"/>
      <c r="D39" s="291"/>
      <c r="E39" s="291"/>
      <c r="F39" s="291"/>
      <c r="G39" s="291"/>
      <c r="H39" s="291"/>
      <c r="I39" s="291"/>
      <c r="J39" s="291"/>
      <c r="K39" s="291"/>
      <c r="L39" s="291"/>
      <c r="M39" s="152"/>
    </row>
    <row r="40" spans="1:13" x14ac:dyDescent="0.25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152"/>
    </row>
    <row r="41" spans="1:13" x14ac:dyDescent="0.25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152"/>
    </row>
    <row r="42" spans="1:13" x14ac:dyDescent="0.25">
      <c r="A42" s="291"/>
      <c r="B42" s="291"/>
      <c r="C42" s="291"/>
      <c r="D42" s="291"/>
      <c r="E42" s="291"/>
      <c r="F42" s="291"/>
      <c r="G42" s="291"/>
      <c r="H42" s="291"/>
      <c r="I42" s="291"/>
      <c r="J42" s="291"/>
      <c r="K42" s="291"/>
      <c r="L42" s="291"/>
      <c r="M42" s="152"/>
    </row>
    <row r="43" spans="1:13" x14ac:dyDescent="0.25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152"/>
    </row>
    <row r="44" spans="1:13" x14ac:dyDescent="0.25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152"/>
    </row>
    <row r="45" spans="1:13" x14ac:dyDescent="0.25">
      <c r="A45" s="291"/>
      <c r="B45" s="291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152"/>
    </row>
    <row r="46" spans="1:13" x14ac:dyDescent="0.25">
      <c r="A46" s="291"/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152"/>
    </row>
    <row r="47" spans="1:13" x14ac:dyDescent="0.25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152"/>
    </row>
    <row r="48" spans="1:13" x14ac:dyDescent="0.25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152"/>
    </row>
    <row r="49" spans="1:13" x14ac:dyDescent="0.25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152"/>
    </row>
    <row r="50" spans="1:13" x14ac:dyDescent="0.25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152"/>
    </row>
    <row r="51" spans="1:13" x14ac:dyDescent="0.25">
      <c r="A51" s="291"/>
      <c r="B51" s="291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152"/>
    </row>
    <row r="52" spans="1:13" x14ac:dyDescent="0.25">
      <c r="A52" s="291"/>
      <c r="B52" s="291"/>
      <c r="C52" s="291"/>
      <c r="D52" s="291"/>
      <c r="E52" s="291"/>
      <c r="F52" s="291"/>
      <c r="G52" s="291"/>
      <c r="H52" s="291"/>
      <c r="I52" s="291"/>
      <c r="J52" s="291"/>
      <c r="K52" s="291"/>
      <c r="L52" s="291"/>
      <c r="M52" s="152"/>
    </row>
    <row r="53" spans="1:13" x14ac:dyDescent="0.25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152"/>
    </row>
    <row r="54" spans="1:13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152"/>
    </row>
    <row r="55" spans="1:13" x14ac:dyDescent="0.25">
      <c r="A55" s="291"/>
      <c r="B55" s="291"/>
      <c r="C55" s="291"/>
      <c r="D55" s="291"/>
      <c r="E55" s="291"/>
      <c r="F55" s="291"/>
      <c r="G55" s="291"/>
      <c r="H55" s="291"/>
      <c r="I55" s="291"/>
      <c r="J55" s="291"/>
      <c r="K55" s="291"/>
      <c r="L55" s="291"/>
      <c r="M55" s="152"/>
    </row>
    <row r="56" spans="1:13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152"/>
    </row>
    <row r="57" spans="1:13" x14ac:dyDescent="0.25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152"/>
    </row>
    <row r="58" spans="1:13" x14ac:dyDescent="0.25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152"/>
    </row>
    <row r="59" spans="1:13" x14ac:dyDescent="0.25">
      <c r="A59" s="291"/>
      <c r="B59" s="291"/>
      <c r="C59" s="291"/>
      <c r="D59" s="291"/>
      <c r="E59" s="291"/>
      <c r="F59" s="291"/>
      <c r="G59" s="291"/>
      <c r="H59" s="291"/>
      <c r="I59" s="291"/>
      <c r="J59" s="291"/>
      <c r="K59" s="291"/>
      <c r="L59" s="291"/>
      <c r="M59" s="152"/>
    </row>
    <row r="60" spans="1:13" x14ac:dyDescent="0.25">
      <c r="A60" s="291"/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L60" s="291"/>
      <c r="M60" s="152"/>
    </row>
    <row r="61" spans="1:13" x14ac:dyDescent="0.25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152"/>
    </row>
    <row r="62" spans="1:13" x14ac:dyDescent="0.25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152"/>
    </row>
    <row r="63" spans="1:13" x14ac:dyDescent="0.25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152"/>
    </row>
    <row r="64" spans="1:13" x14ac:dyDescent="0.25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152"/>
    </row>
    <row r="65" spans="1:13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152"/>
    </row>
    <row r="66" spans="1:13" x14ac:dyDescent="0.25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152"/>
    </row>
    <row r="67" spans="1:13" x14ac:dyDescent="0.25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152"/>
    </row>
    <row r="68" spans="1:13" x14ac:dyDescent="0.25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152"/>
    </row>
    <row r="69" spans="1:13" x14ac:dyDescent="0.25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152"/>
    </row>
    <row r="70" spans="1:13" x14ac:dyDescent="0.25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152"/>
    </row>
    <row r="71" spans="1:13" x14ac:dyDescent="0.25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152"/>
    </row>
    <row r="72" spans="1:13" x14ac:dyDescent="0.25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152"/>
    </row>
    <row r="73" spans="1:13" x14ac:dyDescent="0.25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152"/>
    </row>
    <row r="74" spans="1:13" x14ac:dyDescent="0.25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152"/>
    </row>
    <row r="75" spans="1:13" x14ac:dyDescent="0.25">
      <c r="A75" s="291"/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152"/>
    </row>
    <row r="76" spans="1:13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152"/>
    </row>
    <row r="77" spans="1:13" x14ac:dyDescent="0.25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152"/>
    </row>
    <row r="78" spans="1:13" x14ac:dyDescent="0.25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152"/>
    </row>
    <row r="79" spans="1:13" x14ac:dyDescent="0.25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152"/>
    </row>
    <row r="80" spans="1:13" x14ac:dyDescent="0.25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152"/>
    </row>
    <row r="81" spans="1:13" x14ac:dyDescent="0.25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152"/>
    </row>
    <row r="82" spans="1:13" x14ac:dyDescent="0.25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152"/>
    </row>
    <row r="83" spans="1:13" x14ac:dyDescent="0.25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152"/>
    </row>
    <row r="84" spans="1:13" x14ac:dyDescent="0.25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152"/>
    </row>
    <row r="85" spans="1:13" x14ac:dyDescent="0.25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152"/>
    </row>
    <row r="86" spans="1:13" x14ac:dyDescent="0.25">
      <c r="A86" s="291"/>
      <c r="B86" s="291"/>
      <c r="C86" s="291"/>
      <c r="D86" s="291"/>
      <c r="E86" s="291"/>
      <c r="F86" s="291"/>
      <c r="G86" s="291"/>
      <c r="H86" s="291"/>
      <c r="I86" s="291"/>
      <c r="J86" s="291"/>
      <c r="K86" s="291"/>
      <c r="L86" s="291"/>
      <c r="M86" s="152"/>
    </row>
    <row r="87" spans="1:13" x14ac:dyDescent="0.25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</row>
    <row r="88" spans="1:13" x14ac:dyDescent="0.25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</row>
    <row r="89" spans="1:13" x14ac:dyDescent="0.25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</row>
    <row r="90" spans="1:13" x14ac:dyDescent="0.25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</row>
    <row r="91" spans="1:13" x14ac:dyDescent="0.25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</row>
    <row r="92" spans="1:13" x14ac:dyDescent="0.25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</row>
    <row r="93" spans="1:13" x14ac:dyDescent="0.25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</row>
    <row r="94" spans="1:13" x14ac:dyDescent="0.25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</row>
    <row r="95" spans="1:13" x14ac:dyDescent="0.2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</row>
    <row r="96" spans="1:13" x14ac:dyDescent="0.25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</row>
    <row r="97" spans="1:13" x14ac:dyDescent="0.25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</row>
    <row r="98" spans="1:13" x14ac:dyDescent="0.25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</row>
    <row r="99" spans="1:13" x14ac:dyDescent="0.25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</row>
    <row r="100" spans="1:13" x14ac:dyDescent="0.25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</row>
    <row r="101" spans="1:13" x14ac:dyDescent="0.25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</row>
    <row r="102" spans="1:13" x14ac:dyDescent="0.25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</row>
    <row r="103" spans="1:13" x14ac:dyDescent="0.25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</row>
    <row r="104" spans="1:13" x14ac:dyDescent="0.25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</row>
    <row r="105" spans="1:13" x14ac:dyDescent="0.2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</row>
    <row r="106" spans="1:13" x14ac:dyDescent="0.25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</row>
    <row r="107" spans="1:13" x14ac:dyDescent="0.25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</row>
    <row r="108" spans="1:13" x14ac:dyDescent="0.25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</row>
    <row r="109" spans="1:13" x14ac:dyDescent="0.25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</row>
    <row r="110" spans="1:13" x14ac:dyDescent="0.25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</row>
    <row r="111" spans="1:13" x14ac:dyDescent="0.25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</row>
    <row r="112" spans="1:13" x14ac:dyDescent="0.25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</row>
    <row r="113" spans="1:13" x14ac:dyDescent="0.25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</row>
    <row r="114" spans="1:13" x14ac:dyDescent="0.25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</row>
    <row r="115" spans="1:13" x14ac:dyDescent="0.2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</row>
    <row r="116" spans="1:13" x14ac:dyDescent="0.25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</row>
    <row r="117" spans="1:13" x14ac:dyDescent="0.25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</row>
    <row r="118" spans="1:13" x14ac:dyDescent="0.25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</row>
    <row r="119" spans="1:13" x14ac:dyDescent="0.25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</row>
    <row r="120" spans="1:13" x14ac:dyDescent="0.25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</row>
    <row r="121" spans="1:13" x14ac:dyDescent="0.25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</row>
    <row r="122" spans="1:13" x14ac:dyDescent="0.25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</row>
    <row r="123" spans="1:13" x14ac:dyDescent="0.25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</row>
    <row r="124" spans="1:13" x14ac:dyDescent="0.25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</row>
    <row r="125" spans="1:13" x14ac:dyDescent="0.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</row>
    <row r="126" spans="1:13" x14ac:dyDescent="0.25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</row>
    <row r="127" spans="1:13" x14ac:dyDescent="0.25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</row>
    <row r="128" spans="1:13" x14ac:dyDescent="0.25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</row>
    <row r="129" spans="1:13" x14ac:dyDescent="0.25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</row>
    <row r="130" spans="1:13" x14ac:dyDescent="0.25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</row>
    <row r="131" spans="1:13" x14ac:dyDescent="0.25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</row>
    <row r="132" spans="1:13" x14ac:dyDescent="0.25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</row>
    <row r="133" spans="1:13" x14ac:dyDescent="0.25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</row>
    <row r="134" spans="1:13" x14ac:dyDescent="0.25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</row>
    <row r="135" spans="1:13" x14ac:dyDescent="0.2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</row>
    <row r="136" spans="1:13" x14ac:dyDescent="0.25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</row>
    <row r="137" spans="1:13" x14ac:dyDescent="0.25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</row>
    <row r="138" spans="1:13" x14ac:dyDescent="0.25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</row>
    <row r="139" spans="1:13" x14ac:dyDescent="0.25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</row>
    <row r="140" spans="1:13" x14ac:dyDescent="0.25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</row>
    <row r="141" spans="1:13" x14ac:dyDescent="0.25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</row>
    <row r="142" spans="1:13" x14ac:dyDescent="0.25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</row>
    <row r="143" spans="1:13" x14ac:dyDescent="0.25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</row>
    <row r="144" spans="1:13" x14ac:dyDescent="0.25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</row>
    <row r="145" spans="1:13" x14ac:dyDescent="0.2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</row>
  </sheetData>
  <mergeCells count="14">
    <mergeCell ref="A5:K5"/>
    <mergeCell ref="A14:K14"/>
    <mergeCell ref="A16:K16"/>
    <mergeCell ref="A25:K25"/>
    <mergeCell ref="A34:K34"/>
    <mergeCell ref="A1:K1"/>
    <mergeCell ref="A2:A4"/>
    <mergeCell ref="B2:C3"/>
    <mergeCell ref="D2:E3"/>
    <mergeCell ref="F2:G2"/>
    <mergeCell ref="H2:K2"/>
    <mergeCell ref="F3:G3"/>
    <mergeCell ref="H3:I3"/>
    <mergeCell ref="J3:K3"/>
  </mergeCells>
  <pageMargins left="0.43307086614173229" right="0.19685039370078741" top="0.35433070866141736" bottom="0.35433070866141736" header="0" footer="0"/>
  <pageSetup paperSize="9" scale="105" firstPageNumber="153" fitToHeight="0" orientation="landscape" useFirstPageNumber="1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39</vt:i4>
      </vt:variant>
      <vt:variant>
        <vt:lpstr>Именованные диапазоны</vt:lpstr>
      </vt:variant>
      <vt:variant>
        <vt:i4>63</vt:i4>
      </vt:variant>
    </vt:vector>
  </HeadingPairs>
  <TitlesOfParts>
    <vt:vector size="10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19A</vt:lpstr>
      <vt:lpstr>19Б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'1'!Заголовки_для_печати</vt:lpstr>
      <vt:lpstr>'12'!Заголовки_для_печати</vt:lpstr>
      <vt:lpstr>'13'!Заголовки_для_печати</vt:lpstr>
      <vt:lpstr>'14'!Заголовки_для_печати</vt:lpstr>
      <vt:lpstr>'15'!Заголовки_для_печати</vt:lpstr>
      <vt:lpstr>'17'!Заголовки_для_печати</vt:lpstr>
      <vt:lpstr>'18'!Заголовки_для_печати</vt:lpstr>
      <vt:lpstr>'19Б'!Заголовки_для_печати</vt:lpstr>
      <vt:lpstr>'2'!Заголовки_для_печати</vt:lpstr>
      <vt:lpstr>'21'!Заголовки_для_печати</vt:lpstr>
      <vt:lpstr>'22'!Заголовки_для_печати</vt:lpstr>
      <vt:lpstr>'23'!Заголовки_для_печати</vt:lpstr>
      <vt:lpstr>'24'!Заголовки_для_печати</vt:lpstr>
      <vt:lpstr>'25'!Заголовки_для_печати</vt:lpstr>
      <vt:lpstr>'28'!Заголовки_для_печати</vt:lpstr>
      <vt:lpstr>'3'!Заголовки_для_печати</vt:lpstr>
      <vt:lpstr>'32'!Заголовки_для_печати</vt:lpstr>
      <vt:lpstr>'34'!Заголовки_для_печати</vt:lpstr>
      <vt:lpstr>'35'!Заголовки_для_печати</vt:lpstr>
      <vt:lpstr>'36'!Заголовки_для_печати</vt:lpstr>
      <vt:lpstr>'37'!Заголовки_для_печати</vt:lpstr>
      <vt:lpstr>'4'!Заголовки_для_печати</vt:lpstr>
      <vt:lpstr>'6'!Заголовки_для_печати</vt:lpstr>
      <vt:lpstr>'8'!Заголовки_для_печати</vt:lpstr>
      <vt:lpstr>'1'!Область_печати</vt:lpstr>
      <vt:lpstr>'10'!Область_печати</vt:lpstr>
      <vt:lpstr>'11'!Область_печати</vt:lpstr>
      <vt:lpstr>'12'!Область_печати</vt:lpstr>
      <vt:lpstr>'13'!Область_печати</vt:lpstr>
      <vt:lpstr>'14'!Область_печати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'19A'!Область_печати</vt:lpstr>
      <vt:lpstr>'19Б'!Область_печати</vt:lpstr>
      <vt:lpstr>'2'!Область_печати</vt:lpstr>
      <vt:lpstr>'20'!Область_печати</vt:lpstr>
      <vt:lpstr>'21'!Область_печати</vt:lpstr>
      <vt:lpstr>'22'!Область_печати</vt:lpstr>
      <vt:lpstr>'23'!Область_печати</vt:lpstr>
      <vt:lpstr>'24'!Область_печати</vt:lpstr>
      <vt:lpstr>'25'!Область_печати</vt:lpstr>
      <vt:lpstr>'26'!Область_печати</vt:lpstr>
      <vt:lpstr>'27'!Область_печати</vt:lpstr>
      <vt:lpstr>'28'!Область_печати</vt:lpstr>
      <vt:lpstr>'29'!Область_печати</vt:lpstr>
      <vt:lpstr>'3'!Область_печати</vt:lpstr>
      <vt:lpstr>'30'!Область_печати</vt:lpstr>
      <vt:lpstr>'31'!Область_печати</vt:lpstr>
      <vt:lpstr>'32'!Область_печати</vt:lpstr>
      <vt:lpstr>'33'!Область_печати</vt:lpstr>
      <vt:lpstr>'34'!Область_печати</vt:lpstr>
      <vt:lpstr>'35'!Область_печати</vt:lpstr>
      <vt:lpstr>'36'!Область_печати</vt:lpstr>
      <vt:lpstr>'37'!Область_печати</vt:lpstr>
      <vt:lpstr>'4'!Область_печати</vt:lpstr>
      <vt:lpstr>'5'!Область_печати</vt:lpstr>
      <vt:lpstr>'6'!Область_печати</vt:lpstr>
      <vt:lpstr>'7'!Область_печати</vt:lpstr>
      <vt:lpstr>'8'!Область_печати</vt:lpstr>
      <vt:lpstr>'9'!Область_печати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Jalolov Muhammad</dc:creator>
  <cp:lastModifiedBy>Dostiev Abduqodir</cp:lastModifiedBy>
  <cp:lastPrinted>2024-09-27T15:08:01Z</cp:lastPrinted>
  <dcterms:created xsi:type="dcterms:W3CDTF">2023-10-20T10:54:42Z</dcterms:created>
  <dcterms:modified xsi:type="dcterms:W3CDTF">2025-02-19T14:52:17Z</dcterms:modified>
</cp:coreProperties>
</file>