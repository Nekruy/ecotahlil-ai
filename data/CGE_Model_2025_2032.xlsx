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ve\Desktop\Дурнамо\Дурнамо 2027-2029\Макро SAM-2024\модели посл.вар.карор 2025\модели 2025\"/>
    </mc:Choice>
  </mc:AlternateContent>
  <xr:revisionPtr revIDLastSave="0" documentId="13_ncr:1_{5906FFCA-3049-46B7-883F-580F02B20A20}" xr6:coauthVersionLast="47" xr6:coauthVersionMax="47" xr10:uidLastSave="{00000000-0000-0000-0000-000000000000}"/>
  <bookViews>
    <workbookView xWindow="-255" yWindow="30" windowWidth="15315" windowHeight="15480" tabRatio="586" xr2:uid="{726CEEB8-5B12-4E92-8CB1-B7099C1D7BE7}"/>
  </bookViews>
  <sheets>
    <sheet name="Итог-Модел CGE" sheetId="12" r:id="rId1"/>
    <sheet name="посл.вар." sheetId="17" r:id="rId2"/>
    <sheet name="2025-2029" sheetId="13" r:id="rId3"/>
    <sheet name="1_Prices" sheetId="1" r:id="rId4"/>
    <sheet name="2_Production_1" sheetId="2" r:id="rId5"/>
    <sheet name="2_Production_2" sheetId="3" r:id="rId6"/>
    <sheet name="3_In &amp; SA" sheetId="4" r:id="rId7"/>
    <sheet name="4_Demand" sheetId="5" r:id="rId8"/>
    <sheet name="5_IntTrade" sheetId="6" r:id="rId9"/>
    <sheet name="6_Closures" sheetId="7" r:id="rId10"/>
    <sheet name="7_Dynamics" sheetId="8" r:id="rId11"/>
    <sheet name="GDP" sheetId="9" r:id="rId12"/>
    <sheet name="Monetary" sheetId="10" r:id="rId13"/>
    <sheet name="GDP-total" sheetId="11" r:id="rId14"/>
    <sheet name="Лист3" sheetId="14" r:id="rId15"/>
    <sheet name="Лист1" sheetId="16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4" i="9" l="1"/>
  <c r="AP24" i="9" l="1"/>
  <c r="AM24" i="9"/>
  <c r="X24" i="3"/>
  <c r="M8" i="12"/>
  <c r="AG23" i="9"/>
  <c r="AG24" i="9"/>
  <c r="AD24" i="9"/>
  <c r="AA24" i="9"/>
  <c r="F19" i="7"/>
  <c r="J19" i="7" l="1"/>
  <c r="I19" i="7"/>
  <c r="F75" i="6"/>
  <c r="E75" i="6"/>
  <c r="F81" i="6"/>
  <c r="J59" i="11"/>
  <c r="K52" i="11"/>
  <c r="I59" i="11"/>
  <c r="H59" i="11"/>
  <c r="G59" i="11"/>
  <c r="F59" i="11"/>
  <c r="E59" i="11"/>
  <c r="D59" i="11"/>
  <c r="E52" i="11"/>
  <c r="F52" i="11"/>
  <c r="G52" i="11"/>
  <c r="H52" i="11"/>
  <c r="I52" i="11"/>
  <c r="J52" i="11"/>
  <c r="D35" i="11"/>
  <c r="D44" i="11" s="1"/>
  <c r="D52" i="11"/>
  <c r="D53" i="11" l="1"/>
  <c r="H19" i="7"/>
  <c r="G19" i="7"/>
  <c r="E19" i="7"/>
  <c r="Z6" i="12" l="1"/>
  <c r="G78" i="6"/>
  <c r="F78" i="6"/>
  <c r="E78" i="6"/>
  <c r="D78" i="6"/>
  <c r="K21" i="3"/>
  <c r="J21" i="3"/>
  <c r="O35" i="9"/>
  <c r="I21" i="3"/>
  <c r="H21" i="3"/>
  <c r="G21" i="3"/>
  <c r="K19" i="7"/>
  <c r="C12" i="13" l="1"/>
  <c r="C19" i="13"/>
  <c r="H18" i="13"/>
  <c r="F18" i="13"/>
  <c r="D18" i="13"/>
  <c r="B18" i="13"/>
  <c r="C18" i="13" s="1"/>
  <c r="W30" i="12"/>
  <c r="U30" i="12"/>
  <c r="S30" i="12"/>
  <c r="Q30" i="12"/>
  <c r="J18" i="13" s="1"/>
  <c r="O30" i="12"/>
  <c r="M30" i="12"/>
  <c r="K30" i="12"/>
  <c r="V30" i="12" l="1"/>
  <c r="X30" i="12"/>
  <c r="T30" i="12"/>
  <c r="R30" i="12"/>
  <c r="C17" i="13" l="1"/>
  <c r="C16" i="13"/>
  <c r="B15" i="13"/>
  <c r="B14" i="13"/>
  <c r="B12" i="13"/>
  <c r="C11" i="13"/>
  <c r="B11" i="13"/>
  <c r="C10" i="13"/>
  <c r="B10" i="13"/>
  <c r="C8" i="13"/>
  <c r="B8" i="13"/>
  <c r="C7" i="13"/>
  <c r="B7" i="13"/>
  <c r="C6" i="13"/>
  <c r="B6" i="13"/>
  <c r="C5" i="13"/>
  <c r="B5" i="13"/>
  <c r="E73" i="6"/>
  <c r="X17" i="12" l="1"/>
  <c r="W17" i="12"/>
  <c r="V17" i="12"/>
  <c r="U17" i="12"/>
  <c r="X16" i="12"/>
  <c r="W16" i="12"/>
  <c r="V16" i="12"/>
  <c r="U16" i="12"/>
  <c r="T17" i="12"/>
  <c r="S17" i="12"/>
  <c r="T16" i="12"/>
  <c r="S16" i="12"/>
  <c r="R17" i="12"/>
  <c r="K12" i="13" s="1"/>
  <c r="Q17" i="12"/>
  <c r="J12" i="13" s="1"/>
  <c r="R16" i="12"/>
  <c r="K11" i="13" s="1"/>
  <c r="Q16" i="12"/>
  <c r="J11" i="13" s="1"/>
  <c r="P17" i="12"/>
  <c r="I12" i="13" s="1"/>
  <c r="O17" i="12"/>
  <c r="H12" i="13" s="1"/>
  <c r="P16" i="12"/>
  <c r="I11" i="13" s="1"/>
  <c r="O16" i="12"/>
  <c r="H11" i="13" s="1"/>
  <c r="N17" i="12"/>
  <c r="G12" i="13" s="1"/>
  <c r="M17" i="12"/>
  <c r="F12" i="13" s="1"/>
  <c r="N16" i="12"/>
  <c r="G11" i="13" s="1"/>
  <c r="M16" i="12"/>
  <c r="F11" i="13" s="1"/>
  <c r="L17" i="12"/>
  <c r="E12" i="13" s="1"/>
  <c r="K17" i="12"/>
  <c r="D12" i="13" s="1"/>
  <c r="L16" i="12"/>
  <c r="E11" i="13" s="1"/>
  <c r="K16" i="12"/>
  <c r="D11" i="13" s="1"/>
  <c r="X15" i="12" l="1"/>
  <c r="W15" i="12"/>
  <c r="X14" i="12"/>
  <c r="W14" i="12"/>
  <c r="V15" i="12"/>
  <c r="U15" i="12"/>
  <c r="V14" i="12"/>
  <c r="U14" i="12"/>
  <c r="T15" i="12"/>
  <c r="S15" i="12"/>
  <c r="T14" i="12"/>
  <c r="S14" i="12"/>
  <c r="R15" i="12"/>
  <c r="Q15" i="12"/>
  <c r="R14" i="12"/>
  <c r="K10" i="13" s="1"/>
  <c r="Q14" i="12"/>
  <c r="J10" i="13" s="1"/>
  <c r="P15" i="12"/>
  <c r="O15" i="12"/>
  <c r="P14" i="12"/>
  <c r="I10" i="13" s="1"/>
  <c r="O14" i="12"/>
  <c r="H10" i="13" s="1"/>
  <c r="N15" i="12"/>
  <c r="M15" i="12"/>
  <c r="N14" i="12"/>
  <c r="G10" i="13" s="1"/>
  <c r="M14" i="12"/>
  <c r="F10" i="13" s="1"/>
  <c r="L15" i="12"/>
  <c r="K15" i="12"/>
  <c r="L14" i="12"/>
  <c r="E10" i="13" s="1"/>
  <c r="K14" i="12"/>
  <c r="D10" i="13" s="1"/>
  <c r="J16" i="17" l="1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I16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I14" i="17"/>
  <c r="J11" i="17"/>
  <c r="I11" i="17"/>
  <c r="J10" i="17"/>
  <c r="I10" i="17"/>
  <c r="J9" i="17"/>
  <c r="Q9" i="17"/>
  <c r="I9" i="17"/>
  <c r="J7" i="17"/>
  <c r="J5" i="17"/>
  <c r="I5" i="17"/>
  <c r="X17" i="17"/>
  <c r="W17" i="17"/>
  <c r="X15" i="17"/>
  <c r="W15" i="17"/>
  <c r="V17" i="17"/>
  <c r="U17" i="17"/>
  <c r="V15" i="17"/>
  <c r="U15" i="17"/>
  <c r="V6" i="17"/>
  <c r="E20" i="7"/>
  <c r="L7" i="12" s="1"/>
  <c r="L7" i="17" s="1"/>
  <c r="F20" i="7"/>
  <c r="N7" i="12" s="1"/>
  <c r="N7" i="17" s="1"/>
  <c r="W9" i="12"/>
  <c r="W9" i="17" s="1"/>
  <c r="U9" i="12"/>
  <c r="U9" i="17" s="1"/>
  <c r="S9" i="12"/>
  <c r="S9" i="17" s="1"/>
  <c r="Q9" i="12"/>
  <c r="J6" i="13" s="1"/>
  <c r="O9" i="12"/>
  <c r="H6" i="13" s="1"/>
  <c r="M9" i="12"/>
  <c r="F6" i="13" s="1"/>
  <c r="K9" i="12"/>
  <c r="D6" i="13" s="1"/>
  <c r="X44" i="3"/>
  <c r="X42" i="3"/>
  <c r="X40" i="3"/>
  <c r="X38" i="3"/>
  <c r="X35" i="3"/>
  <c r="L9" i="12" s="1"/>
  <c r="C67" i="11"/>
  <c r="E53" i="11"/>
  <c r="F53" i="11"/>
  <c r="G53" i="11"/>
  <c r="H53" i="11"/>
  <c r="I53" i="11"/>
  <c r="J53" i="11"/>
  <c r="E54" i="11"/>
  <c r="F54" i="11"/>
  <c r="G54" i="11"/>
  <c r="H54" i="11"/>
  <c r="I54" i="11"/>
  <c r="J54" i="11"/>
  <c r="E55" i="11"/>
  <c r="F55" i="11"/>
  <c r="G55" i="11"/>
  <c r="H55" i="11"/>
  <c r="I55" i="11"/>
  <c r="J55" i="11"/>
  <c r="E56" i="11"/>
  <c r="F56" i="11"/>
  <c r="G56" i="11"/>
  <c r="H56" i="11"/>
  <c r="I56" i="11"/>
  <c r="J56" i="11"/>
  <c r="E57" i="11"/>
  <c r="F57" i="11"/>
  <c r="G57" i="11"/>
  <c r="H57" i="11"/>
  <c r="I57" i="11"/>
  <c r="J57" i="11"/>
  <c r="D55" i="11"/>
  <c r="D54" i="11"/>
  <c r="I45" i="11"/>
  <c r="J45" i="11"/>
  <c r="D45" i="11"/>
  <c r="E6" i="13" l="1"/>
  <c r="L9" i="17"/>
  <c r="M9" i="17"/>
  <c r="K9" i="17"/>
  <c r="O9" i="17"/>
  <c r="N34" i="9" l="1"/>
  <c r="N32" i="9"/>
  <c r="AU34" i="9"/>
  <c r="O34" i="9" s="1"/>
  <c r="E19" i="12"/>
  <c r="E20" i="12"/>
  <c r="AU36" i="9" l="1"/>
  <c r="O36" i="9" s="1"/>
  <c r="D21" i="3" l="1"/>
  <c r="AS22" i="9" s="1"/>
  <c r="C21" i="3"/>
  <c r="J19" i="12"/>
  <c r="C14" i="13" s="1"/>
  <c r="W13" i="12"/>
  <c r="W13" i="17" s="1"/>
  <c r="U13" i="12"/>
  <c r="U13" i="17" s="1"/>
  <c r="S13" i="12"/>
  <c r="S13" i="17" s="1"/>
  <c r="Q13" i="12"/>
  <c r="Q13" i="17" s="1"/>
  <c r="O13" i="12"/>
  <c r="O13" i="17" s="1"/>
  <c r="M13" i="12"/>
  <c r="M13" i="17" s="1"/>
  <c r="K13" i="12"/>
  <c r="K13" i="17" s="1"/>
  <c r="I13" i="12"/>
  <c r="I8" i="12"/>
  <c r="I8" i="17" s="1"/>
  <c r="AF4" i="12"/>
  <c r="AE4" i="12"/>
  <c r="AC4" i="12"/>
  <c r="K4" i="12"/>
  <c r="AH4" i="12" s="1"/>
  <c r="J4" i="12"/>
  <c r="AD4" i="12" s="1"/>
  <c r="AG4" i="12" l="1"/>
  <c r="M4" i="12"/>
  <c r="AJ4" i="12" s="1"/>
  <c r="J13" i="12"/>
  <c r="J13" i="17" s="1"/>
  <c r="I13" i="17"/>
  <c r="V13" i="12"/>
  <c r="V13" i="17" s="1"/>
  <c r="X13" i="12"/>
  <c r="X13" i="17" s="1"/>
  <c r="O6" i="9" l="1"/>
  <c r="P6" i="9" s="1"/>
  <c r="Q6" i="9" s="1"/>
  <c r="R6" i="9" s="1"/>
  <c r="S6" i="9" s="1"/>
  <c r="T6" i="9" s="1"/>
  <c r="U6" i="9" s="1"/>
  <c r="V6" i="9" s="1"/>
  <c r="I65" i="12" l="1"/>
  <c r="AF25" i="3" l="1"/>
  <c r="D26" i="3"/>
  <c r="AS26" i="9" s="1"/>
  <c r="D24" i="3"/>
  <c r="AS24" i="9" s="1"/>
  <c r="D23" i="3"/>
  <c r="AS23" i="9" s="1"/>
  <c r="C7" i="3"/>
  <c r="N7" i="9" s="1"/>
  <c r="AO21" i="3" l="1"/>
  <c r="AG25" i="3"/>
  <c r="AG22" i="3" s="1"/>
  <c r="AG27" i="3"/>
  <c r="AG28" i="3"/>
  <c r="AG29" i="3"/>
  <c r="AG30" i="3"/>
  <c r="AG31" i="3"/>
  <c r="L31" i="3"/>
  <c r="L30" i="3"/>
  <c r="L29" i="3"/>
  <c r="L28" i="3"/>
  <c r="D28" i="3" s="1"/>
  <c r="AS28" i="9" s="1"/>
  <c r="L27" i="3"/>
  <c r="D27" i="3" s="1"/>
  <c r="AS27" i="9" s="1"/>
  <c r="L25" i="3"/>
  <c r="L22" i="3"/>
  <c r="AF31" i="3"/>
  <c r="L32" i="3" l="1"/>
  <c r="D25" i="3"/>
  <c r="AS25" i="9" s="1"/>
  <c r="AG32" i="3"/>
  <c r="AF30" i="3"/>
  <c r="AF29" i="3"/>
  <c r="AF28" i="3"/>
  <c r="AF27" i="3"/>
  <c r="AO33" i="3"/>
  <c r="AP33" i="3"/>
  <c r="AQ33" i="3"/>
  <c r="AR33" i="3"/>
  <c r="AS33" i="3"/>
  <c r="AT33" i="3"/>
  <c r="AU33" i="3"/>
  <c r="E18" i="9" l="1"/>
  <c r="D18" i="9"/>
  <c r="C18" i="9"/>
  <c r="D5" i="9" l="1"/>
  <c r="B13" i="10" l="1"/>
  <c r="B8" i="10"/>
  <c r="D26" i="10"/>
  <c r="E26" i="10" s="1"/>
  <c r="F26" i="10" s="1"/>
  <c r="G26" i="10" s="1"/>
  <c r="H26" i="10" s="1"/>
  <c r="I26" i="10" s="1"/>
  <c r="J26" i="10" s="1"/>
  <c r="K26" i="10" s="1"/>
  <c r="D21" i="10"/>
  <c r="E21" i="10" s="1"/>
  <c r="F21" i="10" s="1"/>
  <c r="G21" i="10" s="1"/>
  <c r="H21" i="10" s="1"/>
  <c r="I21" i="10" s="1"/>
  <c r="J21" i="10" s="1"/>
  <c r="K21" i="10" s="1"/>
  <c r="D16" i="10"/>
  <c r="E16" i="10" s="1"/>
  <c r="F16" i="10" s="1"/>
  <c r="G16" i="10" s="1"/>
  <c r="H16" i="10" s="1"/>
  <c r="I16" i="10" s="1"/>
  <c r="J16" i="10" s="1"/>
  <c r="K16" i="10" s="1"/>
  <c r="D11" i="10"/>
  <c r="E11" i="10" s="1"/>
  <c r="F11" i="10" s="1"/>
  <c r="G11" i="10" s="1"/>
  <c r="H11" i="10" s="1"/>
  <c r="I11" i="10" s="1"/>
  <c r="J11" i="10" s="1"/>
  <c r="K11" i="10" s="1"/>
  <c r="D6" i="10"/>
  <c r="E6" i="10" s="1"/>
  <c r="F6" i="10" s="1"/>
  <c r="G6" i="10" s="1"/>
  <c r="H6" i="10" s="1"/>
  <c r="I6" i="10" s="1"/>
  <c r="J6" i="10" s="1"/>
  <c r="K6" i="10" s="1"/>
  <c r="E5" i="9" l="1"/>
  <c r="C35" i="9"/>
  <c r="C50" i="9" s="1"/>
  <c r="H18" i="9"/>
  <c r="G18" i="9"/>
  <c r="F18" i="9"/>
  <c r="F5" i="9" s="1"/>
  <c r="B69" i="8"/>
  <c r="B64" i="8"/>
  <c r="D59" i="8"/>
  <c r="E59" i="8"/>
  <c r="F59" i="8"/>
  <c r="G59" i="8"/>
  <c r="H59" i="8"/>
  <c r="I59" i="8"/>
  <c r="J59" i="8"/>
  <c r="K59" i="8"/>
  <c r="C59" i="8"/>
  <c r="B59" i="8"/>
  <c r="G5" i="9" l="1"/>
  <c r="H5" i="9"/>
  <c r="A53" i="7"/>
  <c r="A52" i="7"/>
  <c r="A51" i="7"/>
  <c r="A50" i="7"/>
  <c r="A49" i="7"/>
  <c r="C49" i="7"/>
  <c r="A48" i="7"/>
  <c r="D73" i="6" l="1"/>
  <c r="F73" i="6"/>
  <c r="G73" i="6"/>
  <c r="H73" i="6"/>
  <c r="I73" i="6"/>
  <c r="J73" i="6"/>
  <c r="K73" i="6"/>
  <c r="C73" i="6"/>
  <c r="V90" i="6"/>
  <c r="W90" i="6" s="1"/>
  <c r="X90" i="6" s="1"/>
  <c r="Y90" i="6" s="1"/>
  <c r="Z90" i="6" s="1"/>
  <c r="AA90" i="6" s="1"/>
  <c r="AB90" i="6" s="1"/>
  <c r="AC90" i="6" s="1"/>
  <c r="P102" i="6"/>
  <c r="Q102" i="6"/>
  <c r="L92" i="6"/>
  <c r="M92" i="6"/>
  <c r="N92" i="6"/>
  <c r="O92" i="6"/>
  <c r="P92" i="6"/>
  <c r="Q92" i="6"/>
  <c r="R92" i="6"/>
  <c r="S92" i="6"/>
  <c r="T92" i="6"/>
  <c r="L93" i="6"/>
  <c r="M93" i="6"/>
  <c r="N93" i="6"/>
  <c r="O93" i="6"/>
  <c r="P93" i="6"/>
  <c r="Q93" i="6"/>
  <c r="R93" i="6"/>
  <c r="S93" i="6"/>
  <c r="T93" i="6"/>
  <c r="L94" i="6"/>
  <c r="M94" i="6"/>
  <c r="N94" i="6"/>
  <c r="O94" i="6"/>
  <c r="P94" i="6"/>
  <c r="Q94" i="6"/>
  <c r="R94" i="6"/>
  <c r="S94" i="6"/>
  <c r="T94" i="6"/>
  <c r="L95" i="6"/>
  <c r="M95" i="6"/>
  <c r="N95" i="6"/>
  <c r="O95" i="6"/>
  <c r="P95" i="6"/>
  <c r="Q95" i="6"/>
  <c r="R95" i="6"/>
  <c r="S95" i="6"/>
  <c r="T95" i="6"/>
  <c r="L96" i="6"/>
  <c r="M96" i="6"/>
  <c r="N96" i="6"/>
  <c r="O96" i="6"/>
  <c r="P96" i="6"/>
  <c r="Q96" i="6"/>
  <c r="R96" i="6"/>
  <c r="S96" i="6"/>
  <c r="T96" i="6"/>
  <c r="L97" i="6"/>
  <c r="M97" i="6"/>
  <c r="N97" i="6"/>
  <c r="O97" i="6"/>
  <c r="P97" i="6"/>
  <c r="Q97" i="6"/>
  <c r="R97" i="6"/>
  <c r="S97" i="6"/>
  <c r="T97" i="6"/>
  <c r="L98" i="6"/>
  <c r="M98" i="6"/>
  <c r="M102" i="6" s="1"/>
  <c r="N98" i="6"/>
  <c r="O98" i="6"/>
  <c r="P98" i="6"/>
  <c r="Q98" i="6"/>
  <c r="R98" i="6"/>
  <c r="S98" i="6"/>
  <c r="T98" i="6"/>
  <c r="L99" i="6"/>
  <c r="M99" i="6"/>
  <c r="N99" i="6"/>
  <c r="O99" i="6"/>
  <c r="P99" i="6"/>
  <c r="Q99" i="6"/>
  <c r="R99" i="6"/>
  <c r="S99" i="6"/>
  <c r="T99" i="6"/>
  <c r="L100" i="6"/>
  <c r="M100" i="6"/>
  <c r="N100" i="6"/>
  <c r="N102" i="6" s="1"/>
  <c r="O100" i="6"/>
  <c r="O102" i="6" s="1"/>
  <c r="P100" i="6"/>
  <c r="Q100" i="6"/>
  <c r="R100" i="6"/>
  <c r="S100" i="6"/>
  <c r="T100" i="6"/>
  <c r="M91" i="6"/>
  <c r="N91" i="6"/>
  <c r="O91" i="6"/>
  <c r="P91" i="6"/>
  <c r="Q91" i="6"/>
  <c r="R91" i="6"/>
  <c r="R102" i="6" s="1"/>
  <c r="S91" i="6"/>
  <c r="S102" i="6" s="1"/>
  <c r="T91" i="6"/>
  <c r="T102" i="6" s="1"/>
  <c r="L91" i="6"/>
  <c r="L102" i="6" s="1"/>
  <c r="M90" i="6"/>
  <c r="N90" i="6" s="1"/>
  <c r="O90" i="6" s="1"/>
  <c r="P90" i="6" s="1"/>
  <c r="Q90" i="6" s="1"/>
  <c r="R90" i="6" s="1"/>
  <c r="S90" i="6" s="1"/>
  <c r="T90" i="6" s="1"/>
  <c r="D86" i="6"/>
  <c r="D89" i="6"/>
  <c r="B103" i="6"/>
  <c r="K102" i="6"/>
  <c r="J102" i="6"/>
  <c r="I102" i="6"/>
  <c r="H102" i="6"/>
  <c r="G102" i="6"/>
  <c r="F102" i="6"/>
  <c r="E102" i="6"/>
  <c r="D102" i="6"/>
  <c r="C102" i="6"/>
  <c r="D90" i="6"/>
  <c r="E90" i="6" s="1"/>
  <c r="F90" i="6" s="1"/>
  <c r="G90" i="6" s="1"/>
  <c r="H90" i="6" s="1"/>
  <c r="I90" i="6" s="1"/>
  <c r="J90" i="6" s="1"/>
  <c r="K90" i="6" s="1"/>
  <c r="N49" i="6" l="1"/>
  <c r="O49" i="6" s="1"/>
  <c r="P49" i="6" s="1"/>
  <c r="Q49" i="6" s="1"/>
  <c r="R49" i="6" s="1"/>
  <c r="S49" i="6" s="1"/>
  <c r="T49" i="6" s="1"/>
  <c r="U49" i="6" s="1"/>
  <c r="N35" i="6"/>
  <c r="O35" i="6" s="1"/>
  <c r="P35" i="6" s="1"/>
  <c r="Q35" i="6" s="1"/>
  <c r="R35" i="6" s="1"/>
  <c r="S35" i="6" s="1"/>
  <c r="T35" i="6" s="1"/>
  <c r="U35" i="6" s="1"/>
  <c r="D46" i="6"/>
  <c r="E46" i="6"/>
  <c r="F46" i="6"/>
  <c r="G46" i="6"/>
  <c r="H46" i="6"/>
  <c r="I46" i="6"/>
  <c r="J46" i="6"/>
  <c r="K46" i="6"/>
  <c r="C46" i="6"/>
  <c r="B46" i="6"/>
  <c r="B102" i="6" l="1"/>
  <c r="B104" i="6" s="1"/>
  <c r="B105" i="6" s="1"/>
  <c r="B61" i="6"/>
  <c r="E103" i="6" l="1"/>
  <c r="E104" i="6" s="1"/>
  <c r="C103" i="6"/>
  <c r="C104" i="6" s="1"/>
  <c r="G103" i="6"/>
  <c r="G104" i="6" s="1"/>
  <c r="K103" i="6"/>
  <c r="K104" i="6" s="1"/>
  <c r="H103" i="6"/>
  <c r="H104" i="6" s="1"/>
  <c r="D103" i="6"/>
  <c r="D104" i="6" s="1"/>
  <c r="F103" i="6"/>
  <c r="F104" i="6" s="1"/>
  <c r="J103" i="6"/>
  <c r="J104" i="6" s="1"/>
  <c r="I103" i="6"/>
  <c r="I104" i="6" s="1"/>
  <c r="Z92" i="6" l="1"/>
  <c r="H51" i="6" s="1"/>
  <c r="R37" i="6" s="1"/>
  <c r="Z94" i="6"/>
  <c r="H53" i="6" s="1"/>
  <c r="R39" i="6" s="1"/>
  <c r="Z96" i="6"/>
  <c r="H55" i="6" s="1"/>
  <c r="R41" i="6" s="1"/>
  <c r="Z98" i="6"/>
  <c r="H57" i="6" s="1"/>
  <c r="R43" i="6" s="1"/>
  <c r="Z100" i="6"/>
  <c r="H59" i="6" s="1"/>
  <c r="R45" i="6" s="1"/>
  <c r="H60" i="6"/>
  <c r="Z91" i="6"/>
  <c r="H50" i="6" s="1"/>
  <c r="Z93" i="6"/>
  <c r="Z95" i="6"/>
  <c r="H54" i="6" s="1"/>
  <c r="R40" i="6" s="1"/>
  <c r="Z97" i="6"/>
  <c r="H56" i="6" s="1"/>
  <c r="R42" i="6" s="1"/>
  <c r="Z99" i="6"/>
  <c r="H58" i="6" s="1"/>
  <c r="R44" i="6" s="1"/>
  <c r="K60" i="6"/>
  <c r="K75" i="6" s="1"/>
  <c r="W20" i="12" s="1"/>
  <c r="X20" i="12" s="1"/>
  <c r="AC91" i="6"/>
  <c r="AC93" i="6"/>
  <c r="K52" i="6" s="1"/>
  <c r="U38" i="6" s="1"/>
  <c r="AC95" i="6"/>
  <c r="K54" i="6" s="1"/>
  <c r="U40" i="6" s="1"/>
  <c r="AC97" i="6"/>
  <c r="K56" i="6" s="1"/>
  <c r="U42" i="6" s="1"/>
  <c r="AC99" i="6"/>
  <c r="K58" i="6" s="1"/>
  <c r="U44" i="6" s="1"/>
  <c r="AC92" i="6"/>
  <c r="K51" i="6" s="1"/>
  <c r="U37" i="6" s="1"/>
  <c r="AC94" i="6"/>
  <c r="K53" i="6" s="1"/>
  <c r="U39" i="6" s="1"/>
  <c r="AC96" i="6"/>
  <c r="K55" i="6" s="1"/>
  <c r="U41" i="6" s="1"/>
  <c r="AC98" i="6"/>
  <c r="K57" i="6" s="1"/>
  <c r="U43" i="6" s="1"/>
  <c r="AC100" i="6"/>
  <c r="K59" i="6" s="1"/>
  <c r="U45" i="6" s="1"/>
  <c r="AA93" i="6"/>
  <c r="AA95" i="6"/>
  <c r="I54" i="6" s="1"/>
  <c r="S40" i="6" s="1"/>
  <c r="AA97" i="6"/>
  <c r="I56" i="6" s="1"/>
  <c r="S42" i="6" s="1"/>
  <c r="AA99" i="6"/>
  <c r="I58" i="6" s="1"/>
  <c r="S44" i="6" s="1"/>
  <c r="AA92" i="6"/>
  <c r="I51" i="6" s="1"/>
  <c r="S37" i="6" s="1"/>
  <c r="AA94" i="6"/>
  <c r="I53" i="6" s="1"/>
  <c r="S39" i="6" s="1"/>
  <c r="AA96" i="6"/>
  <c r="I55" i="6" s="1"/>
  <c r="S41" i="6" s="1"/>
  <c r="AA98" i="6"/>
  <c r="I57" i="6" s="1"/>
  <c r="S43" i="6" s="1"/>
  <c r="AA100" i="6"/>
  <c r="I59" i="6" s="1"/>
  <c r="S45" i="6" s="1"/>
  <c r="I60" i="6"/>
  <c r="AA91" i="6"/>
  <c r="I50" i="6" s="1"/>
  <c r="Y92" i="6"/>
  <c r="G51" i="6" s="1"/>
  <c r="Q37" i="6" s="1"/>
  <c r="Y94" i="6"/>
  <c r="G53" i="6" s="1"/>
  <c r="Q39" i="6" s="1"/>
  <c r="Y96" i="6"/>
  <c r="G55" i="6" s="1"/>
  <c r="Q41" i="6" s="1"/>
  <c r="Y98" i="6"/>
  <c r="G57" i="6" s="1"/>
  <c r="Q43" i="6" s="1"/>
  <c r="Y100" i="6"/>
  <c r="G59" i="6" s="1"/>
  <c r="Q45" i="6" s="1"/>
  <c r="G60" i="6"/>
  <c r="Y91" i="6"/>
  <c r="Y93" i="6"/>
  <c r="G52" i="6" s="1"/>
  <c r="Q38" i="6" s="1"/>
  <c r="Y95" i="6"/>
  <c r="G54" i="6" s="1"/>
  <c r="Q40" i="6" s="1"/>
  <c r="Y97" i="6"/>
  <c r="G56" i="6" s="1"/>
  <c r="Q42" i="6" s="1"/>
  <c r="Y99" i="6"/>
  <c r="G58" i="6" s="1"/>
  <c r="Q44" i="6" s="1"/>
  <c r="J60" i="6"/>
  <c r="J75" i="6" s="1"/>
  <c r="U20" i="12" s="1"/>
  <c r="AB91" i="6"/>
  <c r="AB93" i="6"/>
  <c r="J52" i="6" s="1"/>
  <c r="T38" i="6" s="1"/>
  <c r="AB95" i="6"/>
  <c r="J54" i="6" s="1"/>
  <c r="T40" i="6" s="1"/>
  <c r="AB97" i="6"/>
  <c r="J56" i="6" s="1"/>
  <c r="T42" i="6" s="1"/>
  <c r="AB99" i="6"/>
  <c r="J58" i="6" s="1"/>
  <c r="T44" i="6" s="1"/>
  <c r="AB92" i="6"/>
  <c r="J51" i="6" s="1"/>
  <c r="T37" i="6" s="1"/>
  <c r="AB94" i="6"/>
  <c r="J53" i="6" s="1"/>
  <c r="T39" i="6" s="1"/>
  <c r="AB96" i="6"/>
  <c r="J55" i="6" s="1"/>
  <c r="T41" i="6" s="1"/>
  <c r="AB98" i="6"/>
  <c r="J57" i="6" s="1"/>
  <c r="T43" i="6" s="1"/>
  <c r="AB100" i="6"/>
  <c r="J59" i="6" s="1"/>
  <c r="T45" i="6" s="1"/>
  <c r="U93" i="6"/>
  <c r="U95" i="6"/>
  <c r="C54" i="6" s="1"/>
  <c r="M40" i="6" s="1"/>
  <c r="U97" i="6"/>
  <c r="C56" i="6" s="1"/>
  <c r="M42" i="6" s="1"/>
  <c r="U99" i="6"/>
  <c r="C58" i="6" s="1"/>
  <c r="M44" i="6" s="1"/>
  <c r="U91" i="6"/>
  <c r="C50" i="6" s="1"/>
  <c r="U92" i="6"/>
  <c r="C51" i="6" s="1"/>
  <c r="M37" i="6" s="1"/>
  <c r="U94" i="6"/>
  <c r="C53" i="6" s="1"/>
  <c r="M39" i="6" s="1"/>
  <c r="U96" i="6"/>
  <c r="C55" i="6" s="1"/>
  <c r="M41" i="6" s="1"/>
  <c r="U98" i="6"/>
  <c r="C57" i="6" s="1"/>
  <c r="M43" i="6" s="1"/>
  <c r="U100" i="6"/>
  <c r="C59" i="6" s="1"/>
  <c r="M45" i="6" s="1"/>
  <c r="C60" i="6"/>
  <c r="X92" i="6"/>
  <c r="F51" i="6" s="1"/>
  <c r="P37" i="6" s="1"/>
  <c r="X94" i="6"/>
  <c r="F53" i="6" s="1"/>
  <c r="P39" i="6" s="1"/>
  <c r="X96" i="6"/>
  <c r="F55" i="6" s="1"/>
  <c r="P41" i="6" s="1"/>
  <c r="X98" i="6"/>
  <c r="F57" i="6" s="1"/>
  <c r="P43" i="6" s="1"/>
  <c r="X100" i="6"/>
  <c r="F59" i="6" s="1"/>
  <c r="P45" i="6" s="1"/>
  <c r="F60" i="6"/>
  <c r="M20" i="12" s="1"/>
  <c r="F15" i="13" s="1"/>
  <c r="X91" i="6"/>
  <c r="X93" i="6"/>
  <c r="F52" i="6" s="1"/>
  <c r="P38" i="6" s="1"/>
  <c r="X95" i="6"/>
  <c r="F54" i="6" s="1"/>
  <c r="P40" i="6" s="1"/>
  <c r="X97" i="6"/>
  <c r="F56" i="6" s="1"/>
  <c r="P42" i="6" s="1"/>
  <c r="X99" i="6"/>
  <c r="F58" i="6" s="1"/>
  <c r="P44" i="6" s="1"/>
  <c r="E60" i="6"/>
  <c r="K20" i="12" s="1"/>
  <c r="D15" i="13" s="1"/>
  <c r="W91" i="6"/>
  <c r="W93" i="6"/>
  <c r="E52" i="6" s="1"/>
  <c r="O38" i="6" s="1"/>
  <c r="W95" i="6"/>
  <c r="E54" i="6" s="1"/>
  <c r="O40" i="6" s="1"/>
  <c r="W97" i="6"/>
  <c r="E56" i="6" s="1"/>
  <c r="O42" i="6" s="1"/>
  <c r="W99" i="6"/>
  <c r="E58" i="6" s="1"/>
  <c r="O44" i="6" s="1"/>
  <c r="W92" i="6"/>
  <c r="E51" i="6" s="1"/>
  <c r="O37" i="6" s="1"/>
  <c r="W94" i="6"/>
  <c r="E53" i="6" s="1"/>
  <c r="O39" i="6" s="1"/>
  <c r="W96" i="6"/>
  <c r="E55" i="6" s="1"/>
  <c r="O41" i="6" s="1"/>
  <c r="W98" i="6"/>
  <c r="E57" i="6" s="1"/>
  <c r="O43" i="6" s="1"/>
  <c r="W100" i="6"/>
  <c r="E59" i="6" s="1"/>
  <c r="O45" i="6" s="1"/>
  <c r="D60" i="6"/>
  <c r="D75" i="6" s="1"/>
  <c r="V91" i="6"/>
  <c r="V93" i="6"/>
  <c r="D52" i="6" s="1"/>
  <c r="N38" i="6" s="1"/>
  <c r="V95" i="6"/>
  <c r="D54" i="6" s="1"/>
  <c r="N40" i="6" s="1"/>
  <c r="V97" i="6"/>
  <c r="D56" i="6" s="1"/>
  <c r="N42" i="6" s="1"/>
  <c r="V99" i="6"/>
  <c r="D58" i="6" s="1"/>
  <c r="N44" i="6" s="1"/>
  <c r="V92" i="6"/>
  <c r="D51" i="6" s="1"/>
  <c r="N37" i="6" s="1"/>
  <c r="V94" i="6"/>
  <c r="D53" i="6" s="1"/>
  <c r="N39" i="6" s="1"/>
  <c r="V96" i="6"/>
  <c r="D55" i="6" s="1"/>
  <c r="N41" i="6" s="1"/>
  <c r="V98" i="6"/>
  <c r="D57" i="6" s="1"/>
  <c r="N43" i="6" s="1"/>
  <c r="V100" i="6"/>
  <c r="D59" i="6" s="1"/>
  <c r="N45" i="6" s="1"/>
  <c r="V102" i="6" l="1"/>
  <c r="D50" i="6"/>
  <c r="C75" i="6"/>
  <c r="M36" i="6"/>
  <c r="AA102" i="6"/>
  <c r="I52" i="6"/>
  <c r="S38" i="6" s="1"/>
  <c r="AB102" i="6"/>
  <c r="J50" i="6"/>
  <c r="G50" i="6"/>
  <c r="Y102" i="6"/>
  <c r="S36" i="6"/>
  <c r="U102" i="6"/>
  <c r="C52" i="6"/>
  <c r="M38" i="6" s="1"/>
  <c r="Z102" i="6"/>
  <c r="H52" i="6"/>
  <c r="R38" i="6" s="1"/>
  <c r="E50" i="6"/>
  <c r="W102" i="6"/>
  <c r="F50" i="6"/>
  <c r="X102" i="6"/>
  <c r="K50" i="6"/>
  <c r="AC102" i="6"/>
  <c r="R36" i="6"/>
  <c r="R46" i="6" l="1"/>
  <c r="H61" i="6"/>
  <c r="S46" i="6"/>
  <c r="M46" i="6"/>
  <c r="C61" i="6"/>
  <c r="I61" i="6"/>
  <c r="U36" i="6"/>
  <c r="U46" i="6" s="1"/>
  <c r="K61" i="6"/>
  <c r="G61" i="6"/>
  <c r="Q36" i="6"/>
  <c r="Q46" i="6" s="1"/>
  <c r="N36" i="6"/>
  <c r="N46" i="6" s="1"/>
  <c r="D61" i="6"/>
  <c r="P36" i="6"/>
  <c r="P46" i="6" s="1"/>
  <c r="F61" i="6"/>
  <c r="O36" i="6"/>
  <c r="O46" i="6" s="1"/>
  <c r="E61" i="6"/>
  <c r="J61" i="6"/>
  <c r="T36" i="6"/>
  <c r="T46" i="6" s="1"/>
  <c r="W20" i="6" l="1"/>
  <c r="X20" i="6" s="1"/>
  <c r="Y20" i="6" s="1"/>
  <c r="Z20" i="6" s="1"/>
  <c r="AA20" i="6" s="1"/>
  <c r="AB20" i="6" s="1"/>
  <c r="AC20" i="6" s="1"/>
  <c r="AD20" i="6" s="1"/>
  <c r="N20" i="6"/>
  <c r="O20" i="6" s="1"/>
  <c r="P20" i="6" s="1"/>
  <c r="Q20" i="6" s="1"/>
  <c r="R20" i="6" s="1"/>
  <c r="S20" i="6" s="1"/>
  <c r="T20" i="6" s="1"/>
  <c r="U20" i="6" s="1"/>
  <c r="I67" i="12"/>
  <c r="D31" i="6"/>
  <c r="D74" i="6" s="1"/>
  <c r="E31" i="6"/>
  <c r="E74" i="6" s="1"/>
  <c r="F31" i="6"/>
  <c r="F74" i="6" s="1"/>
  <c r="G31" i="6"/>
  <c r="G74" i="6" s="1"/>
  <c r="O19" i="12" s="1"/>
  <c r="H14" i="13" s="1"/>
  <c r="H31" i="6"/>
  <c r="H74" i="6" s="1"/>
  <c r="Q19" i="12" s="1"/>
  <c r="J14" i="13" s="1"/>
  <c r="I31" i="6"/>
  <c r="I74" i="6" s="1"/>
  <c r="S19" i="12" s="1"/>
  <c r="J31" i="6"/>
  <c r="J74" i="6" s="1"/>
  <c r="U19" i="12" s="1"/>
  <c r="K31" i="6"/>
  <c r="K74" i="6" s="1"/>
  <c r="W19" i="12" s="1"/>
  <c r="C31" i="6"/>
  <c r="C17" i="6"/>
  <c r="B32" i="6"/>
  <c r="B32" i="3"/>
  <c r="B17" i="6"/>
  <c r="C46" i="5"/>
  <c r="D46" i="5"/>
  <c r="E46" i="5"/>
  <c r="F46" i="5"/>
  <c r="G46" i="5"/>
  <c r="H46" i="5"/>
  <c r="I46" i="5"/>
  <c r="J46" i="5"/>
  <c r="K46" i="5"/>
  <c r="B46" i="5"/>
  <c r="D31" i="5"/>
  <c r="E31" i="5"/>
  <c r="F31" i="5"/>
  <c r="G31" i="5"/>
  <c r="H31" i="5"/>
  <c r="I31" i="5"/>
  <c r="J31" i="5"/>
  <c r="K31" i="5"/>
  <c r="C31" i="5"/>
  <c r="B17" i="5"/>
  <c r="B31" i="5"/>
  <c r="C17" i="5"/>
  <c r="D17" i="5"/>
  <c r="E17" i="5"/>
  <c r="F17" i="5"/>
  <c r="G17" i="5"/>
  <c r="H17" i="5"/>
  <c r="I17" i="5"/>
  <c r="J17" i="5"/>
  <c r="K17" i="5"/>
  <c r="C74" i="6" l="1"/>
  <c r="C82" i="6" s="1"/>
  <c r="V19" i="12"/>
  <c r="U18" i="12"/>
  <c r="U18" i="17" s="1"/>
  <c r="M19" i="12"/>
  <c r="F14" i="13" s="1"/>
  <c r="F77" i="6"/>
  <c r="D77" i="6"/>
  <c r="D76" i="6"/>
  <c r="X19" i="12"/>
  <c r="W18" i="12"/>
  <c r="K19" i="12"/>
  <c r="E77" i="6"/>
  <c r="A99" i="4"/>
  <c r="D114" i="4"/>
  <c r="E114" i="4"/>
  <c r="F114" i="4"/>
  <c r="G114" i="4"/>
  <c r="H114" i="4"/>
  <c r="I114" i="4"/>
  <c r="J114" i="4"/>
  <c r="K114" i="4"/>
  <c r="C114" i="4"/>
  <c r="B114" i="4"/>
  <c r="B99" i="4"/>
  <c r="D99" i="4"/>
  <c r="E99" i="4"/>
  <c r="F99" i="4"/>
  <c r="G99" i="4"/>
  <c r="H99" i="4"/>
  <c r="I99" i="4"/>
  <c r="J99" i="4"/>
  <c r="K99" i="4"/>
  <c r="C99" i="4"/>
  <c r="C84" i="4"/>
  <c r="C79" i="4"/>
  <c r="C74" i="4"/>
  <c r="C68" i="4"/>
  <c r="C69" i="4"/>
  <c r="B68" i="4"/>
  <c r="D53" i="4"/>
  <c r="E53" i="4"/>
  <c r="F53" i="4"/>
  <c r="G53" i="4"/>
  <c r="H53" i="4"/>
  <c r="I53" i="4"/>
  <c r="J53" i="4"/>
  <c r="K53" i="4"/>
  <c r="C53" i="4"/>
  <c r="C74" i="3"/>
  <c r="C38" i="4"/>
  <c r="C28" i="4"/>
  <c r="C33" i="4"/>
  <c r="C23" i="4"/>
  <c r="X18" i="12" l="1"/>
  <c r="X18" i="17" s="1"/>
  <c r="W18" i="17"/>
  <c r="L19" i="12"/>
  <c r="D14" i="13"/>
  <c r="N18" i="9"/>
  <c r="AU33" i="9" s="1"/>
  <c r="O33" i="9" s="1"/>
  <c r="C19" i="3"/>
  <c r="C18" i="4"/>
  <c r="D61" i="3"/>
  <c r="AG6" i="3" l="1"/>
  <c r="AH6" i="3" s="1"/>
  <c r="AI6" i="3" s="1"/>
  <c r="AJ6" i="3" s="1"/>
  <c r="AK6" i="3" s="1"/>
  <c r="AL6" i="3" s="1"/>
  <c r="AM6" i="3" s="1"/>
  <c r="AN6" i="3" s="1"/>
  <c r="AX32" i="3"/>
  <c r="AT17" i="3"/>
  <c r="AU17" i="3"/>
  <c r="AV17" i="3"/>
  <c r="AW17" i="3"/>
  <c r="AX17" i="3"/>
  <c r="AY17" i="3"/>
  <c r="AZ17" i="3"/>
  <c r="BA17" i="3"/>
  <c r="AS17" i="3"/>
  <c r="AT6" i="3"/>
  <c r="AU6" i="3" s="1"/>
  <c r="AV6" i="3" s="1"/>
  <c r="AW6" i="3" s="1"/>
  <c r="AX6" i="3" s="1"/>
  <c r="AY6" i="3" s="1"/>
  <c r="AZ6" i="3" s="1"/>
  <c r="BA6" i="3" s="1"/>
  <c r="V7" i="3"/>
  <c r="AD152" i="2"/>
  <c r="N152" i="2"/>
  <c r="AD137" i="2"/>
  <c r="N137" i="2"/>
  <c r="AD122" i="2"/>
  <c r="N122" i="2"/>
  <c r="AD107" i="2"/>
  <c r="N107" i="2"/>
  <c r="AE92" i="2"/>
  <c r="AD92" i="2"/>
  <c r="N92" i="2"/>
  <c r="AD77" i="2"/>
  <c r="N77" i="2"/>
  <c r="AD63" i="2"/>
  <c r="N63" i="2"/>
  <c r="AD47" i="2"/>
  <c r="N47" i="2"/>
  <c r="AD32" i="2"/>
  <c r="N32" i="2"/>
  <c r="AD17" i="2"/>
  <c r="N17" i="2"/>
  <c r="AA156" i="2"/>
  <c r="Z156" i="2"/>
  <c r="Y156" i="2"/>
  <c r="X156" i="2"/>
  <c r="W156" i="2"/>
  <c r="V156" i="2"/>
  <c r="U156" i="2"/>
  <c r="T156" i="2"/>
  <c r="S156" i="2"/>
  <c r="T141" i="2"/>
  <c r="U141" i="2" s="1"/>
  <c r="V141" i="2" s="1"/>
  <c r="W141" i="2" s="1"/>
  <c r="X141" i="2" s="1"/>
  <c r="Y141" i="2" s="1"/>
  <c r="Z141" i="2" s="1"/>
  <c r="AA141" i="2" s="1"/>
  <c r="U126" i="2"/>
  <c r="V126" i="2" s="1"/>
  <c r="W126" i="2" s="1"/>
  <c r="X126" i="2" s="1"/>
  <c r="Y126" i="2" s="1"/>
  <c r="Z126" i="2" s="1"/>
  <c r="AA126" i="2" s="1"/>
  <c r="T126" i="2"/>
  <c r="T111" i="2"/>
  <c r="U111" i="2" s="1"/>
  <c r="V111" i="2" s="1"/>
  <c r="W111" i="2" s="1"/>
  <c r="X111" i="2" s="1"/>
  <c r="Y111" i="2" s="1"/>
  <c r="Z111" i="2" s="1"/>
  <c r="AA111" i="2" s="1"/>
  <c r="T96" i="2"/>
  <c r="U96" i="2" s="1"/>
  <c r="V96" i="2" s="1"/>
  <c r="W96" i="2" s="1"/>
  <c r="X96" i="2" s="1"/>
  <c r="Y96" i="2" s="1"/>
  <c r="Z96" i="2" s="1"/>
  <c r="AA96" i="2" s="1"/>
  <c r="T81" i="2"/>
  <c r="U81" i="2" s="1"/>
  <c r="V81" i="2" s="1"/>
  <c r="W81" i="2" s="1"/>
  <c r="X81" i="2" s="1"/>
  <c r="Y81" i="2" s="1"/>
  <c r="Z81" i="2" s="1"/>
  <c r="AA81" i="2" s="1"/>
  <c r="T66" i="2"/>
  <c r="U66" i="2" s="1"/>
  <c r="V66" i="2" s="1"/>
  <c r="W66" i="2" s="1"/>
  <c r="X66" i="2" s="1"/>
  <c r="Y66" i="2" s="1"/>
  <c r="Z66" i="2" s="1"/>
  <c r="AA66" i="2" s="1"/>
  <c r="T51" i="2"/>
  <c r="U51" i="2" s="1"/>
  <c r="V51" i="2" s="1"/>
  <c r="W51" i="2" s="1"/>
  <c r="X51" i="2" s="1"/>
  <c r="Y51" i="2" s="1"/>
  <c r="Z51" i="2" s="1"/>
  <c r="AA51" i="2" s="1"/>
  <c r="T36" i="2"/>
  <c r="U36" i="2" s="1"/>
  <c r="V36" i="2" s="1"/>
  <c r="W36" i="2" s="1"/>
  <c r="X36" i="2" s="1"/>
  <c r="Y36" i="2" s="1"/>
  <c r="Z36" i="2" s="1"/>
  <c r="AA36" i="2" s="1"/>
  <c r="T21" i="2"/>
  <c r="U21" i="2" s="1"/>
  <c r="V21" i="2" s="1"/>
  <c r="W21" i="2" s="1"/>
  <c r="X21" i="2" s="1"/>
  <c r="Y21" i="2" s="1"/>
  <c r="Z21" i="2" s="1"/>
  <c r="AA21" i="2" s="1"/>
  <c r="T6" i="2"/>
  <c r="U6" i="2" s="1"/>
  <c r="V6" i="2" s="1"/>
  <c r="W6" i="2" s="1"/>
  <c r="X6" i="2" s="1"/>
  <c r="Y6" i="2" s="1"/>
  <c r="Z6" i="2" s="1"/>
  <c r="AA6" i="2" s="1"/>
  <c r="BI36" i="3" l="1"/>
  <c r="BJ36" i="3"/>
  <c r="BK36" i="3"/>
  <c r="BL36" i="3"/>
  <c r="BM36" i="3"/>
  <c r="BN36" i="3"/>
  <c r="BO36" i="3"/>
  <c r="BI37" i="3"/>
  <c r="BJ37" i="3"/>
  <c r="BK37" i="3"/>
  <c r="BL37" i="3"/>
  <c r="BM37" i="3"/>
  <c r="BN37" i="3"/>
  <c r="BO37" i="3"/>
  <c r="BI38" i="3"/>
  <c r="BJ38" i="3"/>
  <c r="BK38" i="3"/>
  <c r="BL38" i="3"/>
  <c r="BM38" i="3"/>
  <c r="BN38" i="3"/>
  <c r="BO38" i="3"/>
  <c r="BI39" i="3"/>
  <c r="BJ39" i="3"/>
  <c r="BK39" i="3"/>
  <c r="BL39" i="3"/>
  <c r="BM39" i="3"/>
  <c r="BN39" i="3"/>
  <c r="BO39" i="3"/>
  <c r="BI40" i="3"/>
  <c r="BJ40" i="3"/>
  <c r="BK40" i="3"/>
  <c r="BL40" i="3"/>
  <c r="BM40" i="3"/>
  <c r="BN40" i="3"/>
  <c r="BO40" i="3"/>
  <c r="BI41" i="3"/>
  <c r="BJ41" i="3"/>
  <c r="BK41" i="3"/>
  <c r="BL41" i="3"/>
  <c r="BM41" i="3"/>
  <c r="BN41" i="3"/>
  <c r="BO41" i="3"/>
  <c r="BI42" i="3"/>
  <c r="BJ42" i="3"/>
  <c r="BK42" i="3"/>
  <c r="BL42" i="3"/>
  <c r="BM42" i="3"/>
  <c r="BN42" i="3"/>
  <c r="BO42" i="3"/>
  <c r="BI43" i="3"/>
  <c r="BJ43" i="3"/>
  <c r="BK43" i="3"/>
  <c r="BL43" i="3"/>
  <c r="BM43" i="3"/>
  <c r="BN43" i="3"/>
  <c r="BO43" i="3"/>
  <c r="BI44" i="3"/>
  <c r="BJ44" i="3"/>
  <c r="BK44" i="3"/>
  <c r="BL44" i="3"/>
  <c r="BM44" i="3"/>
  <c r="BN44" i="3"/>
  <c r="BO44" i="3"/>
  <c r="BI45" i="3"/>
  <c r="BJ45" i="3"/>
  <c r="BK45" i="3"/>
  <c r="BL45" i="3"/>
  <c r="BM45" i="3"/>
  <c r="BN45" i="3"/>
  <c r="BO45" i="3"/>
  <c r="BH38" i="3"/>
  <c r="BH39" i="3"/>
  <c r="BH40" i="3"/>
  <c r="BH41" i="3"/>
  <c r="BH42" i="3"/>
  <c r="BH43" i="3"/>
  <c r="BH44" i="3"/>
  <c r="BH45" i="3"/>
  <c r="BH37" i="3"/>
  <c r="BH36" i="3"/>
  <c r="BF46" i="3" l="1"/>
  <c r="BE46" i="3"/>
  <c r="BD46" i="3"/>
  <c r="BC46" i="3"/>
  <c r="BB46" i="3"/>
  <c r="BA46" i="3"/>
  <c r="AZ46" i="3"/>
  <c r="AY46" i="3"/>
  <c r="AX46" i="3"/>
  <c r="AY35" i="3"/>
  <c r="AZ35" i="3" s="1"/>
  <c r="BA35" i="3" s="1"/>
  <c r="BB35" i="3" s="1"/>
  <c r="BC35" i="3" s="1"/>
  <c r="BD35" i="3" s="1"/>
  <c r="BE35" i="3" s="1"/>
  <c r="BF35" i="3" s="1"/>
  <c r="BF34" i="3"/>
  <c r="BE34" i="3"/>
  <c r="BD34" i="3"/>
  <c r="BC34" i="3"/>
  <c r="BB34" i="3"/>
  <c r="BA34" i="3"/>
  <c r="AZ34" i="3"/>
  <c r="AY34" i="3"/>
  <c r="AX34" i="3"/>
  <c r="C34" i="3"/>
  <c r="W16" i="3"/>
  <c r="X16" i="3"/>
  <c r="Y16" i="3"/>
  <c r="Z16" i="3"/>
  <c r="AA16" i="3"/>
  <c r="AB16" i="3"/>
  <c r="AC16" i="3"/>
  <c r="AD16" i="3"/>
  <c r="V16" i="3"/>
  <c r="W15" i="3"/>
  <c r="X15" i="3"/>
  <c r="AH15" i="3" s="1"/>
  <c r="Y15" i="3"/>
  <c r="AI15" i="3" s="1"/>
  <c r="Z15" i="3"/>
  <c r="AA15" i="3"/>
  <c r="AB15" i="3"/>
  <c r="AC15" i="3"/>
  <c r="AD15" i="3"/>
  <c r="V15" i="3"/>
  <c r="W14" i="3"/>
  <c r="X14" i="3"/>
  <c r="Y14" i="3"/>
  <c r="Z14" i="3"/>
  <c r="AA14" i="3"/>
  <c r="AB14" i="3"/>
  <c r="AC14" i="3"/>
  <c r="AD14" i="3"/>
  <c r="V14" i="3"/>
  <c r="W13" i="3"/>
  <c r="X13" i="3"/>
  <c r="AH13" i="3" s="1"/>
  <c r="Y13" i="3"/>
  <c r="AI13" i="3" s="1"/>
  <c r="Z13" i="3"/>
  <c r="AJ13" i="3" s="1"/>
  <c r="AA13" i="3"/>
  <c r="AB13" i="3"/>
  <c r="AC13" i="3"/>
  <c r="AD13" i="3"/>
  <c r="V13" i="3"/>
  <c r="W12" i="3"/>
  <c r="X12" i="3"/>
  <c r="Y12" i="3"/>
  <c r="AI12" i="3" s="1"/>
  <c r="Z12" i="3"/>
  <c r="AJ12" i="3" s="1"/>
  <c r="AA12" i="3"/>
  <c r="AB12" i="3"/>
  <c r="AC12" i="3"/>
  <c r="AD12" i="3"/>
  <c r="V12" i="3"/>
  <c r="W11" i="3"/>
  <c r="X11" i="3"/>
  <c r="AH11" i="3" s="1"/>
  <c r="Y11" i="3"/>
  <c r="AI11" i="3" s="1"/>
  <c r="Z11" i="3"/>
  <c r="AA11" i="3"/>
  <c r="AB11" i="3"/>
  <c r="AC11" i="3"/>
  <c r="AD11" i="3"/>
  <c r="V11" i="3"/>
  <c r="W10" i="3"/>
  <c r="X10" i="3"/>
  <c r="AH10" i="3" s="1"/>
  <c r="Y10" i="3"/>
  <c r="AI10" i="3" s="1"/>
  <c r="Z10" i="3"/>
  <c r="AA10" i="3"/>
  <c r="AK10" i="3" s="1"/>
  <c r="AB10" i="3"/>
  <c r="AC10" i="3"/>
  <c r="AD10" i="3"/>
  <c r="V10" i="3"/>
  <c r="W9" i="3"/>
  <c r="X9" i="3"/>
  <c r="Y9" i="3"/>
  <c r="Z9" i="3"/>
  <c r="AA9" i="3"/>
  <c r="AB9" i="3"/>
  <c r="AC9" i="3"/>
  <c r="AD9" i="3"/>
  <c r="V9" i="3"/>
  <c r="W8" i="3"/>
  <c r="X8" i="3"/>
  <c r="Y8" i="3"/>
  <c r="Z8" i="3"/>
  <c r="AA8" i="3"/>
  <c r="AB8" i="3"/>
  <c r="AC8" i="3"/>
  <c r="AD8" i="3"/>
  <c r="V8" i="3"/>
  <c r="W7" i="3"/>
  <c r="X7" i="3"/>
  <c r="Y7" i="3"/>
  <c r="Z7" i="3"/>
  <c r="AA7" i="3"/>
  <c r="AB7" i="3"/>
  <c r="AC7" i="3"/>
  <c r="AD7" i="3"/>
  <c r="BA32" i="3"/>
  <c r="AI21" i="3" s="1"/>
  <c r="F21" i="3" s="1"/>
  <c r="BF22" i="3"/>
  <c r="BE22" i="3"/>
  <c r="BD22" i="3"/>
  <c r="AZ22" i="3"/>
  <c r="AY22" i="3"/>
  <c r="AX22" i="3"/>
  <c r="BC22" i="3"/>
  <c r="BB22" i="3"/>
  <c r="BA22" i="3"/>
  <c r="BF32" i="3"/>
  <c r="AN21" i="3" s="1"/>
  <c r="BE32" i="3"/>
  <c r="AM21" i="3" s="1"/>
  <c r="BD32" i="3"/>
  <c r="AL21" i="3" s="1"/>
  <c r="BC32" i="3"/>
  <c r="AK21" i="3" s="1"/>
  <c r="BB32" i="3"/>
  <c r="AJ21" i="3" s="1"/>
  <c r="AZ32" i="3"/>
  <c r="AY32" i="3"/>
  <c r="AY20" i="3"/>
  <c r="AZ20" i="3" s="1"/>
  <c r="BA20" i="3" s="1"/>
  <c r="BB20" i="3" s="1"/>
  <c r="BC20" i="3" s="1"/>
  <c r="BD20" i="3" s="1"/>
  <c r="BE20" i="3" s="1"/>
  <c r="BF20" i="3" s="1"/>
  <c r="C23" i="3"/>
  <c r="E91" i="1"/>
  <c r="D4" i="1"/>
  <c r="E4" i="1" s="1"/>
  <c r="F4" i="1" s="1"/>
  <c r="G4" i="1" s="1"/>
  <c r="H4" i="1" s="1"/>
  <c r="I4" i="1" s="1"/>
  <c r="Z7" i="12"/>
  <c r="BA47" i="3" l="1"/>
  <c r="AZ47" i="3"/>
  <c r="BB47" i="3"/>
  <c r="AY47" i="3"/>
  <c r="BC47" i="3"/>
  <c r="O10" i="12"/>
  <c r="Z21" i="3"/>
  <c r="P10" i="12" s="1"/>
  <c r="AC22" i="9"/>
  <c r="T55" i="9" s="1"/>
  <c r="BD47" i="3"/>
  <c r="M10" i="12"/>
  <c r="Z22" i="9"/>
  <c r="BE47" i="3"/>
  <c r="AL24" i="3"/>
  <c r="AN24" i="3"/>
  <c r="AM24" i="3"/>
  <c r="AJ24" i="3"/>
  <c r="AK24" i="3"/>
  <c r="AM25" i="3"/>
  <c r="AL28" i="3"/>
  <c r="AK29" i="3"/>
  <c r="AJ28" i="3"/>
  <c r="AI28" i="3"/>
  <c r="AM26" i="3"/>
  <c r="AM23" i="3"/>
  <c r="AN25" i="3"/>
  <c r="K25" i="3" s="1"/>
  <c r="AN29" i="3"/>
  <c r="AL30" i="3"/>
  <c r="AL31" i="3"/>
  <c r="AN28" i="3"/>
  <c r="AN27" i="3"/>
  <c r="AK31" i="3"/>
  <c r="AK26" i="3"/>
  <c r="AK25" i="3"/>
  <c r="AM28" i="3"/>
  <c r="AK27" i="3"/>
  <c r="AN23" i="3"/>
  <c r="AL26" i="3"/>
  <c r="AL25" i="3"/>
  <c r="AL23" i="3"/>
  <c r="AN30" i="3"/>
  <c r="AL29" i="3"/>
  <c r="AK30" i="3"/>
  <c r="AN26" i="3"/>
  <c r="K26" i="3" s="1"/>
  <c r="J34" i="11" s="1"/>
  <c r="AM31" i="3"/>
  <c r="AM27" i="3"/>
  <c r="AK28" i="3"/>
  <c r="AI27" i="3"/>
  <c r="AN31" i="3"/>
  <c r="AM30" i="3"/>
  <c r="AK23" i="3"/>
  <c r="AL27" i="3"/>
  <c r="AM29" i="3"/>
  <c r="AJ27" i="3"/>
  <c r="AH21" i="3"/>
  <c r="E21" i="3" s="1"/>
  <c r="Y21" i="3" s="1"/>
  <c r="N10" i="12" s="1"/>
  <c r="AH27" i="3"/>
  <c r="AH25" i="3"/>
  <c r="AJ29" i="3"/>
  <c r="AJ25" i="3"/>
  <c r="AJ30" i="3"/>
  <c r="AJ26" i="3"/>
  <c r="AJ23" i="3"/>
  <c r="AJ31" i="3"/>
  <c r="AI24" i="3"/>
  <c r="AI30" i="3"/>
  <c r="AI25" i="3"/>
  <c r="AI26" i="3"/>
  <c r="AH24" i="3"/>
  <c r="AH23" i="3"/>
  <c r="W23" i="9" s="1"/>
  <c r="N56" i="9" s="1"/>
  <c r="AH31" i="3"/>
  <c r="AI23" i="3"/>
  <c r="AH30" i="3"/>
  <c r="AH29" i="3"/>
  <c r="AH26" i="3"/>
  <c r="AI31" i="3"/>
  <c r="AI29" i="3"/>
  <c r="AH28" i="3"/>
  <c r="BF47" i="3"/>
  <c r="BK46" i="3"/>
  <c r="BJ46" i="3"/>
  <c r="BL46" i="3"/>
  <c r="BM46" i="3"/>
  <c r="BH46" i="3"/>
  <c r="BN46" i="3"/>
  <c r="BI46" i="3"/>
  <c r="BO46" i="3"/>
  <c r="S57" i="12"/>
  <c r="Q57" i="12"/>
  <c r="G56" i="12"/>
  <c r="G60" i="12" s="1"/>
  <c r="G58" i="12"/>
  <c r="K53" i="17"/>
  <c r="O30" i="17"/>
  <c r="M30" i="17"/>
  <c r="K30" i="17"/>
  <c r="I30" i="17"/>
  <c r="J30" i="17" s="1"/>
  <c r="H30" i="17"/>
  <c r="F30" i="17"/>
  <c r="D30" i="17"/>
  <c r="O29" i="17"/>
  <c r="M29" i="17"/>
  <c r="K29" i="17"/>
  <c r="I29" i="17"/>
  <c r="G29" i="17"/>
  <c r="E29" i="17"/>
  <c r="C29" i="17"/>
  <c r="O28" i="17"/>
  <c r="M28" i="17"/>
  <c r="K28" i="17"/>
  <c r="I28" i="17"/>
  <c r="G28" i="17"/>
  <c r="E28" i="17"/>
  <c r="C28" i="17"/>
  <c r="D27" i="17"/>
  <c r="I23" i="17"/>
  <c r="E20" i="17"/>
  <c r="H20" i="17" s="1"/>
  <c r="E19" i="17"/>
  <c r="H19" i="17" s="1"/>
  <c r="G18" i="17"/>
  <c r="G33" i="17" s="1"/>
  <c r="T17" i="17"/>
  <c r="S17" i="17"/>
  <c r="R17" i="17"/>
  <c r="Q17" i="17"/>
  <c r="P17" i="17"/>
  <c r="O17" i="17"/>
  <c r="N17" i="17"/>
  <c r="M17" i="17"/>
  <c r="L17" i="17"/>
  <c r="K17" i="17"/>
  <c r="J17" i="17"/>
  <c r="I17" i="17"/>
  <c r="F17" i="17"/>
  <c r="E17" i="17"/>
  <c r="F16" i="17"/>
  <c r="E16" i="17"/>
  <c r="S15" i="17"/>
  <c r="R15" i="17"/>
  <c r="Q15" i="17"/>
  <c r="P15" i="17"/>
  <c r="O15" i="17"/>
  <c r="N15" i="17"/>
  <c r="M15" i="17"/>
  <c r="L15" i="17"/>
  <c r="K15" i="17"/>
  <c r="J15" i="17"/>
  <c r="I15" i="17"/>
  <c r="F15" i="17"/>
  <c r="E15" i="17"/>
  <c r="F14" i="17"/>
  <c r="E14" i="17"/>
  <c r="H13" i="17"/>
  <c r="F13" i="17"/>
  <c r="E12" i="17"/>
  <c r="F12" i="17" s="1"/>
  <c r="E11" i="17"/>
  <c r="F11" i="17" s="1"/>
  <c r="F10" i="17"/>
  <c r="E10" i="17"/>
  <c r="F9" i="17"/>
  <c r="E9" i="17"/>
  <c r="Y8" i="17"/>
  <c r="G8" i="17"/>
  <c r="D7" i="17"/>
  <c r="F6" i="17"/>
  <c r="D6" i="17"/>
  <c r="F5" i="17"/>
  <c r="E5" i="17"/>
  <c r="E8" i="17" s="1"/>
  <c r="D5" i="17"/>
  <c r="C5" i="17"/>
  <c r="C8" i="17" s="1"/>
  <c r="D8" i="17" s="1"/>
  <c r="AC4" i="17"/>
  <c r="AA4" i="17"/>
  <c r="Z4" i="17"/>
  <c r="I4" i="17"/>
  <c r="AE4" i="17" s="1"/>
  <c r="H4" i="17"/>
  <c r="AD4" i="17" s="1"/>
  <c r="F4" i="17"/>
  <c r="AB4" i="17" s="1"/>
  <c r="G7" i="13" l="1"/>
  <c r="N10" i="17"/>
  <c r="F7" i="13"/>
  <c r="M10" i="17"/>
  <c r="L28" i="17"/>
  <c r="I7" i="13"/>
  <c r="P10" i="17"/>
  <c r="J35" i="11"/>
  <c r="H7" i="13"/>
  <c r="O10" i="17"/>
  <c r="J29" i="17"/>
  <c r="Q55" i="9"/>
  <c r="E7" i="3"/>
  <c r="X22" i="9" s="1"/>
  <c r="K10" i="12"/>
  <c r="X21" i="3"/>
  <c r="L10" i="12" s="1"/>
  <c r="W22" i="9"/>
  <c r="N55" i="9" s="1"/>
  <c r="P28" i="17"/>
  <c r="G59" i="12"/>
  <c r="F19" i="17"/>
  <c r="E18" i="17"/>
  <c r="F18" i="17" s="1"/>
  <c r="F20" i="17"/>
  <c r="P29" i="17"/>
  <c r="J28" i="17"/>
  <c r="M27" i="17"/>
  <c r="F28" i="17"/>
  <c r="L40" i="17"/>
  <c r="L41" i="17" s="1"/>
  <c r="I27" i="17"/>
  <c r="G27" i="17"/>
  <c r="O27" i="17"/>
  <c r="AI14" i="17"/>
  <c r="L29" i="17"/>
  <c r="L27" i="17" s="1"/>
  <c r="C27" i="17"/>
  <c r="E24" i="17"/>
  <c r="F29" i="17"/>
  <c r="R57" i="12"/>
  <c r="T57" i="12"/>
  <c r="P30" i="17"/>
  <c r="L30" i="17"/>
  <c r="G24" i="17"/>
  <c r="F8" i="17"/>
  <c r="H29" i="17"/>
  <c r="N29" i="17"/>
  <c r="AF4" i="17"/>
  <c r="H8" i="17"/>
  <c r="H28" i="17"/>
  <c r="N28" i="17"/>
  <c r="N30" i="17"/>
  <c r="K4" i="17"/>
  <c r="G25" i="17"/>
  <c r="E27" i="17"/>
  <c r="K27" i="17"/>
  <c r="E22" i="17"/>
  <c r="G32" i="17"/>
  <c r="J27" i="17" l="1"/>
  <c r="D7" i="13"/>
  <c r="K10" i="17"/>
  <c r="P27" i="17"/>
  <c r="E7" i="13"/>
  <c r="L10" i="17"/>
  <c r="E25" i="17"/>
  <c r="E32" i="17"/>
  <c r="F22" i="17"/>
  <c r="E33" i="17"/>
  <c r="H18" i="17"/>
  <c r="F27" i="17"/>
  <c r="N27" i="17"/>
  <c r="H27" i="17"/>
  <c r="AH4" i="17"/>
  <c r="M4" i="17"/>
  <c r="AG4" i="17"/>
  <c r="AJ4" i="17" l="1"/>
  <c r="AI4" i="17"/>
  <c r="O4" i="17"/>
  <c r="AK4" i="17" l="1"/>
  <c r="Q4" i="17"/>
  <c r="S4" i="17" l="1"/>
  <c r="U4" i="17" s="1"/>
  <c r="W4" i="17" s="1"/>
  <c r="Q19" i="17" l="1"/>
  <c r="S19" i="17"/>
  <c r="O19" i="17"/>
  <c r="R19" i="17" l="1"/>
  <c r="T19" i="17"/>
  <c r="M19" i="17"/>
  <c r="P19" i="17" s="1"/>
  <c r="K53" i="12" l="1"/>
  <c r="I19" i="17" l="1"/>
  <c r="J19" i="17" l="1"/>
  <c r="J21" i="17"/>
  <c r="AC38" i="3"/>
  <c r="AD38" i="3"/>
  <c r="AC40" i="3"/>
  <c r="AD40" i="3"/>
  <c r="AC42" i="3"/>
  <c r="AD42" i="3"/>
  <c r="AC44" i="3"/>
  <c r="AD44" i="3"/>
  <c r="S20" i="17" l="1"/>
  <c r="Q20" i="17"/>
  <c r="T20" i="17" l="1"/>
  <c r="T13" i="12"/>
  <c r="T13" i="17" s="1"/>
  <c r="T19" i="12" l="1"/>
  <c r="Z44" i="3" l="1"/>
  <c r="AA44" i="3"/>
  <c r="AB44" i="3"/>
  <c r="Y44" i="3"/>
  <c r="Z42" i="3"/>
  <c r="AA42" i="3"/>
  <c r="AB42" i="3"/>
  <c r="Y42" i="3"/>
  <c r="Z40" i="3"/>
  <c r="AA40" i="3"/>
  <c r="AB40" i="3"/>
  <c r="Y40" i="3"/>
  <c r="Y38" i="3"/>
  <c r="AB38" i="3"/>
  <c r="AA38" i="3"/>
  <c r="Z38" i="3"/>
  <c r="F68" i="11"/>
  <c r="G68" i="11"/>
  <c r="H68" i="11"/>
  <c r="I68" i="11"/>
  <c r="J68" i="11"/>
  <c r="B68" i="11"/>
  <c r="C68" i="11"/>
  <c r="D68" i="11"/>
  <c r="E68" i="11"/>
  <c r="Y35" i="3" l="1"/>
  <c r="N9" i="12" s="1"/>
  <c r="K29" i="16"/>
  <c r="I29" i="16"/>
  <c r="G29" i="16"/>
  <c r="E29" i="16"/>
  <c r="D29" i="16"/>
  <c r="K28" i="16"/>
  <c r="I28" i="16"/>
  <c r="G28" i="16"/>
  <c r="E28" i="16"/>
  <c r="C28" i="16"/>
  <c r="K27" i="16"/>
  <c r="I27" i="16"/>
  <c r="G27" i="16"/>
  <c r="E27" i="16"/>
  <c r="C27" i="16"/>
  <c r="C24" i="16"/>
  <c r="C23" i="16"/>
  <c r="E22" i="16"/>
  <c r="K18" i="16"/>
  <c r="I18" i="16"/>
  <c r="E18" i="16"/>
  <c r="D16" i="16"/>
  <c r="C16" i="16"/>
  <c r="D15" i="16"/>
  <c r="C15" i="16"/>
  <c r="D14" i="16"/>
  <c r="C14" i="16"/>
  <c r="D13" i="16"/>
  <c r="C13" i="16"/>
  <c r="C12" i="16"/>
  <c r="D11" i="16"/>
  <c r="C11" i="16"/>
  <c r="D10" i="16"/>
  <c r="C10" i="16"/>
  <c r="D9" i="16"/>
  <c r="C9" i="16"/>
  <c r="D8" i="16"/>
  <c r="C8" i="16"/>
  <c r="M7" i="16"/>
  <c r="G6" i="13" l="1"/>
  <c r="N9" i="17"/>
  <c r="H29" i="16"/>
  <c r="J29" i="16"/>
  <c r="L18" i="16"/>
  <c r="F28" i="16"/>
  <c r="J27" i="16"/>
  <c r="L28" i="16"/>
  <c r="I26" i="16"/>
  <c r="C26" i="16"/>
  <c r="F27" i="16"/>
  <c r="L27" i="16"/>
  <c r="D27" i="16"/>
  <c r="H28" i="16"/>
  <c r="L29" i="16"/>
  <c r="F29" i="16"/>
  <c r="H27" i="16"/>
  <c r="D28" i="16"/>
  <c r="J28" i="16"/>
  <c r="J26" i="16" s="1"/>
  <c r="E26" i="16"/>
  <c r="K26" i="16"/>
  <c r="F18" i="16"/>
  <c r="G26" i="16"/>
  <c r="F26" i="16" l="1"/>
  <c r="L26" i="16"/>
  <c r="D26" i="16"/>
  <c r="H26" i="16"/>
  <c r="H30" i="12" l="1"/>
  <c r="F91" i="1"/>
  <c r="L43" i="11" l="1"/>
  <c r="M6" i="11"/>
  <c r="N6" i="11" s="1"/>
  <c r="O6" i="11" s="1"/>
  <c r="P6" i="11" s="1"/>
  <c r="Q6" i="11" s="1"/>
  <c r="R6" i="11" s="1"/>
  <c r="S6" i="11" s="1"/>
  <c r="T6" i="11" s="1"/>
  <c r="AH32" i="3" l="1"/>
  <c r="D67" i="11"/>
  <c r="B31" i="11" l="1"/>
  <c r="B28" i="11"/>
  <c r="K31" i="3" l="1"/>
  <c r="K30" i="3"/>
  <c r="K29" i="3"/>
  <c r="K28" i="3"/>
  <c r="K27" i="3"/>
  <c r="J31" i="3"/>
  <c r="J30" i="3"/>
  <c r="J29" i="3"/>
  <c r="J27" i="3"/>
  <c r="J26" i="3"/>
  <c r="I34" i="11" s="1"/>
  <c r="J28" i="3"/>
  <c r="I31" i="3"/>
  <c r="AI31" i="9" s="1"/>
  <c r="Z64" i="9" s="1"/>
  <c r="I30" i="3"/>
  <c r="AI30" i="9" s="1"/>
  <c r="Z63" i="9" s="1"/>
  <c r="I29" i="3"/>
  <c r="AI29" i="9" s="1"/>
  <c r="I27" i="3"/>
  <c r="AI27" i="9" s="1"/>
  <c r="I26" i="3"/>
  <c r="AI24" i="9"/>
  <c r="AI23" i="9"/>
  <c r="AF22" i="3"/>
  <c r="I28" i="3"/>
  <c r="AI28" i="9" s="1"/>
  <c r="AL32" i="3"/>
  <c r="AF24" i="9"/>
  <c r="AF23" i="9"/>
  <c r="H31" i="3"/>
  <c r="AF31" i="9" s="1"/>
  <c r="H30" i="3"/>
  <c r="AF30" i="9" s="1"/>
  <c r="H29" i="3"/>
  <c r="AF29" i="9" s="1"/>
  <c r="H27" i="3"/>
  <c r="AF27" i="9" s="1"/>
  <c r="H28" i="3"/>
  <c r="AF28" i="9" s="1"/>
  <c r="H26" i="3"/>
  <c r="AF26" i="9" s="1"/>
  <c r="F25" i="3"/>
  <c r="Z25" i="9" s="1"/>
  <c r="J63" i="11" l="1"/>
  <c r="S10" i="12"/>
  <c r="S10" i="17" s="1"/>
  <c r="AB21" i="3"/>
  <c r="T10" i="12" s="1"/>
  <c r="T10" i="17" s="1"/>
  <c r="AI22" i="9"/>
  <c r="Z55" i="9" s="1"/>
  <c r="H34" i="11"/>
  <c r="AI26" i="9"/>
  <c r="Z59" i="9" s="1"/>
  <c r="AA21" i="3"/>
  <c r="R10" i="12" s="1"/>
  <c r="Q10" i="12"/>
  <c r="AF22" i="9"/>
  <c r="W55" i="9" s="1"/>
  <c r="Z61" i="9"/>
  <c r="Z57" i="9"/>
  <c r="Z60" i="9"/>
  <c r="AC21" i="3"/>
  <c r="V10" i="12" s="1"/>
  <c r="V10" i="17" s="1"/>
  <c r="U10" i="12"/>
  <c r="U10" i="17" s="1"/>
  <c r="AL22" i="9"/>
  <c r="AC55" i="9" s="1"/>
  <c r="W10" i="12"/>
  <c r="W10" i="17" s="1"/>
  <c r="AD21" i="3"/>
  <c r="X10" i="12" s="1"/>
  <c r="X10" i="17" s="1"/>
  <c r="AO22" i="9"/>
  <c r="Z56" i="9"/>
  <c r="Z62" i="9"/>
  <c r="AU23" i="3"/>
  <c r="AT21" i="3"/>
  <c r="AU21" i="3"/>
  <c r="AU29" i="3"/>
  <c r="G37" i="11"/>
  <c r="AU31" i="3"/>
  <c r="H38" i="11"/>
  <c r="AT29" i="3"/>
  <c r="G36" i="11"/>
  <c r="AU30" i="3"/>
  <c r="G38" i="11"/>
  <c r="H40" i="11"/>
  <c r="AT31" i="3"/>
  <c r="G39" i="11"/>
  <c r="H32" i="11"/>
  <c r="AT24" i="3"/>
  <c r="AU24" i="3"/>
  <c r="G31" i="11"/>
  <c r="G32" i="11"/>
  <c r="H39" i="11"/>
  <c r="AT30" i="3"/>
  <c r="H37" i="11"/>
  <c r="AT28" i="3"/>
  <c r="AT26" i="3"/>
  <c r="AU26" i="3"/>
  <c r="H31" i="11"/>
  <c r="AT23" i="3"/>
  <c r="G40" i="11"/>
  <c r="E33" i="11"/>
  <c r="G34" i="11"/>
  <c r="H36" i="11"/>
  <c r="AT27" i="3"/>
  <c r="AU28" i="3"/>
  <c r="AU27" i="3"/>
  <c r="AN22" i="3"/>
  <c r="AK32" i="3"/>
  <c r="AL22" i="3"/>
  <c r="AI25" i="9"/>
  <c r="Z58" i="9" s="1"/>
  <c r="AK22" i="3"/>
  <c r="AM22" i="3"/>
  <c r="AF32" i="3"/>
  <c r="I28" i="11"/>
  <c r="AL29" i="9"/>
  <c r="AC62" i="9" s="1"/>
  <c r="I38" i="11"/>
  <c r="AO26" i="9"/>
  <c r="AO27" i="9"/>
  <c r="J36" i="11"/>
  <c r="AL24" i="9"/>
  <c r="I32" i="11"/>
  <c r="AL31" i="9"/>
  <c r="AC64" i="9" s="1"/>
  <c r="I40" i="11"/>
  <c r="AO28" i="9"/>
  <c r="J37" i="11"/>
  <c r="AL30" i="9"/>
  <c r="AC63" i="9" s="1"/>
  <c r="I39" i="11"/>
  <c r="J11" i="3"/>
  <c r="AM26" i="9" s="1"/>
  <c r="AL26" i="9"/>
  <c r="AC59" i="9" s="1"/>
  <c r="J28" i="11"/>
  <c r="AO29" i="9"/>
  <c r="J38" i="11"/>
  <c r="G28" i="11"/>
  <c r="AL27" i="9"/>
  <c r="AC60" i="9" s="1"/>
  <c r="I36" i="11"/>
  <c r="AO23" i="9"/>
  <c r="J31" i="11"/>
  <c r="AO30" i="9"/>
  <c r="J39" i="11"/>
  <c r="AL23" i="9"/>
  <c r="AC56" i="9" s="1"/>
  <c r="I31" i="11"/>
  <c r="H28" i="11"/>
  <c r="AL28" i="9"/>
  <c r="AC61" i="9" s="1"/>
  <c r="I37" i="11"/>
  <c r="AO24" i="9"/>
  <c r="J32" i="11"/>
  <c r="AO31" i="9"/>
  <c r="J40" i="11"/>
  <c r="AN32" i="3"/>
  <c r="AM32" i="3"/>
  <c r="AF61" i="9" l="1"/>
  <c r="H32" i="3"/>
  <c r="AF25" i="9"/>
  <c r="AF60" i="9"/>
  <c r="AF59" i="9"/>
  <c r="AF56" i="9"/>
  <c r="AF57" i="9"/>
  <c r="J7" i="13"/>
  <c r="Q10" i="17"/>
  <c r="AF64" i="9"/>
  <c r="K7" i="13"/>
  <c r="R10" i="17"/>
  <c r="AF62" i="9"/>
  <c r="I32" i="3"/>
  <c r="AF63" i="9"/>
  <c r="AF55" i="9"/>
  <c r="AC57" i="9"/>
  <c r="O38" i="11"/>
  <c r="O37" i="11"/>
  <c r="O36" i="11"/>
  <c r="P37" i="11"/>
  <c r="O34" i="11"/>
  <c r="P39" i="11"/>
  <c r="Q39" i="11"/>
  <c r="O39" i="11"/>
  <c r="P40" i="11"/>
  <c r="O40" i="11"/>
  <c r="P36" i="11"/>
  <c r="H33" i="11"/>
  <c r="H29" i="11" s="1"/>
  <c r="H66" i="11" s="1"/>
  <c r="AT25" i="3"/>
  <c r="AU25" i="3"/>
  <c r="G33" i="11"/>
  <c r="G41" i="11" s="1"/>
  <c r="G4" i="11" s="1"/>
  <c r="P38" i="11"/>
  <c r="AL25" i="9"/>
  <c r="AC58" i="9" s="1"/>
  <c r="I33" i="11"/>
  <c r="I29" i="11" s="1"/>
  <c r="I66" i="11" s="1"/>
  <c r="AO25" i="9"/>
  <c r="J33" i="11"/>
  <c r="J29" i="11" s="1"/>
  <c r="Q38" i="11"/>
  <c r="Q28" i="11"/>
  <c r="O28" i="11"/>
  <c r="Q36" i="11"/>
  <c r="P28" i="11"/>
  <c r="Q40" i="11"/>
  <c r="I35" i="11"/>
  <c r="U11" i="12" s="1"/>
  <c r="U11" i="17" s="1"/>
  <c r="P34" i="11"/>
  <c r="Q37" i="11"/>
  <c r="Q34" i="11"/>
  <c r="G31" i="3"/>
  <c r="W64" i="9" s="1"/>
  <c r="G30" i="3"/>
  <c r="W63" i="9" s="1"/>
  <c r="G29" i="3"/>
  <c r="W62" i="9" s="1"/>
  <c r="G28" i="3"/>
  <c r="W61" i="9" s="1"/>
  <c r="G27" i="3"/>
  <c r="W60" i="9" s="1"/>
  <c r="G26" i="3"/>
  <c r="W59" i="9" s="1"/>
  <c r="W56" i="9"/>
  <c r="AJ32" i="3"/>
  <c r="AI22" i="3"/>
  <c r="F31" i="3"/>
  <c r="Z31" i="9" s="1"/>
  <c r="Q64" i="9" s="1"/>
  <c r="F30" i="3"/>
  <c r="Z30" i="9" s="1"/>
  <c r="Q63" i="9" s="1"/>
  <c r="F29" i="3"/>
  <c r="Z29" i="9" s="1"/>
  <c r="Q62" i="9" s="1"/>
  <c r="F28" i="3"/>
  <c r="Z28" i="9" s="1"/>
  <c r="Q61" i="9" s="1"/>
  <c r="F27" i="3"/>
  <c r="Z27" i="9" s="1"/>
  <c r="Q60" i="9" s="1"/>
  <c r="F26" i="3"/>
  <c r="Z26" i="9" s="1"/>
  <c r="Q59" i="9" s="1"/>
  <c r="Z24" i="9"/>
  <c r="Z23" i="9"/>
  <c r="Q56" i="9" s="1"/>
  <c r="E31" i="3"/>
  <c r="W31" i="9" s="1"/>
  <c r="E30" i="3"/>
  <c r="W30" i="9" s="1"/>
  <c r="E29" i="3"/>
  <c r="W29" i="9" s="1"/>
  <c r="E28" i="3"/>
  <c r="W28" i="9" s="1"/>
  <c r="N61" i="9" s="1"/>
  <c r="E27" i="3"/>
  <c r="W27" i="9" s="1"/>
  <c r="N60" i="9" s="1"/>
  <c r="E26" i="3"/>
  <c r="W26" i="9" s="1"/>
  <c r="N59" i="9" s="1"/>
  <c r="E25" i="3"/>
  <c r="W24" i="9"/>
  <c r="X24" i="9" s="1"/>
  <c r="AP21" i="3"/>
  <c r="AH22" i="3"/>
  <c r="Q57" i="9" l="1"/>
  <c r="W57" i="9"/>
  <c r="AF58" i="9"/>
  <c r="W58" i="9"/>
  <c r="W25" i="9"/>
  <c r="N58" i="9" s="1"/>
  <c r="E10" i="3"/>
  <c r="X25" i="9" s="1"/>
  <c r="Q58" i="9"/>
  <c r="J66" i="11"/>
  <c r="J65" i="11" s="1"/>
  <c r="N57" i="9"/>
  <c r="H41" i="11"/>
  <c r="O41" i="11" s="1"/>
  <c r="AQ21" i="3"/>
  <c r="AQ30" i="3"/>
  <c r="AQ23" i="3"/>
  <c r="AQ24" i="3"/>
  <c r="AQ31" i="3"/>
  <c r="I65" i="11"/>
  <c r="P29" i="11"/>
  <c r="Q29" i="11"/>
  <c r="H65" i="11"/>
  <c r="AR29" i="3"/>
  <c r="AS29" i="3"/>
  <c r="D36" i="11"/>
  <c r="AR30" i="3"/>
  <c r="AS30" i="3"/>
  <c r="D34" i="11"/>
  <c r="F40" i="11"/>
  <c r="N40" i="11" s="1"/>
  <c r="AR31" i="3"/>
  <c r="AS31" i="3"/>
  <c r="G29" i="11"/>
  <c r="AR21" i="3"/>
  <c r="AS21" i="3"/>
  <c r="AR23" i="3"/>
  <c r="AS23" i="3"/>
  <c r="F34" i="11"/>
  <c r="AR26" i="3"/>
  <c r="AS26" i="3"/>
  <c r="E34" i="11"/>
  <c r="AQ26" i="3"/>
  <c r="E36" i="11"/>
  <c r="AQ27" i="3"/>
  <c r="AR27" i="3"/>
  <c r="AS27" i="3"/>
  <c r="E38" i="11"/>
  <c r="AQ29" i="3"/>
  <c r="AR24" i="3"/>
  <c r="AS24" i="3"/>
  <c r="D38" i="11"/>
  <c r="D33" i="11"/>
  <c r="AQ25" i="3"/>
  <c r="E37" i="11"/>
  <c r="AQ28" i="3"/>
  <c r="AR28" i="3"/>
  <c r="AS28" i="3"/>
  <c r="AJ22" i="3"/>
  <c r="G25" i="3"/>
  <c r="G32" i="3" s="1"/>
  <c r="Y23" i="3"/>
  <c r="E31" i="11"/>
  <c r="F28" i="11"/>
  <c r="F37" i="11"/>
  <c r="E32" i="11"/>
  <c r="E39" i="11"/>
  <c r="F31" i="11"/>
  <c r="F38" i="11"/>
  <c r="D28" i="11"/>
  <c r="E40" i="11"/>
  <c r="F32" i="11"/>
  <c r="F39" i="11"/>
  <c r="D31" i="11"/>
  <c r="D39" i="11"/>
  <c r="N34" i="11"/>
  <c r="D32" i="11"/>
  <c r="D40" i="11"/>
  <c r="E28" i="11"/>
  <c r="F36" i="11"/>
  <c r="D37" i="11"/>
  <c r="G66" i="11" l="1"/>
  <c r="G65" i="11" s="1"/>
  <c r="F35" i="11"/>
  <c r="F63" i="11"/>
  <c r="G63" i="11"/>
  <c r="L38" i="11"/>
  <c r="L34" i="11"/>
  <c r="E35" i="11"/>
  <c r="H4" i="11"/>
  <c r="L36" i="11"/>
  <c r="O29" i="11"/>
  <c r="L37" i="11"/>
  <c r="AB35" i="3"/>
  <c r="T9" i="12" s="1"/>
  <c r="T9" i="17" s="1"/>
  <c r="H67" i="11"/>
  <c r="O30" i="11"/>
  <c r="M34" i="11"/>
  <c r="AR25" i="3"/>
  <c r="AS25" i="3"/>
  <c r="AC35" i="3"/>
  <c r="V9" i="12" s="1"/>
  <c r="V9" i="17" s="1"/>
  <c r="AD35" i="3"/>
  <c r="X9" i="12" s="1"/>
  <c r="X9" i="17" s="1"/>
  <c r="I67" i="11"/>
  <c r="J67" i="11"/>
  <c r="P30" i="11"/>
  <c r="Q30" i="11"/>
  <c r="F33" i="11"/>
  <c r="F29" i="11" s="1"/>
  <c r="F66" i="11" s="1"/>
  <c r="L28" i="11"/>
  <c r="L39" i="11"/>
  <c r="L40" i="11"/>
  <c r="M36" i="11"/>
  <c r="N36" i="11"/>
  <c r="K54" i="17"/>
  <c r="K55" i="17"/>
  <c r="M37" i="11"/>
  <c r="N37" i="11"/>
  <c r="I55" i="17"/>
  <c r="I54" i="17"/>
  <c r="M39" i="11"/>
  <c r="N39" i="11"/>
  <c r="M40" i="11"/>
  <c r="M28" i="11"/>
  <c r="N28" i="11"/>
  <c r="M38" i="11"/>
  <c r="N38" i="11"/>
  <c r="AI32" i="3"/>
  <c r="K11" i="12" l="1"/>
  <c r="K12" i="12"/>
  <c r="L12" i="12" s="1"/>
  <c r="O11" i="12"/>
  <c r="F62" i="11"/>
  <c r="F44" i="11"/>
  <c r="K12" i="17" s="1"/>
  <c r="E44" i="11"/>
  <c r="M12" i="12" s="1"/>
  <c r="M11" i="12"/>
  <c r="O12" i="12"/>
  <c r="L35" i="11"/>
  <c r="M35" i="11"/>
  <c r="L44" i="11"/>
  <c r="U12" i="17" s="1"/>
  <c r="AP26" i="3"/>
  <c r="C34" i="11"/>
  <c r="C59" i="11" s="1"/>
  <c r="I12" i="17"/>
  <c r="J12" i="17" s="1"/>
  <c r="H63" i="11"/>
  <c r="E63" i="11"/>
  <c r="I63" i="11"/>
  <c r="F8" i="13" l="1"/>
  <c r="M11" i="17"/>
  <c r="H8" i="13"/>
  <c r="O11" i="17"/>
  <c r="D8" i="13"/>
  <c r="K11" i="17"/>
  <c r="D63" i="11"/>
  <c r="L12" i="17"/>
  <c r="E10" i="16" l="1"/>
  <c r="H35" i="11"/>
  <c r="K19" i="14"/>
  <c r="I19" i="14"/>
  <c r="E19" i="14"/>
  <c r="E4" i="16"/>
  <c r="S11" i="12" l="1"/>
  <c r="S11" i="17" s="1"/>
  <c r="I62" i="11"/>
  <c r="H44" i="11"/>
  <c r="S12" i="12" s="1"/>
  <c r="F4" i="16"/>
  <c r="G4" i="16"/>
  <c r="I4" i="16" s="1"/>
  <c r="K4" i="16" s="1"/>
  <c r="O12" i="17" l="1"/>
  <c r="V11" i="12"/>
  <c r="V11" i="17" s="1"/>
  <c r="Z11" i="12"/>
  <c r="K10" i="16"/>
  <c r="E4" i="14"/>
  <c r="G4" i="14" s="1"/>
  <c r="I4" i="14" s="1"/>
  <c r="K4" i="14" s="1"/>
  <c r="O11" i="4" l="1"/>
  <c r="P11" i="4"/>
  <c r="Q11" i="4"/>
  <c r="R11" i="4"/>
  <c r="S11" i="4"/>
  <c r="T11" i="4"/>
  <c r="U11" i="4"/>
  <c r="V11" i="4"/>
  <c r="N11" i="4"/>
  <c r="O10" i="4"/>
  <c r="O9" i="4" s="1"/>
  <c r="P10" i="4"/>
  <c r="Q10" i="4"/>
  <c r="R10" i="4"/>
  <c r="S10" i="4"/>
  <c r="T10" i="4"/>
  <c r="U10" i="4"/>
  <c r="V10" i="4"/>
  <c r="V9" i="4" s="1"/>
  <c r="N10" i="4"/>
  <c r="O8" i="4"/>
  <c r="P8" i="4"/>
  <c r="Q8" i="4"/>
  <c r="R8" i="4"/>
  <c r="S8" i="4"/>
  <c r="T8" i="4"/>
  <c r="U8" i="4"/>
  <c r="V8" i="4"/>
  <c r="N8" i="4"/>
  <c r="O7" i="4"/>
  <c r="P7" i="4"/>
  <c r="Q7" i="4"/>
  <c r="R7" i="4"/>
  <c r="S7" i="4"/>
  <c r="T7" i="4"/>
  <c r="U7" i="4"/>
  <c r="V7" i="4"/>
  <c r="N7" i="4"/>
  <c r="O6" i="4"/>
  <c r="P6" i="4" s="1"/>
  <c r="Q6" i="4" s="1"/>
  <c r="R6" i="4" s="1"/>
  <c r="S6" i="4" s="1"/>
  <c r="T6" i="4" s="1"/>
  <c r="U6" i="4" s="1"/>
  <c r="V6" i="4" s="1"/>
  <c r="U13" i="4" l="1"/>
  <c r="U9" i="4"/>
  <c r="Q9" i="4"/>
  <c r="P9" i="4"/>
  <c r="N9" i="4"/>
  <c r="T9" i="4"/>
  <c r="S9" i="4"/>
  <c r="R9" i="4"/>
  <c r="V13" i="4"/>
  <c r="O13" i="4"/>
  <c r="T13" i="4"/>
  <c r="S13" i="4"/>
  <c r="R13" i="4"/>
  <c r="N13" i="4"/>
  <c r="Q13" i="4"/>
  <c r="P13" i="4"/>
  <c r="K19" i="13"/>
  <c r="I19" i="13"/>
  <c r="G19" i="13"/>
  <c r="E19" i="13"/>
  <c r="D72" i="6"/>
  <c r="C76" i="6"/>
  <c r="G75" i="6"/>
  <c r="O20" i="12" s="1"/>
  <c r="H15" i="13" s="1"/>
  <c r="K78" i="6"/>
  <c r="K77" i="6"/>
  <c r="J76" i="6"/>
  <c r="K76" i="6"/>
  <c r="H75" i="6"/>
  <c r="Q20" i="12" s="1"/>
  <c r="I75" i="6"/>
  <c r="F76" i="6"/>
  <c r="E76" i="6"/>
  <c r="E79" i="6" s="1"/>
  <c r="J78" i="6" l="1"/>
  <c r="S20" i="12"/>
  <c r="J15" i="13"/>
  <c r="Q18" i="12"/>
  <c r="C72" i="6"/>
  <c r="D79" i="6"/>
  <c r="K72" i="6"/>
  <c r="K79" i="6"/>
  <c r="J79" i="6"/>
  <c r="E72" i="6"/>
  <c r="F72" i="6"/>
  <c r="F79" i="6"/>
  <c r="R20" i="12"/>
  <c r="K20" i="17"/>
  <c r="G19" i="16"/>
  <c r="G20" i="14"/>
  <c r="I20" i="17"/>
  <c r="E19" i="16"/>
  <c r="E20" i="14"/>
  <c r="O20" i="17"/>
  <c r="K19" i="16"/>
  <c r="K20" i="14"/>
  <c r="M20" i="17"/>
  <c r="I19" i="16"/>
  <c r="I20" i="14"/>
  <c r="I76" i="6"/>
  <c r="Z19" i="12"/>
  <c r="G77" i="6"/>
  <c r="K19" i="17"/>
  <c r="G18" i="16"/>
  <c r="G19" i="14"/>
  <c r="J21" i="12"/>
  <c r="R19" i="12"/>
  <c r="J72" i="6"/>
  <c r="I77" i="6"/>
  <c r="J77" i="6"/>
  <c r="I78" i="6"/>
  <c r="H76" i="6"/>
  <c r="H78" i="6"/>
  <c r="H77" i="6"/>
  <c r="G76" i="6"/>
  <c r="Z20" i="12"/>
  <c r="Q18" i="17" l="1"/>
  <c r="J13" i="13"/>
  <c r="V20" i="12"/>
  <c r="T20" i="12"/>
  <c r="S18" i="12"/>
  <c r="H79" i="6"/>
  <c r="G72" i="6"/>
  <c r="G79" i="6"/>
  <c r="I72" i="6"/>
  <c r="I79" i="6"/>
  <c r="P20" i="17"/>
  <c r="R20" i="17"/>
  <c r="L19" i="16"/>
  <c r="K17" i="16"/>
  <c r="J19" i="16"/>
  <c r="I17" i="16"/>
  <c r="I23" i="16" s="1"/>
  <c r="E17" i="16"/>
  <c r="E24" i="16" s="1"/>
  <c r="F19" i="16"/>
  <c r="H19" i="16"/>
  <c r="N20" i="17"/>
  <c r="J20" i="17"/>
  <c r="L20" i="17"/>
  <c r="H18" i="16"/>
  <c r="G17" i="16"/>
  <c r="J18" i="16"/>
  <c r="L19" i="17"/>
  <c r="N19" i="17"/>
  <c r="H72" i="6"/>
  <c r="V18" i="12" l="1"/>
  <c r="V18" i="17" s="1"/>
  <c r="T18" i="12"/>
  <c r="T18" i="17" s="1"/>
  <c r="S18" i="17"/>
  <c r="I24" i="16"/>
  <c r="L17" i="16"/>
  <c r="F17" i="16"/>
  <c r="E23" i="16"/>
  <c r="H17" i="16"/>
  <c r="G24" i="16"/>
  <c r="J17" i="16"/>
  <c r="G23" i="16"/>
  <c r="D17" i="14"/>
  <c r="C17" i="14"/>
  <c r="D16" i="14"/>
  <c r="C16" i="14"/>
  <c r="D15" i="14"/>
  <c r="C15" i="14"/>
  <c r="D14" i="14"/>
  <c r="C14" i="14"/>
  <c r="C13" i="14"/>
  <c r="D12" i="14"/>
  <c r="C12" i="14"/>
  <c r="D11" i="14"/>
  <c r="C11" i="14"/>
  <c r="D9" i="14"/>
  <c r="C9" i="14"/>
  <c r="C10" i="14"/>
  <c r="H16" i="16" l="1"/>
  <c r="J41" i="11"/>
  <c r="J4" i="11" s="1"/>
  <c r="I12" i="16"/>
  <c r="Z13" i="12"/>
  <c r="K12" i="16" l="1"/>
  <c r="R13" i="12"/>
  <c r="R13" i="17" s="1"/>
  <c r="G13" i="14"/>
  <c r="G12" i="16"/>
  <c r="E13" i="14"/>
  <c r="E12" i="16"/>
  <c r="K13" i="14"/>
  <c r="I13" i="14"/>
  <c r="H17" i="14"/>
  <c r="G35" i="11"/>
  <c r="D60" i="11"/>
  <c r="I60" i="11"/>
  <c r="J60" i="11"/>
  <c r="K8" i="16"/>
  <c r="C35" i="11"/>
  <c r="K35" i="11" s="1"/>
  <c r="I44" i="11"/>
  <c r="U12" i="12" s="1"/>
  <c r="V12" i="12" s="1"/>
  <c r="AC27" i="9"/>
  <c r="Q11" i="12" l="1"/>
  <c r="G62" i="11"/>
  <c r="H62" i="11"/>
  <c r="W11" i="12"/>
  <c r="J62" i="11"/>
  <c r="J44" i="11"/>
  <c r="W12" i="12" s="1"/>
  <c r="X12" i="12" s="1"/>
  <c r="T11" i="12"/>
  <c r="T11" i="17" s="1"/>
  <c r="R11" i="12"/>
  <c r="Q12" i="17"/>
  <c r="R12" i="17" s="1"/>
  <c r="G44" i="11"/>
  <c r="I8" i="16"/>
  <c r="P35" i="11"/>
  <c r="Q35" i="11"/>
  <c r="N35" i="11"/>
  <c r="O35" i="11"/>
  <c r="I9" i="14"/>
  <c r="K9" i="14"/>
  <c r="D62" i="11"/>
  <c r="E62" i="11"/>
  <c r="E61" i="11"/>
  <c r="I61" i="11"/>
  <c r="F61" i="11"/>
  <c r="G10" i="16"/>
  <c r="J61" i="11"/>
  <c r="F10" i="16"/>
  <c r="E11" i="14"/>
  <c r="G61" i="11"/>
  <c r="H61" i="11"/>
  <c r="D61" i="11"/>
  <c r="P44" i="11"/>
  <c r="K8" i="13" l="1"/>
  <c r="R11" i="17"/>
  <c r="X11" i="12"/>
  <c r="X11" i="17" s="1"/>
  <c r="W11" i="17"/>
  <c r="J8" i="13"/>
  <c r="Q11" i="17"/>
  <c r="Q44" i="11"/>
  <c r="S12" i="17"/>
  <c r="V12" i="17" s="1"/>
  <c r="M12" i="17"/>
  <c r="N12" i="17" s="1"/>
  <c r="Q12" i="12"/>
  <c r="Q26" i="12" s="1"/>
  <c r="O44" i="11"/>
  <c r="S26" i="12"/>
  <c r="P12" i="17"/>
  <c r="P11" i="12"/>
  <c r="I10" i="16"/>
  <c r="N44" i="11"/>
  <c r="W12" i="17" s="1"/>
  <c r="X12" i="17" s="1"/>
  <c r="M44" i="11"/>
  <c r="I11" i="14"/>
  <c r="K11" i="14"/>
  <c r="G11" i="14"/>
  <c r="F11" i="14"/>
  <c r="B53" i="11"/>
  <c r="B45" i="11"/>
  <c r="E22" i="3"/>
  <c r="L10" i="16" l="1"/>
  <c r="I8" i="13"/>
  <c r="P11" i="17"/>
  <c r="T12" i="17"/>
  <c r="T12" i="12"/>
  <c r="O21" i="3"/>
  <c r="D34" i="3"/>
  <c r="N21" i="3" l="1"/>
  <c r="C28" i="11"/>
  <c r="D10" i="14"/>
  <c r="E8" i="3"/>
  <c r="X23" i="9" s="1"/>
  <c r="F8" i="3"/>
  <c r="AA23" i="9" s="1"/>
  <c r="G8" i="3"/>
  <c r="AD23" i="9" s="1"/>
  <c r="H8" i="3"/>
  <c r="X56" i="9" s="1"/>
  <c r="I8" i="3"/>
  <c r="AJ23" i="9" s="1"/>
  <c r="J8" i="3"/>
  <c r="K8" i="3"/>
  <c r="E9" i="3"/>
  <c r="R57" i="9" s="1"/>
  <c r="F9" i="3"/>
  <c r="G9" i="3"/>
  <c r="X57" i="9" s="1"/>
  <c r="H9" i="3"/>
  <c r="AA57" i="9" s="1"/>
  <c r="I9" i="3"/>
  <c r="AD57" i="9" s="1"/>
  <c r="J9" i="3"/>
  <c r="K9" i="3"/>
  <c r="F10" i="3"/>
  <c r="AA25" i="9" s="1"/>
  <c r="G10" i="3"/>
  <c r="AD25" i="9" s="1"/>
  <c r="AG58" i="9" s="1"/>
  <c r="H10" i="3"/>
  <c r="AG25" i="9" s="1"/>
  <c r="I10" i="3"/>
  <c r="AJ25" i="9" s="1"/>
  <c r="J10" i="3"/>
  <c r="K10" i="3"/>
  <c r="E12" i="3"/>
  <c r="X27" i="9" s="1"/>
  <c r="F12" i="3"/>
  <c r="AA27" i="9" s="1"/>
  <c r="G12" i="3"/>
  <c r="AD27" i="9" s="1"/>
  <c r="H12" i="3"/>
  <c r="AG27" i="9" s="1"/>
  <c r="X60" i="9" s="1"/>
  <c r="I12" i="3"/>
  <c r="AJ27" i="9" s="1"/>
  <c r="AA60" i="9" s="1"/>
  <c r="J12" i="3"/>
  <c r="K12" i="3"/>
  <c r="E13" i="3"/>
  <c r="X28" i="9" s="1"/>
  <c r="F13" i="3"/>
  <c r="AA28" i="9" s="1"/>
  <c r="G13" i="3"/>
  <c r="AD28" i="9" s="1"/>
  <c r="H13" i="3"/>
  <c r="AG28" i="9" s="1"/>
  <c r="X61" i="9" s="1"/>
  <c r="I13" i="3"/>
  <c r="AJ28" i="9" s="1"/>
  <c r="AA61" i="9" s="1"/>
  <c r="J13" i="3"/>
  <c r="K13" i="3"/>
  <c r="E14" i="3"/>
  <c r="X29" i="9" s="1"/>
  <c r="F14" i="3"/>
  <c r="AA29" i="9" s="1"/>
  <c r="G14" i="3"/>
  <c r="AD29" i="9" s="1"/>
  <c r="H14" i="3"/>
  <c r="AG29" i="9" s="1"/>
  <c r="X62" i="9" s="1"/>
  <c r="I14" i="3"/>
  <c r="AJ29" i="9" s="1"/>
  <c r="AA62" i="9" s="1"/>
  <c r="J14" i="3"/>
  <c r="K14" i="3"/>
  <c r="E15" i="3"/>
  <c r="X30" i="9" s="1"/>
  <c r="F15" i="3"/>
  <c r="AA30" i="9" s="1"/>
  <c r="G15" i="3"/>
  <c r="AD30" i="9" s="1"/>
  <c r="H15" i="3"/>
  <c r="AG30" i="9" s="1"/>
  <c r="X63" i="9" s="1"/>
  <c r="I15" i="3"/>
  <c r="AJ30" i="9" s="1"/>
  <c r="AA63" i="9" s="1"/>
  <c r="J15" i="3"/>
  <c r="K15" i="3"/>
  <c r="E16" i="3"/>
  <c r="X31" i="9" s="1"/>
  <c r="F16" i="3"/>
  <c r="AA31" i="9" s="1"/>
  <c r="G16" i="3"/>
  <c r="AD31" i="9" s="1"/>
  <c r="H16" i="3"/>
  <c r="AG31" i="9" s="1"/>
  <c r="X64" i="9" s="1"/>
  <c r="I16" i="3"/>
  <c r="AJ31" i="9" s="1"/>
  <c r="AA64" i="9" s="1"/>
  <c r="J16" i="3"/>
  <c r="K16" i="3"/>
  <c r="D13" i="3"/>
  <c r="AT28" i="9" s="1"/>
  <c r="AU28" i="9" s="1"/>
  <c r="O28" i="9" s="1"/>
  <c r="D7" i="3"/>
  <c r="L10" i="3"/>
  <c r="L17" i="3" s="1"/>
  <c r="D31" i="3"/>
  <c r="C31" i="3"/>
  <c r="D30" i="3"/>
  <c r="C30" i="3"/>
  <c r="D29" i="3"/>
  <c r="C29" i="3"/>
  <c r="C28" i="3"/>
  <c r="C27" i="3"/>
  <c r="C26" i="3"/>
  <c r="D11" i="3"/>
  <c r="AT26" i="9" s="1"/>
  <c r="AU26" i="9" s="1"/>
  <c r="O26" i="9" s="1"/>
  <c r="E11" i="3"/>
  <c r="X26" i="9" s="1"/>
  <c r="O59" i="9" s="1"/>
  <c r="F11" i="3"/>
  <c r="AA26" i="9" s="1"/>
  <c r="G11" i="3"/>
  <c r="AD26" i="9" s="1"/>
  <c r="AG59" i="9" s="1"/>
  <c r="H11" i="3"/>
  <c r="AG26" i="9" s="1"/>
  <c r="X59" i="9" s="1"/>
  <c r="I11" i="3"/>
  <c r="AJ26" i="9" s="1"/>
  <c r="AA59" i="9" s="1"/>
  <c r="K11" i="3"/>
  <c r="C24" i="3"/>
  <c r="F7" i="3"/>
  <c r="AA22" i="9" s="1"/>
  <c r="O4" i="12"/>
  <c r="AA56" i="9" l="1"/>
  <c r="AA58" i="9"/>
  <c r="R55" i="9"/>
  <c r="V5" i="3"/>
  <c r="AG64" i="9"/>
  <c r="R61" i="9"/>
  <c r="AD61" i="9"/>
  <c r="AD62" i="9"/>
  <c r="R62" i="9"/>
  <c r="O64" i="9"/>
  <c r="AG60" i="9"/>
  <c r="R60" i="9"/>
  <c r="AD60" i="9"/>
  <c r="B40" i="11"/>
  <c r="R58" i="9"/>
  <c r="AD58" i="9"/>
  <c r="AD64" i="9"/>
  <c r="R64" i="9"/>
  <c r="O61" i="9"/>
  <c r="AG63" i="9"/>
  <c r="AD63" i="9"/>
  <c r="R63" i="9"/>
  <c r="O63" i="9"/>
  <c r="AG61" i="9"/>
  <c r="B36" i="11"/>
  <c r="B38" i="11"/>
  <c r="AG56" i="9"/>
  <c r="B39" i="11"/>
  <c r="O56" i="9"/>
  <c r="AD59" i="9"/>
  <c r="R59" i="9"/>
  <c r="B37" i="11"/>
  <c r="AS29" i="9"/>
  <c r="N62" i="9"/>
  <c r="AD56" i="9"/>
  <c r="R56" i="9"/>
  <c r="AS30" i="9"/>
  <c r="AU30" i="9" s="1"/>
  <c r="O30" i="9" s="1"/>
  <c r="N63" i="9"/>
  <c r="AS31" i="9"/>
  <c r="D16" i="3"/>
  <c r="AT31" i="9" s="1"/>
  <c r="N64" i="9"/>
  <c r="Q4" i="12"/>
  <c r="AL4" i="12"/>
  <c r="AK4" i="12"/>
  <c r="O55" i="9"/>
  <c r="AT22" i="9"/>
  <c r="AG62" i="9"/>
  <c r="X58" i="9"/>
  <c r="B34" i="11"/>
  <c r="C63" i="11" s="1"/>
  <c r="AO26" i="3"/>
  <c r="AO23" i="3"/>
  <c r="AP23" i="3"/>
  <c r="AO29" i="3"/>
  <c r="AP29" i="3"/>
  <c r="AO30" i="3"/>
  <c r="AP30" i="3"/>
  <c r="AO27" i="3"/>
  <c r="AP27" i="3"/>
  <c r="AO24" i="3"/>
  <c r="AP24" i="3"/>
  <c r="AO28" i="3"/>
  <c r="AP28" i="3"/>
  <c r="AO31" i="3"/>
  <c r="AP31" i="3"/>
  <c r="C25" i="3"/>
  <c r="D8" i="3"/>
  <c r="AT23" i="9" s="1"/>
  <c r="AU23" i="9" s="1"/>
  <c r="O23" i="9" s="1"/>
  <c r="X23" i="3"/>
  <c r="B60" i="11"/>
  <c r="C38" i="11"/>
  <c r="D14" i="3"/>
  <c r="AT29" i="9" s="1"/>
  <c r="C32" i="11"/>
  <c r="C39" i="11"/>
  <c r="D15" i="3"/>
  <c r="AT30" i="9" s="1"/>
  <c r="B32" i="11"/>
  <c r="C37" i="11"/>
  <c r="C40" i="11"/>
  <c r="C31" i="11"/>
  <c r="C36" i="11"/>
  <c r="D9" i="3"/>
  <c r="D12" i="3"/>
  <c r="AT27" i="9" s="1"/>
  <c r="AU27" i="9" s="1"/>
  <c r="O27" i="9" s="1"/>
  <c r="K7" i="3"/>
  <c r="H7" i="3"/>
  <c r="AG22" i="9" s="1"/>
  <c r="J7" i="3"/>
  <c r="AE7" i="3"/>
  <c r="G7" i="3"/>
  <c r="AD22" i="9" s="1"/>
  <c r="P21" i="3"/>
  <c r="I7" i="3"/>
  <c r="AJ22" i="9" s="1"/>
  <c r="AA55" i="9" l="1"/>
  <c r="AU22" i="9"/>
  <c r="B33" i="11"/>
  <c r="AU31" i="9"/>
  <c r="O31" i="9" s="1"/>
  <c r="AG55" i="9"/>
  <c r="U55" i="9"/>
  <c r="AT24" i="9"/>
  <c r="AU24" i="9" s="1"/>
  <c r="O24" i="9" s="1"/>
  <c r="O57" i="9"/>
  <c r="B59" i="11"/>
  <c r="B35" i="11" s="1"/>
  <c r="O62" i="9"/>
  <c r="X55" i="9"/>
  <c r="S4" i="12"/>
  <c r="AN4" i="12"/>
  <c r="AM4" i="12"/>
  <c r="O60" i="9"/>
  <c r="B29" i="11"/>
  <c r="AU29" i="9"/>
  <c r="O29" i="9" s="1"/>
  <c r="AS32" i="9"/>
  <c r="AD55" i="9"/>
  <c r="C32" i="3"/>
  <c r="C33" i="11"/>
  <c r="AO25" i="3"/>
  <c r="AP25" i="3"/>
  <c r="C29" i="11"/>
  <c r="D10" i="3"/>
  <c r="C53" i="11"/>
  <c r="C44" i="11" s="1"/>
  <c r="C54" i="11"/>
  <c r="C55" i="11"/>
  <c r="C56" i="11"/>
  <c r="D56" i="11"/>
  <c r="C57" i="11"/>
  <c r="D57" i="11"/>
  <c r="B57" i="11"/>
  <c r="B56" i="11"/>
  <c r="B55" i="11"/>
  <c r="B54" i="11"/>
  <c r="C45" i="11"/>
  <c r="C60" i="11" s="1"/>
  <c r="E45" i="11"/>
  <c r="E60" i="11" s="1"/>
  <c r="F45" i="11"/>
  <c r="F60" i="11" s="1"/>
  <c r="G45" i="11"/>
  <c r="G60" i="11" s="1"/>
  <c r="H45" i="11"/>
  <c r="H60" i="11" s="1"/>
  <c r="B44" i="11" l="1"/>
  <c r="C61" i="11"/>
  <c r="C62" i="11"/>
  <c r="B66" i="11"/>
  <c r="B65" i="11" s="1"/>
  <c r="AT25" i="9"/>
  <c r="AU25" i="9" s="1"/>
  <c r="O25" i="9" s="1"/>
  <c r="O58" i="9"/>
  <c r="C66" i="11"/>
  <c r="C65" i="11"/>
  <c r="O22" i="9"/>
  <c r="AU32" i="9"/>
  <c r="AP4" i="12"/>
  <c r="U4" i="12"/>
  <c r="AO4" i="12"/>
  <c r="AT32" i="9"/>
  <c r="O26" i="12"/>
  <c r="K32" i="14"/>
  <c r="I32" i="14"/>
  <c r="G32" i="14"/>
  <c r="E32" i="14"/>
  <c r="F32" i="14" s="1"/>
  <c r="D32" i="14"/>
  <c r="C31" i="14"/>
  <c r="D31" i="14" s="1"/>
  <c r="E30" i="14"/>
  <c r="C30" i="14"/>
  <c r="D30" i="14" s="1"/>
  <c r="E25" i="14"/>
  <c r="C27" i="14"/>
  <c r="M8" i="14"/>
  <c r="AR4" i="12" l="1"/>
  <c r="W4" i="12"/>
  <c r="AS4" i="12" s="1"/>
  <c r="AQ4" i="12"/>
  <c r="I11" i="16"/>
  <c r="M26" i="12"/>
  <c r="G11" i="16"/>
  <c r="K26" i="12"/>
  <c r="S25" i="12" s="1"/>
  <c r="E11" i="16"/>
  <c r="I26" i="12"/>
  <c r="Z12" i="12"/>
  <c r="K11" i="16"/>
  <c r="R12" i="12"/>
  <c r="I12" i="14"/>
  <c r="G12" i="14"/>
  <c r="K12" i="14"/>
  <c r="E12" i="14"/>
  <c r="F11" i="16"/>
  <c r="AM19" i="9"/>
  <c r="AQ24" i="9"/>
  <c r="V24" i="9" s="1"/>
  <c r="H32" i="14"/>
  <c r="F30" i="14"/>
  <c r="L32" i="14"/>
  <c r="J32" i="14"/>
  <c r="C29" i="14"/>
  <c r="D29" i="14"/>
  <c r="C26" i="14"/>
  <c r="F12" i="14" l="1"/>
  <c r="E31" i="14"/>
  <c r="G31" i="14" l="1"/>
  <c r="H31" i="14" s="1"/>
  <c r="G30" i="14"/>
  <c r="E29" i="14"/>
  <c r="F31" i="14"/>
  <c r="F29" i="14" s="1"/>
  <c r="I31" i="14" l="1"/>
  <c r="J31" i="14" s="1"/>
  <c r="I30" i="14"/>
  <c r="H30" i="14"/>
  <c r="H29" i="14" s="1"/>
  <c r="G29" i="14"/>
  <c r="K31" i="14"/>
  <c r="L31" i="14" l="1"/>
  <c r="K30" i="14"/>
  <c r="I29" i="14"/>
  <c r="J30" i="14"/>
  <c r="J29" i="14" s="1"/>
  <c r="K29" i="14" l="1"/>
  <c r="L30" i="14"/>
  <c r="L29" i="14" s="1"/>
  <c r="F23" i="13" l="1"/>
  <c r="G23" i="13"/>
  <c r="H23" i="13"/>
  <c r="K91" i="1"/>
  <c r="J91" i="1"/>
  <c r="I91" i="1"/>
  <c r="H91" i="1"/>
  <c r="G91" i="1"/>
  <c r="E23" i="13"/>
  <c r="F30" i="12"/>
  <c r="D30" i="12"/>
  <c r="K20" i="7"/>
  <c r="X7" i="12" s="1"/>
  <c r="X7" i="17" s="1"/>
  <c r="J20" i="7"/>
  <c r="V7" i="12" s="1"/>
  <c r="V7" i="17" s="1"/>
  <c r="I20" i="7"/>
  <c r="G20" i="7"/>
  <c r="P7" i="12" s="1"/>
  <c r="P7" i="17" s="1"/>
  <c r="H20" i="7"/>
  <c r="D18" i="7"/>
  <c r="E18" i="7"/>
  <c r="F18" i="7"/>
  <c r="G18" i="7"/>
  <c r="H18" i="7"/>
  <c r="I18" i="7"/>
  <c r="J18" i="7"/>
  <c r="K18" i="7"/>
  <c r="C18" i="7"/>
  <c r="H4" i="12"/>
  <c r="AB4" i="12" s="1"/>
  <c r="F4" i="12"/>
  <c r="Z4" i="12" s="1"/>
  <c r="G8" i="12"/>
  <c r="J8" i="12" s="1"/>
  <c r="J8" i="17" s="1"/>
  <c r="E8" i="12"/>
  <c r="D27" i="12"/>
  <c r="C28" i="12"/>
  <c r="E28" i="12"/>
  <c r="C29" i="12"/>
  <c r="E29" i="12"/>
  <c r="O29" i="12"/>
  <c r="M29" i="12"/>
  <c r="K29" i="12"/>
  <c r="I29" i="12"/>
  <c r="G29" i="12"/>
  <c r="O28" i="12"/>
  <c r="M28" i="12"/>
  <c r="K28" i="12"/>
  <c r="I28" i="12"/>
  <c r="G28" i="12"/>
  <c r="I23" i="12"/>
  <c r="G18" i="12"/>
  <c r="Z17" i="12"/>
  <c r="L15" i="16"/>
  <c r="F15" i="16"/>
  <c r="Z16" i="12"/>
  <c r="Z15" i="12"/>
  <c r="Z14" i="12"/>
  <c r="N13" i="12"/>
  <c r="Y8" i="12"/>
  <c r="AA4" i="12"/>
  <c r="H22" i="13" l="1"/>
  <c r="T7" i="12"/>
  <c r="T7" i="17" s="1"/>
  <c r="J12" i="16"/>
  <c r="N13" i="17"/>
  <c r="G22" i="13"/>
  <c r="R7" i="12"/>
  <c r="R7" i="17" s="1"/>
  <c r="T23" i="12"/>
  <c r="F7" i="14"/>
  <c r="E22" i="13"/>
  <c r="H7" i="14"/>
  <c r="F22" i="13"/>
  <c r="L7" i="14"/>
  <c r="J7" i="14"/>
  <c r="E59" i="12"/>
  <c r="E58" i="12"/>
  <c r="C8" i="12"/>
  <c r="D8" i="12" s="1"/>
  <c r="C59" i="12"/>
  <c r="C58" i="12"/>
  <c r="C60" i="12"/>
  <c r="B24" i="13"/>
  <c r="B25" i="13" s="1"/>
  <c r="E60" i="12"/>
  <c r="L40" i="12"/>
  <c r="L41" i="12" s="1"/>
  <c r="H8" i="12"/>
  <c r="D8" i="14" s="1"/>
  <c r="G33" i="12"/>
  <c r="G32" i="12"/>
  <c r="L30" i="12"/>
  <c r="E18" i="13"/>
  <c r="J30" i="12"/>
  <c r="F14" i="14"/>
  <c r="F13" i="16"/>
  <c r="H16" i="14"/>
  <c r="H15" i="16"/>
  <c r="F17" i="14"/>
  <c r="F16" i="16"/>
  <c r="G14" i="14"/>
  <c r="G13" i="16"/>
  <c r="G17" i="14"/>
  <c r="G16" i="16"/>
  <c r="H14" i="14"/>
  <c r="H13" i="16"/>
  <c r="F15" i="14"/>
  <c r="F14" i="16"/>
  <c r="L15" i="14"/>
  <c r="L14" i="16"/>
  <c r="J16" i="14"/>
  <c r="J15" i="16"/>
  <c r="I17" i="14"/>
  <c r="I16" i="16"/>
  <c r="E15" i="14"/>
  <c r="E14" i="16"/>
  <c r="G15" i="14"/>
  <c r="G14" i="16"/>
  <c r="J17" i="14"/>
  <c r="J16" i="16"/>
  <c r="L14" i="14"/>
  <c r="L13" i="16"/>
  <c r="I16" i="14"/>
  <c r="I15" i="16"/>
  <c r="E16" i="14"/>
  <c r="E15" i="16"/>
  <c r="H15" i="14"/>
  <c r="H14" i="16"/>
  <c r="K17" i="14"/>
  <c r="K16" i="16"/>
  <c r="J15" i="14"/>
  <c r="J14" i="16"/>
  <c r="K15" i="14"/>
  <c r="K14" i="16"/>
  <c r="I14" i="14"/>
  <c r="I13" i="16"/>
  <c r="K16" i="14"/>
  <c r="K15" i="16"/>
  <c r="J14" i="14"/>
  <c r="J13" i="16"/>
  <c r="E14" i="14"/>
  <c r="E13" i="16"/>
  <c r="K14" i="14"/>
  <c r="K13" i="16"/>
  <c r="I15" i="14"/>
  <c r="I14" i="16"/>
  <c r="G16" i="14"/>
  <c r="G15" i="16"/>
  <c r="E17" i="14"/>
  <c r="E16" i="16"/>
  <c r="L17" i="14"/>
  <c r="L16" i="16"/>
  <c r="P30" i="12"/>
  <c r="N30" i="12"/>
  <c r="I27" i="12"/>
  <c r="F20" i="12"/>
  <c r="L16" i="14"/>
  <c r="F16" i="14"/>
  <c r="J13" i="14"/>
  <c r="L11" i="12"/>
  <c r="E18" i="12"/>
  <c r="F18" i="12" s="1"/>
  <c r="H29" i="12"/>
  <c r="E27" i="12"/>
  <c r="G27" i="12"/>
  <c r="F29" i="12"/>
  <c r="F19" i="12"/>
  <c r="K27" i="12"/>
  <c r="H13" i="12"/>
  <c r="N12" i="12"/>
  <c r="C27" i="12"/>
  <c r="E22" i="12"/>
  <c r="H28" i="12"/>
  <c r="F12" i="16"/>
  <c r="J29" i="12"/>
  <c r="L13" i="12"/>
  <c r="L13" i="17" s="1"/>
  <c r="AH14" i="17" s="1"/>
  <c r="F28" i="12"/>
  <c r="N11" i="12"/>
  <c r="P28" i="12"/>
  <c r="P13" i="12"/>
  <c r="J28" i="12"/>
  <c r="L28" i="12"/>
  <c r="L29" i="12"/>
  <c r="N29" i="12"/>
  <c r="N28" i="12"/>
  <c r="L11" i="14"/>
  <c r="AI14" i="12"/>
  <c r="M27" i="12"/>
  <c r="P12" i="12"/>
  <c r="L11" i="16" s="1"/>
  <c r="G24" i="12"/>
  <c r="G25" i="12"/>
  <c r="P29" i="12"/>
  <c r="H19" i="12"/>
  <c r="H20" i="12"/>
  <c r="O27" i="12"/>
  <c r="E8" i="13" l="1"/>
  <c r="L11" i="17"/>
  <c r="G8" i="13"/>
  <c r="N11" i="17"/>
  <c r="J11" i="16"/>
  <c r="T29" i="12"/>
  <c r="L12" i="16"/>
  <c r="P13" i="17"/>
  <c r="F8" i="12"/>
  <c r="F22" i="12" s="1"/>
  <c r="H11" i="16"/>
  <c r="T21" i="12"/>
  <c r="I18" i="13"/>
  <c r="L36" i="12"/>
  <c r="L37" i="12" s="1"/>
  <c r="D7" i="16"/>
  <c r="G18" i="13"/>
  <c r="D13" i="14"/>
  <c r="D12" i="16"/>
  <c r="H11" i="14"/>
  <c r="H10" i="16"/>
  <c r="J11" i="14"/>
  <c r="J10" i="16"/>
  <c r="H13" i="14"/>
  <c r="H12" i="16"/>
  <c r="E25" i="12"/>
  <c r="J12" i="14"/>
  <c r="H12" i="14"/>
  <c r="L12" i="14"/>
  <c r="E24" i="12"/>
  <c r="H18" i="12"/>
  <c r="E32" i="12"/>
  <c r="E33" i="12"/>
  <c r="L13" i="14"/>
  <c r="F13" i="14"/>
  <c r="AH14" i="12"/>
  <c r="H27" i="12"/>
  <c r="F27" i="12"/>
  <c r="J27" i="12"/>
  <c r="N27" i="12"/>
  <c r="K18" i="13"/>
  <c r="P27" i="12"/>
  <c r="L27" i="12"/>
  <c r="L36" i="17" l="1"/>
  <c r="L37" i="17" s="1"/>
  <c r="AD23" i="3"/>
  <c r="AD24" i="3"/>
  <c r="AD25" i="3"/>
  <c r="AD26" i="3"/>
  <c r="AD27" i="3"/>
  <c r="AD28" i="3"/>
  <c r="AD29" i="3"/>
  <c r="AD30" i="3"/>
  <c r="AD31" i="3"/>
  <c r="Y24" i="3"/>
  <c r="Z24" i="3"/>
  <c r="AA24" i="3"/>
  <c r="AB24" i="3"/>
  <c r="AC24" i="3"/>
  <c r="X25" i="3"/>
  <c r="Y25" i="3"/>
  <c r="Z25" i="3"/>
  <c r="AA25" i="3"/>
  <c r="AB25" i="3"/>
  <c r="AC25" i="3"/>
  <c r="X26" i="3"/>
  <c r="Y26" i="3"/>
  <c r="Z26" i="3"/>
  <c r="AA26" i="3"/>
  <c r="AB26" i="3"/>
  <c r="AC26" i="3"/>
  <c r="X27" i="3"/>
  <c r="Y27" i="3"/>
  <c r="Z27" i="3"/>
  <c r="AA27" i="3"/>
  <c r="AB27" i="3"/>
  <c r="AC27" i="3"/>
  <c r="X28" i="3"/>
  <c r="Y28" i="3"/>
  <c r="Z28" i="3"/>
  <c r="AA28" i="3"/>
  <c r="AB28" i="3"/>
  <c r="AC28" i="3"/>
  <c r="X29" i="3"/>
  <c r="Y29" i="3"/>
  <c r="Z29" i="3"/>
  <c r="AA29" i="3"/>
  <c r="AB29" i="3"/>
  <c r="AC29" i="3"/>
  <c r="X30" i="3"/>
  <c r="Y30" i="3"/>
  <c r="Z30" i="3"/>
  <c r="AA30" i="3"/>
  <c r="AB30" i="3"/>
  <c r="AC30" i="3"/>
  <c r="X31" i="3"/>
  <c r="Y31" i="3"/>
  <c r="Z31" i="3"/>
  <c r="AA31" i="3"/>
  <c r="AB31" i="3"/>
  <c r="AC31" i="3"/>
  <c r="Z23" i="3"/>
  <c r="AA23" i="3"/>
  <c r="AB23" i="3"/>
  <c r="AC23" i="3"/>
  <c r="W5" i="3" l="1"/>
  <c r="X5" i="3"/>
  <c r="Y5" i="3"/>
  <c r="Z5" i="3"/>
  <c r="AA5" i="3"/>
  <c r="AB5" i="3"/>
  <c r="AC5" i="3"/>
  <c r="AD5" i="3"/>
  <c r="AC24" i="9"/>
  <c r="AC25" i="9"/>
  <c r="AC26" i="9"/>
  <c r="T60" i="9"/>
  <c r="AC28" i="9"/>
  <c r="AC29" i="9"/>
  <c r="AC30" i="9"/>
  <c r="AC31" i="9"/>
  <c r="AC23" i="9"/>
  <c r="T56" i="9" s="1"/>
  <c r="T23" i="3"/>
  <c r="T24" i="3"/>
  <c r="T25" i="3"/>
  <c r="T26" i="3"/>
  <c r="T27" i="3"/>
  <c r="T28" i="3"/>
  <c r="T29" i="3"/>
  <c r="T30" i="3"/>
  <c r="T31" i="3"/>
  <c r="O23" i="3"/>
  <c r="P23" i="3"/>
  <c r="Q23" i="3"/>
  <c r="R23" i="3"/>
  <c r="S23" i="3"/>
  <c r="O24" i="3"/>
  <c r="P24" i="3"/>
  <c r="Q24" i="3"/>
  <c r="R24" i="3"/>
  <c r="S24" i="3"/>
  <c r="O25" i="3"/>
  <c r="P25" i="3"/>
  <c r="Q25" i="3"/>
  <c r="R25" i="3"/>
  <c r="S25" i="3"/>
  <c r="O26" i="3"/>
  <c r="P26" i="3"/>
  <c r="Q26" i="3"/>
  <c r="R26" i="3"/>
  <c r="S26" i="3"/>
  <c r="O27" i="3"/>
  <c r="P27" i="3"/>
  <c r="Q27" i="3"/>
  <c r="R27" i="3"/>
  <c r="S27" i="3"/>
  <c r="O28" i="3"/>
  <c r="P28" i="3"/>
  <c r="Q28" i="3"/>
  <c r="R28" i="3"/>
  <c r="S28" i="3"/>
  <c r="O29" i="3"/>
  <c r="P29" i="3"/>
  <c r="Q29" i="3"/>
  <c r="R29" i="3"/>
  <c r="S29" i="3"/>
  <c r="O30" i="3"/>
  <c r="P30" i="3"/>
  <c r="Q30" i="3"/>
  <c r="R30" i="3"/>
  <c r="S30" i="3"/>
  <c r="O31" i="3"/>
  <c r="P31" i="3"/>
  <c r="Q31" i="3"/>
  <c r="R31" i="3"/>
  <c r="S31" i="3"/>
  <c r="N24" i="3"/>
  <c r="N23" i="3"/>
  <c r="N25" i="3"/>
  <c r="N26" i="3"/>
  <c r="N27" i="3"/>
  <c r="N28" i="3"/>
  <c r="N29" i="3"/>
  <c r="N30" i="3"/>
  <c r="N31" i="3"/>
  <c r="AG57" i="9" l="1"/>
  <c r="T57" i="9"/>
  <c r="T63" i="9"/>
  <c r="T62" i="9"/>
  <c r="T61" i="9"/>
  <c r="T59" i="9"/>
  <c r="T64" i="9"/>
  <c r="T58" i="9"/>
  <c r="AK24" i="9"/>
  <c r="AN24" i="9"/>
  <c r="AI32" i="9"/>
  <c r="U24" i="9" l="1"/>
  <c r="AB32" i="3"/>
  <c r="Z65" i="9"/>
  <c r="T24" i="9"/>
  <c r="V51" i="6"/>
  <c r="W51" i="6"/>
  <c r="X51" i="6"/>
  <c r="Y51" i="6"/>
  <c r="Z51" i="6"/>
  <c r="AA51" i="6"/>
  <c r="AB51" i="6"/>
  <c r="AC51" i="6"/>
  <c r="AD51" i="6"/>
  <c r="V52" i="6"/>
  <c r="W52" i="6"/>
  <c r="X52" i="6"/>
  <c r="Y52" i="6"/>
  <c r="Z52" i="6"/>
  <c r="AA52" i="6"/>
  <c r="AB52" i="6"/>
  <c r="AC52" i="6"/>
  <c r="AD52" i="6"/>
  <c r="V53" i="6"/>
  <c r="W53" i="6"/>
  <c r="X53" i="6"/>
  <c r="Y53" i="6"/>
  <c r="Z53" i="6"/>
  <c r="AA53" i="6"/>
  <c r="AB53" i="6"/>
  <c r="AC53" i="6"/>
  <c r="AD53" i="6"/>
  <c r="V54" i="6"/>
  <c r="W54" i="6"/>
  <c r="X54" i="6"/>
  <c r="Y54" i="6"/>
  <c r="Z54" i="6"/>
  <c r="AA54" i="6"/>
  <c r="AB54" i="6"/>
  <c r="AC54" i="6"/>
  <c r="AD54" i="6"/>
  <c r="V55" i="6"/>
  <c r="W55" i="6"/>
  <c r="X55" i="6"/>
  <c r="Y55" i="6"/>
  <c r="Z55" i="6"/>
  <c r="AA55" i="6"/>
  <c r="AB55" i="6"/>
  <c r="AC55" i="6"/>
  <c r="AD55" i="6"/>
  <c r="V56" i="6"/>
  <c r="W56" i="6"/>
  <c r="X56" i="6"/>
  <c r="Y56" i="6"/>
  <c r="Z56" i="6"/>
  <c r="AA56" i="6"/>
  <c r="AB56" i="6"/>
  <c r="AC56" i="6"/>
  <c r="AD56" i="6"/>
  <c r="V57" i="6"/>
  <c r="W57" i="6"/>
  <c r="X57" i="6"/>
  <c r="Y57" i="6"/>
  <c r="Z57" i="6"/>
  <c r="AA57" i="6"/>
  <c r="AB57" i="6"/>
  <c r="AC57" i="6"/>
  <c r="AD57" i="6"/>
  <c r="V58" i="6"/>
  <c r="W58" i="6"/>
  <c r="X58" i="6"/>
  <c r="Y58" i="6"/>
  <c r="Z58" i="6"/>
  <c r="AA58" i="6"/>
  <c r="AB58" i="6"/>
  <c r="AC58" i="6"/>
  <c r="AD58" i="6"/>
  <c r="V59" i="6"/>
  <c r="W59" i="6"/>
  <c r="X59" i="6"/>
  <c r="Y59" i="6"/>
  <c r="Z59" i="6"/>
  <c r="AA59" i="6"/>
  <c r="AB59" i="6"/>
  <c r="AC59" i="6"/>
  <c r="AD59" i="6"/>
  <c r="W50" i="6"/>
  <c r="X50" i="6"/>
  <c r="Y50" i="6"/>
  <c r="Z50" i="6"/>
  <c r="AA50" i="6"/>
  <c r="AB50" i="6"/>
  <c r="AC50" i="6"/>
  <c r="AD50" i="6"/>
  <c r="V50" i="6"/>
  <c r="V21" i="6"/>
  <c r="W22" i="6"/>
  <c r="X22" i="6"/>
  <c r="Y22" i="6"/>
  <c r="Z22" i="6"/>
  <c r="AA22" i="6"/>
  <c r="AB22" i="6"/>
  <c r="AC22" i="6"/>
  <c r="AD22" i="6"/>
  <c r="W23" i="6"/>
  <c r="X23" i="6"/>
  <c r="Y23" i="6"/>
  <c r="Z23" i="6"/>
  <c r="AA23" i="6"/>
  <c r="AB23" i="6"/>
  <c r="AC23" i="6"/>
  <c r="AD23" i="6"/>
  <c r="W24" i="6"/>
  <c r="X24" i="6"/>
  <c r="Y24" i="6"/>
  <c r="Z24" i="6"/>
  <c r="AA24" i="6"/>
  <c r="AB24" i="6"/>
  <c r="AC24" i="6"/>
  <c r="AD24" i="6"/>
  <c r="W25" i="6"/>
  <c r="X25" i="6"/>
  <c r="Y25" i="6"/>
  <c r="Z25" i="6"/>
  <c r="AA25" i="6"/>
  <c r="AB25" i="6"/>
  <c r="AC25" i="6"/>
  <c r="AD25" i="6"/>
  <c r="W26" i="6"/>
  <c r="X26" i="6"/>
  <c r="Y26" i="6"/>
  <c r="Z26" i="6"/>
  <c r="AA26" i="6"/>
  <c r="AB26" i="6"/>
  <c r="AC26" i="6"/>
  <c r="AD26" i="6"/>
  <c r="W27" i="6"/>
  <c r="X27" i="6"/>
  <c r="Y27" i="6"/>
  <c r="Z27" i="6"/>
  <c r="AA27" i="6"/>
  <c r="AB27" i="6"/>
  <c r="AC27" i="6"/>
  <c r="AD27" i="6"/>
  <c r="W28" i="6"/>
  <c r="X28" i="6"/>
  <c r="Y28" i="6"/>
  <c r="Z28" i="6"/>
  <c r="AA28" i="6"/>
  <c r="AB28" i="6"/>
  <c r="AC28" i="6"/>
  <c r="AD28" i="6"/>
  <c r="W29" i="6"/>
  <c r="X29" i="6"/>
  <c r="Y29" i="6"/>
  <c r="Z29" i="6"/>
  <c r="AA29" i="6"/>
  <c r="AB29" i="6"/>
  <c r="AC29" i="6"/>
  <c r="AD29" i="6"/>
  <c r="W30" i="6"/>
  <c r="X30" i="6"/>
  <c r="Y30" i="6"/>
  <c r="Z30" i="6"/>
  <c r="AA30" i="6"/>
  <c r="AB30" i="6"/>
  <c r="AC30" i="6"/>
  <c r="AD30" i="6"/>
  <c r="V22" i="6"/>
  <c r="V23" i="6"/>
  <c r="V24" i="6"/>
  <c r="V25" i="6"/>
  <c r="V26" i="6"/>
  <c r="V27" i="6"/>
  <c r="V28" i="6"/>
  <c r="V29" i="6"/>
  <c r="V30" i="6"/>
  <c r="W21" i="6"/>
  <c r="X21" i="6"/>
  <c r="Y21" i="6"/>
  <c r="Z21" i="6"/>
  <c r="AA21" i="6"/>
  <c r="AB21" i="6"/>
  <c r="AC21" i="6"/>
  <c r="AD21" i="6"/>
  <c r="D63" i="6"/>
  <c r="D62" i="6" s="1"/>
  <c r="D66" i="6" s="1"/>
  <c r="E63" i="6"/>
  <c r="E62" i="6" s="1"/>
  <c r="E66" i="6" s="1"/>
  <c r="F63" i="6"/>
  <c r="F32" i="6" s="1"/>
  <c r="F65" i="6" s="1"/>
  <c r="G63" i="6"/>
  <c r="H63" i="6"/>
  <c r="I63" i="6"/>
  <c r="J63" i="6"/>
  <c r="K63" i="6"/>
  <c r="C63" i="6"/>
  <c r="D74" i="3"/>
  <c r="E74" i="3"/>
  <c r="F74" i="3"/>
  <c r="G74" i="3"/>
  <c r="H74" i="3"/>
  <c r="I74" i="3"/>
  <c r="J74" i="3"/>
  <c r="K74" i="3"/>
  <c r="C20" i="9"/>
  <c r="D20" i="9"/>
  <c r="E20" i="9"/>
  <c r="F20" i="9"/>
  <c r="G20" i="9"/>
  <c r="H20" i="9"/>
  <c r="I20" i="9"/>
  <c r="J20" i="9"/>
  <c r="K20" i="9"/>
  <c r="E61" i="3"/>
  <c r="F61" i="3"/>
  <c r="G61" i="3"/>
  <c r="H61" i="3"/>
  <c r="I61" i="3"/>
  <c r="J61" i="3"/>
  <c r="K61" i="3"/>
  <c r="N51" i="3"/>
  <c r="O51" i="3"/>
  <c r="P51" i="3"/>
  <c r="Q51" i="3"/>
  <c r="R51" i="3"/>
  <c r="S51" i="3"/>
  <c r="T51" i="3"/>
  <c r="U51" i="3"/>
  <c r="N52" i="3"/>
  <c r="O52" i="3"/>
  <c r="P52" i="3"/>
  <c r="Q52" i="3"/>
  <c r="R52" i="3"/>
  <c r="S52" i="3"/>
  <c r="T52" i="3"/>
  <c r="U52" i="3"/>
  <c r="N53" i="3"/>
  <c r="O53" i="3"/>
  <c r="P53" i="3"/>
  <c r="Q53" i="3"/>
  <c r="R53" i="3"/>
  <c r="S53" i="3"/>
  <c r="T53" i="3"/>
  <c r="U53" i="3"/>
  <c r="N54" i="3"/>
  <c r="O54" i="3"/>
  <c r="P54" i="3"/>
  <c r="Q54" i="3"/>
  <c r="R54" i="3"/>
  <c r="S54" i="3"/>
  <c r="T54" i="3"/>
  <c r="U54" i="3"/>
  <c r="N55" i="3"/>
  <c r="O55" i="3"/>
  <c r="P55" i="3"/>
  <c r="Q55" i="3"/>
  <c r="R55" i="3"/>
  <c r="S55" i="3"/>
  <c r="T55" i="3"/>
  <c r="U55" i="3"/>
  <c r="N56" i="3"/>
  <c r="O56" i="3"/>
  <c r="P56" i="3"/>
  <c r="Q56" i="3"/>
  <c r="R56" i="3"/>
  <c r="S56" i="3"/>
  <c r="T56" i="3"/>
  <c r="U56" i="3"/>
  <c r="N57" i="3"/>
  <c r="O57" i="3"/>
  <c r="P57" i="3"/>
  <c r="Q57" i="3"/>
  <c r="R57" i="3"/>
  <c r="S57" i="3"/>
  <c r="T57" i="3"/>
  <c r="U57" i="3"/>
  <c r="N58" i="3"/>
  <c r="O58" i="3"/>
  <c r="P58" i="3"/>
  <c r="Q58" i="3"/>
  <c r="R58" i="3"/>
  <c r="S58" i="3"/>
  <c r="T58" i="3"/>
  <c r="U58" i="3"/>
  <c r="N59" i="3"/>
  <c r="O59" i="3"/>
  <c r="P59" i="3"/>
  <c r="Q59" i="3"/>
  <c r="R59" i="3"/>
  <c r="S59" i="3"/>
  <c r="T59" i="3"/>
  <c r="U59" i="3"/>
  <c r="O50" i="3"/>
  <c r="P50" i="3"/>
  <c r="Q50" i="3"/>
  <c r="R50" i="3"/>
  <c r="S50" i="3"/>
  <c r="T50" i="3"/>
  <c r="U50" i="3"/>
  <c r="N50" i="3"/>
  <c r="D60" i="3"/>
  <c r="E60" i="3"/>
  <c r="F60" i="3"/>
  <c r="G60" i="3"/>
  <c r="H60" i="3"/>
  <c r="I60" i="3"/>
  <c r="J60" i="3"/>
  <c r="K60" i="3"/>
  <c r="C60" i="3"/>
  <c r="C46" i="3"/>
  <c r="E34" i="3"/>
  <c r="F34" i="3"/>
  <c r="G34" i="3"/>
  <c r="H34" i="3"/>
  <c r="I34" i="3"/>
  <c r="J34" i="3"/>
  <c r="K34" i="3"/>
  <c r="N38" i="3"/>
  <c r="O38" i="3"/>
  <c r="P38" i="3"/>
  <c r="Q38" i="3"/>
  <c r="R38" i="3"/>
  <c r="S38" i="3"/>
  <c r="N39" i="3"/>
  <c r="O39" i="3"/>
  <c r="P39" i="3"/>
  <c r="Q39" i="3"/>
  <c r="R39" i="3"/>
  <c r="S39" i="3"/>
  <c r="O40" i="3"/>
  <c r="P40" i="3"/>
  <c r="Q40" i="3"/>
  <c r="R40" i="3"/>
  <c r="S40" i="3"/>
  <c r="O41" i="3"/>
  <c r="P41" i="3"/>
  <c r="Q41" i="3"/>
  <c r="R41" i="3"/>
  <c r="S41" i="3"/>
  <c r="N42" i="3"/>
  <c r="O42" i="3"/>
  <c r="P42" i="3"/>
  <c r="Q42" i="3"/>
  <c r="R42" i="3"/>
  <c r="S42" i="3"/>
  <c r="N43" i="3"/>
  <c r="O43" i="3"/>
  <c r="P43" i="3"/>
  <c r="Q43" i="3"/>
  <c r="R43" i="3"/>
  <c r="S43" i="3"/>
  <c r="N44" i="3"/>
  <c r="O44" i="3"/>
  <c r="P44" i="3"/>
  <c r="Q44" i="3"/>
  <c r="R44" i="3"/>
  <c r="S44" i="3"/>
  <c r="N45" i="3"/>
  <c r="O45" i="3"/>
  <c r="P45" i="3"/>
  <c r="Q45" i="3"/>
  <c r="R45" i="3"/>
  <c r="S45" i="3"/>
  <c r="O36" i="3"/>
  <c r="AE9" i="3"/>
  <c r="AE12" i="3"/>
  <c r="AE13" i="3"/>
  <c r="AE14" i="3"/>
  <c r="AE15" i="3"/>
  <c r="AE16" i="3"/>
  <c r="AE8" i="3"/>
  <c r="V17" i="3"/>
  <c r="V3" i="3" s="1"/>
  <c r="C62" i="6" l="1"/>
  <c r="C66" i="6" s="1"/>
  <c r="C32" i="6"/>
  <c r="X60" i="6"/>
  <c r="X61" i="6" s="1"/>
  <c r="AD60" i="6"/>
  <c r="AD61" i="6" s="1"/>
  <c r="P60" i="3"/>
  <c r="AC60" i="6"/>
  <c r="AC61" i="6" s="1"/>
  <c r="AB60" i="6"/>
  <c r="AB61" i="6" s="1"/>
  <c r="AA60" i="6"/>
  <c r="AA61" i="6" s="1"/>
  <c r="W60" i="6"/>
  <c r="W61" i="6" s="1"/>
  <c r="Z60" i="6"/>
  <c r="Z61" i="6" s="1"/>
  <c r="Y60" i="6"/>
  <c r="Y61" i="6" s="1"/>
  <c r="V60" i="6"/>
  <c r="V61" i="6" s="1"/>
  <c r="AC31" i="6"/>
  <c r="AB31" i="6"/>
  <c r="AB63" i="6" s="1"/>
  <c r="AB65" i="6" s="1"/>
  <c r="AD31" i="6"/>
  <c r="AD32" i="6" s="1"/>
  <c r="AA31" i="6"/>
  <c r="U60" i="3"/>
  <c r="O60" i="3"/>
  <c r="AD18" i="9"/>
  <c r="E32" i="6"/>
  <c r="E64" i="6" s="1"/>
  <c r="F62" i="6"/>
  <c r="F66" i="6" s="1"/>
  <c r="E69" i="6"/>
  <c r="T60" i="3"/>
  <c r="N60" i="3"/>
  <c r="N61" i="3"/>
  <c r="S60" i="3"/>
  <c r="R60" i="3"/>
  <c r="Q60" i="3"/>
  <c r="D32" i="6"/>
  <c r="D64" i="6" s="1"/>
  <c r="D69" i="6"/>
  <c r="C6" i="11"/>
  <c r="D6" i="11" s="1"/>
  <c r="E6" i="11" s="1"/>
  <c r="F6" i="11" s="1"/>
  <c r="G6" i="11" s="1"/>
  <c r="H6" i="11" s="1"/>
  <c r="I6" i="11" s="1"/>
  <c r="J6" i="11" s="1"/>
  <c r="C27" i="11"/>
  <c r="D27" i="11" s="1"/>
  <c r="E27" i="11" s="1"/>
  <c r="F27" i="11" s="1"/>
  <c r="G27" i="11" s="1"/>
  <c r="H27" i="11" s="1"/>
  <c r="I27" i="11" s="1"/>
  <c r="J27" i="11" s="1"/>
  <c r="B19" i="11"/>
  <c r="B41" i="11"/>
  <c r="B4" i="11" s="1"/>
  <c r="C41" i="11"/>
  <c r="C4" i="11" s="1"/>
  <c r="I41" i="11"/>
  <c r="F41" i="11"/>
  <c r="E41" i="11"/>
  <c r="D41" i="11"/>
  <c r="E29" i="11"/>
  <c r="E66" i="11" s="1"/>
  <c r="D29" i="11"/>
  <c r="O16" i="9"/>
  <c r="O48" i="9" s="1"/>
  <c r="R16" i="9"/>
  <c r="S16" i="9"/>
  <c r="C16" i="3"/>
  <c r="O15" i="9"/>
  <c r="O47" i="9" s="1"/>
  <c r="R15" i="9"/>
  <c r="S15" i="9"/>
  <c r="C15" i="3"/>
  <c r="R14" i="9"/>
  <c r="AM29" i="9"/>
  <c r="AN29" i="9" s="1"/>
  <c r="C14" i="3"/>
  <c r="R13" i="9"/>
  <c r="AM28" i="9"/>
  <c r="AN28" i="9" s="1"/>
  <c r="AP28" i="9"/>
  <c r="AQ28" i="9" s="1"/>
  <c r="V28" i="9" s="1"/>
  <c r="C13" i="3"/>
  <c r="R12" i="9"/>
  <c r="AM27" i="9"/>
  <c r="AN27" i="9" s="1"/>
  <c r="AP27" i="9"/>
  <c r="AQ27" i="9" s="1"/>
  <c r="V27" i="9" s="1"/>
  <c r="C12" i="3"/>
  <c r="O11" i="9"/>
  <c r="O43" i="9" s="1"/>
  <c r="R11" i="9"/>
  <c r="O10" i="9"/>
  <c r="O42" i="9" s="1"/>
  <c r="R10" i="9"/>
  <c r="AM25" i="9"/>
  <c r="AN25" i="9" s="1"/>
  <c r="U57" i="9"/>
  <c r="S9" i="9"/>
  <c r="U9" i="9"/>
  <c r="V9" i="9"/>
  <c r="C9" i="3"/>
  <c r="R8" i="9"/>
  <c r="S8" i="9"/>
  <c r="AM23" i="9"/>
  <c r="AN23" i="9" s="1"/>
  <c r="C8" i="3"/>
  <c r="O7" i="9"/>
  <c r="O39" i="9" s="1"/>
  <c r="AD17" i="3"/>
  <c r="AC17" i="3"/>
  <c r="AB17" i="3"/>
  <c r="AA17" i="3"/>
  <c r="Z17" i="3"/>
  <c r="Y17" i="3"/>
  <c r="X17" i="3"/>
  <c r="W17" i="3"/>
  <c r="W6" i="3"/>
  <c r="X6" i="3" s="1"/>
  <c r="Y6" i="3" s="1"/>
  <c r="Z6" i="3" s="1"/>
  <c r="AA6" i="3" s="1"/>
  <c r="AB6" i="3" s="1"/>
  <c r="AC6" i="3" s="1"/>
  <c r="AD6" i="3" s="1"/>
  <c r="V2" i="3"/>
  <c r="V1" i="3" s="1"/>
  <c r="D46" i="3"/>
  <c r="E46" i="3"/>
  <c r="F46" i="3"/>
  <c r="G46" i="3"/>
  <c r="H46" i="3"/>
  <c r="I46" i="3"/>
  <c r="J46" i="3"/>
  <c r="K46" i="3"/>
  <c r="O9" i="9"/>
  <c r="O41" i="9" s="1"/>
  <c r="Q9" i="9"/>
  <c r="P11" i="9"/>
  <c r="Q11" i="9"/>
  <c r="O12" i="9"/>
  <c r="O44" i="9" s="1"/>
  <c r="T12" i="9"/>
  <c r="U12" i="9"/>
  <c r="V12" i="9"/>
  <c r="O13" i="9"/>
  <c r="O45" i="9" s="1"/>
  <c r="P13" i="9"/>
  <c r="T13" i="9"/>
  <c r="U13" i="9"/>
  <c r="O14" i="9"/>
  <c r="O46" i="9" s="1"/>
  <c r="T15" i="9"/>
  <c r="O8" i="9"/>
  <c r="O40" i="9" s="1"/>
  <c r="T8" i="9"/>
  <c r="D66" i="11" l="1"/>
  <c r="D65" i="11"/>
  <c r="N14" i="9"/>
  <c r="B15" i="11" s="1"/>
  <c r="U29" i="9"/>
  <c r="N9" i="9"/>
  <c r="B10" i="11" s="1"/>
  <c r="N13" i="9"/>
  <c r="B14" i="11" s="1"/>
  <c r="F9" i="11"/>
  <c r="J10" i="11"/>
  <c r="V41" i="9"/>
  <c r="H13" i="11"/>
  <c r="E10" i="11"/>
  <c r="U28" i="9"/>
  <c r="U45" i="9" s="1"/>
  <c r="AE61" i="9"/>
  <c r="F14" i="11"/>
  <c r="G9" i="11"/>
  <c r="H16" i="11"/>
  <c r="F13" i="11"/>
  <c r="U23" i="9"/>
  <c r="AE56" i="9"/>
  <c r="F15" i="11"/>
  <c r="G16" i="11"/>
  <c r="F16" i="11"/>
  <c r="G17" i="11"/>
  <c r="F12" i="11"/>
  <c r="N8" i="9"/>
  <c r="B9" i="11" s="1"/>
  <c r="N15" i="9"/>
  <c r="B16" i="11" s="1"/>
  <c r="I10" i="11"/>
  <c r="U41" i="9"/>
  <c r="AH57" i="9"/>
  <c r="G10" i="11"/>
  <c r="AB57" i="9"/>
  <c r="U25" i="9"/>
  <c r="F17" i="11"/>
  <c r="U27" i="9"/>
  <c r="U44" i="9" s="1"/>
  <c r="AE60" i="9"/>
  <c r="E12" i="11"/>
  <c r="H9" i="11"/>
  <c r="I14" i="11"/>
  <c r="AH61" i="9"/>
  <c r="N16" i="9"/>
  <c r="B17" i="11" s="1"/>
  <c r="H14" i="11"/>
  <c r="F11" i="11"/>
  <c r="J13" i="11"/>
  <c r="V44" i="9"/>
  <c r="I13" i="11"/>
  <c r="AH60" i="9"/>
  <c r="N12" i="9"/>
  <c r="B13" i="11" s="1"/>
  <c r="AA63" i="6"/>
  <c r="AA65" i="6" s="1"/>
  <c r="AC63" i="6"/>
  <c r="AC65" i="6" s="1"/>
  <c r="AC32" i="6"/>
  <c r="AB32" i="6"/>
  <c r="AA32" i="6"/>
  <c r="AD63" i="6"/>
  <c r="AD65" i="6" s="1"/>
  <c r="C65" i="6"/>
  <c r="C67" i="6" s="1"/>
  <c r="C64" i="6"/>
  <c r="I4" i="11"/>
  <c r="P41" i="11"/>
  <c r="Q41" i="11"/>
  <c r="N29" i="11"/>
  <c r="F65" i="11"/>
  <c r="F4" i="11"/>
  <c r="N41" i="11"/>
  <c r="L29" i="11"/>
  <c r="E65" i="11"/>
  <c r="M29" i="11"/>
  <c r="E4" i="11"/>
  <c r="M41" i="11"/>
  <c r="F64" i="6"/>
  <c r="F67" i="6"/>
  <c r="L41" i="11"/>
  <c r="D4" i="11"/>
  <c r="U8" i="9"/>
  <c r="T11" i="9"/>
  <c r="T16" i="9"/>
  <c r="U10" i="9"/>
  <c r="T10" i="9"/>
  <c r="AE58" i="9" s="1"/>
  <c r="V16" i="9"/>
  <c r="AP31" i="9"/>
  <c r="AQ31" i="9" s="1"/>
  <c r="V31" i="9" s="1"/>
  <c r="V15" i="9"/>
  <c r="AP30" i="9"/>
  <c r="AQ30" i="9" s="1"/>
  <c r="V30" i="9" s="1"/>
  <c r="U14" i="9"/>
  <c r="T14" i="9"/>
  <c r="AE62" i="9" s="1"/>
  <c r="V14" i="9"/>
  <c r="AP29" i="9"/>
  <c r="AQ29" i="9" s="1"/>
  <c r="V29" i="9" s="1"/>
  <c r="V13" i="9"/>
  <c r="Q12" i="9"/>
  <c r="V11" i="9"/>
  <c r="AP26" i="9"/>
  <c r="AQ26" i="9" s="1"/>
  <c r="V26" i="9" s="1"/>
  <c r="V10" i="9"/>
  <c r="AP25" i="9"/>
  <c r="AQ25" i="9" s="1"/>
  <c r="V25" i="9" s="1"/>
  <c r="Q10" i="9"/>
  <c r="Q8" i="9"/>
  <c r="V8" i="9"/>
  <c r="AP23" i="9"/>
  <c r="AQ23" i="9" s="1"/>
  <c r="V23" i="9" s="1"/>
  <c r="E65" i="6"/>
  <c r="D65" i="6"/>
  <c r="F20" i="14"/>
  <c r="F69" i="6"/>
  <c r="P8" i="9"/>
  <c r="P12" i="9"/>
  <c r="P10" i="9"/>
  <c r="Q14" i="9"/>
  <c r="Q16" i="9"/>
  <c r="AK23" i="9"/>
  <c r="U59" i="9"/>
  <c r="S13" i="9"/>
  <c r="U61" i="9"/>
  <c r="U16" i="9"/>
  <c r="AM31" i="9"/>
  <c r="AN31" i="9" s="1"/>
  <c r="AK25" i="9"/>
  <c r="AK27" i="9"/>
  <c r="AK29" i="9"/>
  <c r="U63" i="9"/>
  <c r="P16" i="9"/>
  <c r="S11" i="9"/>
  <c r="Q13" i="9"/>
  <c r="Q15" i="9"/>
  <c r="U56" i="9"/>
  <c r="S10" i="9"/>
  <c r="U58" i="9"/>
  <c r="AK26" i="9"/>
  <c r="S12" i="9"/>
  <c r="U60" i="9"/>
  <c r="AK28" i="9"/>
  <c r="S14" i="9"/>
  <c r="U62" i="9"/>
  <c r="P15" i="9"/>
  <c r="U64" i="9"/>
  <c r="P14" i="9"/>
  <c r="U11" i="9"/>
  <c r="AN26" i="9"/>
  <c r="U15" i="9"/>
  <c r="AM30" i="9"/>
  <c r="AN30" i="9" s="1"/>
  <c r="C9" i="11"/>
  <c r="C13" i="11"/>
  <c r="C12" i="11"/>
  <c r="C11" i="11"/>
  <c r="C10" i="11"/>
  <c r="C7" i="11"/>
  <c r="C17" i="11"/>
  <c r="D14" i="11"/>
  <c r="C16" i="11"/>
  <c r="C15" i="11"/>
  <c r="C14" i="11"/>
  <c r="D12" i="11"/>
  <c r="T9" i="9"/>
  <c r="R9" i="9"/>
  <c r="P9" i="9"/>
  <c r="O17" i="9"/>
  <c r="I17" i="11" l="1"/>
  <c r="AH64" i="9"/>
  <c r="T41" i="9"/>
  <c r="AE57" i="9"/>
  <c r="G15" i="11"/>
  <c r="T23" i="9"/>
  <c r="T40" i="9" s="1"/>
  <c r="AB56" i="9"/>
  <c r="D15" i="11"/>
  <c r="I15" i="11"/>
  <c r="U46" i="9"/>
  <c r="AH62" i="9"/>
  <c r="D9" i="11"/>
  <c r="I12" i="11"/>
  <c r="U43" i="9"/>
  <c r="AH59" i="9"/>
  <c r="E15" i="11"/>
  <c r="U31" i="9"/>
  <c r="U48" i="9" s="1"/>
  <c r="AE64" i="9"/>
  <c r="J12" i="11"/>
  <c r="V43" i="9"/>
  <c r="E17" i="11"/>
  <c r="E14" i="11"/>
  <c r="H11" i="11"/>
  <c r="T25" i="9"/>
  <c r="T42" i="9" s="1"/>
  <c r="AB58" i="9"/>
  <c r="F10" i="11"/>
  <c r="F8" i="11" s="1"/>
  <c r="G14" i="11"/>
  <c r="T26" i="9"/>
  <c r="T43" i="9" s="1"/>
  <c r="AB59" i="9"/>
  <c r="E16" i="11"/>
  <c r="D17" i="11"/>
  <c r="V40" i="9"/>
  <c r="H12" i="11"/>
  <c r="J15" i="11"/>
  <c r="V46" i="9"/>
  <c r="G13" i="11"/>
  <c r="G12" i="11"/>
  <c r="E67" i="6"/>
  <c r="F70" i="6" s="1"/>
  <c r="F68" i="6"/>
  <c r="T29" i="9"/>
  <c r="T46" i="9" s="1"/>
  <c r="AB62" i="9"/>
  <c r="I9" i="11"/>
  <c r="U40" i="9"/>
  <c r="AH56" i="9"/>
  <c r="V42" i="9"/>
  <c r="D16" i="11"/>
  <c r="E13" i="11"/>
  <c r="J14" i="11"/>
  <c r="V45" i="9"/>
  <c r="T28" i="9"/>
  <c r="T45" i="9" s="1"/>
  <c r="AB61" i="9"/>
  <c r="H15" i="11"/>
  <c r="D11" i="11"/>
  <c r="G11" i="11"/>
  <c r="G8" i="11" s="1"/>
  <c r="J16" i="11"/>
  <c r="V47" i="9"/>
  <c r="J17" i="11"/>
  <c r="V48" i="9"/>
  <c r="I11" i="11"/>
  <c r="U42" i="9"/>
  <c r="AH58" i="9"/>
  <c r="H17" i="11"/>
  <c r="U30" i="9"/>
  <c r="AE63" i="9"/>
  <c r="I16" i="11"/>
  <c r="U47" i="9"/>
  <c r="AH63" i="9"/>
  <c r="E9" i="11"/>
  <c r="U26" i="9"/>
  <c r="AE59" i="9"/>
  <c r="T27" i="9"/>
  <c r="T44" i="9" s="1"/>
  <c r="AB60" i="9"/>
  <c r="E11" i="11"/>
  <c r="E8" i="11" s="1"/>
  <c r="J9" i="11"/>
  <c r="J11" i="11"/>
  <c r="E68" i="6"/>
  <c r="D67" i="6"/>
  <c r="G67" i="11"/>
  <c r="N30" i="11"/>
  <c r="AA35" i="3"/>
  <c r="R9" i="12" s="1"/>
  <c r="L30" i="11"/>
  <c r="E67" i="11"/>
  <c r="M30" i="11"/>
  <c r="F67" i="11"/>
  <c r="Z35" i="3"/>
  <c r="P9" i="12" s="1"/>
  <c r="Z9" i="12"/>
  <c r="D13" i="11"/>
  <c r="F19" i="14"/>
  <c r="E18" i="14"/>
  <c r="E26" i="14" s="1"/>
  <c r="D68" i="6"/>
  <c r="E15" i="13"/>
  <c r="I18" i="12"/>
  <c r="E14" i="13"/>
  <c r="J20" i="12"/>
  <c r="C15" i="13" s="1"/>
  <c r="AK30" i="9"/>
  <c r="AK31" i="9"/>
  <c r="D10" i="11"/>
  <c r="C18" i="11"/>
  <c r="H10" i="11"/>
  <c r="C8" i="11"/>
  <c r="K35" i="9"/>
  <c r="D77" i="3"/>
  <c r="E77" i="3" s="1"/>
  <c r="F77" i="3" s="1"/>
  <c r="G77" i="3" s="1"/>
  <c r="H77" i="3" s="1"/>
  <c r="I77" i="3" s="1"/>
  <c r="J77" i="3" s="1"/>
  <c r="K77" i="3" s="1"/>
  <c r="D63" i="3"/>
  <c r="E63" i="3" s="1"/>
  <c r="F63" i="3" s="1"/>
  <c r="G63" i="3" s="1"/>
  <c r="H63" i="3" s="1"/>
  <c r="I63" i="3" s="1"/>
  <c r="J63" i="3" s="1"/>
  <c r="K63" i="3" s="1"/>
  <c r="D49" i="3"/>
  <c r="E49" i="3" s="1"/>
  <c r="F49" i="3" s="1"/>
  <c r="G49" i="3" s="1"/>
  <c r="H49" i="3" s="1"/>
  <c r="I49" i="3" s="1"/>
  <c r="J49" i="3" s="1"/>
  <c r="K49" i="3" s="1"/>
  <c r="D35" i="3"/>
  <c r="E35" i="3" s="1"/>
  <c r="F35" i="3" s="1"/>
  <c r="G35" i="3" s="1"/>
  <c r="H35" i="3" s="1"/>
  <c r="I35" i="3" s="1"/>
  <c r="J35" i="3" s="1"/>
  <c r="K35" i="3" s="1"/>
  <c r="D20" i="3"/>
  <c r="E20" i="3" s="1"/>
  <c r="F20" i="3" s="1"/>
  <c r="G20" i="3" s="1"/>
  <c r="H20" i="3" s="1"/>
  <c r="I20" i="3" s="1"/>
  <c r="J20" i="3" s="1"/>
  <c r="K20" i="3" s="1"/>
  <c r="I8" i="11" l="1"/>
  <c r="K6" i="13"/>
  <c r="R9" i="17"/>
  <c r="I6" i="13"/>
  <c r="P9" i="17"/>
  <c r="L8" i="16"/>
  <c r="L9" i="14"/>
  <c r="B13" i="13"/>
  <c r="I18" i="17"/>
  <c r="D8" i="11"/>
  <c r="T31" i="9"/>
  <c r="T48" i="9" s="1"/>
  <c r="AB64" i="9"/>
  <c r="T30" i="9"/>
  <c r="T47" i="9" s="1"/>
  <c r="AB63" i="9"/>
  <c r="E70" i="6"/>
  <c r="J8" i="11"/>
  <c r="I25" i="12"/>
  <c r="Z18" i="12"/>
  <c r="I24" i="12"/>
  <c r="D70" i="6"/>
  <c r="G8" i="16"/>
  <c r="G9" i="14"/>
  <c r="E8" i="16"/>
  <c r="E9" i="14"/>
  <c r="T24" i="12"/>
  <c r="I33" i="12"/>
  <c r="I32" i="12"/>
  <c r="E27" i="14"/>
  <c r="F18" i="14"/>
  <c r="J18" i="12"/>
  <c r="H8" i="11"/>
  <c r="AE30" i="9"/>
  <c r="AE24" i="9"/>
  <c r="R24" i="9" s="1"/>
  <c r="R41" i="9" s="1"/>
  <c r="AH26" i="9"/>
  <c r="AH30" i="9"/>
  <c r="AH31" i="9"/>
  <c r="AE28" i="9"/>
  <c r="AH23" i="9"/>
  <c r="AE29" i="9"/>
  <c r="AH25" i="9"/>
  <c r="AH24" i="9"/>
  <c r="AE31" i="9"/>
  <c r="AE25" i="9"/>
  <c r="AH27" i="9"/>
  <c r="AE23" i="9"/>
  <c r="AE27" i="9"/>
  <c r="AH29" i="9"/>
  <c r="AE26" i="9"/>
  <c r="AH28" i="9"/>
  <c r="S23" i="9" l="1"/>
  <c r="S40" i="9" s="1"/>
  <c r="Y56" i="9"/>
  <c r="S31" i="9"/>
  <c r="S48" i="9" s="1"/>
  <c r="Y64" i="9"/>
  <c r="S26" i="9"/>
  <c r="S43" i="9" s="1"/>
  <c r="Y59" i="9"/>
  <c r="C13" i="13"/>
  <c r="J18" i="17"/>
  <c r="S28" i="9"/>
  <c r="S45" i="9" s="1"/>
  <c r="Y61" i="9"/>
  <c r="I25" i="17"/>
  <c r="I33" i="17"/>
  <c r="I24" i="17"/>
  <c r="I32" i="17"/>
  <c r="S29" i="9"/>
  <c r="S46" i="9" s="1"/>
  <c r="Y62" i="9"/>
  <c r="S27" i="9"/>
  <c r="S44" i="9" s="1"/>
  <c r="Y60" i="9"/>
  <c r="S30" i="9"/>
  <c r="S47" i="9" s="1"/>
  <c r="Y63" i="9"/>
  <c r="S24" i="9"/>
  <c r="S41" i="9" s="1"/>
  <c r="Y57" i="9"/>
  <c r="S25" i="9"/>
  <c r="S42" i="9" s="1"/>
  <c r="Y58" i="9"/>
  <c r="R26" i="9"/>
  <c r="R43" i="9" s="1"/>
  <c r="R25" i="9"/>
  <c r="R42" i="9" s="1"/>
  <c r="R31" i="9"/>
  <c r="R48" i="9" s="1"/>
  <c r="R30" i="9"/>
  <c r="R47" i="9" s="1"/>
  <c r="R28" i="9"/>
  <c r="R45" i="9" s="1"/>
  <c r="R27" i="9"/>
  <c r="R44" i="9" s="1"/>
  <c r="R23" i="9"/>
  <c r="R40" i="9" s="1"/>
  <c r="R29" i="9"/>
  <c r="R46" i="9" s="1"/>
  <c r="J8" i="16"/>
  <c r="J9" i="14"/>
  <c r="F8" i="16"/>
  <c r="F9" i="14"/>
  <c r="H8" i="16"/>
  <c r="H9" i="14"/>
  <c r="V60" i="9"/>
  <c r="V56" i="9"/>
  <c r="V62" i="9"/>
  <c r="V61" i="9"/>
  <c r="V63" i="9"/>
  <c r="V58" i="9"/>
  <c r="V59" i="9"/>
  <c r="V64" i="9"/>
  <c r="V57" i="9"/>
  <c r="AB31" i="9"/>
  <c r="S64" i="9" s="1"/>
  <c r="Q31" i="9" l="1"/>
  <c r="Q48" i="9" s="1"/>
  <c r="AB25" i="9"/>
  <c r="S58" i="9" s="1"/>
  <c r="AB30" i="9"/>
  <c r="S63" i="9" s="1"/>
  <c r="AB24" i="9"/>
  <c r="AB29" i="9"/>
  <c r="S62" i="9" s="1"/>
  <c r="AB23" i="9"/>
  <c r="S56" i="9" s="1"/>
  <c r="AB27" i="9"/>
  <c r="S60" i="9" s="1"/>
  <c r="AB28" i="9"/>
  <c r="S61" i="9" s="1"/>
  <c r="AB26" i="9"/>
  <c r="S59" i="9" s="1"/>
  <c r="Q24" i="9" l="1"/>
  <c r="Q41" i="9" s="1"/>
  <c r="S57" i="9"/>
  <c r="Q27" i="9"/>
  <c r="Q44" i="9" s="1"/>
  <c r="Q25" i="9"/>
  <c r="Q42" i="9" s="1"/>
  <c r="Q23" i="9"/>
  <c r="Q40" i="9" s="1"/>
  <c r="Q28" i="9"/>
  <c r="Q45" i="9" s="1"/>
  <c r="Q29" i="9"/>
  <c r="Q46" i="9" s="1"/>
  <c r="Q26" i="9"/>
  <c r="Q43" i="9" s="1"/>
  <c r="Q30" i="9"/>
  <c r="Q47" i="9" s="1"/>
  <c r="Y24" i="9" l="1"/>
  <c r="P24" i="9" s="1"/>
  <c r="P41" i="9" s="1"/>
  <c r="P57" i="9" l="1"/>
  <c r="Y27" i="9"/>
  <c r="Y25" i="9"/>
  <c r="Y29" i="9"/>
  <c r="Y31" i="9"/>
  <c r="Y28" i="9"/>
  <c r="Y23" i="9"/>
  <c r="Y26" i="9"/>
  <c r="Y30" i="9"/>
  <c r="H32" i="6"/>
  <c r="I32" i="6"/>
  <c r="J32" i="6"/>
  <c r="K32" i="6"/>
  <c r="G32" i="6"/>
  <c r="H62" i="6"/>
  <c r="I62" i="6"/>
  <c r="J62" i="6"/>
  <c r="J66" i="6" s="1"/>
  <c r="K62" i="6"/>
  <c r="K66" i="6" s="1"/>
  <c r="G62" i="6"/>
  <c r="D32" i="3"/>
  <c r="P58" i="9" l="1"/>
  <c r="P25" i="9"/>
  <c r="P42" i="9" s="1"/>
  <c r="P56" i="9"/>
  <c r="P23" i="9"/>
  <c r="P40" i="9" s="1"/>
  <c r="P63" i="9"/>
  <c r="P30" i="9"/>
  <c r="P47" i="9" s="1"/>
  <c r="P59" i="9"/>
  <c r="P26" i="9"/>
  <c r="P43" i="9" s="1"/>
  <c r="P60" i="9"/>
  <c r="P27" i="9"/>
  <c r="P44" i="9" s="1"/>
  <c r="P61" i="9"/>
  <c r="P28" i="9"/>
  <c r="P45" i="9" s="1"/>
  <c r="P64" i="9"/>
  <c r="P31" i="9"/>
  <c r="P48" i="9" s="1"/>
  <c r="P62" i="9"/>
  <c r="P29" i="9"/>
  <c r="P46" i="9" s="1"/>
  <c r="AO32" i="3"/>
  <c r="H64" i="6"/>
  <c r="I64" i="6"/>
  <c r="G64" i="6"/>
  <c r="K65" i="6"/>
  <c r="K67" i="6" s="1"/>
  <c r="K64" i="6"/>
  <c r="J64" i="6"/>
  <c r="J65" i="6"/>
  <c r="H65" i="6"/>
  <c r="I66" i="6"/>
  <c r="J69" i="6" s="1"/>
  <c r="H66" i="6"/>
  <c r="G66" i="6"/>
  <c r="G69" i="6" s="1"/>
  <c r="G65" i="6"/>
  <c r="I65" i="6"/>
  <c r="W3" i="3"/>
  <c r="O47" i="3"/>
  <c r="K69" i="6"/>
  <c r="V31" i="6"/>
  <c r="V63" i="6" s="1"/>
  <c r="V65" i="6" s="1"/>
  <c r="Z31" i="6"/>
  <c r="Y31" i="6"/>
  <c r="X31" i="6"/>
  <c r="W31" i="6"/>
  <c r="K68" i="6" l="1"/>
  <c r="J67" i="6"/>
  <c r="AD67" i="6" s="1"/>
  <c r="J68" i="6"/>
  <c r="I67" i="6"/>
  <c r="AC67" i="6" s="1"/>
  <c r="I68" i="6"/>
  <c r="H67" i="6"/>
  <c r="AB67" i="6" s="1"/>
  <c r="H68" i="6"/>
  <c r="G67" i="6"/>
  <c r="AA67" i="6" s="1"/>
  <c r="G68" i="6"/>
  <c r="H69" i="6"/>
  <c r="L20" i="14"/>
  <c r="Z63" i="6"/>
  <c r="Z65" i="6" s="1"/>
  <c r="Z67" i="6" s="1"/>
  <c r="Z32" i="6"/>
  <c r="G14" i="13"/>
  <c r="I18" i="14"/>
  <c r="I27" i="14" s="1"/>
  <c r="J19" i="14"/>
  <c r="W32" i="6"/>
  <c r="W63" i="6"/>
  <c r="W65" i="6" s="1"/>
  <c r="W67" i="6" s="1"/>
  <c r="H20" i="14"/>
  <c r="G18" i="14"/>
  <c r="H18" i="14" s="1"/>
  <c r="H19" i="14"/>
  <c r="X32" i="6"/>
  <c r="X63" i="6"/>
  <c r="X65" i="6" s="1"/>
  <c r="X67" i="6" s="1"/>
  <c r="P19" i="12"/>
  <c r="L20" i="12"/>
  <c r="G15" i="13"/>
  <c r="Y32" i="6"/>
  <c r="Y63" i="6"/>
  <c r="Y65" i="6" s="1"/>
  <c r="Y67" i="6" s="1"/>
  <c r="J20" i="14"/>
  <c r="K18" i="14"/>
  <c r="L19" i="14"/>
  <c r="O18" i="12"/>
  <c r="P20" i="12"/>
  <c r="I69" i="6"/>
  <c r="M18" i="12"/>
  <c r="F13" i="13" s="1"/>
  <c r="N19" i="12"/>
  <c r="N20" i="12"/>
  <c r="K18" i="12"/>
  <c r="D22" i="3"/>
  <c r="F22" i="3"/>
  <c r="G22" i="3"/>
  <c r="H22" i="3"/>
  <c r="AA34" i="3" s="1"/>
  <c r="W69" i="9" s="1"/>
  <c r="I22" i="3"/>
  <c r="J22" i="3"/>
  <c r="K22" i="3"/>
  <c r="AD34" i="3" s="1"/>
  <c r="AF69" i="9" s="1"/>
  <c r="AC34" i="3" l="1"/>
  <c r="AC69" i="9" s="1"/>
  <c r="AB34" i="3"/>
  <c r="Z69" i="9" s="1"/>
  <c r="X34" i="3"/>
  <c r="X22" i="3"/>
  <c r="AQ22" i="3"/>
  <c r="Y34" i="3"/>
  <c r="Q69" i="9" s="1"/>
  <c r="K18" i="17"/>
  <c r="D13" i="13"/>
  <c r="E13" i="13" s="1"/>
  <c r="O18" i="17"/>
  <c r="H13" i="13"/>
  <c r="Z34" i="3"/>
  <c r="T69" i="9" s="1"/>
  <c r="O33" i="17"/>
  <c r="O32" i="17"/>
  <c r="M33" i="12"/>
  <c r="M18" i="17"/>
  <c r="K24" i="17"/>
  <c r="K32" i="17"/>
  <c r="K25" i="17"/>
  <c r="K33" i="17"/>
  <c r="AS22" i="3"/>
  <c r="AR22" i="3"/>
  <c r="AT22" i="3"/>
  <c r="AP22" i="3"/>
  <c r="AU22" i="3"/>
  <c r="L18" i="14"/>
  <c r="K33" i="12"/>
  <c r="K24" i="12"/>
  <c r="N69" i="9"/>
  <c r="K70" i="6"/>
  <c r="I70" i="6"/>
  <c r="O32" i="12"/>
  <c r="R18" i="12"/>
  <c r="R18" i="17" s="1"/>
  <c r="AD22" i="3"/>
  <c r="H70" i="6"/>
  <c r="G70" i="6"/>
  <c r="AC22" i="3"/>
  <c r="Y22" i="3"/>
  <c r="K15" i="13"/>
  <c r="M24" i="12"/>
  <c r="O33" i="12"/>
  <c r="K14" i="13"/>
  <c r="I26" i="14"/>
  <c r="K32" i="12"/>
  <c r="M25" i="12"/>
  <c r="G27" i="14"/>
  <c r="M32" i="12"/>
  <c r="AB22" i="3"/>
  <c r="AA22" i="3"/>
  <c r="Z22" i="3"/>
  <c r="J18" i="14"/>
  <c r="I15" i="13"/>
  <c r="P18" i="12"/>
  <c r="P18" i="17" s="1"/>
  <c r="J70" i="6"/>
  <c r="N18" i="12"/>
  <c r="N18" i="17" s="1"/>
  <c r="G13" i="13"/>
  <c r="I14" i="13"/>
  <c r="G26" i="14"/>
  <c r="K25" i="12"/>
  <c r="L18" i="12"/>
  <c r="L18" i="17" s="1"/>
  <c r="O22" i="3"/>
  <c r="Q37" i="3"/>
  <c r="Q46" i="3"/>
  <c r="Q22" i="3"/>
  <c r="S37" i="3"/>
  <c r="S46" i="3"/>
  <c r="N22" i="3"/>
  <c r="P37" i="3"/>
  <c r="P46" i="3"/>
  <c r="P22" i="3"/>
  <c r="R37" i="3"/>
  <c r="R46" i="3"/>
  <c r="S22" i="3"/>
  <c r="T22" i="3"/>
  <c r="O37" i="3"/>
  <c r="O46" i="3"/>
  <c r="R22" i="3"/>
  <c r="I68" i="4"/>
  <c r="T18" i="9" l="1"/>
  <c r="I19" i="3"/>
  <c r="M33" i="17"/>
  <c r="M25" i="17"/>
  <c r="M32" i="17"/>
  <c r="M24" i="17"/>
  <c r="AB2" i="3"/>
  <c r="H19" i="11"/>
  <c r="I13" i="13"/>
  <c r="K13" i="13"/>
  <c r="K156" i="2"/>
  <c r="K47" i="3" s="1"/>
  <c r="K62" i="3" s="1"/>
  <c r="K17" i="6"/>
  <c r="J49" i="7"/>
  <c r="K49" i="7"/>
  <c r="F17" i="6"/>
  <c r="O32" i="9"/>
  <c r="O49" i="9" s="1"/>
  <c r="H68" i="4"/>
  <c r="G68" i="4"/>
  <c r="F68" i="4"/>
  <c r="D68" i="4"/>
  <c r="E68" i="4"/>
  <c r="J68" i="4"/>
  <c r="K68" i="4"/>
  <c r="S18" i="9" l="1"/>
  <c r="H19" i="3"/>
  <c r="Q18" i="9"/>
  <c r="F19" i="3"/>
  <c r="O18" i="9"/>
  <c r="D19" i="3"/>
  <c r="R18" i="9"/>
  <c r="G19" i="3"/>
  <c r="P18" i="9"/>
  <c r="E19" i="3"/>
  <c r="AN33" i="9"/>
  <c r="U33" i="9" s="1"/>
  <c r="F19" i="11"/>
  <c r="Z2" i="3"/>
  <c r="D19" i="11"/>
  <c r="X2" i="3"/>
  <c r="E19" i="11"/>
  <c r="Y2" i="3"/>
  <c r="J19" i="11"/>
  <c r="K19" i="3"/>
  <c r="AD2" i="3" s="1"/>
  <c r="V18" i="9"/>
  <c r="G19" i="11"/>
  <c r="AA2" i="3"/>
  <c r="I19" i="11"/>
  <c r="J19" i="3"/>
  <c r="AC2" i="3" s="1"/>
  <c r="U18" i="9"/>
  <c r="W2" i="3"/>
  <c r="W1" i="3" s="1"/>
  <c r="C19" i="11"/>
  <c r="O19" i="9"/>
  <c r="D17" i="3"/>
  <c r="D17" i="6"/>
  <c r="E17" i="6"/>
  <c r="G17" i="6"/>
  <c r="H17" i="6"/>
  <c r="I17" i="6"/>
  <c r="J17" i="6"/>
  <c r="AU35" i="9" l="1"/>
  <c r="O51" i="9"/>
  <c r="AQ33" i="9"/>
  <c r="V33" i="9" s="1"/>
  <c r="U50" i="9"/>
  <c r="AB33" i="9"/>
  <c r="Q33" i="9" s="1"/>
  <c r="AH33" i="9"/>
  <c r="S33" i="9" s="1"/>
  <c r="Y33" i="9"/>
  <c r="P33" i="9" s="1"/>
  <c r="P50" i="9" s="1"/>
  <c r="O50" i="9"/>
  <c r="AE33" i="9"/>
  <c r="R33" i="9" s="1"/>
  <c r="R50" i="9" s="1"/>
  <c r="Q50" i="9"/>
  <c r="V50" i="9"/>
  <c r="AK33" i="9"/>
  <c r="T33" i="9" s="1"/>
  <c r="T50" i="9" s="1"/>
  <c r="S50" i="9"/>
  <c r="C20" i="11"/>
  <c r="M19" i="11" s="1"/>
  <c r="D5" i="3"/>
  <c r="D18" i="3"/>
  <c r="D1" i="3" s="1"/>
  <c r="D19" i="9"/>
  <c r="C156" i="2"/>
  <c r="C47" i="3" s="1"/>
  <c r="C62" i="3" s="1"/>
  <c r="D156" i="2"/>
  <c r="D47" i="3" s="1"/>
  <c r="D62" i="3" s="1"/>
  <c r="E156" i="2"/>
  <c r="E47" i="3" s="1"/>
  <c r="E62" i="3" s="1"/>
  <c r="F156" i="2"/>
  <c r="F47" i="3" s="1"/>
  <c r="F62" i="3" s="1"/>
  <c r="G156" i="2"/>
  <c r="G47" i="3" s="1"/>
  <c r="G62" i="3" s="1"/>
  <c r="H156" i="2"/>
  <c r="H47" i="3" s="1"/>
  <c r="H62" i="3" s="1"/>
  <c r="I156" i="2"/>
  <c r="I47" i="3" s="1"/>
  <c r="I62" i="3" s="1"/>
  <c r="J156" i="2"/>
  <c r="J47" i="3" s="1"/>
  <c r="J62" i="3" s="1"/>
  <c r="X6" i="17" l="1"/>
  <c r="O14" i="4"/>
  <c r="O12" i="4" s="1"/>
  <c r="M17" i="11"/>
  <c r="M18" i="11"/>
  <c r="M20" i="11" s="1"/>
  <c r="M12" i="11"/>
  <c r="M9" i="11"/>
  <c r="M16" i="11"/>
  <c r="M13" i="11"/>
  <c r="M14" i="11"/>
  <c r="M7" i="11"/>
  <c r="M15" i="11"/>
  <c r="M10" i="11"/>
  <c r="M11" i="11"/>
  <c r="E48" i="3"/>
  <c r="D35" i="9"/>
  <c r="E35" i="9"/>
  <c r="F35" i="9"/>
  <c r="F36" i="9" s="1"/>
  <c r="G35" i="9"/>
  <c r="G36" i="9" s="1"/>
  <c r="H35" i="9"/>
  <c r="H36" i="9" s="1"/>
  <c r="I35" i="9"/>
  <c r="I36" i="9" s="1"/>
  <c r="J35" i="9"/>
  <c r="I18" i="9"/>
  <c r="I5" i="9" s="1"/>
  <c r="J18" i="9"/>
  <c r="K18" i="9"/>
  <c r="K50" i="9" l="1"/>
  <c r="K5" i="9"/>
  <c r="J36" i="9"/>
  <c r="D36" i="9"/>
  <c r="D50" i="9"/>
  <c r="J5" i="9"/>
  <c r="K36" i="9"/>
  <c r="E37" i="9"/>
  <c r="E36" i="9"/>
  <c r="E50" i="9"/>
  <c r="M8" i="11"/>
  <c r="Q61" i="3"/>
  <c r="F50" i="9"/>
  <c r="P61" i="3"/>
  <c r="U61" i="3"/>
  <c r="J50" i="9"/>
  <c r="O61" i="3"/>
  <c r="S61" i="3"/>
  <c r="H50" i="9"/>
  <c r="R61" i="3"/>
  <c r="G50" i="9"/>
  <c r="T61" i="3"/>
  <c r="I50" i="9"/>
  <c r="D38" i="9"/>
  <c r="E38" i="9" s="1"/>
  <c r="F38" i="9" s="1"/>
  <c r="G38" i="9" s="1"/>
  <c r="H38" i="9" s="1"/>
  <c r="I38" i="9" s="1"/>
  <c r="J38" i="9" s="1"/>
  <c r="K38" i="9" s="1"/>
  <c r="D21" i="9"/>
  <c r="E21" i="9" s="1"/>
  <c r="F21" i="9" s="1"/>
  <c r="G21" i="9" s="1"/>
  <c r="H21" i="9" s="1"/>
  <c r="I21" i="9" s="1"/>
  <c r="J21" i="9" s="1"/>
  <c r="K21" i="9" s="1"/>
  <c r="D6" i="9"/>
  <c r="E6" i="9" s="1"/>
  <c r="F6" i="9" s="1"/>
  <c r="G6" i="9" s="1"/>
  <c r="H6" i="9" s="1"/>
  <c r="I6" i="9" s="1"/>
  <c r="J6" i="9" s="1"/>
  <c r="K6" i="9" s="1"/>
  <c r="D67" i="8"/>
  <c r="E67" i="8" s="1"/>
  <c r="F67" i="8" s="1"/>
  <c r="G67" i="8" s="1"/>
  <c r="H67" i="8" s="1"/>
  <c r="I67" i="8" s="1"/>
  <c r="J67" i="8" s="1"/>
  <c r="K67" i="8" s="1"/>
  <c r="D62" i="8"/>
  <c r="E62" i="8" s="1"/>
  <c r="F62" i="8" s="1"/>
  <c r="G62" i="8" s="1"/>
  <c r="H62" i="8" s="1"/>
  <c r="I62" i="8" s="1"/>
  <c r="J62" i="8" s="1"/>
  <c r="K62" i="8" s="1"/>
  <c r="D48" i="8"/>
  <c r="E48" i="8" s="1"/>
  <c r="F48" i="8" s="1"/>
  <c r="G48" i="8" s="1"/>
  <c r="H48" i="8" s="1"/>
  <c r="I48" i="8" s="1"/>
  <c r="J48" i="8" s="1"/>
  <c r="K48" i="8" s="1"/>
  <c r="D34" i="8"/>
  <c r="E34" i="8" s="1"/>
  <c r="F34" i="8" s="1"/>
  <c r="G34" i="8" s="1"/>
  <c r="H34" i="8" s="1"/>
  <c r="I34" i="8" s="1"/>
  <c r="J34" i="8" s="1"/>
  <c r="K34" i="8" s="1"/>
  <c r="D20" i="8"/>
  <c r="E20" i="8" s="1"/>
  <c r="F20" i="8" s="1"/>
  <c r="G20" i="8" s="1"/>
  <c r="H20" i="8" s="1"/>
  <c r="I20" i="8" s="1"/>
  <c r="J20" i="8" s="1"/>
  <c r="K20" i="8" s="1"/>
  <c r="D6" i="8"/>
  <c r="E6" i="8" s="1"/>
  <c r="F6" i="8" s="1"/>
  <c r="G6" i="8" s="1"/>
  <c r="H6" i="8" s="1"/>
  <c r="I6" i="8" s="1"/>
  <c r="J6" i="8" s="1"/>
  <c r="K6" i="8" s="1"/>
  <c r="I49" i="7"/>
  <c r="D47" i="7"/>
  <c r="E47" i="7" s="1"/>
  <c r="F47" i="7" s="1"/>
  <c r="G47" i="7" s="1"/>
  <c r="H47" i="7" s="1"/>
  <c r="I47" i="7" s="1"/>
  <c r="J47" i="7" s="1"/>
  <c r="K47" i="7" s="1"/>
  <c r="D41" i="7"/>
  <c r="E41" i="7" s="1"/>
  <c r="F41" i="7" s="1"/>
  <c r="G41" i="7" s="1"/>
  <c r="H41" i="7" s="1"/>
  <c r="I41" i="7" s="1"/>
  <c r="J41" i="7" s="1"/>
  <c r="K41" i="7" s="1"/>
  <c r="D26" i="7"/>
  <c r="E26" i="7" s="1"/>
  <c r="F26" i="7" s="1"/>
  <c r="G26" i="7" s="1"/>
  <c r="H26" i="7" s="1"/>
  <c r="I26" i="7" s="1"/>
  <c r="J26" i="7" s="1"/>
  <c r="K26" i="7" s="1"/>
  <c r="D21" i="7"/>
  <c r="E21" i="7" s="1"/>
  <c r="F21" i="7" s="1"/>
  <c r="G21" i="7" s="1"/>
  <c r="H21" i="7" s="1"/>
  <c r="I21" i="7" s="1"/>
  <c r="J21" i="7" s="1"/>
  <c r="K21" i="7" s="1"/>
  <c r="D6" i="7"/>
  <c r="E6" i="7" s="1"/>
  <c r="F6" i="7" s="1"/>
  <c r="G6" i="7" s="1"/>
  <c r="H6" i="7" s="1"/>
  <c r="I6" i="7" s="1"/>
  <c r="J6" i="7" s="1"/>
  <c r="K6" i="7" s="1"/>
  <c r="D49" i="6"/>
  <c r="E49" i="6" s="1"/>
  <c r="F49" i="6" s="1"/>
  <c r="G49" i="6" s="1"/>
  <c r="H49" i="6" s="1"/>
  <c r="I49" i="6" s="1"/>
  <c r="J49" i="6" s="1"/>
  <c r="K49" i="6" s="1"/>
  <c r="D35" i="6"/>
  <c r="E35" i="6" s="1"/>
  <c r="F35" i="6" s="1"/>
  <c r="G35" i="6" s="1"/>
  <c r="H35" i="6" s="1"/>
  <c r="I35" i="6" s="1"/>
  <c r="J35" i="6" s="1"/>
  <c r="K35" i="6" s="1"/>
  <c r="D20" i="6"/>
  <c r="E20" i="6" s="1"/>
  <c r="F20" i="6" s="1"/>
  <c r="G20" i="6" s="1"/>
  <c r="H20" i="6" s="1"/>
  <c r="I20" i="6" s="1"/>
  <c r="J20" i="6" s="1"/>
  <c r="K20" i="6" s="1"/>
  <c r="D6" i="6"/>
  <c r="E6" i="6" s="1"/>
  <c r="F6" i="6" s="1"/>
  <c r="G6" i="6" s="1"/>
  <c r="H6" i="6" s="1"/>
  <c r="I6" i="6" s="1"/>
  <c r="J6" i="6" s="1"/>
  <c r="K6" i="6" s="1"/>
  <c r="D34" i="5"/>
  <c r="E34" i="5" s="1"/>
  <c r="F34" i="5" s="1"/>
  <c r="G34" i="5" s="1"/>
  <c r="H34" i="5" s="1"/>
  <c r="I34" i="5" s="1"/>
  <c r="J34" i="5" s="1"/>
  <c r="K34" i="5" s="1"/>
  <c r="D20" i="5"/>
  <c r="E20" i="5" s="1"/>
  <c r="F20" i="5" s="1"/>
  <c r="G20" i="5" s="1"/>
  <c r="H20" i="5" s="1"/>
  <c r="I20" i="5" s="1"/>
  <c r="J20" i="5" s="1"/>
  <c r="K20" i="5" s="1"/>
  <c r="D6" i="5"/>
  <c r="E6" i="5" s="1"/>
  <c r="F6" i="5" s="1"/>
  <c r="G6" i="5" s="1"/>
  <c r="H6" i="5" s="1"/>
  <c r="I6" i="5" s="1"/>
  <c r="J6" i="5" s="1"/>
  <c r="K6" i="5" s="1"/>
  <c r="D102" i="4"/>
  <c r="E102" i="4" s="1"/>
  <c r="F102" i="4" s="1"/>
  <c r="G102" i="4" s="1"/>
  <c r="H102" i="4" s="1"/>
  <c r="I102" i="4" s="1"/>
  <c r="J102" i="4" s="1"/>
  <c r="K102" i="4" s="1"/>
  <c r="D87" i="4"/>
  <c r="E87" i="4" s="1"/>
  <c r="F87" i="4" s="1"/>
  <c r="G87" i="4" s="1"/>
  <c r="H87" i="4" s="1"/>
  <c r="I87" i="4" s="1"/>
  <c r="J87" i="4" s="1"/>
  <c r="K87" i="4" s="1"/>
  <c r="D82" i="4"/>
  <c r="E82" i="4" s="1"/>
  <c r="F82" i="4" s="1"/>
  <c r="G82" i="4" s="1"/>
  <c r="H82" i="4" s="1"/>
  <c r="I82" i="4" s="1"/>
  <c r="J82" i="4" s="1"/>
  <c r="K82" i="4" s="1"/>
  <c r="D77" i="4"/>
  <c r="E77" i="4" s="1"/>
  <c r="F77" i="4" s="1"/>
  <c r="G77" i="4" s="1"/>
  <c r="H77" i="4" s="1"/>
  <c r="I77" i="4" s="1"/>
  <c r="J77" i="4" s="1"/>
  <c r="K77" i="4" s="1"/>
  <c r="D72" i="4"/>
  <c r="E72" i="4" s="1"/>
  <c r="F72" i="4" s="1"/>
  <c r="G72" i="4" s="1"/>
  <c r="H72" i="4" s="1"/>
  <c r="I72" i="4" s="1"/>
  <c r="J72" i="4" s="1"/>
  <c r="K72" i="4" s="1"/>
  <c r="D56" i="4"/>
  <c r="E56" i="4" s="1"/>
  <c r="F56" i="4" s="1"/>
  <c r="G56" i="4" s="1"/>
  <c r="H56" i="4" s="1"/>
  <c r="I56" i="4" s="1"/>
  <c r="J56" i="4" s="1"/>
  <c r="K56" i="4" s="1"/>
  <c r="D41" i="4"/>
  <c r="E41" i="4" s="1"/>
  <c r="F41" i="4" s="1"/>
  <c r="G41" i="4" s="1"/>
  <c r="H41" i="4" s="1"/>
  <c r="I41" i="4" s="1"/>
  <c r="J41" i="4" s="1"/>
  <c r="K41" i="4" s="1"/>
  <c r="D36" i="4"/>
  <c r="E36" i="4" s="1"/>
  <c r="F36" i="4" s="1"/>
  <c r="G36" i="4" s="1"/>
  <c r="H36" i="4" s="1"/>
  <c r="I36" i="4" s="1"/>
  <c r="J36" i="4" s="1"/>
  <c r="K36" i="4" s="1"/>
  <c r="D31" i="4"/>
  <c r="E31" i="4" s="1"/>
  <c r="F31" i="4" s="1"/>
  <c r="G31" i="4" s="1"/>
  <c r="H31" i="4" s="1"/>
  <c r="I31" i="4" s="1"/>
  <c r="J31" i="4" s="1"/>
  <c r="K31" i="4" s="1"/>
  <c r="D26" i="4"/>
  <c r="E26" i="4" s="1"/>
  <c r="F26" i="4" s="1"/>
  <c r="G26" i="4" s="1"/>
  <c r="H26" i="4" s="1"/>
  <c r="I26" i="4" s="1"/>
  <c r="J26" i="4" s="1"/>
  <c r="K26" i="4" s="1"/>
  <c r="D21" i="4"/>
  <c r="E21" i="4" s="1"/>
  <c r="F21" i="4" s="1"/>
  <c r="G21" i="4" s="1"/>
  <c r="H21" i="4" s="1"/>
  <c r="I21" i="4" s="1"/>
  <c r="J21" i="4" s="1"/>
  <c r="K21" i="4" s="1"/>
  <c r="D16" i="4"/>
  <c r="E16" i="4" s="1"/>
  <c r="F16" i="4" s="1"/>
  <c r="G16" i="4" s="1"/>
  <c r="H16" i="4" s="1"/>
  <c r="I16" i="4" s="1"/>
  <c r="J16" i="4" s="1"/>
  <c r="K16" i="4" s="1"/>
  <c r="D11" i="4"/>
  <c r="E11" i="4" s="1"/>
  <c r="F11" i="4" s="1"/>
  <c r="G11" i="4" s="1"/>
  <c r="H11" i="4" s="1"/>
  <c r="I11" i="4" s="1"/>
  <c r="J11" i="4" s="1"/>
  <c r="K11" i="4" s="1"/>
  <c r="D6" i="4"/>
  <c r="E6" i="4" s="1"/>
  <c r="F6" i="4" s="1"/>
  <c r="G6" i="4" s="1"/>
  <c r="H6" i="4" s="1"/>
  <c r="I6" i="4" s="1"/>
  <c r="J6" i="4" s="1"/>
  <c r="K6" i="4" s="1"/>
  <c r="D6" i="3"/>
  <c r="E6" i="3" s="1"/>
  <c r="F6" i="3" s="1"/>
  <c r="G6" i="3" s="1"/>
  <c r="H6" i="3" s="1"/>
  <c r="I6" i="3" s="1"/>
  <c r="J6" i="3" s="1"/>
  <c r="K6" i="3" s="1"/>
  <c r="D141" i="2"/>
  <c r="E141" i="2" s="1"/>
  <c r="F141" i="2" s="1"/>
  <c r="G141" i="2" s="1"/>
  <c r="H141" i="2" s="1"/>
  <c r="I141" i="2" s="1"/>
  <c r="J141" i="2" s="1"/>
  <c r="K141" i="2" s="1"/>
  <c r="D126" i="2"/>
  <c r="E126" i="2" s="1"/>
  <c r="F126" i="2" s="1"/>
  <c r="G126" i="2" s="1"/>
  <c r="H126" i="2" s="1"/>
  <c r="I126" i="2" s="1"/>
  <c r="J126" i="2" s="1"/>
  <c r="K126" i="2" s="1"/>
  <c r="D111" i="2"/>
  <c r="E111" i="2" s="1"/>
  <c r="F111" i="2" s="1"/>
  <c r="G111" i="2" s="1"/>
  <c r="H111" i="2" s="1"/>
  <c r="I111" i="2" s="1"/>
  <c r="J111" i="2" s="1"/>
  <c r="K111" i="2" s="1"/>
  <c r="D96" i="2"/>
  <c r="E96" i="2" s="1"/>
  <c r="F96" i="2" s="1"/>
  <c r="G96" i="2" s="1"/>
  <c r="H96" i="2" s="1"/>
  <c r="I96" i="2" s="1"/>
  <c r="J96" i="2" s="1"/>
  <c r="K96" i="2" s="1"/>
  <c r="D81" i="2"/>
  <c r="E81" i="2" s="1"/>
  <c r="F81" i="2" s="1"/>
  <c r="G81" i="2" s="1"/>
  <c r="H81" i="2" s="1"/>
  <c r="I81" i="2" s="1"/>
  <c r="J81" i="2" s="1"/>
  <c r="K81" i="2" s="1"/>
  <c r="D66" i="2"/>
  <c r="E66" i="2" s="1"/>
  <c r="F66" i="2" s="1"/>
  <c r="G66" i="2" s="1"/>
  <c r="H66" i="2" s="1"/>
  <c r="I66" i="2" s="1"/>
  <c r="J66" i="2" s="1"/>
  <c r="K66" i="2" s="1"/>
  <c r="D51" i="2"/>
  <c r="E51" i="2" s="1"/>
  <c r="F51" i="2" s="1"/>
  <c r="G51" i="2" s="1"/>
  <c r="H51" i="2" s="1"/>
  <c r="I51" i="2" s="1"/>
  <c r="J51" i="2" s="1"/>
  <c r="K51" i="2" s="1"/>
  <c r="D36" i="2"/>
  <c r="E36" i="2" s="1"/>
  <c r="F36" i="2" s="1"/>
  <c r="G36" i="2" s="1"/>
  <c r="H36" i="2" s="1"/>
  <c r="I36" i="2" s="1"/>
  <c r="J36" i="2" s="1"/>
  <c r="K36" i="2" s="1"/>
  <c r="D21" i="2"/>
  <c r="E21" i="2" s="1"/>
  <c r="F21" i="2" s="1"/>
  <c r="G21" i="2" s="1"/>
  <c r="H21" i="2" s="1"/>
  <c r="I21" i="2" s="1"/>
  <c r="J21" i="2" s="1"/>
  <c r="K21" i="2" s="1"/>
  <c r="D6" i="2"/>
  <c r="E6" i="2" s="1"/>
  <c r="F6" i="2" s="1"/>
  <c r="G6" i="2" s="1"/>
  <c r="H6" i="2" s="1"/>
  <c r="I6" i="2" s="1"/>
  <c r="J6" i="2" s="1"/>
  <c r="K6" i="2" s="1"/>
  <c r="D121" i="1"/>
  <c r="E121" i="1" s="1"/>
  <c r="F121" i="1" s="1"/>
  <c r="G121" i="1" s="1"/>
  <c r="H121" i="1" s="1"/>
  <c r="I121" i="1" s="1"/>
  <c r="J121" i="1" s="1"/>
  <c r="K121" i="1" s="1"/>
  <c r="D109" i="1"/>
  <c r="E109" i="1" s="1"/>
  <c r="F109" i="1" s="1"/>
  <c r="G109" i="1" s="1"/>
  <c r="H109" i="1" s="1"/>
  <c r="I109" i="1" s="1"/>
  <c r="J109" i="1" s="1"/>
  <c r="K109" i="1" s="1"/>
  <c r="D97" i="1"/>
  <c r="E97" i="1" s="1"/>
  <c r="F97" i="1" s="1"/>
  <c r="G97" i="1" s="1"/>
  <c r="H97" i="1" s="1"/>
  <c r="I97" i="1" s="1"/>
  <c r="J97" i="1" s="1"/>
  <c r="K97" i="1" s="1"/>
  <c r="D92" i="1"/>
  <c r="E92" i="1" s="1"/>
  <c r="F92" i="1" s="1"/>
  <c r="G92" i="1" s="1"/>
  <c r="H92" i="1" s="1"/>
  <c r="I92" i="1" s="1"/>
  <c r="J92" i="1" s="1"/>
  <c r="K92" i="1" s="1"/>
  <c r="D88" i="1"/>
  <c r="E88" i="1" s="1"/>
  <c r="F88" i="1" s="1"/>
  <c r="G88" i="1" s="1"/>
  <c r="H88" i="1" s="1"/>
  <c r="I88" i="1" s="1"/>
  <c r="J88" i="1" s="1"/>
  <c r="K88" i="1" s="1"/>
  <c r="D76" i="1"/>
  <c r="E76" i="1" s="1"/>
  <c r="F76" i="1" s="1"/>
  <c r="G76" i="1" s="1"/>
  <c r="H76" i="1" s="1"/>
  <c r="I76" i="1" s="1"/>
  <c r="J76" i="1" s="1"/>
  <c r="K76" i="1" s="1"/>
  <c r="D64" i="1"/>
  <c r="E64" i="1" s="1"/>
  <c r="F64" i="1" s="1"/>
  <c r="G64" i="1" s="1"/>
  <c r="H64" i="1" s="1"/>
  <c r="I64" i="1" s="1"/>
  <c r="J64" i="1" s="1"/>
  <c r="K64" i="1" s="1"/>
  <c r="D52" i="1"/>
  <c r="E52" i="1" s="1"/>
  <c r="F52" i="1" s="1"/>
  <c r="G52" i="1" s="1"/>
  <c r="H52" i="1" s="1"/>
  <c r="I52" i="1" s="1"/>
  <c r="J52" i="1" s="1"/>
  <c r="K52" i="1" s="1"/>
  <c r="D40" i="1"/>
  <c r="E40" i="1" s="1"/>
  <c r="F40" i="1" s="1"/>
  <c r="G40" i="1" s="1"/>
  <c r="H40" i="1" s="1"/>
  <c r="I40" i="1" s="1"/>
  <c r="J40" i="1" s="1"/>
  <c r="K40" i="1" s="1"/>
  <c r="D28" i="1"/>
  <c r="E28" i="1" s="1"/>
  <c r="F28" i="1" s="1"/>
  <c r="G28" i="1" s="1"/>
  <c r="H28" i="1" s="1"/>
  <c r="I28" i="1" s="1"/>
  <c r="J28" i="1" s="1"/>
  <c r="K28" i="1" s="1"/>
  <c r="D16" i="1"/>
  <c r="E16" i="1" s="1"/>
  <c r="F16" i="1" s="1"/>
  <c r="G16" i="1" s="1"/>
  <c r="H16" i="1" s="1"/>
  <c r="I16" i="1" s="1"/>
  <c r="J16" i="1" s="1"/>
  <c r="K16" i="1" s="1"/>
  <c r="J4" i="1"/>
  <c r="K4" i="1" s="1"/>
  <c r="D49" i="7"/>
  <c r="E49" i="7"/>
  <c r="F49" i="7"/>
  <c r="G49" i="7"/>
  <c r="H49" i="7"/>
  <c r="A123" i="1"/>
  <c r="A124" i="1" s="1"/>
  <c r="A125" i="1" s="1"/>
  <c r="A126" i="1" s="1"/>
  <c r="A127" i="1" s="1"/>
  <c r="A128" i="1" s="1"/>
  <c r="A129" i="1" s="1"/>
  <c r="A130" i="1" s="1"/>
  <c r="A131" i="1" s="1"/>
  <c r="A111" i="1"/>
  <c r="A112" i="1" s="1"/>
  <c r="A113" i="1" s="1"/>
  <c r="A114" i="1" s="1"/>
  <c r="A115" i="1" s="1"/>
  <c r="A116" i="1" s="1"/>
  <c r="A117" i="1" s="1"/>
  <c r="A118" i="1" s="1"/>
  <c r="A119" i="1" s="1"/>
  <c r="A99" i="1"/>
  <c r="A100" i="1" s="1"/>
  <c r="A101" i="1" s="1"/>
  <c r="A102" i="1" s="1"/>
  <c r="A103" i="1" s="1"/>
  <c r="A104" i="1" s="1"/>
  <c r="A105" i="1" s="1"/>
  <c r="A106" i="1" s="1"/>
  <c r="A107" i="1" s="1"/>
  <c r="A78" i="1"/>
  <c r="A79" i="1" s="1"/>
  <c r="A80" i="1" s="1"/>
  <c r="A81" i="1" s="1"/>
  <c r="A82" i="1" s="1"/>
  <c r="A83" i="1" s="1"/>
  <c r="A84" i="1" s="1"/>
  <c r="A85" i="1" s="1"/>
  <c r="A86" i="1" s="1"/>
  <c r="A66" i="1"/>
  <c r="A67" i="1" s="1"/>
  <c r="A68" i="1" s="1"/>
  <c r="A69" i="1" s="1"/>
  <c r="A70" i="1" s="1"/>
  <c r="A71" i="1" s="1"/>
  <c r="A72" i="1" s="1"/>
  <c r="A73" i="1" s="1"/>
  <c r="A74" i="1" s="1"/>
  <c r="A54" i="1"/>
  <c r="A55" i="1" s="1"/>
  <c r="A56" i="1" s="1"/>
  <c r="A57" i="1" s="1"/>
  <c r="A58" i="1" s="1"/>
  <c r="A59" i="1" s="1"/>
  <c r="A60" i="1" s="1"/>
  <c r="A61" i="1" s="1"/>
  <c r="A62" i="1" s="1"/>
  <c r="A42" i="1"/>
  <c r="A43" i="1" s="1"/>
  <c r="A44" i="1" s="1"/>
  <c r="A45" i="1" s="1"/>
  <c r="A46" i="1" s="1"/>
  <c r="A47" i="1" s="1"/>
  <c r="A48" i="1" s="1"/>
  <c r="A49" i="1" s="1"/>
  <c r="A50" i="1" s="1"/>
  <c r="A30" i="1"/>
  <c r="A31" i="1" s="1"/>
  <c r="A32" i="1" s="1"/>
  <c r="A33" i="1" s="1"/>
  <c r="A34" i="1" s="1"/>
  <c r="A35" i="1" s="1"/>
  <c r="A36" i="1" s="1"/>
  <c r="A37" i="1" s="1"/>
  <c r="A38" i="1" s="1"/>
  <c r="A18" i="1"/>
  <c r="A19" i="1" s="1"/>
  <c r="A20" i="1" s="1"/>
  <c r="A21" i="1" s="1"/>
  <c r="A22" i="1" s="1"/>
  <c r="A23" i="1" s="1"/>
  <c r="A24" i="1" s="1"/>
  <c r="A25" i="1" s="1"/>
  <c r="A26" i="1" s="1"/>
  <c r="A6" i="1"/>
  <c r="A7" i="1" s="1"/>
  <c r="A8" i="1" s="1"/>
  <c r="A9" i="1" s="1"/>
  <c r="A10" i="1" s="1"/>
  <c r="A11" i="1" s="1"/>
  <c r="A12" i="1" s="1"/>
  <c r="A13" i="1" s="1"/>
  <c r="A14" i="1" s="1"/>
  <c r="AI4" i="12" l="1"/>
  <c r="N36" i="3" l="1"/>
  <c r="B7" i="11" l="1"/>
  <c r="G17" i="3"/>
  <c r="G5" i="3" s="1"/>
  <c r="AT32" i="3"/>
  <c r="E32" i="3"/>
  <c r="J32" i="3"/>
  <c r="K32" i="3"/>
  <c r="W32" i="9"/>
  <c r="F17" i="3"/>
  <c r="F5" i="3" s="1"/>
  <c r="U7" i="9"/>
  <c r="T7" i="9"/>
  <c r="H17" i="3"/>
  <c r="F32" i="3"/>
  <c r="AL32" i="9"/>
  <c r="AO32" i="9"/>
  <c r="V7" i="9"/>
  <c r="R7" i="9"/>
  <c r="E17" i="3"/>
  <c r="E5" i="3" s="1"/>
  <c r="AF32" i="9"/>
  <c r="Q7" i="9"/>
  <c r="S21" i="3"/>
  <c r="R21" i="3"/>
  <c r="S36" i="3"/>
  <c r="Q21" i="3"/>
  <c r="R36" i="3"/>
  <c r="Q36" i="3"/>
  <c r="Z10" i="12"/>
  <c r="T21" i="3"/>
  <c r="P36" i="3"/>
  <c r="E7" i="11" l="1"/>
  <c r="E18" i="11" s="1"/>
  <c r="R17" i="9"/>
  <c r="AC32" i="3"/>
  <c r="AC65" i="9"/>
  <c r="H7" i="11"/>
  <c r="H18" i="11" s="1"/>
  <c r="H20" i="11" s="1"/>
  <c r="R18" i="11" s="1"/>
  <c r="N65" i="9"/>
  <c r="X32" i="3"/>
  <c r="AH55" i="9"/>
  <c r="AA32" i="3"/>
  <c r="W65" i="9"/>
  <c r="AD32" i="3"/>
  <c r="AF65" i="9"/>
  <c r="AH65" i="9"/>
  <c r="AP32" i="3"/>
  <c r="E18" i="3"/>
  <c r="AU32" i="3"/>
  <c r="AQ32" i="3"/>
  <c r="AR32" i="3"/>
  <c r="AS32" i="3"/>
  <c r="H9" i="16"/>
  <c r="J9" i="16"/>
  <c r="F9" i="16"/>
  <c r="L9" i="16"/>
  <c r="K54" i="12"/>
  <c r="K55" i="12"/>
  <c r="I54" i="12"/>
  <c r="I55" i="12"/>
  <c r="H5" i="3"/>
  <c r="H18" i="3"/>
  <c r="H1" i="3" s="1"/>
  <c r="E20" i="11"/>
  <c r="O18" i="11" s="1"/>
  <c r="K10" i="14"/>
  <c r="K9" i="16"/>
  <c r="I10" i="14"/>
  <c r="I9" i="16"/>
  <c r="G10" i="14"/>
  <c r="G9" i="16"/>
  <c r="E10" i="14"/>
  <c r="E9" i="16"/>
  <c r="AB3" i="3"/>
  <c r="AB1" i="3" s="1"/>
  <c r="S47" i="3"/>
  <c r="X3" i="3"/>
  <c r="X1" i="3" s="1"/>
  <c r="Z3" i="3"/>
  <c r="Z1" i="3" s="1"/>
  <c r="R47" i="3"/>
  <c r="P32" i="3"/>
  <c r="H10" i="14"/>
  <c r="T32" i="3"/>
  <c r="S7" i="9"/>
  <c r="E19" i="9"/>
  <c r="F37" i="9" s="1"/>
  <c r="S32" i="3"/>
  <c r="G19" i="9"/>
  <c r="H37" i="9" s="1"/>
  <c r="G18" i="3"/>
  <c r="G1" i="3" s="1"/>
  <c r="T17" i="9"/>
  <c r="AC3" i="3"/>
  <c r="AC1" i="3" s="1"/>
  <c r="P47" i="3"/>
  <c r="O32" i="3"/>
  <c r="F7" i="11"/>
  <c r="F18" i="11" s="1"/>
  <c r="K17" i="3"/>
  <c r="K18" i="3" s="1"/>
  <c r="K1" i="3" s="1"/>
  <c r="AD3" i="3"/>
  <c r="AD1" i="3" s="1"/>
  <c r="N32" i="3"/>
  <c r="J7" i="11"/>
  <c r="J18" i="11" s="1"/>
  <c r="V17" i="9"/>
  <c r="I7" i="11"/>
  <c r="I18" i="11" s="1"/>
  <c r="U17" i="9"/>
  <c r="AA3" i="3"/>
  <c r="AA1" i="3" s="1"/>
  <c r="Q32" i="3"/>
  <c r="AC32" i="9"/>
  <c r="Z32" i="3" s="1"/>
  <c r="AP22" i="9"/>
  <c r="AP32" i="9" s="1"/>
  <c r="F19" i="9"/>
  <c r="G37" i="9" s="1"/>
  <c r="J17" i="3"/>
  <c r="AM22" i="9"/>
  <c r="AM32" i="9" s="1"/>
  <c r="H19" i="9"/>
  <c r="I37" i="9" s="1"/>
  <c r="P7" i="9"/>
  <c r="Z32" i="9"/>
  <c r="Q17" i="9"/>
  <c r="F18" i="3"/>
  <c r="F1" i="3" s="1"/>
  <c r="Q47" i="3"/>
  <c r="Y3" i="3"/>
  <c r="Y1" i="3" s="1"/>
  <c r="I17" i="3"/>
  <c r="R32" i="3"/>
  <c r="G7" i="11" l="1"/>
  <c r="G18" i="11" s="1"/>
  <c r="U19" i="9"/>
  <c r="R19" i="9"/>
  <c r="T19" i="9"/>
  <c r="Y32" i="3"/>
  <c r="Q65" i="9"/>
  <c r="V19" i="9"/>
  <c r="G2" i="3"/>
  <c r="H2" i="3"/>
  <c r="L10" i="14"/>
  <c r="Q14" i="4"/>
  <c r="Q12" i="4" s="1"/>
  <c r="T25" i="12"/>
  <c r="J10" i="14"/>
  <c r="F10" i="14"/>
  <c r="K5" i="16"/>
  <c r="K7" i="16" s="1"/>
  <c r="J20" i="11"/>
  <c r="T18" i="11" s="1"/>
  <c r="I20" i="11"/>
  <c r="S18" i="11" s="1"/>
  <c r="T14" i="4"/>
  <c r="T12" i="4" s="1"/>
  <c r="R10" i="11"/>
  <c r="R16" i="11"/>
  <c r="R19" i="11"/>
  <c r="R20" i="11" s="1"/>
  <c r="R15" i="11"/>
  <c r="R7" i="11"/>
  <c r="R13" i="11"/>
  <c r="R12" i="11"/>
  <c r="R17" i="11"/>
  <c r="R9" i="11"/>
  <c r="R14" i="11"/>
  <c r="R11" i="11"/>
  <c r="G20" i="11"/>
  <c r="S14" i="4" s="1"/>
  <c r="S12" i="4" s="1"/>
  <c r="O10" i="11"/>
  <c r="O16" i="11"/>
  <c r="O13" i="11"/>
  <c r="O7" i="11"/>
  <c r="O14" i="11"/>
  <c r="O17" i="11"/>
  <c r="O19" i="11"/>
  <c r="O20" i="11" s="1"/>
  <c r="O15" i="11"/>
  <c r="O12" i="11"/>
  <c r="O9" i="11"/>
  <c r="O11" i="11"/>
  <c r="F20" i="11"/>
  <c r="K5" i="3"/>
  <c r="S17" i="9"/>
  <c r="AD32" i="9"/>
  <c r="AG65" i="9" s="1"/>
  <c r="AA18" i="9"/>
  <c r="H48" i="3"/>
  <c r="F48" i="3"/>
  <c r="E1" i="3"/>
  <c r="G48" i="3"/>
  <c r="I48" i="3"/>
  <c r="I19" i="9"/>
  <c r="J37" i="9" s="1"/>
  <c r="I5" i="3"/>
  <c r="J19" i="9"/>
  <c r="K37" i="9" s="1"/>
  <c r="J5" i="3"/>
  <c r="K5" i="14"/>
  <c r="K19" i="9"/>
  <c r="AE22" i="9"/>
  <c r="V55" i="9" s="1"/>
  <c r="X32" i="9"/>
  <c r="Y22" i="9"/>
  <c r="P55" i="9" s="1"/>
  <c r="AA32" i="9"/>
  <c r="AD65" i="9" s="1"/>
  <c r="T65" i="9"/>
  <c r="Q19" i="9"/>
  <c r="AG32" i="9"/>
  <c r="AH22" i="9"/>
  <c r="AK22" i="9"/>
  <c r="AJ32" i="9"/>
  <c r="AA65" i="9" s="1"/>
  <c r="P17" i="9"/>
  <c r="D7" i="11"/>
  <c r="D18" i="11" s="1"/>
  <c r="I18" i="3"/>
  <c r="I1" i="3" s="1"/>
  <c r="I2" i="3" s="1"/>
  <c r="AQ22" i="9"/>
  <c r="J18" i="3"/>
  <c r="AB22" i="9"/>
  <c r="S55" i="9" s="1"/>
  <c r="AN22" i="9"/>
  <c r="AE55" i="9" s="1"/>
  <c r="H3" i="3" l="1"/>
  <c r="S22" i="9"/>
  <c r="Y55" i="9"/>
  <c r="W5" i="12"/>
  <c r="T22" i="9"/>
  <c r="AB55" i="9"/>
  <c r="U5" i="12"/>
  <c r="O5" i="12"/>
  <c r="O58" i="12" s="1"/>
  <c r="G5" i="14"/>
  <c r="G5" i="16"/>
  <c r="G7" i="16" s="1"/>
  <c r="S19" i="9"/>
  <c r="S5" i="12"/>
  <c r="S56" i="12" s="1"/>
  <c r="R65" i="9"/>
  <c r="X65" i="9"/>
  <c r="M5" i="12"/>
  <c r="AN32" i="9"/>
  <c r="AE65" i="9" s="1"/>
  <c r="U22" i="9"/>
  <c r="Q22" i="9"/>
  <c r="AQ32" i="9"/>
  <c r="AQ34" i="9" s="1"/>
  <c r="AH67" i="9" s="1"/>
  <c r="V22" i="9"/>
  <c r="R22" i="9"/>
  <c r="P22" i="9"/>
  <c r="Y32" i="9"/>
  <c r="O65" i="9"/>
  <c r="U65" i="9"/>
  <c r="E2" i="3"/>
  <c r="F2" i="3"/>
  <c r="G3" i="3" s="1"/>
  <c r="H21" i="11"/>
  <c r="Q18" i="11"/>
  <c r="I35" i="17"/>
  <c r="R8" i="11"/>
  <c r="V14" i="4"/>
  <c r="V12" i="4" s="1"/>
  <c r="T10" i="11"/>
  <c r="T16" i="11"/>
  <c r="T15" i="11"/>
  <c r="T13" i="11"/>
  <c r="T19" i="11"/>
  <c r="T20" i="11" s="1"/>
  <c r="T7" i="11"/>
  <c r="T14" i="11"/>
  <c r="T12" i="11"/>
  <c r="T17" i="11"/>
  <c r="T9" i="11"/>
  <c r="T11" i="11"/>
  <c r="U14" i="4"/>
  <c r="U12" i="4" s="1"/>
  <c r="J21" i="11"/>
  <c r="I21" i="11"/>
  <c r="S9" i="11"/>
  <c r="S15" i="11"/>
  <c r="S19" i="11"/>
  <c r="S20" i="11" s="1"/>
  <c r="S10" i="11"/>
  <c r="S16" i="11"/>
  <c r="S13" i="11"/>
  <c r="S17" i="11"/>
  <c r="S12" i="11"/>
  <c r="S7" i="11"/>
  <c r="S14" i="11"/>
  <c r="S11" i="11"/>
  <c r="Q10" i="11"/>
  <c r="Q16" i="11"/>
  <c r="Q15" i="11"/>
  <c r="Q9" i="11"/>
  <c r="Q7" i="11"/>
  <c r="Q19" i="11"/>
  <c r="Q12" i="11"/>
  <c r="Q14" i="11"/>
  <c r="Q13" i="11"/>
  <c r="Q17" i="11"/>
  <c r="Q11" i="11"/>
  <c r="R14" i="4"/>
  <c r="R12" i="4" s="1"/>
  <c r="P10" i="11"/>
  <c r="P14" i="11"/>
  <c r="P17" i="11"/>
  <c r="P7" i="11"/>
  <c r="P13" i="11"/>
  <c r="P16" i="11"/>
  <c r="P19" i="11"/>
  <c r="P9" i="11"/>
  <c r="P12" i="11"/>
  <c r="P15" i="11"/>
  <c r="P11" i="11"/>
  <c r="P18" i="11"/>
  <c r="O8" i="11"/>
  <c r="E5" i="16"/>
  <c r="E7" i="16" s="1"/>
  <c r="D20" i="11"/>
  <c r="E21" i="11" s="1"/>
  <c r="G21" i="11"/>
  <c r="F21" i="11"/>
  <c r="AK32" i="9"/>
  <c r="AB65" i="9" s="1"/>
  <c r="K48" i="3"/>
  <c r="J1" i="3"/>
  <c r="K2" i="3" s="1"/>
  <c r="J48" i="3"/>
  <c r="AE32" i="9"/>
  <c r="P19" i="9"/>
  <c r="AH32" i="9"/>
  <c r="Y65" i="9" s="1"/>
  <c r="AB32" i="9"/>
  <c r="S65" i="9" s="1"/>
  <c r="I56" i="12"/>
  <c r="E5" i="14"/>
  <c r="AN34" i="9" l="1"/>
  <c r="O35" i="12"/>
  <c r="Q5" i="12"/>
  <c r="T32" i="9"/>
  <c r="T49" i="9" s="1"/>
  <c r="T39" i="9"/>
  <c r="S58" i="12"/>
  <c r="P32" i="9"/>
  <c r="P49" i="9" s="1"/>
  <c r="P39" i="9"/>
  <c r="Q32" i="9"/>
  <c r="Q49" i="9" s="1"/>
  <c r="Q39" i="9"/>
  <c r="S5" i="17"/>
  <c r="S8" i="12"/>
  <c r="I5" i="14"/>
  <c r="H5" i="13"/>
  <c r="H24" i="13" s="1"/>
  <c r="O8" i="12"/>
  <c r="O5" i="17"/>
  <c r="O35" i="17" s="1"/>
  <c r="O56" i="12"/>
  <c r="V32" i="9"/>
  <c r="V49" i="9" s="1"/>
  <c r="V39" i="9"/>
  <c r="U32" i="9"/>
  <c r="U49" i="9" s="1"/>
  <c r="U39" i="9"/>
  <c r="W8" i="12"/>
  <c r="W5" i="17"/>
  <c r="F5" i="13"/>
  <c r="F24" i="13" s="1"/>
  <c r="M8" i="17"/>
  <c r="M5" i="17"/>
  <c r="M35" i="17" s="1"/>
  <c r="K5" i="12"/>
  <c r="T26" i="12"/>
  <c r="R32" i="9"/>
  <c r="R49" i="9" s="1"/>
  <c r="R39" i="9"/>
  <c r="U34" i="9"/>
  <c r="U51" i="9" s="1"/>
  <c r="AE67" i="9"/>
  <c r="S35" i="12"/>
  <c r="U5" i="17"/>
  <c r="U8" i="12"/>
  <c r="I5" i="16"/>
  <c r="I7" i="16" s="1"/>
  <c r="I21" i="16" s="1"/>
  <c r="AQ35" i="9"/>
  <c r="T6" i="17" s="1"/>
  <c r="S48" i="17" s="1"/>
  <c r="S32" i="9"/>
  <c r="S49" i="9" s="1"/>
  <c r="S39" i="9"/>
  <c r="AQ36" i="9"/>
  <c r="V34" i="9"/>
  <c r="V51" i="9" s="1"/>
  <c r="AN36" i="9"/>
  <c r="AK34" i="9"/>
  <c r="F3" i="3"/>
  <c r="P65" i="9"/>
  <c r="Y34" i="9"/>
  <c r="P67" i="9" s="1"/>
  <c r="AB34" i="9"/>
  <c r="S67" i="9" s="1"/>
  <c r="AE34" i="9"/>
  <c r="Q20" i="11"/>
  <c r="N18" i="11"/>
  <c r="P20" i="11"/>
  <c r="M56" i="12"/>
  <c r="G22" i="17"/>
  <c r="H22" i="17"/>
  <c r="Z5" i="12"/>
  <c r="I59" i="12"/>
  <c r="I60" i="12"/>
  <c r="I3" i="3"/>
  <c r="P14" i="4"/>
  <c r="P12" i="4" s="1"/>
  <c r="S60" i="12"/>
  <c r="S59" i="12"/>
  <c r="G22" i="12"/>
  <c r="I58" i="12"/>
  <c r="I35" i="12"/>
  <c r="M35" i="12"/>
  <c r="M58" i="12"/>
  <c r="AN35" i="9"/>
  <c r="R6" i="17" s="1"/>
  <c r="S8" i="11"/>
  <c r="T8" i="11"/>
  <c r="Q8" i="11"/>
  <c r="P8" i="11"/>
  <c r="F7" i="16"/>
  <c r="D21" i="16" s="1"/>
  <c r="C21" i="16"/>
  <c r="H7" i="16"/>
  <c r="E21" i="16"/>
  <c r="N7" i="11"/>
  <c r="N11" i="11"/>
  <c r="N17" i="11"/>
  <c r="N9" i="11"/>
  <c r="N15" i="11"/>
  <c r="N10" i="11"/>
  <c r="N13" i="11"/>
  <c r="N16" i="11"/>
  <c r="N19" i="11"/>
  <c r="N14" i="11"/>
  <c r="D21" i="11"/>
  <c r="N12" i="11"/>
  <c r="J2" i="3"/>
  <c r="J3" i="3" s="1"/>
  <c r="V65" i="9"/>
  <c r="AH34" i="9"/>
  <c r="Y67" i="9" s="1"/>
  <c r="J23" i="11" l="1"/>
  <c r="G21" i="16"/>
  <c r="L7" i="16"/>
  <c r="J7" i="16"/>
  <c r="O59" i="12"/>
  <c r="O60" i="12"/>
  <c r="S35" i="17"/>
  <c r="T34" i="9"/>
  <c r="T51" i="9" s="1"/>
  <c r="AB67" i="9"/>
  <c r="U35" i="9"/>
  <c r="V6" i="12" s="1"/>
  <c r="U36" i="9"/>
  <c r="V5" i="12" s="1"/>
  <c r="V5" i="17" s="1"/>
  <c r="V8" i="12"/>
  <c r="V8" i="17" s="1"/>
  <c r="U8" i="17"/>
  <c r="S8" i="17"/>
  <c r="W8" i="17"/>
  <c r="X8" i="12"/>
  <c r="X8" i="17" s="1"/>
  <c r="J5" i="13"/>
  <c r="J24" i="13" s="1"/>
  <c r="Q8" i="12"/>
  <c r="Q5" i="17"/>
  <c r="Q35" i="17" s="1"/>
  <c r="Q56" i="12"/>
  <c r="Q35" i="12"/>
  <c r="Q58" i="12"/>
  <c r="P8" i="12"/>
  <c r="P8" i="17" s="1"/>
  <c r="O8" i="17"/>
  <c r="M22" i="17" s="1"/>
  <c r="D5" i="13"/>
  <c r="D24" i="13" s="1"/>
  <c r="K8" i="12"/>
  <c r="I22" i="12" s="1"/>
  <c r="K5" i="17"/>
  <c r="K35" i="17" s="1"/>
  <c r="K56" i="12"/>
  <c r="K35" i="12"/>
  <c r="K58" i="12"/>
  <c r="K46" i="12"/>
  <c r="K47" i="12" s="1"/>
  <c r="K45" i="12"/>
  <c r="AB36" i="9"/>
  <c r="AB35" i="9"/>
  <c r="Q34" i="9"/>
  <c r="V36" i="9"/>
  <c r="X5" i="12" s="1"/>
  <c r="X5" i="17" s="1"/>
  <c r="V35" i="9"/>
  <c r="X6" i="12" s="1"/>
  <c r="AH35" i="9"/>
  <c r="AH36" i="9"/>
  <c r="S34" i="9"/>
  <c r="S51" i="9" s="1"/>
  <c r="R34" i="9"/>
  <c r="R51" i="9" s="1"/>
  <c r="AK36" i="9"/>
  <c r="AK35" i="9"/>
  <c r="Y36" i="9"/>
  <c r="P34" i="9"/>
  <c r="P51" i="9" s="1"/>
  <c r="Y35" i="9"/>
  <c r="AE35" i="9"/>
  <c r="N20" i="11"/>
  <c r="M59" i="12"/>
  <c r="M60" i="12"/>
  <c r="I23" i="11"/>
  <c r="M22" i="12"/>
  <c r="K22" i="12"/>
  <c r="K3" i="3"/>
  <c r="J21" i="16"/>
  <c r="F21" i="16"/>
  <c r="H21" i="16"/>
  <c r="N8" i="11"/>
  <c r="AE36" i="9"/>
  <c r="V67" i="9"/>
  <c r="I24" i="11"/>
  <c r="H22" i="12"/>
  <c r="J24" i="11"/>
  <c r="L8" i="12" l="1"/>
  <c r="L8" i="17" s="1"/>
  <c r="J22" i="17" s="1"/>
  <c r="Q59" i="12"/>
  <c r="Q60" i="12"/>
  <c r="R8" i="12"/>
  <c r="R8" i="17" s="1"/>
  <c r="Q8" i="17"/>
  <c r="T8" i="12"/>
  <c r="T8" i="17" s="1"/>
  <c r="K60" i="12"/>
  <c r="K59" i="12"/>
  <c r="T35" i="9"/>
  <c r="K46" i="17"/>
  <c r="K47" i="17" s="1"/>
  <c r="Q36" i="9"/>
  <c r="N5" i="12" s="1"/>
  <c r="Q51" i="9"/>
  <c r="K8" i="17"/>
  <c r="N8" i="12"/>
  <c r="K45" i="17"/>
  <c r="P36" i="9"/>
  <c r="L5" i="12" s="1"/>
  <c r="P35" i="9"/>
  <c r="L6" i="12" s="1"/>
  <c r="E16" i="13" s="1"/>
  <c r="F5" i="16"/>
  <c r="L6" i="16"/>
  <c r="R35" i="9"/>
  <c r="P6" i="12" s="1"/>
  <c r="I16" i="13" s="1"/>
  <c r="R36" i="9"/>
  <c r="P5" i="12" s="1"/>
  <c r="S36" i="9"/>
  <c r="R5" i="12" s="1"/>
  <c r="S35" i="9"/>
  <c r="R6" i="12" s="1"/>
  <c r="K16" i="13" s="1"/>
  <c r="T36" i="9"/>
  <c r="T5" i="12" s="1"/>
  <c r="Q35" i="9"/>
  <c r="N6" i="12" s="1"/>
  <c r="G16" i="13" s="1"/>
  <c r="J22" i="12"/>
  <c r="I22" i="17" l="1"/>
  <c r="K22" i="17"/>
  <c r="P6" i="17"/>
  <c r="T6" i="12"/>
  <c r="S48" i="12" s="1"/>
  <c r="K50" i="17"/>
  <c r="E5" i="13"/>
  <c r="L5" i="17"/>
  <c r="G5" i="13"/>
  <c r="N5" i="17"/>
  <c r="N8" i="17"/>
  <c r="N22" i="12"/>
  <c r="L22" i="12"/>
  <c r="T5" i="17"/>
  <c r="S51" i="12"/>
  <c r="K5" i="13"/>
  <c r="R5" i="17"/>
  <c r="Q51" i="12"/>
  <c r="I5" i="13"/>
  <c r="P5" i="17"/>
  <c r="F6" i="16"/>
  <c r="J6" i="17"/>
  <c r="J5" i="16"/>
  <c r="J6" i="16"/>
  <c r="N6" i="17"/>
  <c r="M48" i="17" s="1"/>
  <c r="M49" i="17" s="1"/>
  <c r="H5" i="16"/>
  <c r="H6" i="16"/>
  <c r="L6" i="17"/>
  <c r="K48" i="17" s="1"/>
  <c r="K49" i="17" s="1"/>
  <c r="L5" i="16"/>
  <c r="F24" i="11"/>
  <c r="H5" i="14"/>
  <c r="K51" i="12"/>
  <c r="H6" i="14"/>
  <c r="F23" i="11"/>
  <c r="F6" i="14"/>
  <c r="E23" i="11"/>
  <c r="G23" i="11"/>
  <c r="J6" i="14"/>
  <c r="D23" i="11"/>
  <c r="D24" i="11"/>
  <c r="E24" i="11"/>
  <c r="F5" i="14"/>
  <c r="L6" i="14"/>
  <c r="H23" i="11"/>
  <c r="H24" i="11"/>
  <c r="L5" i="14"/>
  <c r="G24" i="11"/>
  <c r="J5" i="14"/>
  <c r="C10" i="3"/>
  <c r="N10" i="9" s="1"/>
  <c r="C22" i="3"/>
  <c r="N40" i="3"/>
  <c r="AE10" i="3"/>
  <c r="T27" i="12" l="1"/>
  <c r="L22" i="17"/>
  <c r="N22" i="17"/>
  <c r="N37" i="3"/>
  <c r="AO22" i="3"/>
  <c r="O51" i="12"/>
  <c r="I51" i="12"/>
  <c r="Y51" i="12" s="1"/>
  <c r="L42" i="17"/>
  <c r="L43" i="17" s="1"/>
  <c r="M51" i="12"/>
  <c r="K48" i="12"/>
  <c r="K49" i="12" s="1"/>
  <c r="M48" i="12"/>
  <c r="M49" i="12" s="1"/>
  <c r="L42" i="12"/>
  <c r="L43" i="12" s="1"/>
  <c r="B11" i="11"/>
  <c r="N46" i="3"/>
  <c r="B8" i="11" l="1"/>
  <c r="N41" i="3"/>
  <c r="AE11" i="3"/>
  <c r="C11" i="3"/>
  <c r="C17" i="3" l="1"/>
  <c r="C18" i="3" s="1"/>
  <c r="C1" i="3" s="1"/>
  <c r="N11" i="9"/>
  <c r="C5" i="3"/>
  <c r="C19" i="9"/>
  <c r="D37" i="9" s="1"/>
  <c r="D48" i="3"/>
  <c r="N47" i="3"/>
  <c r="D2" i="3" l="1"/>
  <c r="E3" i="3" s="1"/>
  <c r="B12" i="11"/>
  <c r="N17" i="9"/>
  <c r="N19" i="9" s="1"/>
  <c r="B18" i="11" l="1"/>
  <c r="B20" i="11" l="1"/>
  <c r="L18" i="11" s="1"/>
  <c r="E8" i="14"/>
  <c r="F8" i="14" s="1"/>
  <c r="D24" i="14" s="1"/>
  <c r="F4" i="14"/>
  <c r="G8" i="14"/>
  <c r="L19" i="11" l="1"/>
  <c r="L20" i="11" s="1"/>
  <c r="L16" i="11"/>
  <c r="L13" i="11"/>
  <c r="L9" i="11"/>
  <c r="L15" i="11"/>
  <c r="L17" i="11"/>
  <c r="L14" i="11"/>
  <c r="L10" i="11"/>
  <c r="L7" i="11"/>
  <c r="L11" i="11"/>
  <c r="N14" i="4"/>
  <c r="N12" i="4" s="1"/>
  <c r="L12" i="11"/>
  <c r="C24" i="14"/>
  <c r="E24" i="14"/>
  <c r="H8" i="14"/>
  <c r="F24" i="14" s="1"/>
  <c r="L8" i="11" l="1"/>
  <c r="K8" i="14"/>
  <c r="I8" i="14"/>
  <c r="G24" i="14" l="1"/>
  <c r="J8" i="14"/>
  <c r="H24" i="14" s="1"/>
  <c r="I24" i="14"/>
  <c r="L8" i="14"/>
  <c r="J24" i="14" l="1"/>
  <c r="T28" i="12" l="1"/>
  <c r="Z8" i="12"/>
  <c r="K50" i="12"/>
  <c r="L38" i="17" l="1"/>
  <c r="L39" i="17" s="1"/>
  <c r="T15" i="17"/>
  <c r="L38" i="12" l="1"/>
  <c r="L39" i="12" s="1"/>
  <c r="T2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G4" authorId="0" shapeId="0" xr:uid="{85435DA7-23D0-4F2E-85C9-27A127AECB9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2024 года (среднегод.)</t>
        </r>
      </text>
    </comment>
    <comment ref="I4" authorId="0" shapeId="0" xr:uid="{B6B30E14-4567-4A64-B208-D7B8C25896D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2025 года (среднегод.) пред, 10603,8
на 1 января 2026 года 10614,691</t>
        </r>
      </text>
    </comment>
    <comment ref="A28" authorId="0" shapeId="0" xr:uid="{2B5E784E-A9C5-4CCE-A64D-04428ABA309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платежный баланс</t>
        </r>
      </text>
    </comment>
    <comment ref="I64" authorId="0" shapeId="0" xr:uid="{AE3EE6B9-18A0-4D08-A7EF-568EAD3E9EB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то 1.10.2025 среднг.предв.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G4" authorId="0" shapeId="0" xr:uid="{9C10D7F8-7C98-4A55-978D-34CDA027799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2024 года (среднегод.)</t>
        </r>
      </text>
    </comment>
    <comment ref="A28" authorId="0" shapeId="0" xr:uid="{CED5C595-7622-4466-8536-C0F12113601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платежный баланс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E2" authorId="0" shapeId="0" xr:uid="{CF11C76F-7EE6-46C2-B368-731626693DC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Industry</t>
        </r>
      </text>
    </comment>
    <comment ref="E3" authorId="0" shapeId="0" xr:uid="{053DBD19-2973-4E1E-B091-5B2E93037C4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Agriculture (p_a)</t>
        </r>
      </text>
    </comment>
    <comment ref="A4" authorId="0" shapeId="0" xr:uid="{F4A4176D-594C-4EFB-8F9F-7518EC7B15A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Уравнение</t>
        </r>
      </text>
    </comment>
    <comment ref="B4" authorId="0" shapeId="0" xr:uid="{9A97DFE1-F46A-493A-8340-F17183C5104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Цены валового выпуска</t>
        </r>
      </text>
    </comment>
    <comment ref="B16" authorId="0" shapeId="0" xr:uid="{A3D7C058-EC93-4883-A762-6C2E9738A3A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Цены добавленной стоимости</t>
        </r>
      </text>
    </comment>
    <comment ref="B28" authorId="0" shapeId="0" xr:uid="{FA97DFE3-3180-4870-9F8C-D6324C7BEE0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Цена товара для покупателя</t>
        </r>
      </text>
    </comment>
    <comment ref="B64" authorId="0" shapeId="0" xr:uid="{47F34BF7-6569-4CC4-993E-6A34E29B635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Внутренние цены (включая налоги)</t>
        </r>
      </text>
    </comment>
    <comment ref="B76" authorId="0" shapeId="0" xr:uid="{3F6B616E-D0C6-4C7F-B5EE-1F58429C056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Индекс цен промежуточного потребления</t>
        </r>
      </text>
    </comment>
    <comment ref="B88" authorId="0" shapeId="0" xr:uid="{A22A28CE-52BB-4D9C-87BD-380BD124A36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Номинальный обменный курс</t>
        </r>
      </text>
    </comment>
    <comment ref="B92" authorId="0" shapeId="0" xr:uid="{39953D85-D194-4E72-A40D-C79159F971E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Заработная плата</t>
        </r>
      </text>
    </comment>
    <comment ref="B95" authorId="0" shapeId="0" xr:uid="{50DE87AF-827E-4D66-80C6-9C065133EA6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Цены, определяемые экзогенно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4" authorId="0" shapeId="0" xr:uid="{6EEEE339-0D33-443F-B9D0-B7DA8C5DF5F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Промежуточное потребление товара i в отрасли j (в реальном выражении)</t>
        </r>
      </text>
    </comment>
    <comment ref="R4" authorId="0" shapeId="0" xr:uid="{DA6DA946-0FB9-4AC2-AC7C-47C2A39774F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Промежуточное потребление товара i в отрасли j (в реальном выражении)</t>
        </r>
      </text>
    </comment>
    <comment ref="L19" authorId="0" shapeId="0" xr:uid="{19246218-F43B-4F11-9DFB-A7A236E4622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'из которых промежуточное потребление импортных товаров</t>
        </r>
      </text>
    </comment>
    <comment ref="AB19" authorId="0" shapeId="0" xr:uid="{00574D14-B05B-4042-9F8B-C0307EE43C3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'из которых промежуточное потребление импортных товаров</t>
        </r>
      </text>
    </comment>
    <comment ref="L63" authorId="0" shapeId="0" xr:uid="{8D99AA98-3333-43C8-B3BA-41CA4112261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'= расходы энергии и воды на промежуточное потребление</t>
        </r>
      </text>
    </comment>
    <comment ref="AB63" authorId="0" shapeId="0" xr:uid="{150CB1C1-21B1-49C5-9A0F-8CEE8581622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'= расходы энергии и воды на промежуточное потребление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4" authorId="0" shapeId="0" xr:uid="{88933785-ED9D-412E-9018-0432355C58F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Общий промежуточный спрос на 10 товаров</t>
        </r>
      </text>
    </comment>
    <comment ref="M4" authorId="0" shapeId="0" xr:uid="{7D1018B1-F33A-447F-B938-9B48848CD3E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Общий промежуточный спрос на 10 товаров</t>
        </r>
      </text>
    </comment>
    <comment ref="U4" authorId="0" shapeId="0" xr:uid="{5A6D1850-8FDC-4E52-A943-36196F84E2B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Общий промежуточный спрос на 10 товаров</t>
        </r>
      </text>
    </comment>
    <comment ref="AQ4" authorId="0" shapeId="0" xr:uid="{BB2BA4F3-9274-4638-9F8C-0F6AE98ED3E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Общий промежуточный спрос на 10 товаров</t>
        </r>
      </text>
    </comment>
    <comment ref="L6" authorId="0" shapeId="0" xr:uid="{6539F0D6-AEF7-47EB-9F4D-62B19A9E66F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структура ПП оконч. За 2022 год</t>
        </r>
      </text>
    </comment>
    <comment ref="AJ7" authorId="0" shapeId="0" xr:uid="{34A85225-052F-4096-B85D-90CF7CCF198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40,9</t>
        </r>
      </text>
    </comment>
    <comment ref="AK7" authorId="0" shapeId="0" xr:uid="{CEF296C8-5E8A-4CFF-9C72-5CF972B0834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48,9</t>
        </r>
      </text>
    </comment>
    <comment ref="AL7" authorId="0" shapeId="0" xr:uid="{B1BABE5D-75B5-4694-8B1C-C6C632318A9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49,2
</t>
        </r>
      </text>
    </comment>
    <comment ref="AM7" authorId="0" shapeId="0" xr:uid="{4344910A-43D6-4EDD-964D-E834038E06F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48,2</t>
        </r>
      </text>
    </comment>
    <comment ref="AN7" authorId="0" shapeId="0" xr:uid="{6B45EE52-8F38-4962-A2A0-15D41F9003D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47,3</t>
        </r>
      </text>
    </comment>
    <comment ref="AH8" authorId="0" shapeId="0" xr:uid="{808254A6-3B52-45CC-A436-443BE594C9B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48,4 коррек. Для снижение обема ВВП</t>
        </r>
      </text>
    </comment>
    <comment ref="AK8" authorId="0" shapeId="0" xr:uid="{507E9B0D-D071-4D58-9B3E-9CB3BDB5FDE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46,2</t>
        </r>
      </text>
    </comment>
    <comment ref="AL8" authorId="0" shapeId="0" xr:uid="{A7C4E8A8-EC0D-4F8F-8000-68DE293BD53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45,7
</t>
        </r>
      </text>
    </comment>
    <comment ref="AM8" authorId="0" shapeId="0" xr:uid="{22270CC1-229B-4D98-967B-6B4B280B096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45</t>
        </r>
      </text>
    </comment>
    <comment ref="AN8" authorId="0" shapeId="0" xr:uid="{88241598-C4ED-40BD-A254-027B75FDB41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45</t>
        </r>
      </text>
    </comment>
    <comment ref="AH9" authorId="0" shapeId="0" xr:uid="{67C44B44-F4F0-4AB8-9E3F-F0FB821D267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59,2 по формуле коррек. Для дефлятора</t>
        </r>
      </text>
    </comment>
    <comment ref="AI9" authorId="0" shapeId="0" xr:uid="{32E11E31-071B-42BD-B4AC-C3EDD0243B9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58,5</t>
        </r>
      </text>
    </comment>
    <comment ref="AJ9" authorId="0" shapeId="0" xr:uid="{58FDDCB2-6426-4B81-A016-3EAD8A00F64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57,6</t>
        </r>
      </text>
    </comment>
    <comment ref="AK9" authorId="0" shapeId="0" xr:uid="{7FB6886D-C2C1-4221-8A63-AAA348D560C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58,8
</t>
        </r>
      </text>
    </comment>
    <comment ref="AL9" authorId="0" shapeId="0" xr:uid="{BFA825EB-94DA-4D04-9B85-FE498771EB3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58,2</t>
        </r>
      </text>
    </comment>
    <comment ref="AM9" authorId="0" shapeId="0" xr:uid="{D4F0CBF9-C16C-41E2-91A2-48CF771392E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57,6</t>
        </r>
      </text>
    </comment>
    <comment ref="AN9" authorId="0" shapeId="0" xr:uid="{4408E15D-2892-4B5F-99F9-B2E5DCFE620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57,1
</t>
        </r>
      </text>
    </comment>
    <comment ref="AJ10" authorId="0" shapeId="0" xr:uid="{CD96BDF3-6CB0-477B-9357-5F9806C281C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40,4</t>
        </r>
      </text>
    </comment>
    <comment ref="AL10" authorId="0" shapeId="0" xr:uid="{06279CEC-C8C0-4277-8221-A4521E0430F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39,4</t>
        </r>
      </text>
    </comment>
    <comment ref="AM10" authorId="0" shapeId="0" xr:uid="{D517E022-4883-4147-9289-C2E67B821A7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40,5</t>
        </r>
      </text>
    </comment>
    <comment ref="AN10" authorId="0" shapeId="0" xr:uid="{689B079F-CFD5-43C1-9D1E-844B67A2FB9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39,7</t>
        </r>
      </text>
    </comment>
    <comment ref="AJ11" authorId="0" shapeId="0" xr:uid="{33CD9DEC-6CD2-45B1-B62E-AFB286D34FB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42,7</t>
        </r>
      </text>
    </comment>
    <comment ref="AK11" authorId="0" shapeId="0" xr:uid="{18197D63-4319-401D-96F7-5CEB2718E71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43,7</t>
        </r>
      </text>
    </comment>
    <comment ref="AL11" authorId="0" shapeId="0" xr:uid="{DF0A5AF2-0EFD-4FF2-996D-972846FD28E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43,1</t>
        </r>
      </text>
    </comment>
    <comment ref="AM11" authorId="0" shapeId="0" xr:uid="{EAB3E12B-1FE9-41B1-A1B1-564B9CD3C32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42,7</t>
        </r>
      </text>
    </comment>
    <comment ref="AN11" authorId="0" shapeId="0" xr:uid="{6E99C906-576D-4699-9A92-CB699C53038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42,2</t>
        </r>
      </text>
    </comment>
    <comment ref="AH12" authorId="0" shapeId="0" xr:uid="{BC08AEC3-789B-4E24-AA7C-62679DA647B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48,9</t>
        </r>
      </text>
    </comment>
    <comment ref="AK12" authorId="0" shapeId="0" xr:uid="{6CF31CC8-D9FD-4EDC-8064-30E48E8F7F4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44,8
</t>
        </r>
      </text>
    </comment>
    <comment ref="AL12" authorId="0" shapeId="0" xr:uid="{865E3B25-3DF3-4ADE-BE6F-2D025CC76B3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47,3</t>
        </r>
      </text>
    </comment>
    <comment ref="AM12" authorId="0" shapeId="0" xr:uid="{2A8E8864-605E-4437-9ACA-3D3FF87106B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46,6</t>
        </r>
      </text>
    </comment>
    <comment ref="AN12" authorId="0" shapeId="0" xr:uid="{89135E26-FE3B-4C13-8E02-7044098ECE8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45,9</t>
        </r>
      </text>
    </comment>
    <comment ref="AK13" authorId="0" shapeId="0" xr:uid="{3BEF9B41-DA2C-4EF0-A66D-5CAB7A8968E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33,7</t>
        </r>
      </text>
    </comment>
    <comment ref="AL13" authorId="0" shapeId="0" xr:uid="{328C7654-65D7-4FE0-A582-5AF101BB6F5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33,4</t>
        </r>
      </text>
    </comment>
    <comment ref="AM13" authorId="0" shapeId="0" xr:uid="{85C16EC4-B596-4728-AC7B-B6B20CA10A3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33,1</t>
        </r>
      </text>
    </comment>
    <comment ref="AN13" authorId="0" shapeId="0" xr:uid="{551F4EC2-0533-4162-A570-2431229F1FE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32,7</t>
        </r>
      </text>
    </comment>
    <comment ref="AM14" authorId="0" shapeId="0" xr:uid="{ADFA027C-C0E8-41D8-9473-2E39483FBAE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33</t>
        </r>
      </text>
    </comment>
    <comment ref="AJ15" authorId="0" shapeId="0" xr:uid="{1229CF49-BAC1-4277-BFAB-B87D15EBBBE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17,7</t>
        </r>
      </text>
    </comment>
    <comment ref="AK15" authorId="0" shapeId="0" xr:uid="{B6C75F1A-F934-4C4F-898A-311DC613938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17,5
</t>
        </r>
      </text>
    </comment>
    <comment ref="AL15" authorId="0" shapeId="0" xr:uid="{FEBC01C7-CF36-4CA9-9239-97402A58B1C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17,4</t>
        </r>
      </text>
    </comment>
    <comment ref="AM15" authorId="0" shapeId="0" xr:uid="{6C795A5C-2371-4973-8D49-7673D79EFD6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17,2</t>
        </r>
      </text>
    </comment>
    <comment ref="AN15" authorId="0" shapeId="0" xr:uid="{2D3881D9-9BB9-4E0A-A466-DD8C9480F24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16,9</t>
        </r>
      </text>
    </comment>
    <comment ref="B18" authorId="0" shapeId="0" xr:uid="{5692B42E-B10E-45E7-BE73-261B4045B3B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Валовой выпуск (текущие цены)
в модели формула расч. Показатель Gross output (current prices, value added)
Валовой объем производства (в текущих ценах, добавленная стоимость)</t>
        </r>
      </text>
    </comment>
    <comment ref="M18" authorId="0" shapeId="0" xr:uid="{1382C86E-D8A1-4B49-8F5E-037A2D29598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Валовой выпуск по сравнению с прошлем годом (%)</t>
        </r>
      </text>
    </comment>
    <comment ref="T18" authorId="0" shapeId="0" xr:uid="{16681B11-A8D2-464B-9338-80CF3208363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Т/Р Валовой выпуск (%)</t>
        </r>
      </text>
    </comment>
    <comment ref="AW18" authorId="0" shapeId="0" xr:uid="{2D4D1314-7288-436D-9EBD-8AA004B05A3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Валовой выпуск (текущие цены)</t>
        </r>
      </text>
    </comment>
    <comment ref="C19" authorId="0" shapeId="0" xr:uid="{2ACB2A21-F8E9-453B-B23F-AE7976E5B6D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косвенные налоги</t>
        </r>
      </text>
    </comment>
    <comment ref="D19" authorId="0" shapeId="0" xr:uid="{E532A643-D5C5-4166-9D21-2D20864EC88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15421,2898 + 3879,8 (разница от пред.налога- пред. получили 18157) </t>
        </r>
      </text>
    </comment>
    <comment ref="L20" authorId="0" shapeId="0" xr:uid="{32CC33D4-D61D-4D89-8046-7D9DF4D3152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структура ВВ оконч. За 2024 год</t>
        </r>
      </text>
    </comment>
    <comment ref="AF20" authorId="0" shapeId="0" xr:uid="{5D1C2B4D-6BDC-4B77-BE19-9B826040891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структура ВВ оконч. За 2024 год</t>
        </r>
      </text>
    </comment>
    <comment ref="BE25" authorId="0" shapeId="0" xr:uid="{18C12F88-A745-4600-AC0C-F895232913B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за счет Рогун 3500 млн.сомони производство электроэнергии</t>
        </r>
      </text>
    </comment>
    <comment ref="B32" authorId="0" shapeId="0" xr:uid="{3316BDC5-AF18-428C-89A8-9A984A1DD21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в текущих ценах</t>
        </r>
      </text>
    </comment>
    <comment ref="B33" authorId="0" shapeId="0" xr:uid="{9128F4B0-0021-404B-8BDC-F092A1AF1CF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Валовой выпуск (в реальном выражении)
в модели формула расч. Показатель Gross output (current prices, production)
Валовой объем производства (в текущих ценах, добавленная стоимость)
</t>
        </r>
        <r>
          <rPr>
            <b/>
            <sz val="9"/>
            <color indexed="81"/>
            <rFont val="Tahoma"/>
            <family val="2"/>
            <charset val="204"/>
          </rPr>
          <t>Валовой объем производства (в текущих ценах, производство)</t>
        </r>
      </text>
    </comment>
    <comment ref="C33" authorId="0" shapeId="0" xr:uid="{AF73F258-786C-46A5-97B2-73F279B01B5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 2031 года результат моделирования Бобур, объем ВВ получили больше</t>
        </r>
      </text>
    </comment>
    <comment ref="X33" authorId="0" shapeId="0" xr:uid="{484BD324-81AC-48B6-BA33-03AB168550B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Industry</t>
        </r>
      </text>
    </comment>
    <comment ref="AW33" authorId="0" shapeId="0" xr:uid="{5BA1F720-0B85-4A42-8979-E42B1951299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>Валовой выпуск (в реальном выражении)</t>
        </r>
      </text>
    </comment>
    <comment ref="X36" authorId="0" shapeId="0" xr:uid="{A53DD0B5-ED5A-4A33-A985-637653F7939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Industry</t>
        </r>
      </text>
    </comment>
    <comment ref="B47" authorId="0" shapeId="0" xr:uid="{7E4D99D6-16D5-4E23-9DD2-C359E518D8A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Добавленная стоимость (в реальном выражении)
</t>
        </r>
        <r>
          <rPr>
            <b/>
            <sz val="9"/>
            <color indexed="81"/>
            <rFont val="Tahoma"/>
            <family val="2"/>
            <charset val="204"/>
          </rPr>
          <t>'Value added - C-D</t>
        </r>
      </text>
    </comment>
    <comment ref="B61" authorId="0" shapeId="0" xr:uid="{2B3759FD-2A5E-492E-8698-116DFF5FC55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Спрос на рабочую силу</t>
        </r>
      </text>
    </comment>
    <comment ref="B75" authorId="0" shapeId="0" xr:uid="{5623E21B-0FDE-4075-96C6-9D4F022C244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Доход на капитал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0826590F-78D6-4C2A-832D-A24E2F093E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Блок 3: Доход и сбережения</t>
        </r>
      </text>
    </comment>
    <comment ref="B4" authorId="0" shapeId="0" xr:uid="{B2E8B643-FA0D-45AD-AC2D-3890EA74C82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Доход от рабочей силы</t>
        </r>
      </text>
    </comment>
    <comment ref="B9" authorId="0" shapeId="0" xr:uid="{3BEF6B60-5DB9-4150-AA88-6F2B5FA6D3D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Доход домохозяйств
Modified: 1 1 // yh=ld_hh+ld_row-ld_rowm+div+tf+tg++trem
</t>
        </r>
      </text>
    </comment>
    <comment ref="B14" authorId="0" shapeId="0" xr:uid="{D3B2EACF-14AB-4E7A-9678-91219C3CA7C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Располагаемый доход
Modified: 1 1 // ydh=yh-dth
</t>
        </r>
      </text>
    </comment>
    <comment ref="B19" authorId="0" shapeId="0" xr:uid="{F0B1B5BF-03FB-455B-BC30-0396637E15E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Сбережения домохозяйств</t>
        </r>
      </text>
    </comment>
    <comment ref="B24" authorId="0" shapeId="0" xr:uid="{96D4FD9D-58DB-4E1E-8D5B-56A5E481BD2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Доход фирм</t>
        </r>
      </text>
    </comment>
    <comment ref="B29" authorId="0" shapeId="0" xr:uid="{D58F7B38-453F-4F00-889E-C4F25F5C5A5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Сбережения правительства</t>
        </r>
      </text>
    </comment>
    <comment ref="B34" authorId="0" shapeId="0" xr:uid="{6E7F6563-033C-49B1-931D-F62A2ACA175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Доходы правительства</t>
        </r>
      </text>
    </comment>
    <comment ref="B39" authorId="0" shapeId="0" xr:uid="{CAA550E2-B932-418B-87CD-4CF5D87F6A3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  ПП
Налоги на производствои импорт за 2024 год 10791,7
 </t>
        </r>
        <r>
          <rPr>
            <b/>
            <sz val="9"/>
            <color indexed="81"/>
            <rFont val="Tahoma"/>
            <family val="2"/>
            <charset val="204"/>
          </rPr>
          <t>Налоги ПП за вычетом субсидий на продукцию расчетно расчитали (5570 в макро SAM) так как за 2024 год нет таблицы ТЗВ  ПП</t>
        </r>
      </text>
    </comment>
    <comment ref="B54" authorId="0" shapeId="0" xr:uid="{EADB40A4-10AC-4CDB-B5D0-D497D0409E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Косвенные налоги</t>
        </r>
      </text>
    </comment>
    <comment ref="B68" authorId="0" shapeId="0" xr:uid="{219C5339-FF90-46A7-A589-BC5BA9D7DFD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продукты</t>
        </r>
      </text>
    </comment>
    <comment ref="B70" authorId="0" shapeId="0" xr:uid="{BF019A51-E9D0-48E8-90CD-3DEC4ADEDBD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капитал</t>
        </r>
      </text>
    </comment>
    <comment ref="C74" authorId="0" shapeId="0" xr:uid="{F5EBE697-A10F-4C53-8872-BBDC13B18FF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Валовая прибыль (валовый смешанный доход) сектор ГУ+НКО 1026,2 +(Чистые налоги на производство и импорт - Чистые налоги на продукты)</t>
        </r>
      </text>
    </comment>
    <comment ref="B75" authorId="0" shapeId="0" xr:uid="{22C3B7C8-FF5C-4DFC-A48D-F9F4749D712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 на доходы домохозяйств</t>
        </r>
      </text>
    </comment>
    <comment ref="C79" authorId="0" shapeId="0" xr:uid="{61DE3CE7-46D6-453C-BF90-75A03FC0865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Текущие налоги на доходы, имущество сектор д/х+доход от собственности д/х+текущие трансферты д/х</t>
        </r>
      </text>
    </comment>
    <comment ref="B80" authorId="0" shapeId="0" xr:uid="{30F86EC1-B615-44F1-BFE0-66D05A41ADF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 на доход фирм</t>
        </r>
      </text>
    </comment>
    <comment ref="C84" authorId="0" shapeId="0" xr:uid="{03AF1C46-0234-420D-9B30-B5961C1E46F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даход от собственности сектор финанс.нефинан.+текущ.транс.+текущ.налоги+отчисление соц.страх</t>
        </r>
      </text>
    </comment>
    <comment ref="B85" authorId="0" shapeId="0" xr:uid="{431AA328-6E31-4135-8314-3CEB5B94509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Таможенная пошлина
Импорт по базовым ценам
</t>
        </r>
        <r>
          <rPr>
            <b/>
            <sz val="9"/>
            <color indexed="81"/>
            <rFont val="Tahoma"/>
            <family val="2"/>
            <charset val="204"/>
          </rPr>
          <t>3,33462775600263% от общ.импорта  расчитали из Таб,Ресурсы за 2019 год импорт налогов на продукты за вычетом субсидий на продукцию</t>
        </r>
      </text>
    </comment>
    <comment ref="B99" authorId="0" shapeId="0" xr:uid="{41F2B093-074E-425C-B95F-A2052A17B55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 </t>
        </r>
        <r>
          <rPr>
            <b/>
            <sz val="9"/>
            <color indexed="81"/>
            <rFont val="Tahoma"/>
            <family val="2"/>
            <charset val="204"/>
          </rPr>
          <t>3,33462775600263% от общ.импорта  расчитали из Таб,Ресурсы за 2019 год импорт налогов на продукты за вычетом субсидий на продукцию</t>
        </r>
      </text>
    </comment>
    <comment ref="B100" authorId="0" shapeId="0" xr:uid="{229D4C49-0C9C-46B6-ACE7-7462808111F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Экспортные налоги
9,05754064008105 % 
состовляет экспорт налогов в таб ТРИ для ТЗВ-экспорт налогов за вычетом субсидий на продукцию</t>
        </r>
      </text>
    </comment>
    <comment ref="B114" authorId="0" shapeId="0" xr:uid="{9ACB92A4-456B-49B2-A0AD-F577A39C091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экспорт налогов за вычетом субсидий на продукцию </t>
        </r>
        <r>
          <rPr>
            <b/>
            <sz val="9"/>
            <color indexed="81"/>
            <rFont val="Tahoma"/>
            <family val="2"/>
            <charset val="204"/>
          </rPr>
          <t>(расч.Таб. ТРИ для ТЗВ)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A67A0742-8428-4231-ADF1-AD970A4D897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Блок 4: Спрос</t>
        </r>
      </text>
    </comment>
    <comment ref="B4" authorId="0" shapeId="0" xr:uid="{91CB1C3D-3E8C-4CAD-8FAA-E623E545E12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Потребление домохозяйствами товаров (в реальном выражении)
</t>
        </r>
        <r>
          <rPr>
            <b/>
            <sz val="9"/>
            <color indexed="81"/>
            <rFont val="Tahoma"/>
            <family val="2"/>
            <charset val="204"/>
          </rPr>
          <t>Расход д/х /индексы (реал.)</t>
        </r>
      </text>
    </comment>
    <comment ref="B17" authorId="0" shapeId="0" xr:uid="{EABDAFA2-A196-4330-BE95-DE2B6CDBC68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C_H_GRP </t>
        </r>
      </text>
    </comment>
    <comment ref="B18" authorId="0" shapeId="0" xr:uid="{34CAD017-C28C-430E-96A8-CC70AB2622D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Потребление правительством товаров (в реальном выражении)
</t>
        </r>
        <r>
          <rPr>
            <b/>
            <sz val="9"/>
            <color indexed="81"/>
            <rFont val="Tahoma"/>
            <family val="2"/>
            <charset val="204"/>
          </rPr>
          <t>гу /индексы (реал.)</t>
        </r>
      </text>
    </comment>
    <comment ref="B31" authorId="0" shapeId="0" xr:uid="{E9118104-78ED-47C6-ABF7-1BBB38F8052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ГУ реал.</t>
        </r>
      </text>
    </comment>
    <comment ref="B32" authorId="0" shapeId="0" xr:uid="{B5F1D10C-DA8F-4809-87D4-A908E7C74F6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Инвестиционный спрос по товарам (в реальном выражении)</t>
        </r>
      </text>
    </comment>
    <comment ref="B46" authorId="0" shapeId="0" xr:uid="{2FD6BABA-2073-4947-A581-A31725B9E63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ВНОК реал.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2BC4C64F-4D54-42B1-BA39-2056C1AE247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Блок 5: Международная торговля</t>
        </r>
      </text>
    </comment>
    <comment ref="B4" authorId="0" shapeId="0" xr:uid="{70AD230D-C93A-4ACB-9667-62CF6C0E7F2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Прогнозы валового выпуска с использованием постоянной эластичности трансформации (CET)</t>
        </r>
      </text>
    </comment>
    <comment ref="B17" authorId="0" shapeId="0" xr:uid="{4C906688-CC61-4ACA-A448-1E703CD07B5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в текущих ценах</t>
        </r>
      </text>
    </comment>
    <comment ref="B18" authorId="0" shapeId="0" xr:uid="{58860349-4F5C-43DA-B807-4B726FA2BCB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Экспорт по товарам (в реальном выражении)</t>
        </r>
      </text>
    </comment>
    <comment ref="C31" authorId="0" shapeId="0" xr:uid="{612E9076-FABD-4EE2-9E0A-26DF6BE66A1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экспорт в текущих ценах в млн.сомони</t>
        </r>
      </text>
    </comment>
    <comment ref="B32" authorId="0" shapeId="0" xr:uid="{6FC462D3-0A92-432B-A1FF-A086D49F7A5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экспорт в текущих ценах в млн.сомони</t>
        </r>
      </text>
    </comment>
    <comment ref="B33" authorId="0" shapeId="0" xr:uid="{3EF6D5C3-E6EE-41F9-B21E-4219106338F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Прогнозы композитных товаров с использованием постоянной эластичности замещения (CES - Armington)
Modified: 1 9 // qq_a=sam24(1,11)+sam24(29,11)
</t>
        </r>
      </text>
    </comment>
    <comment ref="B46" authorId="0" shapeId="0" xr:uid="{F42046BE-0BA9-4316-8244-7691B2E84B5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 xml:space="preserve">qq_grp </t>
        </r>
        <r>
          <rPr>
            <sz val="9"/>
            <color indexed="81"/>
            <rFont val="Tahoma"/>
            <family val="2"/>
            <charset val="204"/>
          </rPr>
          <t xml:space="preserve">
</t>
        </r>
        <r>
          <rPr>
            <b/>
            <sz val="9"/>
            <color indexed="81"/>
            <rFont val="Tahoma"/>
            <family val="2"/>
            <charset val="204"/>
          </rPr>
          <t>ВВ-экспорт+импорт</t>
        </r>
      </text>
    </comment>
    <comment ref="B47" authorId="0" shapeId="0" xr:uid="{A2BCF588-307A-429E-AD2B-43A8AFF0E6C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Импорт по товарам (в реальном выражении)</t>
        </r>
      </text>
    </comment>
    <comment ref="B50" authorId="0" shapeId="0" xr:uid="{54474BD7-070F-4DF7-9C46-A48012B2400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Modified: 1 9 // im_a=sam24(29,11)
</t>
        </r>
      </text>
    </comment>
    <comment ref="B61" authorId="0" shapeId="0" xr:uid="{BFD70401-D697-4744-A269-ABF06E2F80FC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импорт в текущих ценах в млн.сомони</t>
        </r>
      </text>
    </comment>
    <comment ref="B88" authorId="0" shapeId="0" xr:uid="{B1C1BA52-6180-4B61-8813-60719932D2A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Импорт по товарам (в реальном выражении) коррек. За счет 30651 это разн. Между доходом и расходом
для балансировки увеличели импорт( так как включ. Импортные налоги+разн. За счет ВНОК)</t>
        </r>
      </text>
    </comment>
    <comment ref="B91" authorId="0" shapeId="0" xr:uid="{7CA3232C-3987-498B-8524-FA7F09C463D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Modified: 1 9 // im_a=sam24(29,11)
</t>
        </r>
      </text>
    </comment>
    <comment ref="B102" authorId="0" shapeId="0" xr:uid="{81490204-437D-4DD4-8502-2A66CC09C70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импорт в текущих ценах в млн.сомони</t>
        </r>
      </text>
    </comment>
    <comment ref="B103" authorId="0" shapeId="0" xr:uid="{81DF9263-465E-42B4-B81C-901A41296E7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для балансировки увеличели импорт( так как включ. Импортные налоги+разн. За счет ВНОК)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C7347AFE-A974-4C27-B495-7EF1D4F8D9F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Блок 6: Системные ограничения и макроэкономические закрытия</t>
        </r>
      </text>
    </comment>
    <comment ref="B4" authorId="0" shapeId="0" xr:uid="{832236EC-2CEA-40AC-A52F-F82C7843FD0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 Установите равновесие между совокупным спросом и предложением по ценам</t>
        </r>
      </text>
    </comment>
    <comment ref="B19" authorId="0" shapeId="0" xr:uid="{546778C8-1476-4C41-B4AC-2303A3B30D8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2. Равновесие на рынке труда, установленное по ставке заработной платы</t>
        </r>
      </text>
    </comment>
    <comment ref="B24" authorId="0" shapeId="0" xr:uid="{E46D44F7-6351-4973-ACD7-7938D36345E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3. Равновесие на рынке капитала, установленное процентной ставкой</t>
        </r>
      </text>
    </comment>
    <comment ref="B39" authorId="0" shapeId="0" xr:uid="{58A754F0-5FF3-4A04-998E-D83567032B2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4. Равновесие по текущему счету платежного баланса, установленное обменным курсом</t>
        </r>
      </text>
    </comment>
    <comment ref="B45" authorId="0" shapeId="0" xr:uid="{CEF7D15A-ECB5-48E4-802D-E3A9F148271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5. Баланс инвестиций и сбережений</t>
        </r>
      </text>
    </comment>
    <comment ref="B53" authorId="0" shapeId="0" xr:uid="{417CD675-DDB8-46EF-A666-EB63D66CF97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Иностранный cab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04A90F7C-6C3A-4A02-A796-D3CDA7FEC67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Блок 7: Динамическая спецификация модели</t>
        </r>
      </text>
    </comment>
    <comment ref="B4" authorId="0" shapeId="0" xr:uid="{0CAB0DC2-8D2F-4169-A6D2-96F7E82DE34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 Индекс цен инвестиций в секторе j</t>
        </r>
      </text>
    </comment>
    <comment ref="B18" authorId="0" shapeId="0" xr:uid="{458B2E37-AAC5-45EE-B083-23AB45EBB69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2. Расходы пользователей капитала в секторе j</t>
        </r>
      </text>
    </comment>
    <comment ref="B32" authorId="0" shapeId="0" xr:uid="{9797EC9F-C453-4EC8-9270-1EF25EC32B2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3. Спрос на капитал в деятельности j (удовлетворенный по предложению капитала)</t>
        </r>
      </text>
    </comment>
    <comment ref="B35" authorId="0" shapeId="0" xr:uid="{1EAE498C-1481-41DC-B5FA-854D211A5D1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Modified: 1 9 // ind_a=kd_a*(r_a/u_a)^2
индексы для валовой прыбыли валового смешанного дохода
</t>
        </r>
      </text>
    </comment>
    <comment ref="B46" authorId="0" shapeId="0" xr:uid="{C1FC4FBD-D1E1-4545-99F3-4AE99A9B6A1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4. Предложение эндогенизированного запаса капитала</t>
        </r>
      </text>
    </comment>
    <comment ref="B59" authorId="0" shapeId="0" xr:uid="{A71CE92C-634E-4BBB-A834-E5ABFB9C522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Валовая прыбаль, ваволые смешанные доходы в текущищ ценах
Modified: 1 9 // ks_a=kd_a
Modified: 1 9 // kd_a=sam24(22,1)
</t>
        </r>
      </text>
    </comment>
    <comment ref="B60" authorId="0" shapeId="0" xr:uid="{FE59432F-41EE-4F71-BFD0-BEC0ECEFAAF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5. Предложение рабочей силы с использованием демографической модели и данных</t>
        </r>
      </text>
    </comment>
    <comment ref="B64" authorId="0" shapeId="0" xr:uid="{DB05B584-0CB3-4AB6-9564-00B84D79F97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Modified: 1 9 // ls=ld
оплата труда</t>
        </r>
      </text>
    </comment>
    <comment ref="B65" authorId="0" shapeId="0" xr:uid="{518C57BB-09CC-4A36-8D4B-6AEDF9E03398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6. Влияние демографических изменений на частное потребление</t>
        </r>
      </text>
    </comment>
    <comment ref="B69" authorId="0" shapeId="0" xr:uid="{C89145B4-8543-4DE5-8E6B-4BCE54563D9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Modified: 1 1 // cth=ydh-sh ( sh=sam22(28,23)Валовое сбережение сектор д/х
ydh=yh-dth (з/п+з/п полученные от остального мира) dth - Текущие налоги на доходы, имущество сектор д/х+доход от собственности д/х+текущие трансферты д/х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M18" authorId="0" shapeId="0" xr:uid="{55EC5BE8-4243-4050-A95B-81E9019A45A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</t>
        </r>
      </text>
    </comment>
    <comment ref="N22" authorId="0" shapeId="0" xr:uid="{19E9C6A8-E861-4DAB-8752-A6B0E9E440D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оконч.данные реал.ВВП сборник СНС</t>
        </r>
      </text>
    </comment>
    <comment ref="M33" authorId="0" shapeId="0" xr:uid="{0F12983D-4272-4AAA-B5E2-49CF677D920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</t>
        </r>
      </text>
    </comment>
    <comment ref="Y35" authorId="0" shapeId="0" xr:uid="{7D245396-EA77-42F4-B7E5-7AB3FF40C7E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</t>
        </r>
      </text>
    </comment>
    <comment ref="AB35" authorId="0" shapeId="0" xr:uid="{C37AD08C-9AAC-44E6-B994-DF61AE6C6C1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104,1</t>
        </r>
      </text>
    </comment>
    <comment ref="AE35" authorId="0" shapeId="0" xr:uid="{FE05E312-A938-4330-936D-1CDCFD681CD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104,0</t>
        </r>
      </text>
    </comment>
    <comment ref="AH35" authorId="0" shapeId="0" xr:uid="{CDA44370-B10D-4498-B447-84FF1C092B4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104,2</t>
        </r>
      </text>
    </comment>
    <comment ref="AK35" authorId="0" shapeId="0" xr:uid="{32D428D9-9CAE-4A73-86D8-28E2C7B15EB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104,3</t>
        </r>
      </text>
    </comment>
    <comment ref="AN35" authorId="0" shapeId="0" xr:uid="{DD120EA6-97D2-45E5-9A52-DBD50473AE9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104,0</t>
        </r>
      </text>
    </comment>
    <comment ref="AQ35" authorId="0" shapeId="0" xr:uid="{3C6FA526-34C9-4D43-8F7F-5ED78B4A5B2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104,1</t>
        </r>
      </text>
    </comment>
    <comment ref="AU35" authorId="0" shapeId="0" xr:uid="{99AEA7CA-FBC9-4AC5-98C8-3DB5CBF8C97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104</t>
        </r>
      </text>
    </comment>
    <comment ref="Y36" authorId="0" shapeId="0" xr:uid="{2E52217B-6D35-41A5-81F4-134EC4D8C4A5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108,5
</t>
        </r>
      </text>
    </comment>
    <comment ref="AB36" authorId="0" shapeId="0" xr:uid="{943C21BF-14F9-4B38-BA85-2DC9943F970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108,5</t>
        </r>
      </text>
    </comment>
    <comment ref="AE36" authorId="0" shapeId="0" xr:uid="{29147170-C507-4D62-9491-8B4416C941B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108,4</t>
        </r>
      </text>
    </comment>
    <comment ref="AH36" authorId="0" shapeId="0" xr:uid="{86D6F166-8918-4D2A-91F0-EBCF63EC2446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108,7</t>
        </r>
      </text>
    </comment>
    <comment ref="AK36" authorId="0" shapeId="0" xr:uid="{6B2491B0-8506-460D-B4C6-5C85B614F18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108,9</t>
        </r>
      </text>
    </comment>
    <comment ref="AN36" authorId="0" shapeId="0" xr:uid="{5E0A8BE8-B833-4306-9B7C-D84CE81B9C6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108,0</t>
        </r>
      </text>
    </comment>
    <comment ref="AQ36" authorId="0" shapeId="0" xr:uid="{08F9043A-1B1A-46BA-A80C-8CDE64920930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108,1</t>
        </r>
      </text>
    </comment>
    <comment ref="AU36" authorId="0" shapeId="0" xr:uid="{5A649D5F-4B00-4F51-90A3-C9A130304FF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108,4
</t>
        </r>
      </text>
    </comment>
    <comment ref="M50" authorId="0" shapeId="0" xr:uid="{FB080081-2796-49F4-9424-FE4AD06A283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</t>
        </r>
      </text>
    </comment>
    <comment ref="M66" authorId="0" shapeId="0" xr:uid="{5BB32E47-669A-4D7B-BC86-F6ACA282379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B2" authorId="0" shapeId="0" xr:uid="{86C6A6C9-03A5-4203-9907-7DB3D570CBD1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Денежный сектор</t>
        </r>
      </text>
    </comment>
    <comment ref="B4" authorId="0" shapeId="0" xr:uid="{C170BD63-968E-4EA7-9BF0-365745F561B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1. Спрос на деньги
Влияние процентных ставок на спрос на деньги</t>
        </r>
      </text>
    </comment>
    <comment ref="B9" authorId="0" shapeId="0" xr:uid="{2C0DB279-F084-44B3-BA62-CE5EDAC1F73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2. Спрос на деньги равен предложению денег (определение денежной массы M4)</t>
        </r>
      </text>
    </comment>
    <comment ref="B12" authorId="0" shapeId="0" xr:uid="{34AD9950-E617-42EF-984E-D533927BABC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Предложение денег (MS) ms  = md</t>
        </r>
      </text>
    </comment>
    <comment ref="B14" authorId="0" shapeId="0" xr:uid="{2DC512D2-793E-4B90-AAE5-9C55C497F77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3. Скорость обращения денег</t>
        </r>
      </text>
    </comment>
    <comment ref="B19" authorId="0" shapeId="0" xr:uid="{E9E9D471-A431-4CF4-9C40-A88DDA252577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4. Влияние процентной ставки на спрос на деньги</t>
        </r>
      </text>
    </comment>
    <comment ref="B24" authorId="0" shapeId="0" xr:uid="{FC59B0AD-4D27-43EE-8C0C-697D9ADD084A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5. Прогноз процентной ставки (уравновешивающая переменная между спросом и предложением капитала)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A19" authorId="0" shapeId="0" xr:uid="{3047236A-F448-472D-9729-8C0122160C4D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Налоги на производство</t>
        </r>
      </text>
    </comment>
    <comment ref="A25" authorId="0" shapeId="0" xr:uid="{FDE33BCD-ED2D-435F-904A-C7223911010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Валовой выпуск (текущие цены)</t>
        </r>
      </text>
    </comment>
    <comment ref="G29" authorId="0" shapeId="0" xr:uid="{ECB4F453-A56D-4E2A-BCC6-9B0B6278383F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- 1 вариант итог программы</t>
        </r>
      </text>
    </comment>
    <comment ref="C43" authorId="0" shapeId="0" xr:uid="{44FA62AF-C2F0-4FAD-B596-5F2BD20BC7BE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оконч.ВВП</t>
        </r>
      </text>
    </comment>
    <comment ref="D43" authorId="0" shapeId="0" xr:uid="{EA981EA5-80CA-4F25-ACBB-40C7FCDE997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пред.ВВП</t>
        </r>
      </text>
    </comment>
    <comment ref="AC43" authorId="0" shapeId="0" xr:uid="{A08CF438-F643-44BA-AB88-97642963E1C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ВВ - 1 вариант итог программы</t>
        </r>
      </text>
    </comment>
    <comment ref="A59" authorId="0" shapeId="0" xr:uid="{F7062612-164D-43A8-B63F-8E418C10B4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коэф. по предв.данным 17,5%, 
оконч.данные 28,7%</t>
        </r>
      </text>
    </comment>
    <comment ref="A66" authorId="0" shapeId="0" xr:uid="{838E1D4C-DFFD-4531-B8E8-AAF3F3E75A5B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коэф.пред.25,6
коэф.оконч.45,1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C4" authorId="0" shapeId="0" xr:uid="{5B600D40-715F-41E3-95F6-9FA45B6EC1F2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2024 года (среднегод.)</t>
        </r>
      </text>
    </comment>
    <comment ref="A30" authorId="0" shapeId="0" xr:uid="{8DDB11A0-EFDE-4AE8-8517-CA8DC712B6D9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платежный баланс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Jalolov Muhammad</author>
  </authors>
  <commentList>
    <comment ref="C4" authorId="0" shapeId="0" xr:uid="{1ACB290C-6518-49EF-A2CE-7972150965B4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на 1 октября 2024 года (среднегод.)</t>
        </r>
      </text>
    </comment>
    <comment ref="A27" authorId="0" shapeId="0" xr:uid="{A72322EF-725A-4C2F-AF9E-897D4089CF43}">
      <text>
        <r>
          <rPr>
            <b/>
            <sz val="9"/>
            <color indexed="81"/>
            <rFont val="Tahoma"/>
            <family val="2"/>
            <charset val="204"/>
          </rPr>
          <t>Jalolov Muhammad:</t>
        </r>
        <r>
          <rPr>
            <sz val="9"/>
            <color indexed="81"/>
            <rFont val="Tahoma"/>
            <family val="2"/>
            <charset val="204"/>
          </rPr>
          <t xml:space="preserve">
данные платежный баланс</t>
        </r>
      </text>
    </comment>
  </commentList>
</comments>
</file>

<file path=xl/sharedStrings.xml><?xml version="1.0" encoding="utf-8"?>
<sst xmlns="http://schemas.openxmlformats.org/spreadsheetml/2006/main" count="1787" uniqueCount="926">
  <si>
    <t>Block 1: Prices</t>
  </si>
  <si>
    <t>Gross Output prices</t>
  </si>
  <si>
    <t>Agriculture</t>
  </si>
  <si>
    <t>Mining</t>
  </si>
  <si>
    <t>Manufacturing</t>
  </si>
  <si>
    <t>Construction</t>
  </si>
  <si>
    <t>Transport</t>
  </si>
  <si>
    <t>Public Services</t>
  </si>
  <si>
    <t>Market Services</t>
  </si>
  <si>
    <t xml:space="preserve">Value added prices </t>
  </si>
  <si>
    <t>Purchaser's price of commodity</t>
  </si>
  <si>
    <t xml:space="preserve">Export prices </t>
  </si>
  <si>
    <t xml:space="preserve">Import prices </t>
  </si>
  <si>
    <t>Domestic prices (including taxes)</t>
  </si>
  <si>
    <t>Intermediate Consumption price index</t>
  </si>
  <si>
    <t xml:space="preserve">Nominal exchange rate </t>
  </si>
  <si>
    <t>Total economy</t>
  </si>
  <si>
    <t>Wages</t>
  </si>
  <si>
    <t>Prices determined exogenously</t>
  </si>
  <si>
    <t>Producer's prices</t>
  </si>
  <si>
    <t>World prices of exports</t>
  </si>
  <si>
    <t>World prices of imports</t>
  </si>
  <si>
    <t>Equation</t>
  </si>
  <si>
    <t>di_a_a</t>
  </si>
  <si>
    <t>di_mi_a</t>
  </si>
  <si>
    <t>di_m_a</t>
  </si>
  <si>
    <t>di_e_a</t>
  </si>
  <si>
    <t>di_c_a</t>
  </si>
  <si>
    <t>di_t_a</t>
  </si>
  <si>
    <t>di_tr_a</t>
  </si>
  <si>
    <t>di_fs_a</t>
  </si>
  <si>
    <t>di_ps_a</t>
  </si>
  <si>
    <t>di_ms_a</t>
  </si>
  <si>
    <t>ci_a</t>
  </si>
  <si>
    <t>Description</t>
  </si>
  <si>
    <t>Total intermediate consumption in agricultural sector</t>
  </si>
  <si>
    <t>Intermediate consumption of commodity i in industry j (in real terms)</t>
  </si>
  <si>
    <t>= expenses of agriculture on the intermediate consumption</t>
  </si>
  <si>
    <t>Intermediate consumption of agriculture paid for trade services</t>
  </si>
  <si>
    <t>Intermediate consumption of agriculture paid for mining commodities</t>
  </si>
  <si>
    <t>Intermediate consumption of agriculture paid for energy commodities</t>
  </si>
  <si>
    <t>Intermediate consumption of agriculture paid for public services</t>
  </si>
  <si>
    <t>Intermediate consumption of agriculture paid market services</t>
  </si>
  <si>
    <t>di_a_mi</t>
  </si>
  <si>
    <t>di_mi_mi</t>
  </si>
  <si>
    <t>di_m_mi</t>
  </si>
  <si>
    <t>di_e_mi</t>
  </si>
  <si>
    <t>di_c_mi</t>
  </si>
  <si>
    <t>di_t_mi</t>
  </si>
  <si>
    <t>di_tr_mi</t>
  </si>
  <si>
    <t>di_fs_mi</t>
  </si>
  <si>
    <t>di_ps_mi</t>
  </si>
  <si>
    <t>di_ms_mi</t>
  </si>
  <si>
    <t>ci_mi</t>
  </si>
  <si>
    <t>Intermediate consumption of mining paid for agr. commodities</t>
  </si>
  <si>
    <t>Intermediate consumption of mining paid for mining commodities</t>
  </si>
  <si>
    <t>Intermediate consumption of mining paid for energy commodities</t>
  </si>
  <si>
    <t>Intermediate consumption of mining paid for public services</t>
  </si>
  <si>
    <t>Total intermediate consumption in mining sector</t>
  </si>
  <si>
    <t>= expenses of mining on the intermediate consumption</t>
  </si>
  <si>
    <t>Intermediate consumption of mining paid for trade services</t>
  </si>
  <si>
    <t>of which the intermediate consumption of imported goods</t>
  </si>
  <si>
    <t>ci_a_im</t>
  </si>
  <si>
    <t>ci_mi_im</t>
  </si>
  <si>
    <t>Intermediate consumption of mining paid for market services</t>
  </si>
  <si>
    <t>di_a_m</t>
  </si>
  <si>
    <t>di_mi_m</t>
  </si>
  <si>
    <t>di_m_m</t>
  </si>
  <si>
    <t>di_e_m</t>
  </si>
  <si>
    <t>di_c_m</t>
  </si>
  <si>
    <t>di_t_m</t>
  </si>
  <si>
    <t>di_tr_m</t>
  </si>
  <si>
    <t>di_fs_m</t>
  </si>
  <si>
    <t>di_ps_m</t>
  </si>
  <si>
    <t>di_ms_m</t>
  </si>
  <si>
    <t>ci_m</t>
  </si>
  <si>
    <t>ci_m_im</t>
  </si>
  <si>
    <t>Intermediate consumption of manufacturing paid for mining commodities</t>
  </si>
  <si>
    <t>Intermediate consumption of manufacturing paid for energy commodities</t>
  </si>
  <si>
    <t>Intermediate consumption of manufacturing paid for trade services</t>
  </si>
  <si>
    <t>Intermediate consumption of manufasturing paid for public services</t>
  </si>
  <si>
    <t>Intermediate consumption of manufacturing paid for market services</t>
  </si>
  <si>
    <t>Total intermediate consumption in manufacturing sector</t>
  </si>
  <si>
    <t>= expenses of manufacturing on the intermediate consumption</t>
  </si>
  <si>
    <t>Energy &amp; Water</t>
  </si>
  <si>
    <t>di_a_e</t>
  </si>
  <si>
    <t>di_mi_e</t>
  </si>
  <si>
    <t>di_m_e</t>
  </si>
  <si>
    <t>di_e_e</t>
  </si>
  <si>
    <t>di_c_e</t>
  </si>
  <si>
    <t>di_t_e</t>
  </si>
  <si>
    <t>di_tr_e</t>
  </si>
  <si>
    <t>di_fs_e</t>
  </si>
  <si>
    <t>di_ps_e</t>
  </si>
  <si>
    <t>di_ms_e</t>
  </si>
  <si>
    <t>ci_e</t>
  </si>
  <si>
    <t>ci_e_im</t>
  </si>
  <si>
    <t>Intermediate consumption of energy paid for mining commodities</t>
  </si>
  <si>
    <t>Intermediate consumption of energy paid for energy commodities</t>
  </si>
  <si>
    <t>Intermediate consumption of energy paid for trade services</t>
  </si>
  <si>
    <t>Intermediate consumption of energy paid for public services</t>
  </si>
  <si>
    <t>Intermediate consumption of energy paid for market services</t>
  </si>
  <si>
    <t>Total intermediate consumption in energy &amp; water sector</t>
  </si>
  <si>
    <t>= expenses of energy &amp; water on the intermediate consumption</t>
  </si>
  <si>
    <t>di_a_c</t>
  </si>
  <si>
    <t>di_mi_c</t>
  </si>
  <si>
    <t>di_m_c</t>
  </si>
  <si>
    <t>di_e_c</t>
  </si>
  <si>
    <t>di_c_c</t>
  </si>
  <si>
    <t>di_t_c</t>
  </si>
  <si>
    <t>di_tr_c</t>
  </si>
  <si>
    <t>di_fs_c</t>
  </si>
  <si>
    <t>di_ps_c</t>
  </si>
  <si>
    <t>di_ms_c</t>
  </si>
  <si>
    <t>ci_c</t>
  </si>
  <si>
    <t>ci_c_im</t>
  </si>
  <si>
    <t>Intermediate consumption of construction paid for mining commodities</t>
  </si>
  <si>
    <t>Intermediate consumption of construction paid for energy commodities</t>
  </si>
  <si>
    <t>Intermediate consumption of construction paid for trade services</t>
  </si>
  <si>
    <t>Intermediate consumption of construction paid for public services</t>
  </si>
  <si>
    <t>Intermediate consumption of construction paid for market services</t>
  </si>
  <si>
    <t>Total intermediate consumption in construction sector</t>
  </si>
  <si>
    <t>= expenses of construction on the intermediate consumption</t>
  </si>
  <si>
    <t>di_a_t</t>
  </si>
  <si>
    <t>di_mi_t</t>
  </si>
  <si>
    <t>di_m_t</t>
  </si>
  <si>
    <t>di_e_t</t>
  </si>
  <si>
    <t>di_c_t</t>
  </si>
  <si>
    <t>di_t_t</t>
  </si>
  <si>
    <t>di_tr_t</t>
  </si>
  <si>
    <t>di_fs_t</t>
  </si>
  <si>
    <t>di_ps_t</t>
  </si>
  <si>
    <t>di_ms_t</t>
  </si>
  <si>
    <t>ci_t</t>
  </si>
  <si>
    <t>ci_t_im</t>
  </si>
  <si>
    <t>Intermediate consumption of transport paid for mining commodities</t>
  </si>
  <si>
    <t>Intermediate consumption of transport paid for energy commodities</t>
  </si>
  <si>
    <t>Intermediate consumption of transport paid for trade services</t>
  </si>
  <si>
    <t>Intermediate consumption of transport paid for public services</t>
  </si>
  <si>
    <t>Intermediate consumption of transport paid for market services</t>
  </si>
  <si>
    <t>Total intermediate consumption in transport sector</t>
  </si>
  <si>
    <t>= expenses of transport on the intermediate consumption</t>
  </si>
  <si>
    <t>Trade</t>
  </si>
  <si>
    <t>di_a_tr</t>
  </si>
  <si>
    <t>di_mi_tr</t>
  </si>
  <si>
    <t>di_m_tr</t>
  </si>
  <si>
    <t>di_e_tr</t>
  </si>
  <si>
    <t>di_c_tr</t>
  </si>
  <si>
    <t>di_t_tr</t>
  </si>
  <si>
    <t>di_tr_tr</t>
  </si>
  <si>
    <t>di_fs_tr</t>
  </si>
  <si>
    <t>di_ps_tr</t>
  </si>
  <si>
    <t>di_ms_tr</t>
  </si>
  <si>
    <t>ci_tr</t>
  </si>
  <si>
    <t>ci_tr_im</t>
  </si>
  <si>
    <t>Intermediate consumption of trade paid for mining commodities</t>
  </si>
  <si>
    <t>Intermediate consumption of trade paid for energy commodities</t>
  </si>
  <si>
    <t>Intermediate consumption of trade paid for trade services</t>
  </si>
  <si>
    <t>Intermediate consumption of trade paid for public services</t>
  </si>
  <si>
    <t>Intermediate consumption of trade paid for market services</t>
  </si>
  <si>
    <t>= expenses of trade on the intermediate consumption</t>
  </si>
  <si>
    <t>Financial Services</t>
  </si>
  <si>
    <t>di_a_fs</t>
  </si>
  <si>
    <t>di_mi_fs</t>
  </si>
  <si>
    <t>di_m_fs</t>
  </si>
  <si>
    <t>di_e_fs</t>
  </si>
  <si>
    <t>di_c_fs</t>
  </si>
  <si>
    <t>di_t_fs</t>
  </si>
  <si>
    <t>di_tr_fs</t>
  </si>
  <si>
    <t>di_fs_fs</t>
  </si>
  <si>
    <t>di_ps_fs</t>
  </si>
  <si>
    <t>di_ms_fs</t>
  </si>
  <si>
    <t>ci_fs</t>
  </si>
  <si>
    <t>ci_fs_im</t>
  </si>
  <si>
    <t>Intermediate consumption of FS paid for mining commodities</t>
  </si>
  <si>
    <t>Intermediate consumption of FS paid for energy commodities</t>
  </si>
  <si>
    <t>Intermediate consumption of FS paid for trade services</t>
  </si>
  <si>
    <t>Intermediate consumption of FS paid for public services</t>
  </si>
  <si>
    <t>Intermediate consumption of FS paid for market services</t>
  </si>
  <si>
    <t>Total intermediate consumption in trade sector</t>
  </si>
  <si>
    <t>Total intermediate consumption in FS sector</t>
  </si>
  <si>
    <t>= expenses of FS on the intermediate consumption</t>
  </si>
  <si>
    <t>di_a_ps</t>
  </si>
  <si>
    <t>di_mi_ps</t>
  </si>
  <si>
    <t>di_m_ps</t>
  </si>
  <si>
    <t>di_e_ps</t>
  </si>
  <si>
    <t>di_c_ps</t>
  </si>
  <si>
    <t>di_t_ps</t>
  </si>
  <si>
    <t>di_tr_ps</t>
  </si>
  <si>
    <t>di_fs_ps</t>
  </si>
  <si>
    <t>di_ps_ps</t>
  </si>
  <si>
    <t>di_ms_ps</t>
  </si>
  <si>
    <t>ci_ps</t>
  </si>
  <si>
    <t>ci_ps_im</t>
  </si>
  <si>
    <t>Intermediate consumption of PS paid for mining commodities</t>
  </si>
  <si>
    <t>Intermediate consumption of PS paid for energy commodities</t>
  </si>
  <si>
    <t>Intermediate consumption of PS paid for trade services</t>
  </si>
  <si>
    <t>Intermediate consumption of PS paid for public services</t>
  </si>
  <si>
    <t>Intermediate consumption of PS paid for market services</t>
  </si>
  <si>
    <t>Total intermediate consumption in PS sector</t>
  </si>
  <si>
    <t>= expenses of PS on the intermediate consumption</t>
  </si>
  <si>
    <t>di_a_ms</t>
  </si>
  <si>
    <t>di_mi_ms</t>
  </si>
  <si>
    <t>di_m_ms</t>
  </si>
  <si>
    <t>di_e_ms</t>
  </si>
  <si>
    <t>di_c_ms</t>
  </si>
  <si>
    <t>di_t_ms</t>
  </si>
  <si>
    <t>di_tr_ms</t>
  </si>
  <si>
    <t>di_fs_ms</t>
  </si>
  <si>
    <t>di_ps_ms</t>
  </si>
  <si>
    <t>di_ms_ms</t>
  </si>
  <si>
    <t>ci_ms</t>
  </si>
  <si>
    <t>ci_ms_im</t>
  </si>
  <si>
    <t>Intermediate consumption of MS paid for mining commodities</t>
  </si>
  <si>
    <t>Intermediate consumption of MS paid for energy commodities</t>
  </si>
  <si>
    <t>Intermediate consumption of MS paid for trade services</t>
  </si>
  <si>
    <t>Intermediate consumption of MS paid for public services</t>
  </si>
  <si>
    <t>Intermediate consumption of MS paid for market services</t>
  </si>
  <si>
    <t>Total intermediate consumption in MS sector</t>
  </si>
  <si>
    <t>= expenses of MS on the intermediate consumption</t>
  </si>
  <si>
    <t>Total intermediate Demand for 10 commodities</t>
  </si>
  <si>
    <t>Agriculture (DIT_a)</t>
  </si>
  <si>
    <t>Mining (DIT_mi)</t>
  </si>
  <si>
    <t>Manufacturing (DIT_m)</t>
  </si>
  <si>
    <t>Energy and Water (DIT_e)</t>
  </si>
  <si>
    <t>Construction (DIT_c)</t>
  </si>
  <si>
    <t>Transport (DIT_t)</t>
  </si>
  <si>
    <t>Trade (DIT_tr)</t>
  </si>
  <si>
    <t>Financial services (DIT_fs)</t>
  </si>
  <si>
    <t>Public Services (DIT_ps)</t>
  </si>
  <si>
    <t>Gross Output (current prices)</t>
  </si>
  <si>
    <t>Agriculture (XP_a)</t>
  </si>
  <si>
    <t>Gross Output (in real terms)</t>
  </si>
  <si>
    <t>Mining (XP_mi)</t>
  </si>
  <si>
    <t>Manufacturing (XP_m)</t>
  </si>
  <si>
    <t>Energy and Water (XP_e)</t>
  </si>
  <si>
    <t>Construction (XP_c)</t>
  </si>
  <si>
    <t>Transport (XP_t)</t>
  </si>
  <si>
    <t>Trade (XP_tr)</t>
  </si>
  <si>
    <t>Financial services (XP_fs)</t>
  </si>
  <si>
    <t>Public Services (XP_ps)</t>
  </si>
  <si>
    <t xml:space="preserve">Public Services </t>
  </si>
  <si>
    <t>Market Services (XP_ms)</t>
  </si>
  <si>
    <t>Agriculture (va_a)</t>
  </si>
  <si>
    <t>Mining (va_mi)</t>
  </si>
  <si>
    <t>Manufacturing (va_m)</t>
  </si>
  <si>
    <t>Energy and Water (va_e)</t>
  </si>
  <si>
    <t>Construction (va_c)</t>
  </si>
  <si>
    <t>Transport (va_t)</t>
  </si>
  <si>
    <t>Trade (va_tr)</t>
  </si>
  <si>
    <t>Financial services (va_fs)</t>
  </si>
  <si>
    <t>Public Services (va_ps)</t>
  </si>
  <si>
    <t>Market Services (va_ms)</t>
  </si>
  <si>
    <t>Labor demand</t>
  </si>
  <si>
    <t>Agriculture (ld_a)</t>
  </si>
  <si>
    <t>Mining (ld_mi)</t>
  </si>
  <si>
    <t>Manufacturing (ld_m)</t>
  </si>
  <si>
    <t>Energy and Water (ld_e)</t>
  </si>
  <si>
    <t>Construction (ld_c)</t>
  </si>
  <si>
    <t>Transport (ld_t)</t>
  </si>
  <si>
    <t>Trade (ld_tr)</t>
  </si>
  <si>
    <t>Financial services (ld_fs)</t>
  </si>
  <si>
    <t>Public Services (ld_ps)</t>
  </si>
  <si>
    <t>Market Services (ld_ms)</t>
  </si>
  <si>
    <t>Return to Capital</t>
  </si>
  <si>
    <t>Agriculture (r_a)</t>
  </si>
  <si>
    <t>Mining (r_mi)</t>
  </si>
  <si>
    <t>Manufacturing (r_m)</t>
  </si>
  <si>
    <t>Energy and Water (r_e)</t>
  </si>
  <si>
    <t>Construction (r_c)</t>
  </si>
  <si>
    <t>Transport (r_t)</t>
  </si>
  <si>
    <t>Trade (r_tr)</t>
  </si>
  <si>
    <t>Financial services (r_fs)</t>
  </si>
  <si>
    <t>Public Services (r_ps)</t>
  </si>
  <si>
    <t>Market Services (r_ms)</t>
  </si>
  <si>
    <t>Block 2: Production (1)</t>
  </si>
  <si>
    <t>Block 2 : Production (2)</t>
  </si>
  <si>
    <t>Block 3 : Income and Savings</t>
  </si>
  <si>
    <t>Labor Income</t>
  </si>
  <si>
    <t>Labor Income (ld_hh)</t>
  </si>
  <si>
    <t>Households Income</t>
  </si>
  <si>
    <t>Disposable Income</t>
  </si>
  <si>
    <t>Households Income (yh)</t>
  </si>
  <si>
    <t>Households Income (ydh)</t>
  </si>
  <si>
    <t>Savings of Households</t>
  </si>
  <si>
    <t>Savings of Households  (sh)</t>
  </si>
  <si>
    <t>Income of firms</t>
  </si>
  <si>
    <t>Savings of Firms  (sf)</t>
  </si>
  <si>
    <t>Government's Revenues</t>
  </si>
  <si>
    <t>Government's revenues  (yg)</t>
  </si>
  <si>
    <t>Savings of Government</t>
  </si>
  <si>
    <t>Taxes of production</t>
  </si>
  <si>
    <t>Agriculture (tp_a)</t>
  </si>
  <si>
    <t>Mining (tp_mi)</t>
  </si>
  <si>
    <t>Manufacturing (tp_m)</t>
  </si>
  <si>
    <t>Energy and Water (tp_e)</t>
  </si>
  <si>
    <t>Construction (tp_c)</t>
  </si>
  <si>
    <t>Transport (tp_t)</t>
  </si>
  <si>
    <t>Trade (tp_tr)</t>
  </si>
  <si>
    <t>Financial services (tp_fs)</t>
  </si>
  <si>
    <t>Public Services (tp_ps)</t>
  </si>
  <si>
    <t>Market Services (tp_ms)</t>
  </si>
  <si>
    <t>Total (tp_tot)</t>
  </si>
  <si>
    <t>Indirect Taxes</t>
  </si>
  <si>
    <t>Agriculture (ti_a)</t>
  </si>
  <si>
    <t>Mining (ti_mi)</t>
  </si>
  <si>
    <t>Manufacturing (ti_m)</t>
  </si>
  <si>
    <t>Energy and Water (ti_e)</t>
  </si>
  <si>
    <t>Construction (ti_c)</t>
  </si>
  <si>
    <t>Transport (ti_t)</t>
  </si>
  <si>
    <t>Trade (ti_tr)</t>
  </si>
  <si>
    <t>Financial services (ti_fs)</t>
  </si>
  <si>
    <t>Public Services (ti_ps)</t>
  </si>
  <si>
    <t>Market Services (ti_ms)</t>
  </si>
  <si>
    <t>Total (ti_tot)</t>
  </si>
  <si>
    <t>Taxes on Capital</t>
  </si>
  <si>
    <t>tax_c</t>
  </si>
  <si>
    <t>Households Income Tax</t>
  </si>
  <si>
    <t>dth</t>
  </si>
  <si>
    <t>Firm's Income Tax</t>
  </si>
  <si>
    <t>dtf</t>
  </si>
  <si>
    <t>Customs Duty</t>
  </si>
  <si>
    <t>Agriculture (tim_a)</t>
  </si>
  <si>
    <t>Mining (tim_mi)</t>
  </si>
  <si>
    <t>Manufacturing (tim_m)</t>
  </si>
  <si>
    <t>Energy and Water (tim_e)</t>
  </si>
  <si>
    <t>Construction (tim_c)</t>
  </si>
  <si>
    <t>Transport (tim_t)</t>
  </si>
  <si>
    <t>Trade (tim_tr)</t>
  </si>
  <si>
    <t>Financial services (tim_fs)</t>
  </si>
  <si>
    <t>Public Services (tim_ps)</t>
  </si>
  <si>
    <t>Market Services (tim_ms)</t>
  </si>
  <si>
    <t>Export Taxes</t>
  </si>
  <si>
    <t>Agriculture (tie_a)</t>
  </si>
  <si>
    <t>Mining (tie_mi)</t>
  </si>
  <si>
    <t>Manufacturing (tie_m)</t>
  </si>
  <si>
    <t>Energy and Water (tie_e)</t>
  </si>
  <si>
    <t>Construction (tie_c)</t>
  </si>
  <si>
    <t>Transport (tie_t)</t>
  </si>
  <si>
    <t>Trade (tie_tr)</t>
  </si>
  <si>
    <t>Financial services (tie_fs)</t>
  </si>
  <si>
    <t>Public Services (tie_ps)</t>
  </si>
  <si>
    <t>Market Services (tie_ms)</t>
  </si>
  <si>
    <t>Total (tie_tot)</t>
  </si>
  <si>
    <t>Total (tim_tot)</t>
  </si>
  <si>
    <t>Block 4: Demand</t>
  </si>
  <si>
    <t>Agriculture (c_a_h)</t>
  </si>
  <si>
    <t>Mining (c_mi_h)</t>
  </si>
  <si>
    <t>Manufacturing (c_m_h)</t>
  </si>
  <si>
    <t>Energy and Water (c_e_h)</t>
  </si>
  <si>
    <t>Construction (c_c_h)</t>
  </si>
  <si>
    <t>Transport (c_t_h)</t>
  </si>
  <si>
    <t>Trade (c_tr_h)</t>
  </si>
  <si>
    <t>Financial services (c_fs_h)</t>
  </si>
  <si>
    <t>Public Services (c_ps_h)</t>
  </si>
  <si>
    <t>Market Services (c_ms_h)</t>
  </si>
  <si>
    <t>Consumption of households by commodities (in real terms)</t>
  </si>
  <si>
    <t>Consumption of government by commodities (in real terms)</t>
  </si>
  <si>
    <t>Agriculture (c_a_g)</t>
  </si>
  <si>
    <t>Mining (c_mi_g)</t>
  </si>
  <si>
    <t>Manufacturing (c_m_g)</t>
  </si>
  <si>
    <t>Energy and Water (c_e_g)</t>
  </si>
  <si>
    <t>Construction (c_c_g)</t>
  </si>
  <si>
    <t>Transport (c_t_g)</t>
  </si>
  <si>
    <t>Trade (c_tr_g)</t>
  </si>
  <si>
    <t>Financial services (c_fs_g)</t>
  </si>
  <si>
    <t>Public Services (c_ps_g)</t>
  </si>
  <si>
    <t>Market Services (c_ms_g)</t>
  </si>
  <si>
    <t>Investment demand by commodity (in real terms)</t>
  </si>
  <si>
    <t>Agriculture (inv_a)</t>
  </si>
  <si>
    <t>Mining (inv_mi)</t>
  </si>
  <si>
    <t>Manufacturing (inv_m)</t>
  </si>
  <si>
    <t>Energy and Water (inv_e)</t>
  </si>
  <si>
    <t>Construction (inv_c)</t>
  </si>
  <si>
    <t>Transport (inv_t)</t>
  </si>
  <si>
    <t>Trade (inv_tr)</t>
  </si>
  <si>
    <t>Financial services (inv_fs)</t>
  </si>
  <si>
    <t>Public Services (inv_ps)</t>
  </si>
  <si>
    <t>Market Services (inv_ms)</t>
  </si>
  <si>
    <t>Block 5: International trade</t>
  </si>
  <si>
    <t>Gorss Output forecasts using Constant Elasticity of transformation (CET)</t>
  </si>
  <si>
    <t>Agriculture (xs_a)</t>
  </si>
  <si>
    <t>Mining (xs_mi)</t>
  </si>
  <si>
    <t>Manufacturing (xs_m)</t>
  </si>
  <si>
    <t>Energy and Water (xs_e)</t>
  </si>
  <si>
    <t>Construction (xs_c)</t>
  </si>
  <si>
    <t>Transport (xs_t)</t>
  </si>
  <si>
    <t>Trade (xs_tr)</t>
  </si>
  <si>
    <t>Financial services (xs_fs)</t>
  </si>
  <si>
    <t>Agriculture (ex_a)</t>
  </si>
  <si>
    <t>Mining (ex_mi)</t>
  </si>
  <si>
    <t>Construction (ex_c)</t>
  </si>
  <si>
    <t>Energy and Water (ex_e)</t>
  </si>
  <si>
    <t>Financial services (ex_fs)</t>
  </si>
  <si>
    <t>Manufacturing (ex_m)</t>
  </si>
  <si>
    <t>Market Services (ex_ms)</t>
  </si>
  <si>
    <t>Public Services (ex_ps)</t>
  </si>
  <si>
    <t>Transport (ex_t)</t>
  </si>
  <si>
    <t>Trade (ex_tr)</t>
  </si>
  <si>
    <t>Total (ex_tot)</t>
  </si>
  <si>
    <t>Composite Goods forecasts using Constant Elasticity of substitution (CES - Armington)</t>
  </si>
  <si>
    <t>Agriculture (qq_a)</t>
  </si>
  <si>
    <t>Mining (qq_mi)</t>
  </si>
  <si>
    <t>Construction (qq_c)</t>
  </si>
  <si>
    <t>Energy and Water (qq_e)</t>
  </si>
  <si>
    <t>Financial services (qq_fs)</t>
  </si>
  <si>
    <t>Manufacturing (qq_m)</t>
  </si>
  <si>
    <t>Market Services (qq_ms)</t>
  </si>
  <si>
    <t>Public Services (qq_ps)</t>
  </si>
  <si>
    <t>Transport (qq_t)</t>
  </si>
  <si>
    <t>Trade (qq_tr)</t>
  </si>
  <si>
    <t>Agriculture (im_a)</t>
  </si>
  <si>
    <t>Mining (im_mi)</t>
  </si>
  <si>
    <t>Construction (im_c)</t>
  </si>
  <si>
    <t>Energy and Water (im_e)</t>
  </si>
  <si>
    <t>Financial services (im_fs)</t>
  </si>
  <si>
    <t>Manufacturing (im_m)</t>
  </si>
  <si>
    <t>Market Services (im_ms)</t>
  </si>
  <si>
    <t>Total (im_tot)</t>
  </si>
  <si>
    <t>Public Services (im_ps)</t>
  </si>
  <si>
    <t>Transport (im_t)</t>
  </si>
  <si>
    <t>Import  by commodity (in real terms)</t>
  </si>
  <si>
    <t>Export by commodity  (in real terms)</t>
  </si>
  <si>
    <t>Trade (im_tr)</t>
  </si>
  <si>
    <t>Block 6: System constraints &amp; Macroeconomic closures</t>
  </si>
  <si>
    <t>1. Establish equilibrium between aggregate demand and supply by prices</t>
  </si>
  <si>
    <t>Agriculture (cpi_a)</t>
  </si>
  <si>
    <t>Mining (cpi_mi)</t>
  </si>
  <si>
    <t>Manufacturing (cpi_m)</t>
  </si>
  <si>
    <t>Energy and Water (cpi_e)</t>
  </si>
  <si>
    <t>Construction (cpi_c)</t>
  </si>
  <si>
    <t>Transport (cpi_t)</t>
  </si>
  <si>
    <t>Trade (cpi_tr)</t>
  </si>
  <si>
    <t>Financial services (cpi_fs)</t>
  </si>
  <si>
    <t>Public Services (cpi_ps)</t>
  </si>
  <si>
    <t>Market Services (cpi_ms)</t>
  </si>
  <si>
    <t>Total (cpi_tot)</t>
  </si>
  <si>
    <t>2. Equilibrium on labor market established by wage rate</t>
  </si>
  <si>
    <t>Wage rate  (w)</t>
  </si>
  <si>
    <t>Total (r_tot)</t>
  </si>
  <si>
    <t>3. Equilibrium on capital market established by interest rate</t>
  </si>
  <si>
    <t>4. Equilibrium on current account balance of the BOP established by exchange rate</t>
  </si>
  <si>
    <t>Exchange rate  (e)</t>
  </si>
  <si>
    <t>Exchange rate  (TJS/USD)</t>
  </si>
  <si>
    <t>5. Investment - Saving Balance</t>
  </si>
  <si>
    <t>Investment (inv_tot)</t>
  </si>
  <si>
    <t>Savings</t>
  </si>
  <si>
    <t xml:space="preserve">  Foreign</t>
  </si>
  <si>
    <t xml:space="preserve">Block 7: Dynamic Model Specification </t>
  </si>
  <si>
    <t>1. Price index of invetment in sector j</t>
  </si>
  <si>
    <t>Agriculture (pinv_a)</t>
  </si>
  <si>
    <t>Mining (pinv_mi)</t>
  </si>
  <si>
    <t>Manufacturing (pinv_m)</t>
  </si>
  <si>
    <t>Energy and Water (pinv_e)</t>
  </si>
  <si>
    <t>Construction (pinv_c)</t>
  </si>
  <si>
    <t>Transport (pinv_t)</t>
  </si>
  <si>
    <t>Trade (pinv_tr)</t>
  </si>
  <si>
    <t>Financial services (pinv_fs)</t>
  </si>
  <si>
    <t>Public Services (pinv_ps)</t>
  </si>
  <si>
    <t>Market Services (pinv_ms)</t>
  </si>
  <si>
    <t>Agriculture (u_a)</t>
  </si>
  <si>
    <t>2. Capital Users costs in sector j</t>
  </si>
  <si>
    <t>Mining (u_mi)</t>
  </si>
  <si>
    <t>Manufacturing (u_m)</t>
  </si>
  <si>
    <t>Energy and Water (u_e)</t>
  </si>
  <si>
    <t>Construction (u_c)</t>
  </si>
  <si>
    <t>Transport (u_t)</t>
  </si>
  <si>
    <t>Trade (u_tr)</t>
  </si>
  <si>
    <t>Financial services (u_fs)</t>
  </si>
  <si>
    <t>Public Services (u_ps)</t>
  </si>
  <si>
    <t>Market Services (u_ms)</t>
  </si>
  <si>
    <t>3. Demand for capital in activity j (satisfied by capital supply)</t>
  </si>
  <si>
    <t>Agriculture (ind_a)</t>
  </si>
  <si>
    <t>Mining (ind_mi)</t>
  </si>
  <si>
    <t>Manufacturing (ind_m)</t>
  </si>
  <si>
    <t>Energy and Water (ind_e)</t>
  </si>
  <si>
    <t>Construction (ind_c)</t>
  </si>
  <si>
    <t>Transport (ind_t)</t>
  </si>
  <si>
    <t>Trade (ind_tr)</t>
  </si>
  <si>
    <t>Financial services (ind_fs)</t>
  </si>
  <si>
    <t>Public Services (ind_ps)</t>
  </si>
  <si>
    <t>Market Services (ind_ms)</t>
  </si>
  <si>
    <t>4. Endogenized capital stock supply</t>
  </si>
  <si>
    <t>Agriculture (ks_a_d)</t>
  </si>
  <si>
    <t>Mining (ks_mi_d)</t>
  </si>
  <si>
    <t>Manufacturing (ks_m_d)</t>
  </si>
  <si>
    <t>Energy and Water (ks_e_d)</t>
  </si>
  <si>
    <t>Construction (ks_c_d)</t>
  </si>
  <si>
    <t>Transport (ks_t_d)</t>
  </si>
  <si>
    <t>Trade (ks_tr_d)</t>
  </si>
  <si>
    <t>Financial services (ks_fs_d)</t>
  </si>
  <si>
    <t>Public Services (ks_ps_d)</t>
  </si>
  <si>
    <t>Market Services (ks_ms_d)</t>
  </si>
  <si>
    <t>5. Labor supply using demographic model and data</t>
  </si>
  <si>
    <t>Labor supply (lsd)</t>
  </si>
  <si>
    <t>6. Impact of demographic changes on the private consumption</t>
  </si>
  <si>
    <t>Budget of households (cth)</t>
  </si>
  <si>
    <t xml:space="preserve">GDP Modeling </t>
  </si>
  <si>
    <t>1. Nominal GDP</t>
  </si>
  <si>
    <t>Agriculture (gdp_va_a)</t>
  </si>
  <si>
    <t>Mining (gdp_va_mi)</t>
  </si>
  <si>
    <t>Manufacturing (gdp_va_m)</t>
  </si>
  <si>
    <t>Energy and Water (gdp_va_e)</t>
  </si>
  <si>
    <t>Construction (gdp_va_c)</t>
  </si>
  <si>
    <t>Transport (gdp_va_t)</t>
  </si>
  <si>
    <t>Trade (gdp_va_tr)</t>
  </si>
  <si>
    <t>Financial services (gdp_va_fs)</t>
  </si>
  <si>
    <t>Public Services (gdp_va_ps)</t>
  </si>
  <si>
    <t>Market Services (gdp_va_ms)</t>
  </si>
  <si>
    <t>Nominal GDP (gdp_va_tot)</t>
  </si>
  <si>
    <t>2. Real GDP</t>
  </si>
  <si>
    <t>Agriculture (gdp_r_a)</t>
  </si>
  <si>
    <t>Mining (gdp_r_mi)</t>
  </si>
  <si>
    <t>Manufacturing (gdp_r_m)</t>
  </si>
  <si>
    <t>Energy and Water (gdp_r_e)</t>
  </si>
  <si>
    <t>Construction (gdp_r_c)</t>
  </si>
  <si>
    <t>Transport (gdp_r_t)</t>
  </si>
  <si>
    <t>Trade (gdp_r_tr)</t>
  </si>
  <si>
    <t>Financial services (gdp_r_fs)</t>
  </si>
  <si>
    <t>Public Services (gdp_r_ps)</t>
  </si>
  <si>
    <t>Market Services (gdp_r_ms)</t>
  </si>
  <si>
    <t>3. GDP deflator</t>
  </si>
  <si>
    <t>Agriculture (gdp_dfl_a)</t>
  </si>
  <si>
    <t>Mining (gdp_dfl_mi)</t>
  </si>
  <si>
    <t>Manufacturing (gdp_dfl_m)</t>
  </si>
  <si>
    <t>Energy and Water (gdp_dfl_e)</t>
  </si>
  <si>
    <t>Construction (gdp_dfl_c)</t>
  </si>
  <si>
    <t>Transport (gdp_dfl_t)</t>
  </si>
  <si>
    <t>Trade (gdp_dfl_tr)</t>
  </si>
  <si>
    <t>Financial services (gdp_dfl_fs)</t>
  </si>
  <si>
    <t>Public Services (gdp_dfl_ps)</t>
  </si>
  <si>
    <t>Market Services (gdp_dfl_ms)</t>
  </si>
  <si>
    <t>Real GDP (gdp_r_tot)</t>
  </si>
  <si>
    <t>GDP Deflator (gdp_dfl_tot)</t>
  </si>
  <si>
    <t>Monetary sector</t>
  </si>
  <si>
    <t>1. Demand for money</t>
  </si>
  <si>
    <t>Demand for money (MD)</t>
  </si>
  <si>
    <t>Supply of money (MS)</t>
  </si>
  <si>
    <t>3. Velocity of money</t>
  </si>
  <si>
    <t>Velocity of money (v)</t>
  </si>
  <si>
    <t>4. Impact of interest rate on money demand</t>
  </si>
  <si>
    <t>2. Demand for money is equal to the money supply (money stock M4 determination)</t>
  </si>
  <si>
    <t>Coefficient phi_m</t>
  </si>
  <si>
    <t>Interest rate (r_tot)</t>
  </si>
  <si>
    <t>Agriculture (p_a)</t>
  </si>
  <si>
    <t>Mining (p_mi)</t>
  </si>
  <si>
    <t>Manufacturing (p_m)</t>
  </si>
  <si>
    <t>Energy and Water (p_e)</t>
  </si>
  <si>
    <t>Construction (p_c)</t>
  </si>
  <si>
    <t>Transport (p_t)</t>
  </si>
  <si>
    <t>Trade (p_tr)</t>
  </si>
  <si>
    <t>Financial services (p_fs)</t>
  </si>
  <si>
    <t>Public Services (p_ps)</t>
  </si>
  <si>
    <t>Market Services (p_ms)</t>
  </si>
  <si>
    <t>Agriculture (pva_a)</t>
  </si>
  <si>
    <t>Mining (pva_mi)</t>
  </si>
  <si>
    <t>Manufacturing (pva_m)</t>
  </si>
  <si>
    <t>Energy and Water (pva_e)</t>
  </si>
  <si>
    <t>Construction (pva_c)</t>
  </si>
  <si>
    <t>Transport (pva_t)</t>
  </si>
  <si>
    <t>Trade (pva_tr)</t>
  </si>
  <si>
    <t>Financial services (pva_fs)</t>
  </si>
  <si>
    <t>Public Services (pva_ps)</t>
  </si>
  <si>
    <t>Market Services (pva_ms)</t>
  </si>
  <si>
    <t>Agriculture (pc_a)</t>
  </si>
  <si>
    <t>Mining (pc_mi)</t>
  </si>
  <si>
    <t>Manufacturing (pc_m)</t>
  </si>
  <si>
    <t>Energy and Water (pc_e)</t>
  </si>
  <si>
    <t>Construction (pc_c)</t>
  </si>
  <si>
    <t>Transport (pc_t)</t>
  </si>
  <si>
    <t>Trade (pc_tr)</t>
  </si>
  <si>
    <t>Financial services (pc_fs)</t>
  </si>
  <si>
    <t>Public Services (pc_ps)</t>
  </si>
  <si>
    <t>Market Services (pc_ms)</t>
  </si>
  <si>
    <t>Agriculture (pe_a)</t>
  </si>
  <si>
    <t>Mining (pe_mi)</t>
  </si>
  <si>
    <t>Manufacturing (pe_m)</t>
  </si>
  <si>
    <t>Energy and Water (pe_e)</t>
  </si>
  <si>
    <t>Construction (pe_c)</t>
  </si>
  <si>
    <t>Transport (pe_t)</t>
  </si>
  <si>
    <t>Trade (pe_tr)</t>
  </si>
  <si>
    <t>Financial services (pe_fs)</t>
  </si>
  <si>
    <t>Public Services (pe_ps)</t>
  </si>
  <si>
    <t>Agriculture (pm_a)</t>
  </si>
  <si>
    <t>Mining (pm_mi)</t>
  </si>
  <si>
    <t>Manufacturing (pm_m)</t>
  </si>
  <si>
    <t>Energy and Water (pm_e)</t>
  </si>
  <si>
    <t>Construction (pm_c)</t>
  </si>
  <si>
    <t>Transport (pm_t)</t>
  </si>
  <si>
    <t>Trade (pm_tr)</t>
  </si>
  <si>
    <t>Financial services (pm_fs)</t>
  </si>
  <si>
    <t>Public Services (pm_ps)</t>
  </si>
  <si>
    <t>Market Services (pm_ms)</t>
  </si>
  <si>
    <t>Agriculture (pd_a)</t>
  </si>
  <si>
    <t>Mining (pd_mi)</t>
  </si>
  <si>
    <t>Manufacturing (pd_m)</t>
  </si>
  <si>
    <t>Energy and Water (pd_e)</t>
  </si>
  <si>
    <t>Construction (pd_c)</t>
  </si>
  <si>
    <t>Transport (pd_t)</t>
  </si>
  <si>
    <t>Trade (pd_tr)</t>
  </si>
  <si>
    <t>Financial services (pd_fs)</t>
  </si>
  <si>
    <t>Public Services (pd_ps)</t>
  </si>
  <si>
    <t>Market Services (pd_ms)</t>
  </si>
  <si>
    <t>Agriculture (pci_a)</t>
  </si>
  <si>
    <t>Mining (pci_mi)</t>
  </si>
  <si>
    <t>Manufacturing (pci_m)</t>
  </si>
  <si>
    <t>Energy and Water (pci_e)</t>
  </si>
  <si>
    <t>Construction (pci_c)</t>
  </si>
  <si>
    <t>Transport (pci_t)</t>
  </si>
  <si>
    <t>Trade (pci_tr)</t>
  </si>
  <si>
    <t>Financial services (pci_fs)</t>
  </si>
  <si>
    <t>Public Services (pci_ps)</t>
  </si>
  <si>
    <t>Market Services (pci_ms)</t>
  </si>
  <si>
    <t>Agriculture (pl_a)</t>
  </si>
  <si>
    <t>Mining (pl_mi)</t>
  </si>
  <si>
    <t>Manufacturing (pl_m)</t>
  </si>
  <si>
    <t>Energy and Water (pl_e)</t>
  </si>
  <si>
    <t>Construction (pl_c)</t>
  </si>
  <si>
    <t>Transport (pl_t)</t>
  </si>
  <si>
    <t>Trade (pl_tr)</t>
  </si>
  <si>
    <t>Financial services (pl_fs)</t>
  </si>
  <si>
    <t>Public Services (pl_ps)</t>
  </si>
  <si>
    <t>Agriculture (pwe_a)</t>
  </si>
  <si>
    <t>Mining (pwe_mi)</t>
  </si>
  <si>
    <t>Manufacturing (pwe_m)</t>
  </si>
  <si>
    <t>Energy and Water (pwe_e)</t>
  </si>
  <si>
    <t>Construction (pwe_c)</t>
  </si>
  <si>
    <t>Transport (pwe_t)</t>
  </si>
  <si>
    <t>Trade (pwe_tr)</t>
  </si>
  <si>
    <t>Financial services (pwe_fs)</t>
  </si>
  <si>
    <t>Public Services (pwe_ps)</t>
  </si>
  <si>
    <t>Market Services (pwe_ms)</t>
  </si>
  <si>
    <t>Agriculture (pwm_a)</t>
  </si>
  <si>
    <t>Mining (pwm_mi)</t>
  </si>
  <si>
    <t>Manufacturing (pwm_m)</t>
  </si>
  <si>
    <t>Energy and Water (pwm_e)</t>
  </si>
  <si>
    <t>Construction (pwm_c)</t>
  </si>
  <si>
    <t>Transport (pwm_t)</t>
  </si>
  <si>
    <t>Trade (pwm_tr)</t>
  </si>
  <si>
    <t>Financial services (pwm_fs)</t>
  </si>
  <si>
    <t>Public Services (pwm_ps)</t>
  </si>
  <si>
    <t>Market Services (pwm_ms)</t>
  </si>
  <si>
    <t>Total</t>
  </si>
  <si>
    <t>Value Added (in real terms)</t>
  </si>
  <si>
    <t>e_1</t>
  </si>
  <si>
    <t>e_TJS/USD</t>
  </si>
  <si>
    <t>Source: p_grp</t>
  </si>
  <si>
    <t>Source: pva_grp</t>
  </si>
  <si>
    <t>Source: pc_grp</t>
  </si>
  <si>
    <t>Source: pe_grp</t>
  </si>
  <si>
    <t>Source: pm_grp</t>
  </si>
  <si>
    <t>Source: pd_grp</t>
  </si>
  <si>
    <t>Source: pci_grp</t>
  </si>
  <si>
    <t>Source: w_1</t>
  </si>
  <si>
    <t>Source: pl_grp</t>
  </si>
  <si>
    <t>Source: pwe_grp</t>
  </si>
  <si>
    <t>Source: pwm_grp</t>
  </si>
  <si>
    <t>Source: di_a_grp</t>
  </si>
  <si>
    <t>Source: di_mi_grp</t>
  </si>
  <si>
    <t>Source: di_m_grp</t>
  </si>
  <si>
    <t>Source: di_e_grp</t>
  </si>
  <si>
    <t>Source: di_c_grp</t>
  </si>
  <si>
    <t>Source: di_t_grp</t>
  </si>
  <si>
    <t>Source: di_tr_grp</t>
  </si>
  <si>
    <t>Source: di_fs_grp</t>
  </si>
  <si>
    <t>Source: di_ps_grp</t>
  </si>
  <si>
    <t>Source: di_ms_grp</t>
  </si>
  <si>
    <t>Source: dit_grp</t>
  </si>
  <si>
    <t>Source: xp_grp</t>
  </si>
  <si>
    <t>Source: xs_grp</t>
  </si>
  <si>
    <t>Source: va_grp</t>
  </si>
  <si>
    <t>Source: ld_grp</t>
  </si>
  <si>
    <t>Source: r_grp</t>
  </si>
  <si>
    <t>Source: ld_hh_1</t>
  </si>
  <si>
    <t>Source: yh_1</t>
  </si>
  <si>
    <t>Source: sh_1</t>
  </si>
  <si>
    <t>Source: sf_1</t>
  </si>
  <si>
    <t>Source: sg_1</t>
  </si>
  <si>
    <t>Source: yg_1</t>
  </si>
  <si>
    <t>Source: tp_grp</t>
  </si>
  <si>
    <t>Source: ti_grp</t>
  </si>
  <si>
    <t>Source: tax_c_1</t>
  </si>
  <si>
    <t>Source: dth_1</t>
  </si>
  <si>
    <t>Source: dtf_1</t>
  </si>
  <si>
    <t>Source: tim_grp</t>
  </si>
  <si>
    <t>Source: tie_grp</t>
  </si>
  <si>
    <t>Source: c_h_grp</t>
  </si>
  <si>
    <t>Source: inv_grp</t>
  </si>
  <si>
    <t>Source: ex_grp</t>
  </si>
  <si>
    <t>Source: qq_grp</t>
  </si>
  <si>
    <t>Source: im_grp</t>
  </si>
  <si>
    <t>Source: cpi_grp</t>
  </si>
  <si>
    <t xml:space="preserve">  Households (sh_1)</t>
  </si>
  <si>
    <t xml:space="preserve">  Firms (sf_1)</t>
  </si>
  <si>
    <t xml:space="preserve">  Government (sg_1)</t>
  </si>
  <si>
    <t>Source: pinv_grp</t>
  </si>
  <si>
    <t>Source: u_grp</t>
  </si>
  <si>
    <t>Source: ind_grp</t>
  </si>
  <si>
    <t>Source: gdp_va_grp</t>
  </si>
  <si>
    <t>Source: gdp_r_grp</t>
  </si>
  <si>
    <t>Source: gdp_dfl_grp</t>
  </si>
  <si>
    <t>Savings of Government  (sg)</t>
  </si>
  <si>
    <t>Source: c_g_grp</t>
  </si>
  <si>
    <t>3. GDP growth rate</t>
  </si>
  <si>
    <t>Agriculture (gdp_growth rate_a)</t>
  </si>
  <si>
    <t>Mining (gdp_growth rate_mi)</t>
  </si>
  <si>
    <t>Manufacturing (gdp_growth rate_m)</t>
  </si>
  <si>
    <t>Energy and Water (gdp_growth rate_e)</t>
  </si>
  <si>
    <t>Construction (gdp_growth rate_c)</t>
  </si>
  <si>
    <t>Transport (gdp_growth rate_t)</t>
  </si>
  <si>
    <t>Trade (gdp_growth rate_tr)</t>
  </si>
  <si>
    <t>Financial services (gdp_growth rate_fs)</t>
  </si>
  <si>
    <t>Public Services (gdp_growth rate_ps)</t>
  </si>
  <si>
    <t>Market Services (gdp_growth rate_ms)</t>
  </si>
  <si>
    <t xml:space="preserve">Gross Output </t>
  </si>
  <si>
    <t>Gross Output (%)</t>
  </si>
  <si>
    <t>Industry</t>
  </si>
  <si>
    <t xml:space="preserve">Export </t>
  </si>
  <si>
    <t>Import</t>
  </si>
  <si>
    <t>ВВ</t>
  </si>
  <si>
    <t>ПП</t>
  </si>
  <si>
    <t>GDP deflator</t>
  </si>
  <si>
    <t>GDP growth rate</t>
  </si>
  <si>
    <t>удельный вес ПП</t>
  </si>
  <si>
    <t>GDP</t>
  </si>
  <si>
    <t xml:space="preserve"> </t>
  </si>
  <si>
    <t>Intermediate consumption of agriculture paid for agr, Commodities</t>
  </si>
  <si>
    <t>Intermediate consumption of agriculture paid for manufact, Commodities</t>
  </si>
  <si>
    <t>Intermediate consumption of agriculture paid for construct, Commodities</t>
  </si>
  <si>
    <t>Intermediate consumption of agriculture paid for trans, Services</t>
  </si>
  <si>
    <t xml:space="preserve">Intermediate consumption of agriculture paid for fin, services </t>
  </si>
  <si>
    <t>Intermediate consumption of construction paid for agr, commodities</t>
  </si>
  <si>
    <t>Intermediate consumption of construction paid for manufact, commodities</t>
  </si>
  <si>
    <t>Intermediate consumption of construction paid for construct, commodities</t>
  </si>
  <si>
    <t>Intermediate consumption of construction paid for trans, Services</t>
  </si>
  <si>
    <t xml:space="preserve">Intermediate consumption of construction paid for fin, services </t>
  </si>
  <si>
    <t>Intermediate consumption of FS paid for agr, commodities</t>
  </si>
  <si>
    <t>Intermediate consumption of FS paid for manufact, commodities</t>
  </si>
  <si>
    <t>Intermediate consumption of FS paid for construct, commodities</t>
  </si>
  <si>
    <t>Intermediate consumption of FS paid for trans, Services</t>
  </si>
  <si>
    <t xml:space="preserve">Intermediate consumption of FS paid for fin, services </t>
  </si>
  <si>
    <t>Импорт по товарам (в реальном выражении)</t>
  </si>
  <si>
    <t>Экспорт по товарам (в реальном выражении)</t>
  </si>
  <si>
    <t>GDP(gdp_growth rate_tot)</t>
  </si>
  <si>
    <t>ВДС</t>
  </si>
  <si>
    <t>Нишондињандањо</t>
  </si>
  <si>
    <t>Воњиди
 ченак</t>
  </si>
  <si>
    <t>Соли 2022</t>
  </si>
  <si>
    <t>Соли 2023</t>
  </si>
  <si>
    <t>Соли 2024</t>
  </si>
  <si>
    <t>Соли 2025</t>
  </si>
  <si>
    <t>Соли 2026</t>
  </si>
  <si>
    <t>Соли 2027</t>
  </si>
  <si>
    <t>Соли 2028</t>
  </si>
  <si>
    <t>Воќеї</t>
  </si>
  <si>
    <t>нисбат ба соли 2021 (бо фоиз)</t>
  </si>
  <si>
    <t>нисбат ба соли 2022 (бо фоиз)</t>
  </si>
  <si>
    <t>нисбат ба соли 2023 (бо фоиз)</t>
  </si>
  <si>
    <t>Бањодињї</t>
  </si>
  <si>
    <t>нисбат ба соли 2024 (бо фоиз)</t>
  </si>
  <si>
    <t>Дурнамо</t>
  </si>
  <si>
    <t>нисбат ба соли 2025 (бо фоиз)</t>
  </si>
  <si>
    <t>нисбат ба соли 2026 (бо фоиз)</t>
  </si>
  <si>
    <t>нисбат ба соли 2027 (бо фоиз)</t>
  </si>
  <si>
    <t>Шумораи ањолї  
(ба њисоби миёнаи  солона)</t>
  </si>
  <si>
    <r>
      <rPr>
        <sz val="8"/>
        <color indexed="8"/>
        <rFont val="Times New Roman Tj"/>
        <family val="1"/>
        <charset val="204"/>
      </rPr>
      <t>Њ</t>
    </r>
    <r>
      <rPr>
        <sz val="12"/>
        <color indexed="8"/>
        <rFont val="Times New Roman Tj"/>
        <family val="1"/>
        <charset val="204"/>
      </rPr>
      <t>азор нафар</t>
    </r>
  </si>
  <si>
    <t xml:space="preserve">Маљмўи мањсулоти дохилї </t>
  </si>
  <si>
    <t>млн. сомонї</t>
  </si>
  <si>
    <t>Индекс-дефлятори ММД</t>
  </si>
  <si>
    <t xml:space="preserve">бо фоиз </t>
  </si>
  <si>
    <t>Таваррум</t>
  </si>
  <si>
    <t>ММД ба њар нафар ањолї</t>
  </si>
  <si>
    <t>сомонї</t>
  </si>
  <si>
    <t>Њаљми мањсулоти саноатї</t>
  </si>
  <si>
    <t>Њаљми мањсулоти кишоварзї</t>
  </si>
  <si>
    <t>Маблаѓгузорї ба  сармояи асосї аз њисоби њамаи манбаъњои маблаѓгузорї</t>
  </si>
  <si>
    <t>аз чумла аз њисоби буљети давлатї</t>
  </si>
  <si>
    <t>Сармоягузории  хориљї                                                         (қарз, грант, мустақим)</t>
  </si>
  <si>
    <t>млн. доллар</t>
  </si>
  <si>
    <t>Њаљми умумии гардиши савдо дар њама соњањо</t>
  </si>
  <si>
    <t>аз он: гардиши савдои чакана</t>
  </si>
  <si>
    <t>Њаљми хизматрасонињои пулакї дар  њамаи соњањо</t>
  </si>
  <si>
    <t>аз он: хизматрасонињои пулакї ба ањолї</t>
  </si>
  <si>
    <t>Гардиши савдои хориљї</t>
  </si>
  <si>
    <t>аз он: - содирот</t>
  </si>
  <si>
    <t xml:space="preserve">            -воридот</t>
  </si>
  <si>
    <t>аз он: - содирот молњо ва хизматрасонї</t>
  </si>
  <si>
    <t xml:space="preserve">            -воридот молњо ва хизматрасонї</t>
  </si>
  <si>
    <t>млрд. сомонї</t>
  </si>
  <si>
    <t>Рушд бо %</t>
  </si>
  <si>
    <t>Рушд    бо %</t>
  </si>
  <si>
    <t>Рушд     бо %</t>
  </si>
  <si>
    <t>Маљмўи мањсулоти дохилӣ</t>
  </si>
  <si>
    <t xml:space="preserve">Маљмўи мањсулоти саноатї </t>
  </si>
  <si>
    <t>Маљмўи мањсулоти кишоварзї</t>
  </si>
  <si>
    <t xml:space="preserve">Маблаѓгузорї ба  сармояи асосї </t>
  </si>
  <si>
    <t>Сармоягузории хориҷӣ (қарз, грант, мустақим)</t>
  </si>
  <si>
    <t>Гардиши савдои дохилї</t>
  </si>
  <si>
    <t xml:space="preserve">Хизматрасонии пулакї </t>
  </si>
  <si>
    <t>аз он: - ба ањолї</t>
  </si>
  <si>
    <t>Гардиши савдои хориљї (млн. доллар)</t>
  </si>
  <si>
    <t>-</t>
  </si>
  <si>
    <t>Сатњи таваррум*</t>
  </si>
  <si>
    <t>Ќурби миёнасолона           (1 $ нисбат ба сомонї)*</t>
  </si>
  <si>
    <t xml:space="preserve"> *-Нишондињандањои мазкур интишор карда намешаванд.</t>
  </si>
  <si>
    <t>Инвестиции в ОК</t>
  </si>
  <si>
    <t>за счет бюджета</t>
  </si>
  <si>
    <t>в. том числе  цент.кап.влож.</t>
  </si>
  <si>
    <t>частные</t>
  </si>
  <si>
    <t>совместные</t>
  </si>
  <si>
    <t>иностранные инвестиции</t>
  </si>
  <si>
    <t>Source: ex_grp + Source: im_grp</t>
  </si>
  <si>
    <t>Industry - ННЭ</t>
  </si>
  <si>
    <t>Industry + включая, досчеты ННЭ</t>
  </si>
  <si>
    <t>Construction (XP_c) - ННЭ</t>
  </si>
  <si>
    <t>Инвестиции в ОК-за счет бюджета</t>
  </si>
  <si>
    <t>Темп роста метод дефлятирование</t>
  </si>
  <si>
    <t>Ќурби миёнасолона           (1 $ нисбат ба сомонї)* маълумоти Бонки миллии Тоҷикистон</t>
  </si>
  <si>
    <t>Темпы роста ВВ к соответсвующему периоду прошлого года</t>
  </si>
  <si>
    <t>Темп роста ВВ метод дефлятирование</t>
  </si>
  <si>
    <t>GDP by expenditure method</t>
  </si>
  <si>
    <t>Investment demand by commodity inv_grp</t>
  </si>
  <si>
    <t>Export by commodity ex_grp</t>
  </si>
  <si>
    <t>Import  by commodity im_grp</t>
  </si>
  <si>
    <t>statistical discrepancy</t>
  </si>
  <si>
    <t>GDP by production method</t>
  </si>
  <si>
    <t>net exports of goods and services</t>
  </si>
  <si>
    <t>ВВ разница по сравнению с прошлым годом</t>
  </si>
  <si>
    <t>Баҳодиҳии пешакии нишондиҳандаҳои асосии макроиќтисодии Љумҳурии Тољикистон барои соли 2025 ва дурнамои он барои солҳои 2026-2028</t>
  </si>
  <si>
    <t>1 $ нисбат ба сомонї</t>
  </si>
  <si>
    <t>Ќурби миёнасолона *</t>
  </si>
  <si>
    <t xml:space="preserve"> *-Нишондињандаи мазкур тариқи махфӣ ирсол мегардад.</t>
  </si>
  <si>
    <t>Water (XP_e)</t>
  </si>
  <si>
    <t>ОEnergy and Water (gdp_va_e)</t>
  </si>
  <si>
    <t>Water</t>
  </si>
  <si>
    <t xml:space="preserve">Energy </t>
  </si>
  <si>
    <t>Соли 2029</t>
  </si>
  <si>
    <t>Соли 2030</t>
  </si>
  <si>
    <t xml:space="preserve"> -растанипарварї</t>
  </si>
  <si>
    <t>чорвопарварї</t>
  </si>
  <si>
    <t xml:space="preserve"> Сенарияи шиддатнок-Нишондиҳандаҳои асосии макроиќтисодии Љумҳурии Тољикистон                                                                                                                                                                                 барои солҳои 2026-2030</t>
  </si>
  <si>
    <t>Гардиши савдои дохилӣ</t>
  </si>
  <si>
    <t>Хизматрасонии пулакї</t>
  </si>
  <si>
    <r>
      <t>Ҳ</t>
    </r>
    <r>
      <rPr>
        <sz val="12"/>
        <color theme="1"/>
        <rFont val="Times New Roman Tj"/>
        <family val="1"/>
        <charset val="204"/>
      </rPr>
      <t>иссаи гардиши савдо дар ММД</t>
    </r>
  </si>
  <si>
    <r>
      <t>Ҳ</t>
    </r>
    <r>
      <rPr>
        <sz val="12"/>
        <color theme="1"/>
        <rFont val="Times New Roman Tj"/>
        <family val="1"/>
        <charset val="204"/>
      </rPr>
      <t>иссаи содирот дар ММД</t>
    </r>
  </si>
  <si>
    <r>
      <t>Ҳ</t>
    </r>
    <r>
      <rPr>
        <sz val="12"/>
        <color theme="1"/>
        <rFont val="Times New Roman Tj"/>
        <family val="1"/>
        <charset val="204"/>
      </rPr>
      <t>иссаи воридот дар ММД</t>
    </r>
  </si>
  <si>
    <t>ММД долл.</t>
  </si>
  <si>
    <t>ММД, млн.доллар бо курби расми</t>
  </si>
  <si>
    <t>реал.ВВП</t>
  </si>
  <si>
    <t>Intermediate consumption of mining paid for manufact, commodities</t>
  </si>
  <si>
    <t>Intermediate consumption of mining paid for construct, commodities</t>
  </si>
  <si>
    <t>Intermediate consumption of mining paid for trans, Services</t>
  </si>
  <si>
    <t xml:space="preserve">Intermediate consumption of mining paid for fin, services </t>
  </si>
  <si>
    <t>Intermediate consumption of manufacturing paid for agr, commodities</t>
  </si>
  <si>
    <t>Intermediate consumption of manufacturing paid for manufact, commodities</t>
  </si>
  <si>
    <t>Intermediate consumption of manufacturing paid for construct, commodities</t>
  </si>
  <si>
    <t>Intermediate consumption of manufacturing paid for trans, Services</t>
  </si>
  <si>
    <t xml:space="preserve">Intermediate consumption of manufacturing paid for fin, services </t>
  </si>
  <si>
    <t>Intermediate consumption of energy paid for agr, commodities</t>
  </si>
  <si>
    <t>Intermediate consumption of energy paid for manufact, commodities</t>
  </si>
  <si>
    <t>Intermediate consumption of energy paid for construct, commodities</t>
  </si>
  <si>
    <t>Intermediate consumption of energy paid for trans, Services</t>
  </si>
  <si>
    <t xml:space="preserve">Intermediate consumption of energy paid for fin, services </t>
  </si>
  <si>
    <t>Intermediate consumption of transport paid for agr, commodities</t>
  </si>
  <si>
    <t>Intermediate consumption of transport paid for manufact, commodities</t>
  </si>
  <si>
    <t>Intermediate consumption of transport paid for construct, commodities</t>
  </si>
  <si>
    <t>Intermediate consumption of transport paid for trans, Services</t>
  </si>
  <si>
    <t xml:space="preserve">Intermediate consumption of transport paid for fin, services </t>
  </si>
  <si>
    <t>Intermediate consumption of trade paid for agr, commodities</t>
  </si>
  <si>
    <t>Intermediate consumption of trade paid for manufact, commodities</t>
  </si>
  <si>
    <t>Intermediate consumption of trade paid for construct, commodities</t>
  </si>
  <si>
    <t>Intermediate consumption of trade paid for trans, Services</t>
  </si>
  <si>
    <t xml:space="preserve">Intermediate consumption of trade paid for fin, services </t>
  </si>
  <si>
    <t>Intermediate consumption of PS paid for agr, commodities</t>
  </si>
  <si>
    <t>Intermediate consumption of PS paid for manufact, commodities</t>
  </si>
  <si>
    <t>Intermediate consumption of PS paid for construct, commodities</t>
  </si>
  <si>
    <t>Intermediate consumption of PS paid for trans, Services</t>
  </si>
  <si>
    <t xml:space="preserve">Intermediate consumption of PS paid for fin, services </t>
  </si>
  <si>
    <t>Intermediate consumption of MS paid for agr, commodities</t>
  </si>
  <si>
    <t>Intermediate consumption of MS paid for manufact, commodities</t>
  </si>
  <si>
    <t>Intermediate consumption of MS paid for construct, commodities</t>
  </si>
  <si>
    <t>Intermediate consumption of MS paid for trans, Services</t>
  </si>
  <si>
    <t xml:space="preserve">Intermediate consumption of MS paid for fin, services </t>
  </si>
  <si>
    <t>Темп роста ВВ</t>
  </si>
  <si>
    <t>1-вар.</t>
  </si>
  <si>
    <t>Source: ydh_1</t>
  </si>
  <si>
    <t>ВНОК</t>
  </si>
  <si>
    <t>млн.сомони</t>
  </si>
  <si>
    <t>доими</t>
  </si>
  <si>
    <t>доллар</t>
  </si>
  <si>
    <t>проверка ВВ</t>
  </si>
  <si>
    <t xml:space="preserve">  </t>
  </si>
  <si>
    <t>5, Interest rate forecast (equalibrating variable between demand and supply of capital)</t>
  </si>
  <si>
    <t xml:space="preserve">«Дар бораи дурнамои нишондиҳандаҳои асосии макроиќтисодии Љумҳурии Тољикистон барои солњои 2026-2029»   </t>
  </si>
  <si>
    <t>Модел CGE - SAM 2024-Баҳодиҳии пешакии нишондиҳандаҳои асосии макроиќтисодии Љумҳурии Тољикистон                                                                                                                                                                               барои соли 2026 ва дурнамои он барои солҳои 2027-2029</t>
  </si>
  <si>
    <t>Соли 2031</t>
  </si>
  <si>
    <t>Соли 2032</t>
  </si>
  <si>
    <t>Соли 2025                                             воќеї</t>
  </si>
  <si>
    <t>Соли 2026                                                            баҳодиҳӣ</t>
  </si>
  <si>
    <t>Соли 2027                       дурнамо</t>
  </si>
  <si>
    <t>4,0*</t>
  </si>
  <si>
    <t>3,5*</t>
  </si>
  <si>
    <t>3,7*</t>
  </si>
  <si>
    <t>4,2*</t>
  </si>
  <si>
    <t>Доход и сбережения</t>
  </si>
  <si>
    <t>Доход от рабочей силы</t>
  </si>
  <si>
    <t>Доход домохозяйств</t>
  </si>
  <si>
    <t>Располагаемый доход</t>
  </si>
  <si>
    <t>Сбережения домохозяйств</t>
  </si>
  <si>
    <t>Доход фирм</t>
  </si>
  <si>
    <t>Сбережения правительства</t>
  </si>
  <si>
    <t>Доходы правительства</t>
  </si>
  <si>
    <t>Косвенные налоги</t>
  </si>
  <si>
    <t>Налоги на капитал</t>
  </si>
  <si>
    <t>Налог на доходы домохозяйств</t>
  </si>
  <si>
    <t>Налог на доход фирм</t>
  </si>
  <si>
    <t>Таможенная пошлина</t>
  </si>
  <si>
    <t>Спрос</t>
  </si>
  <si>
    <t>Потребление домохозяйствами товаров (в реальном выражении)</t>
  </si>
  <si>
    <t>Расход д/х /индексы (реал.)</t>
  </si>
  <si>
    <t>гу /индексы (реал.)</t>
  </si>
  <si>
    <t>Спрос на деньги, Влияние процентных ставок на спрос на деньги</t>
  </si>
  <si>
    <t>Спрос на деньги равен предложению денег (определение денежной массы M4)</t>
  </si>
  <si>
    <t>Скорость обращения денег</t>
  </si>
  <si>
    <t>Влияние процентной ставки на спрос на деньги</t>
  </si>
  <si>
    <t>Прогноз процентной ставки (уравновешивающая переменная между спросом и предложением капитала)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</si>
</sst>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#,##0.000"/>
    <numFmt numFmtId="166" formatCode="#,##0.0"/>
    <numFmt numFmtId="167" formatCode="0.0"/>
    <numFmt numFmtId="168" formatCode="0.000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Calibri"/>
      <family val="2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ED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7030A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8" tint="-0.249977111117893"/>
      <name val="Calibri"/>
      <family val="2"/>
      <charset val="204"/>
      <scheme val="minor"/>
    </font>
    <font>
      <b/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7030A0"/>
      <name val="Times New Roman Tj"/>
      <family val="1"/>
      <charset val="204"/>
    </font>
    <font>
      <b/>
      <sz val="11"/>
      <name val="Calibri"/>
      <family val="2"/>
      <charset val="204"/>
      <scheme val="minor"/>
    </font>
    <font>
      <b/>
      <sz val="16"/>
      <color theme="1"/>
      <name val="Times New Roman Tj"/>
      <family val="1"/>
      <charset val="204"/>
    </font>
    <font>
      <sz val="14"/>
      <color theme="1"/>
      <name val="Times New Roman Tj"/>
      <family val="1"/>
      <charset val="204"/>
    </font>
    <font>
      <b/>
      <sz val="14"/>
      <color theme="1"/>
      <name val="Times New Roman Tj"/>
      <family val="1"/>
      <charset val="204"/>
    </font>
    <font>
      <b/>
      <sz val="12"/>
      <color theme="1"/>
      <name val="Times New Roman Tj"/>
      <family val="1"/>
      <charset val="204"/>
    </font>
    <font>
      <sz val="14"/>
      <color rgb="FF191919"/>
      <name val="Times New Roman Tj"/>
      <family val="1"/>
      <charset val="204"/>
    </font>
    <font>
      <sz val="12"/>
      <color rgb="FF191919"/>
      <name val="Times New Roman Tj"/>
      <family val="1"/>
      <charset val="204"/>
    </font>
    <font>
      <sz val="8"/>
      <color indexed="8"/>
      <name val="Times New Roman Tj"/>
      <family val="1"/>
      <charset val="204"/>
    </font>
    <font>
      <sz val="12"/>
      <color indexed="8"/>
      <name val="Times New Roman Tj"/>
      <family val="1"/>
      <charset val="204"/>
    </font>
    <font>
      <sz val="14"/>
      <color rgb="FFED0000"/>
      <name val="Times New Roman Tj"/>
      <family val="1"/>
      <charset val="204"/>
    </font>
    <font>
      <sz val="14"/>
      <color rgb="FFFF0000"/>
      <name val="Times New Roman Tj"/>
      <family val="1"/>
      <charset val="204"/>
    </font>
    <font>
      <sz val="14"/>
      <name val="Times New Roman Tj"/>
      <family val="1"/>
      <charset val="204"/>
    </font>
    <font>
      <sz val="12"/>
      <color theme="1"/>
      <name val="Times New Roman Tj"/>
      <family val="1"/>
      <charset val="204"/>
    </font>
    <font>
      <i/>
      <sz val="14"/>
      <color theme="1"/>
      <name val="Times New Roman Tj"/>
      <family val="1"/>
      <charset val="204"/>
    </font>
    <font>
      <sz val="14"/>
      <color theme="4"/>
      <name val="Times New Roman Tj"/>
      <family val="1"/>
      <charset val="204"/>
    </font>
    <font>
      <sz val="14"/>
      <color rgb="FF0070C0"/>
      <name val="Times New Roman Tj"/>
      <family val="1"/>
      <charset val="204"/>
    </font>
    <font>
      <sz val="11"/>
      <color theme="1"/>
      <name val="Calibri"/>
      <family val="2"/>
      <scheme val="minor"/>
    </font>
    <font>
      <b/>
      <sz val="15.5"/>
      <color theme="1"/>
      <name val="Times New Roman Tj"/>
      <family val="1"/>
      <charset val="204"/>
    </font>
    <font>
      <sz val="11"/>
      <color rgb="FFC00000"/>
      <name val="Calibri"/>
      <family val="2"/>
      <scheme val="minor"/>
    </font>
    <font>
      <b/>
      <sz val="11"/>
      <color rgb="FFD10000"/>
      <name val="Calibri"/>
      <family val="2"/>
      <scheme val="minor"/>
    </font>
    <font>
      <sz val="11"/>
      <color rgb="FFD10000"/>
      <name val="Calibri"/>
      <family val="2"/>
      <scheme val="minor"/>
    </font>
    <font>
      <b/>
      <sz val="11"/>
      <color rgb="FFD1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CE0000"/>
      <name val="Calibri"/>
      <family val="2"/>
      <scheme val="minor"/>
    </font>
    <font>
      <sz val="8"/>
      <name val="Academy"/>
    </font>
    <font>
      <b/>
      <sz val="9"/>
      <name val="Arial"/>
      <family val="2"/>
      <charset val="204"/>
    </font>
    <font>
      <sz val="11"/>
      <name val="Calibri"/>
      <family val="2"/>
      <scheme val="minor"/>
    </font>
    <font>
      <sz val="12"/>
      <color theme="1"/>
      <name val="Cambria"/>
      <family val="1"/>
      <charset val="204"/>
    </font>
    <font>
      <b/>
      <sz val="11"/>
      <color theme="1"/>
      <name val="Times New Roman Tj"/>
      <family val="1"/>
      <charset val="204"/>
    </font>
    <font>
      <b/>
      <sz val="14"/>
      <color rgb="FF065A18"/>
      <name val="Times New Roman Tj"/>
      <family val="1"/>
      <charset val="204"/>
    </font>
    <font>
      <b/>
      <sz val="11"/>
      <color rgb="FFFF0000"/>
      <name val="Calibri"/>
      <family val="2"/>
      <scheme val="minor"/>
    </font>
    <font>
      <b/>
      <sz val="10"/>
      <name val="Arial"/>
      <family val="2"/>
      <charset val="204"/>
    </font>
    <font>
      <sz val="11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rgb="FFB9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9FFBE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4FAFF"/>
        <bgColor indexed="64"/>
      </patternFill>
    </fill>
    <fill>
      <patternFill patternType="solid">
        <fgColor rgb="FFD9FFE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40" fillId="0" borderId="0"/>
    <xf numFmtId="0" fontId="49" fillId="0" borderId="0"/>
  </cellStyleXfs>
  <cellXfs count="490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0" xfId="0" applyFont="1"/>
    <xf numFmtId="3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3" fontId="0" fillId="0" borderId="7" xfId="0" applyNumberFormat="1" applyBorder="1"/>
    <xf numFmtId="0" fontId="2" fillId="0" borderId="8" xfId="0" quotePrefix="1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6" fillId="0" borderId="0" xfId="0" applyFont="1"/>
    <xf numFmtId="0" fontId="2" fillId="0" borderId="1" xfId="0" applyFont="1" applyBorder="1"/>
    <xf numFmtId="0" fontId="2" fillId="0" borderId="3" xfId="0" applyFont="1" applyBorder="1"/>
    <xf numFmtId="0" fontId="0" fillId="0" borderId="6" xfId="0" applyBorder="1"/>
    <xf numFmtId="3" fontId="0" fillId="0" borderId="8" xfId="0" applyNumberFormat="1" applyBorder="1"/>
    <xf numFmtId="0" fontId="2" fillId="0" borderId="6" xfId="0" applyFont="1" applyBorder="1"/>
    <xf numFmtId="165" fontId="0" fillId="0" borderId="0" xfId="0" applyNumberFormat="1"/>
    <xf numFmtId="165" fontId="0" fillId="0" borderId="7" xfId="0" applyNumberFormat="1" applyBorder="1"/>
    <xf numFmtId="0" fontId="0" fillId="2" borderId="0" xfId="0" applyFill="1"/>
    <xf numFmtId="0" fontId="0" fillId="0" borderId="5" xfId="0" applyBorder="1"/>
    <xf numFmtId="0" fontId="2" fillId="0" borderId="10" xfId="0" applyFont="1" applyBorder="1"/>
    <xf numFmtId="0" fontId="0" fillId="0" borderId="12" xfId="0" applyBorder="1"/>
    <xf numFmtId="0" fontId="0" fillId="0" borderId="7" xfId="0" applyBorder="1"/>
    <xf numFmtId="1" fontId="2" fillId="0" borderId="10" xfId="0" applyNumberFormat="1" applyFont="1" applyBorder="1"/>
    <xf numFmtId="0" fontId="0" fillId="3" borderId="0" xfId="0" applyFill="1"/>
    <xf numFmtId="3" fontId="0" fillId="3" borderId="0" xfId="0" applyNumberFormat="1" applyFill="1"/>
    <xf numFmtId="3" fontId="10" fillId="3" borderId="0" xfId="0" applyNumberFormat="1" applyFont="1" applyFill="1"/>
    <xf numFmtId="3" fontId="10" fillId="4" borderId="0" xfId="0" applyNumberFormat="1" applyFont="1" applyFill="1"/>
    <xf numFmtId="167" fontId="0" fillId="0" borderId="0" xfId="0" applyNumberFormat="1"/>
    <xf numFmtId="167" fontId="0" fillId="0" borderId="5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11" xfId="0" applyNumberFormat="1" applyBorder="1" applyAlignment="1">
      <alignment horizontal="right"/>
    </xf>
    <xf numFmtId="1" fontId="0" fillId="0" borderId="0" xfId="0" applyNumberFormat="1"/>
    <xf numFmtId="0" fontId="10" fillId="0" borderId="0" xfId="0" applyFont="1"/>
    <xf numFmtId="0" fontId="0" fillId="5" borderId="0" xfId="0" applyFill="1"/>
    <xf numFmtId="0" fontId="10" fillId="5" borderId="0" xfId="0" applyFont="1" applyFill="1"/>
    <xf numFmtId="3" fontId="10" fillId="0" borderId="9" xfId="0" applyNumberFormat="1" applyFont="1" applyBorder="1"/>
    <xf numFmtId="167" fontId="0" fillId="0" borderId="11" xfId="0" applyNumberFormat="1" applyBorder="1"/>
    <xf numFmtId="3" fontId="0" fillId="6" borderId="0" xfId="0" applyNumberFormat="1" applyFill="1"/>
    <xf numFmtId="3" fontId="10" fillId="6" borderId="0" xfId="0" applyNumberFormat="1" applyFont="1" applyFill="1"/>
    <xf numFmtId="0" fontId="0" fillId="6" borderId="0" xfId="0" applyFill="1"/>
    <xf numFmtId="0" fontId="2" fillId="6" borderId="0" xfId="0" applyFont="1" applyFill="1"/>
    <xf numFmtId="164" fontId="0" fillId="6" borderId="0" xfId="0" applyNumberFormat="1" applyFill="1"/>
    <xf numFmtId="3" fontId="10" fillId="3" borderId="7" xfId="0" applyNumberFormat="1" applyFont="1" applyFill="1" applyBorder="1"/>
    <xf numFmtId="3" fontId="10" fillId="3" borderId="8" xfId="0" applyNumberFormat="1" applyFont="1" applyFill="1" applyBorder="1"/>
    <xf numFmtId="0" fontId="10" fillId="0" borderId="13" xfId="0" applyFont="1" applyBorder="1"/>
    <xf numFmtId="166" fontId="10" fillId="3" borderId="14" xfId="0" applyNumberFormat="1" applyFont="1" applyFill="1" applyBorder="1"/>
    <xf numFmtId="167" fontId="10" fillId="0" borderId="11" xfId="0" applyNumberFormat="1" applyFont="1" applyBorder="1"/>
    <xf numFmtId="166" fontId="10" fillId="3" borderId="12" xfId="0" applyNumberFormat="1" applyFont="1" applyFill="1" applyBorder="1"/>
    <xf numFmtId="166" fontId="10" fillId="3" borderId="8" xfId="0" applyNumberFormat="1" applyFont="1" applyFill="1" applyBorder="1"/>
    <xf numFmtId="17" fontId="0" fillId="0" borderId="0" xfId="0" applyNumberFormat="1"/>
    <xf numFmtId="165" fontId="0" fillId="0" borderId="12" xfId="0" applyNumberFormat="1" applyBorder="1"/>
    <xf numFmtId="3" fontId="10" fillId="0" borderId="7" xfId="0" applyNumberFormat="1" applyFont="1" applyBorder="1"/>
    <xf numFmtId="3" fontId="10" fillId="0" borderId="8" xfId="0" applyNumberFormat="1" applyFont="1" applyBorder="1"/>
    <xf numFmtId="1" fontId="10" fillId="0" borderId="12" xfId="0" applyNumberFormat="1" applyFont="1" applyBorder="1"/>
    <xf numFmtId="0" fontId="10" fillId="7" borderId="0" xfId="0" applyFont="1" applyFill="1"/>
    <xf numFmtId="167" fontId="10" fillId="7" borderId="0" xfId="0" applyNumberFormat="1" applyFont="1" applyFill="1"/>
    <xf numFmtId="166" fontId="10" fillId="3" borderId="7" xfId="0" applyNumberFormat="1" applyFont="1" applyFill="1" applyBorder="1"/>
    <xf numFmtId="166" fontId="10" fillId="3" borderId="0" xfId="0" applyNumberFormat="1" applyFont="1" applyFill="1"/>
    <xf numFmtId="3" fontId="10" fillId="0" borderId="0" xfId="0" applyNumberFormat="1" applyFont="1"/>
    <xf numFmtId="166" fontId="10" fillId="3" borderId="13" xfId="0" applyNumberFormat="1" applyFont="1" applyFill="1" applyBorder="1"/>
    <xf numFmtId="167" fontId="0" fillId="8" borderId="0" xfId="0" applyNumberFormat="1" applyFill="1"/>
    <xf numFmtId="0" fontId="10" fillId="9" borderId="0" xfId="0" applyFont="1" applyFill="1"/>
    <xf numFmtId="165" fontId="10" fillId="9" borderId="0" xfId="0" applyNumberFormat="1" applyFont="1" applyFill="1"/>
    <xf numFmtId="167" fontId="11" fillId="0" borderId="0" xfId="0" applyNumberFormat="1" applyFont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3" fontId="12" fillId="0" borderId="0" xfId="0" applyNumberFormat="1" applyFont="1"/>
    <xf numFmtId="3" fontId="12" fillId="0" borderId="5" xfId="0" applyNumberFormat="1" applyFont="1" applyBorder="1"/>
    <xf numFmtId="1" fontId="12" fillId="0" borderId="11" xfId="0" applyNumberFormat="1" applyFont="1" applyBorder="1"/>
    <xf numFmtId="3" fontId="12" fillId="0" borderId="7" xfId="0" applyNumberFormat="1" applyFont="1" applyBorder="1"/>
    <xf numFmtId="3" fontId="12" fillId="0" borderId="8" xfId="0" applyNumberFormat="1" applyFont="1" applyBorder="1"/>
    <xf numFmtId="1" fontId="12" fillId="0" borderId="12" xfId="0" applyNumberFormat="1" applyFont="1" applyBorder="1"/>
    <xf numFmtId="3" fontId="14" fillId="0" borderId="7" xfId="0" applyNumberFormat="1" applyFont="1" applyBorder="1"/>
    <xf numFmtId="3" fontId="14" fillId="0" borderId="8" xfId="0" applyNumberFormat="1" applyFont="1" applyBorder="1"/>
    <xf numFmtId="3" fontId="14" fillId="0" borderId="9" xfId="0" applyNumberFormat="1" applyFont="1" applyBorder="1"/>
    <xf numFmtId="3" fontId="0" fillId="10" borderId="0" xfId="0" applyNumberFormat="1" applyFill="1"/>
    <xf numFmtId="2" fontId="0" fillId="10" borderId="0" xfId="0" applyNumberFormat="1" applyFill="1"/>
    <xf numFmtId="3" fontId="15" fillId="0" borderId="0" xfId="0" applyNumberFormat="1" applyFont="1"/>
    <xf numFmtId="3" fontId="15" fillId="0" borderId="7" xfId="0" applyNumberFormat="1" applyFont="1" applyBorder="1"/>
    <xf numFmtId="3" fontId="16" fillId="0" borderId="7" xfId="0" applyNumberFormat="1" applyFont="1" applyBorder="1"/>
    <xf numFmtId="3" fontId="16" fillId="0" borderId="8" xfId="0" applyNumberFormat="1" applyFont="1" applyBorder="1"/>
    <xf numFmtId="3" fontId="16" fillId="0" borderId="9" xfId="0" applyNumberFormat="1" applyFont="1" applyBorder="1"/>
    <xf numFmtId="0" fontId="10" fillId="8" borderId="0" xfId="0" applyFont="1" applyFill="1"/>
    <xf numFmtId="3" fontId="17" fillId="0" borderId="0" xfId="0" applyNumberFormat="1" applyFont="1"/>
    <xf numFmtId="3" fontId="10" fillId="11" borderId="0" xfId="0" applyNumberFormat="1" applyFont="1" applyFill="1"/>
    <xf numFmtId="2" fontId="10" fillId="10" borderId="0" xfId="0" applyNumberFormat="1" applyFont="1" applyFill="1"/>
    <xf numFmtId="3" fontId="0" fillId="0" borderId="2" xfId="0" applyNumberFormat="1" applyBorder="1"/>
    <xf numFmtId="3" fontId="0" fillId="0" borderId="3" xfId="0" applyNumberFormat="1" applyBorder="1"/>
    <xf numFmtId="0" fontId="3" fillId="0" borderId="6" xfId="0" applyFont="1" applyBorder="1"/>
    <xf numFmtId="3" fontId="18" fillId="11" borderId="7" xfId="0" applyNumberFormat="1" applyFont="1" applyFill="1" applyBorder="1"/>
    <xf numFmtId="3" fontId="18" fillId="11" borderId="8" xfId="0" applyNumberFormat="1" applyFont="1" applyFill="1" applyBorder="1"/>
    <xf numFmtId="0" fontId="18" fillId="0" borderId="13" xfId="0" applyFont="1" applyBorder="1"/>
    <xf numFmtId="3" fontId="18" fillId="3" borderId="14" xfId="0" applyNumberFormat="1" applyFont="1" applyFill="1" applyBorder="1"/>
    <xf numFmtId="3" fontId="18" fillId="3" borderId="15" xfId="0" applyNumberFormat="1" applyFont="1" applyFill="1" applyBorder="1"/>
    <xf numFmtId="167" fontId="19" fillId="7" borderId="0" xfId="0" applyNumberFormat="1" applyFont="1" applyFill="1"/>
    <xf numFmtId="0" fontId="0" fillId="2" borderId="6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/>
    <xf numFmtId="0" fontId="10" fillId="0" borderId="5" xfId="0" applyFont="1" applyBorder="1"/>
    <xf numFmtId="0" fontId="19" fillId="0" borderId="7" xfId="0" applyFont="1" applyBorder="1"/>
    <xf numFmtId="0" fontId="19" fillId="0" borderId="8" xfId="0" applyFont="1" applyBorder="1"/>
    <xf numFmtId="3" fontId="20" fillId="0" borderId="7" xfId="0" applyNumberFormat="1" applyFont="1" applyBorder="1"/>
    <xf numFmtId="3" fontId="20" fillId="0" borderId="8" xfId="0" applyNumberFormat="1" applyFont="1" applyBorder="1"/>
    <xf numFmtId="3" fontId="20" fillId="0" borderId="9" xfId="0" applyNumberFormat="1" applyFont="1" applyBorder="1"/>
    <xf numFmtId="0" fontId="20" fillId="0" borderId="9" xfId="0" applyFont="1" applyBorder="1"/>
    <xf numFmtId="0" fontId="10" fillId="0" borderId="2" xfId="0" applyFont="1" applyBorder="1"/>
    <xf numFmtId="0" fontId="10" fillId="0" borderId="7" xfId="0" applyFont="1" applyBorder="1"/>
    <xf numFmtId="0" fontId="10" fillId="0" borderId="8" xfId="0" applyFont="1" applyBorder="1"/>
    <xf numFmtId="3" fontId="0" fillId="4" borderId="0" xfId="0" applyNumberFormat="1" applyFill="1"/>
    <xf numFmtId="0" fontId="21" fillId="0" borderId="0" xfId="0" applyFont="1"/>
    <xf numFmtId="167" fontId="23" fillId="12" borderId="9" xfId="0" applyNumberFormat="1" applyFont="1" applyFill="1" applyBorder="1" applyAlignment="1">
      <alignment horizontal="right"/>
    </xf>
    <xf numFmtId="167" fontId="19" fillId="0" borderId="5" xfId="0" applyNumberFormat="1" applyFont="1" applyBorder="1"/>
    <xf numFmtId="3" fontId="13" fillId="0" borderId="0" xfId="0" applyNumberFormat="1" applyFont="1"/>
    <xf numFmtId="0" fontId="13" fillId="0" borderId="0" xfId="0" applyFont="1"/>
    <xf numFmtId="3" fontId="10" fillId="0" borderId="4" xfId="0" applyNumberFormat="1" applyFont="1" applyBorder="1"/>
    <xf numFmtId="3" fontId="10" fillId="0" borderId="5" xfId="0" applyNumberFormat="1" applyFont="1" applyBorder="1"/>
    <xf numFmtId="0" fontId="2" fillId="0" borderId="4" xfId="0" applyFont="1" applyBorder="1"/>
    <xf numFmtId="166" fontId="0" fillId="0" borderId="0" xfId="0" applyNumberFormat="1"/>
    <xf numFmtId="167" fontId="24" fillId="0" borderId="0" xfId="0" applyNumberFormat="1" applyFont="1"/>
    <xf numFmtId="2" fontId="10" fillId="3" borderId="0" xfId="0" applyNumberFormat="1" applyFont="1" applyFill="1"/>
    <xf numFmtId="166" fontId="10" fillId="0" borderId="0" xfId="0" applyNumberFormat="1" applyFont="1"/>
    <xf numFmtId="167" fontId="22" fillId="0" borderId="0" xfId="0" applyNumberFormat="1" applyFont="1"/>
    <xf numFmtId="0" fontId="0" fillId="8" borderId="0" xfId="0" applyFill="1"/>
    <xf numFmtId="167" fontId="23" fillId="3" borderId="9" xfId="0" applyNumberFormat="1" applyFont="1" applyFill="1" applyBorder="1" applyAlignment="1">
      <alignment horizontal="right"/>
    </xf>
    <xf numFmtId="167" fontId="10" fillId="0" borderId="0" xfId="0" applyNumberFormat="1" applyFont="1"/>
    <xf numFmtId="0" fontId="10" fillId="3" borderId="11" xfId="0" applyFont="1" applyFill="1" applyBorder="1"/>
    <xf numFmtId="167" fontId="10" fillId="3" borderId="0" xfId="0" applyNumberFormat="1" applyFont="1" applyFill="1"/>
    <xf numFmtId="167" fontId="10" fillId="0" borderId="5" xfId="0" applyNumberFormat="1" applyFont="1" applyBorder="1"/>
    <xf numFmtId="0" fontId="25" fillId="0" borderId="0" xfId="1" applyFont="1" applyAlignment="1">
      <alignment horizontal="center" vertical="center" wrapText="1"/>
    </xf>
    <xf numFmtId="0" fontId="26" fillId="0" borderId="0" xfId="1" applyFont="1"/>
    <xf numFmtId="0" fontId="28" fillId="13" borderId="9" xfId="1" applyFont="1" applyFill="1" applyBorder="1" applyAlignment="1">
      <alignment horizontal="center" vertical="center" wrapText="1"/>
    </xf>
    <xf numFmtId="0" fontId="29" fillId="13" borderId="9" xfId="1" applyFont="1" applyFill="1" applyBorder="1" applyAlignment="1">
      <alignment horizontal="center" vertical="center" wrapText="1"/>
    </xf>
    <xf numFmtId="0" fontId="30" fillId="13" borderId="9" xfId="1" applyFont="1" applyFill="1" applyBorder="1" applyAlignment="1">
      <alignment horizontal="center" vertical="center" wrapText="1"/>
    </xf>
    <xf numFmtId="167" fontId="29" fillId="13" borderId="9" xfId="1" applyNumberFormat="1" applyFont="1" applyFill="1" applyBorder="1" applyAlignment="1">
      <alignment horizontal="center" vertical="center" wrapText="1"/>
    </xf>
    <xf numFmtId="1" fontId="33" fillId="13" borderId="9" xfId="1" applyNumberFormat="1" applyFont="1" applyFill="1" applyBorder="1" applyAlignment="1">
      <alignment horizontal="center" vertical="center" wrapText="1"/>
    </xf>
    <xf numFmtId="0" fontId="34" fillId="0" borderId="0" xfId="1" applyFont="1"/>
    <xf numFmtId="167" fontId="35" fillId="13" borderId="9" xfId="1" applyNumberFormat="1" applyFont="1" applyFill="1" applyBorder="1" applyAlignment="1">
      <alignment horizontal="center" vertical="center" wrapText="1"/>
    </xf>
    <xf numFmtId="0" fontId="29" fillId="13" borderId="9" xfId="1" applyFont="1" applyFill="1" applyBorder="1" applyAlignment="1">
      <alignment horizontal="center" vertical="center"/>
    </xf>
    <xf numFmtId="167" fontId="33" fillId="13" borderId="9" xfId="1" applyNumberFormat="1" applyFont="1" applyFill="1" applyBorder="1" applyAlignment="1">
      <alignment horizontal="center" vertical="center" wrapText="1"/>
    </xf>
    <xf numFmtId="0" fontId="26" fillId="13" borderId="9" xfId="1" applyFont="1" applyFill="1" applyBorder="1" applyAlignment="1">
      <alignment horizontal="center" vertical="center" wrapText="1"/>
    </xf>
    <xf numFmtId="0" fontId="36" fillId="13" borderId="9" xfId="1" applyFont="1" applyFill="1" applyBorder="1" applyAlignment="1">
      <alignment horizontal="center" vertical="center" wrapText="1"/>
    </xf>
    <xf numFmtId="167" fontId="35" fillId="13" borderId="9" xfId="0" applyNumberFormat="1" applyFont="1" applyFill="1" applyBorder="1" applyAlignment="1">
      <alignment horizontal="center" vertical="center"/>
    </xf>
    <xf numFmtId="1" fontId="35" fillId="0" borderId="9" xfId="1" applyNumberFormat="1" applyFont="1" applyBorder="1" applyAlignment="1">
      <alignment horizontal="center" vertical="center"/>
    </xf>
    <xf numFmtId="167" fontId="35" fillId="0" borderId="9" xfId="1" applyNumberFormat="1" applyFont="1" applyBorder="1" applyAlignment="1">
      <alignment horizontal="center" vertical="center"/>
    </xf>
    <xf numFmtId="167" fontId="35" fillId="13" borderId="9" xfId="1" applyNumberFormat="1" applyFont="1" applyFill="1" applyBorder="1" applyAlignment="1">
      <alignment horizontal="center" vertical="center"/>
    </xf>
    <xf numFmtId="1" fontId="26" fillId="0" borderId="9" xfId="1" applyNumberFormat="1" applyFont="1" applyBorder="1" applyAlignment="1">
      <alignment horizontal="center" vertical="center"/>
    </xf>
    <xf numFmtId="167" fontId="26" fillId="13" borderId="9" xfId="1" applyNumberFormat="1" applyFont="1" applyFill="1" applyBorder="1" applyAlignment="1">
      <alignment horizontal="center" vertical="center"/>
    </xf>
    <xf numFmtId="167" fontId="26" fillId="13" borderId="9" xfId="0" applyNumberFormat="1" applyFont="1" applyFill="1" applyBorder="1" applyAlignment="1">
      <alignment horizontal="center" vertical="center"/>
    </xf>
    <xf numFmtId="167" fontId="26" fillId="0" borderId="9" xfId="1" applyNumberFormat="1" applyFont="1" applyBorder="1" applyAlignment="1">
      <alignment horizontal="center" vertical="center"/>
    </xf>
    <xf numFmtId="0" fontId="37" fillId="13" borderId="9" xfId="1" applyFont="1" applyFill="1" applyBorder="1" applyAlignment="1">
      <alignment horizontal="center" vertical="center" wrapText="1"/>
    </xf>
    <xf numFmtId="0" fontId="26" fillId="13" borderId="0" xfId="1" applyFont="1" applyFill="1"/>
    <xf numFmtId="0" fontId="36" fillId="0" borderId="0" xfId="1" applyFont="1" applyAlignment="1">
      <alignment horizontal="left" vertical="center" wrapText="1"/>
    </xf>
    <xf numFmtId="1" fontId="26" fillId="0" borderId="0" xfId="1" applyNumberFormat="1" applyFont="1"/>
    <xf numFmtId="1" fontId="26" fillId="6" borderId="0" xfId="1" applyNumberFormat="1" applyFont="1" applyFill="1"/>
    <xf numFmtId="167" fontId="38" fillId="13" borderId="9" xfId="1" applyNumberFormat="1" applyFont="1" applyFill="1" applyBorder="1" applyAlignment="1">
      <alignment horizontal="center" vertical="center" wrapText="1"/>
    </xf>
    <xf numFmtId="167" fontId="38" fillId="0" borderId="9" xfId="1" applyNumberFormat="1" applyFont="1" applyBorder="1" applyAlignment="1">
      <alignment horizontal="center" vertical="center"/>
    </xf>
    <xf numFmtId="1" fontId="38" fillId="0" borderId="9" xfId="1" applyNumberFormat="1" applyFont="1" applyBorder="1" applyAlignment="1">
      <alignment horizontal="center" vertical="center"/>
    </xf>
    <xf numFmtId="167" fontId="38" fillId="13" borderId="9" xfId="1" applyNumberFormat="1" applyFont="1" applyFill="1" applyBorder="1" applyAlignment="1">
      <alignment horizontal="center" vertical="center"/>
    </xf>
    <xf numFmtId="1" fontId="38" fillId="13" borderId="9" xfId="1" applyNumberFormat="1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35" fillId="3" borderId="9" xfId="1" applyNumberFormat="1" applyFont="1" applyFill="1" applyBorder="1" applyAlignment="1">
      <alignment horizontal="center" vertical="center"/>
    </xf>
    <xf numFmtId="167" fontId="39" fillId="0" borderId="9" xfId="1" applyNumberFormat="1" applyFont="1" applyBorder="1" applyAlignment="1">
      <alignment horizontal="center" vertical="center"/>
    </xf>
    <xf numFmtId="0" fontId="40" fillId="0" borderId="0" xfId="2"/>
    <xf numFmtId="0" fontId="26" fillId="0" borderId="9" xfId="2" applyFont="1" applyBorder="1" applyAlignment="1">
      <alignment horizontal="center" vertical="center" wrapText="1"/>
    </xf>
    <xf numFmtId="0" fontId="26" fillId="11" borderId="9" xfId="2" applyFont="1" applyFill="1" applyBorder="1" applyAlignment="1">
      <alignment horizontal="center" vertical="center" wrapText="1"/>
    </xf>
    <xf numFmtId="0" fontId="26" fillId="11" borderId="22" xfId="2" applyFont="1" applyFill="1" applyBorder="1" applyAlignment="1">
      <alignment horizontal="center" vertical="center" wrapText="1"/>
    </xf>
    <xf numFmtId="0" fontId="26" fillId="14" borderId="21" xfId="2" applyFont="1" applyFill="1" applyBorder="1" applyAlignment="1">
      <alignment horizontal="left" vertical="center" wrapText="1"/>
    </xf>
    <xf numFmtId="167" fontId="29" fillId="14" borderId="9" xfId="2" applyNumberFormat="1" applyFont="1" applyFill="1" applyBorder="1" applyAlignment="1">
      <alignment horizontal="center" vertical="center" wrapText="1"/>
    </xf>
    <xf numFmtId="167" fontId="29" fillId="13" borderId="9" xfId="2" applyNumberFormat="1" applyFont="1" applyFill="1" applyBorder="1" applyAlignment="1">
      <alignment horizontal="center" vertical="center" wrapText="1"/>
    </xf>
    <xf numFmtId="167" fontId="29" fillId="14" borderId="22" xfId="2" applyNumberFormat="1" applyFont="1" applyFill="1" applyBorder="1" applyAlignment="1">
      <alignment horizontal="center" vertical="center" wrapText="1"/>
    </xf>
    <xf numFmtId="0" fontId="26" fillId="12" borderId="21" xfId="2" applyFont="1" applyFill="1" applyBorder="1" applyAlignment="1">
      <alignment vertical="center" wrapText="1"/>
    </xf>
    <xf numFmtId="167" fontId="29" fillId="12" borderId="9" xfId="2" applyNumberFormat="1" applyFont="1" applyFill="1" applyBorder="1" applyAlignment="1">
      <alignment horizontal="center" vertical="center" wrapText="1"/>
    </xf>
    <xf numFmtId="167" fontId="29" fillId="12" borderId="22" xfId="2" applyNumberFormat="1" applyFont="1" applyFill="1" applyBorder="1" applyAlignment="1">
      <alignment horizontal="center" vertical="center" wrapText="1"/>
    </xf>
    <xf numFmtId="0" fontId="26" fillId="15" borderId="21" xfId="2" applyFont="1" applyFill="1" applyBorder="1" applyAlignment="1">
      <alignment vertical="center" wrapText="1"/>
    </xf>
    <xf numFmtId="167" fontId="29" fillId="15" borderId="9" xfId="2" applyNumberFormat="1" applyFont="1" applyFill="1" applyBorder="1" applyAlignment="1">
      <alignment horizontal="center" vertical="center" wrapText="1"/>
    </xf>
    <xf numFmtId="167" fontId="29" fillId="15" borderId="22" xfId="2" applyNumberFormat="1" applyFont="1" applyFill="1" applyBorder="1" applyAlignment="1">
      <alignment horizontal="center" vertical="center" wrapText="1"/>
    </xf>
    <xf numFmtId="0" fontId="26" fillId="0" borderId="21" xfId="2" applyFont="1" applyBorder="1" applyAlignment="1">
      <alignment vertical="center" wrapText="1"/>
    </xf>
    <xf numFmtId="167" fontId="29" fillId="13" borderId="22" xfId="2" applyNumberFormat="1" applyFont="1" applyFill="1" applyBorder="1" applyAlignment="1">
      <alignment horizontal="center" vertical="center" wrapText="1"/>
    </xf>
    <xf numFmtId="167" fontId="29" fillId="9" borderId="9" xfId="2" applyNumberFormat="1" applyFont="1" applyFill="1" applyBorder="1" applyAlignment="1">
      <alignment horizontal="center" vertical="center" wrapText="1"/>
    </xf>
    <xf numFmtId="167" fontId="29" fillId="9" borderId="22" xfId="2" applyNumberFormat="1" applyFont="1" applyFill="1" applyBorder="1" applyAlignment="1">
      <alignment horizontal="center" vertical="center" wrapText="1"/>
    </xf>
    <xf numFmtId="0" fontId="26" fillId="16" borderId="21" xfId="2" applyFont="1" applyFill="1" applyBorder="1" applyAlignment="1">
      <alignment vertical="center" wrapText="1"/>
    </xf>
    <xf numFmtId="167" fontId="29" fillId="16" borderId="9" xfId="2" applyNumberFormat="1" applyFont="1" applyFill="1" applyBorder="1" applyAlignment="1">
      <alignment horizontal="center" vertical="center" wrapText="1"/>
    </xf>
    <xf numFmtId="1" fontId="29" fillId="13" borderId="9" xfId="2" applyNumberFormat="1" applyFont="1" applyFill="1" applyBorder="1" applyAlignment="1">
      <alignment horizontal="center" vertical="center" wrapText="1"/>
    </xf>
    <xf numFmtId="0" fontId="26" fillId="17" borderId="21" xfId="2" applyFont="1" applyFill="1" applyBorder="1" applyAlignment="1">
      <alignment vertical="center" wrapText="1"/>
    </xf>
    <xf numFmtId="167" fontId="29" fillId="17" borderId="9" xfId="2" applyNumberFormat="1" applyFont="1" applyFill="1" applyBorder="1" applyAlignment="1">
      <alignment horizontal="center" vertical="center" wrapText="1"/>
    </xf>
    <xf numFmtId="0" fontId="26" fillId="18" borderId="21" xfId="2" applyFont="1" applyFill="1" applyBorder="1" applyAlignment="1">
      <alignment vertical="center" wrapText="1"/>
    </xf>
    <xf numFmtId="167" fontId="29" fillId="18" borderId="9" xfId="2" applyNumberFormat="1" applyFont="1" applyFill="1" applyBorder="1" applyAlignment="1">
      <alignment horizontal="center" vertical="center" wrapText="1"/>
    </xf>
    <xf numFmtId="167" fontId="29" fillId="18" borderId="22" xfId="2" applyNumberFormat="1" applyFont="1" applyFill="1" applyBorder="1" applyAlignment="1">
      <alignment horizontal="center" vertical="center" wrapText="1"/>
    </xf>
    <xf numFmtId="0" fontId="26" fillId="0" borderId="23" xfId="2" applyFont="1" applyBorder="1" applyAlignment="1">
      <alignment vertical="center" wrapText="1"/>
    </xf>
    <xf numFmtId="168" fontId="26" fillId="0" borderId="24" xfId="2" applyNumberFormat="1" applyFont="1" applyBorder="1" applyAlignment="1">
      <alignment horizontal="center" vertical="center" wrapText="1"/>
    </xf>
    <xf numFmtId="168" fontId="26" fillId="0" borderId="0" xfId="1" applyNumberFormat="1" applyFont="1"/>
    <xf numFmtId="1" fontId="26" fillId="0" borderId="9" xfId="2" applyNumberFormat="1" applyFont="1" applyBorder="1" applyAlignment="1">
      <alignment horizontal="center" vertical="center" wrapText="1"/>
    </xf>
    <xf numFmtId="167" fontId="26" fillId="0" borderId="9" xfId="2" applyNumberFormat="1" applyFont="1" applyBorder="1" applyAlignment="1">
      <alignment horizontal="center" vertical="center" wrapText="1"/>
    </xf>
    <xf numFmtId="1" fontId="35" fillId="13" borderId="9" xfId="1" applyNumberFormat="1" applyFont="1" applyFill="1" applyBorder="1" applyAlignment="1">
      <alignment horizontal="center" vertical="center" wrapText="1"/>
    </xf>
    <xf numFmtId="167" fontId="0" fillId="0" borderId="4" xfId="0" applyNumberFormat="1" applyBorder="1"/>
    <xf numFmtId="167" fontId="10" fillId="0" borderId="4" xfId="0" applyNumberFormat="1" applyFont="1" applyBorder="1"/>
    <xf numFmtId="0" fontId="20" fillId="8" borderId="9" xfId="0" applyFont="1" applyFill="1" applyBorder="1"/>
    <xf numFmtId="0" fontId="0" fillId="0" borderId="9" xfId="0" applyBorder="1"/>
    <xf numFmtId="166" fontId="20" fillId="8" borderId="9" xfId="0" applyNumberFormat="1" applyFont="1" applyFill="1" applyBorder="1"/>
    <xf numFmtId="167" fontId="26" fillId="20" borderId="9" xfId="1" applyNumberFormat="1" applyFont="1" applyFill="1" applyBorder="1" applyAlignment="1">
      <alignment horizontal="center" vertical="center"/>
    </xf>
    <xf numFmtId="167" fontId="35" fillId="20" borderId="9" xfId="1" applyNumberFormat="1" applyFont="1" applyFill="1" applyBorder="1" applyAlignment="1">
      <alignment horizontal="center" vertical="center"/>
    </xf>
    <xf numFmtId="167" fontId="0" fillId="3" borderId="8" xfId="0" applyNumberFormat="1" applyFill="1" applyBorder="1"/>
    <xf numFmtId="166" fontId="10" fillId="0" borderId="5" xfId="0" applyNumberFormat="1" applyFont="1" applyBorder="1"/>
    <xf numFmtId="0" fontId="10" fillId="3" borderId="0" xfId="0" applyFont="1" applyFill="1"/>
    <xf numFmtId="3" fontId="0" fillId="2" borderId="0" xfId="0" applyNumberFormat="1" applyFill="1"/>
    <xf numFmtId="3" fontId="12" fillId="21" borderId="0" xfId="0" applyNumberFormat="1" applyFont="1" applyFill="1"/>
    <xf numFmtId="3" fontId="10" fillId="21" borderId="0" xfId="0" applyNumberFormat="1" applyFont="1" applyFill="1"/>
    <xf numFmtId="167" fontId="0" fillId="21" borderId="0" xfId="0" applyNumberFormat="1" applyFill="1"/>
    <xf numFmtId="3" fontId="0" fillId="22" borderId="0" xfId="0" applyNumberFormat="1" applyFill="1"/>
    <xf numFmtId="3" fontId="0" fillId="23" borderId="0" xfId="0" applyNumberFormat="1" applyFill="1"/>
    <xf numFmtId="3" fontId="10" fillId="23" borderId="0" xfId="0" applyNumberFormat="1" applyFont="1" applyFill="1"/>
    <xf numFmtId="0" fontId="22" fillId="0" borderId="0" xfId="0" applyFont="1"/>
    <xf numFmtId="166" fontId="10" fillId="2" borderId="0" xfId="0" applyNumberFormat="1" applyFont="1" applyFill="1"/>
    <xf numFmtId="167" fontId="23" fillId="0" borderId="0" xfId="0" applyNumberFormat="1" applyFont="1" applyAlignment="1">
      <alignment horizontal="right"/>
    </xf>
    <xf numFmtId="3" fontId="10" fillId="24" borderId="0" xfId="0" applyNumberFormat="1" applyFont="1" applyFill="1"/>
    <xf numFmtId="0" fontId="10" fillId="24" borderId="0" xfId="0" applyFont="1" applyFill="1"/>
    <xf numFmtId="0" fontId="10" fillId="2" borderId="0" xfId="0" applyFont="1" applyFill="1"/>
    <xf numFmtId="3" fontId="19" fillId="0" borderId="0" xfId="0" applyNumberFormat="1" applyFont="1"/>
    <xf numFmtId="3" fontId="19" fillId="0" borderId="5" xfId="0" applyNumberFormat="1" applyFont="1" applyBorder="1"/>
    <xf numFmtId="1" fontId="19" fillId="0" borderId="11" xfId="0" applyNumberFormat="1" applyFont="1" applyBorder="1"/>
    <xf numFmtId="0" fontId="10" fillId="2" borderId="4" xfId="0" applyFont="1" applyFill="1" applyBorder="1"/>
    <xf numFmtId="3" fontId="19" fillId="2" borderId="0" xfId="0" applyNumberFormat="1" applyFont="1" applyFill="1"/>
    <xf numFmtId="167" fontId="0" fillId="2" borderId="0" xfId="0" applyNumberFormat="1" applyFill="1"/>
    <xf numFmtId="0" fontId="43" fillId="25" borderId="0" xfId="0" applyFont="1" applyFill="1"/>
    <xf numFmtId="0" fontId="44" fillId="25" borderId="0" xfId="0" applyFont="1" applyFill="1"/>
    <xf numFmtId="3" fontId="45" fillId="0" borderId="0" xfId="0" applyNumberFormat="1" applyFont="1"/>
    <xf numFmtId="1" fontId="29" fillId="12" borderId="9" xfId="2" applyNumberFormat="1" applyFont="1" applyFill="1" applyBorder="1" applyAlignment="1">
      <alignment horizontal="center" vertical="center" wrapText="1"/>
    </xf>
    <xf numFmtId="167" fontId="26" fillId="0" borderId="0" xfId="1" applyNumberFormat="1" applyFont="1"/>
    <xf numFmtId="167" fontId="39" fillId="26" borderId="9" xfId="1" applyNumberFormat="1" applyFont="1" applyFill="1" applyBorder="1" applyAlignment="1">
      <alignment horizontal="center" vertical="center"/>
    </xf>
    <xf numFmtId="0" fontId="0" fillId="0" borderId="10" xfId="0" applyBorder="1"/>
    <xf numFmtId="0" fontId="10" fillId="0" borderId="9" xfId="0" applyFont="1" applyBorder="1"/>
    <xf numFmtId="0" fontId="10" fillId="0" borderId="6" xfId="0" applyFont="1" applyBorder="1"/>
    <xf numFmtId="0" fontId="10" fillId="19" borderId="0" xfId="0" applyFont="1" applyFill="1"/>
    <xf numFmtId="0" fontId="0" fillId="0" borderId="0" xfId="2" applyFont="1"/>
    <xf numFmtId="0" fontId="26" fillId="3" borderId="9" xfId="2" applyFont="1" applyFill="1" applyBorder="1" applyAlignment="1">
      <alignment vertical="center" wrapText="1"/>
    </xf>
    <xf numFmtId="168" fontId="26" fillId="3" borderId="9" xfId="2" applyNumberFormat="1" applyFont="1" applyFill="1" applyBorder="1" applyAlignment="1">
      <alignment horizontal="center" vertical="center" wrapText="1"/>
    </xf>
    <xf numFmtId="167" fontId="26" fillId="3" borderId="9" xfId="1" applyNumberFormat="1" applyFont="1" applyFill="1" applyBorder="1" applyAlignment="1">
      <alignment horizontal="center" vertical="center"/>
    </xf>
    <xf numFmtId="0" fontId="0" fillId="27" borderId="0" xfId="0" applyFill="1"/>
    <xf numFmtId="0" fontId="46" fillId="0" borderId="0" xfId="0" applyFont="1"/>
    <xf numFmtId="3" fontId="0" fillId="0" borderId="9" xfId="0" applyNumberFormat="1" applyBorder="1"/>
    <xf numFmtId="3" fontId="47" fillId="0" borderId="9" xfId="0" applyNumberFormat="1" applyFont="1" applyBorder="1"/>
    <xf numFmtId="0" fontId="46" fillId="0" borderId="9" xfId="0" applyFont="1" applyBorder="1"/>
    <xf numFmtId="167" fontId="35" fillId="0" borderId="9" xfId="1" applyNumberFormat="1" applyFont="1" applyBorder="1" applyAlignment="1">
      <alignment horizontal="center" vertical="center" wrapText="1"/>
    </xf>
    <xf numFmtId="3" fontId="12" fillId="28" borderId="0" xfId="0" applyNumberFormat="1" applyFont="1" applyFill="1"/>
    <xf numFmtId="1" fontId="23" fillId="28" borderId="9" xfId="0" applyNumberFormat="1" applyFont="1" applyFill="1" applyBorder="1" applyAlignment="1">
      <alignment horizontal="right"/>
    </xf>
    <xf numFmtId="167" fontId="23" fillId="28" borderId="9" xfId="0" applyNumberFormat="1" applyFont="1" applyFill="1" applyBorder="1" applyAlignment="1">
      <alignment horizontal="right"/>
    </xf>
    <xf numFmtId="0" fontId="0" fillId="28" borderId="0" xfId="0" applyFill="1"/>
    <xf numFmtId="1" fontId="35" fillId="0" borderId="9" xfId="1" applyNumberFormat="1" applyFont="1" applyBorder="1" applyAlignment="1">
      <alignment horizontal="center" vertical="center" wrapText="1"/>
    </xf>
    <xf numFmtId="3" fontId="0" fillId="29" borderId="0" xfId="0" applyNumberFormat="1" applyFill="1"/>
    <xf numFmtId="3" fontId="48" fillId="29" borderId="0" xfId="0" applyNumberFormat="1" applyFont="1" applyFill="1"/>
    <xf numFmtId="0" fontId="10" fillId="0" borderId="0" xfId="0" applyFont="1" applyAlignment="1">
      <alignment wrapText="1"/>
    </xf>
    <xf numFmtId="3" fontId="22" fillId="3" borderId="0" xfId="0" applyNumberFormat="1" applyFont="1" applyFill="1"/>
    <xf numFmtId="1" fontId="29" fillId="17" borderId="9" xfId="2" applyNumberFormat="1" applyFont="1" applyFill="1" applyBorder="1" applyAlignment="1">
      <alignment horizontal="center" vertical="center" wrapText="1"/>
    </xf>
    <xf numFmtId="14" fontId="10" fillId="0" borderId="0" xfId="0" applyNumberFormat="1" applyFont="1"/>
    <xf numFmtId="167" fontId="50" fillId="30" borderId="9" xfId="3" applyNumberFormat="1" applyFont="1" applyFill="1" applyBorder="1" applyAlignment="1">
      <alignment vertical="top" wrapText="1"/>
    </xf>
    <xf numFmtId="164" fontId="0" fillId="0" borderId="9" xfId="0" applyNumberFormat="1" applyBorder="1"/>
    <xf numFmtId="1" fontId="10" fillId="7" borderId="0" xfId="0" applyNumberFormat="1" applyFont="1" applyFill="1"/>
    <xf numFmtId="0" fontId="0" fillId="22" borderId="0" xfId="0" applyFill="1"/>
    <xf numFmtId="167" fontId="26" fillId="0" borderId="0" xfId="1" applyNumberFormat="1" applyFont="1" applyAlignment="1">
      <alignment horizontal="center" vertical="center"/>
    </xf>
    <xf numFmtId="1" fontId="29" fillId="13" borderId="9" xfId="1" applyNumberFormat="1" applyFont="1" applyFill="1" applyBorder="1" applyAlignment="1">
      <alignment horizontal="center" vertical="center" wrapText="1"/>
    </xf>
    <xf numFmtId="1" fontId="26" fillId="2" borderId="9" xfId="1" applyNumberFormat="1" applyFont="1" applyFill="1" applyBorder="1" applyAlignment="1">
      <alignment horizontal="center" vertical="center"/>
    </xf>
    <xf numFmtId="1" fontId="35" fillId="26" borderId="9" xfId="1" applyNumberFormat="1" applyFont="1" applyFill="1" applyBorder="1" applyAlignment="1">
      <alignment horizontal="center" vertical="center"/>
    </xf>
    <xf numFmtId="167" fontId="35" fillId="26" borderId="9" xfId="1" applyNumberFormat="1" applyFont="1" applyFill="1" applyBorder="1" applyAlignment="1">
      <alignment horizontal="center" vertical="center"/>
    </xf>
    <xf numFmtId="0" fontId="36" fillId="13" borderId="11" xfId="1" applyFont="1" applyFill="1" applyBorder="1" applyAlignment="1">
      <alignment vertical="center" wrapText="1"/>
    </xf>
    <xf numFmtId="0" fontId="36" fillId="13" borderId="12" xfId="1" applyFont="1" applyFill="1" applyBorder="1" applyAlignment="1">
      <alignment vertical="center" wrapText="1"/>
    </xf>
    <xf numFmtId="0" fontId="52" fillId="0" borderId="25" xfId="0" applyFont="1" applyBorder="1" applyAlignment="1">
      <alignment vertical="center" wrapText="1"/>
    </xf>
    <xf numFmtId="0" fontId="52" fillId="0" borderId="26" xfId="0" applyFont="1" applyBorder="1" applyAlignment="1">
      <alignment vertical="center" wrapText="1"/>
    </xf>
    <xf numFmtId="0" fontId="26" fillId="22" borderId="0" xfId="1" applyFont="1" applyFill="1"/>
    <xf numFmtId="0" fontId="53" fillId="6" borderId="9" xfId="0" applyFont="1" applyFill="1" applyBorder="1" applyAlignment="1">
      <alignment horizontal="justify" wrapText="1"/>
    </xf>
    <xf numFmtId="0" fontId="27" fillId="6" borderId="0" xfId="1" applyFont="1" applyFill="1"/>
    <xf numFmtId="0" fontId="26" fillId="31" borderId="0" xfId="1" applyFont="1" applyFill="1"/>
    <xf numFmtId="1" fontId="26" fillId="31" borderId="0" xfId="1" applyNumberFormat="1" applyFont="1" applyFill="1"/>
    <xf numFmtId="167" fontId="26" fillId="25" borderId="0" xfId="1" applyNumberFormat="1" applyFont="1" applyFill="1" applyAlignment="1">
      <alignment horizontal="center" vertical="center"/>
    </xf>
    <xf numFmtId="0" fontId="26" fillId="32" borderId="0" xfId="1" applyFont="1" applyFill="1"/>
    <xf numFmtId="167" fontId="54" fillId="32" borderId="0" xfId="1" applyNumberFormat="1" applyFont="1" applyFill="1"/>
    <xf numFmtId="167" fontId="26" fillId="31" borderId="0" xfId="1" applyNumberFormat="1" applyFont="1" applyFill="1"/>
    <xf numFmtId="0" fontId="27" fillId="31" borderId="0" xfId="1" applyFont="1" applyFill="1"/>
    <xf numFmtId="0" fontId="51" fillId="0" borderId="0" xfId="0" applyFont="1"/>
    <xf numFmtId="164" fontId="42" fillId="0" borderId="7" xfId="0" applyNumberFormat="1" applyFont="1" applyBorder="1"/>
    <xf numFmtId="0" fontId="42" fillId="0" borderId="7" xfId="0" applyFont="1" applyBorder="1"/>
    <xf numFmtId="0" fontId="42" fillId="0" borderId="8" xfId="0" applyFont="1" applyBorder="1"/>
    <xf numFmtId="164" fontId="51" fillId="0" borderId="0" xfId="0" applyNumberFormat="1" applyFont="1"/>
    <xf numFmtId="3" fontId="51" fillId="0" borderId="0" xfId="0" applyNumberFormat="1" applyFont="1"/>
    <xf numFmtId="166" fontId="51" fillId="0" borderId="0" xfId="0" applyNumberFormat="1" applyFont="1"/>
    <xf numFmtId="3" fontId="20" fillId="0" borderId="0" xfId="0" applyNumberFormat="1" applyFont="1"/>
    <xf numFmtId="165" fontId="51" fillId="0" borderId="0" xfId="0" applyNumberFormat="1" applyFont="1"/>
    <xf numFmtId="3" fontId="51" fillId="0" borderId="7" xfId="0" applyNumberFormat="1" applyFont="1" applyBorder="1"/>
    <xf numFmtId="3" fontId="51" fillId="3" borderId="0" xfId="0" applyNumberFormat="1" applyFont="1" applyFill="1"/>
    <xf numFmtId="167" fontId="22" fillId="0" borderId="11" xfId="0" applyNumberFormat="1" applyFont="1" applyBorder="1"/>
    <xf numFmtId="167" fontId="55" fillId="0" borderId="11" xfId="0" applyNumberFormat="1" applyFont="1" applyBorder="1"/>
    <xf numFmtId="167" fontId="22" fillId="0" borderId="12" xfId="0" applyNumberFormat="1" applyFont="1" applyBorder="1"/>
    <xf numFmtId="0" fontId="55" fillId="0" borderId="1" xfId="0" applyFont="1" applyBorder="1"/>
    <xf numFmtId="0" fontId="51" fillId="2" borderId="0" xfId="0" applyFont="1" applyFill="1"/>
    <xf numFmtId="0" fontId="20" fillId="0" borderId="2" xfId="0" applyFont="1" applyBorder="1"/>
    <xf numFmtId="0" fontId="20" fillId="0" borderId="3" xfId="0" applyFont="1" applyBorder="1"/>
    <xf numFmtId="0" fontId="20" fillId="0" borderId="10" xfId="0" applyFont="1" applyBorder="1"/>
    <xf numFmtId="3" fontId="51" fillId="0" borderId="5" xfId="0" applyNumberFormat="1" applyFont="1" applyBorder="1"/>
    <xf numFmtId="1" fontId="51" fillId="0" borderId="11" xfId="0" applyNumberFormat="1" applyFont="1" applyBorder="1"/>
    <xf numFmtId="3" fontId="51" fillId="0" borderId="8" xfId="0" applyNumberFormat="1" applyFont="1" applyBorder="1"/>
    <xf numFmtId="1" fontId="51" fillId="0" borderId="12" xfId="0" applyNumberFormat="1" applyFont="1" applyBorder="1"/>
    <xf numFmtId="164" fontId="15" fillId="0" borderId="0" xfId="0" applyNumberFormat="1" applyFont="1"/>
    <xf numFmtId="164" fontId="15" fillId="0" borderId="7" xfId="0" applyNumberFormat="1" applyFont="1" applyBorder="1"/>
    <xf numFmtId="164" fontId="15" fillId="0" borderId="5" xfId="0" applyNumberFormat="1" applyFont="1" applyBorder="1"/>
    <xf numFmtId="164" fontId="15" fillId="0" borderId="11" xfId="0" applyNumberFormat="1" applyFont="1" applyBorder="1"/>
    <xf numFmtId="164" fontId="15" fillId="0" borderId="8" xfId="0" applyNumberFormat="1" applyFont="1" applyBorder="1"/>
    <xf numFmtId="164" fontId="15" fillId="0" borderId="12" xfId="0" applyNumberFormat="1" applyFont="1" applyBorder="1"/>
    <xf numFmtId="0" fontId="15" fillId="0" borderId="0" xfId="0" applyFont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12" xfId="0" applyFont="1" applyBorder="1"/>
    <xf numFmtId="166" fontId="15" fillId="0" borderId="0" xfId="0" applyNumberFormat="1" applyFont="1"/>
    <xf numFmtId="3" fontId="16" fillId="0" borderId="0" xfId="0" applyNumberFormat="1" applyFont="1"/>
    <xf numFmtId="165" fontId="15" fillId="0" borderId="0" xfId="0" applyNumberFormat="1" applyFont="1"/>
    <xf numFmtId="3" fontId="15" fillId="3" borderId="0" xfId="0" applyNumberFormat="1" applyFont="1" applyFill="1"/>
    <xf numFmtId="0" fontId="6" fillId="7" borderId="0" xfId="0" applyFont="1" applyFill="1"/>
    <xf numFmtId="0" fontId="0" fillId="7" borderId="0" xfId="0" applyFill="1"/>
    <xf numFmtId="0" fontId="10" fillId="7" borderId="1" xfId="0" applyFont="1" applyFill="1" applyBorder="1"/>
    <xf numFmtId="0" fontId="10" fillId="7" borderId="2" xfId="0" applyFont="1" applyFill="1" applyBorder="1"/>
    <xf numFmtId="0" fontId="10" fillId="7" borderId="3" xfId="0" applyFont="1" applyFill="1" applyBorder="1"/>
    <xf numFmtId="0" fontId="10" fillId="7" borderId="10" xfId="0" applyFont="1" applyFill="1" applyBorder="1"/>
    <xf numFmtId="0" fontId="10" fillId="7" borderId="4" xfId="0" applyFont="1" applyFill="1" applyBorder="1"/>
    <xf numFmtId="0" fontId="10" fillId="7" borderId="6" xfId="0" applyFont="1" applyFill="1" applyBorder="1"/>
    <xf numFmtId="0" fontId="20" fillId="0" borderId="0" xfId="0" applyFont="1"/>
    <xf numFmtId="3" fontId="57" fillId="21" borderId="0" xfId="0" applyNumberFormat="1" applyFont="1" applyFill="1"/>
    <xf numFmtId="3" fontId="57" fillId="0" borderId="0" xfId="0" applyNumberFormat="1" applyFont="1"/>
    <xf numFmtId="3" fontId="57" fillId="0" borderId="5" xfId="0" applyNumberFormat="1" applyFont="1" applyBorder="1"/>
    <xf numFmtId="1" fontId="57" fillId="0" borderId="11" xfId="0" applyNumberFormat="1" applyFont="1" applyBorder="1"/>
    <xf numFmtId="3" fontId="57" fillId="0" borderId="7" xfId="0" applyNumberFormat="1" applyFont="1" applyBorder="1"/>
    <xf numFmtId="3" fontId="57" fillId="0" borderId="8" xfId="0" applyNumberFormat="1" applyFont="1" applyBorder="1"/>
    <xf numFmtId="1" fontId="57" fillId="0" borderId="12" xfId="0" applyNumberFormat="1" applyFont="1" applyBorder="1"/>
    <xf numFmtId="165" fontId="57" fillId="0" borderId="0" xfId="0" applyNumberFormat="1" applyFont="1"/>
    <xf numFmtId="165" fontId="57" fillId="0" borderId="5" xfId="0" applyNumberFormat="1" applyFont="1" applyBorder="1"/>
    <xf numFmtId="164" fontId="57" fillId="0" borderId="11" xfId="0" applyNumberFormat="1" applyFont="1" applyBorder="1"/>
    <xf numFmtId="165" fontId="57" fillId="0" borderId="7" xfId="0" applyNumberFormat="1" applyFont="1" applyBorder="1"/>
    <xf numFmtId="165" fontId="57" fillId="0" borderId="8" xfId="0" applyNumberFormat="1" applyFont="1" applyBorder="1"/>
    <xf numFmtId="164" fontId="57" fillId="0" borderId="12" xfId="0" applyNumberFormat="1" applyFont="1" applyBorder="1"/>
    <xf numFmtId="0" fontId="57" fillId="0" borderId="7" xfId="0" applyFont="1" applyBorder="1"/>
    <xf numFmtId="0" fontId="57" fillId="0" borderId="8" xfId="0" applyFont="1" applyBorder="1"/>
    <xf numFmtId="43" fontId="0" fillId="3" borderId="0" xfId="0" applyNumberFormat="1" applyFill="1"/>
    <xf numFmtId="3" fontId="57" fillId="0" borderId="11" xfId="0" applyNumberFormat="1" applyFont="1" applyBorder="1"/>
    <xf numFmtId="3" fontId="2" fillId="0" borderId="0" xfId="0" applyNumberFormat="1" applyFont="1"/>
    <xf numFmtId="3" fontId="58" fillId="0" borderId="7" xfId="0" applyNumberFormat="1" applyFont="1" applyBorder="1"/>
    <xf numFmtId="3" fontId="58" fillId="0" borderId="8" xfId="0" applyNumberFormat="1" applyFont="1" applyBorder="1"/>
    <xf numFmtId="3" fontId="58" fillId="0" borderId="9" xfId="0" applyNumberFormat="1" applyFont="1" applyBorder="1"/>
    <xf numFmtId="1" fontId="58" fillId="0" borderId="9" xfId="0" applyNumberFormat="1" applyFont="1" applyBorder="1"/>
    <xf numFmtId="3" fontId="15" fillId="0" borderId="5" xfId="0" applyNumberFormat="1" applyFont="1" applyBorder="1"/>
    <xf numFmtId="1" fontId="15" fillId="0" borderId="11" xfId="0" applyNumberFormat="1" applyFont="1" applyBorder="1"/>
    <xf numFmtId="3" fontId="15" fillId="0" borderId="8" xfId="0" applyNumberFormat="1" applyFont="1" applyBorder="1"/>
    <xf numFmtId="1" fontId="15" fillId="0" borderId="12" xfId="0" applyNumberFormat="1" applyFont="1" applyBorder="1"/>
    <xf numFmtId="165" fontId="15" fillId="0" borderId="5" xfId="0" applyNumberFormat="1" applyFont="1" applyBorder="1"/>
    <xf numFmtId="165" fontId="15" fillId="0" borderId="11" xfId="0" applyNumberFormat="1" applyFont="1" applyBorder="1"/>
    <xf numFmtId="165" fontId="15" fillId="0" borderId="7" xfId="0" applyNumberFormat="1" applyFont="1" applyBorder="1"/>
    <xf numFmtId="165" fontId="15" fillId="0" borderId="8" xfId="0" applyNumberFormat="1" applyFont="1" applyBorder="1"/>
    <xf numFmtId="165" fontId="15" fillId="0" borderId="12" xfId="0" applyNumberFormat="1" applyFont="1" applyBorder="1"/>
    <xf numFmtId="1" fontId="15" fillId="0" borderId="0" xfId="0" applyNumberFormat="1" applyFont="1"/>
    <xf numFmtId="1" fontId="15" fillId="0" borderId="5" xfId="0" applyNumberFormat="1" applyFont="1" applyBorder="1"/>
    <xf numFmtId="1" fontId="15" fillId="0" borderId="7" xfId="0" applyNumberFormat="1" applyFont="1" applyBorder="1"/>
    <xf numFmtId="1" fontId="15" fillId="0" borderId="8" xfId="0" applyNumberFormat="1" applyFont="1" applyBorder="1"/>
    <xf numFmtId="3" fontId="15" fillId="0" borderId="11" xfId="0" applyNumberFormat="1" applyFont="1" applyBorder="1"/>
    <xf numFmtId="3" fontId="15" fillId="0" borderId="12" xfId="0" applyNumberFormat="1" applyFont="1" applyBorder="1"/>
    <xf numFmtId="0" fontId="26" fillId="3" borderId="0" xfId="1" applyFont="1" applyFill="1"/>
    <xf numFmtId="0" fontId="27" fillId="0" borderId="0" xfId="1" applyFont="1"/>
    <xf numFmtId="164" fontId="51" fillId="0" borderId="5" xfId="0" applyNumberFormat="1" applyFont="1" applyBorder="1"/>
    <xf numFmtId="164" fontId="51" fillId="0" borderId="11" xfId="0" applyNumberFormat="1" applyFont="1" applyBorder="1"/>
    <xf numFmtId="164" fontId="51" fillId="0" borderId="4" xfId="0" applyNumberFormat="1" applyFont="1" applyBorder="1"/>
    <xf numFmtId="0" fontId="51" fillId="0" borderId="7" xfId="0" applyFont="1" applyBorder="1"/>
    <xf numFmtId="164" fontId="51" fillId="0" borderId="7" xfId="0" applyNumberFormat="1" applyFont="1" applyBorder="1"/>
    <xf numFmtId="164" fontId="51" fillId="0" borderId="8" xfId="0" applyNumberFormat="1" applyFont="1" applyBorder="1"/>
    <xf numFmtId="164" fontId="51" fillId="0" borderId="12" xfId="0" applyNumberFormat="1" applyFont="1" applyBorder="1"/>
    <xf numFmtId="164" fontId="51" fillId="0" borderId="6" xfId="0" applyNumberFormat="1" applyFont="1" applyBorder="1"/>
    <xf numFmtId="1" fontId="51" fillId="0" borderId="0" xfId="0" applyNumberFormat="1" applyFont="1"/>
    <xf numFmtId="1" fontId="51" fillId="0" borderId="5" xfId="0" applyNumberFormat="1" applyFont="1" applyBorder="1"/>
    <xf numFmtId="1" fontId="51" fillId="0" borderId="7" xfId="0" applyNumberFormat="1" applyFont="1" applyBorder="1"/>
    <xf numFmtId="1" fontId="51" fillId="0" borderId="8" xfId="0" applyNumberFormat="1" applyFont="1" applyBorder="1"/>
    <xf numFmtId="0" fontId="0" fillId="32" borderId="0" xfId="0" applyFill="1"/>
    <xf numFmtId="3" fontId="0" fillId="32" borderId="0" xfId="0" applyNumberFormat="1" applyFill="1"/>
    <xf numFmtId="3" fontId="51" fillId="0" borderId="11" xfId="0" applyNumberFormat="1" applyFont="1" applyBorder="1"/>
    <xf numFmtId="1" fontId="20" fillId="0" borderId="9" xfId="0" applyNumberFormat="1" applyFont="1" applyBorder="1"/>
    <xf numFmtId="3" fontId="0" fillId="26" borderId="0" xfId="0" applyNumberFormat="1" applyFill="1"/>
    <xf numFmtId="3" fontId="10" fillId="33" borderId="0" xfId="0" applyNumberFormat="1" applyFont="1" applyFill="1"/>
    <xf numFmtId="0" fontId="2" fillId="33" borderId="0" xfId="0" applyFont="1" applyFill="1"/>
    <xf numFmtId="3" fontId="20" fillId="33" borderId="7" xfId="0" applyNumberFormat="1" applyFont="1" applyFill="1" applyBorder="1"/>
    <xf numFmtId="0" fontId="51" fillId="0" borderId="11" xfId="0" applyFont="1" applyBorder="1"/>
    <xf numFmtId="0" fontId="51" fillId="0" borderId="12" xfId="0" applyFont="1" applyBorder="1"/>
    <xf numFmtId="0" fontId="10" fillId="22" borderId="6" xfId="0" applyFont="1" applyFill="1" applyBorder="1"/>
    <xf numFmtId="0" fontId="10" fillId="22" borderId="0" xfId="0" applyFont="1" applyFill="1"/>
    <xf numFmtId="165" fontId="51" fillId="0" borderId="5" xfId="0" applyNumberFormat="1" applyFont="1" applyBorder="1"/>
    <xf numFmtId="165" fontId="51" fillId="0" borderId="7" xfId="0" applyNumberFormat="1" applyFont="1" applyBorder="1"/>
    <xf numFmtId="165" fontId="51" fillId="0" borderId="8" xfId="0" applyNumberFormat="1" applyFont="1" applyBorder="1"/>
    <xf numFmtId="165" fontId="20" fillId="0" borderId="7" xfId="0" applyNumberFormat="1" applyFont="1" applyBorder="1"/>
    <xf numFmtId="165" fontId="20" fillId="0" borderId="8" xfId="0" applyNumberFormat="1" applyFont="1" applyBorder="1"/>
    <xf numFmtId="165" fontId="20" fillId="0" borderId="9" xfId="0" applyNumberFormat="1" applyFont="1" applyBorder="1"/>
    <xf numFmtId="0" fontId="20" fillId="0" borderId="12" xfId="0" applyFont="1" applyBorder="1"/>
    <xf numFmtId="0" fontId="51" fillId="0" borderId="8" xfId="0" applyFont="1" applyBorder="1"/>
    <xf numFmtId="165" fontId="51" fillId="0" borderId="11" xfId="0" applyNumberFormat="1" applyFont="1" applyBorder="1"/>
    <xf numFmtId="0" fontId="51" fillId="0" borderId="5" xfId="0" applyFont="1" applyBorder="1"/>
    <xf numFmtId="0" fontId="10" fillId="3" borderId="4" xfId="0" applyFont="1" applyFill="1" applyBorder="1"/>
    <xf numFmtId="3" fontId="10" fillId="3" borderId="5" xfId="0" applyNumberFormat="1" applyFont="1" applyFill="1" applyBorder="1"/>
    <xf numFmtId="1" fontId="10" fillId="3" borderId="11" xfId="0" applyNumberFormat="1" applyFont="1" applyFill="1" applyBorder="1"/>
    <xf numFmtId="2" fontId="51" fillId="0" borderId="11" xfId="0" applyNumberFormat="1" applyFont="1" applyBorder="1"/>
    <xf numFmtId="2" fontId="51" fillId="0" borderId="12" xfId="0" applyNumberFormat="1" applyFont="1" applyBorder="1"/>
    <xf numFmtId="2" fontId="51" fillId="0" borderId="0" xfId="0" applyNumberFormat="1" applyFont="1"/>
    <xf numFmtId="2" fontId="51" fillId="0" borderId="5" xfId="0" applyNumberFormat="1" applyFont="1" applyBorder="1"/>
    <xf numFmtId="2" fontId="51" fillId="0" borderId="11" xfId="0" applyNumberFormat="1" applyFont="1" applyBorder="1" applyAlignment="1">
      <alignment horizontal="right"/>
    </xf>
    <xf numFmtId="2" fontId="20" fillId="0" borderId="7" xfId="0" applyNumberFormat="1" applyFont="1" applyBorder="1"/>
    <xf numFmtId="2" fontId="20" fillId="0" borderId="8" xfId="0" applyNumberFormat="1" applyFont="1" applyBorder="1"/>
    <xf numFmtId="2" fontId="20" fillId="0" borderId="12" xfId="0" applyNumberFormat="1" applyFont="1" applyBorder="1" applyAlignment="1">
      <alignment horizontal="right"/>
    </xf>
    <xf numFmtId="2" fontId="20" fillId="0" borderId="12" xfId="0" applyNumberFormat="1" applyFont="1" applyBorder="1"/>
    <xf numFmtId="3" fontId="20" fillId="0" borderId="12" xfId="0" applyNumberFormat="1" applyFont="1" applyBorder="1"/>
    <xf numFmtId="164" fontId="20" fillId="0" borderId="7" xfId="0" applyNumberFormat="1" applyFont="1" applyBorder="1"/>
    <xf numFmtId="164" fontId="20" fillId="0" borderId="12" xfId="0" applyNumberFormat="1" applyFont="1" applyBorder="1"/>
    <xf numFmtId="0" fontId="10" fillId="34" borderId="0" xfId="0" applyFont="1" applyFill="1"/>
    <xf numFmtId="3" fontId="10" fillId="34" borderId="0" xfId="0" applyNumberFormat="1" applyFont="1" applyFill="1"/>
    <xf numFmtId="166" fontId="10" fillId="0" borderId="9" xfId="0" applyNumberFormat="1" applyFont="1" applyBorder="1"/>
    <xf numFmtId="166" fontId="12" fillId="0" borderId="0" xfId="0" applyNumberFormat="1" applyFont="1"/>
    <xf numFmtId="166" fontId="22" fillId="0" borderId="0" xfId="0" applyNumberFormat="1" applyFont="1"/>
    <xf numFmtId="166" fontId="21" fillId="0" borderId="0" xfId="0" applyNumberFormat="1" applyFont="1"/>
    <xf numFmtId="166" fontId="22" fillId="3" borderId="0" xfId="0" applyNumberFormat="1" applyFont="1" applyFill="1"/>
    <xf numFmtId="167" fontId="38" fillId="13" borderId="0" xfId="1" applyNumberFormat="1" applyFont="1" applyFill="1" applyAlignment="1">
      <alignment horizontal="center" vertical="center" wrapText="1"/>
    </xf>
    <xf numFmtId="3" fontId="59" fillId="10" borderId="0" xfId="0" applyNumberFormat="1" applyFont="1" applyFill="1"/>
    <xf numFmtId="3" fontId="0" fillId="35" borderId="0" xfId="0" applyNumberFormat="1" applyFill="1"/>
    <xf numFmtId="164" fontId="15" fillId="36" borderId="0" xfId="0" applyNumberFormat="1" applyFont="1" applyFill="1"/>
    <xf numFmtId="3" fontId="21" fillId="0" borderId="0" xfId="0" applyNumberFormat="1" applyFont="1"/>
    <xf numFmtId="0" fontId="2" fillId="0" borderId="10" xfId="0" applyFont="1" applyBorder="1" applyAlignment="1">
      <alignment horizontal="center"/>
    </xf>
    <xf numFmtId="3" fontId="10" fillId="3" borderId="12" xfId="0" applyNumberFormat="1" applyFont="1" applyFill="1" applyBorder="1"/>
    <xf numFmtId="2" fontId="0" fillId="0" borderId="11" xfId="0" applyNumberFormat="1" applyBorder="1"/>
    <xf numFmtId="2" fontId="15" fillId="0" borderId="0" xfId="0" applyNumberFormat="1" applyFont="1"/>
    <xf numFmtId="0" fontId="22" fillId="27" borderId="0" xfId="0" applyFont="1" applyFill="1"/>
    <xf numFmtId="167" fontId="39" fillId="2" borderId="9" xfId="1" applyNumberFormat="1" applyFont="1" applyFill="1" applyBorder="1" applyAlignment="1">
      <alignment horizontal="center" vertical="center"/>
    </xf>
    <xf numFmtId="0" fontId="33" fillId="13" borderId="9" xfId="1" applyFont="1" applyFill="1" applyBorder="1" applyAlignment="1">
      <alignment horizontal="center" vertical="center" wrapText="1"/>
    </xf>
    <xf numFmtId="2" fontId="26" fillId="0" borderId="9" xfId="2" applyNumberFormat="1" applyFont="1" applyBorder="1" applyAlignment="1">
      <alignment horizontal="center" vertical="center" wrapText="1"/>
    </xf>
    <xf numFmtId="166" fontId="22" fillId="21" borderId="0" xfId="0" applyNumberFormat="1" applyFont="1" applyFill="1"/>
    <xf numFmtId="0" fontId="0" fillId="9" borderId="0" xfId="0" applyFill="1"/>
    <xf numFmtId="167" fontId="22" fillId="8" borderId="0" xfId="0" applyNumberFormat="1" applyFont="1" applyFill="1"/>
    <xf numFmtId="167" fontId="22" fillId="21" borderId="0" xfId="0" applyNumberFormat="1" applyFont="1" applyFill="1"/>
    <xf numFmtId="2" fontId="0" fillId="0" borderId="9" xfId="0" applyNumberFormat="1" applyBorder="1"/>
    <xf numFmtId="1" fontId="19" fillId="0" borderId="5" xfId="0" applyNumberFormat="1" applyFont="1" applyBorder="1"/>
    <xf numFmtId="164" fontId="0" fillId="28" borderId="0" xfId="0" applyNumberFormat="1" applyFill="1"/>
    <xf numFmtId="0" fontId="27" fillId="13" borderId="13" xfId="1" applyFont="1" applyFill="1" applyBorder="1" applyAlignment="1">
      <alignment horizontal="center" vertical="center" wrapText="1"/>
    </xf>
    <xf numFmtId="0" fontId="27" fillId="13" borderId="15" xfId="1" applyFont="1" applyFill="1" applyBorder="1" applyAlignment="1">
      <alignment horizontal="center" vertical="center" wrapText="1"/>
    </xf>
    <xf numFmtId="0" fontId="25" fillId="0" borderId="7" xfId="1" applyFont="1" applyBorder="1" applyAlignment="1">
      <alignment horizontal="center" vertical="center" wrapText="1"/>
    </xf>
    <xf numFmtId="0" fontId="27" fillId="13" borderId="9" xfId="1" applyFont="1" applyFill="1" applyBorder="1" applyAlignment="1">
      <alignment horizontal="center" vertical="center"/>
    </xf>
    <xf numFmtId="0" fontId="27" fillId="13" borderId="9" xfId="1" applyFont="1" applyFill="1" applyBorder="1" applyAlignment="1">
      <alignment horizontal="center" vertical="center" wrapText="1"/>
    </xf>
    <xf numFmtId="0" fontId="36" fillId="13" borderId="10" xfId="1" applyFont="1" applyFill="1" applyBorder="1" applyAlignment="1">
      <alignment horizontal="center" vertical="center" wrapText="1"/>
    </xf>
    <xf numFmtId="0" fontId="36" fillId="13" borderId="11" xfId="1" applyFont="1" applyFill="1" applyBorder="1" applyAlignment="1">
      <alignment horizontal="center" vertical="center" wrapText="1"/>
    </xf>
    <xf numFmtId="0" fontId="36" fillId="13" borderId="12" xfId="1" applyFont="1" applyFill="1" applyBorder="1" applyAlignment="1">
      <alignment horizontal="center" vertical="center" wrapText="1"/>
    </xf>
    <xf numFmtId="0" fontId="26" fillId="0" borderId="0" xfId="2" applyFont="1" applyAlignment="1">
      <alignment horizontal="left" vertical="center"/>
    </xf>
    <xf numFmtId="0" fontId="41" fillId="0" borderId="0" xfId="2" applyFont="1" applyAlignment="1">
      <alignment horizontal="center" vertical="center" wrapText="1"/>
    </xf>
    <xf numFmtId="0" fontId="26" fillId="0" borderId="16" xfId="2" applyFont="1" applyBorder="1" applyAlignment="1">
      <alignment horizontal="center" vertical="center" wrapText="1"/>
    </xf>
    <xf numFmtId="0" fontId="26" fillId="0" borderId="21" xfId="2" applyFont="1" applyBorder="1" applyAlignment="1">
      <alignment horizontal="center" vertical="center" wrapText="1"/>
    </xf>
    <xf numFmtId="0" fontId="26" fillId="0" borderId="17" xfId="2" applyFont="1" applyBorder="1" applyAlignment="1">
      <alignment horizontal="center" vertical="center" wrapText="1"/>
    </xf>
    <xf numFmtId="0" fontId="26" fillId="0" borderId="9" xfId="2" applyFont="1" applyBorder="1" applyAlignment="1">
      <alignment horizontal="center" vertical="center" wrapText="1"/>
    </xf>
    <xf numFmtId="0" fontId="26" fillId="0" borderId="18" xfId="2" applyFont="1" applyBorder="1" applyAlignment="1">
      <alignment horizontal="center" vertical="center" wrapText="1"/>
    </xf>
    <xf numFmtId="0" fontId="26" fillId="0" borderId="19" xfId="2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 vertical="center" wrapText="1"/>
    </xf>
    <xf numFmtId="0" fontId="26" fillId="0" borderId="8" xfId="2" applyFont="1" applyBorder="1" applyAlignment="1">
      <alignment horizontal="center" vertical="center" wrapText="1"/>
    </xf>
    <xf numFmtId="0" fontId="26" fillId="0" borderId="20" xfId="2" applyFont="1" applyBorder="1" applyAlignment="1">
      <alignment horizontal="center" vertical="center" wrapText="1"/>
    </xf>
    <xf numFmtId="0" fontId="26" fillId="0" borderId="22" xfId="2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56" fillId="30" borderId="1" xfId="0" applyFont="1" applyFill="1" applyBorder="1" applyAlignment="1">
      <alignment horizontal="center"/>
    </xf>
    <xf numFmtId="0" fontId="56" fillId="30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0" fillId="0" borderId="0" xfId="0" applyFont="1" applyAlignment="1">
      <alignment horizontal="center" vertical="center"/>
    </xf>
  </cellXfs>
  <cellStyles count="4">
    <cellStyle name="Обычный" xfId="0" builtinId="0"/>
    <cellStyle name="Обычный 2" xfId="2" xr:uid="{B744582C-C088-4014-A1BF-936DE6E97EA3}"/>
    <cellStyle name="Обычный 3" xfId="1" xr:uid="{CE91272F-7F2F-440C-8202-C1194D9634D9}"/>
    <cellStyle name="Обычный_Лист17" xfId="3" xr:uid="{5CD33D0A-E49B-43E6-893B-05187D10DDFA}"/>
  </cellStyles>
  <dxfs count="0"/>
  <tableStyles count="0" defaultTableStyle="TableStyleMedium2" defaultPivotStyle="PivotStyleLight16"/>
  <colors>
    <mruColors>
      <color rgb="FF065A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ve/Desktop/&#1044;&#1091;&#1088;&#1085;&#1072;&#1084;&#1086;/&#1044;&#1091;&#1088;&#1085;&#1072;&#1084;&#1086;%202027-2029/&#1052;&#1072;&#1082;&#1088;&#1086;%20SAM-2024/&#1084;&#1086;&#1076;&#1077;&#1083;&#1080;%202025/S-3-&#1076;&#1086;%202035%20&#1075;&#1086;&#1076;&#1072;-Model%20GDP%20-22.01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olov%20Muhammad/Desktop/&#1044;&#1091;&#1088;&#1085;&#1072;&#1084;&#1086;/&#1044;&#1091;&#1088;&#1085;&#1072;&#1084;&#1086;%202026-2028/&#1080;&#1089;&#1090;&#1086;&#1095;&#1085;&#1080;&#1082;&#1080;/Model%20GDP%20forecast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olov%20Muhammad/Desktop/&#1053;&#1086;&#1074;&#1072;&#1103;%20&#1087;&#1072;&#1087;&#1082;&#1072;/&#1073;&#1072;&#1088;&#1085;&#1086;&#1084;&#1072;&#1080;%20&#1085;&#1072;&#1074;%202026-2030/&#1057;&#1094;&#1077;&#1085;&#1072;&#1088;&#1080;&#1081;%20&#1091;&#1089;&#1090;&#1086;&#1081;&#1095;&#1080;&#1074;&#1086;&#1075;&#1086;%20&#1088;&#1072;&#1079;&#1074;&#1080;&#1090;&#1080;&#1103;/S-3-%20&#1096;&#1080;&#1076;&#1076;&#1072;&#1090;&#1085;&#1086;&#1082;/S-1-&#1076;&#1086;%202035%20&#1075;&#1086;&#1076;&#1072;-Model%20GDP%20-10.04.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olov%20Muhammad/Desktop/new%20model/&#1087;&#1086;%20&#1076;&#1072;&#1085;&#1085;&#1099;&#1084;%202022%20&#1075;&#1086;&#1076;&#1072;/new%20model%202022/2022-&#1084;&#1086;&#1076;&#1077;&#1083;&#1100;/&#1087;&#1086;&#1089;&#1083;.&#1074;&#1072;&#1088;&#1080;&#1072;&#1085;&#1090;-&#1073;&#1072;&#1079;&#1072;%202022/&#1056;&#1086;&#1075;&#1091;&#1085;-Model%20GDP%20forecast%202025%20&#1087;&#1086;&#1089;&#1083;.&#1074;&#1072;&#1088;.18.02.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olov%20Muhammad/Desktop/&#1044;&#1091;&#1088;&#1085;&#1072;&#1084;&#1086;/&#1044;&#1091;&#1088;&#1085;&#1072;&#1084;&#1086;%202027-2029/&#1052;&#1072;&#1082;&#1088;&#1086;%20SAM-2024/1_D-SAM_2024%20_Final_ex--working%20fi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olov%20Muhammad/Desktop/&#1044;&#1091;&#1088;&#1085;&#1072;&#1084;&#1086;/&#1044;&#1091;&#1088;&#1085;&#1072;&#1084;&#1086;%202027-2029/&#1052;&#1072;&#1082;&#1088;&#1086;%20SAM-2024/MacroSAM_Taj%202024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-1 реалистичный сценарий"/>
      <sheetName val="GDP"/>
      <sheetName val="Agriculture"/>
      <sheetName val="Industry"/>
      <sheetName val="Industry-2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</sheetNames>
    <sheetDataSet>
      <sheetData sheetId="0"/>
      <sheetData sheetId="1"/>
      <sheetData sheetId="2"/>
      <sheetData sheetId="3"/>
      <sheetData sheetId="4"/>
      <sheetData sheetId="5">
        <row r="34">
          <cell r="AF34">
            <v>6925.3</v>
          </cell>
          <cell r="AG34">
            <v>7624.7552999999998</v>
          </cell>
          <cell r="AH34">
            <v>8562.6002018999989</v>
          </cell>
          <cell r="AI34">
            <v>9598.6748263298996</v>
          </cell>
          <cell r="AJ34">
            <v>10769.713155142148</v>
          </cell>
          <cell r="AK34">
            <v>12094.387873224632</v>
          </cell>
          <cell r="AL34">
            <v>13545.71441801159</v>
          </cell>
          <cell r="AM34">
            <v>15184.745862590993</v>
          </cell>
        </row>
      </sheetData>
      <sheetData sheetId="6">
        <row r="81">
          <cell r="AG81">
            <v>89946.541177669904</v>
          </cell>
          <cell r="AH81">
            <v>105319.77392904399</v>
          </cell>
          <cell r="AI81">
            <v>120054.47057104275</v>
          </cell>
          <cell r="AJ81">
            <v>138358.42123583407</v>
          </cell>
          <cell r="AK81">
            <v>149157.7179315917</v>
          </cell>
          <cell r="AL81">
            <v>160879.07437051309</v>
          </cell>
          <cell r="AM81">
            <v>174656.34444130448</v>
          </cell>
        </row>
        <row r="82">
          <cell r="AG82">
            <v>114.15335710871818</v>
          </cell>
          <cell r="AH82">
            <v>114.48579696091133</v>
          </cell>
          <cell r="AI82">
            <v>113.55900111382716</v>
          </cell>
          <cell r="AJ82">
            <v>113.89538379213461</v>
          </cell>
          <cell r="AK82">
            <v>108.35112163981705</v>
          </cell>
          <cell r="AL82">
            <v>109.75396208525304</v>
          </cell>
          <cell r="AM82">
            <v>109.31574730186023</v>
          </cell>
        </row>
        <row r="84">
          <cell r="AG84">
            <v>78696.140877782163</v>
          </cell>
          <cell r="AH84">
            <v>91582.412112212172</v>
          </cell>
          <cell r="AI84">
            <v>104395.19180090674</v>
          </cell>
          <cell r="AJ84">
            <v>119274.50106537421</v>
          </cell>
          <cell r="AK84">
            <v>129702.36341877539</v>
          </cell>
          <cell r="AL84">
            <v>139894.84727870702</v>
          </cell>
          <cell r="AM84">
            <v>151875.08212287346</v>
          </cell>
        </row>
        <row r="85">
          <cell r="AG85">
            <v>114.04140394834157</v>
          </cell>
          <cell r="AH85">
            <v>114.23170325789494</v>
          </cell>
          <cell r="AI85">
            <v>113.33319262525691</v>
          </cell>
          <cell r="AJ85">
            <v>113.47424720202291</v>
          </cell>
          <cell r="AK85">
            <v>108.20576917214376</v>
          </cell>
          <cell r="AL85">
            <v>107.45769089454079</v>
          </cell>
          <cell r="AM85">
            <v>107.26362151571591</v>
          </cell>
        </row>
        <row r="88">
          <cell r="AG88">
            <v>35439.755165198461</v>
          </cell>
          <cell r="AH88">
            <v>41254.484715362232</v>
          </cell>
          <cell r="AI88">
            <v>47612.182093920492</v>
          </cell>
          <cell r="AJ88">
            <v>51548.635208337779</v>
          </cell>
          <cell r="AK88">
            <v>56661.403904945022</v>
          </cell>
          <cell r="AL88">
            <v>62425.439388689359</v>
          </cell>
          <cell r="AM88">
            <v>64323.564193216989</v>
          </cell>
        </row>
        <row r="89">
          <cell r="AG89">
            <v>114.9303940053814</v>
          </cell>
          <cell r="AH89">
            <v>113.901530110427</v>
          </cell>
          <cell r="AI89">
            <v>113.70534406322643</v>
          </cell>
          <cell r="AJ89">
            <v>108.1595839667325</v>
          </cell>
          <cell r="AK89">
            <v>109.69894171168636</v>
          </cell>
          <cell r="AL89">
            <v>109.62464884840513</v>
          </cell>
          <cell r="AM89">
            <v>102.52798712780707</v>
          </cell>
        </row>
        <row r="91">
          <cell r="AG91">
            <v>25868.434427152159</v>
          </cell>
          <cell r="AH91">
            <v>29679.485406735421</v>
          </cell>
          <cell r="AI91">
            <v>33529.70569994401</v>
          </cell>
          <cell r="AJ91">
            <v>37085.349070746604</v>
          </cell>
          <cell r="AK91">
            <v>40763.599931615128</v>
          </cell>
          <cell r="AL91">
            <v>43350.999575478723</v>
          </cell>
          <cell r="AM91">
            <v>45945.402995154996</v>
          </cell>
        </row>
        <row r="92">
          <cell r="AG92">
            <v>111.2337368956606</v>
          </cell>
          <cell r="AH92">
            <v>111.39071618971383</v>
          </cell>
          <cell r="AI92">
            <v>111.85412402147747</v>
          </cell>
          <cell r="AJ92">
            <v>110.49396347680587</v>
          </cell>
          <cell r="AK92">
            <v>108.83003920307897</v>
          </cell>
          <cell r="AL92">
            <v>105.81823743005772</v>
          </cell>
          <cell r="AM92">
            <v>103.906514685828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2025-2028"/>
      <sheetName val="GDP"/>
      <sheetName val="Agriculture"/>
      <sheetName val="Industry"/>
      <sheetName val="Industry-2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</sheetNames>
    <sheetDataSet>
      <sheetData sheetId="0">
        <row r="5">
          <cell r="G5">
            <v>153402.19999999998</v>
          </cell>
        </row>
      </sheetData>
      <sheetData sheetId="1">
        <row r="2">
          <cell r="K2">
            <v>118181.70000000001</v>
          </cell>
          <cell r="L2">
            <v>132781.90000000002</v>
          </cell>
        </row>
        <row r="3">
          <cell r="K3">
            <v>108.03592118033602</v>
          </cell>
          <cell r="L3">
            <v>108.31976837361451</v>
          </cell>
        </row>
        <row r="4">
          <cell r="K4">
            <v>108.22627671327531</v>
          </cell>
          <cell r="L4">
            <v>103.72439807211711</v>
          </cell>
        </row>
      </sheetData>
      <sheetData sheetId="2">
        <row r="2">
          <cell r="L2">
            <v>63028.399999999994</v>
          </cell>
        </row>
        <row r="3">
          <cell r="L3">
            <v>109</v>
          </cell>
        </row>
      </sheetData>
      <sheetData sheetId="3">
        <row r="4">
          <cell r="M4">
            <v>53818.999999999993</v>
          </cell>
        </row>
        <row r="18">
          <cell r="M18">
            <v>120</v>
          </cell>
        </row>
      </sheetData>
      <sheetData sheetId="4"/>
      <sheetData sheetId="5">
        <row r="22">
          <cell r="L22">
            <v>19859</v>
          </cell>
        </row>
        <row r="23">
          <cell r="L23">
            <v>7922.5</v>
          </cell>
        </row>
      </sheetData>
      <sheetData sheetId="6">
        <row r="3">
          <cell r="L3">
            <v>56124.4</v>
          </cell>
        </row>
        <row r="4">
          <cell r="L4">
            <v>113.4</v>
          </cell>
        </row>
        <row r="9">
          <cell r="L9">
            <v>47540.5</v>
          </cell>
          <cell r="N9">
            <v>63081.370699251711</v>
          </cell>
          <cell r="O9">
            <v>71753.534189933576</v>
          </cell>
          <cell r="P9">
            <v>79859.123261101908</v>
          </cell>
          <cell r="Q9">
            <v>87893.05089050917</v>
          </cell>
        </row>
        <row r="11">
          <cell r="L11">
            <v>115.4</v>
          </cell>
          <cell r="N11">
            <v>107.91690423503523</v>
          </cell>
          <cell r="O11">
            <v>107.40848890374897</v>
          </cell>
          <cell r="P11">
            <v>105.6402783046928</v>
          </cell>
          <cell r="Q11">
            <v>104.5759345645304</v>
          </cell>
        </row>
        <row r="15">
          <cell r="L15">
            <v>21760.3</v>
          </cell>
        </row>
        <row r="16">
          <cell r="L16">
            <v>114.1</v>
          </cell>
        </row>
        <row r="18">
          <cell r="L18">
            <v>16740.8</v>
          </cell>
          <cell r="N18">
            <v>20828.754476168015</v>
          </cell>
          <cell r="O18">
            <v>23917.844729977856</v>
          </cell>
          <cell r="P18">
            <v>26619.707753700633</v>
          </cell>
          <cell r="Q18">
            <v>30111.508175452214</v>
          </cell>
        </row>
        <row r="20">
          <cell r="L20">
            <v>118.4</v>
          </cell>
          <cell r="N20">
            <v>109.08019668166899</v>
          </cell>
          <cell r="O20">
            <v>120.8746240296865</v>
          </cell>
          <cell r="P20">
            <v>111.29643182412815</v>
          </cell>
          <cell r="Q20">
            <v>114.25995020347571</v>
          </cell>
        </row>
      </sheetData>
      <sheetData sheetId="7"/>
      <sheetData sheetId="8"/>
      <sheetData sheetId="9">
        <row r="3">
          <cell r="K3">
            <v>106.6</v>
          </cell>
        </row>
      </sheetData>
      <sheetData sheetId="10">
        <row r="14">
          <cell r="K14">
            <v>1752.9</v>
          </cell>
          <cell r="L14">
            <v>2105</v>
          </cell>
          <cell r="M14">
            <v>2108.4050000000002</v>
          </cell>
          <cell r="N14">
            <v>2384.1837440574668</v>
          </cell>
          <cell r="O14">
            <v>2646.4816573039252</v>
          </cell>
          <cell r="P14">
            <v>2924.619604967002</v>
          </cell>
          <cell r="Q14">
            <v>3161.1126165783112</v>
          </cell>
        </row>
        <row r="15">
          <cell r="K15">
            <v>5260.924</v>
          </cell>
          <cell r="L15">
            <v>5931.4809999999998</v>
          </cell>
          <cell r="M15">
            <v>7685.701</v>
          </cell>
          <cell r="N15">
            <v>8537.7922682733097</v>
          </cell>
          <cell r="O15">
            <v>11770.760507376595</v>
          </cell>
          <cell r="P15">
            <v>12569.072231510479</v>
          </cell>
          <cell r="Q15">
            <v>13398.220938241451</v>
          </cell>
        </row>
      </sheetData>
      <sheetData sheetId="11"/>
      <sheetData sheetId="12"/>
      <sheetData sheetId="13">
        <row r="31">
          <cell r="L31">
            <v>2448.8000000000002</v>
          </cell>
        </row>
        <row r="33">
          <cell r="L33">
            <v>5880.1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-1 реалистичный сценарий"/>
      <sheetName val="Лист1"/>
      <sheetName val="Прогноз 2025-2028"/>
      <sheetName val="GDP"/>
      <sheetName val="Agriculture"/>
      <sheetName val="Industry"/>
      <sheetName val="Industry-2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J3">
            <v>115545.54571144178</v>
          </cell>
        </row>
        <row r="9">
          <cell r="AJ9">
            <v>96368.261644238344</v>
          </cell>
          <cell r="AK9">
            <v>111046.17565110938</v>
          </cell>
        </row>
        <row r="11">
          <cell r="AK11">
            <v>109.99728184550624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сл.в."/>
      <sheetName val="Прогноз 2025-2028"/>
      <sheetName val="Лист1"/>
      <sheetName val="GDP"/>
      <sheetName val="Agriculture"/>
      <sheetName val="Industry"/>
      <sheetName val="Industry-2"/>
      <sheetName val="OEA"/>
      <sheetName val="Household"/>
      <sheetName val="Assumptions"/>
      <sheetName val="Trade"/>
      <sheetName val="Monetary"/>
      <sheetName val="BoP"/>
      <sheetName val="Revenue Model"/>
      <sheetName val="gateway"/>
      <sheetName val="Results"/>
    </sheetNames>
    <sheetDataSet>
      <sheetData sheetId="0"/>
      <sheetData sheetId="1"/>
      <sheetData sheetId="2"/>
      <sheetData sheetId="3"/>
      <sheetData sheetId="4"/>
      <sheetData sheetId="5">
        <row r="18">
          <cell r="S18">
            <v>121.12711235018394</v>
          </cell>
        </row>
      </sheetData>
      <sheetData sheetId="6"/>
      <sheetData sheetId="7">
        <row r="22">
          <cell r="R22">
            <v>47714.065735735843</v>
          </cell>
        </row>
      </sheetData>
      <sheetData sheetId="8">
        <row r="3">
          <cell r="R3">
            <v>118617.46039390078</v>
          </cell>
        </row>
        <row r="11">
          <cell r="R11">
            <v>104.54414265913911</v>
          </cell>
        </row>
        <row r="18">
          <cell r="R18">
            <v>34438.528206013252</v>
          </cell>
          <cell r="S18">
            <v>38378.646568088028</v>
          </cell>
        </row>
        <row r="20">
          <cell r="R20">
            <v>105.42106888569668</v>
          </cell>
          <cell r="S20">
            <v>107.15482542184898</v>
          </cell>
        </row>
      </sheetData>
      <sheetData sheetId="9"/>
      <sheetData sheetId="10"/>
      <sheetData sheetId="11">
        <row r="3">
          <cell r="R3">
            <v>105.7941015730015</v>
          </cell>
        </row>
      </sheetData>
      <sheetData sheetId="12"/>
      <sheetData sheetId="13"/>
      <sheetData sheetId="14"/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-D"/>
      <sheetName val="D-SAM24"/>
      <sheetName val="D-SAM22"/>
      <sheetName val="2019"/>
      <sheetName val="2019-25декабрь"/>
      <sheetName val="2024-Final"/>
      <sheetName val="working file for the base"/>
      <sheetName val="Лист1"/>
      <sheetName val="Лист2"/>
      <sheetName val="Лист3"/>
    </sheetNames>
    <sheetDataSet>
      <sheetData sheetId="0"/>
      <sheetData sheetId="1">
        <row r="31">
          <cell r="M31">
            <v>208.07884518218691</v>
          </cell>
          <cell r="N31">
            <v>11.906508867500907</v>
          </cell>
          <cell r="O31">
            <v>1665.9924640924414</v>
          </cell>
          <cell r="P31">
            <v>23.443921159964347</v>
          </cell>
          <cell r="Q31">
            <v>48.264982874454091</v>
          </cell>
          <cell r="R31">
            <v>136.68084961037707</v>
          </cell>
          <cell r="S31">
            <v>2.4805054047161983</v>
          </cell>
          <cell r="T31">
            <v>385.09765202268966</v>
          </cell>
          <cell r="U31">
            <v>5.1897172279896999</v>
          </cell>
          <cell r="V31">
            <v>2.4871354464423203E-5</v>
          </cell>
        </row>
        <row r="32">
          <cell r="M32">
            <v>130.39580149131996</v>
          </cell>
          <cell r="N32">
            <v>600.35563301029299</v>
          </cell>
          <cell r="O32">
            <v>283.28676809291335</v>
          </cell>
          <cell r="P32">
            <v>111.01837567696808</v>
          </cell>
          <cell r="Q32">
            <v>0</v>
          </cell>
          <cell r="R32">
            <v>166.03539105444383</v>
          </cell>
          <cell r="S32">
            <v>5.4720660055169175</v>
          </cell>
          <cell r="T32">
            <v>14.086271547921291</v>
          </cell>
          <cell r="U32">
            <v>3.8426253200610048</v>
          </cell>
          <cell r="V32">
            <v>1.0967306910553547</v>
          </cell>
        </row>
        <row r="40">
          <cell r="N40">
            <v>105236.09999999992</v>
          </cell>
        </row>
        <row r="42">
          <cell r="N42">
            <v>74585.100000000006</v>
          </cell>
        </row>
        <row r="55">
          <cell r="O55">
            <v>2487.1354464423202</v>
          </cell>
        </row>
      </sheetData>
      <sheetData sheetId="2"/>
      <sheetData sheetId="3"/>
      <sheetData sheetId="4"/>
      <sheetData sheetId="5">
        <row r="6">
          <cell r="AE6">
            <v>2260.1078533062828</v>
          </cell>
          <cell r="AF6">
            <v>78342.899999999994</v>
          </cell>
        </row>
        <row r="7">
          <cell r="AE7">
            <v>4363.9467829912055</v>
          </cell>
          <cell r="AF7">
            <v>13377</v>
          </cell>
        </row>
        <row r="8">
          <cell r="AE8">
            <v>6005.3716281226943</v>
          </cell>
          <cell r="AF8">
            <v>57958.2</v>
          </cell>
        </row>
        <row r="9">
          <cell r="AE9">
            <v>1433.6405468484968</v>
          </cell>
          <cell r="AF9">
            <v>10222.5</v>
          </cell>
        </row>
        <row r="10">
          <cell r="AE10">
            <v>0</v>
          </cell>
          <cell r="AF10">
            <v>33745.1</v>
          </cell>
        </row>
        <row r="11">
          <cell r="AE11">
            <v>2960.5422333710408</v>
          </cell>
          <cell r="AF11">
            <v>18826.599999999999</v>
          </cell>
        </row>
        <row r="12">
          <cell r="AE12">
            <v>101.76621303916312</v>
          </cell>
          <cell r="AF12">
            <v>33483.4</v>
          </cell>
        </row>
        <row r="13">
          <cell r="AE13">
            <v>235.02883574477238</v>
          </cell>
          <cell r="AF13">
            <v>14824.800000000001</v>
          </cell>
        </row>
        <row r="14">
          <cell r="AE14">
            <v>83.606714888214157</v>
          </cell>
          <cell r="AF14">
            <v>19884</v>
          </cell>
        </row>
        <row r="15">
          <cell r="AE15">
            <v>23.489191688130532</v>
          </cell>
          <cell r="AF15">
            <v>3868.3</v>
          </cell>
        </row>
        <row r="33">
          <cell r="Y33">
            <v>15565.063387119968</v>
          </cell>
          <cell r="Z33">
            <v>28605.099999999988</v>
          </cell>
          <cell r="AA33">
            <v>16354.199999999993</v>
          </cell>
          <cell r="AE33">
            <v>21072.569022399999</v>
          </cell>
          <cell r="AF33">
            <v>101049.73240951996</v>
          </cell>
        </row>
        <row r="39">
          <cell r="B39">
            <v>23641.3</v>
          </cell>
        </row>
        <row r="43">
          <cell r="N43">
            <v>372301.39999999991</v>
          </cell>
        </row>
        <row r="47">
          <cell r="B47">
            <v>112047.30500148803</v>
          </cell>
        </row>
        <row r="48">
          <cell r="Y48">
            <v>138104.43787640979</v>
          </cell>
          <cell r="AF48">
            <v>20393.051572125998</v>
          </cell>
          <cell r="AG48">
            <v>78369.343771421394</v>
          </cell>
        </row>
      </sheetData>
      <sheetData sheetId="6">
        <row r="265">
          <cell r="O265">
            <v>149617.34166920002</v>
          </cell>
        </row>
        <row r="1008">
          <cell r="F1008">
            <v>66551.66235230201</v>
          </cell>
        </row>
      </sheetData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AM 2024"/>
      <sheetName val="IEA2024"/>
      <sheetName val="GDP at fc"/>
      <sheetName val="GDP_s"/>
      <sheetName val="GDP at mp"/>
      <sheetName val="Budget"/>
      <sheetName val="BoP"/>
      <sheetName val="пп"/>
      <sheetName val="IEA2019"/>
      <sheetName val="омор"/>
    </sheetNames>
    <sheetDataSet>
      <sheetData sheetId="0">
        <row r="15">
          <cell r="L15">
            <v>44182.985969288027</v>
          </cell>
        </row>
        <row r="16">
          <cell r="D16">
            <v>14524.8</v>
          </cell>
          <cell r="F16">
            <v>11818.5</v>
          </cell>
          <cell r="G16">
            <v>12976</v>
          </cell>
          <cell r="H16">
            <v>15577.699999999999</v>
          </cell>
          <cell r="L16">
            <v>93530.106107111947</v>
          </cell>
        </row>
        <row r="17">
          <cell r="G17">
            <v>15565.063387119968</v>
          </cell>
          <cell r="I17">
            <v>16354.199999999993</v>
          </cell>
        </row>
      </sheetData>
      <sheetData sheetId="1">
        <row r="23">
          <cell r="P23">
            <v>212972.59999999998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229E-30CF-4192-8901-C6C8DE82C9C9}">
  <sheetPr>
    <tabColor theme="8"/>
  </sheetPr>
  <dimension ref="A1:AS67"/>
  <sheetViews>
    <sheetView tabSelected="1" zoomScale="70" zoomScaleNormal="70" workbookViewId="0">
      <pane xSplit="2" ySplit="3" topLeftCell="U4" activePane="bottomRight" state="frozen"/>
      <selection pane="topRight" activeCell="C1" sqref="C1"/>
      <selection pane="bottomLeft" activeCell="A4" sqref="A4"/>
      <selection pane="bottomRight" activeCell="U19" sqref="U19"/>
    </sheetView>
  </sheetViews>
  <sheetFormatPr defaultRowHeight="18" x14ac:dyDescent="0.25"/>
  <cols>
    <col min="1" max="1" width="36.140625" style="141" customWidth="1"/>
    <col min="2" max="2" width="12.85546875" style="141" customWidth="1"/>
    <col min="3" max="3" width="12.140625" style="141" customWidth="1"/>
    <col min="4" max="4" width="12.5703125" style="141" customWidth="1"/>
    <col min="5" max="6" width="12.140625" style="141" customWidth="1"/>
    <col min="7" max="9" width="12.42578125" style="141" customWidth="1"/>
    <col min="10" max="10" width="12.140625" style="141" customWidth="1"/>
    <col min="11" max="11" width="11.85546875" style="141" customWidth="1"/>
    <col min="12" max="12" width="12.140625" style="141" customWidth="1"/>
    <col min="13" max="13" width="13.28515625" style="141" customWidth="1"/>
    <col min="14" max="14" width="15.140625" style="141" customWidth="1"/>
    <col min="15" max="15" width="12.28515625" style="141" customWidth="1"/>
    <col min="16" max="24" width="14.85546875" style="141" customWidth="1"/>
    <col min="25" max="25" width="14.7109375" style="141" customWidth="1"/>
    <col min="26" max="26" width="11.85546875" style="141" bestFit="1" customWidth="1"/>
    <col min="27" max="266" width="9.140625" style="141"/>
    <col min="267" max="267" width="36.140625" style="141" customWidth="1"/>
    <col min="268" max="268" width="12.85546875" style="141" customWidth="1"/>
    <col min="269" max="269" width="12.140625" style="141" customWidth="1"/>
    <col min="270" max="270" width="12.5703125" style="141" customWidth="1"/>
    <col min="271" max="271" width="11.7109375" style="141" customWidth="1"/>
    <col min="272" max="272" width="12.140625" style="141" customWidth="1"/>
    <col min="273" max="273" width="11.140625" style="141" customWidth="1"/>
    <col min="274" max="274" width="12.42578125" style="141" customWidth="1"/>
    <col min="275" max="275" width="11.28515625" style="141" customWidth="1"/>
    <col min="276" max="276" width="12.140625" style="141" customWidth="1"/>
    <col min="277" max="277" width="11" style="141" customWidth="1"/>
    <col min="278" max="278" width="12.140625" style="141" customWidth="1"/>
    <col min="279" max="522" width="9.140625" style="141"/>
    <col min="523" max="523" width="36.140625" style="141" customWidth="1"/>
    <col min="524" max="524" width="12.85546875" style="141" customWidth="1"/>
    <col min="525" max="525" width="12.140625" style="141" customWidth="1"/>
    <col min="526" max="526" width="12.5703125" style="141" customWidth="1"/>
    <col min="527" max="527" width="11.7109375" style="141" customWidth="1"/>
    <col min="528" max="528" width="12.140625" style="141" customWidth="1"/>
    <col min="529" max="529" width="11.140625" style="141" customWidth="1"/>
    <col min="530" max="530" width="12.42578125" style="141" customWidth="1"/>
    <col min="531" max="531" width="11.28515625" style="141" customWidth="1"/>
    <col min="532" max="532" width="12.140625" style="141" customWidth="1"/>
    <col min="533" max="533" width="11" style="141" customWidth="1"/>
    <col min="534" max="534" width="12.140625" style="141" customWidth="1"/>
    <col min="535" max="778" width="9.140625" style="141"/>
    <col min="779" max="779" width="36.140625" style="141" customWidth="1"/>
    <col min="780" max="780" width="12.85546875" style="141" customWidth="1"/>
    <col min="781" max="781" width="12.140625" style="141" customWidth="1"/>
    <col min="782" max="782" width="12.5703125" style="141" customWidth="1"/>
    <col min="783" max="783" width="11.7109375" style="141" customWidth="1"/>
    <col min="784" max="784" width="12.140625" style="141" customWidth="1"/>
    <col min="785" max="785" width="11.140625" style="141" customWidth="1"/>
    <col min="786" max="786" width="12.42578125" style="141" customWidth="1"/>
    <col min="787" max="787" width="11.28515625" style="141" customWidth="1"/>
    <col min="788" max="788" width="12.140625" style="141" customWidth="1"/>
    <col min="789" max="789" width="11" style="141" customWidth="1"/>
    <col min="790" max="790" width="12.140625" style="141" customWidth="1"/>
    <col min="791" max="1034" width="9.140625" style="141"/>
    <col min="1035" max="1035" width="36.140625" style="141" customWidth="1"/>
    <col min="1036" max="1036" width="12.85546875" style="141" customWidth="1"/>
    <col min="1037" max="1037" width="12.140625" style="141" customWidth="1"/>
    <col min="1038" max="1038" width="12.5703125" style="141" customWidth="1"/>
    <col min="1039" max="1039" width="11.7109375" style="141" customWidth="1"/>
    <col min="1040" max="1040" width="12.140625" style="141" customWidth="1"/>
    <col min="1041" max="1041" width="11.140625" style="141" customWidth="1"/>
    <col min="1042" max="1042" width="12.42578125" style="141" customWidth="1"/>
    <col min="1043" max="1043" width="11.28515625" style="141" customWidth="1"/>
    <col min="1044" max="1044" width="12.140625" style="141" customWidth="1"/>
    <col min="1045" max="1045" width="11" style="141" customWidth="1"/>
    <col min="1046" max="1046" width="12.140625" style="141" customWidth="1"/>
    <col min="1047" max="1290" width="9.140625" style="141"/>
    <col min="1291" max="1291" width="36.140625" style="141" customWidth="1"/>
    <col min="1292" max="1292" width="12.85546875" style="141" customWidth="1"/>
    <col min="1293" max="1293" width="12.140625" style="141" customWidth="1"/>
    <col min="1294" max="1294" width="12.5703125" style="141" customWidth="1"/>
    <col min="1295" max="1295" width="11.7109375" style="141" customWidth="1"/>
    <col min="1296" max="1296" width="12.140625" style="141" customWidth="1"/>
    <col min="1297" max="1297" width="11.140625" style="141" customWidth="1"/>
    <col min="1298" max="1298" width="12.42578125" style="141" customWidth="1"/>
    <col min="1299" max="1299" width="11.28515625" style="141" customWidth="1"/>
    <col min="1300" max="1300" width="12.140625" style="141" customWidth="1"/>
    <col min="1301" max="1301" width="11" style="141" customWidth="1"/>
    <col min="1302" max="1302" width="12.140625" style="141" customWidth="1"/>
    <col min="1303" max="1546" width="9.140625" style="141"/>
    <col min="1547" max="1547" width="36.140625" style="141" customWidth="1"/>
    <col min="1548" max="1548" width="12.85546875" style="141" customWidth="1"/>
    <col min="1549" max="1549" width="12.140625" style="141" customWidth="1"/>
    <col min="1550" max="1550" width="12.5703125" style="141" customWidth="1"/>
    <col min="1551" max="1551" width="11.7109375" style="141" customWidth="1"/>
    <col min="1552" max="1552" width="12.140625" style="141" customWidth="1"/>
    <col min="1553" max="1553" width="11.140625" style="141" customWidth="1"/>
    <col min="1554" max="1554" width="12.42578125" style="141" customWidth="1"/>
    <col min="1555" max="1555" width="11.28515625" style="141" customWidth="1"/>
    <col min="1556" max="1556" width="12.140625" style="141" customWidth="1"/>
    <col min="1557" max="1557" width="11" style="141" customWidth="1"/>
    <col min="1558" max="1558" width="12.140625" style="141" customWidth="1"/>
    <col min="1559" max="1802" width="9.140625" style="141"/>
    <col min="1803" max="1803" width="36.140625" style="141" customWidth="1"/>
    <col min="1804" max="1804" width="12.85546875" style="141" customWidth="1"/>
    <col min="1805" max="1805" width="12.140625" style="141" customWidth="1"/>
    <col min="1806" max="1806" width="12.5703125" style="141" customWidth="1"/>
    <col min="1807" max="1807" width="11.7109375" style="141" customWidth="1"/>
    <col min="1808" max="1808" width="12.140625" style="141" customWidth="1"/>
    <col min="1809" max="1809" width="11.140625" style="141" customWidth="1"/>
    <col min="1810" max="1810" width="12.42578125" style="141" customWidth="1"/>
    <col min="1811" max="1811" width="11.28515625" style="141" customWidth="1"/>
    <col min="1812" max="1812" width="12.140625" style="141" customWidth="1"/>
    <col min="1813" max="1813" width="11" style="141" customWidth="1"/>
    <col min="1814" max="1814" width="12.140625" style="141" customWidth="1"/>
    <col min="1815" max="2058" width="9.140625" style="141"/>
    <col min="2059" max="2059" width="36.140625" style="141" customWidth="1"/>
    <col min="2060" max="2060" width="12.85546875" style="141" customWidth="1"/>
    <col min="2061" max="2061" width="12.140625" style="141" customWidth="1"/>
    <col min="2062" max="2062" width="12.5703125" style="141" customWidth="1"/>
    <col min="2063" max="2063" width="11.7109375" style="141" customWidth="1"/>
    <col min="2064" max="2064" width="12.140625" style="141" customWidth="1"/>
    <col min="2065" max="2065" width="11.140625" style="141" customWidth="1"/>
    <col min="2066" max="2066" width="12.42578125" style="141" customWidth="1"/>
    <col min="2067" max="2067" width="11.28515625" style="141" customWidth="1"/>
    <col min="2068" max="2068" width="12.140625" style="141" customWidth="1"/>
    <col min="2069" max="2069" width="11" style="141" customWidth="1"/>
    <col min="2070" max="2070" width="12.140625" style="141" customWidth="1"/>
    <col min="2071" max="2314" width="9.140625" style="141"/>
    <col min="2315" max="2315" width="36.140625" style="141" customWidth="1"/>
    <col min="2316" max="2316" width="12.85546875" style="141" customWidth="1"/>
    <col min="2317" max="2317" width="12.140625" style="141" customWidth="1"/>
    <col min="2318" max="2318" width="12.5703125" style="141" customWidth="1"/>
    <col min="2319" max="2319" width="11.7109375" style="141" customWidth="1"/>
    <col min="2320" max="2320" width="12.140625" style="141" customWidth="1"/>
    <col min="2321" max="2321" width="11.140625" style="141" customWidth="1"/>
    <col min="2322" max="2322" width="12.42578125" style="141" customWidth="1"/>
    <col min="2323" max="2323" width="11.28515625" style="141" customWidth="1"/>
    <col min="2324" max="2324" width="12.140625" style="141" customWidth="1"/>
    <col min="2325" max="2325" width="11" style="141" customWidth="1"/>
    <col min="2326" max="2326" width="12.140625" style="141" customWidth="1"/>
    <col min="2327" max="2570" width="9.140625" style="141"/>
    <col min="2571" max="2571" width="36.140625" style="141" customWidth="1"/>
    <col min="2572" max="2572" width="12.85546875" style="141" customWidth="1"/>
    <col min="2573" max="2573" width="12.140625" style="141" customWidth="1"/>
    <col min="2574" max="2574" width="12.5703125" style="141" customWidth="1"/>
    <col min="2575" max="2575" width="11.7109375" style="141" customWidth="1"/>
    <col min="2576" max="2576" width="12.140625" style="141" customWidth="1"/>
    <col min="2577" max="2577" width="11.140625" style="141" customWidth="1"/>
    <col min="2578" max="2578" width="12.42578125" style="141" customWidth="1"/>
    <col min="2579" max="2579" width="11.28515625" style="141" customWidth="1"/>
    <col min="2580" max="2580" width="12.140625" style="141" customWidth="1"/>
    <col min="2581" max="2581" width="11" style="141" customWidth="1"/>
    <col min="2582" max="2582" width="12.140625" style="141" customWidth="1"/>
    <col min="2583" max="2826" width="9.140625" style="141"/>
    <col min="2827" max="2827" width="36.140625" style="141" customWidth="1"/>
    <col min="2828" max="2828" width="12.85546875" style="141" customWidth="1"/>
    <col min="2829" max="2829" width="12.140625" style="141" customWidth="1"/>
    <col min="2830" max="2830" width="12.5703125" style="141" customWidth="1"/>
    <col min="2831" max="2831" width="11.7109375" style="141" customWidth="1"/>
    <col min="2832" max="2832" width="12.140625" style="141" customWidth="1"/>
    <col min="2833" max="2833" width="11.140625" style="141" customWidth="1"/>
    <col min="2834" max="2834" width="12.42578125" style="141" customWidth="1"/>
    <col min="2835" max="2835" width="11.28515625" style="141" customWidth="1"/>
    <col min="2836" max="2836" width="12.140625" style="141" customWidth="1"/>
    <col min="2837" max="2837" width="11" style="141" customWidth="1"/>
    <col min="2838" max="2838" width="12.140625" style="141" customWidth="1"/>
    <col min="2839" max="3082" width="9.140625" style="141"/>
    <col min="3083" max="3083" width="36.140625" style="141" customWidth="1"/>
    <col min="3084" max="3084" width="12.85546875" style="141" customWidth="1"/>
    <col min="3085" max="3085" width="12.140625" style="141" customWidth="1"/>
    <col min="3086" max="3086" width="12.5703125" style="141" customWidth="1"/>
    <col min="3087" max="3087" width="11.7109375" style="141" customWidth="1"/>
    <col min="3088" max="3088" width="12.140625" style="141" customWidth="1"/>
    <col min="3089" max="3089" width="11.140625" style="141" customWidth="1"/>
    <col min="3090" max="3090" width="12.42578125" style="141" customWidth="1"/>
    <col min="3091" max="3091" width="11.28515625" style="141" customWidth="1"/>
    <col min="3092" max="3092" width="12.140625" style="141" customWidth="1"/>
    <col min="3093" max="3093" width="11" style="141" customWidth="1"/>
    <col min="3094" max="3094" width="12.140625" style="141" customWidth="1"/>
    <col min="3095" max="3338" width="9.140625" style="141"/>
    <col min="3339" max="3339" width="36.140625" style="141" customWidth="1"/>
    <col min="3340" max="3340" width="12.85546875" style="141" customWidth="1"/>
    <col min="3341" max="3341" width="12.140625" style="141" customWidth="1"/>
    <col min="3342" max="3342" width="12.5703125" style="141" customWidth="1"/>
    <col min="3343" max="3343" width="11.7109375" style="141" customWidth="1"/>
    <col min="3344" max="3344" width="12.140625" style="141" customWidth="1"/>
    <col min="3345" max="3345" width="11.140625" style="141" customWidth="1"/>
    <col min="3346" max="3346" width="12.42578125" style="141" customWidth="1"/>
    <col min="3347" max="3347" width="11.28515625" style="141" customWidth="1"/>
    <col min="3348" max="3348" width="12.140625" style="141" customWidth="1"/>
    <col min="3349" max="3349" width="11" style="141" customWidth="1"/>
    <col min="3350" max="3350" width="12.140625" style="141" customWidth="1"/>
    <col min="3351" max="3594" width="9.140625" style="141"/>
    <col min="3595" max="3595" width="36.140625" style="141" customWidth="1"/>
    <col min="3596" max="3596" width="12.85546875" style="141" customWidth="1"/>
    <col min="3597" max="3597" width="12.140625" style="141" customWidth="1"/>
    <col min="3598" max="3598" width="12.5703125" style="141" customWidth="1"/>
    <col min="3599" max="3599" width="11.7109375" style="141" customWidth="1"/>
    <col min="3600" max="3600" width="12.140625" style="141" customWidth="1"/>
    <col min="3601" max="3601" width="11.140625" style="141" customWidth="1"/>
    <col min="3602" max="3602" width="12.42578125" style="141" customWidth="1"/>
    <col min="3603" max="3603" width="11.28515625" style="141" customWidth="1"/>
    <col min="3604" max="3604" width="12.140625" style="141" customWidth="1"/>
    <col min="3605" max="3605" width="11" style="141" customWidth="1"/>
    <col min="3606" max="3606" width="12.140625" style="141" customWidth="1"/>
    <col min="3607" max="3850" width="9.140625" style="141"/>
    <col min="3851" max="3851" width="36.140625" style="141" customWidth="1"/>
    <col min="3852" max="3852" width="12.85546875" style="141" customWidth="1"/>
    <col min="3853" max="3853" width="12.140625" style="141" customWidth="1"/>
    <col min="3854" max="3854" width="12.5703125" style="141" customWidth="1"/>
    <col min="3855" max="3855" width="11.7109375" style="141" customWidth="1"/>
    <col min="3856" max="3856" width="12.140625" style="141" customWidth="1"/>
    <col min="3857" max="3857" width="11.140625" style="141" customWidth="1"/>
    <col min="3858" max="3858" width="12.42578125" style="141" customWidth="1"/>
    <col min="3859" max="3859" width="11.28515625" style="141" customWidth="1"/>
    <col min="3860" max="3860" width="12.140625" style="141" customWidth="1"/>
    <col min="3861" max="3861" width="11" style="141" customWidth="1"/>
    <col min="3862" max="3862" width="12.140625" style="141" customWidth="1"/>
    <col min="3863" max="4106" width="9.140625" style="141"/>
    <col min="4107" max="4107" width="36.140625" style="141" customWidth="1"/>
    <col min="4108" max="4108" width="12.85546875" style="141" customWidth="1"/>
    <col min="4109" max="4109" width="12.140625" style="141" customWidth="1"/>
    <col min="4110" max="4110" width="12.5703125" style="141" customWidth="1"/>
    <col min="4111" max="4111" width="11.7109375" style="141" customWidth="1"/>
    <col min="4112" max="4112" width="12.140625" style="141" customWidth="1"/>
    <col min="4113" max="4113" width="11.140625" style="141" customWidth="1"/>
    <col min="4114" max="4114" width="12.42578125" style="141" customWidth="1"/>
    <col min="4115" max="4115" width="11.28515625" style="141" customWidth="1"/>
    <col min="4116" max="4116" width="12.140625" style="141" customWidth="1"/>
    <col min="4117" max="4117" width="11" style="141" customWidth="1"/>
    <col min="4118" max="4118" width="12.140625" style="141" customWidth="1"/>
    <col min="4119" max="4362" width="9.140625" style="141"/>
    <col min="4363" max="4363" width="36.140625" style="141" customWidth="1"/>
    <col min="4364" max="4364" width="12.85546875" style="141" customWidth="1"/>
    <col min="4365" max="4365" width="12.140625" style="141" customWidth="1"/>
    <col min="4366" max="4366" width="12.5703125" style="141" customWidth="1"/>
    <col min="4367" max="4367" width="11.7109375" style="141" customWidth="1"/>
    <col min="4368" max="4368" width="12.140625" style="141" customWidth="1"/>
    <col min="4369" max="4369" width="11.140625" style="141" customWidth="1"/>
    <col min="4370" max="4370" width="12.42578125" style="141" customWidth="1"/>
    <col min="4371" max="4371" width="11.28515625" style="141" customWidth="1"/>
    <col min="4372" max="4372" width="12.140625" style="141" customWidth="1"/>
    <col min="4373" max="4373" width="11" style="141" customWidth="1"/>
    <col min="4374" max="4374" width="12.140625" style="141" customWidth="1"/>
    <col min="4375" max="4618" width="9.140625" style="141"/>
    <col min="4619" max="4619" width="36.140625" style="141" customWidth="1"/>
    <col min="4620" max="4620" width="12.85546875" style="141" customWidth="1"/>
    <col min="4621" max="4621" width="12.140625" style="141" customWidth="1"/>
    <col min="4622" max="4622" width="12.5703125" style="141" customWidth="1"/>
    <col min="4623" max="4623" width="11.7109375" style="141" customWidth="1"/>
    <col min="4624" max="4624" width="12.140625" style="141" customWidth="1"/>
    <col min="4625" max="4625" width="11.140625" style="141" customWidth="1"/>
    <col min="4626" max="4626" width="12.42578125" style="141" customWidth="1"/>
    <col min="4627" max="4627" width="11.28515625" style="141" customWidth="1"/>
    <col min="4628" max="4628" width="12.140625" style="141" customWidth="1"/>
    <col min="4629" max="4629" width="11" style="141" customWidth="1"/>
    <col min="4630" max="4630" width="12.140625" style="141" customWidth="1"/>
    <col min="4631" max="4874" width="9.140625" style="141"/>
    <col min="4875" max="4875" width="36.140625" style="141" customWidth="1"/>
    <col min="4876" max="4876" width="12.85546875" style="141" customWidth="1"/>
    <col min="4877" max="4877" width="12.140625" style="141" customWidth="1"/>
    <col min="4878" max="4878" width="12.5703125" style="141" customWidth="1"/>
    <col min="4879" max="4879" width="11.7109375" style="141" customWidth="1"/>
    <col min="4880" max="4880" width="12.140625" style="141" customWidth="1"/>
    <col min="4881" max="4881" width="11.140625" style="141" customWidth="1"/>
    <col min="4882" max="4882" width="12.42578125" style="141" customWidth="1"/>
    <col min="4883" max="4883" width="11.28515625" style="141" customWidth="1"/>
    <col min="4884" max="4884" width="12.140625" style="141" customWidth="1"/>
    <col min="4885" max="4885" width="11" style="141" customWidth="1"/>
    <col min="4886" max="4886" width="12.140625" style="141" customWidth="1"/>
    <col min="4887" max="5130" width="9.140625" style="141"/>
    <col min="5131" max="5131" width="36.140625" style="141" customWidth="1"/>
    <col min="5132" max="5132" width="12.85546875" style="141" customWidth="1"/>
    <col min="5133" max="5133" width="12.140625" style="141" customWidth="1"/>
    <col min="5134" max="5134" width="12.5703125" style="141" customWidth="1"/>
    <col min="5135" max="5135" width="11.7109375" style="141" customWidth="1"/>
    <col min="5136" max="5136" width="12.140625" style="141" customWidth="1"/>
    <col min="5137" max="5137" width="11.140625" style="141" customWidth="1"/>
    <col min="5138" max="5138" width="12.42578125" style="141" customWidth="1"/>
    <col min="5139" max="5139" width="11.28515625" style="141" customWidth="1"/>
    <col min="5140" max="5140" width="12.140625" style="141" customWidth="1"/>
    <col min="5141" max="5141" width="11" style="141" customWidth="1"/>
    <col min="5142" max="5142" width="12.140625" style="141" customWidth="1"/>
    <col min="5143" max="5386" width="9.140625" style="141"/>
    <col min="5387" max="5387" width="36.140625" style="141" customWidth="1"/>
    <col min="5388" max="5388" width="12.85546875" style="141" customWidth="1"/>
    <col min="5389" max="5389" width="12.140625" style="141" customWidth="1"/>
    <col min="5390" max="5390" width="12.5703125" style="141" customWidth="1"/>
    <col min="5391" max="5391" width="11.7109375" style="141" customWidth="1"/>
    <col min="5392" max="5392" width="12.140625" style="141" customWidth="1"/>
    <col min="5393" max="5393" width="11.140625" style="141" customWidth="1"/>
    <col min="5394" max="5394" width="12.42578125" style="141" customWidth="1"/>
    <col min="5395" max="5395" width="11.28515625" style="141" customWidth="1"/>
    <col min="5396" max="5396" width="12.140625" style="141" customWidth="1"/>
    <col min="5397" max="5397" width="11" style="141" customWidth="1"/>
    <col min="5398" max="5398" width="12.140625" style="141" customWidth="1"/>
    <col min="5399" max="5642" width="9.140625" style="141"/>
    <col min="5643" max="5643" width="36.140625" style="141" customWidth="1"/>
    <col min="5644" max="5644" width="12.85546875" style="141" customWidth="1"/>
    <col min="5645" max="5645" width="12.140625" style="141" customWidth="1"/>
    <col min="5646" max="5646" width="12.5703125" style="141" customWidth="1"/>
    <col min="5647" max="5647" width="11.7109375" style="141" customWidth="1"/>
    <col min="5648" max="5648" width="12.140625" style="141" customWidth="1"/>
    <col min="5649" max="5649" width="11.140625" style="141" customWidth="1"/>
    <col min="5650" max="5650" width="12.42578125" style="141" customWidth="1"/>
    <col min="5651" max="5651" width="11.28515625" style="141" customWidth="1"/>
    <col min="5652" max="5652" width="12.140625" style="141" customWidth="1"/>
    <col min="5653" max="5653" width="11" style="141" customWidth="1"/>
    <col min="5654" max="5654" width="12.140625" style="141" customWidth="1"/>
    <col min="5655" max="5898" width="9.140625" style="141"/>
    <col min="5899" max="5899" width="36.140625" style="141" customWidth="1"/>
    <col min="5900" max="5900" width="12.85546875" style="141" customWidth="1"/>
    <col min="5901" max="5901" width="12.140625" style="141" customWidth="1"/>
    <col min="5902" max="5902" width="12.5703125" style="141" customWidth="1"/>
    <col min="5903" max="5903" width="11.7109375" style="141" customWidth="1"/>
    <col min="5904" max="5904" width="12.140625" style="141" customWidth="1"/>
    <col min="5905" max="5905" width="11.140625" style="141" customWidth="1"/>
    <col min="5906" max="5906" width="12.42578125" style="141" customWidth="1"/>
    <col min="5907" max="5907" width="11.28515625" style="141" customWidth="1"/>
    <col min="5908" max="5908" width="12.140625" style="141" customWidth="1"/>
    <col min="5909" max="5909" width="11" style="141" customWidth="1"/>
    <col min="5910" max="5910" width="12.140625" style="141" customWidth="1"/>
    <col min="5911" max="6154" width="9.140625" style="141"/>
    <col min="6155" max="6155" width="36.140625" style="141" customWidth="1"/>
    <col min="6156" max="6156" width="12.85546875" style="141" customWidth="1"/>
    <col min="6157" max="6157" width="12.140625" style="141" customWidth="1"/>
    <col min="6158" max="6158" width="12.5703125" style="141" customWidth="1"/>
    <col min="6159" max="6159" width="11.7109375" style="141" customWidth="1"/>
    <col min="6160" max="6160" width="12.140625" style="141" customWidth="1"/>
    <col min="6161" max="6161" width="11.140625" style="141" customWidth="1"/>
    <col min="6162" max="6162" width="12.42578125" style="141" customWidth="1"/>
    <col min="6163" max="6163" width="11.28515625" style="141" customWidth="1"/>
    <col min="6164" max="6164" width="12.140625" style="141" customWidth="1"/>
    <col min="6165" max="6165" width="11" style="141" customWidth="1"/>
    <col min="6166" max="6166" width="12.140625" style="141" customWidth="1"/>
    <col min="6167" max="6410" width="9.140625" style="141"/>
    <col min="6411" max="6411" width="36.140625" style="141" customWidth="1"/>
    <col min="6412" max="6412" width="12.85546875" style="141" customWidth="1"/>
    <col min="6413" max="6413" width="12.140625" style="141" customWidth="1"/>
    <col min="6414" max="6414" width="12.5703125" style="141" customWidth="1"/>
    <col min="6415" max="6415" width="11.7109375" style="141" customWidth="1"/>
    <col min="6416" max="6416" width="12.140625" style="141" customWidth="1"/>
    <col min="6417" max="6417" width="11.140625" style="141" customWidth="1"/>
    <col min="6418" max="6418" width="12.42578125" style="141" customWidth="1"/>
    <col min="6419" max="6419" width="11.28515625" style="141" customWidth="1"/>
    <col min="6420" max="6420" width="12.140625" style="141" customWidth="1"/>
    <col min="6421" max="6421" width="11" style="141" customWidth="1"/>
    <col min="6422" max="6422" width="12.140625" style="141" customWidth="1"/>
    <col min="6423" max="6666" width="9.140625" style="141"/>
    <col min="6667" max="6667" width="36.140625" style="141" customWidth="1"/>
    <col min="6668" max="6668" width="12.85546875" style="141" customWidth="1"/>
    <col min="6669" max="6669" width="12.140625" style="141" customWidth="1"/>
    <col min="6670" max="6670" width="12.5703125" style="141" customWidth="1"/>
    <col min="6671" max="6671" width="11.7109375" style="141" customWidth="1"/>
    <col min="6672" max="6672" width="12.140625" style="141" customWidth="1"/>
    <col min="6673" max="6673" width="11.140625" style="141" customWidth="1"/>
    <col min="6674" max="6674" width="12.42578125" style="141" customWidth="1"/>
    <col min="6675" max="6675" width="11.28515625" style="141" customWidth="1"/>
    <col min="6676" max="6676" width="12.140625" style="141" customWidth="1"/>
    <col min="6677" max="6677" width="11" style="141" customWidth="1"/>
    <col min="6678" max="6678" width="12.140625" style="141" customWidth="1"/>
    <col min="6679" max="6922" width="9.140625" style="141"/>
    <col min="6923" max="6923" width="36.140625" style="141" customWidth="1"/>
    <col min="6924" max="6924" width="12.85546875" style="141" customWidth="1"/>
    <col min="6925" max="6925" width="12.140625" style="141" customWidth="1"/>
    <col min="6926" max="6926" width="12.5703125" style="141" customWidth="1"/>
    <col min="6927" max="6927" width="11.7109375" style="141" customWidth="1"/>
    <col min="6928" max="6928" width="12.140625" style="141" customWidth="1"/>
    <col min="6929" max="6929" width="11.140625" style="141" customWidth="1"/>
    <col min="6930" max="6930" width="12.42578125" style="141" customWidth="1"/>
    <col min="6931" max="6931" width="11.28515625" style="141" customWidth="1"/>
    <col min="6932" max="6932" width="12.140625" style="141" customWidth="1"/>
    <col min="6933" max="6933" width="11" style="141" customWidth="1"/>
    <col min="6934" max="6934" width="12.140625" style="141" customWidth="1"/>
    <col min="6935" max="7178" width="9.140625" style="141"/>
    <col min="7179" max="7179" width="36.140625" style="141" customWidth="1"/>
    <col min="7180" max="7180" width="12.85546875" style="141" customWidth="1"/>
    <col min="7181" max="7181" width="12.140625" style="141" customWidth="1"/>
    <col min="7182" max="7182" width="12.5703125" style="141" customWidth="1"/>
    <col min="7183" max="7183" width="11.7109375" style="141" customWidth="1"/>
    <col min="7184" max="7184" width="12.140625" style="141" customWidth="1"/>
    <col min="7185" max="7185" width="11.140625" style="141" customWidth="1"/>
    <col min="7186" max="7186" width="12.42578125" style="141" customWidth="1"/>
    <col min="7187" max="7187" width="11.28515625" style="141" customWidth="1"/>
    <col min="7188" max="7188" width="12.140625" style="141" customWidth="1"/>
    <col min="7189" max="7189" width="11" style="141" customWidth="1"/>
    <col min="7190" max="7190" width="12.140625" style="141" customWidth="1"/>
    <col min="7191" max="7434" width="9.140625" style="141"/>
    <col min="7435" max="7435" width="36.140625" style="141" customWidth="1"/>
    <col min="7436" max="7436" width="12.85546875" style="141" customWidth="1"/>
    <col min="7437" max="7437" width="12.140625" style="141" customWidth="1"/>
    <col min="7438" max="7438" width="12.5703125" style="141" customWidth="1"/>
    <col min="7439" max="7439" width="11.7109375" style="141" customWidth="1"/>
    <col min="7440" max="7440" width="12.140625" style="141" customWidth="1"/>
    <col min="7441" max="7441" width="11.140625" style="141" customWidth="1"/>
    <col min="7442" max="7442" width="12.42578125" style="141" customWidth="1"/>
    <col min="7443" max="7443" width="11.28515625" style="141" customWidth="1"/>
    <col min="7444" max="7444" width="12.140625" style="141" customWidth="1"/>
    <col min="7445" max="7445" width="11" style="141" customWidth="1"/>
    <col min="7446" max="7446" width="12.140625" style="141" customWidth="1"/>
    <col min="7447" max="7690" width="9.140625" style="141"/>
    <col min="7691" max="7691" width="36.140625" style="141" customWidth="1"/>
    <col min="7692" max="7692" width="12.85546875" style="141" customWidth="1"/>
    <col min="7693" max="7693" width="12.140625" style="141" customWidth="1"/>
    <col min="7694" max="7694" width="12.5703125" style="141" customWidth="1"/>
    <col min="7695" max="7695" width="11.7109375" style="141" customWidth="1"/>
    <col min="7696" max="7696" width="12.140625" style="141" customWidth="1"/>
    <col min="7697" max="7697" width="11.140625" style="141" customWidth="1"/>
    <col min="7698" max="7698" width="12.42578125" style="141" customWidth="1"/>
    <col min="7699" max="7699" width="11.28515625" style="141" customWidth="1"/>
    <col min="7700" max="7700" width="12.140625" style="141" customWidth="1"/>
    <col min="7701" max="7701" width="11" style="141" customWidth="1"/>
    <col min="7702" max="7702" width="12.140625" style="141" customWidth="1"/>
    <col min="7703" max="7946" width="9.140625" style="141"/>
    <col min="7947" max="7947" width="36.140625" style="141" customWidth="1"/>
    <col min="7948" max="7948" width="12.85546875" style="141" customWidth="1"/>
    <col min="7949" max="7949" width="12.140625" style="141" customWidth="1"/>
    <col min="7950" max="7950" width="12.5703125" style="141" customWidth="1"/>
    <col min="7951" max="7951" width="11.7109375" style="141" customWidth="1"/>
    <col min="7952" max="7952" width="12.140625" style="141" customWidth="1"/>
    <col min="7953" max="7953" width="11.140625" style="141" customWidth="1"/>
    <col min="7954" max="7954" width="12.42578125" style="141" customWidth="1"/>
    <col min="7955" max="7955" width="11.28515625" style="141" customWidth="1"/>
    <col min="7956" max="7956" width="12.140625" style="141" customWidth="1"/>
    <col min="7957" max="7957" width="11" style="141" customWidth="1"/>
    <col min="7958" max="7958" width="12.140625" style="141" customWidth="1"/>
    <col min="7959" max="8202" width="9.140625" style="141"/>
    <col min="8203" max="8203" width="36.140625" style="141" customWidth="1"/>
    <col min="8204" max="8204" width="12.85546875" style="141" customWidth="1"/>
    <col min="8205" max="8205" width="12.140625" style="141" customWidth="1"/>
    <col min="8206" max="8206" width="12.5703125" style="141" customWidth="1"/>
    <col min="8207" max="8207" width="11.7109375" style="141" customWidth="1"/>
    <col min="8208" max="8208" width="12.140625" style="141" customWidth="1"/>
    <col min="8209" max="8209" width="11.140625" style="141" customWidth="1"/>
    <col min="8210" max="8210" width="12.42578125" style="141" customWidth="1"/>
    <col min="8211" max="8211" width="11.28515625" style="141" customWidth="1"/>
    <col min="8212" max="8212" width="12.140625" style="141" customWidth="1"/>
    <col min="8213" max="8213" width="11" style="141" customWidth="1"/>
    <col min="8214" max="8214" width="12.140625" style="141" customWidth="1"/>
    <col min="8215" max="8458" width="9.140625" style="141"/>
    <col min="8459" max="8459" width="36.140625" style="141" customWidth="1"/>
    <col min="8460" max="8460" width="12.85546875" style="141" customWidth="1"/>
    <col min="8461" max="8461" width="12.140625" style="141" customWidth="1"/>
    <col min="8462" max="8462" width="12.5703125" style="141" customWidth="1"/>
    <col min="8463" max="8463" width="11.7109375" style="141" customWidth="1"/>
    <col min="8464" max="8464" width="12.140625" style="141" customWidth="1"/>
    <col min="8465" max="8465" width="11.140625" style="141" customWidth="1"/>
    <col min="8466" max="8466" width="12.42578125" style="141" customWidth="1"/>
    <col min="8467" max="8467" width="11.28515625" style="141" customWidth="1"/>
    <col min="8468" max="8468" width="12.140625" style="141" customWidth="1"/>
    <col min="8469" max="8469" width="11" style="141" customWidth="1"/>
    <col min="8470" max="8470" width="12.140625" style="141" customWidth="1"/>
    <col min="8471" max="8714" width="9.140625" style="141"/>
    <col min="8715" max="8715" width="36.140625" style="141" customWidth="1"/>
    <col min="8716" max="8716" width="12.85546875" style="141" customWidth="1"/>
    <col min="8717" max="8717" width="12.140625" style="141" customWidth="1"/>
    <col min="8718" max="8718" width="12.5703125" style="141" customWidth="1"/>
    <col min="8719" max="8719" width="11.7109375" style="141" customWidth="1"/>
    <col min="8720" max="8720" width="12.140625" style="141" customWidth="1"/>
    <col min="8721" max="8721" width="11.140625" style="141" customWidth="1"/>
    <col min="8722" max="8722" width="12.42578125" style="141" customWidth="1"/>
    <col min="8723" max="8723" width="11.28515625" style="141" customWidth="1"/>
    <col min="8724" max="8724" width="12.140625" style="141" customWidth="1"/>
    <col min="8725" max="8725" width="11" style="141" customWidth="1"/>
    <col min="8726" max="8726" width="12.140625" style="141" customWidth="1"/>
    <col min="8727" max="8970" width="9.140625" style="141"/>
    <col min="8971" max="8971" width="36.140625" style="141" customWidth="1"/>
    <col min="8972" max="8972" width="12.85546875" style="141" customWidth="1"/>
    <col min="8973" max="8973" width="12.140625" style="141" customWidth="1"/>
    <col min="8974" max="8974" width="12.5703125" style="141" customWidth="1"/>
    <col min="8975" max="8975" width="11.7109375" style="141" customWidth="1"/>
    <col min="8976" max="8976" width="12.140625" style="141" customWidth="1"/>
    <col min="8977" max="8977" width="11.140625" style="141" customWidth="1"/>
    <col min="8978" max="8978" width="12.42578125" style="141" customWidth="1"/>
    <col min="8979" max="8979" width="11.28515625" style="141" customWidth="1"/>
    <col min="8980" max="8980" width="12.140625" style="141" customWidth="1"/>
    <col min="8981" max="8981" width="11" style="141" customWidth="1"/>
    <col min="8982" max="8982" width="12.140625" style="141" customWidth="1"/>
    <col min="8983" max="9226" width="9.140625" style="141"/>
    <col min="9227" max="9227" width="36.140625" style="141" customWidth="1"/>
    <col min="9228" max="9228" width="12.85546875" style="141" customWidth="1"/>
    <col min="9229" max="9229" width="12.140625" style="141" customWidth="1"/>
    <col min="9230" max="9230" width="12.5703125" style="141" customWidth="1"/>
    <col min="9231" max="9231" width="11.7109375" style="141" customWidth="1"/>
    <col min="9232" max="9232" width="12.140625" style="141" customWidth="1"/>
    <col min="9233" max="9233" width="11.140625" style="141" customWidth="1"/>
    <col min="9234" max="9234" width="12.42578125" style="141" customWidth="1"/>
    <col min="9235" max="9235" width="11.28515625" style="141" customWidth="1"/>
    <col min="9236" max="9236" width="12.140625" style="141" customWidth="1"/>
    <col min="9237" max="9237" width="11" style="141" customWidth="1"/>
    <col min="9238" max="9238" width="12.140625" style="141" customWidth="1"/>
    <col min="9239" max="9482" width="9.140625" style="141"/>
    <col min="9483" max="9483" width="36.140625" style="141" customWidth="1"/>
    <col min="9484" max="9484" width="12.85546875" style="141" customWidth="1"/>
    <col min="9485" max="9485" width="12.140625" style="141" customWidth="1"/>
    <col min="9486" max="9486" width="12.5703125" style="141" customWidth="1"/>
    <col min="9487" max="9487" width="11.7109375" style="141" customWidth="1"/>
    <col min="9488" max="9488" width="12.140625" style="141" customWidth="1"/>
    <col min="9489" max="9489" width="11.140625" style="141" customWidth="1"/>
    <col min="9490" max="9490" width="12.42578125" style="141" customWidth="1"/>
    <col min="9491" max="9491" width="11.28515625" style="141" customWidth="1"/>
    <col min="9492" max="9492" width="12.140625" style="141" customWidth="1"/>
    <col min="9493" max="9493" width="11" style="141" customWidth="1"/>
    <col min="9494" max="9494" width="12.140625" style="141" customWidth="1"/>
    <col min="9495" max="9738" width="9.140625" style="141"/>
    <col min="9739" max="9739" width="36.140625" style="141" customWidth="1"/>
    <col min="9740" max="9740" width="12.85546875" style="141" customWidth="1"/>
    <col min="9741" max="9741" width="12.140625" style="141" customWidth="1"/>
    <col min="9742" max="9742" width="12.5703125" style="141" customWidth="1"/>
    <col min="9743" max="9743" width="11.7109375" style="141" customWidth="1"/>
    <col min="9744" max="9744" width="12.140625" style="141" customWidth="1"/>
    <col min="9745" max="9745" width="11.140625" style="141" customWidth="1"/>
    <col min="9746" max="9746" width="12.42578125" style="141" customWidth="1"/>
    <col min="9747" max="9747" width="11.28515625" style="141" customWidth="1"/>
    <col min="9748" max="9748" width="12.140625" style="141" customWidth="1"/>
    <col min="9749" max="9749" width="11" style="141" customWidth="1"/>
    <col min="9750" max="9750" width="12.140625" style="141" customWidth="1"/>
    <col min="9751" max="9994" width="9.140625" style="141"/>
    <col min="9995" max="9995" width="36.140625" style="141" customWidth="1"/>
    <col min="9996" max="9996" width="12.85546875" style="141" customWidth="1"/>
    <col min="9997" max="9997" width="12.140625" style="141" customWidth="1"/>
    <col min="9998" max="9998" width="12.5703125" style="141" customWidth="1"/>
    <col min="9999" max="9999" width="11.7109375" style="141" customWidth="1"/>
    <col min="10000" max="10000" width="12.140625" style="141" customWidth="1"/>
    <col min="10001" max="10001" width="11.140625" style="141" customWidth="1"/>
    <col min="10002" max="10002" width="12.42578125" style="141" customWidth="1"/>
    <col min="10003" max="10003" width="11.28515625" style="141" customWidth="1"/>
    <col min="10004" max="10004" width="12.140625" style="141" customWidth="1"/>
    <col min="10005" max="10005" width="11" style="141" customWidth="1"/>
    <col min="10006" max="10006" width="12.140625" style="141" customWidth="1"/>
    <col min="10007" max="10250" width="9.140625" style="141"/>
    <col min="10251" max="10251" width="36.140625" style="141" customWidth="1"/>
    <col min="10252" max="10252" width="12.85546875" style="141" customWidth="1"/>
    <col min="10253" max="10253" width="12.140625" style="141" customWidth="1"/>
    <col min="10254" max="10254" width="12.5703125" style="141" customWidth="1"/>
    <col min="10255" max="10255" width="11.7109375" style="141" customWidth="1"/>
    <col min="10256" max="10256" width="12.140625" style="141" customWidth="1"/>
    <col min="10257" max="10257" width="11.140625" style="141" customWidth="1"/>
    <col min="10258" max="10258" width="12.42578125" style="141" customWidth="1"/>
    <col min="10259" max="10259" width="11.28515625" style="141" customWidth="1"/>
    <col min="10260" max="10260" width="12.140625" style="141" customWidth="1"/>
    <col min="10261" max="10261" width="11" style="141" customWidth="1"/>
    <col min="10262" max="10262" width="12.140625" style="141" customWidth="1"/>
    <col min="10263" max="10506" width="9.140625" style="141"/>
    <col min="10507" max="10507" width="36.140625" style="141" customWidth="1"/>
    <col min="10508" max="10508" width="12.85546875" style="141" customWidth="1"/>
    <col min="10509" max="10509" width="12.140625" style="141" customWidth="1"/>
    <col min="10510" max="10510" width="12.5703125" style="141" customWidth="1"/>
    <col min="10511" max="10511" width="11.7109375" style="141" customWidth="1"/>
    <col min="10512" max="10512" width="12.140625" style="141" customWidth="1"/>
    <col min="10513" max="10513" width="11.140625" style="141" customWidth="1"/>
    <col min="10514" max="10514" width="12.42578125" style="141" customWidth="1"/>
    <col min="10515" max="10515" width="11.28515625" style="141" customWidth="1"/>
    <col min="10516" max="10516" width="12.140625" style="141" customWidth="1"/>
    <col min="10517" max="10517" width="11" style="141" customWidth="1"/>
    <col min="10518" max="10518" width="12.140625" style="141" customWidth="1"/>
    <col min="10519" max="10762" width="9.140625" style="141"/>
    <col min="10763" max="10763" width="36.140625" style="141" customWidth="1"/>
    <col min="10764" max="10764" width="12.85546875" style="141" customWidth="1"/>
    <col min="10765" max="10765" width="12.140625" style="141" customWidth="1"/>
    <col min="10766" max="10766" width="12.5703125" style="141" customWidth="1"/>
    <col min="10767" max="10767" width="11.7109375" style="141" customWidth="1"/>
    <col min="10768" max="10768" width="12.140625" style="141" customWidth="1"/>
    <col min="10769" max="10769" width="11.140625" style="141" customWidth="1"/>
    <col min="10770" max="10770" width="12.42578125" style="141" customWidth="1"/>
    <col min="10771" max="10771" width="11.28515625" style="141" customWidth="1"/>
    <col min="10772" max="10772" width="12.140625" style="141" customWidth="1"/>
    <col min="10773" max="10773" width="11" style="141" customWidth="1"/>
    <col min="10774" max="10774" width="12.140625" style="141" customWidth="1"/>
    <col min="10775" max="11018" width="9.140625" style="141"/>
    <col min="11019" max="11019" width="36.140625" style="141" customWidth="1"/>
    <col min="11020" max="11020" width="12.85546875" style="141" customWidth="1"/>
    <col min="11021" max="11021" width="12.140625" style="141" customWidth="1"/>
    <col min="11022" max="11022" width="12.5703125" style="141" customWidth="1"/>
    <col min="11023" max="11023" width="11.7109375" style="141" customWidth="1"/>
    <col min="11024" max="11024" width="12.140625" style="141" customWidth="1"/>
    <col min="11025" max="11025" width="11.140625" style="141" customWidth="1"/>
    <col min="11026" max="11026" width="12.42578125" style="141" customWidth="1"/>
    <col min="11027" max="11027" width="11.28515625" style="141" customWidth="1"/>
    <col min="11028" max="11028" width="12.140625" style="141" customWidth="1"/>
    <col min="11029" max="11029" width="11" style="141" customWidth="1"/>
    <col min="11030" max="11030" width="12.140625" style="141" customWidth="1"/>
    <col min="11031" max="11274" width="9.140625" style="141"/>
    <col min="11275" max="11275" width="36.140625" style="141" customWidth="1"/>
    <col min="11276" max="11276" width="12.85546875" style="141" customWidth="1"/>
    <col min="11277" max="11277" width="12.140625" style="141" customWidth="1"/>
    <col min="11278" max="11278" width="12.5703125" style="141" customWidth="1"/>
    <col min="11279" max="11279" width="11.7109375" style="141" customWidth="1"/>
    <col min="11280" max="11280" width="12.140625" style="141" customWidth="1"/>
    <col min="11281" max="11281" width="11.140625" style="141" customWidth="1"/>
    <col min="11282" max="11282" width="12.42578125" style="141" customWidth="1"/>
    <col min="11283" max="11283" width="11.28515625" style="141" customWidth="1"/>
    <col min="11284" max="11284" width="12.140625" style="141" customWidth="1"/>
    <col min="11285" max="11285" width="11" style="141" customWidth="1"/>
    <col min="11286" max="11286" width="12.140625" style="141" customWidth="1"/>
    <col min="11287" max="11530" width="9.140625" style="141"/>
    <col min="11531" max="11531" width="36.140625" style="141" customWidth="1"/>
    <col min="11532" max="11532" width="12.85546875" style="141" customWidth="1"/>
    <col min="11533" max="11533" width="12.140625" style="141" customWidth="1"/>
    <col min="11534" max="11534" width="12.5703125" style="141" customWidth="1"/>
    <col min="11535" max="11535" width="11.7109375" style="141" customWidth="1"/>
    <col min="11536" max="11536" width="12.140625" style="141" customWidth="1"/>
    <col min="11537" max="11537" width="11.140625" style="141" customWidth="1"/>
    <col min="11538" max="11538" width="12.42578125" style="141" customWidth="1"/>
    <col min="11539" max="11539" width="11.28515625" style="141" customWidth="1"/>
    <col min="11540" max="11540" width="12.140625" style="141" customWidth="1"/>
    <col min="11541" max="11541" width="11" style="141" customWidth="1"/>
    <col min="11542" max="11542" width="12.140625" style="141" customWidth="1"/>
    <col min="11543" max="11786" width="9.140625" style="141"/>
    <col min="11787" max="11787" width="36.140625" style="141" customWidth="1"/>
    <col min="11788" max="11788" width="12.85546875" style="141" customWidth="1"/>
    <col min="11789" max="11789" width="12.140625" style="141" customWidth="1"/>
    <col min="11790" max="11790" width="12.5703125" style="141" customWidth="1"/>
    <col min="11791" max="11791" width="11.7109375" style="141" customWidth="1"/>
    <col min="11792" max="11792" width="12.140625" style="141" customWidth="1"/>
    <col min="11793" max="11793" width="11.140625" style="141" customWidth="1"/>
    <col min="11794" max="11794" width="12.42578125" style="141" customWidth="1"/>
    <col min="11795" max="11795" width="11.28515625" style="141" customWidth="1"/>
    <col min="11796" max="11796" width="12.140625" style="141" customWidth="1"/>
    <col min="11797" max="11797" width="11" style="141" customWidth="1"/>
    <col min="11798" max="11798" width="12.140625" style="141" customWidth="1"/>
    <col min="11799" max="12042" width="9.140625" style="141"/>
    <col min="12043" max="12043" width="36.140625" style="141" customWidth="1"/>
    <col min="12044" max="12044" width="12.85546875" style="141" customWidth="1"/>
    <col min="12045" max="12045" width="12.140625" style="141" customWidth="1"/>
    <col min="12046" max="12046" width="12.5703125" style="141" customWidth="1"/>
    <col min="12047" max="12047" width="11.7109375" style="141" customWidth="1"/>
    <col min="12048" max="12048" width="12.140625" style="141" customWidth="1"/>
    <col min="12049" max="12049" width="11.140625" style="141" customWidth="1"/>
    <col min="12050" max="12050" width="12.42578125" style="141" customWidth="1"/>
    <col min="12051" max="12051" width="11.28515625" style="141" customWidth="1"/>
    <col min="12052" max="12052" width="12.140625" style="141" customWidth="1"/>
    <col min="12053" max="12053" width="11" style="141" customWidth="1"/>
    <col min="12054" max="12054" width="12.140625" style="141" customWidth="1"/>
    <col min="12055" max="12298" width="9.140625" style="141"/>
    <col min="12299" max="12299" width="36.140625" style="141" customWidth="1"/>
    <col min="12300" max="12300" width="12.85546875" style="141" customWidth="1"/>
    <col min="12301" max="12301" width="12.140625" style="141" customWidth="1"/>
    <col min="12302" max="12302" width="12.5703125" style="141" customWidth="1"/>
    <col min="12303" max="12303" width="11.7109375" style="141" customWidth="1"/>
    <col min="12304" max="12304" width="12.140625" style="141" customWidth="1"/>
    <col min="12305" max="12305" width="11.140625" style="141" customWidth="1"/>
    <col min="12306" max="12306" width="12.42578125" style="141" customWidth="1"/>
    <col min="12307" max="12307" width="11.28515625" style="141" customWidth="1"/>
    <col min="12308" max="12308" width="12.140625" style="141" customWidth="1"/>
    <col min="12309" max="12309" width="11" style="141" customWidth="1"/>
    <col min="12310" max="12310" width="12.140625" style="141" customWidth="1"/>
    <col min="12311" max="12554" width="9.140625" style="141"/>
    <col min="12555" max="12555" width="36.140625" style="141" customWidth="1"/>
    <col min="12556" max="12556" width="12.85546875" style="141" customWidth="1"/>
    <col min="12557" max="12557" width="12.140625" style="141" customWidth="1"/>
    <col min="12558" max="12558" width="12.5703125" style="141" customWidth="1"/>
    <col min="12559" max="12559" width="11.7109375" style="141" customWidth="1"/>
    <col min="12560" max="12560" width="12.140625" style="141" customWidth="1"/>
    <col min="12561" max="12561" width="11.140625" style="141" customWidth="1"/>
    <col min="12562" max="12562" width="12.42578125" style="141" customWidth="1"/>
    <col min="12563" max="12563" width="11.28515625" style="141" customWidth="1"/>
    <col min="12564" max="12564" width="12.140625" style="141" customWidth="1"/>
    <col min="12565" max="12565" width="11" style="141" customWidth="1"/>
    <col min="12566" max="12566" width="12.140625" style="141" customWidth="1"/>
    <col min="12567" max="12810" width="9.140625" style="141"/>
    <col min="12811" max="12811" width="36.140625" style="141" customWidth="1"/>
    <col min="12812" max="12812" width="12.85546875" style="141" customWidth="1"/>
    <col min="12813" max="12813" width="12.140625" style="141" customWidth="1"/>
    <col min="12814" max="12814" width="12.5703125" style="141" customWidth="1"/>
    <col min="12815" max="12815" width="11.7109375" style="141" customWidth="1"/>
    <col min="12816" max="12816" width="12.140625" style="141" customWidth="1"/>
    <col min="12817" max="12817" width="11.140625" style="141" customWidth="1"/>
    <col min="12818" max="12818" width="12.42578125" style="141" customWidth="1"/>
    <col min="12819" max="12819" width="11.28515625" style="141" customWidth="1"/>
    <col min="12820" max="12820" width="12.140625" style="141" customWidth="1"/>
    <col min="12821" max="12821" width="11" style="141" customWidth="1"/>
    <col min="12822" max="12822" width="12.140625" style="141" customWidth="1"/>
    <col min="12823" max="13066" width="9.140625" style="141"/>
    <col min="13067" max="13067" width="36.140625" style="141" customWidth="1"/>
    <col min="13068" max="13068" width="12.85546875" style="141" customWidth="1"/>
    <col min="13069" max="13069" width="12.140625" style="141" customWidth="1"/>
    <col min="13070" max="13070" width="12.5703125" style="141" customWidth="1"/>
    <col min="13071" max="13071" width="11.7109375" style="141" customWidth="1"/>
    <col min="13072" max="13072" width="12.140625" style="141" customWidth="1"/>
    <col min="13073" max="13073" width="11.140625" style="141" customWidth="1"/>
    <col min="13074" max="13074" width="12.42578125" style="141" customWidth="1"/>
    <col min="13075" max="13075" width="11.28515625" style="141" customWidth="1"/>
    <col min="13076" max="13076" width="12.140625" style="141" customWidth="1"/>
    <col min="13077" max="13077" width="11" style="141" customWidth="1"/>
    <col min="13078" max="13078" width="12.140625" style="141" customWidth="1"/>
    <col min="13079" max="13322" width="9.140625" style="141"/>
    <col min="13323" max="13323" width="36.140625" style="141" customWidth="1"/>
    <col min="13324" max="13324" width="12.85546875" style="141" customWidth="1"/>
    <col min="13325" max="13325" width="12.140625" style="141" customWidth="1"/>
    <col min="13326" max="13326" width="12.5703125" style="141" customWidth="1"/>
    <col min="13327" max="13327" width="11.7109375" style="141" customWidth="1"/>
    <col min="13328" max="13328" width="12.140625" style="141" customWidth="1"/>
    <col min="13329" max="13329" width="11.140625" style="141" customWidth="1"/>
    <col min="13330" max="13330" width="12.42578125" style="141" customWidth="1"/>
    <col min="13331" max="13331" width="11.28515625" style="141" customWidth="1"/>
    <col min="13332" max="13332" width="12.140625" style="141" customWidth="1"/>
    <col min="13333" max="13333" width="11" style="141" customWidth="1"/>
    <col min="13334" max="13334" width="12.140625" style="141" customWidth="1"/>
    <col min="13335" max="13578" width="9.140625" style="141"/>
    <col min="13579" max="13579" width="36.140625" style="141" customWidth="1"/>
    <col min="13580" max="13580" width="12.85546875" style="141" customWidth="1"/>
    <col min="13581" max="13581" width="12.140625" style="141" customWidth="1"/>
    <col min="13582" max="13582" width="12.5703125" style="141" customWidth="1"/>
    <col min="13583" max="13583" width="11.7109375" style="141" customWidth="1"/>
    <col min="13584" max="13584" width="12.140625" style="141" customWidth="1"/>
    <col min="13585" max="13585" width="11.140625" style="141" customWidth="1"/>
    <col min="13586" max="13586" width="12.42578125" style="141" customWidth="1"/>
    <col min="13587" max="13587" width="11.28515625" style="141" customWidth="1"/>
    <col min="13588" max="13588" width="12.140625" style="141" customWidth="1"/>
    <col min="13589" max="13589" width="11" style="141" customWidth="1"/>
    <col min="13590" max="13590" width="12.140625" style="141" customWidth="1"/>
    <col min="13591" max="13834" width="9.140625" style="141"/>
    <col min="13835" max="13835" width="36.140625" style="141" customWidth="1"/>
    <col min="13836" max="13836" width="12.85546875" style="141" customWidth="1"/>
    <col min="13837" max="13837" width="12.140625" style="141" customWidth="1"/>
    <col min="13838" max="13838" width="12.5703125" style="141" customWidth="1"/>
    <col min="13839" max="13839" width="11.7109375" style="141" customWidth="1"/>
    <col min="13840" max="13840" width="12.140625" style="141" customWidth="1"/>
    <col min="13841" max="13841" width="11.140625" style="141" customWidth="1"/>
    <col min="13842" max="13842" width="12.42578125" style="141" customWidth="1"/>
    <col min="13843" max="13843" width="11.28515625" style="141" customWidth="1"/>
    <col min="13844" max="13844" width="12.140625" style="141" customWidth="1"/>
    <col min="13845" max="13845" width="11" style="141" customWidth="1"/>
    <col min="13846" max="13846" width="12.140625" style="141" customWidth="1"/>
    <col min="13847" max="14090" width="9.140625" style="141"/>
    <col min="14091" max="14091" width="36.140625" style="141" customWidth="1"/>
    <col min="14092" max="14092" width="12.85546875" style="141" customWidth="1"/>
    <col min="14093" max="14093" width="12.140625" style="141" customWidth="1"/>
    <col min="14094" max="14094" width="12.5703125" style="141" customWidth="1"/>
    <col min="14095" max="14095" width="11.7109375" style="141" customWidth="1"/>
    <col min="14096" max="14096" width="12.140625" style="141" customWidth="1"/>
    <col min="14097" max="14097" width="11.140625" style="141" customWidth="1"/>
    <col min="14098" max="14098" width="12.42578125" style="141" customWidth="1"/>
    <col min="14099" max="14099" width="11.28515625" style="141" customWidth="1"/>
    <col min="14100" max="14100" width="12.140625" style="141" customWidth="1"/>
    <col min="14101" max="14101" width="11" style="141" customWidth="1"/>
    <col min="14102" max="14102" width="12.140625" style="141" customWidth="1"/>
    <col min="14103" max="14346" width="9.140625" style="141"/>
    <col min="14347" max="14347" width="36.140625" style="141" customWidth="1"/>
    <col min="14348" max="14348" width="12.85546875" style="141" customWidth="1"/>
    <col min="14349" max="14349" width="12.140625" style="141" customWidth="1"/>
    <col min="14350" max="14350" width="12.5703125" style="141" customWidth="1"/>
    <col min="14351" max="14351" width="11.7109375" style="141" customWidth="1"/>
    <col min="14352" max="14352" width="12.140625" style="141" customWidth="1"/>
    <col min="14353" max="14353" width="11.140625" style="141" customWidth="1"/>
    <col min="14354" max="14354" width="12.42578125" style="141" customWidth="1"/>
    <col min="14355" max="14355" width="11.28515625" style="141" customWidth="1"/>
    <col min="14356" max="14356" width="12.140625" style="141" customWidth="1"/>
    <col min="14357" max="14357" width="11" style="141" customWidth="1"/>
    <col min="14358" max="14358" width="12.140625" style="141" customWidth="1"/>
    <col min="14359" max="14602" width="9.140625" style="141"/>
    <col min="14603" max="14603" width="36.140625" style="141" customWidth="1"/>
    <col min="14604" max="14604" width="12.85546875" style="141" customWidth="1"/>
    <col min="14605" max="14605" width="12.140625" style="141" customWidth="1"/>
    <col min="14606" max="14606" width="12.5703125" style="141" customWidth="1"/>
    <col min="14607" max="14607" width="11.7109375" style="141" customWidth="1"/>
    <col min="14608" max="14608" width="12.140625" style="141" customWidth="1"/>
    <col min="14609" max="14609" width="11.140625" style="141" customWidth="1"/>
    <col min="14610" max="14610" width="12.42578125" style="141" customWidth="1"/>
    <col min="14611" max="14611" width="11.28515625" style="141" customWidth="1"/>
    <col min="14612" max="14612" width="12.140625" style="141" customWidth="1"/>
    <col min="14613" max="14613" width="11" style="141" customWidth="1"/>
    <col min="14614" max="14614" width="12.140625" style="141" customWidth="1"/>
    <col min="14615" max="14858" width="9.140625" style="141"/>
    <col min="14859" max="14859" width="36.140625" style="141" customWidth="1"/>
    <col min="14860" max="14860" width="12.85546875" style="141" customWidth="1"/>
    <col min="14861" max="14861" width="12.140625" style="141" customWidth="1"/>
    <col min="14862" max="14862" width="12.5703125" style="141" customWidth="1"/>
    <col min="14863" max="14863" width="11.7109375" style="141" customWidth="1"/>
    <col min="14864" max="14864" width="12.140625" style="141" customWidth="1"/>
    <col min="14865" max="14865" width="11.140625" style="141" customWidth="1"/>
    <col min="14866" max="14866" width="12.42578125" style="141" customWidth="1"/>
    <col min="14867" max="14867" width="11.28515625" style="141" customWidth="1"/>
    <col min="14868" max="14868" width="12.140625" style="141" customWidth="1"/>
    <col min="14869" max="14869" width="11" style="141" customWidth="1"/>
    <col min="14870" max="14870" width="12.140625" style="141" customWidth="1"/>
    <col min="14871" max="15114" width="9.140625" style="141"/>
    <col min="15115" max="15115" width="36.140625" style="141" customWidth="1"/>
    <col min="15116" max="15116" width="12.85546875" style="141" customWidth="1"/>
    <col min="15117" max="15117" width="12.140625" style="141" customWidth="1"/>
    <col min="15118" max="15118" width="12.5703125" style="141" customWidth="1"/>
    <col min="15119" max="15119" width="11.7109375" style="141" customWidth="1"/>
    <col min="15120" max="15120" width="12.140625" style="141" customWidth="1"/>
    <col min="15121" max="15121" width="11.140625" style="141" customWidth="1"/>
    <col min="15122" max="15122" width="12.42578125" style="141" customWidth="1"/>
    <col min="15123" max="15123" width="11.28515625" style="141" customWidth="1"/>
    <col min="15124" max="15124" width="12.140625" style="141" customWidth="1"/>
    <col min="15125" max="15125" width="11" style="141" customWidth="1"/>
    <col min="15126" max="15126" width="12.140625" style="141" customWidth="1"/>
    <col min="15127" max="15370" width="9.140625" style="141"/>
    <col min="15371" max="15371" width="36.140625" style="141" customWidth="1"/>
    <col min="15372" max="15372" width="12.85546875" style="141" customWidth="1"/>
    <col min="15373" max="15373" width="12.140625" style="141" customWidth="1"/>
    <col min="15374" max="15374" width="12.5703125" style="141" customWidth="1"/>
    <col min="15375" max="15375" width="11.7109375" style="141" customWidth="1"/>
    <col min="15376" max="15376" width="12.140625" style="141" customWidth="1"/>
    <col min="15377" max="15377" width="11.140625" style="141" customWidth="1"/>
    <col min="15378" max="15378" width="12.42578125" style="141" customWidth="1"/>
    <col min="15379" max="15379" width="11.28515625" style="141" customWidth="1"/>
    <col min="15380" max="15380" width="12.140625" style="141" customWidth="1"/>
    <col min="15381" max="15381" width="11" style="141" customWidth="1"/>
    <col min="15382" max="15382" width="12.140625" style="141" customWidth="1"/>
    <col min="15383" max="15626" width="9.140625" style="141"/>
    <col min="15627" max="15627" width="36.140625" style="141" customWidth="1"/>
    <col min="15628" max="15628" width="12.85546875" style="141" customWidth="1"/>
    <col min="15629" max="15629" width="12.140625" style="141" customWidth="1"/>
    <col min="15630" max="15630" width="12.5703125" style="141" customWidth="1"/>
    <col min="15631" max="15631" width="11.7109375" style="141" customWidth="1"/>
    <col min="15632" max="15632" width="12.140625" style="141" customWidth="1"/>
    <col min="15633" max="15633" width="11.140625" style="141" customWidth="1"/>
    <col min="15634" max="15634" width="12.42578125" style="141" customWidth="1"/>
    <col min="15635" max="15635" width="11.28515625" style="141" customWidth="1"/>
    <col min="15636" max="15636" width="12.140625" style="141" customWidth="1"/>
    <col min="15637" max="15637" width="11" style="141" customWidth="1"/>
    <col min="15638" max="15638" width="12.140625" style="141" customWidth="1"/>
    <col min="15639" max="15882" width="9.140625" style="141"/>
    <col min="15883" max="15883" width="36.140625" style="141" customWidth="1"/>
    <col min="15884" max="15884" width="12.85546875" style="141" customWidth="1"/>
    <col min="15885" max="15885" width="12.140625" style="141" customWidth="1"/>
    <col min="15886" max="15886" width="12.5703125" style="141" customWidth="1"/>
    <col min="15887" max="15887" width="11.7109375" style="141" customWidth="1"/>
    <col min="15888" max="15888" width="12.140625" style="141" customWidth="1"/>
    <col min="15889" max="15889" width="11.140625" style="141" customWidth="1"/>
    <col min="15890" max="15890" width="12.42578125" style="141" customWidth="1"/>
    <col min="15891" max="15891" width="11.28515625" style="141" customWidth="1"/>
    <col min="15892" max="15892" width="12.140625" style="141" customWidth="1"/>
    <col min="15893" max="15893" width="11" style="141" customWidth="1"/>
    <col min="15894" max="15894" width="12.140625" style="141" customWidth="1"/>
    <col min="15895" max="16138" width="9.140625" style="141"/>
    <col min="16139" max="16139" width="36.140625" style="141" customWidth="1"/>
    <col min="16140" max="16140" width="12.85546875" style="141" customWidth="1"/>
    <col min="16141" max="16141" width="12.140625" style="141" customWidth="1"/>
    <col min="16142" max="16142" width="12.5703125" style="141" customWidth="1"/>
    <col min="16143" max="16143" width="11.7109375" style="141" customWidth="1"/>
    <col min="16144" max="16144" width="12.140625" style="141" customWidth="1"/>
    <col min="16145" max="16145" width="11.140625" style="141" customWidth="1"/>
    <col min="16146" max="16146" width="12.42578125" style="141" customWidth="1"/>
    <col min="16147" max="16147" width="11.28515625" style="141" customWidth="1"/>
    <col min="16148" max="16148" width="12.140625" style="141" customWidth="1"/>
    <col min="16149" max="16149" width="11" style="141" customWidth="1"/>
    <col min="16150" max="16150" width="12.140625" style="141" customWidth="1"/>
    <col min="16151" max="16384" width="9.140625" style="141"/>
  </cols>
  <sheetData>
    <row r="1" spans="1:45" ht="58.5" customHeight="1" x14ac:dyDescent="0.25">
      <c r="A1" s="455" t="s">
        <v>894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140"/>
      <c r="N1" s="140"/>
    </row>
    <row r="2" spans="1:45" x14ac:dyDescent="0.25">
      <c r="A2" s="456" t="s">
        <v>745</v>
      </c>
      <c r="B2" s="457" t="s">
        <v>746</v>
      </c>
      <c r="C2" s="453" t="s">
        <v>747</v>
      </c>
      <c r="D2" s="454"/>
      <c r="E2" s="453" t="s">
        <v>748</v>
      </c>
      <c r="F2" s="454"/>
      <c r="G2" s="453" t="s">
        <v>749</v>
      </c>
      <c r="H2" s="454"/>
      <c r="I2" s="453" t="s">
        <v>750</v>
      </c>
      <c r="J2" s="454"/>
      <c r="K2" s="453" t="s">
        <v>751</v>
      </c>
      <c r="L2" s="454"/>
      <c r="M2" s="453" t="s">
        <v>752</v>
      </c>
      <c r="N2" s="454"/>
      <c r="O2" s="453" t="s">
        <v>753</v>
      </c>
      <c r="P2" s="454"/>
      <c r="Q2" s="453" t="s">
        <v>836</v>
      </c>
      <c r="R2" s="454"/>
      <c r="S2" s="453" t="s">
        <v>837</v>
      </c>
      <c r="T2" s="454"/>
      <c r="U2" s="453" t="s">
        <v>895</v>
      </c>
      <c r="V2" s="454"/>
      <c r="W2" s="453" t="s">
        <v>896</v>
      </c>
      <c r="X2" s="454"/>
      <c r="Y2" s="141">
        <v>2024</v>
      </c>
    </row>
    <row r="3" spans="1:45" ht="47.25" x14ac:dyDescent="0.25">
      <c r="A3" s="456"/>
      <c r="B3" s="456"/>
      <c r="C3" s="142" t="s">
        <v>754</v>
      </c>
      <c r="D3" s="142" t="s">
        <v>755</v>
      </c>
      <c r="E3" s="142" t="s">
        <v>754</v>
      </c>
      <c r="F3" s="142" t="s">
        <v>756</v>
      </c>
      <c r="G3" s="142" t="s">
        <v>754</v>
      </c>
      <c r="H3" s="142" t="s">
        <v>757</v>
      </c>
      <c r="I3" s="142" t="s">
        <v>754</v>
      </c>
      <c r="J3" s="142" t="s">
        <v>759</v>
      </c>
      <c r="K3" s="142" t="s">
        <v>758</v>
      </c>
      <c r="L3" s="142" t="s">
        <v>761</v>
      </c>
      <c r="M3" s="142" t="s">
        <v>760</v>
      </c>
      <c r="N3" s="142" t="s">
        <v>762</v>
      </c>
      <c r="O3" s="142" t="s">
        <v>760</v>
      </c>
      <c r="P3" s="142" t="s">
        <v>763</v>
      </c>
      <c r="Q3" s="142" t="s">
        <v>760</v>
      </c>
      <c r="R3" s="142" t="s">
        <v>763</v>
      </c>
      <c r="S3" s="142" t="s">
        <v>760</v>
      </c>
      <c r="T3" s="142" t="s">
        <v>763</v>
      </c>
      <c r="U3" s="142" t="s">
        <v>760</v>
      </c>
      <c r="V3" s="142" t="s">
        <v>763</v>
      </c>
      <c r="W3" s="142" t="s">
        <v>760</v>
      </c>
      <c r="X3" s="142" t="s">
        <v>763</v>
      </c>
      <c r="Z3" s="453" t="s">
        <v>748</v>
      </c>
      <c r="AA3" s="454"/>
      <c r="AB3" s="453" t="s">
        <v>749</v>
      </c>
      <c r="AC3" s="454"/>
      <c r="AD3" s="453" t="s">
        <v>750</v>
      </c>
      <c r="AE3" s="454"/>
      <c r="AF3" s="453" t="s">
        <v>751</v>
      </c>
      <c r="AG3" s="454"/>
      <c r="AH3" s="453" t="s">
        <v>752</v>
      </c>
      <c r="AI3" s="454"/>
      <c r="AJ3" s="453" t="s">
        <v>753</v>
      </c>
      <c r="AK3" s="454"/>
      <c r="AL3" s="453" t="s">
        <v>836</v>
      </c>
      <c r="AM3" s="454"/>
      <c r="AN3" s="453" t="s">
        <v>837</v>
      </c>
      <c r="AO3" s="454"/>
      <c r="AP3" s="453" t="s">
        <v>895</v>
      </c>
      <c r="AQ3" s="454"/>
      <c r="AR3" s="453" t="s">
        <v>896</v>
      </c>
      <c r="AS3" s="454"/>
    </row>
    <row r="4" spans="1:45" ht="36" x14ac:dyDescent="0.25">
      <c r="A4" s="143" t="s">
        <v>764</v>
      </c>
      <c r="B4" s="144" t="s">
        <v>765</v>
      </c>
      <c r="C4" s="145">
        <v>9982.6</v>
      </c>
      <c r="D4" s="145">
        <v>101.8</v>
      </c>
      <c r="E4" s="150">
        <v>10183.299999999999</v>
      </c>
      <c r="F4" s="145">
        <f>+E4/C4*100</f>
        <v>102.01049826698454</v>
      </c>
      <c r="G4" s="150">
        <v>10398.4</v>
      </c>
      <c r="H4" s="145">
        <f>+G4/E4*100</f>
        <v>102.11228187326309</v>
      </c>
      <c r="I4" s="150">
        <v>10614.691000000001</v>
      </c>
      <c r="J4" s="145">
        <f>+I4/G4*100</f>
        <v>102.0800411601785</v>
      </c>
      <c r="K4" s="146">
        <f>+I4*L4/100</f>
        <v>10837.599511</v>
      </c>
      <c r="L4" s="145">
        <v>102.1</v>
      </c>
      <c r="M4" s="146">
        <f>+K4*N4/100</f>
        <v>11076.026700242001</v>
      </c>
      <c r="N4" s="145">
        <v>102.2</v>
      </c>
      <c r="O4" s="146">
        <f>+M4*P4/100</f>
        <v>11319.699287647325</v>
      </c>
      <c r="P4" s="145">
        <v>102.2</v>
      </c>
      <c r="Q4" s="146">
        <f>+O4*P4/100</f>
        <v>11568.732671975566</v>
      </c>
      <c r="R4" s="145">
        <v>102.2</v>
      </c>
      <c r="S4" s="146">
        <f>+Q4*R4/100</f>
        <v>11823.244790759029</v>
      </c>
      <c r="T4" s="145">
        <v>102.2</v>
      </c>
      <c r="U4" s="146">
        <f>+S4*T4/100</f>
        <v>12083.356176155727</v>
      </c>
      <c r="V4" s="145">
        <v>102.2</v>
      </c>
      <c r="W4" s="146">
        <f>+U4*V4/100</f>
        <v>12349.190012031153</v>
      </c>
      <c r="X4" s="145">
        <v>102.3</v>
      </c>
      <c r="Y4" s="141">
        <v>10382.1</v>
      </c>
      <c r="Z4" s="147">
        <f>C4*F4/100</f>
        <v>10183.299999999999</v>
      </c>
      <c r="AA4" s="141">
        <f>E4/C4*100</f>
        <v>102.01049826698454</v>
      </c>
      <c r="AB4" s="147">
        <f>E4*H4/100</f>
        <v>10398.4</v>
      </c>
      <c r="AC4" s="141">
        <f>G4/E4*100</f>
        <v>102.11228187326309</v>
      </c>
      <c r="AD4" s="147">
        <f>G4*J4/100</f>
        <v>10614.691000000001</v>
      </c>
      <c r="AE4" s="141">
        <f>I4/G4*100</f>
        <v>102.0800411601785</v>
      </c>
      <c r="AF4" s="147">
        <f>I4*L4/100</f>
        <v>10837.599511</v>
      </c>
      <c r="AG4" s="141">
        <f>K4/I4*100</f>
        <v>102.1</v>
      </c>
      <c r="AH4" s="147">
        <f>K4*N4/100</f>
        <v>11076.026700242001</v>
      </c>
      <c r="AI4" s="141">
        <f>M4/K4*100</f>
        <v>102.2</v>
      </c>
      <c r="AJ4" s="147">
        <f>M4*P4/100</f>
        <v>11319.699287647325</v>
      </c>
      <c r="AK4" s="141">
        <f>O4/M4*100</f>
        <v>102.2</v>
      </c>
      <c r="AL4" s="147">
        <f>O4*R4/100</f>
        <v>11568.732671975566</v>
      </c>
      <c r="AM4" s="141">
        <f>Q4/O4*100</f>
        <v>102.2</v>
      </c>
      <c r="AN4" s="147">
        <f>Q4*T4/100</f>
        <v>11823.244790759029</v>
      </c>
      <c r="AO4" s="141">
        <f>S4/Q4*100</f>
        <v>102.2</v>
      </c>
      <c r="AP4" s="147">
        <f>S4*V4/100</f>
        <v>12083.356176155727</v>
      </c>
      <c r="AQ4" s="141">
        <f>U4/S4*100</f>
        <v>102.2</v>
      </c>
      <c r="AR4" s="147">
        <f>U4*X4/100</f>
        <v>12361.273368207307</v>
      </c>
      <c r="AS4" s="141">
        <f>W4/U4*100</f>
        <v>102.2</v>
      </c>
    </row>
    <row r="5" spans="1:45" ht="36" x14ac:dyDescent="0.25">
      <c r="A5" s="143" t="s">
        <v>766</v>
      </c>
      <c r="B5" s="144" t="s">
        <v>767</v>
      </c>
      <c r="C5" s="145">
        <v>118181.70000000001</v>
      </c>
      <c r="D5" s="145">
        <v>108.03592118033602</v>
      </c>
      <c r="E5" s="145">
        <v>132781.90000000002</v>
      </c>
      <c r="F5" s="145">
        <v>108.31976837361451</v>
      </c>
      <c r="G5" s="166">
        <v>155783.9</v>
      </c>
      <c r="H5" s="166">
        <v>108.4</v>
      </c>
      <c r="I5" s="166">
        <v>176919</v>
      </c>
      <c r="J5" s="166">
        <v>108.4</v>
      </c>
      <c r="K5" s="166">
        <f>GDP!P19</f>
        <v>199898.14276237882</v>
      </c>
      <c r="L5" s="166">
        <f>GDP!P36</f>
        <v>108.51599957200115</v>
      </c>
      <c r="M5" s="166">
        <f>GDP!Q19</f>
        <v>225457.16600975062</v>
      </c>
      <c r="N5" s="166">
        <f>GDP!Q36</f>
        <v>108.37388918991087</v>
      </c>
      <c r="O5" s="170">
        <f>GDP!R19</f>
        <v>254611.99914551765</v>
      </c>
      <c r="P5" s="166">
        <f>GDP!R36</f>
        <v>108.62520475951297</v>
      </c>
      <c r="Q5" s="170">
        <f>GDP!S19</f>
        <v>290957.13820040174</v>
      </c>
      <c r="R5" s="166">
        <f>GDP!S36</f>
        <v>108.76495168739831</v>
      </c>
      <c r="S5" s="170">
        <f>GDP!T19</f>
        <v>325987.61538032541</v>
      </c>
      <c r="T5" s="170">
        <f>GDP!T36</f>
        <v>107.88215008830171</v>
      </c>
      <c r="U5" s="170">
        <f>GDP!U19</f>
        <v>368330.85435261187</v>
      </c>
      <c r="V5" s="166">
        <f>GDP!U36</f>
        <v>108.53791833540478</v>
      </c>
      <c r="W5" s="170">
        <f>GDP!V19</f>
        <v>413970.3378483266</v>
      </c>
      <c r="X5" s="166">
        <f>GDP!V36</f>
        <v>108.10939364078631</v>
      </c>
      <c r="Y5" s="141">
        <v>153402.20000000001</v>
      </c>
      <c r="Z5" s="141">
        <f>S5/I5*100</f>
        <v>184.25811551067179</v>
      </c>
    </row>
    <row r="6" spans="1:45" x14ac:dyDescent="0.25">
      <c r="A6" s="149" t="s">
        <v>768</v>
      </c>
      <c r="B6" s="144" t="s">
        <v>769</v>
      </c>
      <c r="C6" s="145"/>
      <c r="D6" s="145">
        <v>108.22627671327531</v>
      </c>
      <c r="E6" s="145"/>
      <c r="F6" s="145">
        <v>103.72439807211711</v>
      </c>
      <c r="G6" s="145"/>
      <c r="H6" s="166">
        <v>108.2</v>
      </c>
      <c r="I6" s="145"/>
      <c r="J6" s="166">
        <v>106.4</v>
      </c>
      <c r="K6" s="145"/>
      <c r="L6" s="166">
        <f>GDP!P35</f>
        <v>104.12160776545542</v>
      </c>
      <c r="M6" s="145"/>
      <c r="N6" s="166">
        <f>GDP!Q35</f>
        <v>104.07121513480601</v>
      </c>
      <c r="O6" s="148"/>
      <c r="P6" s="166">
        <f>GDP!R35</f>
        <v>103.96429553886924</v>
      </c>
      <c r="Q6" s="148"/>
      <c r="R6" s="166">
        <f>GDP!S35</f>
        <v>105.06575320666383</v>
      </c>
      <c r="S6" s="148"/>
      <c r="T6" s="170">
        <f>GDP!T35</f>
        <v>103.85382375573234</v>
      </c>
      <c r="U6" s="148"/>
      <c r="V6" s="166">
        <f>GDP!U35</f>
        <v>104.10114621650719</v>
      </c>
      <c r="W6" s="148"/>
      <c r="X6" s="166">
        <f>GDP!V35</f>
        <v>103.96034017752895</v>
      </c>
      <c r="Z6" s="141" t="e">
        <f>S6/I6*100</f>
        <v>#DIV/0!</v>
      </c>
    </row>
    <row r="7" spans="1:45" x14ac:dyDescent="0.25">
      <c r="A7" s="149" t="s">
        <v>770</v>
      </c>
      <c r="B7" s="144" t="s">
        <v>769</v>
      </c>
      <c r="C7" s="145"/>
      <c r="D7" s="145">
        <v>104.2</v>
      </c>
      <c r="E7" s="145"/>
      <c r="F7" s="145">
        <v>103.8</v>
      </c>
      <c r="G7" s="145"/>
      <c r="H7" s="166">
        <v>103.6</v>
      </c>
      <c r="I7" s="145"/>
      <c r="J7" s="166">
        <v>103.5</v>
      </c>
      <c r="K7" s="145"/>
      <c r="L7" s="166">
        <f>'6_Closures'!E20</f>
        <v>103.92894</v>
      </c>
      <c r="M7" s="145"/>
      <c r="N7" s="166">
        <f>'6_Closures'!F20</f>
        <v>104.0021921</v>
      </c>
      <c r="O7" s="148"/>
      <c r="P7" s="166">
        <f>'6_Closures'!G20</f>
        <v>103.839181</v>
      </c>
      <c r="Q7" s="148"/>
      <c r="R7" s="166">
        <f>'6_Closures'!H20</f>
        <v>103.94068900000001</v>
      </c>
      <c r="S7" s="148"/>
      <c r="T7" s="166">
        <f>'6_Closures'!I20</f>
        <v>104.053101</v>
      </c>
      <c r="U7" s="433"/>
      <c r="V7" s="166">
        <f>'6_Closures'!J20</f>
        <v>104.400459</v>
      </c>
      <c r="W7" s="433"/>
      <c r="X7" s="166">
        <f>'6_Closures'!K20</f>
        <v>104.36099249999999</v>
      </c>
      <c r="Z7" s="141" t="e">
        <f t="shared" ref="Z7:Z20" si="0">S7/I7*100</f>
        <v>#DIV/0!</v>
      </c>
    </row>
    <row r="8" spans="1:45" x14ac:dyDescent="0.25">
      <c r="A8" s="149" t="s">
        <v>771</v>
      </c>
      <c r="B8" s="144" t="s">
        <v>772</v>
      </c>
      <c r="C8" s="145">
        <f>+C5/C4*1000</f>
        <v>11838.769458858413</v>
      </c>
      <c r="D8" s="145">
        <f>+C8/10312*100</f>
        <v>114.80575503159827</v>
      </c>
      <c r="E8" s="150">
        <f>+E5/E4*1000</f>
        <v>13039.181797649097</v>
      </c>
      <c r="F8" s="150">
        <f>+E8/C8*100</f>
        <v>110.13967155085082</v>
      </c>
      <c r="G8" s="166">
        <f>+G5/G4*1000</f>
        <v>14981.526004000616</v>
      </c>
      <c r="H8" s="166">
        <f>+G8/E8*100</f>
        <v>114.89621232753817</v>
      </c>
      <c r="I8" s="166">
        <f>+I5/I4*1000</f>
        <v>16667.371664422451</v>
      </c>
      <c r="J8" s="166">
        <f>+I8/G8*100</f>
        <v>111.25283005196968</v>
      </c>
      <c r="K8" s="166">
        <f>+K5/K4*1000</f>
        <v>18444.872645412412</v>
      </c>
      <c r="L8" s="166">
        <f>+K8/I8*100</f>
        <v>110.66455477670871</v>
      </c>
      <c r="M8" s="166">
        <f>+M5/M4*1000</f>
        <v>20355.41915087877</v>
      </c>
      <c r="N8" s="166">
        <f>+M8/K8*100</f>
        <v>110.35814419646614</v>
      </c>
      <c r="O8" s="170">
        <f>+O5/O4*1000</f>
        <v>22492.82358793437</v>
      </c>
      <c r="P8" s="166">
        <f>+O8/M8*100</f>
        <v>110.50041967307426</v>
      </c>
      <c r="Q8" s="271">
        <f>+Q5/Q4*1000</f>
        <v>25150.303533698618</v>
      </c>
      <c r="R8" s="145">
        <f>+Q8/O8*100</f>
        <v>111.81479032801278</v>
      </c>
      <c r="S8" s="271">
        <f>+S5/S4*1000</f>
        <v>27571.755567060172</v>
      </c>
      <c r="T8" s="145">
        <f>+S8/Q8*100</f>
        <v>109.62792369530283</v>
      </c>
      <c r="U8" s="271">
        <f>+U5/U4*1000</f>
        <v>30482.495838320552</v>
      </c>
      <c r="V8" s="145">
        <f>+U8/S8*100</f>
        <v>110.55696386173474</v>
      </c>
      <c r="W8" s="271">
        <f>+W5/W4*1000</f>
        <v>33522.063993267373</v>
      </c>
      <c r="X8" s="145">
        <f>+W8/U8*100</f>
        <v>109.97151995384078</v>
      </c>
      <c r="Y8" s="145">
        <f>+Y5/Y4*1000</f>
        <v>14775.642692711495</v>
      </c>
      <c r="Z8" s="141">
        <f t="shared" si="0"/>
        <v>165.42353600906262</v>
      </c>
    </row>
    <row r="9" spans="1:45" ht="31.5" x14ac:dyDescent="0.25">
      <c r="A9" s="151" t="s">
        <v>773</v>
      </c>
      <c r="B9" s="152" t="s">
        <v>767</v>
      </c>
      <c r="C9" s="153">
        <v>42221.4</v>
      </c>
      <c r="D9" s="153">
        <v>115.4</v>
      </c>
      <c r="E9" s="154">
        <v>46816</v>
      </c>
      <c r="F9" s="155">
        <v>112</v>
      </c>
      <c r="G9" s="167">
        <v>53818.999999999993</v>
      </c>
      <c r="H9" s="168">
        <v>120</v>
      </c>
      <c r="I9" s="167">
        <v>66726.100000000006</v>
      </c>
      <c r="J9" s="167">
        <v>122.1</v>
      </c>
      <c r="K9" s="167">
        <f>'GDP-total'!D30</f>
        <v>83491.032625000007</v>
      </c>
      <c r="L9" s="167">
        <f>'2_Production_2'!X35</f>
        <v>125.00000000000001</v>
      </c>
      <c r="M9" s="167">
        <f>'GDP-total'!E30</f>
        <v>104885.60973515626</v>
      </c>
      <c r="N9" s="167">
        <f>'2_Production_2'!Y35</f>
        <v>124.99999999999999</v>
      </c>
      <c r="O9" s="167">
        <f>'GDP-total'!F30</f>
        <v>131605.53347201648</v>
      </c>
      <c r="P9" s="167">
        <f>'2_Production_2'!Z35</f>
        <v>125.09999999999998</v>
      </c>
      <c r="Q9" s="167">
        <f>'GDP-total'!G30</f>
        <v>164803.16089586608</v>
      </c>
      <c r="R9" s="167">
        <f>'2_Production_2'!AA35</f>
        <v>125.1</v>
      </c>
      <c r="S9" s="168">
        <f>'GDP-total'!H30</f>
        <v>167868.3449500881</v>
      </c>
      <c r="T9" s="167">
        <f>'2_Production_2'!AB35</f>
        <v>119.97633228164399</v>
      </c>
      <c r="U9" s="167">
        <f>'GDP-total'!I30</f>
        <v>171881.64341150748</v>
      </c>
      <c r="V9" s="168">
        <f>'2_Production_2'!AC35</f>
        <v>120.03603946404067</v>
      </c>
      <c r="W9" s="167">
        <f>'GDP-total'!J30</f>
        <v>172763.32641509699</v>
      </c>
      <c r="X9" s="167">
        <f>'2_Production_2'!AD35</f>
        <v>120.08716771193215</v>
      </c>
      <c r="Z9" s="141">
        <f t="shared" si="0"/>
        <v>251.57823542824781</v>
      </c>
    </row>
    <row r="10" spans="1:45" ht="36" x14ac:dyDescent="0.25">
      <c r="A10" s="151" t="s">
        <v>774</v>
      </c>
      <c r="B10" s="152" t="s">
        <v>767</v>
      </c>
      <c r="C10" s="153">
        <v>61337.9</v>
      </c>
      <c r="D10" s="153">
        <v>108</v>
      </c>
      <c r="E10" s="154">
        <v>66907.199999999997</v>
      </c>
      <c r="F10" s="155">
        <v>109</v>
      </c>
      <c r="G10" s="168">
        <v>73976.600000000006</v>
      </c>
      <c r="H10" s="167">
        <v>110.6</v>
      </c>
      <c r="I10" s="167">
        <v>84653.8</v>
      </c>
      <c r="J10" s="167">
        <v>109.5</v>
      </c>
      <c r="K10" s="167">
        <f>'2_Production_2'!E21</f>
        <v>95155.449822395924</v>
      </c>
      <c r="L10" s="167">
        <f>'2_Production_2'!X21</f>
        <v>108.92031018370741</v>
      </c>
      <c r="M10" s="168">
        <f>'2_Production_2'!F21</f>
        <v>104590.96592645653</v>
      </c>
      <c r="N10" s="167">
        <f>'2_Production_2'!Y21</f>
        <v>108.61254614131397</v>
      </c>
      <c r="O10" s="167">
        <f>'2_Production_2'!G21</f>
        <v>114715.95317271228</v>
      </c>
      <c r="P10" s="167">
        <f>'2_Production_2'!Z21</f>
        <v>108.27300711668305</v>
      </c>
      <c r="Q10" s="167">
        <f>'2_Production_2'!H21</f>
        <v>125434.6797080495</v>
      </c>
      <c r="R10" s="167">
        <f>'2_Production_2'!AA21</f>
        <v>108.15401629768029</v>
      </c>
      <c r="S10" s="167">
        <f>'2_Production_2'!I21</f>
        <v>136949.66739357862</v>
      </c>
      <c r="T10" s="167">
        <f>'2_Production_2'!AB21</f>
        <v>108.31355856899332</v>
      </c>
      <c r="U10" s="167">
        <f>'2_Production_2'!J21</f>
        <v>148095.66964185712</v>
      </c>
      <c r="V10" s="167">
        <f>'2_Production_2'!AC21</f>
        <v>107.60075440127642</v>
      </c>
      <c r="W10" s="167">
        <f>'2_Production_2'!K21</f>
        <v>159589.18615032511</v>
      </c>
      <c r="X10" s="167">
        <f>'2_Production_2'!AD21</f>
        <v>107.54578121411076</v>
      </c>
      <c r="Z10" s="141">
        <f t="shared" si="0"/>
        <v>161.77616054279738</v>
      </c>
    </row>
    <row r="11" spans="1:45" ht="54" x14ac:dyDescent="0.25">
      <c r="A11" s="151" t="s">
        <v>775</v>
      </c>
      <c r="B11" s="152" t="s">
        <v>767</v>
      </c>
      <c r="C11" s="153">
        <v>16279.5</v>
      </c>
      <c r="D11" s="153">
        <v>111.4</v>
      </c>
      <c r="E11" s="154">
        <v>19859</v>
      </c>
      <c r="F11" s="156">
        <v>121.98777603734759</v>
      </c>
      <c r="G11" s="167">
        <v>22543</v>
      </c>
      <c r="H11" s="167">
        <v>108.4</v>
      </c>
      <c r="I11" s="167">
        <v>28736</v>
      </c>
      <c r="J11" s="167">
        <v>123</v>
      </c>
      <c r="K11" s="167">
        <f>'GDP-total'!D35</f>
        <v>32767.971999999987</v>
      </c>
      <c r="L11" s="155">
        <f>+K11/I11*100</f>
        <v>114.03108296213804</v>
      </c>
      <c r="M11" s="167">
        <f>'GDP-total'!E35</f>
        <v>38923.92156000001</v>
      </c>
      <c r="N11" s="155">
        <f>+M11/K11*100</f>
        <v>118.78648321598915</v>
      </c>
      <c r="O11" s="167">
        <f>'GDP-total'!F35</f>
        <v>44524.430810400023</v>
      </c>
      <c r="P11" s="155">
        <f>+O11/M11*100</f>
        <v>114.38834790006194</v>
      </c>
      <c r="Q11" s="167">
        <f>'GDP-total'!G35</f>
        <v>51375.483912360003</v>
      </c>
      <c r="R11" s="156">
        <f>+Q11/O11*100</f>
        <v>115.38717728056776</v>
      </c>
      <c r="S11" s="167">
        <f>'GDP-total'!H35</f>
        <v>55564.06176577921</v>
      </c>
      <c r="T11" s="156">
        <f>+S11/Q11*100</f>
        <v>108.15287279933827</v>
      </c>
      <c r="U11" s="167">
        <f>'GDP-total'!I35</f>
        <v>63254.948836590629</v>
      </c>
      <c r="V11" s="156">
        <f>+U11/S11*100</f>
        <v>113.84147743415707</v>
      </c>
      <c r="W11" s="167">
        <f>'GDP-total'!J35</f>
        <v>73256.89332081945</v>
      </c>
      <c r="X11" s="156">
        <f>+W11/U11*100</f>
        <v>115.81211378427845</v>
      </c>
      <c r="Z11" s="141">
        <f t="shared" si="0"/>
        <v>193.36045993102454</v>
      </c>
    </row>
    <row r="12" spans="1:45" ht="36" x14ac:dyDescent="0.25">
      <c r="A12" s="151" t="s">
        <v>776</v>
      </c>
      <c r="B12" s="152" t="s">
        <v>767</v>
      </c>
      <c r="C12" s="153">
        <v>6736.9</v>
      </c>
      <c r="D12" s="153">
        <v>110.3</v>
      </c>
      <c r="E12" s="154">
        <v>7922.5</v>
      </c>
      <c r="F12" s="156">
        <v>117.5985987620419</v>
      </c>
      <c r="G12" s="167">
        <v>9830.5</v>
      </c>
      <c r="H12" s="169">
        <v>118.5</v>
      </c>
      <c r="I12" s="167">
        <v>13280.5</v>
      </c>
      <c r="J12" s="169">
        <v>130.4</v>
      </c>
      <c r="K12" s="172">
        <f>'GDP-total'!D44</f>
        <v>14210.134999999995</v>
      </c>
      <c r="L12" s="172">
        <f>+K12/I12*100</f>
        <v>106.99999999999996</v>
      </c>
      <c r="M12" s="172">
        <f>'GDP-total'!E44</f>
        <v>15631.148500000003</v>
      </c>
      <c r="N12" s="172">
        <f>+M12/K12*100</f>
        <v>110.00000000000006</v>
      </c>
      <c r="O12" s="172">
        <f>'GDP-total'!F44</f>
        <v>16881.640380000008</v>
      </c>
      <c r="P12" s="172">
        <f>+O12/M12*100</f>
        <v>108.00000000000003</v>
      </c>
      <c r="Q12" s="172">
        <f>'GDP-total'!G44</f>
        <v>18063.355206600005</v>
      </c>
      <c r="R12" s="172">
        <f>+Q12/O12*100</f>
        <v>106.99999999999999</v>
      </c>
      <c r="S12" s="172">
        <f>'GDP-total'!H44</f>
        <v>18785.889414864007</v>
      </c>
      <c r="T12" s="172">
        <f>+S12/Q12*100</f>
        <v>104</v>
      </c>
      <c r="U12" s="172">
        <f>'GDP-total'!I44</f>
        <v>19725.183885607203</v>
      </c>
      <c r="V12" s="172">
        <f>+U12/S12*100</f>
        <v>104.99999999999999</v>
      </c>
      <c r="W12" s="172">
        <f>'GDP-total'!J44</f>
        <v>21697.702274167925</v>
      </c>
      <c r="X12" s="172">
        <f>+W12/U12*100</f>
        <v>110.00000000000001</v>
      </c>
      <c r="Z12" s="141">
        <f t="shared" si="0"/>
        <v>141.45468480000005</v>
      </c>
    </row>
    <row r="13" spans="1:45" ht="36" x14ac:dyDescent="0.25">
      <c r="A13" s="151" t="s">
        <v>777</v>
      </c>
      <c r="B13" s="152" t="s">
        <v>778</v>
      </c>
      <c r="C13" s="153">
        <v>2577</v>
      </c>
      <c r="D13" s="153"/>
      <c r="E13" s="160">
        <v>2690</v>
      </c>
      <c r="F13" s="158">
        <v>104.38494373302289</v>
      </c>
      <c r="G13" s="155">
        <v>5126.6000000000004</v>
      </c>
      <c r="H13" s="155">
        <f>+G13/E13*100</f>
        <v>190.57992565055764</v>
      </c>
      <c r="I13" s="155">
        <f>[1]OEA!$AF$34</f>
        <v>6925.3</v>
      </c>
      <c r="J13" s="155">
        <f>+I13/G13*100</f>
        <v>135.08563180275425</v>
      </c>
      <c r="K13" s="155">
        <f>[1]OEA!$AG$34</f>
        <v>7624.7552999999998</v>
      </c>
      <c r="L13" s="155">
        <f>+K13/I13*100</f>
        <v>110.1</v>
      </c>
      <c r="M13" s="155">
        <f>[1]OEA!$AH$34</f>
        <v>8562.6002018999989</v>
      </c>
      <c r="N13" s="155">
        <f>+M13/K13*100</f>
        <v>112.29999999999998</v>
      </c>
      <c r="O13" s="155">
        <f>[1]OEA!$AI$34</f>
        <v>9598.6748263298996</v>
      </c>
      <c r="P13" s="155">
        <f>+O13/M13*100</f>
        <v>112.1</v>
      </c>
      <c r="Q13" s="154">
        <f>[1]OEA!$AJ$34</f>
        <v>10769.713155142148</v>
      </c>
      <c r="R13" s="156">
        <f>+Q13/O13*100</f>
        <v>112.20000000000002</v>
      </c>
      <c r="S13" s="154">
        <f>[1]OEA!$AK$34</f>
        <v>12094.387873224632</v>
      </c>
      <c r="T13" s="156">
        <f>+S13/Q13*100</f>
        <v>112.3</v>
      </c>
      <c r="U13" s="154">
        <f>[1]OEA!$AL$34</f>
        <v>13545.71441801159</v>
      </c>
      <c r="V13" s="156">
        <f>+U13/S13*100</f>
        <v>112.00000000000001</v>
      </c>
      <c r="W13" s="154">
        <f>[1]OEA!$AM$34</f>
        <v>15184.745862590993</v>
      </c>
      <c r="X13" s="156">
        <f>+W13/U13*100</f>
        <v>112.1</v>
      </c>
      <c r="Z13" s="141">
        <f t="shared" si="0"/>
        <v>174.64063467610978</v>
      </c>
    </row>
    <row r="14" spans="1:45" ht="36" x14ac:dyDescent="0.25">
      <c r="A14" s="151" t="s">
        <v>779</v>
      </c>
      <c r="B14" s="152" t="s">
        <v>767</v>
      </c>
      <c r="C14" s="159">
        <v>47563.4</v>
      </c>
      <c r="D14" s="159">
        <v>111.2</v>
      </c>
      <c r="E14" s="157">
        <v>56124.4</v>
      </c>
      <c r="F14" s="160">
        <v>113.4</v>
      </c>
      <c r="G14" s="167">
        <v>65783.8</v>
      </c>
      <c r="H14" s="167">
        <v>113.6</v>
      </c>
      <c r="I14" s="167">
        <v>77307.100000000006</v>
      </c>
      <c r="J14" s="167">
        <v>113.9</v>
      </c>
      <c r="K14" s="167">
        <f>[1]Household!$AG$81</f>
        <v>89946.541177669904</v>
      </c>
      <c r="L14" s="167">
        <f>[1]Household!$AG$82</f>
        <v>114.15335710871818</v>
      </c>
      <c r="M14" s="167">
        <f>[1]Household!$AH$81</f>
        <v>105319.77392904399</v>
      </c>
      <c r="N14" s="167">
        <f>[1]Household!$AH$82</f>
        <v>114.48579696091133</v>
      </c>
      <c r="O14" s="167">
        <f>[1]Household!$AI$81</f>
        <v>120054.47057104275</v>
      </c>
      <c r="P14" s="167">
        <f>[1]Household!$AI$82</f>
        <v>113.55900111382716</v>
      </c>
      <c r="Q14" s="167">
        <f>[1]Household!$AJ$81</f>
        <v>138358.42123583407</v>
      </c>
      <c r="R14" s="167">
        <f>[1]Household!$AJ$82</f>
        <v>113.89538379213461</v>
      </c>
      <c r="S14" s="167">
        <f>[1]Household!$AK$81</f>
        <v>149157.7179315917</v>
      </c>
      <c r="T14" s="167">
        <f>[1]Household!$AK$82</f>
        <v>108.35112163981705</v>
      </c>
      <c r="U14" s="167">
        <f>[1]Household!$AL$81</f>
        <v>160879.07437051309</v>
      </c>
      <c r="V14" s="167">
        <f>[1]Household!$AL$82</f>
        <v>109.75396208525304</v>
      </c>
      <c r="W14" s="167">
        <f>[1]Household!$AM$81</f>
        <v>174656.34444130448</v>
      </c>
      <c r="X14" s="167">
        <f>[1]Household!$AM$82</f>
        <v>109.31574730186023</v>
      </c>
      <c r="Z14" s="141">
        <f t="shared" si="0"/>
        <v>192.94180991343833</v>
      </c>
      <c r="AH14" s="141">
        <f>K13*L13/100</f>
        <v>8394.8555852999998</v>
      </c>
      <c r="AI14" s="141">
        <f>M13/K13*100</f>
        <v>112.29999999999998</v>
      </c>
    </row>
    <row r="15" spans="1:45" s="162" customFormat="1" ht="36" x14ac:dyDescent="0.25">
      <c r="A15" s="151" t="s">
        <v>780</v>
      </c>
      <c r="B15" s="152" t="s">
        <v>767</v>
      </c>
      <c r="C15" s="159">
        <v>39586.199999999997</v>
      </c>
      <c r="D15" s="159">
        <v>110.2</v>
      </c>
      <c r="E15" s="157">
        <v>47540.5</v>
      </c>
      <c r="F15" s="160">
        <v>115.4</v>
      </c>
      <c r="G15" s="167">
        <v>55663</v>
      </c>
      <c r="H15" s="167">
        <v>113.5</v>
      </c>
      <c r="I15" s="167">
        <v>65705.600000000006</v>
      </c>
      <c r="J15" s="167">
        <v>114.4</v>
      </c>
      <c r="K15" s="167">
        <f>[1]Household!$AG$84</f>
        <v>78696.140877782163</v>
      </c>
      <c r="L15" s="167">
        <f>[1]Household!$AG$85</f>
        <v>114.04140394834157</v>
      </c>
      <c r="M15" s="167">
        <f>[1]Household!$AH$84</f>
        <v>91582.412112212172</v>
      </c>
      <c r="N15" s="167">
        <f>[1]Household!$AH$85</f>
        <v>114.23170325789494</v>
      </c>
      <c r="O15" s="167">
        <f>[1]Household!$AI$84</f>
        <v>104395.19180090674</v>
      </c>
      <c r="P15" s="167">
        <f>[1]Household!$AI$85</f>
        <v>113.33319262525691</v>
      </c>
      <c r="Q15" s="167">
        <f>[1]Household!$AJ$84</f>
        <v>119274.50106537421</v>
      </c>
      <c r="R15" s="167">
        <f>[1]Household!$AJ$85</f>
        <v>113.47424720202291</v>
      </c>
      <c r="S15" s="167">
        <f>[1]Household!$AK$84</f>
        <v>129702.36341877539</v>
      </c>
      <c r="T15" s="167">
        <f>[1]Household!$AK$85</f>
        <v>108.20576917214376</v>
      </c>
      <c r="U15" s="167">
        <f>[1]Household!$AL$84</f>
        <v>139894.84727870702</v>
      </c>
      <c r="V15" s="167">
        <f>[1]Household!$AL$85</f>
        <v>107.45769089454079</v>
      </c>
      <c r="W15" s="167">
        <f>[1]Household!$AM$84</f>
        <v>151875.08212287346</v>
      </c>
      <c r="X15" s="167">
        <f>[1]Household!$AM$85</f>
        <v>107.26362151571591</v>
      </c>
      <c r="Z15" s="141">
        <f t="shared" si="0"/>
        <v>197.39925275589201</v>
      </c>
    </row>
    <row r="16" spans="1:45" s="162" customFormat="1" ht="36" x14ac:dyDescent="0.25">
      <c r="A16" s="151" t="s">
        <v>781</v>
      </c>
      <c r="B16" s="152" t="s">
        <v>767</v>
      </c>
      <c r="C16" s="159">
        <v>18696.8</v>
      </c>
      <c r="D16" s="159">
        <v>116</v>
      </c>
      <c r="E16" s="157">
        <v>21760.3</v>
      </c>
      <c r="F16" s="160">
        <v>114.1</v>
      </c>
      <c r="G16" s="167">
        <v>25722.9</v>
      </c>
      <c r="H16" s="168">
        <v>113</v>
      </c>
      <c r="I16" s="167">
        <v>30470.2</v>
      </c>
      <c r="J16" s="167">
        <v>113.2</v>
      </c>
      <c r="K16" s="167">
        <f>[1]Household!$AG$88</f>
        <v>35439.755165198461</v>
      </c>
      <c r="L16" s="167">
        <f>[1]Household!$AG$89</f>
        <v>114.9303940053814</v>
      </c>
      <c r="M16" s="167">
        <f>[1]Household!$AH$88</f>
        <v>41254.484715362232</v>
      </c>
      <c r="N16" s="167">
        <f>[1]Household!$AH$89</f>
        <v>113.901530110427</v>
      </c>
      <c r="O16" s="167">
        <f>[1]Household!$AI$88</f>
        <v>47612.182093920492</v>
      </c>
      <c r="P16" s="167">
        <f>[1]Household!$AI$89</f>
        <v>113.70534406322643</v>
      </c>
      <c r="Q16" s="167">
        <f>[1]Household!$AJ$88</f>
        <v>51548.635208337779</v>
      </c>
      <c r="R16" s="167">
        <f>[1]Household!$AJ$89</f>
        <v>108.1595839667325</v>
      </c>
      <c r="S16" s="167">
        <f>[1]Household!$AK$88</f>
        <v>56661.403904945022</v>
      </c>
      <c r="T16" s="167">
        <f>[1]Household!$AK$89</f>
        <v>109.69894171168636</v>
      </c>
      <c r="U16" s="167">
        <f>[1]Household!$AL$88</f>
        <v>62425.439388689359</v>
      </c>
      <c r="V16" s="167">
        <f>[1]Household!$AL$89</f>
        <v>109.62464884840513</v>
      </c>
      <c r="W16" s="167">
        <f>[1]Household!$AM$88</f>
        <v>64323.564193216989</v>
      </c>
      <c r="X16" s="167">
        <f>[1]Household!$AM$89</f>
        <v>102.52798712780707</v>
      </c>
      <c r="Z16" s="141">
        <f t="shared" si="0"/>
        <v>185.95678369339558</v>
      </c>
    </row>
    <row r="17" spans="1:26" ht="36" x14ac:dyDescent="0.25">
      <c r="A17" s="161" t="s">
        <v>782</v>
      </c>
      <c r="B17" s="152" t="s">
        <v>767</v>
      </c>
      <c r="C17" s="159">
        <v>13866.9</v>
      </c>
      <c r="D17" s="159">
        <v>110.9</v>
      </c>
      <c r="E17" s="157">
        <v>16740.8</v>
      </c>
      <c r="F17" s="160">
        <v>118.4</v>
      </c>
      <c r="G17" s="167">
        <v>19094.900000000001</v>
      </c>
      <c r="H17" s="167">
        <v>109</v>
      </c>
      <c r="I17" s="167">
        <v>22148.5</v>
      </c>
      <c r="J17" s="167">
        <v>110.9</v>
      </c>
      <c r="K17" s="167">
        <f>[1]Household!$AG$91</f>
        <v>25868.434427152159</v>
      </c>
      <c r="L17" s="167">
        <f>[1]Household!$AG$92</f>
        <v>111.2337368956606</v>
      </c>
      <c r="M17" s="167">
        <f>[1]Household!$AH$91</f>
        <v>29679.485406735421</v>
      </c>
      <c r="N17" s="167">
        <f>[1]Household!$AH$92</f>
        <v>111.39071618971383</v>
      </c>
      <c r="O17" s="167">
        <f>[1]Household!$AI$91</f>
        <v>33529.70569994401</v>
      </c>
      <c r="P17" s="167">
        <f>[1]Household!$AI$92</f>
        <v>111.85412402147747</v>
      </c>
      <c r="Q17" s="167">
        <f>[1]Household!$AJ$91</f>
        <v>37085.349070746604</v>
      </c>
      <c r="R17" s="167">
        <f>[1]Household!$AJ$92</f>
        <v>110.49396347680587</v>
      </c>
      <c r="S17" s="167">
        <f>[1]Household!$AK$91</f>
        <v>40763.599931615128</v>
      </c>
      <c r="T17" s="167">
        <f>[1]Household!$AK$92</f>
        <v>108.83003920307897</v>
      </c>
      <c r="U17" s="167">
        <f>[1]Household!$AL$91</f>
        <v>43350.999575478723</v>
      </c>
      <c r="V17" s="167">
        <f>[1]Household!$AL$92</f>
        <v>105.81823743005772</v>
      </c>
      <c r="W17" s="167">
        <f>[1]Household!$AM$91</f>
        <v>45945.402995154996</v>
      </c>
      <c r="X17" s="167">
        <f>[1]Household!$AM$92</f>
        <v>103.906514685828</v>
      </c>
      <c r="Z17" s="141">
        <f t="shared" si="0"/>
        <v>184.04677486789231</v>
      </c>
    </row>
    <row r="18" spans="1:26" x14ac:dyDescent="0.25">
      <c r="A18" s="151" t="s">
        <v>783</v>
      </c>
      <c r="B18" s="458" t="s">
        <v>778</v>
      </c>
      <c r="C18" s="160">
        <v>7309.5</v>
      </c>
      <c r="D18" s="160">
        <v>114.9</v>
      </c>
      <c r="E18" s="157">
        <f>+E19+E20</f>
        <v>8733.3590000000004</v>
      </c>
      <c r="F18" s="160">
        <f>+E18/C18*100</f>
        <v>119.47956768588823</v>
      </c>
      <c r="G18" s="167">
        <f>+G19+G20</f>
        <v>8955.1</v>
      </c>
      <c r="H18" s="167">
        <f>+G18/E18*100</f>
        <v>102.53901162198875</v>
      </c>
      <c r="I18" s="167">
        <f>+I19+I20</f>
        <v>10793.1</v>
      </c>
      <c r="J18" s="160">
        <f>+I18/G18*100</f>
        <v>120.52461725720538</v>
      </c>
      <c r="K18" s="157">
        <f>+K19+K20</f>
        <v>11021.795039843477</v>
      </c>
      <c r="L18" s="160">
        <f>+K18/I18*100</f>
        <v>102.11890040714415</v>
      </c>
      <c r="M18" s="157">
        <f>+M19+M20</f>
        <v>11200.599971220476</v>
      </c>
      <c r="N18" s="160">
        <f>+M18/K18*100</f>
        <v>101.62228503370481</v>
      </c>
      <c r="O18" s="157">
        <f>+O19+O20</f>
        <v>11336.583686236969</v>
      </c>
      <c r="P18" s="160">
        <f>+O18/M18*100</f>
        <v>101.21407527602003</v>
      </c>
      <c r="Q18" s="272">
        <f>+Q19+Q20</f>
        <v>11664.551983752193</v>
      </c>
      <c r="R18" s="160">
        <f>+Q18/O18*100</f>
        <v>102.89300821651757</v>
      </c>
      <c r="S18" s="272">
        <f>+S19+S20</f>
        <v>11979.380979436051</v>
      </c>
      <c r="T18" s="160">
        <f>+S18/Q18*100</f>
        <v>102.69902346976025</v>
      </c>
      <c r="U18" s="272">
        <f>+U19+U20</f>
        <v>11976.135469630579</v>
      </c>
      <c r="V18" s="160">
        <f>+U18/S18*100</f>
        <v>99.972907533277024</v>
      </c>
      <c r="W18" s="272">
        <f>+W19+W20</f>
        <v>12300.515494172279</v>
      </c>
      <c r="X18" s="160">
        <f>+W18/U18*100</f>
        <v>102.70855340075495</v>
      </c>
      <c r="Z18" s="141">
        <f t="shared" si="0"/>
        <v>110.99110523793954</v>
      </c>
    </row>
    <row r="19" spans="1:26" x14ac:dyDescent="0.25">
      <c r="A19" s="151" t="s">
        <v>784</v>
      </c>
      <c r="B19" s="459"/>
      <c r="C19" s="160">
        <v>2142</v>
      </c>
      <c r="D19" s="160">
        <v>99.6</v>
      </c>
      <c r="E19" s="157">
        <f>1861.478+243.5</f>
        <v>2104.9780000000001</v>
      </c>
      <c r="F19" s="160">
        <f>+E19/C19*100</f>
        <v>98.271615312791781</v>
      </c>
      <c r="G19" s="167">
        <v>1947.5</v>
      </c>
      <c r="H19" s="167">
        <f>+G19/E19*100</f>
        <v>92.518781668977056</v>
      </c>
      <c r="I19" s="167">
        <v>2487.9</v>
      </c>
      <c r="J19" s="173">
        <f>+I19/G19*100</f>
        <v>127.74839537869063</v>
      </c>
      <c r="K19" s="443">
        <f>'5_IntTrade'!E74</f>
        <v>2672.7851308695854</v>
      </c>
      <c r="L19" s="173">
        <f>+K19/I19*100</f>
        <v>107.431373080493</v>
      </c>
      <c r="M19" s="443">
        <f>'5_IntTrade'!F74</f>
        <v>2840.4586402822806</v>
      </c>
      <c r="N19" s="173">
        <f>+M19/K19*100</f>
        <v>106.27336284821905</v>
      </c>
      <c r="O19" s="443">
        <f>'5_IntTrade'!G74</f>
        <v>2973.4668221584402</v>
      </c>
      <c r="P19" s="173">
        <f>+O19/M19*100</f>
        <v>104.68263047346964</v>
      </c>
      <c r="Q19" s="443">
        <f>'5_IntTrade'!H74</f>
        <v>3140.639557806061</v>
      </c>
      <c r="R19" s="160">
        <f>+Q19/O19*100</f>
        <v>105.6221490148079</v>
      </c>
      <c r="S19" s="443">
        <f>'5_IntTrade'!I74</f>
        <v>3298.475280108471</v>
      </c>
      <c r="T19" s="160">
        <f>+S19/Q19*100</f>
        <v>105.02559174325208</v>
      </c>
      <c r="U19" s="443">
        <f>'5_IntTrade'!J74</f>
        <v>3051.7401047129829</v>
      </c>
      <c r="V19" s="160">
        <f>+U19/S19*100</f>
        <v>92.519720342200827</v>
      </c>
      <c r="W19" s="443">
        <f>'5_IntTrade'!K74</f>
        <v>3206.4143550886356</v>
      </c>
      <c r="X19" s="160">
        <f>+W19/U19*100</f>
        <v>105.0683952456102</v>
      </c>
      <c r="Z19" s="141">
        <f t="shared" si="0"/>
        <v>132.58070180105594</v>
      </c>
    </row>
    <row r="20" spans="1:26" x14ac:dyDescent="0.25">
      <c r="A20" s="151" t="s">
        <v>785</v>
      </c>
      <c r="B20" s="460"/>
      <c r="C20" s="160">
        <v>5167.5</v>
      </c>
      <c r="D20" s="160">
        <v>122.8</v>
      </c>
      <c r="E20" s="157">
        <f>5880.1+748.281</f>
        <v>6628.3810000000003</v>
      </c>
      <c r="F20" s="160">
        <f>+E20/C20*100</f>
        <v>128.27055636187711</v>
      </c>
      <c r="G20" s="167">
        <v>7007.6</v>
      </c>
      <c r="H20" s="167">
        <f>+G20/E20*100</f>
        <v>105.72114065259677</v>
      </c>
      <c r="I20" s="167">
        <v>8305.2000000000007</v>
      </c>
      <c r="J20" s="173">
        <f>+I20/G20*100</f>
        <v>118.5170386437582</v>
      </c>
      <c r="K20" s="443">
        <f>'5_IntTrade'!E75</f>
        <v>8349.0099089738906</v>
      </c>
      <c r="L20" s="173">
        <f>+K20/I20*100</f>
        <v>100.52749974683198</v>
      </c>
      <c r="M20" s="443">
        <f>'5_IntTrade'!F75</f>
        <v>8360.1413309381951</v>
      </c>
      <c r="N20" s="173">
        <f>+M20/K20*100</f>
        <v>100.13332625168331</v>
      </c>
      <c r="O20" s="443">
        <f>'5_IntTrade'!G75</f>
        <v>8363.116864078529</v>
      </c>
      <c r="P20" s="173">
        <f>+O20/M20*100</f>
        <v>100.03559189997569</v>
      </c>
      <c r="Q20" s="443">
        <f>'5_IntTrade'!H75</f>
        <v>8523.9124259461314</v>
      </c>
      <c r="R20" s="160">
        <f>+Q20/O20*100</f>
        <v>101.92267505621327</v>
      </c>
      <c r="S20" s="443">
        <f>'5_IntTrade'!I75</f>
        <v>8680.9056993275808</v>
      </c>
      <c r="T20" s="160">
        <f>+S20/Q20*100</f>
        <v>101.84179829093006</v>
      </c>
      <c r="U20" s="443">
        <f>'5_IntTrade'!J75</f>
        <v>8924.3953649175965</v>
      </c>
      <c r="V20" s="160">
        <f>+U20/S20*100</f>
        <v>102.80488780806449</v>
      </c>
      <c r="W20" s="443">
        <f>'5_IntTrade'!K75</f>
        <v>9094.1011390836429</v>
      </c>
      <c r="X20" s="160">
        <f>+W20/U20*100</f>
        <v>101.90159408258816</v>
      </c>
      <c r="Z20" s="141">
        <f t="shared" si="0"/>
        <v>104.52374053999398</v>
      </c>
    </row>
    <row r="21" spans="1:26" x14ac:dyDescent="0.25">
      <c r="A21" s="163"/>
      <c r="G21" s="141">
        <v>2108.4</v>
      </c>
      <c r="J21" s="141">
        <f>I19/G21*100</f>
        <v>117.99943084803644</v>
      </c>
      <c r="T21" s="239">
        <f>AVERAGE(L11,N11,P11,R11,T11)</f>
        <v>114.14919283161903</v>
      </c>
      <c r="U21" s="239"/>
      <c r="V21" s="239"/>
      <c r="W21" s="239"/>
      <c r="X21" s="239"/>
    </row>
    <row r="22" spans="1:26" x14ac:dyDescent="0.25">
      <c r="E22" s="164">
        <f>+G8-E8</f>
        <v>1942.3442063515195</v>
      </c>
      <c r="F22" s="164">
        <f t="shared" ref="F22:N22" si="1">+H8-F8</f>
        <v>4.7565407766873449</v>
      </c>
      <c r="G22" s="164">
        <f>+I8-G8</f>
        <v>1685.8456604218354</v>
      </c>
      <c r="H22" s="164">
        <f t="shared" si="1"/>
        <v>-3.6433822755684844</v>
      </c>
      <c r="I22" s="164">
        <f t="shared" si="1"/>
        <v>1777.5009809899602</v>
      </c>
      <c r="J22" s="164">
        <f t="shared" si="1"/>
        <v>-0.58827527526096901</v>
      </c>
      <c r="K22" s="164">
        <f>+M8-K8</f>
        <v>1910.5465054663582</v>
      </c>
      <c r="L22" s="164">
        <f t="shared" si="1"/>
        <v>-0.30641058024257006</v>
      </c>
      <c r="M22" s="164">
        <f t="shared" si="1"/>
        <v>2137.4044370556003</v>
      </c>
      <c r="N22" s="164">
        <f t="shared" si="1"/>
        <v>0.14227547660811979</v>
      </c>
      <c r="T22" s="239">
        <f>AVERAGE(L14,N14,P14,R14,T14)</f>
        <v>112.88893212308167</v>
      </c>
      <c r="U22" s="239"/>
      <c r="V22" s="239"/>
      <c r="W22" s="239"/>
      <c r="X22" s="239"/>
    </row>
    <row r="23" spans="1:26" x14ac:dyDescent="0.25">
      <c r="I23" s="141">
        <f>3119*109.8</f>
        <v>342466.2</v>
      </c>
      <c r="T23" s="239">
        <f>AVERAGE(L16,N16,P16,R16,T16)</f>
        <v>112.07915877149075</v>
      </c>
      <c r="U23" s="239"/>
      <c r="V23" s="239"/>
      <c r="W23" s="239"/>
      <c r="X23" s="239"/>
    </row>
    <row r="24" spans="1:26" x14ac:dyDescent="0.25">
      <c r="E24" s="141">
        <f>+E19/E18*100</f>
        <v>24.10273069044797</v>
      </c>
      <c r="G24" s="141">
        <f>+G19/G18*100</f>
        <v>21.747384172147711</v>
      </c>
      <c r="I24" s="141">
        <f>+I19/I18*100</f>
        <v>23.050838035411513</v>
      </c>
      <c r="K24" s="141">
        <f>+K19/K18*100</f>
        <v>24.24999849123979</v>
      </c>
      <c r="M24" s="141">
        <f>+M19/M18*100</f>
        <v>25.359879359862269</v>
      </c>
      <c r="T24" s="239">
        <f>AVERAGE(L9,N9,P9,R9,T9)</f>
        <v>124.03526645632878</v>
      </c>
      <c r="U24" s="239"/>
      <c r="V24" s="239"/>
      <c r="W24" s="239"/>
      <c r="X24" s="239"/>
    </row>
    <row r="25" spans="1:26" x14ac:dyDescent="0.25">
      <c r="E25" s="141">
        <f>+E20/E18*100</f>
        <v>75.89726930955203</v>
      </c>
      <c r="G25" s="141">
        <f>+G20/G18*100</f>
        <v>78.252615827852296</v>
      </c>
      <c r="I25" s="141">
        <f>+I20/I18*100</f>
        <v>76.949161964588484</v>
      </c>
      <c r="K25" s="141">
        <f>+K20/K18*100</f>
        <v>75.750001508760207</v>
      </c>
      <c r="M25" s="141">
        <f>+M20/M18*100</f>
        <v>74.640120640137724</v>
      </c>
      <c r="S25" s="286">
        <f>AVERAGE(K26,M26,O26,Q26,S26)</f>
        <v>38.081699319790673</v>
      </c>
      <c r="T25" s="239">
        <f>AVERAGE(L10,N10,P10,R10,T10)</f>
        <v>108.45468766167562</v>
      </c>
      <c r="U25" s="239"/>
      <c r="V25" s="239"/>
      <c r="W25" s="239"/>
      <c r="X25" s="239"/>
    </row>
    <row r="26" spans="1:26" x14ac:dyDescent="0.25">
      <c r="I26" s="285">
        <f>I12/I11*100</f>
        <v>46.215548440979951</v>
      </c>
      <c r="J26" s="285"/>
      <c r="K26" s="285">
        <f t="shared" ref="K26:S26" si="2">K12/K11*100</f>
        <v>43.365927558775994</v>
      </c>
      <c r="L26" s="285"/>
      <c r="M26" s="285">
        <f t="shared" si="2"/>
        <v>40.158205734499482</v>
      </c>
      <c r="N26" s="285"/>
      <c r="O26" s="285">
        <f t="shared" si="2"/>
        <v>37.915454667770376</v>
      </c>
      <c r="P26" s="285"/>
      <c r="Q26" s="285">
        <f t="shared" si="2"/>
        <v>35.159484312427644</v>
      </c>
      <c r="R26" s="285"/>
      <c r="S26" s="285">
        <f t="shared" si="2"/>
        <v>33.809424325479853</v>
      </c>
      <c r="T26" s="287">
        <f>S5/K5*100</f>
        <v>163.07686048280627</v>
      </c>
      <c r="U26" s="287"/>
      <c r="V26" s="287"/>
      <c r="W26" s="287"/>
      <c r="X26" s="287"/>
    </row>
    <row r="27" spans="1:26" x14ac:dyDescent="0.25">
      <c r="C27" s="164">
        <f>C28+C29</f>
        <v>7013.8240000000005</v>
      </c>
      <c r="D27" s="164">
        <f t="shared" ref="D27:P27" si="3">D28+D29</f>
        <v>0</v>
      </c>
      <c r="E27" s="164">
        <f t="shared" si="3"/>
        <v>8036.4809999999998</v>
      </c>
      <c r="F27" s="164">
        <f t="shared" si="3"/>
        <v>232.83270635551941</v>
      </c>
      <c r="G27" s="164">
        <f t="shared" si="3"/>
        <v>9794.1059999999998</v>
      </c>
      <c r="H27" s="164">
        <f t="shared" si="3"/>
        <v>229.73649630523857</v>
      </c>
      <c r="I27" s="164">
        <f>I28+I29</f>
        <v>10921.976012330777</v>
      </c>
      <c r="J27" s="164">
        <f t="shared" si="3"/>
        <v>224.1666786512256</v>
      </c>
      <c r="K27" s="164">
        <f t="shared" si="3"/>
        <v>14417.24216468052</v>
      </c>
      <c r="L27" s="164">
        <f t="shared" si="3"/>
        <v>248.86814139657997</v>
      </c>
      <c r="M27" s="164">
        <f t="shared" si="3"/>
        <v>15493.691836477481</v>
      </c>
      <c r="N27" s="164">
        <f t="shared" si="3"/>
        <v>217.29188438836925</v>
      </c>
      <c r="O27" s="164">
        <f t="shared" si="3"/>
        <v>16559.333554819761</v>
      </c>
      <c r="P27" s="164">
        <f t="shared" si="3"/>
        <v>214.68302032713402</v>
      </c>
      <c r="Q27" s="164"/>
      <c r="R27" s="164"/>
      <c r="S27" s="164"/>
      <c r="T27" s="283">
        <f>S51/K51*100</f>
        <v>163.49721475133947</v>
      </c>
      <c r="U27" s="283"/>
      <c r="V27" s="283"/>
      <c r="W27" s="283"/>
      <c r="X27" s="283"/>
    </row>
    <row r="28" spans="1:26" ht="36" x14ac:dyDescent="0.25">
      <c r="A28" s="151" t="s">
        <v>786</v>
      </c>
      <c r="C28" s="165">
        <f>[2]BoP!K14</f>
        <v>1752.9</v>
      </c>
      <c r="E28" s="165">
        <f>[2]BoP!L14</f>
        <v>2105</v>
      </c>
      <c r="F28" s="160">
        <f>+E28/C28*100</f>
        <v>120.08671344628901</v>
      </c>
      <c r="G28" s="165">
        <f>[2]BoP!M14</f>
        <v>2108.4050000000002</v>
      </c>
      <c r="H28" s="160">
        <f>+G28/E28*100</f>
        <v>100.16175771971498</v>
      </c>
      <c r="I28" s="165">
        <f>[2]BoP!N14</f>
        <v>2384.1837440574668</v>
      </c>
      <c r="J28" s="160">
        <f>+I28/G28*100</f>
        <v>113.07997012231836</v>
      </c>
      <c r="K28" s="165">
        <f>[2]BoP!O14</f>
        <v>2646.4816573039252</v>
      </c>
      <c r="L28" s="160">
        <f>+K28/I28*100</f>
        <v>111.00158131269164</v>
      </c>
      <c r="M28" s="165">
        <f>[2]BoP!P14</f>
        <v>2924.619604967002</v>
      </c>
      <c r="N28" s="160">
        <f>+M28/K28*100</f>
        <v>110.50972512488248</v>
      </c>
      <c r="O28" s="165">
        <f>[2]BoP!Q14</f>
        <v>3161.1126165783112</v>
      </c>
      <c r="P28" s="160">
        <f>+O28/M28*100</f>
        <v>108.08628278391019</v>
      </c>
      <c r="Q28" s="270"/>
      <c r="R28" s="270"/>
      <c r="S28" s="270"/>
      <c r="T28" s="284">
        <f>S8/K8*100</f>
        <v>149.48195141872009</v>
      </c>
      <c r="U28" s="284"/>
      <c r="V28" s="284"/>
      <c r="W28" s="284"/>
      <c r="X28" s="284"/>
    </row>
    <row r="29" spans="1:26" ht="36" x14ac:dyDescent="0.25">
      <c r="A29" s="151" t="s">
        <v>787</v>
      </c>
      <c r="C29" s="165">
        <f>[2]BoP!K15</f>
        <v>5260.924</v>
      </c>
      <c r="E29" s="165">
        <f>[2]BoP!L15</f>
        <v>5931.4809999999998</v>
      </c>
      <c r="F29" s="160">
        <f>+E29/C29*100</f>
        <v>112.7459929092304</v>
      </c>
      <c r="G29" s="165">
        <f>[2]BoP!M15</f>
        <v>7685.701</v>
      </c>
      <c r="H29" s="160">
        <f>+G29/E29*100</f>
        <v>129.57473858552359</v>
      </c>
      <c r="I29" s="165">
        <f>[2]BoP!N15</f>
        <v>8537.7922682733097</v>
      </c>
      <c r="J29" s="160">
        <f>+I29/G29*100</f>
        <v>111.08670852890725</v>
      </c>
      <c r="K29" s="165">
        <f>[2]BoP!O15</f>
        <v>11770.760507376595</v>
      </c>
      <c r="L29" s="160">
        <f>+K29/I29*100</f>
        <v>137.86656008388834</v>
      </c>
      <c r="M29" s="165">
        <f>[2]BoP!P15</f>
        <v>12569.072231510479</v>
      </c>
      <c r="N29" s="160">
        <f>+M29/K29*100</f>
        <v>106.78215926348678</v>
      </c>
      <c r="O29" s="165">
        <f>[2]BoP!Q15</f>
        <v>13398.220938241451</v>
      </c>
      <c r="P29" s="160">
        <f>+O29/M29*100</f>
        <v>106.59673754322382</v>
      </c>
      <c r="Q29" s="270"/>
      <c r="R29" s="270"/>
      <c r="S29" s="270"/>
      <c r="T29" s="239">
        <f>AVERAGE(L12,N12,P12,R12,T12)</f>
        <v>107.2</v>
      </c>
      <c r="U29" s="270"/>
      <c r="V29" s="270"/>
      <c r="W29" s="270"/>
      <c r="X29" s="270"/>
    </row>
    <row r="30" spans="1:26" ht="36.75" thickBot="1" x14ac:dyDescent="0.3">
      <c r="A30" s="200" t="s">
        <v>803</v>
      </c>
      <c r="C30" s="141">
        <v>11.0258</v>
      </c>
      <c r="D30" s="160">
        <f>+C30/11.3089*100</f>
        <v>97.496661921141765</v>
      </c>
      <c r="E30" s="141">
        <v>10.8445</v>
      </c>
      <c r="F30" s="160">
        <f>+E30/C30*100</f>
        <v>98.355674871664647</v>
      </c>
      <c r="G30" s="141">
        <v>10.7986</v>
      </c>
      <c r="H30" s="160">
        <f>+G30/E30*100</f>
        <v>99.576743971598518</v>
      </c>
      <c r="I30" s="202">
        <v>10.040900000000001</v>
      </c>
      <c r="J30" s="160">
        <f>+I30/G30*100</f>
        <v>92.983349693478786</v>
      </c>
      <c r="K30" s="141">
        <f>'1_Prices'!E90</f>
        <v>9.1766780000000008</v>
      </c>
      <c r="L30" s="160">
        <f>+K30/I30*100</f>
        <v>91.392982700753919</v>
      </c>
      <c r="M30" s="202">
        <f>'1_Prices'!F90</f>
        <v>9.4140239999999995</v>
      </c>
      <c r="N30" s="160">
        <f>+M30/K30*100</f>
        <v>102.58640436114244</v>
      </c>
      <c r="O30" s="141">
        <f>'1_Prices'!G90</f>
        <v>9.6920520000000003</v>
      </c>
      <c r="P30" s="160">
        <f>+O30/M30*100</f>
        <v>102.95333855108082</v>
      </c>
      <c r="Q30" s="141">
        <f>'1_Prices'!H90</f>
        <v>9.8826689999999999</v>
      </c>
      <c r="R30" s="160">
        <f>+Q30/O30*100</f>
        <v>101.96673521768145</v>
      </c>
      <c r="S30" s="141">
        <f>'1_Prices'!I90</f>
        <v>10.01421</v>
      </c>
      <c r="T30" s="160">
        <f>+S30/Q30*100</f>
        <v>101.33102707375912</v>
      </c>
      <c r="U30" s="141">
        <f>'1_Prices'!J90</f>
        <v>10.298360000000001</v>
      </c>
      <c r="V30" s="160">
        <f>+U30/S30*100</f>
        <v>102.83746795803164</v>
      </c>
      <c r="W30" s="141">
        <f>'1_Prices'!K90</f>
        <v>10.46302</v>
      </c>
      <c r="X30" s="160">
        <f>+W30/U30*100</f>
        <v>101.59889535809586</v>
      </c>
    </row>
    <row r="31" spans="1:26" x14ac:dyDescent="0.25">
      <c r="G31" s="239"/>
    </row>
    <row r="32" spans="1:26" x14ac:dyDescent="0.25">
      <c r="E32" s="141">
        <f t="shared" ref="E32" si="4">E19/E18*100</f>
        <v>24.10273069044797</v>
      </c>
      <c r="G32" s="141">
        <f>G19/G18*100</f>
        <v>21.747384172147711</v>
      </c>
      <c r="I32" s="141">
        <f t="shared" ref="I32:O32" si="5">I19/I18*100</f>
        <v>23.050838035411513</v>
      </c>
      <c r="K32" s="141">
        <f t="shared" si="5"/>
        <v>24.24999849123979</v>
      </c>
      <c r="M32" s="141">
        <f t="shared" si="5"/>
        <v>25.359879359862269</v>
      </c>
      <c r="O32" s="141">
        <f t="shared" si="5"/>
        <v>26.228949606470408</v>
      </c>
    </row>
    <row r="33" spans="5:19" x14ac:dyDescent="0.25">
      <c r="E33" s="141">
        <f t="shared" ref="E33" si="6">E20/E18*100</f>
        <v>75.89726930955203</v>
      </c>
      <c r="G33" s="141">
        <f>G20/G18*100</f>
        <v>78.252615827852296</v>
      </c>
      <c r="I33" s="141">
        <f t="shared" ref="I33:O33" si="7">I20/I18*100</f>
        <v>76.949161964588484</v>
      </c>
      <c r="K33" s="141">
        <f t="shared" si="7"/>
        <v>75.750001508760207</v>
      </c>
      <c r="M33" s="141">
        <f t="shared" si="7"/>
        <v>74.640120640137724</v>
      </c>
      <c r="O33" s="141">
        <f t="shared" si="7"/>
        <v>73.771050393529592</v>
      </c>
    </row>
    <row r="35" spans="5:19" x14ac:dyDescent="0.25">
      <c r="I35" s="166">
        <f>I9/I5*1000</f>
        <v>377.15621273011948</v>
      </c>
      <c r="K35" s="166">
        <f>K9/K5*1000</f>
        <v>417.66787560526132</v>
      </c>
      <c r="M35" s="166">
        <f>M9/M5*1000</f>
        <v>465.21302290573522</v>
      </c>
      <c r="O35" s="166">
        <f>O9/O5*1000</f>
        <v>516.88661144677769</v>
      </c>
      <c r="Q35" s="166">
        <f>Q9/Q5*1000</f>
        <v>566.41731464362658</v>
      </c>
      <c r="S35" s="166">
        <f>S9/S5*1000</f>
        <v>514.95313634611034</v>
      </c>
    </row>
    <row r="36" spans="5:19" x14ac:dyDescent="0.25">
      <c r="L36" s="239">
        <f>L11+N11+P11+R11+T11</f>
        <v>570.74596415809515</v>
      </c>
    </row>
    <row r="37" spans="5:19" x14ac:dyDescent="0.25">
      <c r="L37" s="141">
        <f>L36/5</f>
        <v>114.14919283161903</v>
      </c>
    </row>
    <row r="38" spans="5:19" x14ac:dyDescent="0.25">
      <c r="L38" s="239">
        <f>L14+N14+P14+R14+T14</f>
        <v>564.44466061540834</v>
      </c>
    </row>
    <row r="39" spans="5:19" x14ac:dyDescent="0.25">
      <c r="L39" s="141">
        <f>L38/5</f>
        <v>112.88893212308167</v>
      </c>
    </row>
    <row r="40" spans="5:19" x14ac:dyDescent="0.25">
      <c r="L40" s="239">
        <f>L16+N16+P16+R16+T16</f>
        <v>560.39579385745378</v>
      </c>
    </row>
    <row r="41" spans="5:19" x14ac:dyDescent="0.25">
      <c r="L41" s="141">
        <f>L40/5</f>
        <v>112.07915877149075</v>
      </c>
    </row>
    <row r="42" spans="5:19" x14ac:dyDescent="0.25">
      <c r="L42" s="239">
        <f>L5+N5+P5+R5+T5</f>
        <v>542.16219529712498</v>
      </c>
    </row>
    <row r="43" spans="5:19" x14ac:dyDescent="0.25">
      <c r="L43" s="141">
        <f>L42/5</f>
        <v>108.43243905942499</v>
      </c>
    </row>
    <row r="45" spans="5:19" x14ac:dyDescent="0.25">
      <c r="K45" s="141">
        <f>S5/K5*100</f>
        <v>163.07686048280627</v>
      </c>
    </row>
    <row r="46" spans="5:19" x14ac:dyDescent="0.25">
      <c r="K46" s="239">
        <f>S5-K5</f>
        <v>126089.47261794659</v>
      </c>
    </row>
    <row r="47" spans="5:19" x14ac:dyDescent="0.25">
      <c r="K47" s="141">
        <f>K46/K5*100</f>
        <v>63.076860482806275</v>
      </c>
    </row>
    <row r="48" spans="5:19" x14ac:dyDescent="0.25">
      <c r="K48" s="141">
        <f>K5/L6*100</f>
        <v>191985.26324398472</v>
      </c>
      <c r="M48" s="141">
        <f>M5/N6*100</f>
        <v>216637.39172999025</v>
      </c>
      <c r="S48" s="141">
        <f>S5/T6*100</f>
        <v>313890.81652598479</v>
      </c>
    </row>
    <row r="49" spans="1:25" x14ac:dyDescent="0.25">
      <c r="K49" s="141">
        <f>S48/K48*100</f>
        <v>163.49734933929602</v>
      </c>
      <c r="M49" s="141">
        <f>S48/M48*100</f>
        <v>144.89226168177285</v>
      </c>
    </row>
    <row r="50" spans="1:25" x14ac:dyDescent="0.25">
      <c r="K50" s="141">
        <f>S8/K8*100</f>
        <v>149.48195141872009</v>
      </c>
    </row>
    <row r="51" spans="1:25" x14ac:dyDescent="0.25">
      <c r="A51" s="282" t="s">
        <v>848</v>
      </c>
      <c r="I51" s="282">
        <f>G5*J5/100</f>
        <v>168869.7476</v>
      </c>
      <c r="K51" s="282">
        <f>I5*L5/100</f>
        <v>191985.42128278871</v>
      </c>
      <c r="M51" s="282">
        <f>K5*N5/100</f>
        <v>216637.39172999025</v>
      </c>
      <c r="O51" s="282">
        <f>M5*P5/100</f>
        <v>244903.3082230867</v>
      </c>
      <c r="Q51" s="282">
        <f>O5*R5/100</f>
        <v>276928.61786094127</v>
      </c>
      <c r="S51" s="282">
        <f>Q5*T5/100</f>
        <v>313890.81652598485</v>
      </c>
      <c r="Y51" s="288">
        <f>S51/I51*100</f>
        <v>185.87747123865827</v>
      </c>
    </row>
    <row r="52" spans="1:25" x14ac:dyDescent="0.25">
      <c r="I52" s="141">
        <v>66.8</v>
      </c>
      <c r="K52" s="141">
        <v>66.2</v>
      </c>
    </row>
    <row r="53" spans="1:25" x14ac:dyDescent="0.25">
      <c r="I53" s="141">
        <v>33.200000000000003</v>
      </c>
      <c r="K53" s="141">
        <f>100-K52</f>
        <v>33.799999999999997</v>
      </c>
    </row>
    <row r="54" spans="1:25" x14ac:dyDescent="0.25">
      <c r="A54" s="141" t="s">
        <v>838</v>
      </c>
      <c r="I54" s="141">
        <f>I52*I10/100</f>
        <v>56548.738400000002</v>
      </c>
      <c r="K54" s="141">
        <f>K52*K10/100</f>
        <v>62992.907782426104</v>
      </c>
    </row>
    <row r="55" spans="1:25" x14ac:dyDescent="0.25">
      <c r="A55" s="141" t="s">
        <v>839</v>
      </c>
      <c r="I55" s="141">
        <f>I53*I10/100</f>
        <v>28105.061600000001</v>
      </c>
      <c r="K55" s="141">
        <f>K53*K10/100</f>
        <v>32162.54203996982</v>
      </c>
    </row>
    <row r="56" spans="1:25" s="281" customFormat="1" x14ac:dyDescent="0.25">
      <c r="A56" s="280" t="s">
        <v>847</v>
      </c>
      <c r="G56" s="281">
        <f>G5/G57</f>
        <v>14426.305261793193</v>
      </c>
      <c r="I56" s="281">
        <f t="shared" ref="I56:S56" si="8">I5/I57</f>
        <v>16247.422869763663</v>
      </c>
      <c r="K56" s="281">
        <f t="shared" si="8"/>
        <v>18330.467074762117</v>
      </c>
      <c r="M56" s="281">
        <f t="shared" si="8"/>
        <v>20536.31984902715</v>
      </c>
      <c r="O56" s="281">
        <f t="shared" si="8"/>
        <v>22682.340958984638</v>
      </c>
      <c r="Q56" s="281">
        <f t="shared" si="8"/>
        <v>28252.764343099458</v>
      </c>
      <c r="S56" s="281">
        <f t="shared" si="8"/>
        <v>31156.168618651729</v>
      </c>
    </row>
    <row r="57" spans="1:25" ht="36.75" thickBot="1" x14ac:dyDescent="0.3">
      <c r="A57" s="200" t="s">
        <v>803</v>
      </c>
      <c r="G57" s="279">
        <v>10.7986</v>
      </c>
      <c r="H57" s="279">
        <v>99.576743971598518</v>
      </c>
      <c r="I57" s="279">
        <v>10.889049999999999</v>
      </c>
      <c r="J57" s="279">
        <v>100.83760857888984</v>
      </c>
      <c r="K57" s="279">
        <v>10.905239999999999</v>
      </c>
      <c r="L57" s="279">
        <v>100.14868147359044</v>
      </c>
      <c r="M57" s="279">
        <v>10.97846</v>
      </c>
      <c r="N57" s="279">
        <v>100.67142034471503</v>
      </c>
      <c r="O57" s="279">
        <v>11.22512</v>
      </c>
      <c r="P57" s="279">
        <v>102.24676320722578</v>
      </c>
      <c r="Q57" s="279">
        <f>'1_Prices'!J90</f>
        <v>10.298360000000001</v>
      </c>
      <c r="R57" s="279">
        <f>Q57/O57*100</f>
        <v>91.743874453012523</v>
      </c>
      <c r="S57" s="279">
        <f>'1_Prices'!K90</f>
        <v>10.46302</v>
      </c>
      <c r="T57" s="279">
        <f>S57/Q57*100</f>
        <v>101.59889535809586</v>
      </c>
      <c r="U57" s="279"/>
      <c r="V57" s="279"/>
      <c r="W57" s="279"/>
      <c r="X57" s="279"/>
    </row>
    <row r="58" spans="1:25" ht="32.25" thickBot="1" x14ac:dyDescent="0.3">
      <c r="A58" s="277" t="s">
        <v>843</v>
      </c>
      <c r="C58" s="141">
        <f>C14/C5*100</f>
        <v>40.245994092147939</v>
      </c>
      <c r="E58" s="141">
        <f>E14/E5*100</f>
        <v>42.268110337327599</v>
      </c>
      <c r="G58" s="141">
        <f>G14/G5*100</f>
        <v>42.227598615774802</v>
      </c>
      <c r="I58" s="141">
        <f>I14/I5*100</f>
        <v>43.696324306603593</v>
      </c>
      <c r="K58" s="141">
        <f>K14/K5*100</f>
        <v>44.996186525149646</v>
      </c>
      <c r="M58" s="141">
        <f>M14/M5*100</f>
        <v>46.713872880176758</v>
      </c>
      <c r="O58" s="141">
        <f>O14/O5*100</f>
        <v>47.151929592457414</v>
      </c>
      <c r="Q58" s="141">
        <f>Q14/Q5*100</f>
        <v>47.552853348639047</v>
      </c>
      <c r="S58" s="141">
        <f>S14/S5*100</f>
        <v>45.755639445864034</v>
      </c>
    </row>
    <row r="59" spans="1:25" ht="18.75" thickBot="1" x14ac:dyDescent="0.3">
      <c r="A59" s="278" t="s">
        <v>844</v>
      </c>
      <c r="C59" s="141">
        <f>C19/C5*100</f>
        <v>1.8124633509248891</v>
      </c>
      <c r="E59" s="141">
        <f>E19/E5*100</f>
        <v>1.5852898625490368</v>
      </c>
      <c r="G59" s="141">
        <f>G19/G56*100</f>
        <v>13.499645021083694</v>
      </c>
      <c r="I59" s="141">
        <f t="shared" ref="I59:S59" si="9">I19/I56*100</f>
        <v>15.312582308853203</v>
      </c>
      <c r="K59" s="141">
        <f t="shared" si="9"/>
        <v>14.581107616998743</v>
      </c>
      <c r="M59" s="141">
        <f t="shared" si="9"/>
        <v>13.831390731951613</v>
      </c>
      <c r="O59" s="141">
        <f t="shared" si="9"/>
        <v>13.109170819428268</v>
      </c>
      <c r="Q59" s="141">
        <f t="shared" si="9"/>
        <v>11.116220415341909</v>
      </c>
      <c r="S59" s="141">
        <f t="shared" si="9"/>
        <v>10.586909194392501</v>
      </c>
    </row>
    <row r="60" spans="1:25" ht="18.75" thickBot="1" x14ac:dyDescent="0.3">
      <c r="A60" s="278" t="s">
        <v>845</v>
      </c>
      <c r="C60" s="141">
        <f>C20/C5*100</f>
        <v>4.3725043725043715</v>
      </c>
      <c r="E60" s="141">
        <f>E20/E5*100</f>
        <v>4.9919311291674537</v>
      </c>
      <c r="G60" s="141">
        <f>G20/G56*100</f>
        <v>48.575154017841392</v>
      </c>
      <c r="I60" s="141">
        <f t="shared" ref="I60:S60" si="10">I20/I56*100</f>
        <v>51.117029861122887</v>
      </c>
      <c r="K60" s="141">
        <f t="shared" si="10"/>
        <v>45.547174956982047</v>
      </c>
      <c r="M60" s="141">
        <f t="shared" si="10"/>
        <v>40.709052996826173</v>
      </c>
      <c r="O60" s="141">
        <f t="shared" si="10"/>
        <v>36.870607311657743</v>
      </c>
      <c r="Q60" s="141">
        <f t="shared" si="10"/>
        <v>30.170189091702238</v>
      </c>
      <c r="S60" s="141">
        <f t="shared" si="10"/>
        <v>27.862558473029743</v>
      </c>
    </row>
    <row r="63" spans="1:25" ht="36" x14ac:dyDescent="0.25">
      <c r="A63" s="143" t="s">
        <v>766</v>
      </c>
      <c r="B63" s="141" t="s">
        <v>887</v>
      </c>
      <c r="I63" s="141">
        <v>176919</v>
      </c>
    </row>
    <row r="64" spans="1:25" ht="36" x14ac:dyDescent="0.25">
      <c r="A64" s="143" t="s">
        <v>764</v>
      </c>
      <c r="I64" s="375">
        <v>10603.8</v>
      </c>
      <c r="J64" s="375">
        <v>10657</v>
      </c>
      <c r="K64" s="141" t="s">
        <v>888</v>
      </c>
    </row>
    <row r="65" spans="1:9" x14ac:dyDescent="0.25">
      <c r="A65" s="149" t="s">
        <v>771</v>
      </c>
      <c r="B65" s="144" t="s">
        <v>772</v>
      </c>
      <c r="I65" s="376">
        <f>I63/I64*1000</f>
        <v>16684.490465682113</v>
      </c>
    </row>
    <row r="66" spans="1:9" ht="36.75" thickBot="1" x14ac:dyDescent="0.3">
      <c r="A66" s="200" t="s">
        <v>803</v>
      </c>
      <c r="I66" s="141">
        <v>10.040900000000001</v>
      </c>
    </row>
    <row r="67" spans="1:9" x14ac:dyDescent="0.25">
      <c r="A67" s="149" t="s">
        <v>771</v>
      </c>
      <c r="B67" s="141" t="s">
        <v>889</v>
      </c>
      <c r="I67" s="376">
        <f>I65/I66</f>
        <v>1661.6528862633938</v>
      </c>
    </row>
  </sheetData>
  <mergeCells count="25">
    <mergeCell ref="B18:B20"/>
    <mergeCell ref="M2:N2"/>
    <mergeCell ref="O2:P2"/>
    <mergeCell ref="Z3:AA3"/>
    <mergeCell ref="AB3:AC3"/>
    <mergeCell ref="Q2:R2"/>
    <mergeCell ref="S2:T2"/>
    <mergeCell ref="A1:L1"/>
    <mergeCell ref="A2:A3"/>
    <mergeCell ref="B2:B3"/>
    <mergeCell ref="C2:D2"/>
    <mergeCell ref="E2:F2"/>
    <mergeCell ref="G2:H2"/>
    <mergeCell ref="I2:J2"/>
    <mergeCell ref="K2:L2"/>
    <mergeCell ref="AL3:AM3"/>
    <mergeCell ref="AN3:AO3"/>
    <mergeCell ref="AP3:AQ3"/>
    <mergeCell ref="AR3:AS3"/>
    <mergeCell ref="U2:V2"/>
    <mergeCell ref="W2:X2"/>
    <mergeCell ref="AH3:AI3"/>
    <mergeCell ref="AJ3:AK3"/>
    <mergeCell ref="AD3:AE3"/>
    <mergeCell ref="AF3:AG3"/>
  </mergeCells>
  <pageMargins left="0" right="0" top="0.35433070866141736" bottom="0.35433070866141736" header="0.31496062992125984" footer="0.31496062992125984"/>
  <pageSetup paperSize="9" scale="7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8BA76-60CA-484D-AADD-B14953B3C055}">
  <dimension ref="A1:AK55"/>
  <sheetViews>
    <sheetView workbookViewId="0">
      <pane xSplit="2" ySplit="3" topLeftCell="O4" activePane="bottomRight" state="frozen"/>
      <selection pane="topRight" activeCell="C1" sqref="C1"/>
      <selection pane="bottomLeft" activeCell="A4" sqref="A4"/>
      <selection pane="bottomRight" activeCell="S8" sqref="S8"/>
    </sheetView>
  </sheetViews>
  <sheetFormatPr defaultRowHeight="18" x14ac:dyDescent="0.25"/>
  <cols>
    <col min="1" max="1" width="36.140625" style="141" customWidth="1"/>
    <col min="2" max="2" width="12.42578125" style="141" customWidth="1"/>
    <col min="3" max="3" width="0.42578125" style="141" hidden="1" customWidth="1"/>
    <col min="4" max="4" width="12.5703125" style="141" hidden="1" customWidth="1"/>
    <col min="5" max="6" width="12.140625" style="141" hidden="1" customWidth="1"/>
    <col min="7" max="7" width="12.42578125" style="141" hidden="1" customWidth="1"/>
    <col min="8" max="8" width="2.7109375" style="141" hidden="1" customWidth="1"/>
    <col min="9" max="9" width="11.85546875" style="141" customWidth="1"/>
    <col min="10" max="10" width="8.42578125" style="141" customWidth="1"/>
    <col min="11" max="11" width="11.85546875" style="141" customWidth="1"/>
    <col min="12" max="12" width="12.140625" style="141" customWidth="1"/>
    <col min="13" max="13" width="13.28515625" style="141" customWidth="1"/>
    <col min="14" max="14" width="15.140625" style="141" customWidth="1"/>
    <col min="15" max="15" width="12.28515625" style="141" customWidth="1"/>
    <col min="16" max="24" width="14.85546875" style="141" customWidth="1"/>
    <col min="25" max="25" width="14.7109375" style="141" customWidth="1"/>
    <col min="26" max="266" width="9.140625" style="141"/>
    <col min="267" max="267" width="36.140625" style="141" customWidth="1"/>
    <col min="268" max="268" width="12.85546875" style="141" customWidth="1"/>
    <col min="269" max="269" width="12.140625" style="141" customWidth="1"/>
    <col min="270" max="270" width="12.5703125" style="141" customWidth="1"/>
    <col min="271" max="271" width="11.7109375" style="141" customWidth="1"/>
    <col min="272" max="272" width="12.140625" style="141" customWidth="1"/>
    <col min="273" max="273" width="11.140625" style="141" customWidth="1"/>
    <col min="274" max="274" width="12.42578125" style="141" customWidth="1"/>
    <col min="275" max="275" width="11.28515625" style="141" customWidth="1"/>
    <col min="276" max="276" width="12.140625" style="141" customWidth="1"/>
    <col min="277" max="277" width="11" style="141" customWidth="1"/>
    <col min="278" max="278" width="12.140625" style="141" customWidth="1"/>
    <col min="279" max="522" width="9.140625" style="141"/>
    <col min="523" max="523" width="36.140625" style="141" customWidth="1"/>
    <col min="524" max="524" width="12.85546875" style="141" customWidth="1"/>
    <col min="525" max="525" width="12.140625" style="141" customWidth="1"/>
    <col min="526" max="526" width="12.5703125" style="141" customWidth="1"/>
    <col min="527" max="527" width="11.7109375" style="141" customWidth="1"/>
    <col min="528" max="528" width="12.140625" style="141" customWidth="1"/>
    <col min="529" max="529" width="11.140625" style="141" customWidth="1"/>
    <col min="530" max="530" width="12.42578125" style="141" customWidth="1"/>
    <col min="531" max="531" width="11.28515625" style="141" customWidth="1"/>
    <col min="532" max="532" width="12.140625" style="141" customWidth="1"/>
    <col min="533" max="533" width="11" style="141" customWidth="1"/>
    <col min="534" max="534" width="12.140625" style="141" customWidth="1"/>
    <col min="535" max="778" width="9.140625" style="141"/>
    <col min="779" max="779" width="36.140625" style="141" customWidth="1"/>
    <col min="780" max="780" width="12.85546875" style="141" customWidth="1"/>
    <col min="781" max="781" width="12.140625" style="141" customWidth="1"/>
    <col min="782" max="782" width="12.5703125" style="141" customWidth="1"/>
    <col min="783" max="783" width="11.7109375" style="141" customWidth="1"/>
    <col min="784" max="784" width="12.140625" style="141" customWidth="1"/>
    <col min="785" max="785" width="11.140625" style="141" customWidth="1"/>
    <col min="786" max="786" width="12.42578125" style="141" customWidth="1"/>
    <col min="787" max="787" width="11.28515625" style="141" customWidth="1"/>
    <col min="788" max="788" width="12.140625" style="141" customWidth="1"/>
    <col min="789" max="789" width="11" style="141" customWidth="1"/>
    <col min="790" max="790" width="12.140625" style="141" customWidth="1"/>
    <col min="791" max="1034" width="9.140625" style="141"/>
    <col min="1035" max="1035" width="36.140625" style="141" customWidth="1"/>
    <col min="1036" max="1036" width="12.85546875" style="141" customWidth="1"/>
    <col min="1037" max="1037" width="12.140625" style="141" customWidth="1"/>
    <col min="1038" max="1038" width="12.5703125" style="141" customWidth="1"/>
    <col min="1039" max="1039" width="11.7109375" style="141" customWidth="1"/>
    <col min="1040" max="1040" width="12.140625" style="141" customWidth="1"/>
    <col min="1041" max="1041" width="11.140625" style="141" customWidth="1"/>
    <col min="1042" max="1042" width="12.42578125" style="141" customWidth="1"/>
    <col min="1043" max="1043" width="11.28515625" style="141" customWidth="1"/>
    <col min="1044" max="1044" width="12.140625" style="141" customWidth="1"/>
    <col min="1045" max="1045" width="11" style="141" customWidth="1"/>
    <col min="1046" max="1046" width="12.140625" style="141" customWidth="1"/>
    <col min="1047" max="1290" width="9.140625" style="141"/>
    <col min="1291" max="1291" width="36.140625" style="141" customWidth="1"/>
    <col min="1292" max="1292" width="12.85546875" style="141" customWidth="1"/>
    <col min="1293" max="1293" width="12.140625" style="141" customWidth="1"/>
    <col min="1294" max="1294" width="12.5703125" style="141" customWidth="1"/>
    <col min="1295" max="1295" width="11.7109375" style="141" customWidth="1"/>
    <col min="1296" max="1296" width="12.140625" style="141" customWidth="1"/>
    <col min="1297" max="1297" width="11.140625" style="141" customWidth="1"/>
    <col min="1298" max="1298" width="12.42578125" style="141" customWidth="1"/>
    <col min="1299" max="1299" width="11.28515625" style="141" customWidth="1"/>
    <col min="1300" max="1300" width="12.140625" style="141" customWidth="1"/>
    <col min="1301" max="1301" width="11" style="141" customWidth="1"/>
    <col min="1302" max="1302" width="12.140625" style="141" customWidth="1"/>
    <col min="1303" max="1546" width="9.140625" style="141"/>
    <col min="1547" max="1547" width="36.140625" style="141" customWidth="1"/>
    <col min="1548" max="1548" width="12.85546875" style="141" customWidth="1"/>
    <col min="1549" max="1549" width="12.140625" style="141" customWidth="1"/>
    <col min="1550" max="1550" width="12.5703125" style="141" customWidth="1"/>
    <col min="1551" max="1551" width="11.7109375" style="141" customWidth="1"/>
    <col min="1552" max="1552" width="12.140625" style="141" customWidth="1"/>
    <col min="1553" max="1553" width="11.140625" style="141" customWidth="1"/>
    <col min="1554" max="1554" width="12.42578125" style="141" customWidth="1"/>
    <col min="1555" max="1555" width="11.28515625" style="141" customWidth="1"/>
    <col min="1556" max="1556" width="12.140625" style="141" customWidth="1"/>
    <col min="1557" max="1557" width="11" style="141" customWidth="1"/>
    <col min="1558" max="1558" width="12.140625" style="141" customWidth="1"/>
    <col min="1559" max="1802" width="9.140625" style="141"/>
    <col min="1803" max="1803" width="36.140625" style="141" customWidth="1"/>
    <col min="1804" max="1804" width="12.85546875" style="141" customWidth="1"/>
    <col min="1805" max="1805" width="12.140625" style="141" customWidth="1"/>
    <col min="1806" max="1806" width="12.5703125" style="141" customWidth="1"/>
    <col min="1807" max="1807" width="11.7109375" style="141" customWidth="1"/>
    <col min="1808" max="1808" width="12.140625" style="141" customWidth="1"/>
    <col min="1809" max="1809" width="11.140625" style="141" customWidth="1"/>
    <col min="1810" max="1810" width="12.42578125" style="141" customWidth="1"/>
    <col min="1811" max="1811" width="11.28515625" style="141" customWidth="1"/>
    <col min="1812" max="1812" width="12.140625" style="141" customWidth="1"/>
    <col min="1813" max="1813" width="11" style="141" customWidth="1"/>
    <col min="1814" max="1814" width="12.140625" style="141" customWidth="1"/>
    <col min="1815" max="2058" width="9.140625" style="141"/>
    <col min="2059" max="2059" width="36.140625" style="141" customWidth="1"/>
    <col min="2060" max="2060" width="12.85546875" style="141" customWidth="1"/>
    <col min="2061" max="2061" width="12.140625" style="141" customWidth="1"/>
    <col min="2062" max="2062" width="12.5703125" style="141" customWidth="1"/>
    <col min="2063" max="2063" width="11.7109375" style="141" customWidth="1"/>
    <col min="2064" max="2064" width="12.140625" style="141" customWidth="1"/>
    <col min="2065" max="2065" width="11.140625" style="141" customWidth="1"/>
    <col min="2066" max="2066" width="12.42578125" style="141" customWidth="1"/>
    <col min="2067" max="2067" width="11.28515625" style="141" customWidth="1"/>
    <col min="2068" max="2068" width="12.140625" style="141" customWidth="1"/>
    <col min="2069" max="2069" width="11" style="141" customWidth="1"/>
    <col min="2070" max="2070" width="12.140625" style="141" customWidth="1"/>
    <col min="2071" max="2314" width="9.140625" style="141"/>
    <col min="2315" max="2315" width="36.140625" style="141" customWidth="1"/>
    <col min="2316" max="2316" width="12.85546875" style="141" customWidth="1"/>
    <col min="2317" max="2317" width="12.140625" style="141" customWidth="1"/>
    <col min="2318" max="2318" width="12.5703125" style="141" customWidth="1"/>
    <col min="2319" max="2319" width="11.7109375" style="141" customWidth="1"/>
    <col min="2320" max="2320" width="12.140625" style="141" customWidth="1"/>
    <col min="2321" max="2321" width="11.140625" style="141" customWidth="1"/>
    <col min="2322" max="2322" width="12.42578125" style="141" customWidth="1"/>
    <col min="2323" max="2323" width="11.28515625" style="141" customWidth="1"/>
    <col min="2324" max="2324" width="12.140625" style="141" customWidth="1"/>
    <col min="2325" max="2325" width="11" style="141" customWidth="1"/>
    <col min="2326" max="2326" width="12.140625" style="141" customWidth="1"/>
    <col min="2327" max="2570" width="9.140625" style="141"/>
    <col min="2571" max="2571" width="36.140625" style="141" customWidth="1"/>
    <col min="2572" max="2572" width="12.85546875" style="141" customWidth="1"/>
    <col min="2573" max="2573" width="12.140625" style="141" customWidth="1"/>
    <col min="2574" max="2574" width="12.5703125" style="141" customWidth="1"/>
    <col min="2575" max="2575" width="11.7109375" style="141" customWidth="1"/>
    <col min="2576" max="2576" width="12.140625" style="141" customWidth="1"/>
    <col min="2577" max="2577" width="11.140625" style="141" customWidth="1"/>
    <col min="2578" max="2578" width="12.42578125" style="141" customWidth="1"/>
    <col min="2579" max="2579" width="11.28515625" style="141" customWidth="1"/>
    <col min="2580" max="2580" width="12.140625" style="141" customWidth="1"/>
    <col min="2581" max="2581" width="11" style="141" customWidth="1"/>
    <col min="2582" max="2582" width="12.140625" style="141" customWidth="1"/>
    <col min="2583" max="2826" width="9.140625" style="141"/>
    <col min="2827" max="2827" width="36.140625" style="141" customWidth="1"/>
    <col min="2828" max="2828" width="12.85546875" style="141" customWidth="1"/>
    <col min="2829" max="2829" width="12.140625" style="141" customWidth="1"/>
    <col min="2830" max="2830" width="12.5703125" style="141" customWidth="1"/>
    <col min="2831" max="2831" width="11.7109375" style="141" customWidth="1"/>
    <col min="2832" max="2832" width="12.140625" style="141" customWidth="1"/>
    <col min="2833" max="2833" width="11.140625" style="141" customWidth="1"/>
    <col min="2834" max="2834" width="12.42578125" style="141" customWidth="1"/>
    <col min="2835" max="2835" width="11.28515625" style="141" customWidth="1"/>
    <col min="2836" max="2836" width="12.140625" style="141" customWidth="1"/>
    <col min="2837" max="2837" width="11" style="141" customWidth="1"/>
    <col min="2838" max="2838" width="12.140625" style="141" customWidth="1"/>
    <col min="2839" max="3082" width="9.140625" style="141"/>
    <col min="3083" max="3083" width="36.140625" style="141" customWidth="1"/>
    <col min="3084" max="3084" width="12.85546875" style="141" customWidth="1"/>
    <col min="3085" max="3085" width="12.140625" style="141" customWidth="1"/>
    <col min="3086" max="3086" width="12.5703125" style="141" customWidth="1"/>
    <col min="3087" max="3087" width="11.7109375" style="141" customWidth="1"/>
    <col min="3088" max="3088" width="12.140625" style="141" customWidth="1"/>
    <col min="3089" max="3089" width="11.140625" style="141" customWidth="1"/>
    <col min="3090" max="3090" width="12.42578125" style="141" customWidth="1"/>
    <col min="3091" max="3091" width="11.28515625" style="141" customWidth="1"/>
    <col min="3092" max="3092" width="12.140625" style="141" customWidth="1"/>
    <col min="3093" max="3093" width="11" style="141" customWidth="1"/>
    <col min="3094" max="3094" width="12.140625" style="141" customWidth="1"/>
    <col min="3095" max="3338" width="9.140625" style="141"/>
    <col min="3339" max="3339" width="36.140625" style="141" customWidth="1"/>
    <col min="3340" max="3340" width="12.85546875" style="141" customWidth="1"/>
    <col min="3341" max="3341" width="12.140625" style="141" customWidth="1"/>
    <col min="3342" max="3342" width="12.5703125" style="141" customWidth="1"/>
    <col min="3343" max="3343" width="11.7109375" style="141" customWidth="1"/>
    <col min="3344" max="3344" width="12.140625" style="141" customWidth="1"/>
    <col min="3345" max="3345" width="11.140625" style="141" customWidth="1"/>
    <col min="3346" max="3346" width="12.42578125" style="141" customWidth="1"/>
    <col min="3347" max="3347" width="11.28515625" style="141" customWidth="1"/>
    <col min="3348" max="3348" width="12.140625" style="141" customWidth="1"/>
    <col min="3349" max="3349" width="11" style="141" customWidth="1"/>
    <col min="3350" max="3350" width="12.140625" style="141" customWidth="1"/>
    <col min="3351" max="3594" width="9.140625" style="141"/>
    <col min="3595" max="3595" width="36.140625" style="141" customWidth="1"/>
    <col min="3596" max="3596" width="12.85546875" style="141" customWidth="1"/>
    <col min="3597" max="3597" width="12.140625" style="141" customWidth="1"/>
    <col min="3598" max="3598" width="12.5703125" style="141" customWidth="1"/>
    <col min="3599" max="3599" width="11.7109375" style="141" customWidth="1"/>
    <col min="3600" max="3600" width="12.140625" style="141" customWidth="1"/>
    <col min="3601" max="3601" width="11.140625" style="141" customWidth="1"/>
    <col min="3602" max="3602" width="12.42578125" style="141" customWidth="1"/>
    <col min="3603" max="3603" width="11.28515625" style="141" customWidth="1"/>
    <col min="3604" max="3604" width="12.140625" style="141" customWidth="1"/>
    <col min="3605" max="3605" width="11" style="141" customWidth="1"/>
    <col min="3606" max="3606" width="12.140625" style="141" customWidth="1"/>
    <col min="3607" max="3850" width="9.140625" style="141"/>
    <col min="3851" max="3851" width="36.140625" style="141" customWidth="1"/>
    <col min="3852" max="3852" width="12.85546875" style="141" customWidth="1"/>
    <col min="3853" max="3853" width="12.140625" style="141" customWidth="1"/>
    <col min="3854" max="3854" width="12.5703125" style="141" customWidth="1"/>
    <col min="3855" max="3855" width="11.7109375" style="141" customWidth="1"/>
    <col min="3856" max="3856" width="12.140625" style="141" customWidth="1"/>
    <col min="3857" max="3857" width="11.140625" style="141" customWidth="1"/>
    <col min="3858" max="3858" width="12.42578125" style="141" customWidth="1"/>
    <col min="3859" max="3859" width="11.28515625" style="141" customWidth="1"/>
    <col min="3860" max="3860" width="12.140625" style="141" customWidth="1"/>
    <col min="3861" max="3861" width="11" style="141" customWidth="1"/>
    <col min="3862" max="3862" width="12.140625" style="141" customWidth="1"/>
    <col min="3863" max="4106" width="9.140625" style="141"/>
    <col min="4107" max="4107" width="36.140625" style="141" customWidth="1"/>
    <col min="4108" max="4108" width="12.85546875" style="141" customWidth="1"/>
    <col min="4109" max="4109" width="12.140625" style="141" customWidth="1"/>
    <col min="4110" max="4110" width="12.5703125" style="141" customWidth="1"/>
    <col min="4111" max="4111" width="11.7109375" style="141" customWidth="1"/>
    <col min="4112" max="4112" width="12.140625" style="141" customWidth="1"/>
    <col min="4113" max="4113" width="11.140625" style="141" customWidth="1"/>
    <col min="4114" max="4114" width="12.42578125" style="141" customWidth="1"/>
    <col min="4115" max="4115" width="11.28515625" style="141" customWidth="1"/>
    <col min="4116" max="4116" width="12.140625" style="141" customWidth="1"/>
    <col min="4117" max="4117" width="11" style="141" customWidth="1"/>
    <col min="4118" max="4118" width="12.140625" style="141" customWidth="1"/>
    <col min="4119" max="4362" width="9.140625" style="141"/>
    <col min="4363" max="4363" width="36.140625" style="141" customWidth="1"/>
    <col min="4364" max="4364" width="12.85546875" style="141" customWidth="1"/>
    <col min="4365" max="4365" width="12.140625" style="141" customWidth="1"/>
    <col min="4366" max="4366" width="12.5703125" style="141" customWidth="1"/>
    <col min="4367" max="4367" width="11.7109375" style="141" customWidth="1"/>
    <col min="4368" max="4368" width="12.140625" style="141" customWidth="1"/>
    <col min="4369" max="4369" width="11.140625" style="141" customWidth="1"/>
    <col min="4370" max="4370" width="12.42578125" style="141" customWidth="1"/>
    <col min="4371" max="4371" width="11.28515625" style="141" customWidth="1"/>
    <col min="4372" max="4372" width="12.140625" style="141" customWidth="1"/>
    <col min="4373" max="4373" width="11" style="141" customWidth="1"/>
    <col min="4374" max="4374" width="12.140625" style="141" customWidth="1"/>
    <col min="4375" max="4618" width="9.140625" style="141"/>
    <col min="4619" max="4619" width="36.140625" style="141" customWidth="1"/>
    <col min="4620" max="4620" width="12.85546875" style="141" customWidth="1"/>
    <col min="4621" max="4621" width="12.140625" style="141" customWidth="1"/>
    <col min="4622" max="4622" width="12.5703125" style="141" customWidth="1"/>
    <col min="4623" max="4623" width="11.7109375" style="141" customWidth="1"/>
    <col min="4624" max="4624" width="12.140625" style="141" customWidth="1"/>
    <col min="4625" max="4625" width="11.140625" style="141" customWidth="1"/>
    <col min="4626" max="4626" width="12.42578125" style="141" customWidth="1"/>
    <col min="4627" max="4627" width="11.28515625" style="141" customWidth="1"/>
    <col min="4628" max="4628" width="12.140625" style="141" customWidth="1"/>
    <col min="4629" max="4629" width="11" style="141" customWidth="1"/>
    <col min="4630" max="4630" width="12.140625" style="141" customWidth="1"/>
    <col min="4631" max="4874" width="9.140625" style="141"/>
    <col min="4875" max="4875" width="36.140625" style="141" customWidth="1"/>
    <col min="4876" max="4876" width="12.85546875" style="141" customWidth="1"/>
    <col min="4877" max="4877" width="12.140625" style="141" customWidth="1"/>
    <col min="4878" max="4878" width="12.5703125" style="141" customWidth="1"/>
    <col min="4879" max="4879" width="11.7109375" style="141" customWidth="1"/>
    <col min="4880" max="4880" width="12.140625" style="141" customWidth="1"/>
    <col min="4881" max="4881" width="11.140625" style="141" customWidth="1"/>
    <col min="4882" max="4882" width="12.42578125" style="141" customWidth="1"/>
    <col min="4883" max="4883" width="11.28515625" style="141" customWidth="1"/>
    <col min="4884" max="4884" width="12.140625" style="141" customWidth="1"/>
    <col min="4885" max="4885" width="11" style="141" customWidth="1"/>
    <col min="4886" max="4886" width="12.140625" style="141" customWidth="1"/>
    <col min="4887" max="5130" width="9.140625" style="141"/>
    <col min="5131" max="5131" width="36.140625" style="141" customWidth="1"/>
    <col min="5132" max="5132" width="12.85546875" style="141" customWidth="1"/>
    <col min="5133" max="5133" width="12.140625" style="141" customWidth="1"/>
    <col min="5134" max="5134" width="12.5703125" style="141" customWidth="1"/>
    <col min="5135" max="5135" width="11.7109375" style="141" customWidth="1"/>
    <col min="5136" max="5136" width="12.140625" style="141" customWidth="1"/>
    <col min="5137" max="5137" width="11.140625" style="141" customWidth="1"/>
    <col min="5138" max="5138" width="12.42578125" style="141" customWidth="1"/>
    <col min="5139" max="5139" width="11.28515625" style="141" customWidth="1"/>
    <col min="5140" max="5140" width="12.140625" style="141" customWidth="1"/>
    <col min="5141" max="5141" width="11" style="141" customWidth="1"/>
    <col min="5142" max="5142" width="12.140625" style="141" customWidth="1"/>
    <col min="5143" max="5386" width="9.140625" style="141"/>
    <col min="5387" max="5387" width="36.140625" style="141" customWidth="1"/>
    <col min="5388" max="5388" width="12.85546875" style="141" customWidth="1"/>
    <col min="5389" max="5389" width="12.140625" style="141" customWidth="1"/>
    <col min="5390" max="5390" width="12.5703125" style="141" customWidth="1"/>
    <col min="5391" max="5391" width="11.7109375" style="141" customWidth="1"/>
    <col min="5392" max="5392" width="12.140625" style="141" customWidth="1"/>
    <col min="5393" max="5393" width="11.140625" style="141" customWidth="1"/>
    <col min="5394" max="5394" width="12.42578125" style="141" customWidth="1"/>
    <col min="5395" max="5395" width="11.28515625" style="141" customWidth="1"/>
    <col min="5396" max="5396" width="12.140625" style="141" customWidth="1"/>
    <col min="5397" max="5397" width="11" style="141" customWidth="1"/>
    <col min="5398" max="5398" width="12.140625" style="141" customWidth="1"/>
    <col min="5399" max="5642" width="9.140625" style="141"/>
    <col min="5643" max="5643" width="36.140625" style="141" customWidth="1"/>
    <col min="5644" max="5644" width="12.85546875" style="141" customWidth="1"/>
    <col min="5645" max="5645" width="12.140625" style="141" customWidth="1"/>
    <col min="5646" max="5646" width="12.5703125" style="141" customWidth="1"/>
    <col min="5647" max="5647" width="11.7109375" style="141" customWidth="1"/>
    <col min="5648" max="5648" width="12.140625" style="141" customWidth="1"/>
    <col min="5649" max="5649" width="11.140625" style="141" customWidth="1"/>
    <col min="5650" max="5650" width="12.42578125" style="141" customWidth="1"/>
    <col min="5651" max="5651" width="11.28515625" style="141" customWidth="1"/>
    <col min="5652" max="5652" width="12.140625" style="141" customWidth="1"/>
    <col min="5653" max="5653" width="11" style="141" customWidth="1"/>
    <col min="5654" max="5654" width="12.140625" style="141" customWidth="1"/>
    <col min="5655" max="5898" width="9.140625" style="141"/>
    <col min="5899" max="5899" width="36.140625" style="141" customWidth="1"/>
    <col min="5900" max="5900" width="12.85546875" style="141" customWidth="1"/>
    <col min="5901" max="5901" width="12.140625" style="141" customWidth="1"/>
    <col min="5902" max="5902" width="12.5703125" style="141" customWidth="1"/>
    <col min="5903" max="5903" width="11.7109375" style="141" customWidth="1"/>
    <col min="5904" max="5904" width="12.140625" style="141" customWidth="1"/>
    <col min="5905" max="5905" width="11.140625" style="141" customWidth="1"/>
    <col min="5906" max="5906" width="12.42578125" style="141" customWidth="1"/>
    <col min="5907" max="5907" width="11.28515625" style="141" customWidth="1"/>
    <col min="5908" max="5908" width="12.140625" style="141" customWidth="1"/>
    <col min="5909" max="5909" width="11" style="141" customWidth="1"/>
    <col min="5910" max="5910" width="12.140625" style="141" customWidth="1"/>
    <col min="5911" max="6154" width="9.140625" style="141"/>
    <col min="6155" max="6155" width="36.140625" style="141" customWidth="1"/>
    <col min="6156" max="6156" width="12.85546875" style="141" customWidth="1"/>
    <col min="6157" max="6157" width="12.140625" style="141" customWidth="1"/>
    <col min="6158" max="6158" width="12.5703125" style="141" customWidth="1"/>
    <col min="6159" max="6159" width="11.7109375" style="141" customWidth="1"/>
    <col min="6160" max="6160" width="12.140625" style="141" customWidth="1"/>
    <col min="6161" max="6161" width="11.140625" style="141" customWidth="1"/>
    <col min="6162" max="6162" width="12.42578125" style="141" customWidth="1"/>
    <col min="6163" max="6163" width="11.28515625" style="141" customWidth="1"/>
    <col min="6164" max="6164" width="12.140625" style="141" customWidth="1"/>
    <col min="6165" max="6165" width="11" style="141" customWidth="1"/>
    <col min="6166" max="6166" width="12.140625" style="141" customWidth="1"/>
    <col min="6167" max="6410" width="9.140625" style="141"/>
    <col min="6411" max="6411" width="36.140625" style="141" customWidth="1"/>
    <col min="6412" max="6412" width="12.85546875" style="141" customWidth="1"/>
    <col min="6413" max="6413" width="12.140625" style="141" customWidth="1"/>
    <col min="6414" max="6414" width="12.5703125" style="141" customWidth="1"/>
    <col min="6415" max="6415" width="11.7109375" style="141" customWidth="1"/>
    <col min="6416" max="6416" width="12.140625" style="141" customWidth="1"/>
    <col min="6417" max="6417" width="11.140625" style="141" customWidth="1"/>
    <col min="6418" max="6418" width="12.42578125" style="141" customWidth="1"/>
    <col min="6419" max="6419" width="11.28515625" style="141" customWidth="1"/>
    <col min="6420" max="6420" width="12.140625" style="141" customWidth="1"/>
    <col min="6421" max="6421" width="11" style="141" customWidth="1"/>
    <col min="6422" max="6422" width="12.140625" style="141" customWidth="1"/>
    <col min="6423" max="6666" width="9.140625" style="141"/>
    <col min="6667" max="6667" width="36.140625" style="141" customWidth="1"/>
    <col min="6668" max="6668" width="12.85546875" style="141" customWidth="1"/>
    <col min="6669" max="6669" width="12.140625" style="141" customWidth="1"/>
    <col min="6670" max="6670" width="12.5703125" style="141" customWidth="1"/>
    <col min="6671" max="6671" width="11.7109375" style="141" customWidth="1"/>
    <col min="6672" max="6672" width="12.140625" style="141" customWidth="1"/>
    <col min="6673" max="6673" width="11.140625" style="141" customWidth="1"/>
    <col min="6674" max="6674" width="12.42578125" style="141" customWidth="1"/>
    <col min="6675" max="6675" width="11.28515625" style="141" customWidth="1"/>
    <col min="6676" max="6676" width="12.140625" style="141" customWidth="1"/>
    <col min="6677" max="6677" width="11" style="141" customWidth="1"/>
    <col min="6678" max="6678" width="12.140625" style="141" customWidth="1"/>
    <col min="6679" max="6922" width="9.140625" style="141"/>
    <col min="6923" max="6923" width="36.140625" style="141" customWidth="1"/>
    <col min="6924" max="6924" width="12.85546875" style="141" customWidth="1"/>
    <col min="6925" max="6925" width="12.140625" style="141" customWidth="1"/>
    <col min="6926" max="6926" width="12.5703125" style="141" customWidth="1"/>
    <col min="6927" max="6927" width="11.7109375" style="141" customWidth="1"/>
    <col min="6928" max="6928" width="12.140625" style="141" customWidth="1"/>
    <col min="6929" max="6929" width="11.140625" style="141" customWidth="1"/>
    <col min="6930" max="6930" width="12.42578125" style="141" customWidth="1"/>
    <col min="6931" max="6931" width="11.28515625" style="141" customWidth="1"/>
    <col min="6932" max="6932" width="12.140625" style="141" customWidth="1"/>
    <col min="6933" max="6933" width="11" style="141" customWidth="1"/>
    <col min="6934" max="6934" width="12.140625" style="141" customWidth="1"/>
    <col min="6935" max="7178" width="9.140625" style="141"/>
    <col min="7179" max="7179" width="36.140625" style="141" customWidth="1"/>
    <col min="7180" max="7180" width="12.85546875" style="141" customWidth="1"/>
    <col min="7181" max="7181" width="12.140625" style="141" customWidth="1"/>
    <col min="7182" max="7182" width="12.5703125" style="141" customWidth="1"/>
    <col min="7183" max="7183" width="11.7109375" style="141" customWidth="1"/>
    <col min="7184" max="7184" width="12.140625" style="141" customWidth="1"/>
    <col min="7185" max="7185" width="11.140625" style="141" customWidth="1"/>
    <col min="7186" max="7186" width="12.42578125" style="141" customWidth="1"/>
    <col min="7187" max="7187" width="11.28515625" style="141" customWidth="1"/>
    <col min="7188" max="7188" width="12.140625" style="141" customWidth="1"/>
    <col min="7189" max="7189" width="11" style="141" customWidth="1"/>
    <col min="7190" max="7190" width="12.140625" style="141" customWidth="1"/>
    <col min="7191" max="7434" width="9.140625" style="141"/>
    <col min="7435" max="7435" width="36.140625" style="141" customWidth="1"/>
    <col min="7436" max="7436" width="12.85546875" style="141" customWidth="1"/>
    <col min="7437" max="7437" width="12.140625" style="141" customWidth="1"/>
    <col min="7438" max="7438" width="12.5703125" style="141" customWidth="1"/>
    <col min="7439" max="7439" width="11.7109375" style="141" customWidth="1"/>
    <col min="7440" max="7440" width="12.140625" style="141" customWidth="1"/>
    <col min="7441" max="7441" width="11.140625" style="141" customWidth="1"/>
    <col min="7442" max="7442" width="12.42578125" style="141" customWidth="1"/>
    <col min="7443" max="7443" width="11.28515625" style="141" customWidth="1"/>
    <col min="7444" max="7444" width="12.140625" style="141" customWidth="1"/>
    <col min="7445" max="7445" width="11" style="141" customWidth="1"/>
    <col min="7446" max="7446" width="12.140625" style="141" customWidth="1"/>
    <col min="7447" max="7690" width="9.140625" style="141"/>
    <col min="7691" max="7691" width="36.140625" style="141" customWidth="1"/>
    <col min="7692" max="7692" width="12.85546875" style="141" customWidth="1"/>
    <col min="7693" max="7693" width="12.140625" style="141" customWidth="1"/>
    <col min="7694" max="7694" width="12.5703125" style="141" customWidth="1"/>
    <col min="7695" max="7695" width="11.7109375" style="141" customWidth="1"/>
    <col min="7696" max="7696" width="12.140625" style="141" customWidth="1"/>
    <col min="7697" max="7697" width="11.140625" style="141" customWidth="1"/>
    <col min="7698" max="7698" width="12.42578125" style="141" customWidth="1"/>
    <col min="7699" max="7699" width="11.28515625" style="141" customWidth="1"/>
    <col min="7700" max="7700" width="12.140625" style="141" customWidth="1"/>
    <col min="7701" max="7701" width="11" style="141" customWidth="1"/>
    <col min="7702" max="7702" width="12.140625" style="141" customWidth="1"/>
    <col min="7703" max="7946" width="9.140625" style="141"/>
    <col min="7947" max="7947" width="36.140625" style="141" customWidth="1"/>
    <col min="7948" max="7948" width="12.85546875" style="141" customWidth="1"/>
    <col min="7949" max="7949" width="12.140625" style="141" customWidth="1"/>
    <col min="7950" max="7950" width="12.5703125" style="141" customWidth="1"/>
    <col min="7951" max="7951" width="11.7109375" style="141" customWidth="1"/>
    <col min="7952" max="7952" width="12.140625" style="141" customWidth="1"/>
    <col min="7953" max="7953" width="11.140625" style="141" customWidth="1"/>
    <col min="7954" max="7954" width="12.42578125" style="141" customWidth="1"/>
    <col min="7955" max="7955" width="11.28515625" style="141" customWidth="1"/>
    <col min="7956" max="7956" width="12.140625" style="141" customWidth="1"/>
    <col min="7957" max="7957" width="11" style="141" customWidth="1"/>
    <col min="7958" max="7958" width="12.140625" style="141" customWidth="1"/>
    <col min="7959" max="8202" width="9.140625" style="141"/>
    <col min="8203" max="8203" width="36.140625" style="141" customWidth="1"/>
    <col min="8204" max="8204" width="12.85546875" style="141" customWidth="1"/>
    <col min="8205" max="8205" width="12.140625" style="141" customWidth="1"/>
    <col min="8206" max="8206" width="12.5703125" style="141" customWidth="1"/>
    <col min="8207" max="8207" width="11.7109375" style="141" customWidth="1"/>
    <col min="8208" max="8208" width="12.140625" style="141" customWidth="1"/>
    <col min="8209" max="8209" width="11.140625" style="141" customWidth="1"/>
    <col min="8210" max="8210" width="12.42578125" style="141" customWidth="1"/>
    <col min="8211" max="8211" width="11.28515625" style="141" customWidth="1"/>
    <col min="8212" max="8212" width="12.140625" style="141" customWidth="1"/>
    <col min="8213" max="8213" width="11" style="141" customWidth="1"/>
    <col min="8214" max="8214" width="12.140625" style="141" customWidth="1"/>
    <col min="8215" max="8458" width="9.140625" style="141"/>
    <col min="8459" max="8459" width="36.140625" style="141" customWidth="1"/>
    <col min="8460" max="8460" width="12.85546875" style="141" customWidth="1"/>
    <col min="8461" max="8461" width="12.140625" style="141" customWidth="1"/>
    <col min="8462" max="8462" width="12.5703125" style="141" customWidth="1"/>
    <col min="8463" max="8463" width="11.7109375" style="141" customWidth="1"/>
    <col min="8464" max="8464" width="12.140625" style="141" customWidth="1"/>
    <col min="8465" max="8465" width="11.140625" style="141" customWidth="1"/>
    <col min="8466" max="8466" width="12.42578125" style="141" customWidth="1"/>
    <col min="8467" max="8467" width="11.28515625" style="141" customWidth="1"/>
    <col min="8468" max="8468" width="12.140625" style="141" customWidth="1"/>
    <col min="8469" max="8469" width="11" style="141" customWidth="1"/>
    <col min="8470" max="8470" width="12.140625" style="141" customWidth="1"/>
    <col min="8471" max="8714" width="9.140625" style="141"/>
    <col min="8715" max="8715" width="36.140625" style="141" customWidth="1"/>
    <col min="8716" max="8716" width="12.85546875" style="141" customWidth="1"/>
    <col min="8717" max="8717" width="12.140625" style="141" customWidth="1"/>
    <col min="8718" max="8718" width="12.5703125" style="141" customWidth="1"/>
    <col min="8719" max="8719" width="11.7109375" style="141" customWidth="1"/>
    <col min="8720" max="8720" width="12.140625" style="141" customWidth="1"/>
    <col min="8721" max="8721" width="11.140625" style="141" customWidth="1"/>
    <col min="8722" max="8722" width="12.42578125" style="141" customWidth="1"/>
    <col min="8723" max="8723" width="11.28515625" style="141" customWidth="1"/>
    <col min="8724" max="8724" width="12.140625" style="141" customWidth="1"/>
    <col min="8725" max="8725" width="11" style="141" customWidth="1"/>
    <col min="8726" max="8726" width="12.140625" style="141" customWidth="1"/>
    <col min="8727" max="8970" width="9.140625" style="141"/>
    <col min="8971" max="8971" width="36.140625" style="141" customWidth="1"/>
    <col min="8972" max="8972" width="12.85546875" style="141" customWidth="1"/>
    <col min="8973" max="8973" width="12.140625" style="141" customWidth="1"/>
    <col min="8974" max="8974" width="12.5703125" style="141" customWidth="1"/>
    <col min="8975" max="8975" width="11.7109375" style="141" customWidth="1"/>
    <col min="8976" max="8976" width="12.140625" style="141" customWidth="1"/>
    <col min="8977" max="8977" width="11.140625" style="141" customWidth="1"/>
    <col min="8978" max="8978" width="12.42578125" style="141" customWidth="1"/>
    <col min="8979" max="8979" width="11.28515625" style="141" customWidth="1"/>
    <col min="8980" max="8980" width="12.140625" style="141" customWidth="1"/>
    <col min="8981" max="8981" width="11" style="141" customWidth="1"/>
    <col min="8982" max="8982" width="12.140625" style="141" customWidth="1"/>
    <col min="8983" max="9226" width="9.140625" style="141"/>
    <col min="9227" max="9227" width="36.140625" style="141" customWidth="1"/>
    <col min="9228" max="9228" width="12.85546875" style="141" customWidth="1"/>
    <col min="9229" max="9229" width="12.140625" style="141" customWidth="1"/>
    <col min="9230" max="9230" width="12.5703125" style="141" customWidth="1"/>
    <col min="9231" max="9231" width="11.7109375" style="141" customWidth="1"/>
    <col min="9232" max="9232" width="12.140625" style="141" customWidth="1"/>
    <col min="9233" max="9233" width="11.140625" style="141" customWidth="1"/>
    <col min="9234" max="9234" width="12.42578125" style="141" customWidth="1"/>
    <col min="9235" max="9235" width="11.28515625" style="141" customWidth="1"/>
    <col min="9236" max="9236" width="12.140625" style="141" customWidth="1"/>
    <col min="9237" max="9237" width="11" style="141" customWidth="1"/>
    <col min="9238" max="9238" width="12.140625" style="141" customWidth="1"/>
    <col min="9239" max="9482" width="9.140625" style="141"/>
    <col min="9483" max="9483" width="36.140625" style="141" customWidth="1"/>
    <col min="9484" max="9484" width="12.85546875" style="141" customWidth="1"/>
    <col min="9485" max="9485" width="12.140625" style="141" customWidth="1"/>
    <col min="9486" max="9486" width="12.5703125" style="141" customWidth="1"/>
    <col min="9487" max="9487" width="11.7109375" style="141" customWidth="1"/>
    <col min="9488" max="9488" width="12.140625" style="141" customWidth="1"/>
    <col min="9489" max="9489" width="11.140625" style="141" customWidth="1"/>
    <col min="9490" max="9490" width="12.42578125" style="141" customWidth="1"/>
    <col min="9491" max="9491" width="11.28515625" style="141" customWidth="1"/>
    <col min="9492" max="9492" width="12.140625" style="141" customWidth="1"/>
    <col min="9493" max="9493" width="11" style="141" customWidth="1"/>
    <col min="9494" max="9494" width="12.140625" style="141" customWidth="1"/>
    <col min="9495" max="9738" width="9.140625" style="141"/>
    <col min="9739" max="9739" width="36.140625" style="141" customWidth="1"/>
    <col min="9740" max="9740" width="12.85546875" style="141" customWidth="1"/>
    <col min="9741" max="9741" width="12.140625" style="141" customWidth="1"/>
    <col min="9742" max="9742" width="12.5703125" style="141" customWidth="1"/>
    <col min="9743" max="9743" width="11.7109375" style="141" customWidth="1"/>
    <col min="9744" max="9744" width="12.140625" style="141" customWidth="1"/>
    <col min="9745" max="9745" width="11.140625" style="141" customWidth="1"/>
    <col min="9746" max="9746" width="12.42578125" style="141" customWidth="1"/>
    <col min="9747" max="9747" width="11.28515625" style="141" customWidth="1"/>
    <col min="9748" max="9748" width="12.140625" style="141" customWidth="1"/>
    <col min="9749" max="9749" width="11" style="141" customWidth="1"/>
    <col min="9750" max="9750" width="12.140625" style="141" customWidth="1"/>
    <col min="9751" max="9994" width="9.140625" style="141"/>
    <col min="9995" max="9995" width="36.140625" style="141" customWidth="1"/>
    <col min="9996" max="9996" width="12.85546875" style="141" customWidth="1"/>
    <col min="9997" max="9997" width="12.140625" style="141" customWidth="1"/>
    <col min="9998" max="9998" width="12.5703125" style="141" customWidth="1"/>
    <col min="9999" max="9999" width="11.7109375" style="141" customWidth="1"/>
    <col min="10000" max="10000" width="12.140625" style="141" customWidth="1"/>
    <col min="10001" max="10001" width="11.140625" style="141" customWidth="1"/>
    <col min="10002" max="10002" width="12.42578125" style="141" customWidth="1"/>
    <col min="10003" max="10003" width="11.28515625" style="141" customWidth="1"/>
    <col min="10004" max="10004" width="12.140625" style="141" customWidth="1"/>
    <col min="10005" max="10005" width="11" style="141" customWidth="1"/>
    <col min="10006" max="10006" width="12.140625" style="141" customWidth="1"/>
    <col min="10007" max="10250" width="9.140625" style="141"/>
    <col min="10251" max="10251" width="36.140625" style="141" customWidth="1"/>
    <col min="10252" max="10252" width="12.85546875" style="141" customWidth="1"/>
    <col min="10253" max="10253" width="12.140625" style="141" customWidth="1"/>
    <col min="10254" max="10254" width="12.5703125" style="141" customWidth="1"/>
    <col min="10255" max="10255" width="11.7109375" style="141" customWidth="1"/>
    <col min="10256" max="10256" width="12.140625" style="141" customWidth="1"/>
    <col min="10257" max="10257" width="11.140625" style="141" customWidth="1"/>
    <col min="10258" max="10258" width="12.42578125" style="141" customWidth="1"/>
    <col min="10259" max="10259" width="11.28515625" style="141" customWidth="1"/>
    <col min="10260" max="10260" width="12.140625" style="141" customWidth="1"/>
    <col min="10261" max="10261" width="11" style="141" customWidth="1"/>
    <col min="10262" max="10262" width="12.140625" style="141" customWidth="1"/>
    <col min="10263" max="10506" width="9.140625" style="141"/>
    <col min="10507" max="10507" width="36.140625" style="141" customWidth="1"/>
    <col min="10508" max="10508" width="12.85546875" style="141" customWidth="1"/>
    <col min="10509" max="10509" width="12.140625" style="141" customWidth="1"/>
    <col min="10510" max="10510" width="12.5703125" style="141" customWidth="1"/>
    <col min="10511" max="10511" width="11.7109375" style="141" customWidth="1"/>
    <col min="10512" max="10512" width="12.140625" style="141" customWidth="1"/>
    <col min="10513" max="10513" width="11.140625" style="141" customWidth="1"/>
    <col min="10514" max="10514" width="12.42578125" style="141" customWidth="1"/>
    <col min="10515" max="10515" width="11.28515625" style="141" customWidth="1"/>
    <col min="10516" max="10516" width="12.140625" style="141" customWidth="1"/>
    <col min="10517" max="10517" width="11" style="141" customWidth="1"/>
    <col min="10518" max="10518" width="12.140625" style="141" customWidth="1"/>
    <col min="10519" max="10762" width="9.140625" style="141"/>
    <col min="10763" max="10763" width="36.140625" style="141" customWidth="1"/>
    <col min="10764" max="10764" width="12.85546875" style="141" customWidth="1"/>
    <col min="10765" max="10765" width="12.140625" style="141" customWidth="1"/>
    <col min="10766" max="10766" width="12.5703125" style="141" customWidth="1"/>
    <col min="10767" max="10767" width="11.7109375" style="141" customWidth="1"/>
    <col min="10768" max="10768" width="12.140625" style="141" customWidth="1"/>
    <col min="10769" max="10769" width="11.140625" style="141" customWidth="1"/>
    <col min="10770" max="10770" width="12.42578125" style="141" customWidth="1"/>
    <col min="10771" max="10771" width="11.28515625" style="141" customWidth="1"/>
    <col min="10772" max="10772" width="12.140625" style="141" customWidth="1"/>
    <col min="10773" max="10773" width="11" style="141" customWidth="1"/>
    <col min="10774" max="10774" width="12.140625" style="141" customWidth="1"/>
    <col min="10775" max="11018" width="9.140625" style="141"/>
    <col min="11019" max="11019" width="36.140625" style="141" customWidth="1"/>
    <col min="11020" max="11020" width="12.85546875" style="141" customWidth="1"/>
    <col min="11021" max="11021" width="12.140625" style="141" customWidth="1"/>
    <col min="11022" max="11022" width="12.5703125" style="141" customWidth="1"/>
    <col min="11023" max="11023" width="11.7109375" style="141" customWidth="1"/>
    <col min="11024" max="11024" width="12.140625" style="141" customWidth="1"/>
    <col min="11025" max="11025" width="11.140625" style="141" customWidth="1"/>
    <col min="11026" max="11026" width="12.42578125" style="141" customWidth="1"/>
    <col min="11027" max="11027" width="11.28515625" style="141" customWidth="1"/>
    <col min="11028" max="11028" width="12.140625" style="141" customWidth="1"/>
    <col min="11029" max="11029" width="11" style="141" customWidth="1"/>
    <col min="11030" max="11030" width="12.140625" style="141" customWidth="1"/>
    <col min="11031" max="11274" width="9.140625" style="141"/>
    <col min="11275" max="11275" width="36.140625" style="141" customWidth="1"/>
    <col min="11276" max="11276" width="12.85546875" style="141" customWidth="1"/>
    <col min="11277" max="11277" width="12.140625" style="141" customWidth="1"/>
    <col min="11278" max="11278" width="12.5703125" style="141" customWidth="1"/>
    <col min="11279" max="11279" width="11.7109375" style="141" customWidth="1"/>
    <col min="11280" max="11280" width="12.140625" style="141" customWidth="1"/>
    <col min="11281" max="11281" width="11.140625" style="141" customWidth="1"/>
    <col min="11282" max="11282" width="12.42578125" style="141" customWidth="1"/>
    <col min="11283" max="11283" width="11.28515625" style="141" customWidth="1"/>
    <col min="11284" max="11284" width="12.140625" style="141" customWidth="1"/>
    <col min="11285" max="11285" width="11" style="141" customWidth="1"/>
    <col min="11286" max="11286" width="12.140625" style="141" customWidth="1"/>
    <col min="11287" max="11530" width="9.140625" style="141"/>
    <col min="11531" max="11531" width="36.140625" style="141" customWidth="1"/>
    <col min="11532" max="11532" width="12.85546875" style="141" customWidth="1"/>
    <col min="11533" max="11533" width="12.140625" style="141" customWidth="1"/>
    <col min="11534" max="11534" width="12.5703125" style="141" customWidth="1"/>
    <col min="11535" max="11535" width="11.7109375" style="141" customWidth="1"/>
    <col min="11536" max="11536" width="12.140625" style="141" customWidth="1"/>
    <col min="11537" max="11537" width="11.140625" style="141" customWidth="1"/>
    <col min="11538" max="11538" width="12.42578125" style="141" customWidth="1"/>
    <col min="11539" max="11539" width="11.28515625" style="141" customWidth="1"/>
    <col min="11540" max="11540" width="12.140625" style="141" customWidth="1"/>
    <col min="11541" max="11541" width="11" style="141" customWidth="1"/>
    <col min="11542" max="11542" width="12.140625" style="141" customWidth="1"/>
    <col min="11543" max="11786" width="9.140625" style="141"/>
    <col min="11787" max="11787" width="36.140625" style="141" customWidth="1"/>
    <col min="11788" max="11788" width="12.85546875" style="141" customWidth="1"/>
    <col min="11789" max="11789" width="12.140625" style="141" customWidth="1"/>
    <col min="11790" max="11790" width="12.5703125" style="141" customWidth="1"/>
    <col min="11791" max="11791" width="11.7109375" style="141" customWidth="1"/>
    <col min="11792" max="11792" width="12.140625" style="141" customWidth="1"/>
    <col min="11793" max="11793" width="11.140625" style="141" customWidth="1"/>
    <col min="11794" max="11794" width="12.42578125" style="141" customWidth="1"/>
    <col min="11795" max="11795" width="11.28515625" style="141" customWidth="1"/>
    <col min="11796" max="11796" width="12.140625" style="141" customWidth="1"/>
    <col min="11797" max="11797" width="11" style="141" customWidth="1"/>
    <col min="11798" max="11798" width="12.140625" style="141" customWidth="1"/>
    <col min="11799" max="12042" width="9.140625" style="141"/>
    <col min="12043" max="12043" width="36.140625" style="141" customWidth="1"/>
    <col min="12044" max="12044" width="12.85546875" style="141" customWidth="1"/>
    <col min="12045" max="12045" width="12.140625" style="141" customWidth="1"/>
    <col min="12046" max="12046" width="12.5703125" style="141" customWidth="1"/>
    <col min="12047" max="12047" width="11.7109375" style="141" customWidth="1"/>
    <col min="12048" max="12048" width="12.140625" style="141" customWidth="1"/>
    <col min="12049" max="12049" width="11.140625" style="141" customWidth="1"/>
    <col min="12050" max="12050" width="12.42578125" style="141" customWidth="1"/>
    <col min="12051" max="12051" width="11.28515625" style="141" customWidth="1"/>
    <col min="12052" max="12052" width="12.140625" style="141" customWidth="1"/>
    <col min="12053" max="12053" width="11" style="141" customWidth="1"/>
    <col min="12054" max="12054" width="12.140625" style="141" customWidth="1"/>
    <col min="12055" max="12298" width="9.140625" style="141"/>
    <col min="12299" max="12299" width="36.140625" style="141" customWidth="1"/>
    <col min="12300" max="12300" width="12.85546875" style="141" customWidth="1"/>
    <col min="12301" max="12301" width="12.140625" style="141" customWidth="1"/>
    <col min="12302" max="12302" width="12.5703125" style="141" customWidth="1"/>
    <col min="12303" max="12303" width="11.7109375" style="141" customWidth="1"/>
    <col min="12304" max="12304" width="12.140625" style="141" customWidth="1"/>
    <col min="12305" max="12305" width="11.140625" style="141" customWidth="1"/>
    <col min="12306" max="12306" width="12.42578125" style="141" customWidth="1"/>
    <col min="12307" max="12307" width="11.28515625" style="141" customWidth="1"/>
    <col min="12308" max="12308" width="12.140625" style="141" customWidth="1"/>
    <col min="12309" max="12309" width="11" style="141" customWidth="1"/>
    <col min="12310" max="12310" width="12.140625" style="141" customWidth="1"/>
    <col min="12311" max="12554" width="9.140625" style="141"/>
    <col min="12555" max="12555" width="36.140625" style="141" customWidth="1"/>
    <col min="12556" max="12556" width="12.85546875" style="141" customWidth="1"/>
    <col min="12557" max="12557" width="12.140625" style="141" customWidth="1"/>
    <col min="12558" max="12558" width="12.5703125" style="141" customWidth="1"/>
    <col min="12559" max="12559" width="11.7109375" style="141" customWidth="1"/>
    <col min="12560" max="12560" width="12.140625" style="141" customWidth="1"/>
    <col min="12561" max="12561" width="11.140625" style="141" customWidth="1"/>
    <col min="12562" max="12562" width="12.42578125" style="141" customWidth="1"/>
    <col min="12563" max="12563" width="11.28515625" style="141" customWidth="1"/>
    <col min="12564" max="12564" width="12.140625" style="141" customWidth="1"/>
    <col min="12565" max="12565" width="11" style="141" customWidth="1"/>
    <col min="12566" max="12566" width="12.140625" style="141" customWidth="1"/>
    <col min="12567" max="12810" width="9.140625" style="141"/>
    <col min="12811" max="12811" width="36.140625" style="141" customWidth="1"/>
    <col min="12812" max="12812" width="12.85546875" style="141" customWidth="1"/>
    <col min="12813" max="12813" width="12.140625" style="141" customWidth="1"/>
    <col min="12814" max="12814" width="12.5703125" style="141" customWidth="1"/>
    <col min="12815" max="12815" width="11.7109375" style="141" customWidth="1"/>
    <col min="12816" max="12816" width="12.140625" style="141" customWidth="1"/>
    <col min="12817" max="12817" width="11.140625" style="141" customWidth="1"/>
    <col min="12818" max="12818" width="12.42578125" style="141" customWidth="1"/>
    <col min="12819" max="12819" width="11.28515625" style="141" customWidth="1"/>
    <col min="12820" max="12820" width="12.140625" style="141" customWidth="1"/>
    <col min="12821" max="12821" width="11" style="141" customWidth="1"/>
    <col min="12822" max="12822" width="12.140625" style="141" customWidth="1"/>
    <col min="12823" max="13066" width="9.140625" style="141"/>
    <col min="13067" max="13067" width="36.140625" style="141" customWidth="1"/>
    <col min="13068" max="13068" width="12.85546875" style="141" customWidth="1"/>
    <col min="13069" max="13069" width="12.140625" style="141" customWidth="1"/>
    <col min="13070" max="13070" width="12.5703125" style="141" customWidth="1"/>
    <col min="13071" max="13071" width="11.7109375" style="141" customWidth="1"/>
    <col min="13072" max="13072" width="12.140625" style="141" customWidth="1"/>
    <col min="13073" max="13073" width="11.140625" style="141" customWidth="1"/>
    <col min="13074" max="13074" width="12.42578125" style="141" customWidth="1"/>
    <col min="13075" max="13075" width="11.28515625" style="141" customWidth="1"/>
    <col min="13076" max="13076" width="12.140625" style="141" customWidth="1"/>
    <col min="13077" max="13077" width="11" style="141" customWidth="1"/>
    <col min="13078" max="13078" width="12.140625" style="141" customWidth="1"/>
    <col min="13079" max="13322" width="9.140625" style="141"/>
    <col min="13323" max="13323" width="36.140625" style="141" customWidth="1"/>
    <col min="13324" max="13324" width="12.85546875" style="141" customWidth="1"/>
    <col min="13325" max="13325" width="12.140625" style="141" customWidth="1"/>
    <col min="13326" max="13326" width="12.5703125" style="141" customWidth="1"/>
    <col min="13327" max="13327" width="11.7109375" style="141" customWidth="1"/>
    <col min="13328" max="13328" width="12.140625" style="141" customWidth="1"/>
    <col min="13329" max="13329" width="11.140625" style="141" customWidth="1"/>
    <col min="13330" max="13330" width="12.42578125" style="141" customWidth="1"/>
    <col min="13331" max="13331" width="11.28515625" style="141" customWidth="1"/>
    <col min="13332" max="13332" width="12.140625" style="141" customWidth="1"/>
    <col min="13333" max="13333" width="11" style="141" customWidth="1"/>
    <col min="13334" max="13334" width="12.140625" style="141" customWidth="1"/>
    <col min="13335" max="13578" width="9.140625" style="141"/>
    <col min="13579" max="13579" width="36.140625" style="141" customWidth="1"/>
    <col min="13580" max="13580" width="12.85546875" style="141" customWidth="1"/>
    <col min="13581" max="13581" width="12.140625" style="141" customWidth="1"/>
    <col min="13582" max="13582" width="12.5703125" style="141" customWidth="1"/>
    <col min="13583" max="13583" width="11.7109375" style="141" customWidth="1"/>
    <col min="13584" max="13584" width="12.140625" style="141" customWidth="1"/>
    <col min="13585" max="13585" width="11.140625" style="141" customWidth="1"/>
    <col min="13586" max="13586" width="12.42578125" style="141" customWidth="1"/>
    <col min="13587" max="13587" width="11.28515625" style="141" customWidth="1"/>
    <col min="13588" max="13588" width="12.140625" style="141" customWidth="1"/>
    <col min="13589" max="13589" width="11" style="141" customWidth="1"/>
    <col min="13590" max="13590" width="12.140625" style="141" customWidth="1"/>
    <col min="13591" max="13834" width="9.140625" style="141"/>
    <col min="13835" max="13835" width="36.140625" style="141" customWidth="1"/>
    <col min="13836" max="13836" width="12.85546875" style="141" customWidth="1"/>
    <col min="13837" max="13837" width="12.140625" style="141" customWidth="1"/>
    <col min="13838" max="13838" width="12.5703125" style="141" customWidth="1"/>
    <col min="13839" max="13839" width="11.7109375" style="141" customWidth="1"/>
    <col min="13840" max="13840" width="12.140625" style="141" customWidth="1"/>
    <col min="13841" max="13841" width="11.140625" style="141" customWidth="1"/>
    <col min="13842" max="13842" width="12.42578125" style="141" customWidth="1"/>
    <col min="13843" max="13843" width="11.28515625" style="141" customWidth="1"/>
    <col min="13844" max="13844" width="12.140625" style="141" customWidth="1"/>
    <col min="13845" max="13845" width="11" style="141" customWidth="1"/>
    <col min="13846" max="13846" width="12.140625" style="141" customWidth="1"/>
    <col min="13847" max="14090" width="9.140625" style="141"/>
    <col min="14091" max="14091" width="36.140625" style="141" customWidth="1"/>
    <col min="14092" max="14092" width="12.85546875" style="141" customWidth="1"/>
    <col min="14093" max="14093" width="12.140625" style="141" customWidth="1"/>
    <col min="14094" max="14094" width="12.5703125" style="141" customWidth="1"/>
    <col min="14095" max="14095" width="11.7109375" style="141" customWidth="1"/>
    <col min="14096" max="14096" width="12.140625" style="141" customWidth="1"/>
    <col min="14097" max="14097" width="11.140625" style="141" customWidth="1"/>
    <col min="14098" max="14098" width="12.42578125" style="141" customWidth="1"/>
    <col min="14099" max="14099" width="11.28515625" style="141" customWidth="1"/>
    <col min="14100" max="14100" width="12.140625" style="141" customWidth="1"/>
    <col min="14101" max="14101" width="11" style="141" customWidth="1"/>
    <col min="14102" max="14102" width="12.140625" style="141" customWidth="1"/>
    <col min="14103" max="14346" width="9.140625" style="141"/>
    <col min="14347" max="14347" width="36.140625" style="141" customWidth="1"/>
    <col min="14348" max="14348" width="12.85546875" style="141" customWidth="1"/>
    <col min="14349" max="14349" width="12.140625" style="141" customWidth="1"/>
    <col min="14350" max="14350" width="12.5703125" style="141" customWidth="1"/>
    <col min="14351" max="14351" width="11.7109375" style="141" customWidth="1"/>
    <col min="14352" max="14352" width="12.140625" style="141" customWidth="1"/>
    <col min="14353" max="14353" width="11.140625" style="141" customWidth="1"/>
    <col min="14354" max="14354" width="12.42578125" style="141" customWidth="1"/>
    <col min="14355" max="14355" width="11.28515625" style="141" customWidth="1"/>
    <col min="14356" max="14356" width="12.140625" style="141" customWidth="1"/>
    <col min="14357" max="14357" width="11" style="141" customWidth="1"/>
    <col min="14358" max="14358" width="12.140625" style="141" customWidth="1"/>
    <col min="14359" max="14602" width="9.140625" style="141"/>
    <col min="14603" max="14603" width="36.140625" style="141" customWidth="1"/>
    <col min="14604" max="14604" width="12.85546875" style="141" customWidth="1"/>
    <col min="14605" max="14605" width="12.140625" style="141" customWidth="1"/>
    <col min="14606" max="14606" width="12.5703125" style="141" customWidth="1"/>
    <col min="14607" max="14607" width="11.7109375" style="141" customWidth="1"/>
    <col min="14608" max="14608" width="12.140625" style="141" customWidth="1"/>
    <col min="14609" max="14609" width="11.140625" style="141" customWidth="1"/>
    <col min="14610" max="14610" width="12.42578125" style="141" customWidth="1"/>
    <col min="14611" max="14611" width="11.28515625" style="141" customWidth="1"/>
    <col min="14612" max="14612" width="12.140625" style="141" customWidth="1"/>
    <col min="14613" max="14613" width="11" style="141" customWidth="1"/>
    <col min="14614" max="14614" width="12.140625" style="141" customWidth="1"/>
    <col min="14615" max="14858" width="9.140625" style="141"/>
    <col min="14859" max="14859" width="36.140625" style="141" customWidth="1"/>
    <col min="14860" max="14860" width="12.85546875" style="141" customWidth="1"/>
    <col min="14861" max="14861" width="12.140625" style="141" customWidth="1"/>
    <col min="14862" max="14862" width="12.5703125" style="141" customWidth="1"/>
    <col min="14863" max="14863" width="11.7109375" style="141" customWidth="1"/>
    <col min="14864" max="14864" width="12.140625" style="141" customWidth="1"/>
    <col min="14865" max="14865" width="11.140625" style="141" customWidth="1"/>
    <col min="14866" max="14866" width="12.42578125" style="141" customWidth="1"/>
    <col min="14867" max="14867" width="11.28515625" style="141" customWidth="1"/>
    <col min="14868" max="14868" width="12.140625" style="141" customWidth="1"/>
    <col min="14869" max="14869" width="11" style="141" customWidth="1"/>
    <col min="14870" max="14870" width="12.140625" style="141" customWidth="1"/>
    <col min="14871" max="15114" width="9.140625" style="141"/>
    <col min="15115" max="15115" width="36.140625" style="141" customWidth="1"/>
    <col min="15116" max="15116" width="12.85546875" style="141" customWidth="1"/>
    <col min="15117" max="15117" width="12.140625" style="141" customWidth="1"/>
    <col min="15118" max="15118" width="12.5703125" style="141" customWidth="1"/>
    <col min="15119" max="15119" width="11.7109375" style="141" customWidth="1"/>
    <col min="15120" max="15120" width="12.140625" style="141" customWidth="1"/>
    <col min="15121" max="15121" width="11.140625" style="141" customWidth="1"/>
    <col min="15122" max="15122" width="12.42578125" style="141" customWidth="1"/>
    <col min="15123" max="15123" width="11.28515625" style="141" customWidth="1"/>
    <col min="15124" max="15124" width="12.140625" style="141" customWidth="1"/>
    <col min="15125" max="15125" width="11" style="141" customWidth="1"/>
    <col min="15126" max="15126" width="12.140625" style="141" customWidth="1"/>
    <col min="15127" max="15370" width="9.140625" style="141"/>
    <col min="15371" max="15371" width="36.140625" style="141" customWidth="1"/>
    <col min="15372" max="15372" width="12.85546875" style="141" customWidth="1"/>
    <col min="15373" max="15373" width="12.140625" style="141" customWidth="1"/>
    <col min="15374" max="15374" width="12.5703125" style="141" customWidth="1"/>
    <col min="15375" max="15375" width="11.7109375" style="141" customWidth="1"/>
    <col min="15376" max="15376" width="12.140625" style="141" customWidth="1"/>
    <col min="15377" max="15377" width="11.140625" style="141" customWidth="1"/>
    <col min="15378" max="15378" width="12.42578125" style="141" customWidth="1"/>
    <col min="15379" max="15379" width="11.28515625" style="141" customWidth="1"/>
    <col min="15380" max="15380" width="12.140625" style="141" customWidth="1"/>
    <col min="15381" max="15381" width="11" style="141" customWidth="1"/>
    <col min="15382" max="15382" width="12.140625" style="141" customWidth="1"/>
    <col min="15383" max="15626" width="9.140625" style="141"/>
    <col min="15627" max="15627" width="36.140625" style="141" customWidth="1"/>
    <col min="15628" max="15628" width="12.85546875" style="141" customWidth="1"/>
    <col min="15629" max="15629" width="12.140625" style="141" customWidth="1"/>
    <col min="15630" max="15630" width="12.5703125" style="141" customWidth="1"/>
    <col min="15631" max="15631" width="11.7109375" style="141" customWidth="1"/>
    <col min="15632" max="15632" width="12.140625" style="141" customWidth="1"/>
    <col min="15633" max="15633" width="11.140625" style="141" customWidth="1"/>
    <col min="15634" max="15634" width="12.42578125" style="141" customWidth="1"/>
    <col min="15635" max="15635" width="11.28515625" style="141" customWidth="1"/>
    <col min="15636" max="15636" width="12.140625" style="141" customWidth="1"/>
    <col min="15637" max="15637" width="11" style="141" customWidth="1"/>
    <col min="15638" max="15638" width="12.140625" style="141" customWidth="1"/>
    <col min="15639" max="15882" width="9.140625" style="141"/>
    <col min="15883" max="15883" width="36.140625" style="141" customWidth="1"/>
    <col min="15884" max="15884" width="12.85546875" style="141" customWidth="1"/>
    <col min="15885" max="15885" width="12.140625" style="141" customWidth="1"/>
    <col min="15886" max="15886" width="12.5703125" style="141" customWidth="1"/>
    <col min="15887" max="15887" width="11.7109375" style="141" customWidth="1"/>
    <col min="15888" max="15888" width="12.140625" style="141" customWidth="1"/>
    <col min="15889" max="15889" width="11.140625" style="141" customWidth="1"/>
    <col min="15890" max="15890" width="12.42578125" style="141" customWidth="1"/>
    <col min="15891" max="15891" width="11.28515625" style="141" customWidth="1"/>
    <col min="15892" max="15892" width="12.140625" style="141" customWidth="1"/>
    <col min="15893" max="15893" width="11" style="141" customWidth="1"/>
    <col min="15894" max="15894" width="12.140625" style="141" customWidth="1"/>
    <col min="15895" max="16138" width="9.140625" style="141"/>
    <col min="16139" max="16139" width="36.140625" style="141" customWidth="1"/>
    <col min="16140" max="16140" width="12.85546875" style="141" customWidth="1"/>
    <col min="16141" max="16141" width="12.140625" style="141" customWidth="1"/>
    <col min="16142" max="16142" width="12.5703125" style="141" customWidth="1"/>
    <col min="16143" max="16143" width="11.7109375" style="141" customWidth="1"/>
    <col min="16144" max="16144" width="12.140625" style="141" customWidth="1"/>
    <col min="16145" max="16145" width="11.140625" style="141" customWidth="1"/>
    <col min="16146" max="16146" width="12.42578125" style="141" customWidth="1"/>
    <col min="16147" max="16147" width="11.28515625" style="141" customWidth="1"/>
    <col min="16148" max="16148" width="12.140625" style="141" customWidth="1"/>
    <col min="16149" max="16149" width="11" style="141" customWidth="1"/>
    <col min="16150" max="16150" width="12.140625" style="141" customWidth="1"/>
    <col min="16151" max="16384" width="9.140625" style="141"/>
  </cols>
  <sheetData>
    <row r="1" spans="1:37" ht="58.5" customHeight="1" x14ac:dyDescent="0.25">
      <c r="A1" s="455" t="s">
        <v>840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455"/>
      <c r="P1" s="455"/>
      <c r="Q1" s="455"/>
      <c r="R1" s="455"/>
      <c r="S1" s="455"/>
      <c r="T1" s="455"/>
      <c r="U1" s="140"/>
      <c r="V1" s="140"/>
      <c r="W1" s="140"/>
      <c r="X1" s="140"/>
    </row>
    <row r="2" spans="1:37" x14ac:dyDescent="0.25">
      <c r="A2" s="456" t="s">
        <v>745</v>
      </c>
      <c r="B2" s="457" t="s">
        <v>746</v>
      </c>
      <c r="C2" s="453" t="s">
        <v>747</v>
      </c>
      <c r="D2" s="454"/>
      <c r="E2" s="453" t="s">
        <v>748</v>
      </c>
      <c r="F2" s="454"/>
      <c r="G2" s="453" t="s">
        <v>749</v>
      </c>
      <c r="H2" s="454"/>
      <c r="I2" s="453" t="s">
        <v>750</v>
      </c>
      <c r="J2" s="454"/>
      <c r="K2" s="453" t="s">
        <v>751</v>
      </c>
      <c r="L2" s="454"/>
      <c r="M2" s="453" t="s">
        <v>752</v>
      </c>
      <c r="N2" s="454"/>
      <c r="O2" s="453" t="s">
        <v>753</v>
      </c>
      <c r="P2" s="454"/>
      <c r="Q2" s="453" t="s">
        <v>836</v>
      </c>
      <c r="R2" s="454"/>
      <c r="S2" s="453" t="s">
        <v>837</v>
      </c>
      <c r="T2" s="454"/>
      <c r="U2" s="453" t="s">
        <v>895</v>
      </c>
      <c r="V2" s="454"/>
      <c r="W2" s="453" t="s">
        <v>896</v>
      </c>
      <c r="X2" s="454"/>
      <c r="Y2" s="141">
        <v>2024</v>
      </c>
    </row>
    <row r="3" spans="1:37" ht="90" customHeight="1" x14ac:dyDescent="0.25">
      <c r="A3" s="456"/>
      <c r="B3" s="456"/>
      <c r="C3" s="142" t="s">
        <v>754</v>
      </c>
      <c r="D3" s="142" t="s">
        <v>755</v>
      </c>
      <c r="E3" s="142" t="s">
        <v>754</v>
      </c>
      <c r="F3" s="142" t="s">
        <v>756</v>
      </c>
      <c r="G3" s="142" t="s">
        <v>754</v>
      </c>
      <c r="H3" s="142" t="s">
        <v>757</v>
      </c>
      <c r="I3" s="142" t="s">
        <v>758</v>
      </c>
      <c r="J3" s="142" t="s">
        <v>759</v>
      </c>
      <c r="K3" s="142" t="s">
        <v>760</v>
      </c>
      <c r="L3" s="142" t="s">
        <v>761</v>
      </c>
      <c r="M3" s="142" t="s">
        <v>760</v>
      </c>
      <c r="N3" s="142" t="s">
        <v>762</v>
      </c>
      <c r="O3" s="142" t="s">
        <v>760</v>
      </c>
      <c r="P3" s="142" t="s">
        <v>763</v>
      </c>
      <c r="Q3" s="142" t="s">
        <v>760</v>
      </c>
      <c r="R3" s="142" t="s">
        <v>763</v>
      </c>
      <c r="S3" s="142" t="s">
        <v>760</v>
      </c>
      <c r="T3" s="142" t="s">
        <v>763</v>
      </c>
      <c r="U3" s="142" t="s">
        <v>760</v>
      </c>
      <c r="V3" s="142" t="s">
        <v>763</v>
      </c>
      <c r="W3" s="142" t="s">
        <v>760</v>
      </c>
      <c r="X3" s="142" t="s">
        <v>763</v>
      </c>
      <c r="Z3" s="453" t="s">
        <v>748</v>
      </c>
      <c r="AA3" s="454"/>
      <c r="AB3" s="453" t="s">
        <v>749</v>
      </c>
      <c r="AC3" s="454"/>
      <c r="AD3" s="453" t="s">
        <v>750</v>
      </c>
      <c r="AE3" s="454"/>
      <c r="AF3" s="453" t="s">
        <v>751</v>
      </c>
      <c r="AG3" s="454"/>
      <c r="AH3" s="453" t="s">
        <v>752</v>
      </c>
      <c r="AI3" s="454"/>
      <c r="AJ3" s="453" t="s">
        <v>753</v>
      </c>
      <c r="AK3" s="454"/>
    </row>
    <row r="4" spans="1:37" ht="0.75" hidden="1" customHeight="1" x14ac:dyDescent="0.25">
      <c r="A4" s="143" t="s">
        <v>764</v>
      </c>
      <c r="B4" s="144" t="s">
        <v>765</v>
      </c>
      <c r="C4" s="145">
        <v>9982.6</v>
      </c>
      <c r="D4" s="145">
        <v>101.8</v>
      </c>
      <c r="E4" s="150">
        <v>10183.4</v>
      </c>
      <c r="F4" s="145">
        <f>+E4/C4*100</f>
        <v>102.01150001001741</v>
      </c>
      <c r="G4" s="146">
        <v>10382.1</v>
      </c>
      <c r="H4" s="145">
        <f>+G4/E4*100</f>
        <v>101.95121472199855</v>
      </c>
      <c r="I4" s="146">
        <f>+G4*J4/100</f>
        <v>10589.742</v>
      </c>
      <c r="J4" s="145">
        <v>102</v>
      </c>
      <c r="K4" s="146">
        <f>+I4*L4/100</f>
        <v>10812.126581999999</v>
      </c>
      <c r="L4" s="145">
        <v>102.1</v>
      </c>
      <c r="M4" s="146">
        <f>+K4*N4/100</f>
        <v>11049.993366803999</v>
      </c>
      <c r="N4" s="145">
        <v>102.2</v>
      </c>
      <c r="O4" s="146">
        <f>+M4*P4/100</f>
        <v>11304.14321424049</v>
      </c>
      <c r="P4" s="145">
        <v>102.3</v>
      </c>
      <c r="Q4" s="146">
        <f>+O4*P4/100</f>
        <v>11564.138508168022</v>
      </c>
      <c r="R4" s="145">
        <v>102.3</v>
      </c>
      <c r="S4" s="146">
        <f>+Q4*R4/100</f>
        <v>11830.113693855887</v>
      </c>
      <c r="T4" s="145">
        <v>102.4</v>
      </c>
      <c r="U4" s="146">
        <f>+S4*T4/100</f>
        <v>12114.036422508429</v>
      </c>
      <c r="V4" s="145">
        <v>102.4</v>
      </c>
      <c r="W4" s="146">
        <f>+U4*V4/100</f>
        <v>12404.773296648631</v>
      </c>
      <c r="X4" s="145">
        <v>102.4</v>
      </c>
      <c r="Y4" s="141">
        <v>10382.1</v>
      </c>
      <c r="Z4" s="147">
        <f>C4*D4/100</f>
        <v>10162.2868</v>
      </c>
      <c r="AA4" s="141">
        <f>E4/C4*100</f>
        <v>102.01150001001741</v>
      </c>
      <c r="AB4" s="147">
        <f>E4*F4/100</f>
        <v>10388.239092020112</v>
      </c>
      <c r="AC4" s="141">
        <f>G4/E4*100</f>
        <v>101.95121472199855</v>
      </c>
      <c r="AD4" s="147">
        <f>G4*H4/100</f>
        <v>10584.677063652613</v>
      </c>
      <c r="AE4" s="141">
        <f>I4/G4*100</f>
        <v>102</v>
      </c>
      <c r="AF4" s="147">
        <f>I4*J4/100</f>
        <v>10801.536840000001</v>
      </c>
      <c r="AG4" s="141">
        <f>K4/I4*100</f>
        <v>102.1</v>
      </c>
      <c r="AH4" s="147">
        <f>K4*L4/100</f>
        <v>11039.181240221998</v>
      </c>
      <c r="AI4" s="141">
        <f>M4/K4*100</f>
        <v>102.2</v>
      </c>
      <c r="AJ4" s="147">
        <f>M4*N4/100</f>
        <v>11293.093220873687</v>
      </c>
      <c r="AK4" s="141">
        <f>O4/M4*100</f>
        <v>102.3</v>
      </c>
    </row>
    <row r="5" spans="1:37" ht="31.5" x14ac:dyDescent="0.25">
      <c r="A5" s="143" t="s">
        <v>766</v>
      </c>
      <c r="B5" s="144" t="s">
        <v>767</v>
      </c>
      <c r="C5" s="145">
        <f>+[2]GDP!K2</f>
        <v>118181.70000000001</v>
      </c>
      <c r="D5" s="145">
        <f>+[2]GDP!K3</f>
        <v>108.03592118033602</v>
      </c>
      <c r="E5" s="145">
        <f>+[2]GDP!L2</f>
        <v>132781.90000000002</v>
      </c>
      <c r="F5" s="145">
        <f>+[2]GDP!L3</f>
        <v>108.31976837361451</v>
      </c>
      <c r="G5" s="166">
        <v>153402.20000000001</v>
      </c>
      <c r="H5" s="166">
        <v>108.4</v>
      </c>
      <c r="I5" s="166">
        <f>'Итог-Модел CGE'!I5</f>
        <v>176919</v>
      </c>
      <c r="J5" s="166">
        <f>'Итог-Модел CGE'!J5</f>
        <v>108.4</v>
      </c>
      <c r="K5" s="166">
        <f>'Итог-Модел CGE'!K5</f>
        <v>199898.14276237882</v>
      </c>
      <c r="L5" s="166">
        <f>'Итог-Модел CGE'!L5</f>
        <v>108.51599957200115</v>
      </c>
      <c r="M5" s="166">
        <f>'Итог-Модел CGE'!M5</f>
        <v>225457.16600975062</v>
      </c>
      <c r="N5" s="166">
        <f>'Итог-Модел CGE'!N5</f>
        <v>108.37388918991087</v>
      </c>
      <c r="O5" s="166">
        <f>'Итог-Модел CGE'!O5</f>
        <v>254611.99914551765</v>
      </c>
      <c r="P5" s="166">
        <f>'Итог-Модел CGE'!P5</f>
        <v>108.62520475951297</v>
      </c>
      <c r="Q5" s="166">
        <f>'Итог-Модел CGE'!Q5</f>
        <v>290957.13820040174</v>
      </c>
      <c r="R5" s="166">
        <f>'Итог-Модел CGE'!R5</f>
        <v>108.76495168739831</v>
      </c>
      <c r="S5" s="166">
        <f>'Итог-Модел CGE'!S5</f>
        <v>325987.61538032541</v>
      </c>
      <c r="T5" s="166">
        <f>'Итог-Модел CGE'!T5</f>
        <v>107.88215008830171</v>
      </c>
      <c r="U5" s="166">
        <f>'Итог-Модел CGE'!U5</f>
        <v>368330.85435261187</v>
      </c>
      <c r="V5" s="166">
        <f>'Итог-Модел CGE'!V5</f>
        <v>108.53791833540478</v>
      </c>
      <c r="W5" s="166">
        <f>'Итог-Модел CGE'!W5</f>
        <v>413970.3378483266</v>
      </c>
      <c r="X5" s="166">
        <f>'Итог-Модел CGE'!X5</f>
        <v>108.10939364078631</v>
      </c>
      <c r="Y5" s="141">
        <v>153402.20000000001</v>
      </c>
      <c r="Z5" s="141" t="s">
        <v>725</v>
      </c>
    </row>
    <row r="6" spans="1:37" ht="0.75" customHeight="1" x14ac:dyDescent="0.25">
      <c r="A6" s="149" t="s">
        <v>768</v>
      </c>
      <c r="B6" s="144" t="s">
        <v>769</v>
      </c>
      <c r="C6" s="145"/>
      <c r="D6" s="145">
        <f>+[2]GDP!K4</f>
        <v>108.22627671327531</v>
      </c>
      <c r="E6" s="145"/>
      <c r="F6" s="145">
        <f>+[2]GDP!L4</f>
        <v>103.72439807211711</v>
      </c>
      <c r="G6" s="145"/>
      <c r="H6" s="166">
        <v>108.2</v>
      </c>
      <c r="I6" s="145"/>
      <c r="J6" s="166">
        <f>GDP!Q35</f>
        <v>104.07121513480601</v>
      </c>
      <c r="K6" s="145"/>
      <c r="L6" s="170">
        <f>GDP!R35</f>
        <v>103.96429553886924</v>
      </c>
      <c r="M6" s="145"/>
      <c r="N6" s="166">
        <f>GDP!S35</f>
        <v>105.06575320666383</v>
      </c>
      <c r="O6" s="148"/>
      <c r="P6" s="166">
        <f>GDP!T35</f>
        <v>103.85382375573234</v>
      </c>
      <c r="Q6" s="148"/>
      <c r="R6" s="166">
        <f>GDP!AN35</f>
        <v>104.10114621650719</v>
      </c>
      <c r="S6" s="148"/>
      <c r="T6" s="166">
        <f>GDP!AQ35</f>
        <v>103.96034017752895</v>
      </c>
      <c r="U6" s="148"/>
      <c r="V6" s="166">
        <f>GDP!AS35</f>
        <v>0</v>
      </c>
      <c r="W6" s="148"/>
      <c r="X6" s="166">
        <f>GDP!AU35</f>
        <v>106.39304732472282</v>
      </c>
    </row>
    <row r="7" spans="1:37" x14ac:dyDescent="0.25">
      <c r="A7" s="149" t="s">
        <v>770</v>
      </c>
      <c r="B7" s="144" t="s">
        <v>769</v>
      </c>
      <c r="C7" s="145"/>
      <c r="D7" s="145">
        <f>+[2]Monetary!K3</f>
        <v>106.6</v>
      </c>
      <c r="E7" s="145"/>
      <c r="F7" s="145">
        <v>103.7</v>
      </c>
      <c r="G7" s="145"/>
      <c r="H7" s="166">
        <v>103.6</v>
      </c>
      <c r="I7" s="145"/>
      <c r="J7" s="166">
        <f>'Итог-Модел CGE'!J7</f>
        <v>103.5</v>
      </c>
      <c r="K7" s="166"/>
      <c r="L7" s="166">
        <f>'Итог-Модел CGE'!L7</f>
        <v>103.92894</v>
      </c>
      <c r="M7" s="166"/>
      <c r="N7" s="166">
        <f>'Итог-Модел CGE'!N7</f>
        <v>104.0021921</v>
      </c>
      <c r="O7" s="166"/>
      <c r="P7" s="166">
        <f>'Итог-Модел CGE'!P7</f>
        <v>103.839181</v>
      </c>
      <c r="Q7" s="166"/>
      <c r="R7" s="166">
        <f>'Итог-Модел CGE'!R7</f>
        <v>103.94068900000001</v>
      </c>
      <c r="S7" s="166"/>
      <c r="T7" s="166">
        <f>'Итог-Модел CGE'!T7</f>
        <v>104.053101</v>
      </c>
      <c r="U7" s="166"/>
      <c r="V7" s="166">
        <f>'Итог-Модел CGE'!V7</f>
        <v>104.400459</v>
      </c>
      <c r="W7" s="166"/>
      <c r="X7" s="166">
        <f>'Итог-Модел CGE'!X7</f>
        <v>104.36099249999999</v>
      </c>
    </row>
    <row r="8" spans="1:37" x14ac:dyDescent="0.25">
      <c r="A8" s="149" t="s">
        <v>771</v>
      </c>
      <c r="B8" s="144" t="s">
        <v>772</v>
      </c>
      <c r="C8" s="145">
        <f>+C5/C4*1000</f>
        <v>11838.769458858413</v>
      </c>
      <c r="D8" s="145">
        <f>+C8/10312*100</f>
        <v>114.80575503159827</v>
      </c>
      <c r="E8" s="150">
        <f>+E5/E4*1000</f>
        <v>13039.053754148912</v>
      </c>
      <c r="F8" s="150">
        <f>+E8/C8*100</f>
        <v>110.13858998996201</v>
      </c>
      <c r="G8" s="166">
        <f>+G5/G4*1000</f>
        <v>14775.642692711495</v>
      </c>
      <c r="H8" s="166">
        <f>+G8/E8*100</f>
        <v>113.31836628106558</v>
      </c>
      <c r="I8" s="166">
        <f>'Итог-Модел CGE'!I8</f>
        <v>16667.371664422451</v>
      </c>
      <c r="J8" s="166">
        <f>'Итог-Модел CGE'!J8</f>
        <v>111.25283005196968</v>
      </c>
      <c r="K8" s="166">
        <f>'Итог-Модел CGE'!K8</f>
        <v>18444.872645412412</v>
      </c>
      <c r="L8" s="166">
        <f>'Итог-Модел CGE'!L8</f>
        <v>110.66455477670871</v>
      </c>
      <c r="M8" s="166">
        <f>'Итог-Модел CGE'!M8</f>
        <v>20355.41915087877</v>
      </c>
      <c r="N8" s="166">
        <f>'Итог-Модел CGE'!N8</f>
        <v>110.35814419646614</v>
      </c>
      <c r="O8" s="166">
        <f>'Итог-Модел CGE'!O8</f>
        <v>22492.82358793437</v>
      </c>
      <c r="P8" s="166">
        <f>'Итог-Модел CGE'!P8</f>
        <v>110.50041967307426</v>
      </c>
      <c r="Q8" s="166">
        <f>'Итог-Модел CGE'!Q8</f>
        <v>25150.303533698618</v>
      </c>
      <c r="R8" s="166">
        <f>'Итог-Модел CGE'!R8</f>
        <v>111.81479032801278</v>
      </c>
      <c r="S8" s="166">
        <f>'Итог-Модел CGE'!S8</f>
        <v>27571.755567060172</v>
      </c>
      <c r="T8" s="166">
        <f>'Итог-Модел CGE'!T8</f>
        <v>109.62792369530283</v>
      </c>
      <c r="U8" s="166">
        <f>'Итог-Модел CGE'!U8</f>
        <v>30482.495838320552</v>
      </c>
      <c r="V8" s="166">
        <f>'Итог-Модел CGE'!V8</f>
        <v>110.55696386173474</v>
      </c>
      <c r="W8" s="166">
        <f>'Итог-Модел CGE'!W8</f>
        <v>33522.063993267373</v>
      </c>
      <c r="X8" s="166">
        <f>'Итог-Модел CGE'!X8</f>
        <v>109.97151995384078</v>
      </c>
      <c r="Y8" s="145">
        <f>+Y5/Y4*1000</f>
        <v>14775.642692711495</v>
      </c>
    </row>
    <row r="9" spans="1:37" ht="31.5" x14ac:dyDescent="0.25">
      <c r="A9" s="151" t="s">
        <v>773</v>
      </c>
      <c r="B9" s="152" t="s">
        <v>767</v>
      </c>
      <c r="C9" s="153">
        <v>42804.2</v>
      </c>
      <c r="D9" s="153">
        <v>115.4</v>
      </c>
      <c r="E9" s="154">
        <f>+[2]Industry!M4</f>
        <v>53818.999999999993</v>
      </c>
      <c r="F9" s="155">
        <f>+[2]Industry!M18</f>
        <v>120</v>
      </c>
      <c r="G9" s="167">
        <v>53818.999999999993</v>
      </c>
      <c r="H9" s="168">
        <v>120</v>
      </c>
      <c r="I9" s="167">
        <f>'Итог-Модел CGE'!I9</f>
        <v>66726.100000000006</v>
      </c>
      <c r="J9" s="167">
        <f>'Итог-Модел CGE'!J9</f>
        <v>122.1</v>
      </c>
      <c r="K9" s="167">
        <f>'Итог-Модел CGE'!K9</f>
        <v>83491.032625000007</v>
      </c>
      <c r="L9" s="167">
        <f>'Итог-Модел CGE'!L9</f>
        <v>125.00000000000001</v>
      </c>
      <c r="M9" s="167">
        <f>'Итог-Модел CGE'!M9</f>
        <v>104885.60973515626</v>
      </c>
      <c r="N9" s="167">
        <f>'Итог-Модел CGE'!N9</f>
        <v>124.99999999999999</v>
      </c>
      <c r="O9" s="167">
        <f>'Итог-Модел CGE'!O9</f>
        <v>131605.53347201648</v>
      </c>
      <c r="P9" s="167">
        <f>'Итог-Модел CGE'!P9</f>
        <v>125.09999999999998</v>
      </c>
      <c r="Q9" s="167">
        <f>'Итог-Модел CGE'!Q9</f>
        <v>164803.16089586608</v>
      </c>
      <c r="R9" s="167">
        <f>'Итог-Модел CGE'!R9</f>
        <v>125.1</v>
      </c>
      <c r="S9" s="167">
        <f>'Итог-Модел CGE'!S9</f>
        <v>167868.3449500881</v>
      </c>
      <c r="T9" s="167">
        <f>'Итог-Модел CGE'!T9</f>
        <v>119.97633228164399</v>
      </c>
      <c r="U9" s="167">
        <f>'Итог-Модел CGE'!U9</f>
        <v>171881.64341150748</v>
      </c>
      <c r="V9" s="167">
        <f>'Итог-Модел CGE'!V9</f>
        <v>120.03603946404067</v>
      </c>
      <c r="W9" s="167">
        <f>'Итог-Модел CGE'!W9</f>
        <v>172763.32641509699</v>
      </c>
      <c r="X9" s="167">
        <f>'Итог-Модел CGE'!X9</f>
        <v>120.08716771193215</v>
      </c>
    </row>
    <row r="10" spans="1:37" ht="36" x14ac:dyDescent="0.25">
      <c r="A10" s="151" t="s">
        <v>774</v>
      </c>
      <c r="B10" s="152" t="s">
        <v>767</v>
      </c>
      <c r="C10" s="153">
        <v>49272.4</v>
      </c>
      <c r="D10" s="153">
        <v>108</v>
      </c>
      <c r="E10" s="154">
        <f>+[2]Agriculture!L2</f>
        <v>63028.399999999994</v>
      </c>
      <c r="F10" s="155">
        <f>+[2]Agriculture!L3</f>
        <v>109</v>
      </c>
      <c r="G10" s="168">
        <v>73981.3</v>
      </c>
      <c r="H10" s="167">
        <v>110.6</v>
      </c>
      <c r="I10" s="168">
        <f>'Итог-Модел CGE'!I10</f>
        <v>84653.8</v>
      </c>
      <c r="J10" s="168">
        <f>'Итог-Модел CGE'!J10</f>
        <v>109.5</v>
      </c>
      <c r="K10" s="168">
        <f>'Итог-Модел CGE'!K10</f>
        <v>95155.449822395924</v>
      </c>
      <c r="L10" s="168">
        <f>'Итог-Модел CGE'!L10</f>
        <v>108.92031018370741</v>
      </c>
      <c r="M10" s="168">
        <f>'Итог-Модел CGE'!M10</f>
        <v>104590.96592645653</v>
      </c>
      <c r="N10" s="168">
        <f>'Итог-Модел CGE'!N10</f>
        <v>108.61254614131397</v>
      </c>
      <c r="O10" s="168">
        <f>'Итог-Модел CGE'!O10</f>
        <v>114715.95317271228</v>
      </c>
      <c r="P10" s="168">
        <f>'Итог-Модел CGE'!P10</f>
        <v>108.27300711668305</v>
      </c>
      <c r="Q10" s="168">
        <f>'Итог-Модел CGE'!Q10</f>
        <v>125434.6797080495</v>
      </c>
      <c r="R10" s="168">
        <f>'Итог-Модел CGE'!R10</f>
        <v>108.15401629768029</v>
      </c>
      <c r="S10" s="168">
        <f>'Итог-Модел CGE'!S10</f>
        <v>136949.66739357862</v>
      </c>
      <c r="T10" s="168">
        <f>'Итог-Модел CGE'!T10</f>
        <v>108.31355856899332</v>
      </c>
      <c r="U10" s="168">
        <f>'Итог-Модел CGE'!U10</f>
        <v>148095.66964185712</v>
      </c>
      <c r="V10" s="168">
        <f>'Итог-Модел CGE'!V10</f>
        <v>107.60075440127642</v>
      </c>
      <c r="W10" s="168">
        <f>'Итог-Модел CGE'!W10</f>
        <v>159589.18615032511</v>
      </c>
      <c r="X10" s="168">
        <f>'Итог-Модел CGE'!X10</f>
        <v>107.54578121411076</v>
      </c>
    </row>
    <row r="11" spans="1:37" ht="36" x14ac:dyDescent="0.25">
      <c r="A11" s="151" t="s">
        <v>795</v>
      </c>
      <c r="B11" s="152" t="s">
        <v>767</v>
      </c>
      <c r="C11" s="153">
        <v>16279.5</v>
      </c>
      <c r="D11" s="153">
        <v>111.4</v>
      </c>
      <c r="E11" s="154">
        <f>+[2]OEA!L22</f>
        <v>19859</v>
      </c>
      <c r="F11" s="156">
        <f>+E11/C11*100</f>
        <v>121.98777603734759</v>
      </c>
      <c r="G11" s="167">
        <v>22543</v>
      </c>
      <c r="H11" s="167">
        <v>108.4</v>
      </c>
      <c r="I11" s="167">
        <f>'Итог-Модел CGE'!I11</f>
        <v>28736</v>
      </c>
      <c r="J11" s="167">
        <f>'Итог-Модел CGE'!J11</f>
        <v>123</v>
      </c>
      <c r="K11" s="167">
        <f>'Итог-Модел CGE'!K11</f>
        <v>32767.971999999987</v>
      </c>
      <c r="L11" s="167">
        <f>'Итог-Модел CGE'!L11</f>
        <v>114.03108296213804</v>
      </c>
      <c r="M11" s="167">
        <f>'Итог-Модел CGE'!M11</f>
        <v>38923.92156000001</v>
      </c>
      <c r="N11" s="167">
        <f>'Итог-Модел CGE'!N11</f>
        <v>118.78648321598915</v>
      </c>
      <c r="O11" s="167">
        <f>'Итог-Модел CGE'!O11</f>
        <v>44524.430810400023</v>
      </c>
      <c r="P11" s="167">
        <f>'Итог-Модел CGE'!P11</f>
        <v>114.38834790006194</v>
      </c>
      <c r="Q11" s="167">
        <f>'Итог-Модел CGE'!Q11</f>
        <v>51375.483912360003</v>
      </c>
      <c r="R11" s="167">
        <f>'Итог-Модел CGE'!R11</f>
        <v>115.38717728056776</v>
      </c>
      <c r="S11" s="167">
        <f>'Итог-Модел CGE'!S11</f>
        <v>55564.06176577921</v>
      </c>
      <c r="T11" s="167">
        <f>'Итог-Модел CGE'!T11</f>
        <v>108.15287279933827</v>
      </c>
      <c r="U11" s="167">
        <f>'Итог-Модел CGE'!U11</f>
        <v>63254.948836590629</v>
      </c>
      <c r="V11" s="167">
        <f>'Итог-Модел CGE'!V11</f>
        <v>113.84147743415707</v>
      </c>
      <c r="W11" s="167">
        <f>'Итог-Модел CGE'!W11</f>
        <v>73256.89332081945</v>
      </c>
      <c r="X11" s="167">
        <f>'Итог-Модел CGE'!X11</f>
        <v>115.81211378427845</v>
      </c>
    </row>
    <row r="12" spans="1:37" ht="36" hidden="1" x14ac:dyDescent="0.25">
      <c r="A12" s="151" t="s">
        <v>776</v>
      </c>
      <c r="B12" s="152" t="s">
        <v>767</v>
      </c>
      <c r="C12" s="153">
        <v>6736.9</v>
      </c>
      <c r="D12" s="153">
        <v>110.3</v>
      </c>
      <c r="E12" s="154">
        <f>+[2]OEA!L23</f>
        <v>7922.5</v>
      </c>
      <c r="F12" s="156">
        <f>+E12/C12*100</f>
        <v>117.5985987620419</v>
      </c>
      <c r="G12" s="167">
        <v>9830.5</v>
      </c>
      <c r="H12" s="169">
        <v>118.5</v>
      </c>
      <c r="I12" s="172">
        <f>'GDP-total'!E44</f>
        <v>15631.148500000003</v>
      </c>
      <c r="J12" s="172">
        <f>+I12/G12*100</f>
        <v>159.00664767814459</v>
      </c>
      <c r="K12" s="172">
        <f>'GDP-total'!F44</f>
        <v>16881.640380000008</v>
      </c>
      <c r="L12" s="172">
        <f>+K12/I12*100</f>
        <v>108.00000000000003</v>
      </c>
      <c r="M12" s="172">
        <f>'GDP-total'!G44</f>
        <v>18063.355206600005</v>
      </c>
      <c r="N12" s="172">
        <f>+M12/K12*100</f>
        <v>106.99999999999999</v>
      </c>
      <c r="O12" s="172">
        <f>'GDP-total'!H44</f>
        <v>18785.889414864007</v>
      </c>
      <c r="P12" s="172">
        <f>+O12/M12*100</f>
        <v>104</v>
      </c>
      <c r="Q12" s="172">
        <f>'GDP-total'!I44</f>
        <v>19725.183885607203</v>
      </c>
      <c r="R12" s="172">
        <f>+Q12/O12*100</f>
        <v>104.99999999999999</v>
      </c>
      <c r="S12" s="172">
        <f>'GDP-total'!J44</f>
        <v>21697.702274167925</v>
      </c>
      <c r="T12" s="172">
        <f>+S12/Q12*100</f>
        <v>110.00000000000001</v>
      </c>
      <c r="U12" s="172">
        <f>'GDP-total'!L44</f>
        <v>1421.0135000000082</v>
      </c>
      <c r="V12" s="172">
        <f>+U12/S12*100</f>
        <v>6.5491427711762267</v>
      </c>
      <c r="W12" s="172">
        <f>'GDP-total'!N44</f>
        <v>1181.7148265999967</v>
      </c>
      <c r="X12" s="172">
        <f>+W12/U12*100</f>
        <v>83.159999999999286</v>
      </c>
    </row>
    <row r="13" spans="1:37" ht="36" x14ac:dyDescent="0.25">
      <c r="A13" s="151" t="s">
        <v>777</v>
      </c>
      <c r="B13" s="152" t="s">
        <v>778</v>
      </c>
      <c r="C13" s="153">
        <v>2577</v>
      </c>
      <c r="D13" s="153"/>
      <c r="E13" s="160">
        <v>2690</v>
      </c>
      <c r="F13" s="158">
        <f>+E13/C13*100</f>
        <v>104.38494373302289</v>
      </c>
      <c r="G13" s="155">
        <v>4905.6000000000004</v>
      </c>
      <c r="H13" s="155">
        <f>+G13/E13*100</f>
        <v>182.36431226765802</v>
      </c>
      <c r="I13" s="155">
        <f>'Итог-Модел CGE'!I13</f>
        <v>6925.3</v>
      </c>
      <c r="J13" s="155">
        <f>'Итог-Модел CGE'!J13</f>
        <v>135.08563180275425</v>
      </c>
      <c r="K13" s="155">
        <f>'Итог-Модел CGE'!K13</f>
        <v>7624.7552999999998</v>
      </c>
      <c r="L13" s="155">
        <f>'Итог-Модел CGE'!L13</f>
        <v>110.1</v>
      </c>
      <c r="M13" s="155">
        <f>'Итог-Модел CGE'!M13</f>
        <v>8562.6002018999989</v>
      </c>
      <c r="N13" s="155">
        <f>'Итог-Модел CGE'!N13</f>
        <v>112.29999999999998</v>
      </c>
      <c r="O13" s="155">
        <f>'Итог-Модел CGE'!O13</f>
        <v>9598.6748263298996</v>
      </c>
      <c r="P13" s="155">
        <f>'Итог-Модел CGE'!P13</f>
        <v>112.1</v>
      </c>
      <c r="Q13" s="155">
        <f>'Итог-Модел CGE'!Q13</f>
        <v>10769.713155142148</v>
      </c>
      <c r="R13" s="155">
        <f>'Итог-Модел CGE'!R13</f>
        <v>112.20000000000002</v>
      </c>
      <c r="S13" s="155">
        <f>'Итог-Модел CGE'!S13</f>
        <v>12094.387873224632</v>
      </c>
      <c r="T13" s="155">
        <f>'Итог-Модел CGE'!T13</f>
        <v>112.3</v>
      </c>
      <c r="U13" s="155">
        <f>'Итог-Модел CGE'!U13</f>
        <v>13545.71441801159</v>
      </c>
      <c r="V13" s="155">
        <f>'Итог-Модел CGE'!V13</f>
        <v>112.00000000000001</v>
      </c>
      <c r="W13" s="155">
        <f>'Итог-Модел CGE'!W13</f>
        <v>15184.745862590993</v>
      </c>
      <c r="X13" s="155">
        <f>'Итог-Модел CGE'!X13</f>
        <v>112.1</v>
      </c>
    </row>
    <row r="14" spans="1:37" ht="35.25" customHeight="1" x14ac:dyDescent="0.25">
      <c r="A14" s="151" t="s">
        <v>841</v>
      </c>
      <c r="B14" s="152" t="s">
        <v>767</v>
      </c>
      <c r="C14" s="159">
        <v>47563.4</v>
      </c>
      <c r="D14" s="159">
        <v>111.2</v>
      </c>
      <c r="E14" s="157">
        <f>+[2]Household!L3</f>
        <v>56124.4</v>
      </c>
      <c r="F14" s="160">
        <f>+[2]Household!L4</f>
        <v>113.4</v>
      </c>
      <c r="G14" s="167">
        <v>65783.8</v>
      </c>
      <c r="H14" s="167">
        <v>113.6</v>
      </c>
      <c r="I14" s="160">
        <f>'Итог-Модел CGE'!I14</f>
        <v>77307.100000000006</v>
      </c>
      <c r="J14" s="160">
        <f>'Итог-Модел CGE'!J14</f>
        <v>113.9</v>
      </c>
      <c r="K14" s="160">
        <f>'Итог-Модел CGE'!K14</f>
        <v>89946.541177669904</v>
      </c>
      <c r="L14" s="160">
        <f>'Итог-Модел CGE'!L14</f>
        <v>114.15335710871818</v>
      </c>
      <c r="M14" s="160">
        <f>'Итог-Модел CGE'!M14</f>
        <v>105319.77392904399</v>
      </c>
      <c r="N14" s="160">
        <f>'Итог-Модел CGE'!N14</f>
        <v>114.48579696091133</v>
      </c>
      <c r="O14" s="160">
        <f>'Итог-Модел CGE'!O14</f>
        <v>120054.47057104275</v>
      </c>
      <c r="P14" s="160">
        <f>'Итог-Модел CGE'!P14</f>
        <v>113.55900111382716</v>
      </c>
      <c r="Q14" s="160">
        <f>'Итог-Модел CGE'!Q14</f>
        <v>138358.42123583407</v>
      </c>
      <c r="R14" s="160">
        <f>'Итог-Модел CGE'!R14</f>
        <v>113.89538379213461</v>
      </c>
      <c r="S14" s="160">
        <f>'Итог-Модел CGE'!S14</f>
        <v>149157.7179315917</v>
      </c>
      <c r="T14" s="160">
        <f>'Итог-Модел CGE'!T14</f>
        <v>108.35112163981705</v>
      </c>
      <c r="U14" s="160">
        <f>'Итог-Модел CGE'!U14</f>
        <v>160879.07437051309</v>
      </c>
      <c r="V14" s="160">
        <f>'Итог-Модел CGE'!V14</f>
        <v>109.75396208525304</v>
      </c>
      <c r="W14" s="160">
        <f>'Итог-Модел CGE'!W14</f>
        <v>174656.34444130448</v>
      </c>
      <c r="X14" s="160">
        <f>'Итог-Модел CGE'!X14</f>
        <v>109.31574730186023</v>
      </c>
      <c r="AH14" s="141">
        <f>K13*L13/100</f>
        <v>8394.8555852999998</v>
      </c>
      <c r="AI14" s="141">
        <f>M13/K13*100</f>
        <v>112.29999999999998</v>
      </c>
    </row>
    <row r="15" spans="1:37" s="162" customFormat="1" ht="1.5" hidden="1" customHeight="1" x14ac:dyDescent="0.25">
      <c r="A15" s="161" t="s">
        <v>780</v>
      </c>
      <c r="B15" s="152" t="s">
        <v>767</v>
      </c>
      <c r="C15" s="159">
        <v>39586.199999999997</v>
      </c>
      <c r="D15" s="159">
        <v>110.2</v>
      </c>
      <c r="E15" s="157">
        <f>+[2]Household!L9</f>
        <v>47540.5</v>
      </c>
      <c r="F15" s="160">
        <f>+[2]Household!L11</f>
        <v>115.4</v>
      </c>
      <c r="G15" s="167">
        <v>55663</v>
      </c>
      <c r="H15" s="167">
        <v>113.5</v>
      </c>
      <c r="I15" s="157">
        <f>+[2]Household!N9</f>
        <v>63081.370699251711</v>
      </c>
      <c r="J15" s="211">
        <f>+[2]Household!N11</f>
        <v>107.91690423503523</v>
      </c>
      <c r="K15" s="157">
        <f>+[2]Household!O9</f>
        <v>71753.534189933576</v>
      </c>
      <c r="L15" s="211">
        <f>+[2]Household!O11</f>
        <v>107.40848890374897</v>
      </c>
      <c r="M15" s="157">
        <f>+[2]Household!P9</f>
        <v>79859.123261101908</v>
      </c>
      <c r="N15" s="211">
        <f>+[2]Household!P11</f>
        <v>105.6402783046928</v>
      </c>
      <c r="O15" s="155">
        <f>+[2]Household!Q9</f>
        <v>87893.05089050917</v>
      </c>
      <c r="P15" s="212">
        <f>+[2]Household!Q11</f>
        <v>104.5759345645304</v>
      </c>
      <c r="Q15" s="154">
        <f>[3]Household!$AJ$9</f>
        <v>96368.261644238344</v>
      </c>
      <c r="R15" s="155">
        <f>+[4]Household!R11</f>
        <v>104.54414265913911</v>
      </c>
      <c r="S15" s="154">
        <f>[3]Household!$AK$9</f>
        <v>111046.17565110938</v>
      </c>
      <c r="T15" s="155">
        <f>[3]Household!$AK$11</f>
        <v>109.99728184550624</v>
      </c>
      <c r="U15" s="154">
        <f>[3]Household!$AK$9</f>
        <v>111046.17565110938</v>
      </c>
      <c r="V15" s="155">
        <f>[3]Household!$AK$11</f>
        <v>109.99728184550624</v>
      </c>
      <c r="W15" s="154">
        <f>[3]Household!$AK$9</f>
        <v>111046.17565110938</v>
      </c>
      <c r="X15" s="155">
        <f>[3]Household!$AK$11</f>
        <v>109.99728184550624</v>
      </c>
    </row>
    <row r="16" spans="1:37" s="162" customFormat="1" ht="31.5" x14ac:dyDescent="0.25">
      <c r="A16" s="151" t="s">
        <v>842</v>
      </c>
      <c r="B16" s="152" t="s">
        <v>767</v>
      </c>
      <c r="C16" s="159">
        <v>18696.8</v>
      </c>
      <c r="D16" s="159">
        <v>116</v>
      </c>
      <c r="E16" s="157">
        <f>+[2]Household!L15</f>
        <v>21760.3</v>
      </c>
      <c r="F16" s="160">
        <f>+[2]Household!L16</f>
        <v>114.1</v>
      </c>
      <c r="G16" s="167">
        <v>25722.9</v>
      </c>
      <c r="H16" s="168">
        <v>113</v>
      </c>
      <c r="I16" s="157">
        <f>'Итог-Модел CGE'!I16</f>
        <v>30470.2</v>
      </c>
      <c r="J16" s="157">
        <f>'Итог-Модел CGE'!J16</f>
        <v>113.2</v>
      </c>
      <c r="K16" s="157">
        <f>'Итог-Модел CGE'!K16</f>
        <v>35439.755165198461</v>
      </c>
      <c r="L16" s="157">
        <f>'Итог-Модел CGE'!L16</f>
        <v>114.9303940053814</v>
      </c>
      <c r="M16" s="157">
        <f>'Итог-Модел CGE'!M16</f>
        <v>41254.484715362232</v>
      </c>
      <c r="N16" s="157">
        <f>'Итог-Модел CGE'!N16</f>
        <v>113.901530110427</v>
      </c>
      <c r="O16" s="157">
        <f>'Итог-Модел CGE'!O16</f>
        <v>47612.182093920492</v>
      </c>
      <c r="P16" s="157">
        <f>'Итог-Модел CGE'!P16</f>
        <v>113.70534406322643</v>
      </c>
      <c r="Q16" s="157">
        <f>'Итог-Модел CGE'!Q16</f>
        <v>51548.635208337779</v>
      </c>
      <c r="R16" s="157">
        <f>'Итог-Модел CGE'!R16</f>
        <v>108.1595839667325</v>
      </c>
      <c r="S16" s="157">
        <f>'Итог-Модел CGE'!S16</f>
        <v>56661.403904945022</v>
      </c>
      <c r="T16" s="157">
        <f>'Итог-Модел CGE'!T16</f>
        <v>109.69894171168636</v>
      </c>
      <c r="U16" s="157">
        <f>'Итог-Модел CGE'!U16</f>
        <v>62425.439388689359</v>
      </c>
      <c r="V16" s="157">
        <f>'Итог-Модел CGE'!V16</f>
        <v>109.62464884840513</v>
      </c>
      <c r="W16" s="157">
        <f>'Итог-Модел CGE'!W16</f>
        <v>64323.564193216989</v>
      </c>
      <c r="X16" s="157">
        <f>'Итог-Модел CGE'!X16</f>
        <v>102.52798712780707</v>
      </c>
    </row>
    <row r="17" spans="1:24" ht="0.75" customHeight="1" x14ac:dyDescent="0.25">
      <c r="A17" s="161" t="s">
        <v>782</v>
      </c>
      <c r="B17" s="152" t="s">
        <v>767</v>
      </c>
      <c r="C17" s="159">
        <v>13866.9</v>
      </c>
      <c r="D17" s="159">
        <v>110.9</v>
      </c>
      <c r="E17" s="157">
        <f>+[2]Household!L18</f>
        <v>16740.8</v>
      </c>
      <c r="F17" s="160">
        <f>+[2]Household!L20</f>
        <v>118.4</v>
      </c>
      <c r="G17" s="167">
        <v>19094.900000000001</v>
      </c>
      <c r="H17" s="167">
        <v>109</v>
      </c>
      <c r="I17" s="157">
        <f>+[2]Household!N18</f>
        <v>20828.754476168015</v>
      </c>
      <c r="J17" s="211">
        <f>+[2]Household!N20</f>
        <v>109.08019668166899</v>
      </c>
      <c r="K17" s="157">
        <f>+[2]Household!O18</f>
        <v>23917.844729977856</v>
      </c>
      <c r="L17" s="211">
        <f>+[2]Household!O20</f>
        <v>120.8746240296865</v>
      </c>
      <c r="M17" s="157">
        <f>+[2]Household!P18</f>
        <v>26619.707753700633</v>
      </c>
      <c r="N17" s="211">
        <f>+[2]Household!P20</f>
        <v>111.29643182412815</v>
      </c>
      <c r="O17" s="154">
        <f>+[2]Household!Q18</f>
        <v>30111.508175452214</v>
      </c>
      <c r="P17" s="212">
        <f>+[2]Household!Q20</f>
        <v>114.25995020347571</v>
      </c>
      <c r="Q17" s="154">
        <f>+[4]Household!R18</f>
        <v>34438.528206013252</v>
      </c>
      <c r="R17" s="155">
        <f>+[4]Household!R20</f>
        <v>105.42106888569668</v>
      </c>
      <c r="S17" s="154">
        <f>+[4]Household!S18</f>
        <v>38378.646568088028</v>
      </c>
      <c r="T17" s="155">
        <f>+[4]Household!S20</f>
        <v>107.15482542184898</v>
      </c>
      <c r="U17" s="154">
        <f>+[4]Household!U18</f>
        <v>0</v>
      </c>
      <c r="V17" s="155">
        <f>+[4]Household!U20</f>
        <v>0</v>
      </c>
      <c r="W17" s="154">
        <f>+[4]Household!W18</f>
        <v>0</v>
      </c>
      <c r="X17" s="155">
        <f>+[4]Household!W20</f>
        <v>0</v>
      </c>
    </row>
    <row r="18" spans="1:24" ht="30.75" customHeight="1" x14ac:dyDescent="0.25">
      <c r="A18" s="151" t="s">
        <v>783</v>
      </c>
      <c r="B18" s="152" t="s">
        <v>778</v>
      </c>
      <c r="C18" s="160">
        <v>7309.5</v>
      </c>
      <c r="D18" s="160">
        <v>114.9</v>
      </c>
      <c r="E18" s="157">
        <f>+E19+E20</f>
        <v>8328.9000000000015</v>
      </c>
      <c r="F18" s="160">
        <f>+E18/C18*100</f>
        <v>113.94623435255491</v>
      </c>
      <c r="G18" s="167">
        <f>+G19+G20</f>
        <v>8955</v>
      </c>
      <c r="H18" s="167">
        <f>+G18/E18*100</f>
        <v>107.51719914994776</v>
      </c>
      <c r="I18" s="157">
        <f>'Итог-Модел CGE'!I18</f>
        <v>10793.1</v>
      </c>
      <c r="J18" s="157">
        <f>'Итог-Модел CGE'!J18</f>
        <v>120.52461725720538</v>
      </c>
      <c r="K18" s="157">
        <f>'Итог-Модел CGE'!K18</f>
        <v>11021.795039843477</v>
      </c>
      <c r="L18" s="157">
        <f>'Итог-Модел CGE'!L18</f>
        <v>102.11890040714415</v>
      </c>
      <c r="M18" s="157">
        <f>'Итог-Модел CGE'!M18</f>
        <v>11200.599971220476</v>
      </c>
      <c r="N18" s="157">
        <f>'Итог-Модел CGE'!N18</f>
        <v>101.62228503370481</v>
      </c>
      <c r="O18" s="157">
        <f>'Итог-Модел CGE'!O18</f>
        <v>11336.583686236969</v>
      </c>
      <c r="P18" s="157">
        <f>'Итог-Модел CGE'!P18</f>
        <v>101.21407527602003</v>
      </c>
      <c r="Q18" s="157">
        <f>'Итог-Модел CGE'!Q18</f>
        <v>11664.551983752193</v>
      </c>
      <c r="R18" s="157">
        <f>'Итог-Модел CGE'!R18</f>
        <v>102.89300821651757</v>
      </c>
      <c r="S18" s="157">
        <f>'Итог-Модел CGE'!S18</f>
        <v>11979.380979436051</v>
      </c>
      <c r="T18" s="157">
        <f>'Итог-Модел CGE'!T18</f>
        <v>102.69902346976025</v>
      </c>
      <c r="U18" s="157">
        <f>'Итог-Модел CGE'!U18</f>
        <v>11976.135469630579</v>
      </c>
      <c r="V18" s="157">
        <f>'Итог-Модел CGE'!V18</f>
        <v>99.972907533277024</v>
      </c>
      <c r="W18" s="157">
        <f>'Итог-Модел CGE'!W18</f>
        <v>12300.515494172279</v>
      </c>
      <c r="X18" s="157">
        <f>'Итог-Модел CGE'!X18</f>
        <v>102.70855340075495</v>
      </c>
    </row>
    <row r="19" spans="1:24" ht="0.75" customHeight="1" x14ac:dyDescent="0.25">
      <c r="A19" s="151" t="s">
        <v>784</v>
      </c>
      <c r="B19" s="275"/>
      <c r="C19" s="160">
        <v>2142</v>
      </c>
      <c r="D19" s="160">
        <v>99.6</v>
      </c>
      <c r="E19" s="157">
        <f>[2]Results!L31</f>
        <v>2448.8000000000002</v>
      </c>
      <c r="F19" s="160">
        <f>+E19/C19*100</f>
        <v>114.3230625583567</v>
      </c>
      <c r="G19" s="167">
        <v>1947.4</v>
      </c>
      <c r="H19" s="167">
        <f>+G19/E19*100</f>
        <v>79.524665142110422</v>
      </c>
      <c r="I19" s="240">
        <f>'5_IntTrade'!F74</f>
        <v>2840.4586402822806</v>
      </c>
      <c r="J19" s="173">
        <f>+I19/G19*100</f>
        <v>145.85902435464109</v>
      </c>
      <c r="K19" s="240">
        <f>'5_IntTrade'!G74</f>
        <v>2973.4668221584402</v>
      </c>
      <c r="L19" s="173">
        <f>+K19/I19*100</f>
        <v>104.68263047346964</v>
      </c>
      <c r="M19" s="240">
        <f>'5_IntTrade'!H74</f>
        <v>3140.639557806061</v>
      </c>
      <c r="N19" s="173">
        <f>+M19/K19*100</f>
        <v>105.6221490148079</v>
      </c>
      <c r="O19" s="240">
        <f>'5_IntTrade'!I74</f>
        <v>3298.475280108471</v>
      </c>
      <c r="P19" s="173">
        <f>+O19/M19*100</f>
        <v>105.02559174325208</v>
      </c>
      <c r="Q19" s="274">
        <f>'5_IntTrade'!J74</f>
        <v>3051.7401047129829</v>
      </c>
      <c r="R19" s="160">
        <f>+Q19/O19*100</f>
        <v>92.519720342200827</v>
      </c>
      <c r="S19" s="273">
        <f>'5_IntTrade'!K74</f>
        <v>3206.4143550886356</v>
      </c>
      <c r="T19" s="160">
        <f>+S19/Q19*100</f>
        <v>105.0683952456102</v>
      </c>
      <c r="U19" s="270"/>
      <c r="V19" s="270"/>
      <c r="W19" s="270"/>
      <c r="X19" s="270"/>
    </row>
    <row r="20" spans="1:24" ht="19.5" hidden="1" customHeight="1" x14ac:dyDescent="0.25">
      <c r="A20" s="151" t="s">
        <v>785</v>
      </c>
      <c r="B20" s="276"/>
      <c r="C20" s="160">
        <v>5167.5</v>
      </c>
      <c r="D20" s="160">
        <v>122.8</v>
      </c>
      <c r="E20" s="157">
        <f>[2]Results!L33</f>
        <v>5880.1</v>
      </c>
      <c r="F20" s="160">
        <f>+E20/C20*100</f>
        <v>113.79003386550556</v>
      </c>
      <c r="G20" s="167">
        <v>7007.6</v>
      </c>
      <c r="H20" s="167">
        <f>+G20/E20*100</f>
        <v>119.17484396523868</v>
      </c>
      <c r="I20" s="240">
        <f>'5_IntTrade'!F75</f>
        <v>8360.1413309381951</v>
      </c>
      <c r="J20" s="173">
        <f>+I20/G20*100</f>
        <v>119.30106357295213</v>
      </c>
      <c r="K20" s="240">
        <f>'5_IntTrade'!G75</f>
        <v>8363.116864078529</v>
      </c>
      <c r="L20" s="173">
        <f>+K20/I20*100</f>
        <v>100.03559189997569</v>
      </c>
      <c r="M20" s="240">
        <f>'5_IntTrade'!H75</f>
        <v>8523.9124259461314</v>
      </c>
      <c r="N20" s="173">
        <f>+M20/K20*100</f>
        <v>101.92267505621327</v>
      </c>
      <c r="O20" s="240">
        <f>'5_IntTrade'!I75</f>
        <v>8680.9056993275808</v>
      </c>
      <c r="P20" s="173">
        <f>+O20/M20*100</f>
        <v>101.84179829093006</v>
      </c>
      <c r="Q20" s="274">
        <f>'5_IntTrade'!J75</f>
        <v>8924.3953649175965</v>
      </c>
      <c r="R20" s="160">
        <f>+Q20/O20*100</f>
        <v>102.80488780806449</v>
      </c>
      <c r="S20" s="273">
        <f>'5_IntTrade'!K75</f>
        <v>9094.1011390836429</v>
      </c>
      <c r="T20" s="160">
        <f>+S20/Q20*100</f>
        <v>101.90159408258816</v>
      </c>
      <c r="U20" s="270"/>
      <c r="V20" s="270"/>
      <c r="W20" s="270"/>
      <c r="X20" s="270"/>
    </row>
    <row r="21" spans="1:24" x14ac:dyDescent="0.25">
      <c r="A21" s="163"/>
      <c r="G21" s="141">
        <v>2108.4</v>
      </c>
      <c r="J21" s="141">
        <f>I19/G21*100</f>
        <v>134.72105104734777</v>
      </c>
    </row>
    <row r="22" spans="1:24" x14ac:dyDescent="0.25">
      <c r="E22" s="164">
        <f>+G8-E8</f>
        <v>1736.5889385625833</v>
      </c>
      <c r="F22" s="164">
        <f t="shared" ref="F22:N22" si="0">+H8-F8</f>
        <v>3.1797762911035647</v>
      </c>
      <c r="G22" s="164">
        <f>+I8-G8</f>
        <v>1891.7289717109561</v>
      </c>
      <c r="H22" s="164">
        <f t="shared" si="0"/>
        <v>-2.0655362290958976</v>
      </c>
      <c r="I22" s="164">
        <f t="shared" si="0"/>
        <v>1777.5009809899602</v>
      </c>
      <c r="J22" s="164">
        <f t="shared" si="0"/>
        <v>-0.58827527526096901</v>
      </c>
      <c r="K22" s="164">
        <f>+M8-K8</f>
        <v>1910.5465054663582</v>
      </c>
      <c r="L22" s="164">
        <f t="shared" si="0"/>
        <v>-0.30641058024257006</v>
      </c>
      <c r="M22" s="164">
        <f t="shared" si="0"/>
        <v>2137.4044370556003</v>
      </c>
      <c r="N22" s="164">
        <f t="shared" si="0"/>
        <v>0.14227547660811979</v>
      </c>
    </row>
    <row r="23" spans="1:24" x14ac:dyDescent="0.25">
      <c r="I23" s="141">
        <f>3119*109.8</f>
        <v>342466.2</v>
      </c>
    </row>
    <row r="24" spans="1:24" x14ac:dyDescent="0.25">
      <c r="E24" s="141">
        <f>+E19/E18*100</f>
        <v>29.401241460456962</v>
      </c>
      <c r="G24" s="141">
        <f>+G19/G18*100</f>
        <v>21.746510329424904</v>
      </c>
      <c r="I24" s="141">
        <f>+I19/I18*100</f>
        <v>26.317356832441842</v>
      </c>
      <c r="K24" s="141">
        <f>+K19/K18*100</f>
        <v>26.978063114124712</v>
      </c>
      <c r="M24" s="141">
        <f>+M19/M18*100</f>
        <v>28.039922556611408</v>
      </c>
    </row>
    <row r="25" spans="1:24" x14ac:dyDescent="0.25">
      <c r="E25" s="141">
        <f>+E20/E18*100</f>
        <v>70.598758539543027</v>
      </c>
      <c r="G25" s="141">
        <f>+G20/G18*100</f>
        <v>78.253489670575107</v>
      </c>
      <c r="I25" s="141">
        <f>+I20/I18*100</f>
        <v>77.458203212591329</v>
      </c>
      <c r="K25" s="141">
        <f>+K20/K18*100</f>
        <v>75.877992957100886</v>
      </c>
      <c r="M25" s="141">
        <f>+M20/M18*100</f>
        <v>76.102284233416128</v>
      </c>
    </row>
    <row r="27" spans="1:24" x14ac:dyDescent="0.25">
      <c r="C27" s="164">
        <f>C28+C29</f>
        <v>7013.8240000000005</v>
      </c>
      <c r="D27" s="164">
        <f t="shared" ref="D27:P27" si="1">D28+D29</f>
        <v>0</v>
      </c>
      <c r="E27" s="164">
        <f t="shared" si="1"/>
        <v>8036.4809999999998</v>
      </c>
      <c r="F27" s="164">
        <f t="shared" si="1"/>
        <v>232.83270635551941</v>
      </c>
      <c r="G27" s="164">
        <f t="shared" si="1"/>
        <v>9794.1059999999998</v>
      </c>
      <c r="H27" s="164">
        <f t="shared" si="1"/>
        <v>229.73649630523857</v>
      </c>
      <c r="I27" s="164">
        <f>I28+I29</f>
        <v>10921.976012330777</v>
      </c>
      <c r="J27" s="164">
        <f t="shared" si="1"/>
        <v>224.1666786512256</v>
      </c>
      <c r="K27" s="164">
        <f t="shared" si="1"/>
        <v>14417.24216468052</v>
      </c>
      <c r="L27" s="164">
        <f t="shared" si="1"/>
        <v>248.86814139657997</v>
      </c>
      <c r="M27" s="164">
        <f t="shared" si="1"/>
        <v>15493.691836477481</v>
      </c>
      <c r="N27" s="164">
        <f t="shared" si="1"/>
        <v>217.29188438836925</v>
      </c>
      <c r="O27" s="164">
        <f t="shared" si="1"/>
        <v>16559.333554819761</v>
      </c>
      <c r="P27" s="164">
        <f t="shared" si="1"/>
        <v>214.68302032713402</v>
      </c>
      <c r="Q27" s="164"/>
      <c r="R27" s="164"/>
      <c r="S27" s="164"/>
      <c r="T27" s="164"/>
      <c r="U27" s="164"/>
      <c r="V27" s="164"/>
      <c r="W27" s="164"/>
      <c r="X27" s="164"/>
    </row>
    <row r="28" spans="1:24" ht="36" x14ac:dyDescent="0.25">
      <c r="A28" s="151" t="s">
        <v>786</v>
      </c>
      <c r="C28" s="165">
        <f>[2]BoP!K14</f>
        <v>1752.9</v>
      </c>
      <c r="E28" s="165">
        <f>[2]BoP!L14</f>
        <v>2105</v>
      </c>
      <c r="F28" s="160">
        <f>+E28/C28*100</f>
        <v>120.08671344628901</v>
      </c>
      <c r="G28" s="165">
        <f>[2]BoP!M14</f>
        <v>2108.4050000000002</v>
      </c>
      <c r="H28" s="160">
        <f>+G28/E28*100</f>
        <v>100.16175771971498</v>
      </c>
      <c r="I28" s="165">
        <f>[2]BoP!N14</f>
        <v>2384.1837440574668</v>
      </c>
      <c r="J28" s="160">
        <f>+I28/G28*100</f>
        <v>113.07997012231836</v>
      </c>
      <c r="K28" s="165">
        <f>[2]BoP!O14</f>
        <v>2646.4816573039252</v>
      </c>
      <c r="L28" s="160">
        <f>+K28/I28*100</f>
        <v>111.00158131269164</v>
      </c>
      <c r="M28" s="165">
        <f>[2]BoP!P14</f>
        <v>2924.619604967002</v>
      </c>
      <c r="N28" s="160">
        <f>+M28/K28*100</f>
        <v>110.50972512488248</v>
      </c>
      <c r="O28" s="165">
        <f>[2]BoP!Q14</f>
        <v>3161.1126165783112</v>
      </c>
      <c r="P28" s="160">
        <f>+O28/M28*100</f>
        <v>108.08628278391019</v>
      </c>
      <c r="Q28" s="270"/>
      <c r="R28" s="270"/>
      <c r="S28" s="270"/>
      <c r="T28" s="270"/>
      <c r="U28" s="270"/>
      <c r="V28" s="270"/>
      <c r="W28" s="270"/>
      <c r="X28" s="270"/>
    </row>
    <row r="29" spans="1:24" ht="36" x14ac:dyDescent="0.25">
      <c r="A29" s="151" t="s">
        <v>787</v>
      </c>
      <c r="C29" s="165">
        <f>[2]BoP!K15</f>
        <v>5260.924</v>
      </c>
      <c r="E29" s="165">
        <f>[2]BoP!L15</f>
        <v>5931.4809999999998</v>
      </c>
      <c r="F29" s="160">
        <f>+E29/C29*100</f>
        <v>112.7459929092304</v>
      </c>
      <c r="G29" s="165">
        <f>[2]BoP!M15</f>
        <v>7685.701</v>
      </c>
      <c r="H29" s="160">
        <f>+G29/E29*100</f>
        <v>129.57473858552359</v>
      </c>
      <c r="I29" s="165">
        <f>[2]BoP!N15</f>
        <v>8537.7922682733097</v>
      </c>
      <c r="J29" s="160">
        <f>+I29/G29*100</f>
        <v>111.08670852890725</v>
      </c>
      <c r="K29" s="165">
        <f>[2]BoP!O15</f>
        <v>11770.760507376595</v>
      </c>
      <c r="L29" s="160">
        <f>+K29/I29*100</f>
        <v>137.86656008388834</v>
      </c>
      <c r="M29" s="165">
        <f>[2]BoP!P15</f>
        <v>12569.072231510479</v>
      </c>
      <c r="N29" s="160">
        <f>+M29/K29*100</f>
        <v>106.78215926348678</v>
      </c>
      <c r="O29" s="165">
        <f>[2]BoP!Q15</f>
        <v>13398.220938241451</v>
      </c>
      <c r="P29" s="160">
        <f>+O29/M29*100</f>
        <v>106.59673754322382</v>
      </c>
      <c r="Q29" s="270"/>
      <c r="R29" s="270"/>
      <c r="S29" s="270"/>
      <c r="T29" s="270"/>
      <c r="U29" s="270"/>
      <c r="V29" s="270"/>
      <c r="W29" s="270"/>
      <c r="X29" s="270"/>
    </row>
    <row r="30" spans="1:24" ht="36.75" thickBot="1" x14ac:dyDescent="0.3">
      <c r="A30" s="200" t="s">
        <v>803</v>
      </c>
      <c r="C30" s="141">
        <v>11.0258</v>
      </c>
      <c r="D30" s="160">
        <f>+C30/11.3089*100</f>
        <v>97.496661921141765</v>
      </c>
      <c r="E30" s="141">
        <v>10.8445</v>
      </c>
      <c r="F30" s="160">
        <f>+E30/C30*100</f>
        <v>98.355674871664647</v>
      </c>
      <c r="G30" s="141">
        <v>10.7986</v>
      </c>
      <c r="H30" s="160">
        <f>+G30/E30*100</f>
        <v>99.576743971598518</v>
      </c>
      <c r="I30" s="202">
        <f>'1_Prices'!F90</f>
        <v>9.4140239999999995</v>
      </c>
      <c r="J30" s="160">
        <f>+I30/G30*100</f>
        <v>87.178189765339937</v>
      </c>
      <c r="K30" s="141">
        <f>'1_Prices'!G90</f>
        <v>9.6920520000000003</v>
      </c>
      <c r="L30" s="160">
        <f>+K30/I30*100</f>
        <v>102.95333855108082</v>
      </c>
      <c r="M30" s="202">
        <f>'1_Prices'!H90</f>
        <v>9.8826689999999999</v>
      </c>
      <c r="N30" s="160">
        <f>+M30/K30*100</f>
        <v>101.96673521768145</v>
      </c>
      <c r="O30" s="141">
        <f>'1_Prices'!I90</f>
        <v>10.01421</v>
      </c>
      <c r="P30" s="160">
        <f>+O30/M30*100</f>
        <v>101.33102707375912</v>
      </c>
      <c r="Q30" s="270"/>
      <c r="R30" s="270"/>
      <c r="S30" s="270"/>
      <c r="T30" s="270"/>
      <c r="U30" s="270"/>
      <c r="V30" s="270"/>
      <c r="W30" s="270"/>
      <c r="X30" s="270"/>
    </row>
    <row r="31" spans="1:24" x14ac:dyDescent="0.25">
      <c r="G31" s="239"/>
    </row>
    <row r="32" spans="1:24" x14ac:dyDescent="0.25">
      <c r="E32" s="141">
        <f t="shared" ref="E32" si="2">E19/E18*100</f>
        <v>29.401241460456962</v>
      </c>
      <c r="G32" s="141">
        <f>G19/G18*100</f>
        <v>21.746510329424904</v>
      </c>
      <c r="I32" s="141">
        <f t="shared" ref="I32:O32" si="3">I19/I18*100</f>
        <v>26.317356832441842</v>
      </c>
      <c r="K32" s="141">
        <f t="shared" si="3"/>
        <v>26.978063114124712</v>
      </c>
      <c r="M32" s="141">
        <f t="shared" si="3"/>
        <v>28.039922556611408</v>
      </c>
      <c r="O32" s="141">
        <f t="shared" si="3"/>
        <v>29.095849079409536</v>
      </c>
    </row>
    <row r="33" spans="5:19" x14ac:dyDescent="0.25">
      <c r="E33" s="141">
        <f t="shared" ref="E33" si="4">E20/E18*100</f>
        <v>70.598758539543027</v>
      </c>
      <c r="G33" s="141">
        <f>G20/G18*100</f>
        <v>78.253489670575107</v>
      </c>
      <c r="I33" s="141">
        <f t="shared" ref="I33:O33" si="5">I20/I18*100</f>
        <v>77.458203212591329</v>
      </c>
      <c r="K33" s="141">
        <f t="shared" si="5"/>
        <v>75.877992957100886</v>
      </c>
      <c r="M33" s="141">
        <f t="shared" si="5"/>
        <v>76.102284233416128</v>
      </c>
      <c r="O33" s="141">
        <f t="shared" si="5"/>
        <v>76.574265577614185</v>
      </c>
    </row>
    <row r="35" spans="5:19" x14ac:dyDescent="0.25">
      <c r="I35" s="166">
        <f>I9/I5*1000</f>
        <v>377.15621273011948</v>
      </c>
      <c r="K35" s="166">
        <f>K9/K5*1000</f>
        <v>417.66787560526132</v>
      </c>
      <c r="M35" s="166">
        <f>M9/M5*1000</f>
        <v>465.21302290573522</v>
      </c>
      <c r="O35" s="166">
        <f>O9/O5*1000</f>
        <v>516.88661144677769</v>
      </c>
      <c r="Q35" s="166">
        <f>Q9/Q5*1000</f>
        <v>566.41731464362658</v>
      </c>
      <c r="S35" s="166">
        <f>S9/S5*1000</f>
        <v>514.95313634611034</v>
      </c>
    </row>
    <row r="36" spans="5:19" x14ac:dyDescent="0.25">
      <c r="L36" s="239">
        <f>L11+N11+P11+R11+T11</f>
        <v>570.74596415809515</v>
      </c>
    </row>
    <row r="37" spans="5:19" x14ac:dyDescent="0.25">
      <c r="L37" s="141">
        <f>L36/5</f>
        <v>114.14919283161903</v>
      </c>
    </row>
    <row r="38" spans="5:19" x14ac:dyDescent="0.25">
      <c r="L38" s="239">
        <f>L14+N14+P14+R14+T14</f>
        <v>564.44466061540834</v>
      </c>
    </row>
    <row r="39" spans="5:19" x14ac:dyDescent="0.25">
      <c r="L39" s="141">
        <f>L38/5</f>
        <v>112.88893212308167</v>
      </c>
    </row>
    <row r="40" spans="5:19" x14ac:dyDescent="0.25">
      <c r="L40" s="239">
        <f>L16+N16+P16+R16+T16</f>
        <v>560.39579385745378</v>
      </c>
    </row>
    <row r="41" spans="5:19" x14ac:dyDescent="0.25">
      <c r="L41" s="141">
        <f>L40/5</f>
        <v>112.07915877149075</v>
      </c>
    </row>
    <row r="42" spans="5:19" x14ac:dyDescent="0.25">
      <c r="L42" s="239">
        <f>L5+N5+P5+R5+T5</f>
        <v>542.16219529712498</v>
      </c>
    </row>
    <row r="43" spans="5:19" x14ac:dyDescent="0.25">
      <c r="L43" s="141">
        <f>L42/5</f>
        <v>108.43243905942499</v>
      </c>
    </row>
    <row r="45" spans="5:19" x14ac:dyDescent="0.25">
      <c r="K45" s="141">
        <f>S5/K5*100</f>
        <v>163.07686048280627</v>
      </c>
    </row>
    <row r="46" spans="5:19" x14ac:dyDescent="0.25">
      <c r="K46" s="239">
        <f>S5-K5</f>
        <v>126089.47261794659</v>
      </c>
    </row>
    <row r="47" spans="5:19" x14ac:dyDescent="0.25">
      <c r="K47" s="141">
        <f>K46/K5*100</f>
        <v>63.076860482806275</v>
      </c>
    </row>
    <row r="48" spans="5:19" x14ac:dyDescent="0.25">
      <c r="K48" s="141">
        <f>K5/L6*100</f>
        <v>192275.76325724507</v>
      </c>
      <c r="M48" s="141">
        <f>M5/N6*100</f>
        <v>214586.73176432427</v>
      </c>
      <c r="S48" s="141">
        <f>S5/T6*100</f>
        <v>313569.20804957865</v>
      </c>
    </row>
    <row r="49" spans="1:13" x14ac:dyDescent="0.25">
      <c r="K49" s="141">
        <f>S48/K48*100</f>
        <v>163.08306504031685</v>
      </c>
      <c r="M49" s="141">
        <f>S48/M48*100</f>
        <v>146.12702540899153</v>
      </c>
    </row>
    <row r="50" spans="1:13" x14ac:dyDescent="0.25">
      <c r="K50" s="141">
        <f>S8/K8*100</f>
        <v>149.48195141872009</v>
      </c>
    </row>
    <row r="52" spans="1:13" x14ac:dyDescent="0.25">
      <c r="I52" s="141">
        <v>66.8</v>
      </c>
      <c r="K52" s="141">
        <v>66.2</v>
      </c>
    </row>
    <row r="53" spans="1:13" x14ac:dyDescent="0.25">
      <c r="I53" s="141">
        <v>33.200000000000003</v>
      </c>
      <c r="K53" s="141">
        <f>100-K52</f>
        <v>33.799999999999997</v>
      </c>
    </row>
    <row r="54" spans="1:13" x14ac:dyDescent="0.25">
      <c r="A54" s="141" t="s">
        <v>838</v>
      </c>
      <c r="I54" s="141">
        <f>I52*I10/100</f>
        <v>56548.738400000002</v>
      </c>
      <c r="K54" s="141">
        <f>K52*K10/100</f>
        <v>62992.907782426104</v>
      </c>
    </row>
    <row r="55" spans="1:13" x14ac:dyDescent="0.25">
      <c r="A55" s="141" t="s">
        <v>839</v>
      </c>
      <c r="I55" s="141">
        <f>I53*I10/100</f>
        <v>28105.061600000001</v>
      </c>
      <c r="K55" s="141">
        <f>K53*K10/100</f>
        <v>32162.54203996982</v>
      </c>
    </row>
  </sheetData>
  <mergeCells count="20">
    <mergeCell ref="A1:T1"/>
    <mergeCell ref="O2:P2"/>
    <mergeCell ref="Q2:R2"/>
    <mergeCell ref="S2:T2"/>
    <mergeCell ref="AF3:AG3"/>
    <mergeCell ref="G2:H2"/>
    <mergeCell ref="I2:J2"/>
    <mergeCell ref="K2:L2"/>
    <mergeCell ref="M2:N2"/>
    <mergeCell ref="A2:A3"/>
    <mergeCell ref="B2:B3"/>
    <mergeCell ref="C2:D2"/>
    <mergeCell ref="E2:F2"/>
    <mergeCell ref="Z3:AA3"/>
    <mergeCell ref="U2:V2"/>
    <mergeCell ref="W2:X2"/>
    <mergeCell ref="AB3:AC3"/>
    <mergeCell ref="AD3:AE3"/>
    <mergeCell ref="AJ3:AK3"/>
    <mergeCell ref="AH3:AI3"/>
  </mergeCells>
  <pageMargins left="0.11811023622047245" right="0.11811023622047245" top="0.15748031496062992" bottom="0.15748031496062992" header="0.31496062992125984" footer="0.31496062992125984"/>
  <pageSetup paperSize="9" scale="75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C3C3-F43C-4021-824F-9F01B0176652}">
  <dimension ref="A1:K30"/>
  <sheetViews>
    <sheetView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J8" sqref="J8"/>
    </sheetView>
  </sheetViews>
  <sheetFormatPr defaultRowHeight="15" x14ac:dyDescent="0.25"/>
  <cols>
    <col min="1" max="1" width="30.5703125" style="174" customWidth="1"/>
    <col min="2" max="2" width="11" style="174" customWidth="1"/>
    <col min="3" max="3" width="9.140625" style="174"/>
    <col min="4" max="4" width="10.5703125" style="174" customWidth="1"/>
    <col min="5" max="5" width="9.7109375" style="174" customWidth="1"/>
    <col min="6" max="6" width="11.28515625" style="174" customWidth="1"/>
    <col min="7" max="7" width="9.140625" style="174"/>
    <col min="8" max="8" width="11.28515625" style="174" customWidth="1"/>
    <col min="9" max="9" width="9.85546875" style="174" customWidth="1"/>
    <col min="10" max="10" width="11.85546875" style="174" customWidth="1"/>
    <col min="11" max="11" width="9.7109375" style="174" customWidth="1"/>
    <col min="12" max="16384" width="9.140625" style="174"/>
  </cols>
  <sheetData>
    <row r="1" spans="1:11" ht="57" customHeight="1" thickBot="1" x14ac:dyDescent="0.3">
      <c r="A1" s="462" t="s">
        <v>893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</row>
    <row r="2" spans="1:11" ht="20.25" customHeight="1" x14ac:dyDescent="0.25">
      <c r="A2" s="463" t="s">
        <v>745</v>
      </c>
      <c r="B2" s="465" t="s">
        <v>897</v>
      </c>
      <c r="C2" s="465"/>
      <c r="D2" s="467" t="s">
        <v>898</v>
      </c>
      <c r="E2" s="468"/>
      <c r="F2" s="465" t="s">
        <v>899</v>
      </c>
      <c r="G2" s="465"/>
      <c r="H2" s="465" t="s">
        <v>753</v>
      </c>
      <c r="I2" s="465"/>
      <c r="J2" s="465" t="s">
        <v>836</v>
      </c>
      <c r="K2" s="471"/>
    </row>
    <row r="3" spans="1:11" ht="15" customHeight="1" x14ac:dyDescent="0.25">
      <c r="A3" s="464"/>
      <c r="B3" s="466"/>
      <c r="C3" s="466"/>
      <c r="D3" s="469"/>
      <c r="E3" s="470"/>
      <c r="F3" s="466"/>
      <c r="G3" s="466"/>
      <c r="H3" s="466"/>
      <c r="I3" s="466"/>
      <c r="J3" s="466"/>
      <c r="K3" s="472"/>
    </row>
    <row r="4" spans="1:11" ht="36" x14ac:dyDescent="0.25">
      <c r="A4" s="464"/>
      <c r="B4" s="175" t="s">
        <v>788</v>
      </c>
      <c r="C4" s="176" t="s">
        <v>789</v>
      </c>
      <c r="D4" s="175" t="s">
        <v>788</v>
      </c>
      <c r="E4" s="176" t="s">
        <v>790</v>
      </c>
      <c r="F4" s="175" t="s">
        <v>788</v>
      </c>
      <c r="G4" s="176" t="s">
        <v>789</v>
      </c>
      <c r="H4" s="175" t="s">
        <v>788</v>
      </c>
      <c r="I4" s="176" t="s">
        <v>790</v>
      </c>
      <c r="J4" s="175" t="s">
        <v>788</v>
      </c>
      <c r="K4" s="177" t="s">
        <v>791</v>
      </c>
    </row>
    <row r="5" spans="1:11" ht="36" x14ac:dyDescent="0.25">
      <c r="A5" s="178" t="s">
        <v>792</v>
      </c>
      <c r="B5" s="204">
        <f>'Итог-Модел CGE'!I5/1000</f>
        <v>176.91900000000001</v>
      </c>
      <c r="C5" s="179">
        <f>'Итог-Модел CGE'!J5</f>
        <v>108.4</v>
      </c>
      <c r="D5" s="180">
        <f>'Итог-Модел CGE'!K5/1000</f>
        <v>199.89814276237882</v>
      </c>
      <c r="E5" s="179">
        <f>'Итог-Модел CGE'!L5</f>
        <v>108.51599957200115</v>
      </c>
      <c r="F5" s="204">
        <f>'Итог-Модел CGE'!M5/1000</f>
        <v>225.45716600975064</v>
      </c>
      <c r="G5" s="179">
        <f>'Итог-Модел CGE'!N5</f>
        <v>108.37388918991087</v>
      </c>
      <c r="H5" s="204">
        <f>'Итог-Модел CGE'!O5/1000</f>
        <v>254.61199914551764</v>
      </c>
      <c r="I5" s="179">
        <f>'Итог-Модел CGE'!P5</f>
        <v>108.62520475951297</v>
      </c>
      <c r="J5" s="204">
        <f>'Итог-Модел CGE'!Q5/1000</f>
        <v>290.95713820040174</v>
      </c>
      <c r="K5" s="181">
        <f>'Итог-Модел CGE'!R5</f>
        <v>108.76495168739831</v>
      </c>
    </row>
    <row r="6" spans="1:11" ht="36" x14ac:dyDescent="0.25">
      <c r="A6" s="182" t="s">
        <v>793</v>
      </c>
      <c r="B6" s="204">
        <f>'Итог-Модел CGE'!I9/1000</f>
        <v>66.726100000000002</v>
      </c>
      <c r="C6" s="183">
        <f>'Итог-Модел CGE'!J9</f>
        <v>122.1</v>
      </c>
      <c r="D6" s="180">
        <f>'Итог-Модел CGE'!K9/1000</f>
        <v>83.491032625000003</v>
      </c>
      <c r="E6" s="183">
        <f>'Итог-Модел CGE'!L9</f>
        <v>125.00000000000001</v>
      </c>
      <c r="F6" s="204">
        <f>'Итог-Модел CGE'!M9/1000</f>
        <v>104.88560973515627</v>
      </c>
      <c r="G6" s="183">
        <f>'Итог-Модел CGE'!N9</f>
        <v>124.99999999999999</v>
      </c>
      <c r="H6" s="204">
        <f>'Итог-Модел CGE'!O9/1000</f>
        <v>131.60553347201648</v>
      </c>
      <c r="I6" s="238">
        <f>'Итог-Модел CGE'!P9</f>
        <v>125.09999999999998</v>
      </c>
      <c r="J6" s="204">
        <f>'Итог-Модел CGE'!Q9/1000</f>
        <v>164.80316089586609</v>
      </c>
      <c r="K6" s="184">
        <f>'Итог-Модел CGE'!R9</f>
        <v>125.1</v>
      </c>
    </row>
    <row r="7" spans="1:11" ht="36" x14ac:dyDescent="0.25">
      <c r="A7" s="185" t="s">
        <v>794</v>
      </c>
      <c r="B7" s="204">
        <f>'Итог-Модел CGE'!I10/1000</f>
        <v>84.653800000000004</v>
      </c>
      <c r="C7" s="186">
        <f>'Итог-Модел CGE'!J10</f>
        <v>109.5</v>
      </c>
      <c r="D7" s="180">
        <f>'Итог-Модел CGE'!K10/1000</f>
        <v>95.155449822395923</v>
      </c>
      <c r="E7" s="186">
        <f>'Итог-Модел CGE'!L10</f>
        <v>108.92031018370741</v>
      </c>
      <c r="F7" s="204">
        <f>'Итог-Модел CGE'!M10/1000</f>
        <v>104.59096592645653</v>
      </c>
      <c r="G7" s="186">
        <f>'Итог-Модел CGE'!N10</f>
        <v>108.61254614131397</v>
      </c>
      <c r="H7" s="204">
        <f>'Итог-Модел CGE'!O10/1000</f>
        <v>114.71595317271228</v>
      </c>
      <c r="I7" s="186">
        <f>'Итог-Модел CGE'!P10</f>
        <v>108.27300711668305</v>
      </c>
      <c r="J7" s="204">
        <f>'Итог-Модел CGE'!Q10/1000</f>
        <v>125.4346797080495</v>
      </c>
      <c r="K7" s="187">
        <f>'Итог-Модел CGE'!R10</f>
        <v>108.15401629768029</v>
      </c>
    </row>
    <row r="8" spans="1:11" ht="36" x14ac:dyDescent="0.25">
      <c r="A8" s="188" t="s">
        <v>795</v>
      </c>
      <c r="B8" s="204">
        <f>'Итог-Модел CGE'!I11/1000</f>
        <v>28.736000000000001</v>
      </c>
      <c r="C8" s="180">
        <f>'Итог-Модел CGE'!J11</f>
        <v>123</v>
      </c>
      <c r="D8" s="180">
        <f>'Итог-Модел CGE'!K11/1000</f>
        <v>32.767971999999986</v>
      </c>
      <c r="E8" s="180">
        <f>'Итог-Модел CGE'!L11</f>
        <v>114.03108296213804</v>
      </c>
      <c r="F8" s="204">
        <f>'Итог-Модел CGE'!M11/1000</f>
        <v>38.923921560000011</v>
      </c>
      <c r="G8" s="180">
        <f>'Итог-Модел CGE'!N11</f>
        <v>118.78648321598915</v>
      </c>
      <c r="H8" s="204">
        <f>'Итог-Модел CGE'!O11/1000</f>
        <v>44.52443081040002</v>
      </c>
      <c r="I8" s="180">
        <f>'Итог-Модел CGE'!P11</f>
        <v>114.38834790006194</v>
      </c>
      <c r="J8" s="204">
        <f>'Итог-Модел CGE'!Q11/1000</f>
        <v>51.375483912360004</v>
      </c>
      <c r="K8" s="189">
        <f>'Итог-Модел CGE'!R11</f>
        <v>115.38717728056776</v>
      </c>
    </row>
    <row r="9" spans="1:11" ht="54" hidden="1" x14ac:dyDescent="0.25">
      <c r="A9" s="188" t="s">
        <v>796</v>
      </c>
      <c r="B9" s="175"/>
      <c r="C9" s="190"/>
      <c r="D9" s="180"/>
      <c r="E9" s="190"/>
      <c r="F9" s="175"/>
      <c r="G9" s="190"/>
      <c r="H9" s="175"/>
      <c r="I9" s="190"/>
      <c r="J9" s="175"/>
      <c r="K9" s="191"/>
    </row>
    <row r="10" spans="1:11" ht="36" x14ac:dyDescent="0.25">
      <c r="A10" s="188" t="s">
        <v>797</v>
      </c>
      <c r="B10" s="204">
        <f>'Итог-Модел CGE'!I14/1000</f>
        <v>77.307100000000005</v>
      </c>
      <c r="C10" s="180">
        <f>'Итог-Модел CGE'!J14</f>
        <v>113.9</v>
      </c>
      <c r="D10" s="180">
        <f>'Итог-Модел CGE'!K14/1000</f>
        <v>89.9465411776699</v>
      </c>
      <c r="E10" s="180">
        <f>'Итог-Модел CGE'!L14</f>
        <v>114.15335710871818</v>
      </c>
      <c r="F10" s="445">
        <f>'Итог-Модел CGE'!M14/1000</f>
        <v>105.31977392904399</v>
      </c>
      <c r="G10" s="180">
        <f>'Итог-Модел CGE'!N14</f>
        <v>114.48579696091133</v>
      </c>
      <c r="H10" s="204">
        <f>'Итог-Модел CGE'!O14/1000</f>
        <v>120.05447057104276</v>
      </c>
      <c r="I10" s="180">
        <f>'Итог-Модел CGE'!P14</f>
        <v>113.55900111382716</v>
      </c>
      <c r="J10" s="204">
        <f>'Итог-Модел CGE'!Q14/1000</f>
        <v>138.35842123583407</v>
      </c>
      <c r="K10" s="189">
        <f>'Итог-Модел CGE'!R14</f>
        <v>113.89538379213461</v>
      </c>
    </row>
    <row r="11" spans="1:11" ht="36" x14ac:dyDescent="0.25">
      <c r="A11" s="188" t="s">
        <v>798</v>
      </c>
      <c r="B11" s="204">
        <f>'Итог-Модел CGE'!I16/1000</f>
        <v>30.470200000000002</v>
      </c>
      <c r="C11" s="180">
        <f>'Итог-Модел CGE'!J16</f>
        <v>113.2</v>
      </c>
      <c r="D11" s="180">
        <f>'Итог-Модел CGE'!K16/1000</f>
        <v>35.439755165198463</v>
      </c>
      <c r="E11" s="180">
        <f>'Итог-Модел CGE'!L16</f>
        <v>114.9303940053814</v>
      </c>
      <c r="F11" s="204">
        <f>'Итог-Модел CGE'!M16/1000</f>
        <v>41.254484715362231</v>
      </c>
      <c r="G11" s="180">
        <f>'Итог-Модел CGE'!N16</f>
        <v>113.901530110427</v>
      </c>
      <c r="H11" s="204">
        <f>'Итог-Модел CGE'!O16/1000</f>
        <v>47.612182093920495</v>
      </c>
      <c r="I11" s="180">
        <f>'Итог-Модел CGE'!P16</f>
        <v>113.70534406322643</v>
      </c>
      <c r="J11" s="204">
        <f>'Итог-Модел CGE'!Q16/1000</f>
        <v>51.548635208337778</v>
      </c>
      <c r="K11" s="189">
        <f>'Итог-Модел CGE'!R16</f>
        <v>108.1595839667325</v>
      </c>
    </row>
    <row r="12" spans="1:11" ht="18" x14ac:dyDescent="0.25">
      <c r="A12" s="188" t="s">
        <v>799</v>
      </c>
      <c r="B12" s="204">
        <f>'Итог-Модел CGE'!I17/1000</f>
        <v>22.148499999999999</v>
      </c>
      <c r="C12" s="180">
        <f>'Итог-Модел CGE'!J17</f>
        <v>110.9</v>
      </c>
      <c r="D12" s="180">
        <f>'Итог-Модел CGE'!K17/1000</f>
        <v>25.86843442715216</v>
      </c>
      <c r="E12" s="180">
        <f>'Итог-Модел CGE'!L17</f>
        <v>111.2337368956606</v>
      </c>
      <c r="F12" s="204">
        <f>'Итог-Модел CGE'!M17/1000</f>
        <v>29.67948540673542</v>
      </c>
      <c r="G12" s="180">
        <f>'Итог-Модел CGE'!N17</f>
        <v>111.39071618971383</v>
      </c>
      <c r="H12" s="204">
        <f>'Итог-Модел CGE'!O17/1000</f>
        <v>33.52970569994401</v>
      </c>
      <c r="I12" s="180">
        <f>'Итог-Модел CGE'!P17</f>
        <v>111.85412402147747</v>
      </c>
      <c r="J12" s="204">
        <f>'Итог-Модел CGE'!Q17/1000</f>
        <v>37.085349070746602</v>
      </c>
      <c r="K12" s="189">
        <f>'Итог-Модел CGE'!R17</f>
        <v>110.49396347680587</v>
      </c>
    </row>
    <row r="13" spans="1:11" ht="36" x14ac:dyDescent="0.25">
      <c r="A13" s="192" t="s">
        <v>800</v>
      </c>
      <c r="B13" s="175">
        <f>'Итог-Модел CGE'!I18</f>
        <v>10793.1</v>
      </c>
      <c r="C13" s="193">
        <f>'Итог-Модел CGE'!J18</f>
        <v>120.52461725720538</v>
      </c>
      <c r="D13" s="194">
        <f>'Итог-Модел CGE'!K18</f>
        <v>11021.795039843477</v>
      </c>
      <c r="E13" s="193">
        <f>+D13/B13*100</f>
        <v>102.11890040714415</v>
      </c>
      <c r="F13" s="203">
        <f>'Итог-Модел CGE'!M18</f>
        <v>11200.599971220476</v>
      </c>
      <c r="G13" s="193">
        <f>+F13/D13*100</f>
        <v>101.62228503370481</v>
      </c>
      <c r="H13" s="203">
        <f>'Итог-Модел CGE'!O18</f>
        <v>11336.583686236969</v>
      </c>
      <c r="I13" s="193">
        <f>+H13/F13*100</f>
        <v>101.21407527602003</v>
      </c>
      <c r="J13" s="203">
        <f>'Итог-Модел CGE'!Q18</f>
        <v>11664.551983752193</v>
      </c>
      <c r="K13" s="193">
        <f>+J13/H13*100</f>
        <v>102.89300821651757</v>
      </c>
    </row>
    <row r="14" spans="1:11" ht="18" x14ac:dyDescent="0.25">
      <c r="A14" s="195" t="s">
        <v>784</v>
      </c>
      <c r="B14" s="175">
        <f>'Итог-Модел CGE'!I19</f>
        <v>2487.9</v>
      </c>
      <c r="C14" s="196">
        <f>'Итог-Модел CGE'!J19</f>
        <v>127.74839537869063</v>
      </c>
      <c r="D14" s="194">
        <f>'Итог-Модел CGE'!K19</f>
        <v>2672.7851308695854</v>
      </c>
      <c r="E14" s="196">
        <f>+D14/B14*100</f>
        <v>107.431373080493</v>
      </c>
      <c r="F14" s="203">
        <f>'Итог-Модел CGE'!M19</f>
        <v>2840.4586402822806</v>
      </c>
      <c r="G14" s="264">
        <f>+F14/D14*100</f>
        <v>106.27336284821905</v>
      </c>
      <c r="H14" s="203">
        <f>'Итог-Модел CGE'!O19</f>
        <v>2973.4668221584402</v>
      </c>
      <c r="I14" s="196">
        <f>+H14/F14*100</f>
        <v>104.68263047346964</v>
      </c>
      <c r="J14" s="203">
        <f>'Итог-Модел CGE'!Q19</f>
        <v>3140.639557806061</v>
      </c>
      <c r="K14" s="196">
        <f>+J14/H14*100</f>
        <v>105.6221490148079</v>
      </c>
    </row>
    <row r="15" spans="1:11" ht="18" x14ac:dyDescent="0.25">
      <c r="A15" s="188" t="s">
        <v>785</v>
      </c>
      <c r="B15" s="175">
        <f>'Итог-Модел CGE'!I20</f>
        <v>8305.2000000000007</v>
      </c>
      <c r="C15" s="180">
        <f>'Итог-Модел CGE'!J20</f>
        <v>118.5170386437582</v>
      </c>
      <c r="D15" s="194">
        <f>'Итог-Модел CGE'!K20</f>
        <v>8349.0099089738906</v>
      </c>
      <c r="E15" s="180">
        <f>+D15/B15*100</f>
        <v>100.52749974683198</v>
      </c>
      <c r="F15" s="203">
        <f>'Итог-Модел CGE'!M20</f>
        <v>8360.1413309381951</v>
      </c>
      <c r="G15" s="180">
        <f>+F15/D15*100</f>
        <v>100.13332625168331</v>
      </c>
      <c r="H15" s="203">
        <f>'Итог-Модел CGE'!O20</f>
        <v>8363.116864078529</v>
      </c>
      <c r="I15" s="180">
        <f>+H15/F15*100</f>
        <v>100.03559189997569</v>
      </c>
      <c r="J15" s="203">
        <f>'Итог-Модел CGE'!Q20</f>
        <v>8523.9124259461314</v>
      </c>
      <c r="K15" s="180">
        <f>+J15/H15*100</f>
        <v>101.92267505621327</v>
      </c>
    </row>
    <row r="16" spans="1:11" ht="36" x14ac:dyDescent="0.25">
      <c r="A16" s="197" t="s">
        <v>768</v>
      </c>
      <c r="B16" s="175" t="s">
        <v>801</v>
      </c>
      <c r="C16" s="198">
        <f>'Итог-Модел CGE'!J6</f>
        <v>106.4</v>
      </c>
      <c r="D16" s="180" t="s">
        <v>801</v>
      </c>
      <c r="E16" s="198">
        <f>'Итог-Модел CGE'!L6</f>
        <v>104.12160776545542</v>
      </c>
      <c r="F16" s="175" t="s">
        <v>801</v>
      </c>
      <c r="G16" s="198">
        <f>'Итог-Модел CGE'!N6</f>
        <v>104.07121513480601</v>
      </c>
      <c r="H16" s="175" t="s">
        <v>801</v>
      </c>
      <c r="I16" s="198">
        <f>'Итог-Модел CGE'!P6</f>
        <v>103.96429553886924</v>
      </c>
      <c r="J16" s="175" t="s">
        <v>801</v>
      </c>
      <c r="K16" s="199">
        <f>'Итог-Модел CGE'!R6</f>
        <v>105.06575320666383</v>
      </c>
    </row>
    <row r="17" spans="1:11" ht="18" x14ac:dyDescent="0.25">
      <c r="A17" s="188" t="s">
        <v>802</v>
      </c>
      <c r="B17" s="175" t="s">
        <v>801</v>
      </c>
      <c r="C17" s="180">
        <f>'Итог-Модел CGE'!J7-100</f>
        <v>3.5</v>
      </c>
      <c r="D17" s="180" t="s">
        <v>801</v>
      </c>
      <c r="E17" s="180" t="s">
        <v>900</v>
      </c>
      <c r="F17" s="175" t="s">
        <v>801</v>
      </c>
      <c r="G17" s="180" t="s">
        <v>901</v>
      </c>
      <c r="H17" s="175" t="s">
        <v>801</v>
      </c>
      <c r="I17" s="180" t="s">
        <v>902</v>
      </c>
      <c r="J17" s="175" t="s">
        <v>801</v>
      </c>
      <c r="K17" s="189" t="s">
        <v>903</v>
      </c>
    </row>
    <row r="18" spans="1:11" ht="54.75" thickBot="1" x14ac:dyDescent="0.3">
      <c r="A18" s="200" t="s">
        <v>803</v>
      </c>
      <c r="B18" s="201">
        <f>'Итог-Модел CGE'!I30</f>
        <v>10.040900000000001</v>
      </c>
      <c r="C18" s="160">
        <f>+B18/10.7986*100</f>
        <v>92.983349693478786</v>
      </c>
      <c r="D18" s="201">
        <f>'Итог-Модел CGE'!K30</f>
        <v>9.1766780000000008</v>
      </c>
      <c r="E18" s="160">
        <f>+D18/B18*100</f>
        <v>91.392982700753919</v>
      </c>
      <c r="F18" s="201">
        <f>'Итог-Модел CGE'!M30</f>
        <v>9.4140239999999995</v>
      </c>
      <c r="G18" s="160">
        <f>+F18/D18*100</f>
        <v>102.58640436114244</v>
      </c>
      <c r="H18" s="201">
        <f>'Итог-Модел CGE'!O30</f>
        <v>9.6920520000000003</v>
      </c>
      <c r="I18" s="160">
        <f>+H18/F18*100</f>
        <v>102.95333855108082</v>
      </c>
      <c r="J18" s="201">
        <f>'Итог-Модел CGE'!Q30</f>
        <v>9.8826689999999999</v>
      </c>
      <c r="K18" s="160">
        <f>+J18/H18*100</f>
        <v>101.96673521768145</v>
      </c>
    </row>
    <row r="19" spans="1:11" ht="90" x14ac:dyDescent="0.25">
      <c r="A19" s="246" t="s">
        <v>817</v>
      </c>
      <c r="B19" s="247">
        <v>10.040900000000001</v>
      </c>
      <c r="C19" s="248">
        <f>+B19/10.7986*100</f>
        <v>92.983349693478786</v>
      </c>
      <c r="D19" s="247"/>
      <c r="E19" s="248">
        <f>+D19/B19*100</f>
        <v>0</v>
      </c>
      <c r="F19" s="247"/>
      <c r="G19" s="248" t="e">
        <f>+F19/D19*100</f>
        <v>#DIV/0!</v>
      </c>
      <c r="H19" s="247"/>
      <c r="I19" s="248" t="e">
        <f>+H19/F19*100</f>
        <v>#DIV/0!</v>
      </c>
      <c r="J19" s="247"/>
      <c r="K19" s="248" t="e">
        <f>+J19/H19*100</f>
        <v>#DIV/0!</v>
      </c>
    </row>
    <row r="20" spans="1:11" ht="18" x14ac:dyDescent="0.25">
      <c r="A20" s="461" t="s">
        <v>804</v>
      </c>
      <c r="B20" s="461"/>
      <c r="C20" s="461"/>
      <c r="D20" s="461"/>
      <c r="E20" s="461"/>
      <c r="F20" s="461"/>
    </row>
    <row r="21" spans="1:11" ht="18" x14ac:dyDescent="0.25">
      <c r="A21" s="461"/>
      <c r="B21" s="461"/>
      <c r="C21" s="461"/>
      <c r="D21" s="461"/>
      <c r="E21" s="461"/>
      <c r="F21" s="461"/>
      <c r="G21" s="461"/>
      <c r="H21" s="461"/>
      <c r="I21" s="461"/>
      <c r="J21" s="461"/>
      <c r="K21" s="461"/>
    </row>
    <row r="22" spans="1:11" x14ac:dyDescent="0.25">
      <c r="A22" s="245" t="s">
        <v>725</v>
      </c>
      <c r="E22" s="174">
        <f>'6_Closures'!F20</f>
        <v>104.0021921</v>
      </c>
      <c r="F22" s="174">
        <f>'6_Closures'!G20</f>
        <v>103.839181</v>
      </c>
      <c r="G22" s="174">
        <f>'6_Closures'!H20</f>
        <v>103.94068900000001</v>
      </c>
      <c r="H22" s="174">
        <f>'6_Closures'!I20</f>
        <v>104.053101</v>
      </c>
    </row>
    <row r="23" spans="1:11" x14ac:dyDescent="0.25">
      <c r="E23" s="174">
        <f>'1_Prices'!F90</f>
        <v>9.4140239999999995</v>
      </c>
      <c r="F23" s="174">
        <f>'1_Prices'!G90</f>
        <v>9.6920520000000003</v>
      </c>
      <c r="G23" s="174">
        <f>'1_Prices'!H90</f>
        <v>9.8826689999999999</v>
      </c>
      <c r="H23" s="174">
        <f>'1_Prices'!I90</f>
        <v>10.01421</v>
      </c>
    </row>
    <row r="24" spans="1:11" x14ac:dyDescent="0.25">
      <c r="A24" s="174" t="s">
        <v>846</v>
      </c>
      <c r="B24" s="174">
        <f>B5/B18</f>
        <v>17.619834875359778</v>
      </c>
      <c r="D24" s="174">
        <f t="shared" ref="D24:J24" si="0">D5/D18</f>
        <v>21.783279609721383</v>
      </c>
      <c r="F24" s="174">
        <f t="shared" si="0"/>
        <v>23.949074913103114</v>
      </c>
      <c r="H24" s="174">
        <f t="shared" si="0"/>
        <v>26.270185007830914</v>
      </c>
      <c r="J24" s="174">
        <f t="shared" si="0"/>
        <v>29.441149774458879</v>
      </c>
    </row>
    <row r="25" spans="1:11" x14ac:dyDescent="0.25">
      <c r="B25" s="174">
        <f>B14/B24</f>
        <v>141.19882607294863</v>
      </c>
    </row>
    <row r="28" spans="1:11" x14ac:dyDescent="0.25">
      <c r="B28" s="174">
        <v>10793.1</v>
      </c>
      <c r="C28" s="174">
        <v>120.52461725720538</v>
      </c>
      <c r="D28" s="174">
        <v>10621.795039843475</v>
      </c>
      <c r="E28" s="174">
        <v>98.412828935555822</v>
      </c>
      <c r="F28" s="174">
        <v>11030.599971220476</v>
      </c>
      <c r="G28" s="174">
        <v>103.84873677041904</v>
      </c>
      <c r="H28" s="174">
        <v>11336.583686236969</v>
      </c>
      <c r="I28" s="174">
        <v>102.77395350946298</v>
      </c>
      <c r="J28" s="174">
        <v>11664.551983752193</v>
      </c>
      <c r="K28" s="174">
        <v>102.89300821651757</v>
      </c>
    </row>
    <row r="29" spans="1:11" x14ac:dyDescent="0.25">
      <c r="B29" s="174">
        <v>2487.9</v>
      </c>
      <c r="C29" s="174">
        <v>127.74839537869063</v>
      </c>
      <c r="D29" s="174">
        <v>2672.7851308695854</v>
      </c>
      <c r="E29" s="174">
        <v>107.431373080493</v>
      </c>
      <c r="F29" s="174">
        <v>2840.4586402822806</v>
      </c>
      <c r="G29" s="174">
        <v>106.27336284821905</v>
      </c>
      <c r="H29" s="174">
        <v>2973.4668221584402</v>
      </c>
      <c r="I29" s="174">
        <v>104.68263047346964</v>
      </c>
      <c r="J29" s="174">
        <v>3140.639557806061</v>
      </c>
      <c r="K29" s="174">
        <v>105.6221490148079</v>
      </c>
    </row>
    <row r="30" spans="1:11" x14ac:dyDescent="0.25">
      <c r="B30" s="174">
        <v>8305.2000000000007</v>
      </c>
      <c r="C30" s="174">
        <v>118.5170386437582</v>
      </c>
      <c r="D30" s="174">
        <v>7949.0099089738897</v>
      </c>
      <c r="E30" s="174">
        <v>95.711240054109339</v>
      </c>
      <c r="F30" s="174">
        <v>8190.1413309381951</v>
      </c>
      <c r="G30" s="174">
        <v>103.03347743587645</v>
      </c>
      <c r="H30" s="174">
        <v>8363.116864078529</v>
      </c>
      <c r="I30" s="174">
        <v>102.1119969259495</v>
      </c>
      <c r="J30" s="174">
        <v>8523.9124259461314</v>
      </c>
      <c r="K30" s="174">
        <v>101.92267505621327</v>
      </c>
    </row>
  </sheetData>
  <mergeCells count="10">
    <mergeCell ref="A20:F20"/>
    <mergeCell ref="A21:F21"/>
    <mergeCell ref="G21:K21"/>
    <mergeCell ref="A1:K1"/>
    <mergeCell ref="A2:A4"/>
    <mergeCell ref="B2:C3"/>
    <mergeCell ref="D2:E3"/>
    <mergeCell ref="F2:G3"/>
    <mergeCell ref="H2:I3"/>
    <mergeCell ref="J2:K3"/>
  </mergeCells>
  <pageMargins left="1.299212598425197" right="0.70866141732283472" top="0" bottom="0" header="0.31496062992125984" footer="0.31496062992125984"/>
  <pageSetup paperSize="9" scale="8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6C2D-A888-47B3-BC44-63A22863F7A2}">
  <dimension ref="A2:P131"/>
  <sheetViews>
    <sheetView zoomScale="90" zoomScaleNormal="90" workbookViewId="0">
      <selection activeCell="E8" sqref="E8"/>
    </sheetView>
  </sheetViews>
  <sheetFormatPr defaultRowHeight="15" x14ac:dyDescent="0.25"/>
  <cols>
    <col min="2" max="2" width="35.42578125" customWidth="1"/>
    <col min="3" max="3" width="9.42578125" bestFit="1" customWidth="1"/>
    <col min="4" max="6" width="10.5703125" bestFit="1" customWidth="1"/>
    <col min="7" max="9" width="10.42578125" bestFit="1" customWidth="1"/>
    <col min="10" max="10" width="10.5703125" bestFit="1" customWidth="1"/>
    <col min="11" max="11" width="10.42578125" bestFit="1" customWidth="1"/>
  </cols>
  <sheetData>
    <row r="2" spans="1:11" ht="18.75" x14ac:dyDescent="0.3">
      <c r="B2" s="3" t="s">
        <v>0</v>
      </c>
      <c r="E2" s="31">
        <v>0.92300000000000004</v>
      </c>
      <c r="F2" s="31">
        <v>0.93400000000000005</v>
      </c>
      <c r="G2" s="31">
        <v>0.90110000000000001</v>
      </c>
      <c r="H2" s="31">
        <v>0.90000999999999998</v>
      </c>
      <c r="I2" s="31">
        <v>0.88</v>
      </c>
      <c r="J2" s="31">
        <v>0.93010000000000004</v>
      </c>
      <c r="K2" s="31">
        <v>0.85</v>
      </c>
    </row>
    <row r="3" spans="1:11" x14ac:dyDescent="0.25">
      <c r="A3" s="43">
        <v>1</v>
      </c>
      <c r="B3" s="25" t="s">
        <v>646</v>
      </c>
      <c r="E3" s="31">
        <v>1.032</v>
      </c>
      <c r="F3" s="31">
        <v>1.012</v>
      </c>
      <c r="G3" s="31">
        <v>1.0129999999999999</v>
      </c>
      <c r="H3" s="31">
        <v>1.0109999999999999</v>
      </c>
      <c r="I3" s="31">
        <v>1.008</v>
      </c>
      <c r="J3" s="31">
        <v>1.0049999999999999</v>
      </c>
      <c r="K3" s="31">
        <v>1.002</v>
      </c>
    </row>
    <row r="4" spans="1:11" x14ac:dyDescent="0.25">
      <c r="A4" s="2" t="s">
        <v>22</v>
      </c>
      <c r="B4" s="18" t="s">
        <v>1</v>
      </c>
      <c r="C4" s="6">
        <v>2024</v>
      </c>
      <c r="D4" s="6">
        <f t="shared" ref="D4:K4" si="0">C4+1</f>
        <v>2025</v>
      </c>
      <c r="E4" s="6">
        <f t="shared" si="0"/>
        <v>2026</v>
      </c>
      <c r="F4" s="6">
        <f t="shared" si="0"/>
        <v>2027</v>
      </c>
      <c r="G4" s="6">
        <f t="shared" si="0"/>
        <v>2028</v>
      </c>
      <c r="H4" s="6">
        <f t="shared" si="0"/>
        <v>2029</v>
      </c>
      <c r="I4" s="19">
        <f t="shared" si="0"/>
        <v>2030</v>
      </c>
      <c r="J4" s="27">
        <f t="shared" si="0"/>
        <v>2031</v>
      </c>
      <c r="K4" s="27">
        <f t="shared" si="0"/>
        <v>2032</v>
      </c>
    </row>
    <row r="5" spans="1:11" x14ac:dyDescent="0.25">
      <c r="A5">
        <v>1</v>
      </c>
      <c r="B5" s="12" t="s">
        <v>544</v>
      </c>
      <c r="C5" s="312">
        <v>1.0008790000000001</v>
      </c>
      <c r="D5" s="312">
        <v>1.0403960000000001</v>
      </c>
      <c r="E5" s="312">
        <v>1.0361739999999999</v>
      </c>
      <c r="F5" s="312">
        <v>1.047091</v>
      </c>
      <c r="G5" s="312">
        <v>1.039209</v>
      </c>
      <c r="H5" s="312">
        <v>1.060155</v>
      </c>
      <c r="I5" s="312">
        <v>1.0545329999999999</v>
      </c>
      <c r="J5" s="312">
        <v>1.0750630000000001</v>
      </c>
      <c r="K5" s="312">
        <v>1.0954200000000001</v>
      </c>
    </row>
    <row r="6" spans="1:11" x14ac:dyDescent="0.25">
      <c r="A6">
        <f>A5+1</f>
        <v>2</v>
      </c>
      <c r="B6" s="12" t="s">
        <v>545</v>
      </c>
      <c r="C6" s="312">
        <v>1.009833</v>
      </c>
      <c r="D6" s="312">
        <v>1.031612</v>
      </c>
      <c r="E6" s="312">
        <v>1.0416019999999999</v>
      </c>
      <c r="F6" s="436">
        <v>0.90500000000000003</v>
      </c>
      <c r="G6" s="436">
        <v>0.93500000000000005</v>
      </c>
      <c r="H6" s="436">
        <v>0.93500000000000005</v>
      </c>
      <c r="I6" s="436">
        <v>0.93500000000000005</v>
      </c>
      <c r="J6" s="436">
        <v>0.90500000000000003</v>
      </c>
      <c r="K6" s="436">
        <v>0.90100000000000002</v>
      </c>
    </row>
    <row r="7" spans="1:11" x14ac:dyDescent="0.25">
      <c r="A7">
        <f t="shared" ref="A7:A14" si="1">A6+1</f>
        <v>3</v>
      </c>
      <c r="B7" s="12" t="s">
        <v>546</v>
      </c>
      <c r="C7" s="312">
        <v>1.003147</v>
      </c>
      <c r="D7" s="312">
        <v>1.0338369999999999</v>
      </c>
      <c r="E7" s="312">
        <v>1.0423260000000001</v>
      </c>
      <c r="F7" s="312">
        <v>1.0558479999999999</v>
      </c>
      <c r="G7" s="436">
        <v>1.0089999999999999</v>
      </c>
      <c r="H7" s="436">
        <v>1.0089999999999999</v>
      </c>
      <c r="I7" s="436">
        <v>1.0089999999999999</v>
      </c>
      <c r="J7" s="436">
        <v>0.91</v>
      </c>
      <c r="K7" s="436">
        <v>0.90700000000000003</v>
      </c>
    </row>
    <row r="8" spans="1:11" x14ac:dyDescent="0.25">
      <c r="A8">
        <f t="shared" si="1"/>
        <v>4</v>
      </c>
      <c r="B8" s="12" t="s">
        <v>547</v>
      </c>
      <c r="C8" s="312">
        <v>1.004254</v>
      </c>
      <c r="D8" s="312">
        <v>1.020014</v>
      </c>
      <c r="E8" s="312">
        <v>1.0351239999999999</v>
      </c>
      <c r="F8" s="312">
        <v>1.053312</v>
      </c>
      <c r="G8" s="312">
        <v>1.0522260000000001</v>
      </c>
      <c r="H8" s="312">
        <v>1.085796</v>
      </c>
      <c r="I8" s="312">
        <v>1.02</v>
      </c>
      <c r="J8" s="312">
        <v>1.076408</v>
      </c>
      <c r="K8" s="436">
        <v>1</v>
      </c>
    </row>
    <row r="9" spans="1:11" x14ac:dyDescent="0.25">
      <c r="A9">
        <f t="shared" si="1"/>
        <v>5</v>
      </c>
      <c r="B9" s="12" t="s">
        <v>548</v>
      </c>
      <c r="C9" s="312">
        <v>1</v>
      </c>
      <c r="D9" s="312">
        <v>1.06</v>
      </c>
      <c r="E9" s="312">
        <v>1.06</v>
      </c>
      <c r="F9" s="312">
        <v>1.07</v>
      </c>
      <c r="G9" s="312">
        <v>1.0449999999999999</v>
      </c>
      <c r="H9" s="312">
        <v>1.0209999999999999</v>
      </c>
      <c r="I9" s="312">
        <v>1.0349999999999999</v>
      </c>
      <c r="J9" s="312">
        <v>1.0449999999999999</v>
      </c>
      <c r="K9" s="312">
        <v>1.0549999999999999</v>
      </c>
    </row>
    <row r="10" spans="1:11" x14ac:dyDescent="0.25">
      <c r="A10">
        <f t="shared" si="1"/>
        <v>6</v>
      </c>
      <c r="B10" s="12" t="s">
        <v>549</v>
      </c>
      <c r="C10" s="312">
        <v>1.004766</v>
      </c>
      <c r="D10" s="312">
        <v>1.0257350000000001</v>
      </c>
      <c r="E10" s="312">
        <v>1.049202</v>
      </c>
      <c r="F10" s="312">
        <v>1.088025</v>
      </c>
      <c r="G10" s="312">
        <v>1.094247</v>
      </c>
      <c r="H10" s="312">
        <v>1.146252</v>
      </c>
      <c r="I10" s="312">
        <v>1.088428</v>
      </c>
      <c r="J10" s="312">
        <v>1.1056999999999999</v>
      </c>
      <c r="K10" s="312">
        <v>1.1223399999999999</v>
      </c>
    </row>
    <row r="11" spans="1:11" x14ac:dyDescent="0.25">
      <c r="A11">
        <f t="shared" si="1"/>
        <v>7</v>
      </c>
      <c r="B11" s="12" t="s">
        <v>550</v>
      </c>
      <c r="C11" s="312">
        <v>1.0000929999999999</v>
      </c>
      <c r="D11" s="312">
        <v>1.010111</v>
      </c>
      <c r="E11" s="312">
        <v>1.020294</v>
      </c>
      <c r="F11" s="312">
        <v>1.0452410000000001</v>
      </c>
      <c r="G11" s="312">
        <v>1.0549770000000001</v>
      </c>
      <c r="H11" s="312">
        <v>1.0494950000000001</v>
      </c>
      <c r="I11" s="312">
        <v>1.0594680000000001</v>
      </c>
      <c r="J11" s="312">
        <v>1.069699</v>
      </c>
      <c r="K11" s="312">
        <v>1.0805880000000001</v>
      </c>
    </row>
    <row r="12" spans="1:11" x14ac:dyDescent="0.25">
      <c r="A12">
        <f t="shared" si="1"/>
        <v>8</v>
      </c>
      <c r="B12" s="12" t="s">
        <v>551</v>
      </c>
      <c r="C12" s="312">
        <v>1.000483</v>
      </c>
      <c r="D12" s="312">
        <v>1.0711900000000001</v>
      </c>
      <c r="E12" s="312">
        <v>1.067118</v>
      </c>
      <c r="F12" s="312">
        <v>1.091531</v>
      </c>
      <c r="G12" s="312">
        <v>1.1095120000000001</v>
      </c>
      <c r="H12" s="312">
        <v>1.1315710000000001</v>
      </c>
      <c r="I12" s="312">
        <v>1.151267</v>
      </c>
      <c r="J12" s="312">
        <v>1.199551</v>
      </c>
      <c r="K12" s="312">
        <v>1.20014</v>
      </c>
    </row>
    <row r="13" spans="1:11" x14ac:dyDescent="0.25">
      <c r="A13">
        <f t="shared" si="1"/>
        <v>9</v>
      </c>
      <c r="B13" s="12" t="s">
        <v>552</v>
      </c>
      <c r="C13" s="312">
        <v>1.000129</v>
      </c>
      <c r="D13" s="312">
        <v>1.0102530000000001</v>
      </c>
      <c r="E13" s="312">
        <v>1.0401990000000001</v>
      </c>
      <c r="F13" s="312">
        <v>1.030356</v>
      </c>
      <c r="G13" s="312">
        <v>1.0400309999999999</v>
      </c>
      <c r="H13" s="312">
        <v>1.0506800000000001</v>
      </c>
      <c r="I13" s="312">
        <v>1.060781</v>
      </c>
      <c r="J13" s="312">
        <v>1.07104</v>
      </c>
      <c r="K13" s="312">
        <v>1.0910569999999999</v>
      </c>
    </row>
    <row r="14" spans="1:11" x14ac:dyDescent="0.25">
      <c r="A14">
        <f t="shared" si="1"/>
        <v>10</v>
      </c>
      <c r="B14" s="20" t="s">
        <v>553</v>
      </c>
      <c r="C14" s="313">
        <v>1.000181</v>
      </c>
      <c r="D14" s="313">
        <v>1.0102850000000001</v>
      </c>
      <c r="E14" s="313">
        <v>1.0021340000000001</v>
      </c>
      <c r="F14" s="313">
        <v>1.030502</v>
      </c>
      <c r="G14" s="313">
        <v>1.030043</v>
      </c>
      <c r="H14" s="313">
        <v>1.0409470000000001</v>
      </c>
      <c r="I14" s="313">
        <v>1.036071</v>
      </c>
      <c r="J14" s="313">
        <v>1.046373</v>
      </c>
      <c r="K14" s="313">
        <v>1.061275</v>
      </c>
    </row>
    <row r="15" spans="1:11" x14ac:dyDescent="0.25">
      <c r="B15" s="25" t="s">
        <v>647</v>
      </c>
      <c r="C15" s="1"/>
      <c r="D15" s="1"/>
      <c r="E15" s="1"/>
      <c r="F15" s="1"/>
      <c r="G15" s="1"/>
      <c r="H15" s="1"/>
      <c r="K15" s="1"/>
    </row>
    <row r="16" spans="1:11" x14ac:dyDescent="0.25">
      <c r="B16" s="18" t="s">
        <v>9</v>
      </c>
      <c r="C16" s="6">
        <v>2024</v>
      </c>
      <c r="D16" s="6">
        <f t="shared" ref="D16:H16" si="2">C16+1</f>
        <v>2025</v>
      </c>
      <c r="E16" s="6">
        <f t="shared" si="2"/>
        <v>2026</v>
      </c>
      <c r="F16" s="6">
        <f t="shared" si="2"/>
        <v>2027</v>
      </c>
      <c r="G16" s="6">
        <f t="shared" si="2"/>
        <v>2028</v>
      </c>
      <c r="H16" s="6">
        <f t="shared" si="2"/>
        <v>2029</v>
      </c>
      <c r="I16" s="19">
        <f>H16+1</f>
        <v>2030</v>
      </c>
      <c r="J16" s="27">
        <f>I16+1</f>
        <v>2031</v>
      </c>
      <c r="K16" s="27">
        <f>J16+1</f>
        <v>2032</v>
      </c>
    </row>
    <row r="17" spans="1:16" x14ac:dyDescent="0.25">
      <c r="A17">
        <v>11</v>
      </c>
      <c r="B17" s="12" t="s">
        <v>554</v>
      </c>
      <c r="C17" s="312">
        <v>0.99581410000000004</v>
      </c>
      <c r="D17" s="312">
        <v>1.0707850000000001</v>
      </c>
      <c r="E17" s="312">
        <v>1.0604800000000001</v>
      </c>
      <c r="F17" s="312">
        <v>1.080147</v>
      </c>
      <c r="G17" s="312">
        <v>1.013892</v>
      </c>
      <c r="H17" s="312">
        <v>0.9705722</v>
      </c>
      <c r="I17" s="312">
        <v>0.93944700000000003</v>
      </c>
      <c r="J17" s="312">
        <v>0.89891730000000003</v>
      </c>
      <c r="K17" s="312">
        <v>0.93593340000000003</v>
      </c>
    </row>
    <row r="18" spans="1:16" x14ac:dyDescent="0.25">
      <c r="A18">
        <f>A17+1</f>
        <v>12</v>
      </c>
      <c r="B18" s="12" t="s">
        <v>555</v>
      </c>
      <c r="C18" s="312">
        <v>1.0209859999999999</v>
      </c>
      <c r="D18" s="312">
        <v>1.224783</v>
      </c>
      <c r="E18" s="312">
        <v>1.2516849999999999</v>
      </c>
      <c r="F18" s="312">
        <v>1.2857369999999999</v>
      </c>
      <c r="G18" s="312">
        <v>0.92450049999999995</v>
      </c>
      <c r="H18" s="312">
        <v>0.91857699999999998</v>
      </c>
      <c r="I18" s="312">
        <v>0.89393549999999999</v>
      </c>
      <c r="J18" s="312">
        <v>0.88953369999999998</v>
      </c>
      <c r="K18" s="312">
        <v>0.89389989999999997</v>
      </c>
    </row>
    <row r="19" spans="1:16" x14ac:dyDescent="0.25">
      <c r="A19">
        <f t="shared" ref="A19:A26" si="3">A18+1</f>
        <v>13</v>
      </c>
      <c r="B19" s="12" t="s">
        <v>556</v>
      </c>
      <c r="C19" s="312">
        <v>0.99548610000000004</v>
      </c>
      <c r="D19" s="312">
        <v>0.9831472</v>
      </c>
      <c r="E19" s="312">
        <v>1.0499540000000001</v>
      </c>
      <c r="F19" s="312">
        <v>0.98417330000000003</v>
      </c>
      <c r="G19" s="312">
        <v>1.053318</v>
      </c>
      <c r="H19" s="312">
        <v>1.050349</v>
      </c>
      <c r="I19" s="312">
        <v>1.0939030000000001</v>
      </c>
      <c r="J19" s="312">
        <v>1.074273</v>
      </c>
      <c r="K19" s="312">
        <v>1.0736680000000001</v>
      </c>
    </row>
    <row r="20" spans="1:16" x14ac:dyDescent="0.25">
      <c r="A20">
        <f t="shared" si="3"/>
        <v>14</v>
      </c>
      <c r="B20" s="12" t="s">
        <v>557</v>
      </c>
      <c r="C20" s="312">
        <v>1.0053609999999999</v>
      </c>
      <c r="D20" s="312">
        <v>1.0329299999999999</v>
      </c>
      <c r="E20" s="312">
        <v>0.85653469999999998</v>
      </c>
      <c r="F20" s="312">
        <v>0.83919730000000003</v>
      </c>
      <c r="G20" s="312">
        <v>0.63272209999999995</v>
      </c>
      <c r="H20" s="312">
        <v>0.60086870000000003</v>
      </c>
      <c r="I20" s="312">
        <v>0.58933840000000004</v>
      </c>
      <c r="J20" s="312">
        <v>0.57325610000000005</v>
      </c>
      <c r="K20" s="312">
        <v>0.60602389999999995</v>
      </c>
    </row>
    <row r="21" spans="1:16" x14ac:dyDescent="0.25">
      <c r="A21">
        <f t="shared" si="3"/>
        <v>15</v>
      </c>
      <c r="B21" s="12" t="s">
        <v>558</v>
      </c>
      <c r="C21" s="312">
        <v>0.93696889999999999</v>
      </c>
      <c r="D21" s="312">
        <v>1.068781</v>
      </c>
      <c r="E21" s="312">
        <v>1.147408</v>
      </c>
      <c r="F21" s="312">
        <v>1.190035</v>
      </c>
      <c r="G21" s="312">
        <v>1.1911130000000001</v>
      </c>
      <c r="H21" s="312">
        <v>1.180669</v>
      </c>
      <c r="I21" s="312">
        <v>1.21292</v>
      </c>
      <c r="J21" s="312">
        <v>1.254364</v>
      </c>
      <c r="K21" s="312">
        <v>1.2858130000000001</v>
      </c>
    </row>
    <row r="22" spans="1:16" x14ac:dyDescent="0.25">
      <c r="A22">
        <f t="shared" si="3"/>
        <v>16</v>
      </c>
      <c r="B22" s="12" t="s">
        <v>559</v>
      </c>
      <c r="C22" s="312">
        <v>1.001906</v>
      </c>
      <c r="D22" s="312">
        <v>1.074133</v>
      </c>
      <c r="E22" s="312">
        <v>1.1370990000000001</v>
      </c>
      <c r="F22" s="312">
        <v>1.4045080000000001</v>
      </c>
      <c r="G22" s="312">
        <v>1.405637</v>
      </c>
      <c r="H22" s="312">
        <v>1.418685</v>
      </c>
      <c r="I22" s="312">
        <v>1.4021250000000001</v>
      </c>
      <c r="J22" s="312">
        <v>1.531533</v>
      </c>
      <c r="K22" s="312">
        <v>1.618333</v>
      </c>
    </row>
    <row r="23" spans="1:16" x14ac:dyDescent="0.25">
      <c r="A23">
        <f t="shared" si="3"/>
        <v>17</v>
      </c>
      <c r="B23" s="12" t="s">
        <v>560</v>
      </c>
      <c r="C23" s="312">
        <v>0.99213989999999996</v>
      </c>
      <c r="D23" s="312">
        <v>0.97739860000000001</v>
      </c>
      <c r="E23" s="312">
        <v>0.92188769999999998</v>
      </c>
      <c r="F23" s="312">
        <v>0.99247370000000001</v>
      </c>
      <c r="G23" s="312">
        <v>0.89441230000000005</v>
      </c>
      <c r="H23" s="312">
        <v>0.85897140000000005</v>
      </c>
      <c r="I23" s="312">
        <v>0.8436901</v>
      </c>
      <c r="J23" s="312">
        <v>0.88238030000000001</v>
      </c>
      <c r="K23" s="312">
        <v>0.85880480000000003</v>
      </c>
    </row>
    <row r="24" spans="1:16" x14ac:dyDescent="0.25">
      <c r="A24">
        <f t="shared" si="3"/>
        <v>18</v>
      </c>
      <c r="B24" s="12" t="s">
        <v>561</v>
      </c>
      <c r="C24" s="312">
        <v>1.163395</v>
      </c>
      <c r="D24" s="312">
        <v>1.221282</v>
      </c>
      <c r="E24" s="312">
        <v>1.176507</v>
      </c>
      <c r="F24" s="312">
        <v>1.157249</v>
      </c>
      <c r="G24" s="312">
        <v>1.1616120000000001</v>
      </c>
      <c r="H24" s="312">
        <v>1.148914</v>
      </c>
      <c r="I24" s="312">
        <v>0.94969749999999997</v>
      </c>
      <c r="J24" s="312">
        <v>0.92146519999999998</v>
      </c>
      <c r="K24" s="312">
        <v>0.88629190000000002</v>
      </c>
    </row>
    <row r="25" spans="1:16" x14ac:dyDescent="0.25">
      <c r="A25">
        <f t="shared" si="3"/>
        <v>19</v>
      </c>
      <c r="B25" s="12" t="s">
        <v>562</v>
      </c>
      <c r="C25" s="312">
        <v>0.99884070000000003</v>
      </c>
      <c r="D25" s="312">
        <v>0.91344499999999995</v>
      </c>
      <c r="E25" s="312">
        <v>0.92054530000000001</v>
      </c>
      <c r="F25" s="312">
        <v>0.91867690000000002</v>
      </c>
      <c r="G25" s="312">
        <v>0.92589540000000004</v>
      </c>
      <c r="H25" s="312">
        <v>0.94606489999999999</v>
      </c>
      <c r="I25" s="312">
        <v>0.95980600000000005</v>
      </c>
      <c r="J25" s="312">
        <v>0.97880290000000003</v>
      </c>
      <c r="K25" s="312">
        <v>0.99450430000000001</v>
      </c>
    </row>
    <row r="26" spans="1:16" x14ac:dyDescent="0.25">
      <c r="A26">
        <f t="shared" si="3"/>
        <v>20</v>
      </c>
      <c r="B26" s="20" t="s">
        <v>563</v>
      </c>
      <c r="C26" s="312">
        <v>0.3277719</v>
      </c>
      <c r="D26" s="312">
        <v>0.26149860000000003</v>
      </c>
      <c r="E26" s="312">
        <v>0.216421</v>
      </c>
      <c r="F26" s="312">
        <v>0.2325555</v>
      </c>
      <c r="G26" s="312">
        <v>0.19303719999999999</v>
      </c>
      <c r="H26" s="312">
        <v>0.1889256</v>
      </c>
      <c r="I26" s="312">
        <v>0.1700383</v>
      </c>
      <c r="J26" s="312">
        <v>0.16377059999999999</v>
      </c>
      <c r="K26" s="312">
        <v>0.171378</v>
      </c>
    </row>
    <row r="27" spans="1:16" x14ac:dyDescent="0.25">
      <c r="B27" s="25" t="s">
        <v>648</v>
      </c>
      <c r="I27" s="1"/>
    </row>
    <row r="28" spans="1:16" x14ac:dyDescent="0.25">
      <c r="B28" s="18" t="s">
        <v>10</v>
      </c>
      <c r="C28" s="6">
        <v>2024</v>
      </c>
      <c r="D28" s="6">
        <f t="shared" ref="D28:K28" si="4">C28+1</f>
        <v>2025</v>
      </c>
      <c r="E28" s="6">
        <f t="shared" si="4"/>
        <v>2026</v>
      </c>
      <c r="F28" s="6">
        <f t="shared" si="4"/>
        <v>2027</v>
      </c>
      <c r="G28" s="6">
        <f t="shared" si="4"/>
        <v>2028</v>
      </c>
      <c r="H28" s="6">
        <f t="shared" si="4"/>
        <v>2029</v>
      </c>
      <c r="I28" s="19">
        <f t="shared" si="4"/>
        <v>2030</v>
      </c>
      <c r="J28" s="27">
        <f t="shared" si="4"/>
        <v>2031</v>
      </c>
      <c r="K28" s="27">
        <f t="shared" si="4"/>
        <v>2032</v>
      </c>
    </row>
    <row r="29" spans="1:16" x14ac:dyDescent="0.25">
      <c r="A29">
        <v>21</v>
      </c>
      <c r="B29" s="12" t="s">
        <v>564</v>
      </c>
      <c r="C29" s="312">
        <v>1.041787</v>
      </c>
      <c r="D29" s="312">
        <v>1.08291</v>
      </c>
      <c r="E29" s="312">
        <v>1.0840110000000001</v>
      </c>
      <c r="F29" s="312">
        <v>1.09741</v>
      </c>
      <c r="G29" s="312">
        <v>1.0885560000000001</v>
      </c>
      <c r="H29" s="312">
        <v>1.1087689999999999</v>
      </c>
      <c r="I29" s="312">
        <v>1.1041730000000001</v>
      </c>
      <c r="J29" s="312">
        <v>1.1259410000000001</v>
      </c>
      <c r="K29" s="312">
        <v>1.145297</v>
      </c>
    </row>
    <row r="30" spans="1:16" x14ac:dyDescent="0.25">
      <c r="A30">
        <f>A29+1</f>
        <v>22</v>
      </c>
      <c r="B30" s="12" t="s">
        <v>565</v>
      </c>
      <c r="C30" s="312">
        <v>1.0852930000000001</v>
      </c>
      <c r="D30" s="312">
        <v>1.1223460000000001</v>
      </c>
      <c r="E30" s="312">
        <v>1.126317</v>
      </c>
      <c r="F30" s="312">
        <v>1.141462</v>
      </c>
      <c r="G30" s="312">
        <v>1.160984</v>
      </c>
      <c r="H30" s="312">
        <v>1.1772339999999999</v>
      </c>
      <c r="I30" s="312">
        <v>1.188016</v>
      </c>
      <c r="J30" s="312">
        <v>1.2031879999999999</v>
      </c>
      <c r="K30" s="312">
        <v>1.1988000000000001</v>
      </c>
      <c r="P30" s="58"/>
    </row>
    <row r="31" spans="1:16" x14ac:dyDescent="0.25">
      <c r="A31">
        <f t="shared" ref="A31:A38" si="5">A30+1</f>
        <v>23</v>
      </c>
      <c r="B31" s="12" t="s">
        <v>566</v>
      </c>
      <c r="C31" s="312">
        <v>1.0683370000000001</v>
      </c>
      <c r="D31" s="312">
        <v>1.1085020000000001</v>
      </c>
      <c r="E31" s="312">
        <v>1.124811</v>
      </c>
      <c r="F31" s="312">
        <v>1.1424570000000001</v>
      </c>
      <c r="G31" s="312">
        <v>1.16831</v>
      </c>
      <c r="H31" s="312">
        <v>1.1605570000000001</v>
      </c>
      <c r="I31" s="312">
        <v>1.1639699999999999</v>
      </c>
      <c r="J31" s="312">
        <v>1.1853020000000001</v>
      </c>
      <c r="K31" s="312">
        <v>1.194204</v>
      </c>
    </row>
    <row r="32" spans="1:16" x14ac:dyDescent="0.25">
      <c r="A32">
        <f t="shared" si="5"/>
        <v>24</v>
      </c>
      <c r="B32" s="12" t="s">
        <v>567</v>
      </c>
      <c r="C32" s="312">
        <v>1.088096</v>
      </c>
      <c r="D32" s="312">
        <v>1.1008020000000001</v>
      </c>
      <c r="E32" s="312">
        <v>1.112357</v>
      </c>
      <c r="F32" s="312">
        <v>1.1297429999999999</v>
      </c>
      <c r="G32" s="312">
        <v>1.142269</v>
      </c>
      <c r="H32" s="312">
        <v>1.1536390000000001</v>
      </c>
      <c r="I32" s="312">
        <v>1.170466</v>
      </c>
      <c r="J32" s="312">
        <v>1.122482</v>
      </c>
      <c r="K32" s="312">
        <v>1.1515089999999999</v>
      </c>
    </row>
    <row r="33" spans="1:16" x14ac:dyDescent="0.25">
      <c r="A33">
        <f t="shared" si="5"/>
        <v>25</v>
      </c>
      <c r="B33" s="12" t="s">
        <v>568</v>
      </c>
      <c r="C33" s="312">
        <v>1.0495559999999999</v>
      </c>
      <c r="D33" s="312">
        <v>1.114042</v>
      </c>
      <c r="E33" s="312">
        <v>1.114077</v>
      </c>
      <c r="F33" s="312">
        <v>1.1333409999999999</v>
      </c>
      <c r="G33" s="312">
        <v>1.099701</v>
      </c>
      <c r="H33" s="312">
        <v>1.0773889999999999</v>
      </c>
      <c r="I33" s="312">
        <v>1.0920209999999999</v>
      </c>
      <c r="J33" s="312">
        <v>1.103971</v>
      </c>
      <c r="K33" s="312">
        <v>1.1141460000000001</v>
      </c>
    </row>
    <row r="34" spans="1:16" x14ac:dyDescent="0.25">
      <c r="A34">
        <f t="shared" si="5"/>
        <v>26</v>
      </c>
      <c r="B34" s="12" t="s">
        <v>569</v>
      </c>
      <c r="C34" s="312">
        <v>1.0492710000000001</v>
      </c>
      <c r="D34" s="312">
        <v>1.081324</v>
      </c>
      <c r="E34" s="312">
        <v>1.099591</v>
      </c>
      <c r="F34" s="312">
        <v>1.1350009999999999</v>
      </c>
      <c r="G34" s="312">
        <v>1.1570180000000001</v>
      </c>
      <c r="H34" s="312">
        <v>1.1936279999999999</v>
      </c>
      <c r="I34" s="312">
        <v>1.144873</v>
      </c>
      <c r="J34" s="312">
        <v>1.173816</v>
      </c>
      <c r="K34" s="312">
        <v>1.1891989999999999</v>
      </c>
    </row>
    <row r="35" spans="1:16" x14ac:dyDescent="0.25">
      <c r="A35">
        <f t="shared" si="5"/>
        <v>27</v>
      </c>
      <c r="B35" s="12" t="s">
        <v>570</v>
      </c>
      <c r="C35" s="312">
        <v>1.024319</v>
      </c>
      <c r="D35" s="312">
        <v>1.0346059999999999</v>
      </c>
      <c r="E35" s="312">
        <v>1.044913</v>
      </c>
      <c r="F35" s="312">
        <v>1.0704990000000001</v>
      </c>
      <c r="G35" s="312">
        <v>1.080781</v>
      </c>
      <c r="H35" s="312">
        <v>1.0746830000000001</v>
      </c>
      <c r="I35" s="312">
        <v>1.0849340000000001</v>
      </c>
      <c r="J35" s="312">
        <v>1.0952249999999999</v>
      </c>
      <c r="K35" s="312">
        <v>1.106508</v>
      </c>
    </row>
    <row r="36" spans="1:16" x14ac:dyDescent="0.25">
      <c r="A36">
        <f t="shared" si="5"/>
        <v>28</v>
      </c>
      <c r="B36" s="12" t="s">
        <v>571</v>
      </c>
      <c r="C36" s="312">
        <v>1.1229119999999999</v>
      </c>
      <c r="D36" s="312">
        <v>1.1878230000000001</v>
      </c>
      <c r="E36" s="312">
        <v>1.2184029999999999</v>
      </c>
      <c r="F36" s="312">
        <v>1.2332540000000001</v>
      </c>
      <c r="G36" s="312">
        <v>1.2625839999999999</v>
      </c>
      <c r="H36" s="312">
        <v>1.2906409999999999</v>
      </c>
      <c r="I36" s="312">
        <v>1.3078050000000001</v>
      </c>
      <c r="J36" s="312">
        <v>1.3624350000000001</v>
      </c>
      <c r="K36" s="312">
        <v>1.3643369999999999</v>
      </c>
      <c r="P36" s="58"/>
    </row>
    <row r="37" spans="1:16" x14ac:dyDescent="0.25">
      <c r="A37">
        <f t="shared" si="5"/>
        <v>29</v>
      </c>
      <c r="B37" s="12" t="s">
        <v>572</v>
      </c>
      <c r="C37" s="312">
        <v>1.0444150000000001</v>
      </c>
      <c r="D37" s="312">
        <v>1.057326</v>
      </c>
      <c r="E37" s="312">
        <v>1.0884050000000001</v>
      </c>
      <c r="F37" s="312">
        <v>1.0820749999999999</v>
      </c>
      <c r="G37" s="312">
        <v>1.097818</v>
      </c>
      <c r="H37" s="312">
        <v>1.110595</v>
      </c>
      <c r="I37" s="312">
        <v>1.1225510000000001</v>
      </c>
      <c r="J37" s="312">
        <v>1.136072</v>
      </c>
      <c r="K37" s="312">
        <v>1.155637</v>
      </c>
    </row>
    <row r="38" spans="1:16" x14ac:dyDescent="0.25">
      <c r="A38">
        <f t="shared" si="5"/>
        <v>30</v>
      </c>
      <c r="B38" s="20" t="s">
        <v>573</v>
      </c>
      <c r="C38" s="312">
        <v>1.0318909999999999</v>
      </c>
      <c r="D38" s="312">
        <v>1.0634490000000001</v>
      </c>
      <c r="E38" s="312">
        <v>1.089969</v>
      </c>
      <c r="F38" s="312">
        <v>1.1221950000000001</v>
      </c>
      <c r="G38" s="312">
        <v>1.155365</v>
      </c>
      <c r="H38" s="312">
        <v>1.170013</v>
      </c>
      <c r="I38" s="312">
        <v>1.190202</v>
      </c>
      <c r="J38" s="312">
        <v>1.2277560000000001</v>
      </c>
      <c r="K38" s="312">
        <v>1.249274</v>
      </c>
    </row>
    <row r="39" spans="1:16" x14ac:dyDescent="0.25">
      <c r="B39" s="25" t="s">
        <v>649</v>
      </c>
      <c r="I39" s="1"/>
      <c r="J39" s="58"/>
    </row>
    <row r="40" spans="1:16" x14ac:dyDescent="0.25">
      <c r="B40" s="18" t="s">
        <v>11</v>
      </c>
      <c r="C40" s="6">
        <v>2024</v>
      </c>
      <c r="D40" s="6">
        <f t="shared" ref="D40:K40" si="6">C40+1</f>
        <v>2025</v>
      </c>
      <c r="E40" s="6">
        <f t="shared" si="6"/>
        <v>2026</v>
      </c>
      <c r="F40" s="6">
        <f t="shared" si="6"/>
        <v>2027</v>
      </c>
      <c r="G40" s="6">
        <f t="shared" si="6"/>
        <v>2028</v>
      </c>
      <c r="H40" s="6">
        <f t="shared" si="6"/>
        <v>2029</v>
      </c>
      <c r="I40" s="19">
        <f t="shared" si="6"/>
        <v>2030</v>
      </c>
      <c r="J40" s="27">
        <f t="shared" si="6"/>
        <v>2031</v>
      </c>
      <c r="K40" s="27">
        <f t="shared" si="6"/>
        <v>2032</v>
      </c>
    </row>
    <row r="41" spans="1:16" x14ac:dyDescent="0.25">
      <c r="A41">
        <v>31</v>
      </c>
      <c r="B41" s="12" t="s">
        <v>574</v>
      </c>
      <c r="C41" s="312">
        <v>1.029226</v>
      </c>
      <c r="D41" s="312">
        <v>1.0533840000000001</v>
      </c>
      <c r="E41" s="312">
        <v>1.07359</v>
      </c>
      <c r="F41" s="312">
        <v>1.111289</v>
      </c>
      <c r="G41" s="312">
        <v>1.158822</v>
      </c>
      <c r="H41" s="312">
        <v>1.202739</v>
      </c>
      <c r="I41" s="312">
        <v>1.205697</v>
      </c>
      <c r="J41" s="312">
        <v>1.238696</v>
      </c>
      <c r="K41" s="312">
        <v>1.2675270000000001</v>
      </c>
    </row>
    <row r="42" spans="1:16" x14ac:dyDescent="0.25">
      <c r="A42">
        <f>A41+1</f>
        <v>32</v>
      </c>
      <c r="B42" s="12" t="s">
        <v>575</v>
      </c>
      <c r="C42" s="312">
        <v>1.029226</v>
      </c>
      <c r="D42" s="312">
        <v>1.0544290000000001</v>
      </c>
      <c r="E42" s="312">
        <v>1.07359</v>
      </c>
      <c r="F42" s="312">
        <v>1.0961099999999999</v>
      </c>
      <c r="G42" s="312">
        <v>1.1386879999999999</v>
      </c>
      <c r="H42" s="312">
        <v>1.1617360000000001</v>
      </c>
      <c r="I42" s="312">
        <v>1.1826220000000001</v>
      </c>
      <c r="J42" s="312">
        <v>1.2268429999999999</v>
      </c>
      <c r="K42" s="312">
        <v>1.2374909999999999</v>
      </c>
    </row>
    <row r="43" spans="1:16" x14ac:dyDescent="0.25">
      <c r="A43">
        <f t="shared" ref="A43:A50" si="7">A42+1</f>
        <v>33</v>
      </c>
      <c r="B43" s="12" t="s">
        <v>576</v>
      </c>
      <c r="C43" s="312">
        <v>1.029226</v>
      </c>
      <c r="D43" s="312">
        <v>1.065396</v>
      </c>
      <c r="E43" s="312">
        <v>1.1001639999999999</v>
      </c>
      <c r="F43" s="312">
        <v>1.138393</v>
      </c>
      <c r="G43" s="312">
        <v>1.180075</v>
      </c>
      <c r="H43" s="312">
        <v>1.1788209999999999</v>
      </c>
      <c r="I43" s="312">
        <v>1.194159</v>
      </c>
      <c r="J43" s="312">
        <v>1.2268429999999999</v>
      </c>
      <c r="K43" s="312">
        <v>1.2495050000000001</v>
      </c>
    </row>
    <row r="44" spans="1:16" x14ac:dyDescent="0.25">
      <c r="A44">
        <f t="shared" si="7"/>
        <v>34</v>
      </c>
      <c r="B44" s="12" t="s">
        <v>577</v>
      </c>
      <c r="C44" s="312">
        <v>1.029226</v>
      </c>
      <c r="D44" s="312">
        <v>1.075841</v>
      </c>
      <c r="E44" s="312">
        <v>1.1161080000000001</v>
      </c>
      <c r="F44" s="312">
        <v>1.149235</v>
      </c>
      <c r="G44" s="312">
        <v>1.2024459999999999</v>
      </c>
      <c r="H44" s="312">
        <v>1.2300739999999999</v>
      </c>
      <c r="I44" s="312">
        <v>1.2460789999999999</v>
      </c>
      <c r="J44" s="312">
        <v>1.3038909999999999</v>
      </c>
      <c r="K44" s="312">
        <v>1.2855479999999999</v>
      </c>
    </row>
    <row r="45" spans="1:16" x14ac:dyDescent="0.25">
      <c r="A45">
        <f t="shared" si="7"/>
        <v>35</v>
      </c>
      <c r="B45" s="12" t="s">
        <v>578</v>
      </c>
      <c r="C45" s="312">
        <v>1.029226</v>
      </c>
      <c r="D45" s="312">
        <v>1.049728</v>
      </c>
      <c r="E45" s="312">
        <v>1.0682750000000001</v>
      </c>
      <c r="F45" s="312">
        <v>1.0896049999999999</v>
      </c>
      <c r="G45" s="312">
        <v>1.124147</v>
      </c>
      <c r="H45" s="312">
        <v>1.144652</v>
      </c>
      <c r="I45" s="312">
        <v>1.159546</v>
      </c>
      <c r="J45" s="312">
        <v>1.191282</v>
      </c>
      <c r="K45" s="312">
        <v>1.213462</v>
      </c>
    </row>
    <row r="46" spans="1:16" x14ac:dyDescent="0.25">
      <c r="A46">
        <f t="shared" si="7"/>
        <v>36</v>
      </c>
      <c r="B46" s="12" t="s">
        <v>579</v>
      </c>
      <c r="C46" s="312">
        <v>1.029226</v>
      </c>
      <c r="D46" s="312">
        <v>1.054951</v>
      </c>
      <c r="E46" s="312">
        <v>1.094849</v>
      </c>
      <c r="F46" s="312">
        <v>1.1329720000000001</v>
      </c>
      <c r="G46" s="312">
        <v>1.174482</v>
      </c>
      <c r="H46" s="312">
        <v>1.2016</v>
      </c>
      <c r="I46" s="312">
        <v>1.194159</v>
      </c>
      <c r="J46" s="312">
        <v>1.238696</v>
      </c>
      <c r="K46" s="312">
        <v>1.26152</v>
      </c>
    </row>
    <row r="47" spans="1:16" x14ac:dyDescent="0.25">
      <c r="A47">
        <f t="shared" si="7"/>
        <v>37</v>
      </c>
      <c r="B47" s="12" t="s">
        <v>580</v>
      </c>
      <c r="C47" s="312">
        <v>1.029226</v>
      </c>
      <c r="D47" s="312">
        <v>1.0445059999999999</v>
      </c>
      <c r="E47" s="312">
        <v>1.1054790000000001</v>
      </c>
      <c r="F47" s="312">
        <v>1.1167100000000001</v>
      </c>
      <c r="G47" s="312">
        <v>1.1521110000000001</v>
      </c>
      <c r="H47" s="312">
        <v>1.1845159999999999</v>
      </c>
      <c r="I47" s="312">
        <v>1.1883900000000001</v>
      </c>
      <c r="J47" s="312">
        <v>1.2505500000000001</v>
      </c>
      <c r="K47" s="312">
        <v>1.2374909999999999</v>
      </c>
    </row>
    <row r="48" spans="1:16" x14ac:dyDescent="0.25">
      <c r="A48">
        <f t="shared" si="7"/>
        <v>38</v>
      </c>
      <c r="B48" s="12" t="s">
        <v>581</v>
      </c>
      <c r="C48" s="312">
        <v>1.029226</v>
      </c>
      <c r="D48" s="312">
        <v>1.1385110000000001</v>
      </c>
      <c r="E48" s="312">
        <v>1.179886</v>
      </c>
      <c r="F48" s="312">
        <v>1.1763399999999999</v>
      </c>
      <c r="G48" s="312">
        <v>1.185667</v>
      </c>
      <c r="H48" s="312">
        <v>1.2186840000000001</v>
      </c>
      <c r="I48" s="312">
        <v>1.223004</v>
      </c>
      <c r="J48" s="312">
        <v>1.2861100000000001</v>
      </c>
      <c r="K48" s="312">
        <v>1.315585</v>
      </c>
    </row>
    <row r="49" spans="1:11" x14ac:dyDescent="0.25">
      <c r="A49">
        <f t="shared" si="7"/>
        <v>39</v>
      </c>
      <c r="B49" s="12" t="s">
        <v>582</v>
      </c>
      <c r="C49" s="312">
        <v>1.029226</v>
      </c>
      <c r="D49" s="312">
        <v>1.065396</v>
      </c>
      <c r="E49" s="312">
        <v>1.084219</v>
      </c>
      <c r="F49" s="312">
        <v>1.1058680000000001</v>
      </c>
      <c r="G49" s="312">
        <v>1.1521110000000001</v>
      </c>
      <c r="H49" s="312">
        <v>1.1845159999999999</v>
      </c>
      <c r="I49" s="312">
        <v>1.2114659999999999</v>
      </c>
      <c r="J49" s="312">
        <v>1.2624029999999999</v>
      </c>
      <c r="K49" s="312">
        <v>1.2855479999999999</v>
      </c>
    </row>
    <row r="50" spans="1:11" x14ac:dyDescent="0.25">
      <c r="A50">
        <f t="shared" si="7"/>
        <v>40</v>
      </c>
      <c r="B50" s="20" t="s">
        <v>8</v>
      </c>
      <c r="C50" s="312">
        <v>1.029226</v>
      </c>
      <c r="D50" s="312">
        <v>1.054951</v>
      </c>
      <c r="E50" s="312">
        <v>1.094849</v>
      </c>
      <c r="F50" s="312">
        <v>1.1058680000000001</v>
      </c>
      <c r="G50" s="312">
        <v>1.140925</v>
      </c>
      <c r="H50" s="312">
        <v>1.1731259999999999</v>
      </c>
      <c r="I50" s="312">
        <v>1.1826220000000001</v>
      </c>
      <c r="J50" s="312">
        <v>1.2268429999999999</v>
      </c>
      <c r="K50" s="312">
        <v>1.2314830000000001</v>
      </c>
    </row>
    <row r="51" spans="1:11" x14ac:dyDescent="0.25">
      <c r="B51" s="25" t="s">
        <v>650</v>
      </c>
      <c r="I51" s="1"/>
    </row>
    <row r="52" spans="1:11" x14ac:dyDescent="0.25">
      <c r="B52" s="18" t="s">
        <v>12</v>
      </c>
      <c r="C52" s="6">
        <v>2024</v>
      </c>
      <c r="D52" s="6">
        <f t="shared" ref="D52:K52" si="8">C52+1</f>
        <v>2025</v>
      </c>
      <c r="E52" s="6">
        <f t="shared" si="8"/>
        <v>2026</v>
      </c>
      <c r="F52" s="6">
        <f t="shared" si="8"/>
        <v>2027</v>
      </c>
      <c r="G52" s="6">
        <f t="shared" si="8"/>
        <v>2028</v>
      </c>
      <c r="H52" s="6">
        <f t="shared" si="8"/>
        <v>2029</v>
      </c>
      <c r="I52" s="19">
        <f t="shared" si="8"/>
        <v>2030</v>
      </c>
      <c r="J52" s="27">
        <f t="shared" si="8"/>
        <v>2031</v>
      </c>
      <c r="K52" s="27">
        <f t="shared" si="8"/>
        <v>2032</v>
      </c>
    </row>
    <row r="53" spans="1:11" x14ac:dyDescent="0.25">
      <c r="A53">
        <v>41</v>
      </c>
      <c r="B53" s="12" t="s">
        <v>583</v>
      </c>
      <c r="C53" s="312">
        <v>1.121496</v>
      </c>
      <c r="D53" s="312">
        <v>1.1552180000000001</v>
      </c>
      <c r="E53" s="312">
        <v>1.2856620000000001</v>
      </c>
      <c r="F53" s="312">
        <v>1.3585879999999999</v>
      </c>
      <c r="G53" s="312">
        <v>1.3833740000000001</v>
      </c>
      <c r="H53" s="312">
        <v>1.3899919999999999</v>
      </c>
      <c r="I53" s="312">
        <v>1.4219079999999999</v>
      </c>
      <c r="J53" s="312">
        <v>1.465991</v>
      </c>
      <c r="K53" s="312">
        <v>1.4531639999999999</v>
      </c>
    </row>
    <row r="54" spans="1:11" x14ac:dyDescent="0.25">
      <c r="A54">
        <f>A53+1</f>
        <v>42</v>
      </c>
      <c r="B54" s="12" t="s">
        <v>584</v>
      </c>
      <c r="C54" s="312">
        <v>1.1113930000000001</v>
      </c>
      <c r="D54" s="312">
        <v>1.195567</v>
      </c>
      <c r="E54" s="312">
        <v>1.1937329999999999</v>
      </c>
      <c r="F54" s="312">
        <v>1.223422</v>
      </c>
      <c r="G54" s="312">
        <v>1.2682450000000001</v>
      </c>
      <c r="H54" s="312">
        <v>1.3036779999999999</v>
      </c>
      <c r="I54" s="312">
        <v>1.3144119999999999</v>
      </c>
      <c r="J54" s="312">
        <v>1.3759859999999999</v>
      </c>
      <c r="K54" s="312">
        <v>1.375205</v>
      </c>
    </row>
    <row r="55" spans="1:11" x14ac:dyDescent="0.25">
      <c r="A55">
        <f t="shared" ref="A55:A62" si="9">A54+1</f>
        <v>43</v>
      </c>
      <c r="B55" s="12" t="s">
        <v>585</v>
      </c>
      <c r="C55" s="312">
        <v>1.1098060000000001</v>
      </c>
      <c r="D55" s="312">
        <v>1.162323</v>
      </c>
      <c r="E55" s="312">
        <v>1.194321</v>
      </c>
      <c r="F55" s="312">
        <v>1.222844</v>
      </c>
      <c r="G55" s="312">
        <v>1.2664340000000001</v>
      </c>
      <c r="H55" s="312">
        <v>1.2833939999999999</v>
      </c>
      <c r="I55" s="312">
        <v>1.2752110000000001</v>
      </c>
      <c r="J55" s="312">
        <v>1.3165039999999999</v>
      </c>
      <c r="K55" s="312">
        <v>1.3278989999999999</v>
      </c>
    </row>
    <row r="56" spans="1:11" x14ac:dyDescent="0.25">
      <c r="A56">
        <f t="shared" si="9"/>
        <v>44</v>
      </c>
      <c r="B56" s="12" t="s">
        <v>586</v>
      </c>
      <c r="C56" s="312">
        <v>1.1732990000000001</v>
      </c>
      <c r="D56" s="312">
        <v>1.22644</v>
      </c>
      <c r="E56" s="312">
        <v>1.254167</v>
      </c>
      <c r="F56" s="312">
        <v>1.2977479999999999</v>
      </c>
      <c r="G56" s="312">
        <v>1.35164</v>
      </c>
      <c r="H56" s="312">
        <v>1.376295</v>
      </c>
      <c r="I56" s="312">
        <v>1.4073549999999999</v>
      </c>
      <c r="J56" s="312">
        <v>1.4458740000000001</v>
      </c>
      <c r="K56" s="312">
        <v>1.4655020000000001</v>
      </c>
    </row>
    <row r="57" spans="1:11" x14ac:dyDescent="0.25">
      <c r="A57">
        <f t="shared" si="9"/>
        <v>45</v>
      </c>
      <c r="B57" s="12" t="s">
        <v>587</v>
      </c>
      <c r="C57" s="312">
        <v>1.1239509999999999</v>
      </c>
      <c r="D57" s="312">
        <v>1.2432939999999999</v>
      </c>
      <c r="E57" s="312">
        <v>1.2420450000000001</v>
      </c>
      <c r="F57" s="312">
        <v>1.2194860000000001</v>
      </c>
      <c r="G57" s="312">
        <v>1.2703599999999999</v>
      </c>
      <c r="H57" s="312">
        <v>1.3432839999999999</v>
      </c>
      <c r="I57" s="312">
        <v>1.3544620000000001</v>
      </c>
      <c r="J57" s="312">
        <v>1.417422</v>
      </c>
      <c r="K57" s="312">
        <v>1.416984</v>
      </c>
    </row>
    <row r="58" spans="1:11" x14ac:dyDescent="0.25">
      <c r="A58">
        <f t="shared" si="9"/>
        <v>46</v>
      </c>
      <c r="B58" s="12" t="s">
        <v>588</v>
      </c>
      <c r="C58" s="312">
        <v>1.0946480000000001</v>
      </c>
      <c r="D58" s="312">
        <v>1.166444</v>
      </c>
      <c r="E58" s="312">
        <v>1.175748</v>
      </c>
      <c r="F58" s="312">
        <v>1.1934579999999999</v>
      </c>
      <c r="G58" s="312">
        <v>1.2193959999999999</v>
      </c>
      <c r="H58" s="312">
        <v>1.253752</v>
      </c>
      <c r="I58" s="312">
        <v>1.2860180000000001</v>
      </c>
      <c r="J58" s="312">
        <v>1.3338220000000001</v>
      </c>
      <c r="K58" s="312">
        <v>1.348096</v>
      </c>
    </row>
    <row r="59" spans="1:11" x14ac:dyDescent="0.25">
      <c r="A59">
        <f t="shared" si="9"/>
        <v>47</v>
      </c>
      <c r="B59" s="12" t="s">
        <v>589</v>
      </c>
      <c r="C59" s="312">
        <v>1.099998</v>
      </c>
      <c r="D59" s="312">
        <v>1.138655</v>
      </c>
      <c r="E59" s="312">
        <v>1.1928540000000001</v>
      </c>
      <c r="F59" s="312">
        <v>1.205084</v>
      </c>
      <c r="G59" s="312">
        <v>1.243287</v>
      </c>
      <c r="H59" s="312">
        <v>1.272052</v>
      </c>
      <c r="I59" s="312">
        <v>1.2886029999999999</v>
      </c>
      <c r="J59" s="312">
        <v>1.3365400000000001</v>
      </c>
      <c r="K59" s="312">
        <v>1.361105</v>
      </c>
    </row>
    <row r="60" spans="1:11" x14ac:dyDescent="0.25">
      <c r="A60">
        <f t="shared" si="9"/>
        <v>48</v>
      </c>
      <c r="B60" s="12" t="s">
        <v>590</v>
      </c>
      <c r="C60" s="312">
        <v>1.2564660000000001</v>
      </c>
      <c r="D60" s="312">
        <v>1.3006219999999999</v>
      </c>
      <c r="E60" s="312">
        <v>1.4144369999999999</v>
      </c>
      <c r="F60" s="312">
        <v>1.400325</v>
      </c>
      <c r="G60" s="312">
        <v>1.4488129999999999</v>
      </c>
      <c r="H60" s="312">
        <v>1.4933160000000001</v>
      </c>
      <c r="I60" s="312">
        <v>1.50007</v>
      </c>
      <c r="J60" s="312">
        <v>1.562832</v>
      </c>
      <c r="K60" s="312">
        <v>1.5693820000000001</v>
      </c>
    </row>
    <row r="61" spans="1:11" x14ac:dyDescent="0.25">
      <c r="A61">
        <f t="shared" si="9"/>
        <v>49</v>
      </c>
      <c r="B61" s="12" t="s">
        <v>591</v>
      </c>
      <c r="C61" s="312">
        <v>1.1072470000000001</v>
      </c>
      <c r="D61" s="312">
        <v>1.134922</v>
      </c>
      <c r="E61" s="312">
        <v>1.166409</v>
      </c>
      <c r="F61" s="312">
        <v>1.1838660000000001</v>
      </c>
      <c r="G61" s="312">
        <v>1.23343</v>
      </c>
      <c r="H61" s="312">
        <v>1.2620549999999999</v>
      </c>
      <c r="I61" s="312">
        <v>1.284683</v>
      </c>
      <c r="J61" s="312">
        <v>1.319844</v>
      </c>
      <c r="K61" s="312">
        <v>1.331299</v>
      </c>
    </row>
    <row r="62" spans="1:11" x14ac:dyDescent="0.25">
      <c r="A62">
        <f t="shared" si="9"/>
        <v>50</v>
      </c>
      <c r="B62" s="20" t="s">
        <v>592</v>
      </c>
      <c r="C62" s="312">
        <v>1.037126</v>
      </c>
      <c r="D62" s="312">
        <v>1.073574</v>
      </c>
      <c r="E62" s="312">
        <v>1.108608</v>
      </c>
      <c r="F62" s="312">
        <v>1.141669</v>
      </c>
      <c r="G62" s="312">
        <v>1.183497</v>
      </c>
      <c r="H62" s="312">
        <v>1.199346</v>
      </c>
      <c r="I62" s="312">
        <v>1.2265779999999999</v>
      </c>
      <c r="J62" s="312">
        <v>1.2720929999999999</v>
      </c>
      <c r="K62" s="312">
        <v>1.2954159999999999</v>
      </c>
    </row>
    <row r="63" spans="1:11" x14ac:dyDescent="0.25">
      <c r="B63" s="25" t="s">
        <v>651</v>
      </c>
      <c r="I63" s="1"/>
    </row>
    <row r="64" spans="1:11" x14ac:dyDescent="0.25">
      <c r="B64" s="18" t="s">
        <v>13</v>
      </c>
      <c r="C64" s="6">
        <v>2024</v>
      </c>
      <c r="D64" s="6">
        <f t="shared" ref="D64:K64" si="10">C64+1</f>
        <v>2025</v>
      </c>
      <c r="E64" s="6">
        <f t="shared" si="10"/>
        <v>2026</v>
      </c>
      <c r="F64" s="6">
        <f t="shared" si="10"/>
        <v>2027</v>
      </c>
      <c r="G64" s="6">
        <f t="shared" si="10"/>
        <v>2028</v>
      </c>
      <c r="H64" s="6">
        <f t="shared" si="10"/>
        <v>2029</v>
      </c>
      <c r="I64" s="19">
        <f t="shared" si="10"/>
        <v>2030</v>
      </c>
      <c r="J64" s="27">
        <f t="shared" si="10"/>
        <v>2031</v>
      </c>
      <c r="K64" s="27">
        <f t="shared" si="10"/>
        <v>2032</v>
      </c>
    </row>
    <row r="65" spans="1:11" x14ac:dyDescent="0.25">
      <c r="A65">
        <v>51</v>
      </c>
      <c r="B65" s="12" t="s">
        <v>593</v>
      </c>
      <c r="C65" s="312">
        <v>1.0374989999999999</v>
      </c>
      <c r="D65" s="312">
        <v>1.078999</v>
      </c>
      <c r="E65" s="312">
        <v>1.0738110000000001</v>
      </c>
      <c r="F65" s="312">
        <v>1.0841860000000001</v>
      </c>
      <c r="G65" s="312">
        <v>1.0738110000000001</v>
      </c>
      <c r="H65" s="312">
        <v>1.0945609999999999</v>
      </c>
      <c r="I65" s="312">
        <v>1.088336</v>
      </c>
      <c r="J65" s="312">
        <v>1.109086</v>
      </c>
      <c r="K65" s="312">
        <v>1.1298360000000001</v>
      </c>
    </row>
    <row r="66" spans="1:11" x14ac:dyDescent="0.25">
      <c r="A66">
        <f>A65+1</f>
        <v>52</v>
      </c>
      <c r="B66" s="12" t="s">
        <v>594</v>
      </c>
      <c r="C66" s="312">
        <v>1.0759380000000001</v>
      </c>
      <c r="D66" s="312">
        <v>1.0974569999999999</v>
      </c>
      <c r="E66" s="312">
        <v>1.1028370000000001</v>
      </c>
      <c r="F66" s="312">
        <v>1.113596</v>
      </c>
      <c r="G66" s="312">
        <v>1.124355</v>
      </c>
      <c r="H66" s="312">
        <v>1.1351150000000001</v>
      </c>
      <c r="I66" s="312">
        <v>1.1458740000000001</v>
      </c>
      <c r="J66" s="312">
        <v>1.1458740000000001</v>
      </c>
      <c r="K66" s="312">
        <v>1.1404939999999999</v>
      </c>
    </row>
    <row r="67" spans="1:11" x14ac:dyDescent="0.25">
      <c r="A67">
        <f t="shared" ref="A67:A74" si="11">A66+1</f>
        <v>53</v>
      </c>
      <c r="B67" s="12" t="s">
        <v>595</v>
      </c>
      <c r="C67" s="312">
        <v>1.036027</v>
      </c>
      <c r="D67" s="312">
        <v>1.0671079999999999</v>
      </c>
      <c r="E67" s="312">
        <v>1.0722879999999999</v>
      </c>
      <c r="F67" s="312">
        <v>1.0826480000000001</v>
      </c>
      <c r="G67" s="312">
        <v>1.096117</v>
      </c>
      <c r="H67" s="312">
        <v>1.0722879999999999</v>
      </c>
      <c r="I67" s="312">
        <v>1.0826480000000001</v>
      </c>
      <c r="J67" s="312">
        <v>1.0909359999999999</v>
      </c>
      <c r="K67" s="312">
        <v>1.0981890000000001</v>
      </c>
    </row>
    <row r="68" spans="1:11" x14ac:dyDescent="0.25">
      <c r="A68">
        <f t="shared" si="11"/>
        <v>54</v>
      </c>
      <c r="B68" s="12" t="s">
        <v>596</v>
      </c>
      <c r="C68" s="312">
        <v>1.0838380000000001</v>
      </c>
      <c r="D68" s="312">
        <v>1.094676</v>
      </c>
      <c r="E68" s="312">
        <v>1.1055140000000001</v>
      </c>
      <c r="F68" s="312">
        <v>1.121772</v>
      </c>
      <c r="G68" s="312">
        <v>1.1326099999999999</v>
      </c>
      <c r="H68" s="312">
        <v>1.1434489999999999</v>
      </c>
      <c r="I68" s="312">
        <v>1.1597059999999999</v>
      </c>
      <c r="J68" s="312">
        <v>1.1087659999999999</v>
      </c>
      <c r="K68" s="312">
        <v>1.138029</v>
      </c>
    </row>
    <row r="69" spans="1:11" x14ac:dyDescent="0.25">
      <c r="A69">
        <f t="shared" si="11"/>
        <v>55</v>
      </c>
      <c r="B69" s="12" t="s">
        <v>597</v>
      </c>
      <c r="C69" s="312">
        <v>1.047118</v>
      </c>
      <c r="D69" s="312">
        <v>1.1099460000000001</v>
      </c>
      <c r="E69" s="312">
        <v>1.1099460000000001</v>
      </c>
      <c r="F69" s="312">
        <v>1.120417</v>
      </c>
      <c r="G69" s="312">
        <v>1.094239</v>
      </c>
      <c r="H69" s="312">
        <v>1.0691079999999999</v>
      </c>
      <c r="I69" s="312">
        <v>1.0837680000000001</v>
      </c>
      <c r="J69" s="312">
        <v>1.094239</v>
      </c>
      <c r="K69" s="312">
        <v>1.1047100000000001</v>
      </c>
    </row>
    <row r="70" spans="1:11" x14ac:dyDescent="0.25">
      <c r="A70">
        <f t="shared" si="11"/>
        <v>56</v>
      </c>
      <c r="B70" s="12" t="s">
        <v>598</v>
      </c>
      <c r="C70" s="312">
        <v>1.0351889999999999</v>
      </c>
      <c r="D70" s="312">
        <v>1.055893</v>
      </c>
      <c r="E70" s="312">
        <v>1.0765960000000001</v>
      </c>
      <c r="F70" s="312">
        <v>1.1169690000000001</v>
      </c>
      <c r="G70" s="312">
        <v>1.137672</v>
      </c>
      <c r="H70" s="312">
        <v>1.174939</v>
      </c>
      <c r="I70" s="312">
        <v>1.102476</v>
      </c>
      <c r="J70" s="312">
        <v>1.1128279999999999</v>
      </c>
      <c r="K70" s="312">
        <v>1.1283559999999999</v>
      </c>
    </row>
    <row r="71" spans="1:11" x14ac:dyDescent="0.25">
      <c r="A71">
        <f t="shared" si="11"/>
        <v>57</v>
      </c>
      <c r="B71" s="12" t="s">
        <v>599</v>
      </c>
      <c r="C71" s="312">
        <v>1.024192</v>
      </c>
      <c r="D71" s="312">
        <v>1.0344329999999999</v>
      </c>
      <c r="E71" s="312">
        <v>1.044675</v>
      </c>
      <c r="F71" s="312">
        <v>1.0702799999999999</v>
      </c>
      <c r="G71" s="312">
        <v>1.080522</v>
      </c>
      <c r="H71" s="312">
        <v>1.0743769999999999</v>
      </c>
      <c r="I71" s="312">
        <v>1.084619</v>
      </c>
      <c r="J71" s="312">
        <v>1.0948610000000001</v>
      </c>
      <c r="K71" s="312">
        <v>1.1061270000000001</v>
      </c>
    </row>
    <row r="72" spans="1:11" x14ac:dyDescent="0.25">
      <c r="A72">
        <f t="shared" si="11"/>
        <v>58</v>
      </c>
      <c r="B72" s="12" t="s">
        <v>600</v>
      </c>
      <c r="C72" s="312">
        <v>1.0610310000000001</v>
      </c>
      <c r="D72" s="312">
        <v>1.135303</v>
      </c>
      <c r="E72" s="312">
        <v>1.1299980000000001</v>
      </c>
      <c r="F72" s="312">
        <v>1.1565240000000001</v>
      </c>
      <c r="G72" s="312">
        <v>1.177745</v>
      </c>
      <c r="H72" s="312">
        <v>1.1989650000000001</v>
      </c>
      <c r="I72" s="312">
        <v>1.220186</v>
      </c>
      <c r="J72" s="312">
        <v>1.271115</v>
      </c>
      <c r="K72" s="312">
        <v>1.271115</v>
      </c>
    </row>
    <row r="73" spans="1:11" x14ac:dyDescent="0.25">
      <c r="A73">
        <f t="shared" si="11"/>
        <v>59</v>
      </c>
      <c r="B73" s="12" t="s">
        <v>601</v>
      </c>
      <c r="C73" s="312">
        <v>1.0327729999999999</v>
      </c>
      <c r="D73" s="312">
        <v>1.0431010000000001</v>
      </c>
      <c r="E73" s="312">
        <v>1.074084</v>
      </c>
      <c r="F73" s="312">
        <v>1.0637559999999999</v>
      </c>
      <c r="G73" s="312">
        <v>1.074084</v>
      </c>
      <c r="H73" s="312">
        <v>1.0844119999999999</v>
      </c>
      <c r="I73" s="312">
        <v>1.0947389999999999</v>
      </c>
      <c r="J73" s="312">
        <v>1.105067</v>
      </c>
      <c r="K73" s="312">
        <v>1.1257219999999999</v>
      </c>
    </row>
    <row r="74" spans="1:11" x14ac:dyDescent="0.25">
      <c r="A74">
        <f t="shared" si="11"/>
        <v>60</v>
      </c>
      <c r="B74" s="20" t="s">
        <v>602</v>
      </c>
      <c r="C74" s="312">
        <v>1.007676</v>
      </c>
      <c r="D74" s="312">
        <v>1.017752</v>
      </c>
      <c r="E74" s="312">
        <v>1.0091870000000001</v>
      </c>
      <c r="F74" s="312">
        <v>1.037906</v>
      </c>
      <c r="G74" s="312">
        <v>1.037906</v>
      </c>
      <c r="H74" s="312">
        <v>1.0479830000000001</v>
      </c>
      <c r="I74" s="312">
        <v>1.0429440000000001</v>
      </c>
      <c r="J74" s="312">
        <v>1.053021</v>
      </c>
      <c r="K74" s="312">
        <v>1.068136</v>
      </c>
    </row>
    <row r="75" spans="1:11" x14ac:dyDescent="0.25">
      <c r="B75" s="25" t="s">
        <v>652</v>
      </c>
      <c r="I75" s="1"/>
      <c r="K75" s="1"/>
    </row>
    <row r="76" spans="1:11" x14ac:dyDescent="0.25">
      <c r="A76" s="43">
        <v>2</v>
      </c>
      <c r="B76" s="18" t="s">
        <v>14</v>
      </c>
      <c r="C76" s="6">
        <v>2024</v>
      </c>
      <c r="D76" s="6">
        <f t="shared" ref="D76:K76" si="12">C76+1</f>
        <v>2025</v>
      </c>
      <c r="E76" s="6">
        <f t="shared" si="12"/>
        <v>2026</v>
      </c>
      <c r="F76" s="6">
        <f t="shared" si="12"/>
        <v>2027</v>
      </c>
      <c r="G76" s="6">
        <f t="shared" si="12"/>
        <v>2028</v>
      </c>
      <c r="H76" s="6">
        <f t="shared" si="12"/>
        <v>2029</v>
      </c>
      <c r="I76" s="19">
        <f t="shared" si="12"/>
        <v>2030</v>
      </c>
      <c r="J76" s="27">
        <f t="shared" si="12"/>
        <v>2031</v>
      </c>
      <c r="K76" s="27">
        <f t="shared" si="12"/>
        <v>2032</v>
      </c>
    </row>
    <row r="77" spans="1:11" x14ac:dyDescent="0.25">
      <c r="A77">
        <v>61</v>
      </c>
      <c r="B77" s="12" t="s">
        <v>603</v>
      </c>
      <c r="C77" s="312">
        <v>1.055415</v>
      </c>
      <c r="D77" s="312">
        <v>1.095979</v>
      </c>
      <c r="E77" s="312">
        <v>1.103728</v>
      </c>
      <c r="F77" s="312">
        <v>1.1197870000000001</v>
      </c>
      <c r="G77" s="314">
        <v>1.1232420000000001</v>
      </c>
      <c r="H77" s="315">
        <v>1.1356470000000001</v>
      </c>
      <c r="I77" s="315">
        <v>1.134252</v>
      </c>
      <c r="J77" s="315">
        <v>1.153322</v>
      </c>
      <c r="K77" s="315">
        <v>1.169232</v>
      </c>
    </row>
    <row r="78" spans="1:11" x14ac:dyDescent="0.25">
      <c r="A78">
        <f>A77+1</f>
        <v>62</v>
      </c>
      <c r="B78" s="12" t="s">
        <v>604</v>
      </c>
      <c r="C78" s="312">
        <v>1.072211</v>
      </c>
      <c r="D78" s="312">
        <v>1.112247</v>
      </c>
      <c r="E78" s="312">
        <v>1.1258269999999999</v>
      </c>
      <c r="F78" s="312">
        <v>1.1435200000000001</v>
      </c>
      <c r="G78" s="314">
        <v>1.164571</v>
      </c>
      <c r="H78" s="315">
        <v>1.163799</v>
      </c>
      <c r="I78" s="315">
        <v>1.1688890000000001</v>
      </c>
      <c r="J78" s="315">
        <v>1.1871719999999999</v>
      </c>
      <c r="K78" s="315">
        <v>1.1944710000000001</v>
      </c>
    </row>
    <row r="79" spans="1:11" x14ac:dyDescent="0.25">
      <c r="A79">
        <f t="shared" ref="A79:A86" si="13">A78+1</f>
        <v>63</v>
      </c>
      <c r="B79" s="12" t="s">
        <v>605</v>
      </c>
      <c r="C79" s="312">
        <v>1.06514</v>
      </c>
      <c r="D79" s="312">
        <v>1.104819</v>
      </c>
      <c r="E79" s="312">
        <v>1.116384</v>
      </c>
      <c r="F79" s="312">
        <v>1.1333979999999999</v>
      </c>
      <c r="G79" s="314">
        <v>1.1486209999999999</v>
      </c>
      <c r="H79" s="315">
        <v>1.1536310000000001</v>
      </c>
      <c r="I79" s="315">
        <v>1.1556500000000001</v>
      </c>
      <c r="J79" s="315">
        <v>1.1748639999999999</v>
      </c>
      <c r="K79" s="315">
        <v>1.185737</v>
      </c>
    </row>
    <row r="80" spans="1:11" x14ac:dyDescent="0.25">
      <c r="A80">
        <f t="shared" si="13"/>
        <v>64</v>
      </c>
      <c r="B80" s="12" t="s">
        <v>606</v>
      </c>
      <c r="C80" s="312">
        <v>1.0748880000000001</v>
      </c>
      <c r="D80" s="312">
        <v>1.112967</v>
      </c>
      <c r="E80" s="312">
        <v>1.123543</v>
      </c>
      <c r="F80" s="312">
        <v>1.141772</v>
      </c>
      <c r="G80" s="314">
        <v>1.1558539999999999</v>
      </c>
      <c r="H80" s="315">
        <v>1.1616949999999999</v>
      </c>
      <c r="I80" s="315">
        <v>1.168229</v>
      </c>
      <c r="J80" s="315">
        <v>1.177751</v>
      </c>
      <c r="K80" s="315">
        <v>1.1860580000000001</v>
      </c>
    </row>
    <row r="81" spans="1:11" x14ac:dyDescent="0.25">
      <c r="A81">
        <f t="shared" si="13"/>
        <v>65</v>
      </c>
      <c r="B81" s="12" t="s">
        <v>607</v>
      </c>
      <c r="C81" s="312">
        <v>1.06742</v>
      </c>
      <c r="D81" s="312">
        <v>1.1110930000000001</v>
      </c>
      <c r="E81" s="312">
        <v>1.125362</v>
      </c>
      <c r="F81" s="312">
        <v>1.1440509999999999</v>
      </c>
      <c r="G81" s="314">
        <v>1.1596249999999999</v>
      </c>
      <c r="H81" s="315">
        <v>1.155119</v>
      </c>
      <c r="I81" s="315">
        <v>1.1591750000000001</v>
      </c>
      <c r="J81" s="315">
        <v>1.178863</v>
      </c>
      <c r="K81" s="315">
        <v>1.1886429999999999</v>
      </c>
    </row>
    <row r="82" spans="1:11" x14ac:dyDescent="0.25">
      <c r="A82">
        <f t="shared" si="13"/>
        <v>66</v>
      </c>
      <c r="B82" s="12" t="s">
        <v>608</v>
      </c>
      <c r="C82" s="312">
        <v>1.0706500000000001</v>
      </c>
      <c r="D82" s="312">
        <v>1.1104970000000001</v>
      </c>
      <c r="E82" s="312">
        <v>1.1273550000000001</v>
      </c>
      <c r="F82" s="312">
        <v>1.1486620000000001</v>
      </c>
      <c r="G82" s="314">
        <v>1.1686730000000001</v>
      </c>
      <c r="H82" s="315">
        <v>1.176933</v>
      </c>
      <c r="I82" s="315">
        <v>1.172979</v>
      </c>
      <c r="J82" s="315">
        <v>1.1938550000000001</v>
      </c>
      <c r="K82" s="315">
        <v>1.2047909999999999</v>
      </c>
    </row>
    <row r="83" spans="1:11" x14ac:dyDescent="0.25">
      <c r="A83">
        <f t="shared" si="13"/>
        <v>67</v>
      </c>
      <c r="B83" s="12" t="s">
        <v>609</v>
      </c>
      <c r="C83" s="312">
        <v>1.0725340000000001</v>
      </c>
      <c r="D83" s="312">
        <v>1.1147530000000001</v>
      </c>
      <c r="E83" s="312">
        <v>1.131891</v>
      </c>
      <c r="F83" s="312">
        <v>1.1519440000000001</v>
      </c>
      <c r="G83" s="314">
        <v>1.1705939999999999</v>
      </c>
      <c r="H83" s="315">
        <v>1.17926</v>
      </c>
      <c r="I83" s="315">
        <v>1.179481</v>
      </c>
      <c r="J83" s="315">
        <v>1.2041660000000001</v>
      </c>
      <c r="K83" s="315">
        <v>1.2144299999999999</v>
      </c>
    </row>
    <row r="84" spans="1:11" x14ac:dyDescent="0.25">
      <c r="A84">
        <f t="shared" si="13"/>
        <v>68</v>
      </c>
      <c r="B84" s="12" t="s">
        <v>610</v>
      </c>
      <c r="C84" s="312">
        <v>1.072667</v>
      </c>
      <c r="D84" s="312">
        <v>1.12537</v>
      </c>
      <c r="E84" s="312">
        <v>1.1382479999999999</v>
      </c>
      <c r="F84" s="312">
        <v>1.1565380000000001</v>
      </c>
      <c r="G84" s="314">
        <v>1.1590800000000001</v>
      </c>
      <c r="H84" s="315">
        <v>1.156344</v>
      </c>
      <c r="I84" s="315">
        <v>1.166231</v>
      </c>
      <c r="J84" s="315">
        <v>1.187783</v>
      </c>
      <c r="K84" s="315">
        <v>1.1968920000000001</v>
      </c>
    </row>
    <row r="85" spans="1:11" x14ac:dyDescent="0.25">
      <c r="A85">
        <f t="shared" si="13"/>
        <v>69</v>
      </c>
      <c r="B85" s="12" t="s">
        <v>611</v>
      </c>
      <c r="C85" s="312">
        <v>1.07453</v>
      </c>
      <c r="D85" s="312">
        <v>1.118136</v>
      </c>
      <c r="E85" s="312">
        <v>1.1356360000000001</v>
      </c>
      <c r="F85" s="312">
        <v>1.153327</v>
      </c>
      <c r="G85" s="314">
        <v>1.1715500000000001</v>
      </c>
      <c r="H85" s="315">
        <v>1.175338</v>
      </c>
      <c r="I85" s="315">
        <v>1.1805749999999999</v>
      </c>
      <c r="J85" s="315">
        <v>1.2038800000000001</v>
      </c>
      <c r="K85" s="315">
        <v>1.213767</v>
      </c>
    </row>
    <row r="86" spans="1:11" x14ac:dyDescent="0.25">
      <c r="A86">
        <f t="shared" si="13"/>
        <v>70</v>
      </c>
      <c r="B86" s="20" t="s">
        <v>612</v>
      </c>
      <c r="C86" s="313">
        <v>1.070244</v>
      </c>
      <c r="D86" s="313">
        <v>1.1085400000000001</v>
      </c>
      <c r="E86" s="313">
        <v>1.125184</v>
      </c>
      <c r="F86" s="313">
        <v>1.1445320000000001</v>
      </c>
      <c r="G86" s="316">
        <v>1.164623</v>
      </c>
      <c r="H86" s="317">
        <v>1.169772</v>
      </c>
      <c r="I86" s="317">
        <v>1.171932</v>
      </c>
      <c r="J86" s="315">
        <v>1.1895199999999999</v>
      </c>
      <c r="K86" s="315">
        <v>1.2018249999999999</v>
      </c>
    </row>
    <row r="87" spans="1:11" x14ac:dyDescent="0.25">
      <c r="I87" s="1"/>
    </row>
    <row r="88" spans="1:11" x14ac:dyDescent="0.25">
      <c r="B88" s="18" t="s">
        <v>15</v>
      </c>
      <c r="C88" s="6">
        <v>2024</v>
      </c>
      <c r="D88" s="6">
        <f t="shared" ref="D88:K88" si="14">C88+1</f>
        <v>2025</v>
      </c>
      <c r="E88" s="6">
        <f t="shared" si="14"/>
        <v>2026</v>
      </c>
      <c r="F88" s="6">
        <f t="shared" si="14"/>
        <v>2027</v>
      </c>
      <c r="G88" s="6">
        <f t="shared" si="14"/>
        <v>2028</v>
      </c>
      <c r="H88" s="6">
        <f t="shared" si="14"/>
        <v>2029</v>
      </c>
      <c r="I88" s="19">
        <f t="shared" si="14"/>
        <v>2030</v>
      </c>
      <c r="J88" s="27">
        <f t="shared" si="14"/>
        <v>2031</v>
      </c>
      <c r="K88" s="27">
        <f t="shared" si="14"/>
        <v>2032</v>
      </c>
    </row>
    <row r="89" spans="1:11" x14ac:dyDescent="0.25">
      <c r="A89">
        <v>71</v>
      </c>
      <c r="B89" s="12" t="s">
        <v>644</v>
      </c>
      <c r="C89" s="318">
        <v>0.93272849999999996</v>
      </c>
      <c r="D89" s="318">
        <v>0.94440869999999999</v>
      </c>
      <c r="E89" s="318">
        <v>0.96291519999999997</v>
      </c>
      <c r="F89" s="318">
        <v>0.98782000000000003</v>
      </c>
      <c r="G89" s="318">
        <v>1.016994</v>
      </c>
      <c r="H89" s="318">
        <v>1.0369949999999999</v>
      </c>
      <c r="I89" s="318">
        <v>1.0507979999999999</v>
      </c>
      <c r="J89" s="318">
        <v>1.080614</v>
      </c>
      <c r="K89" s="319">
        <v>1.0978920000000001</v>
      </c>
    </row>
    <row r="90" spans="1:11" x14ac:dyDescent="0.25">
      <c r="B90" s="20" t="s">
        <v>645</v>
      </c>
      <c r="C90" s="318">
        <v>9.3466939999999994</v>
      </c>
      <c r="D90" s="318">
        <v>9.0003089999999997</v>
      </c>
      <c r="E90" s="318">
        <v>9.1766780000000008</v>
      </c>
      <c r="F90" s="318">
        <v>9.4140239999999995</v>
      </c>
      <c r="G90" s="318">
        <v>9.6920520000000003</v>
      </c>
      <c r="H90" s="318">
        <v>9.8826689999999999</v>
      </c>
      <c r="I90" s="318">
        <v>10.01421</v>
      </c>
      <c r="J90" s="318">
        <v>10.298360000000001</v>
      </c>
      <c r="K90" s="319">
        <v>10.46302</v>
      </c>
    </row>
    <row r="91" spans="1:11" x14ac:dyDescent="0.25">
      <c r="B91" s="105" t="s">
        <v>653</v>
      </c>
      <c r="C91" s="29"/>
      <c r="D91" s="290">
        <v>10.8445</v>
      </c>
      <c r="E91" s="291">
        <f>E90/D91*100</f>
        <v>84.62057264050901</v>
      </c>
      <c r="F91" s="291">
        <f>F90/E90*100</f>
        <v>102.58640436114244</v>
      </c>
      <c r="G91" s="291">
        <f t="shared" ref="G91:K91" si="15">G90/F90*100</f>
        <v>102.95333855108082</v>
      </c>
      <c r="H91" s="291">
        <f t="shared" si="15"/>
        <v>101.96673521768145</v>
      </c>
      <c r="I91" s="292">
        <f t="shared" si="15"/>
        <v>101.33102707375912</v>
      </c>
      <c r="J91" s="291">
        <f t="shared" si="15"/>
        <v>102.83746795803164</v>
      </c>
      <c r="K91" s="292">
        <f t="shared" si="15"/>
        <v>101.59889535809586</v>
      </c>
    </row>
    <row r="92" spans="1:11" x14ac:dyDescent="0.25">
      <c r="B92" s="18" t="s">
        <v>17</v>
      </c>
      <c r="C92" s="18">
        <v>2022</v>
      </c>
      <c r="D92" s="6">
        <f t="shared" ref="D92:K92" si="16">C92+1</f>
        <v>2023</v>
      </c>
      <c r="E92" s="6">
        <f t="shared" si="16"/>
        <v>2024</v>
      </c>
      <c r="F92" s="6">
        <f t="shared" si="16"/>
        <v>2025</v>
      </c>
      <c r="G92" s="6">
        <f t="shared" si="16"/>
        <v>2026</v>
      </c>
      <c r="H92" s="6">
        <f t="shared" si="16"/>
        <v>2027</v>
      </c>
      <c r="I92" s="19">
        <f t="shared" si="16"/>
        <v>2028</v>
      </c>
      <c r="J92" s="27">
        <f t="shared" si="16"/>
        <v>2029</v>
      </c>
      <c r="K92" s="27">
        <f t="shared" si="16"/>
        <v>2030</v>
      </c>
    </row>
    <row r="93" spans="1:11" x14ac:dyDescent="0.25">
      <c r="A93">
        <v>72</v>
      </c>
      <c r="B93" s="20" t="s">
        <v>16</v>
      </c>
      <c r="C93" s="320">
        <v>1.0077739999999999</v>
      </c>
      <c r="D93" s="321">
        <v>1.0073369999999999</v>
      </c>
      <c r="E93" s="321">
        <v>1.0061020000000001</v>
      </c>
      <c r="F93" s="321">
        <v>1.0043409999999999</v>
      </c>
      <c r="G93" s="321">
        <v>1.0032430000000001</v>
      </c>
      <c r="H93" s="321">
        <v>1.002521</v>
      </c>
      <c r="I93" s="321">
        <v>1.0017689999999999</v>
      </c>
      <c r="J93" s="321">
        <v>1.000094</v>
      </c>
      <c r="K93" s="322">
        <v>0.99952549999999996</v>
      </c>
    </row>
    <row r="94" spans="1:11" x14ac:dyDescent="0.25">
      <c r="I94" s="1"/>
    </row>
    <row r="95" spans="1:11" ht="18.75" x14ac:dyDescent="0.3">
      <c r="B95" s="3" t="s">
        <v>18</v>
      </c>
      <c r="I95" s="1"/>
    </row>
    <row r="96" spans="1:11" x14ac:dyDescent="0.25">
      <c r="B96" s="25" t="s">
        <v>654</v>
      </c>
      <c r="I96" s="1"/>
    </row>
    <row r="97" spans="1:11" x14ac:dyDescent="0.25">
      <c r="B97" s="18" t="s">
        <v>19</v>
      </c>
      <c r="C97" s="6">
        <v>2024</v>
      </c>
      <c r="D97" s="6">
        <f t="shared" ref="D97:K97" si="17">C97+1</f>
        <v>2025</v>
      </c>
      <c r="E97" s="6">
        <f t="shared" si="17"/>
        <v>2026</v>
      </c>
      <c r="F97" s="6">
        <f t="shared" si="17"/>
        <v>2027</v>
      </c>
      <c r="G97" s="6">
        <f t="shared" si="17"/>
        <v>2028</v>
      </c>
      <c r="H97" s="6">
        <f t="shared" si="17"/>
        <v>2029</v>
      </c>
      <c r="I97" s="19">
        <f t="shared" si="17"/>
        <v>2030</v>
      </c>
      <c r="J97" s="27">
        <f t="shared" si="17"/>
        <v>2031</v>
      </c>
      <c r="K97" s="27">
        <f t="shared" si="17"/>
        <v>2032</v>
      </c>
    </row>
    <row r="98" spans="1:11" x14ac:dyDescent="0.25">
      <c r="A98">
        <v>73</v>
      </c>
      <c r="B98" s="12" t="s">
        <v>613</v>
      </c>
      <c r="C98" s="312">
        <v>1</v>
      </c>
      <c r="D98" s="312">
        <v>1.04</v>
      </c>
      <c r="E98" s="312">
        <v>1.0349999999999999</v>
      </c>
      <c r="F98" s="312">
        <v>1.0449999999999999</v>
      </c>
      <c r="G98" s="312">
        <v>1.0349999999999999</v>
      </c>
      <c r="H98" s="312">
        <v>1.0549999999999999</v>
      </c>
      <c r="I98" s="314">
        <v>1.0489999999999999</v>
      </c>
      <c r="J98" s="315">
        <v>1.069</v>
      </c>
      <c r="K98" s="315">
        <v>1.089</v>
      </c>
    </row>
    <row r="99" spans="1:11" x14ac:dyDescent="0.25">
      <c r="A99">
        <f>A98+1</f>
        <v>74</v>
      </c>
      <c r="B99" s="12" t="s">
        <v>614</v>
      </c>
      <c r="C99" s="312">
        <v>1</v>
      </c>
      <c r="D99" s="312">
        <v>1.02</v>
      </c>
      <c r="E99" s="312">
        <v>1.0249999999999999</v>
      </c>
      <c r="F99" s="312">
        <v>1.0349999999999999</v>
      </c>
      <c r="G99" s="312">
        <v>1.0449999999999999</v>
      </c>
      <c r="H99" s="312">
        <v>1.0549999999999999</v>
      </c>
      <c r="I99" s="314">
        <v>1.0649999999999999</v>
      </c>
      <c r="J99" s="315">
        <v>1.0649999999999999</v>
      </c>
      <c r="K99" s="315">
        <v>1.06</v>
      </c>
    </row>
    <row r="100" spans="1:11" x14ac:dyDescent="0.25">
      <c r="A100">
        <f t="shared" ref="A100:A107" si="18">A99+1</f>
        <v>75</v>
      </c>
      <c r="B100" s="12" t="s">
        <v>615</v>
      </c>
      <c r="C100" s="312">
        <v>1</v>
      </c>
      <c r="D100" s="312">
        <v>1.03</v>
      </c>
      <c r="E100" s="312">
        <v>1.0349999999999999</v>
      </c>
      <c r="F100" s="312">
        <v>1.0449999999999999</v>
      </c>
      <c r="G100" s="312">
        <v>1.0580000000000001</v>
      </c>
      <c r="H100" s="312">
        <v>1.0349999999999999</v>
      </c>
      <c r="I100" s="314">
        <v>1.0449999999999999</v>
      </c>
      <c r="J100" s="315">
        <v>1.0529999999999999</v>
      </c>
      <c r="K100" s="315">
        <v>1.06</v>
      </c>
    </row>
    <row r="101" spans="1:11" x14ac:dyDescent="0.25">
      <c r="A101">
        <f t="shared" si="18"/>
        <v>76</v>
      </c>
      <c r="B101" s="12" t="s">
        <v>616</v>
      </c>
      <c r="C101" s="312">
        <v>1</v>
      </c>
      <c r="D101" s="312">
        <v>1.01</v>
      </c>
      <c r="E101" s="312">
        <v>1.02</v>
      </c>
      <c r="F101" s="312">
        <v>1.0349999999999999</v>
      </c>
      <c r="G101" s="312">
        <v>1.0449999999999999</v>
      </c>
      <c r="H101" s="312">
        <v>1.0549999999999999</v>
      </c>
      <c r="I101" s="314">
        <v>1.07</v>
      </c>
      <c r="J101" s="315">
        <v>1.0229999999999999</v>
      </c>
      <c r="K101" s="315">
        <v>1.05</v>
      </c>
    </row>
    <row r="102" spans="1:11" x14ac:dyDescent="0.25">
      <c r="A102">
        <f t="shared" si="18"/>
        <v>77</v>
      </c>
      <c r="B102" s="12" t="s">
        <v>617</v>
      </c>
      <c r="C102" s="312">
        <v>1</v>
      </c>
      <c r="D102" s="312">
        <v>1.06</v>
      </c>
      <c r="E102" s="312">
        <v>1.06</v>
      </c>
      <c r="F102" s="312">
        <v>1.07</v>
      </c>
      <c r="G102" s="312">
        <v>1.0449999999999999</v>
      </c>
      <c r="H102" s="312">
        <v>1.0209999999999999</v>
      </c>
      <c r="I102" s="314">
        <v>1.0349999999999999</v>
      </c>
      <c r="J102" s="315">
        <v>1.0449999999999999</v>
      </c>
      <c r="K102" s="315">
        <v>1.0549999999999999</v>
      </c>
    </row>
    <row r="103" spans="1:11" x14ac:dyDescent="0.25">
      <c r="A103">
        <f t="shared" si="18"/>
        <v>78</v>
      </c>
      <c r="B103" s="12" t="s">
        <v>618</v>
      </c>
      <c r="C103" s="312">
        <v>1</v>
      </c>
      <c r="D103" s="312">
        <v>1.02</v>
      </c>
      <c r="E103" s="312">
        <v>1.04</v>
      </c>
      <c r="F103" s="312">
        <v>1.079</v>
      </c>
      <c r="G103" s="312">
        <v>1.099</v>
      </c>
      <c r="H103" s="312">
        <v>1.135</v>
      </c>
      <c r="I103" s="314">
        <v>1.0649999999999999</v>
      </c>
      <c r="J103" s="315">
        <v>1.075</v>
      </c>
      <c r="K103" s="315">
        <v>1.0900000000000001</v>
      </c>
    </row>
    <row r="104" spans="1:11" x14ac:dyDescent="0.25">
      <c r="A104">
        <f t="shared" si="18"/>
        <v>79</v>
      </c>
      <c r="B104" s="12" t="s">
        <v>619</v>
      </c>
      <c r="C104" s="312">
        <v>1</v>
      </c>
      <c r="D104" s="312">
        <v>1.01</v>
      </c>
      <c r="E104" s="312">
        <v>1.02</v>
      </c>
      <c r="F104" s="312">
        <v>1.0449999999999999</v>
      </c>
      <c r="G104" s="312">
        <v>1.0549999999999999</v>
      </c>
      <c r="H104" s="312">
        <v>1.0489999999999999</v>
      </c>
      <c r="I104" s="314">
        <v>1.0589999999999999</v>
      </c>
      <c r="J104" s="315">
        <v>1.069</v>
      </c>
      <c r="K104" s="315">
        <v>1.08</v>
      </c>
    </row>
    <row r="105" spans="1:11" x14ac:dyDescent="0.25">
      <c r="A105">
        <f t="shared" si="18"/>
        <v>80</v>
      </c>
      <c r="B105" s="12" t="s">
        <v>620</v>
      </c>
      <c r="C105" s="312">
        <v>1</v>
      </c>
      <c r="D105" s="312">
        <v>1.07</v>
      </c>
      <c r="E105" s="312">
        <v>1.0649999999999999</v>
      </c>
      <c r="F105" s="312">
        <v>1.0900000000000001</v>
      </c>
      <c r="G105" s="312">
        <v>1.1100000000000001</v>
      </c>
      <c r="H105" s="312">
        <v>1.1299999999999999</v>
      </c>
      <c r="I105" s="314">
        <v>1.1499999999999999</v>
      </c>
      <c r="J105" s="315">
        <v>1.198</v>
      </c>
      <c r="K105" s="315">
        <v>1.198</v>
      </c>
    </row>
    <row r="106" spans="1:11" x14ac:dyDescent="0.25">
      <c r="A106">
        <f t="shared" si="18"/>
        <v>81</v>
      </c>
      <c r="B106" s="12" t="s">
        <v>621</v>
      </c>
      <c r="C106" s="312">
        <v>1</v>
      </c>
      <c r="D106" s="312">
        <v>1.01</v>
      </c>
      <c r="E106" s="312">
        <v>1.04</v>
      </c>
      <c r="F106" s="312">
        <v>1.03</v>
      </c>
      <c r="G106" s="312">
        <v>1.04</v>
      </c>
      <c r="H106" s="312">
        <v>1.05</v>
      </c>
      <c r="I106" s="314">
        <v>1.06</v>
      </c>
      <c r="J106" s="315">
        <v>1.07</v>
      </c>
      <c r="K106" s="315">
        <v>1.0900000000000001</v>
      </c>
    </row>
    <row r="107" spans="1:11" x14ac:dyDescent="0.25">
      <c r="A107">
        <f t="shared" si="18"/>
        <v>82</v>
      </c>
      <c r="B107" s="20" t="s">
        <v>8</v>
      </c>
      <c r="C107" s="313">
        <v>1</v>
      </c>
      <c r="D107" s="313">
        <v>1.01</v>
      </c>
      <c r="E107" s="313">
        <v>1.0015000000000001</v>
      </c>
      <c r="F107" s="313">
        <v>1.03</v>
      </c>
      <c r="G107" s="313">
        <v>1.03</v>
      </c>
      <c r="H107" s="313">
        <v>1.04</v>
      </c>
      <c r="I107" s="316">
        <v>1.0349999999999999</v>
      </c>
      <c r="J107" s="317">
        <v>1.0449999999999999</v>
      </c>
      <c r="K107" s="317">
        <v>1.06</v>
      </c>
    </row>
    <row r="108" spans="1:11" x14ac:dyDescent="0.25">
      <c r="B108" s="25" t="s">
        <v>655</v>
      </c>
      <c r="I108" s="1"/>
      <c r="K108" s="1"/>
    </row>
    <row r="109" spans="1:11" x14ac:dyDescent="0.25">
      <c r="B109" s="18" t="s">
        <v>20</v>
      </c>
      <c r="C109" s="6">
        <v>2024</v>
      </c>
      <c r="D109" s="6">
        <f t="shared" ref="D109:K109" si="19">C109+1</f>
        <v>2025</v>
      </c>
      <c r="E109" s="6">
        <f t="shared" si="19"/>
        <v>2026</v>
      </c>
      <c r="F109" s="6">
        <f t="shared" si="19"/>
        <v>2027</v>
      </c>
      <c r="G109" s="6">
        <f t="shared" si="19"/>
        <v>2028</v>
      </c>
      <c r="H109" s="6">
        <f t="shared" si="19"/>
        <v>2029</v>
      </c>
      <c r="I109" s="19">
        <f t="shared" si="19"/>
        <v>2030</v>
      </c>
      <c r="J109" s="27">
        <f t="shared" si="19"/>
        <v>2031</v>
      </c>
      <c r="K109" s="27">
        <f t="shared" si="19"/>
        <v>2032</v>
      </c>
    </row>
    <row r="110" spans="1:11" x14ac:dyDescent="0.25">
      <c r="A110">
        <v>83</v>
      </c>
      <c r="B110" s="12" t="s">
        <v>622</v>
      </c>
      <c r="C110" s="312">
        <v>1</v>
      </c>
      <c r="D110" s="312">
        <v>1.0085</v>
      </c>
      <c r="E110" s="312">
        <v>1.01</v>
      </c>
      <c r="F110" s="312">
        <v>1.0249999999999999</v>
      </c>
      <c r="G110" s="312">
        <v>1.036</v>
      </c>
      <c r="H110" s="312">
        <v>1.056</v>
      </c>
      <c r="I110" s="314">
        <v>1.0449999999999999</v>
      </c>
      <c r="J110" s="323">
        <v>1.0449999999999999</v>
      </c>
      <c r="K110" s="323">
        <v>1.0549999999999999</v>
      </c>
    </row>
    <row r="111" spans="1:11" x14ac:dyDescent="0.25">
      <c r="A111">
        <f>A110+1</f>
        <v>84</v>
      </c>
      <c r="B111" s="12" t="s">
        <v>623</v>
      </c>
      <c r="C111" s="312">
        <v>1</v>
      </c>
      <c r="D111" s="312">
        <v>1.0095000000000001</v>
      </c>
      <c r="E111" s="312">
        <v>1.01</v>
      </c>
      <c r="F111" s="312">
        <v>1.0109999999999999</v>
      </c>
      <c r="G111" s="312">
        <v>1.018</v>
      </c>
      <c r="H111" s="312">
        <v>1.02</v>
      </c>
      <c r="I111" s="314">
        <v>1.0249999999999999</v>
      </c>
      <c r="J111" s="315">
        <v>1.0349999999999999</v>
      </c>
      <c r="K111" s="315">
        <v>1.03</v>
      </c>
    </row>
    <row r="112" spans="1:11" x14ac:dyDescent="0.25">
      <c r="A112">
        <f t="shared" ref="A112:A119" si="20">A111+1</f>
        <v>85</v>
      </c>
      <c r="B112" s="12" t="s">
        <v>624</v>
      </c>
      <c r="C112" s="312">
        <v>1</v>
      </c>
      <c r="D112" s="312">
        <v>1.02</v>
      </c>
      <c r="E112" s="312">
        <v>1.0349999999999999</v>
      </c>
      <c r="F112" s="312">
        <v>1.05</v>
      </c>
      <c r="G112" s="312">
        <v>1.0549999999999999</v>
      </c>
      <c r="H112" s="312">
        <v>1.0349999999999999</v>
      </c>
      <c r="I112" s="314">
        <v>1.0349999999999999</v>
      </c>
      <c r="J112" s="315">
        <v>1.0349999999999999</v>
      </c>
      <c r="K112" s="315">
        <v>1.04</v>
      </c>
    </row>
    <row r="113" spans="1:11" x14ac:dyDescent="0.25">
      <c r="A113">
        <f t="shared" si="20"/>
        <v>86</v>
      </c>
      <c r="B113" s="12" t="s">
        <v>625</v>
      </c>
      <c r="C113" s="312">
        <v>1</v>
      </c>
      <c r="D113" s="312">
        <v>1.03</v>
      </c>
      <c r="E113" s="312">
        <v>1.05</v>
      </c>
      <c r="F113" s="312">
        <v>1.06</v>
      </c>
      <c r="G113" s="312">
        <v>1.075</v>
      </c>
      <c r="H113" s="312">
        <v>1.08</v>
      </c>
      <c r="I113" s="314">
        <v>1.08</v>
      </c>
      <c r="J113" s="315">
        <v>1.1000000000000001</v>
      </c>
      <c r="K113" s="315">
        <v>1.07</v>
      </c>
    </row>
    <row r="114" spans="1:11" x14ac:dyDescent="0.25">
      <c r="A114">
        <f t="shared" si="20"/>
        <v>87</v>
      </c>
      <c r="B114" s="12" t="s">
        <v>626</v>
      </c>
      <c r="C114" s="312">
        <v>1</v>
      </c>
      <c r="D114" s="312">
        <v>1.0049999999999999</v>
      </c>
      <c r="E114" s="312">
        <v>1.0049999999999999</v>
      </c>
      <c r="F114" s="312">
        <v>1.0049999999999999</v>
      </c>
      <c r="G114" s="312">
        <v>1.0049999999999999</v>
      </c>
      <c r="H114" s="312">
        <v>1.0049999999999999</v>
      </c>
      <c r="I114" s="314">
        <v>1.0049999999999999</v>
      </c>
      <c r="J114" s="315">
        <v>1.0049999999999999</v>
      </c>
      <c r="K114" s="315">
        <v>1.01</v>
      </c>
    </row>
    <row r="115" spans="1:11" x14ac:dyDescent="0.25">
      <c r="A115">
        <f t="shared" si="20"/>
        <v>88</v>
      </c>
      <c r="B115" s="12" t="s">
        <v>627</v>
      </c>
      <c r="C115" s="312">
        <v>1</v>
      </c>
      <c r="D115" s="312">
        <v>1.01</v>
      </c>
      <c r="E115" s="312">
        <v>1.03</v>
      </c>
      <c r="F115" s="312">
        <v>1.0449999999999999</v>
      </c>
      <c r="G115" s="312">
        <v>1.05</v>
      </c>
      <c r="H115" s="312">
        <v>1.0549999999999999</v>
      </c>
      <c r="I115" s="314">
        <v>1.0349999999999999</v>
      </c>
      <c r="J115" s="315">
        <v>1.0449999999999999</v>
      </c>
      <c r="K115" s="315">
        <v>1.05</v>
      </c>
    </row>
    <row r="116" spans="1:11" x14ac:dyDescent="0.25">
      <c r="A116">
        <f t="shared" si="20"/>
        <v>89</v>
      </c>
      <c r="B116" s="12" t="s">
        <v>628</v>
      </c>
      <c r="C116" s="312">
        <v>1</v>
      </c>
      <c r="D116" s="312">
        <v>1</v>
      </c>
      <c r="E116" s="312">
        <v>1.04</v>
      </c>
      <c r="F116" s="312">
        <v>1.03</v>
      </c>
      <c r="G116" s="312">
        <v>1.03</v>
      </c>
      <c r="H116" s="312">
        <v>1.04</v>
      </c>
      <c r="I116" s="314">
        <v>1.03</v>
      </c>
      <c r="J116" s="315">
        <v>1.0549999999999999</v>
      </c>
      <c r="K116" s="315">
        <v>1.03</v>
      </c>
    </row>
    <row r="117" spans="1:11" x14ac:dyDescent="0.25">
      <c r="A117">
        <f t="shared" si="20"/>
        <v>90</v>
      </c>
      <c r="B117" s="12" t="s">
        <v>629</v>
      </c>
      <c r="C117" s="312">
        <v>1</v>
      </c>
      <c r="D117" s="312">
        <v>1.0900000000000001</v>
      </c>
      <c r="E117" s="312">
        <v>1.1100000000000001</v>
      </c>
      <c r="F117" s="312">
        <v>1.085</v>
      </c>
      <c r="G117" s="312">
        <v>1.06</v>
      </c>
      <c r="H117" s="312">
        <v>1.07</v>
      </c>
      <c r="I117" s="314">
        <v>1.06</v>
      </c>
      <c r="J117" s="323">
        <v>1.085</v>
      </c>
      <c r="K117" s="315">
        <v>1.095</v>
      </c>
    </row>
    <row r="118" spans="1:11" x14ac:dyDescent="0.25">
      <c r="A118">
        <f t="shared" si="20"/>
        <v>91</v>
      </c>
      <c r="B118" s="12" t="s">
        <v>630</v>
      </c>
      <c r="C118" s="312">
        <v>1</v>
      </c>
      <c r="D118" s="312">
        <v>1.02</v>
      </c>
      <c r="E118" s="312">
        <v>1.02</v>
      </c>
      <c r="F118" s="312">
        <v>1.02</v>
      </c>
      <c r="G118" s="312">
        <v>1.03</v>
      </c>
      <c r="H118" s="312">
        <v>1.04</v>
      </c>
      <c r="I118" s="314">
        <v>1.05</v>
      </c>
      <c r="J118" s="315">
        <v>1.0649999999999999</v>
      </c>
      <c r="K118" s="315">
        <v>1.07</v>
      </c>
    </row>
    <row r="119" spans="1:11" x14ac:dyDescent="0.25">
      <c r="A119">
        <f t="shared" si="20"/>
        <v>92</v>
      </c>
      <c r="B119" s="20" t="s">
        <v>631</v>
      </c>
      <c r="C119" s="313">
        <v>1</v>
      </c>
      <c r="D119" s="313">
        <v>1.01</v>
      </c>
      <c r="E119" s="313">
        <v>1.03</v>
      </c>
      <c r="F119" s="313">
        <v>1.02</v>
      </c>
      <c r="G119" s="313">
        <v>1.02</v>
      </c>
      <c r="H119" s="313">
        <v>1.03</v>
      </c>
      <c r="I119" s="316">
        <v>1.0249999999999999</v>
      </c>
      <c r="J119" s="324">
        <v>1.0349999999999999</v>
      </c>
      <c r="K119" s="317">
        <v>1.0249999999999999</v>
      </c>
    </row>
    <row r="120" spans="1:11" x14ac:dyDescent="0.25">
      <c r="B120" s="25" t="s">
        <v>656</v>
      </c>
      <c r="C120" s="289"/>
      <c r="D120" s="289"/>
      <c r="E120" s="289"/>
      <c r="F120" s="289"/>
      <c r="G120" s="289"/>
      <c r="H120" s="289"/>
      <c r="I120" s="293"/>
      <c r="J120" s="289"/>
      <c r="K120" s="289"/>
    </row>
    <row r="121" spans="1:11" x14ac:dyDescent="0.25">
      <c r="B121" s="18" t="s">
        <v>21</v>
      </c>
      <c r="C121" s="6">
        <v>2024</v>
      </c>
      <c r="D121" s="6">
        <f t="shared" ref="D121:K121" si="21">C121+1</f>
        <v>2025</v>
      </c>
      <c r="E121" s="6">
        <f t="shared" si="21"/>
        <v>2026</v>
      </c>
      <c r="F121" s="6">
        <f t="shared" si="21"/>
        <v>2027</v>
      </c>
      <c r="G121" s="6">
        <f t="shared" si="21"/>
        <v>2028</v>
      </c>
      <c r="H121" s="6">
        <f t="shared" si="21"/>
        <v>2029</v>
      </c>
      <c r="I121" s="19">
        <f t="shared" si="21"/>
        <v>2030</v>
      </c>
      <c r="J121" s="19">
        <f t="shared" si="21"/>
        <v>2031</v>
      </c>
      <c r="K121" s="27">
        <f t="shared" si="21"/>
        <v>2032</v>
      </c>
    </row>
    <row r="122" spans="1:11" x14ac:dyDescent="0.25">
      <c r="A122">
        <v>93</v>
      </c>
      <c r="B122" s="12" t="s">
        <v>632</v>
      </c>
      <c r="C122" s="312">
        <v>1</v>
      </c>
      <c r="D122" s="312">
        <v>1.0149999999999999</v>
      </c>
      <c r="E122" s="312">
        <v>1.1100000000000001</v>
      </c>
      <c r="F122" s="312">
        <v>1.1499999999999999</v>
      </c>
      <c r="G122" s="312">
        <v>1.135</v>
      </c>
      <c r="H122" s="312">
        <v>1.1200000000000001</v>
      </c>
      <c r="I122" s="314">
        <v>1.131</v>
      </c>
      <c r="J122" s="314">
        <v>1.135</v>
      </c>
      <c r="K122" s="315">
        <v>1.1100000000000001</v>
      </c>
    </row>
    <row r="123" spans="1:11" x14ac:dyDescent="0.25">
      <c r="A123">
        <f>A122+1</f>
        <v>94</v>
      </c>
      <c r="B123" s="12" t="s">
        <v>633</v>
      </c>
      <c r="C123" s="312">
        <v>1</v>
      </c>
      <c r="D123" s="312">
        <v>1.06</v>
      </c>
      <c r="E123" s="312">
        <v>1.04</v>
      </c>
      <c r="F123" s="312">
        <v>1.0449999999999999</v>
      </c>
      <c r="G123" s="312">
        <v>1.05</v>
      </c>
      <c r="H123" s="312">
        <v>1.06</v>
      </c>
      <c r="I123" s="314">
        <v>1.0549999999999999</v>
      </c>
      <c r="J123" s="314">
        <v>1.075</v>
      </c>
      <c r="K123" s="315">
        <v>1.06</v>
      </c>
    </row>
    <row r="124" spans="1:11" x14ac:dyDescent="0.25">
      <c r="A124">
        <f t="shared" ref="A124:A131" si="22">A123+1</f>
        <v>95</v>
      </c>
      <c r="B124" s="12" t="s">
        <v>634</v>
      </c>
      <c r="C124" s="312">
        <v>1</v>
      </c>
      <c r="D124" s="312">
        <v>1.032</v>
      </c>
      <c r="E124" s="312">
        <v>1.042</v>
      </c>
      <c r="F124" s="312">
        <v>1.046</v>
      </c>
      <c r="G124" s="312">
        <v>1.05</v>
      </c>
      <c r="H124" s="312">
        <v>1.0449999999999999</v>
      </c>
      <c r="I124" s="314">
        <v>1.0249999999999999</v>
      </c>
      <c r="J124" s="314">
        <v>1.03</v>
      </c>
      <c r="K124" s="323">
        <v>1.0249999999999999</v>
      </c>
    </row>
    <row r="125" spans="1:11" x14ac:dyDescent="0.25">
      <c r="A125">
        <f t="shared" si="22"/>
        <v>96</v>
      </c>
      <c r="B125" s="12" t="s">
        <v>635</v>
      </c>
      <c r="C125" s="312">
        <v>1</v>
      </c>
      <c r="D125" s="312">
        <v>1.03</v>
      </c>
      <c r="E125" s="312">
        <v>1.0349999999999999</v>
      </c>
      <c r="F125" s="312">
        <v>1.05</v>
      </c>
      <c r="G125" s="312">
        <v>1.06</v>
      </c>
      <c r="H125" s="312">
        <v>1.06</v>
      </c>
      <c r="I125" s="314">
        <v>1.07</v>
      </c>
      <c r="J125" s="314">
        <v>1.07</v>
      </c>
      <c r="K125" s="315">
        <v>1.07</v>
      </c>
    </row>
    <row r="126" spans="1:11" x14ac:dyDescent="0.25">
      <c r="A126">
        <f t="shared" si="22"/>
        <v>97</v>
      </c>
      <c r="B126" s="12" t="s">
        <v>636</v>
      </c>
      <c r="C126" s="312">
        <v>1</v>
      </c>
      <c r="D126" s="312">
        <v>1.0900000000000001</v>
      </c>
      <c r="E126" s="312">
        <v>1.07</v>
      </c>
      <c r="F126" s="312">
        <v>1.03</v>
      </c>
      <c r="G126" s="312">
        <v>1.04</v>
      </c>
      <c r="H126" s="312">
        <v>1.08</v>
      </c>
      <c r="I126" s="314">
        <v>1.075</v>
      </c>
      <c r="J126" s="314">
        <v>1.095</v>
      </c>
      <c r="K126" s="315">
        <v>1.08</v>
      </c>
    </row>
    <row r="127" spans="1:11" x14ac:dyDescent="0.25">
      <c r="A127">
        <f t="shared" si="22"/>
        <v>98</v>
      </c>
      <c r="B127" s="12" t="s">
        <v>637</v>
      </c>
      <c r="C127" s="312">
        <v>1</v>
      </c>
      <c r="D127" s="312">
        <v>1.05</v>
      </c>
      <c r="E127" s="312">
        <v>1.04</v>
      </c>
      <c r="F127" s="312">
        <v>1.0349999999999999</v>
      </c>
      <c r="G127" s="312">
        <v>1.0249999999999999</v>
      </c>
      <c r="H127" s="312">
        <v>1.0349999999999999</v>
      </c>
      <c r="I127" s="314">
        <v>1.048</v>
      </c>
      <c r="J127" s="314">
        <v>1.0580000000000001</v>
      </c>
      <c r="K127" s="323">
        <v>1.0549999999999999</v>
      </c>
    </row>
    <row r="128" spans="1:11" x14ac:dyDescent="0.25">
      <c r="A128">
        <f t="shared" si="22"/>
        <v>99</v>
      </c>
      <c r="B128" s="12" t="s">
        <v>638</v>
      </c>
      <c r="C128" s="312">
        <v>1</v>
      </c>
      <c r="D128" s="312">
        <v>1.02</v>
      </c>
      <c r="E128" s="312">
        <v>1.05</v>
      </c>
      <c r="F128" s="312">
        <v>1.04</v>
      </c>
      <c r="G128" s="312">
        <v>1.04</v>
      </c>
      <c r="H128" s="312">
        <v>1.0449999999999999</v>
      </c>
      <c r="I128" s="314">
        <v>1.0449999999999999</v>
      </c>
      <c r="J128" s="314">
        <v>1.0549999999999999</v>
      </c>
      <c r="K128" s="315">
        <v>1.06</v>
      </c>
    </row>
    <row r="129" spans="1:11" x14ac:dyDescent="0.25">
      <c r="A129">
        <f t="shared" si="22"/>
        <v>100</v>
      </c>
      <c r="B129" s="12" t="s">
        <v>639</v>
      </c>
      <c r="C129" s="312">
        <v>1</v>
      </c>
      <c r="D129" s="312">
        <v>1.02</v>
      </c>
      <c r="E129" s="312">
        <v>1.0900000000000001</v>
      </c>
      <c r="F129" s="312">
        <v>1.0580000000000001</v>
      </c>
      <c r="G129" s="312">
        <v>1.0609999999999999</v>
      </c>
      <c r="H129" s="312">
        <v>1.0740000000000001</v>
      </c>
      <c r="I129" s="314">
        <v>1.0649999999999999</v>
      </c>
      <c r="J129" s="314">
        <v>1.08</v>
      </c>
      <c r="K129" s="315">
        <v>1.07</v>
      </c>
    </row>
    <row r="130" spans="1:11" x14ac:dyDescent="0.25">
      <c r="A130">
        <f t="shared" si="22"/>
        <v>101</v>
      </c>
      <c r="B130" s="12" t="s">
        <v>640</v>
      </c>
      <c r="C130" s="312">
        <v>1</v>
      </c>
      <c r="D130" s="312">
        <v>1.01</v>
      </c>
      <c r="E130" s="312">
        <v>1.02</v>
      </c>
      <c r="F130" s="312">
        <v>1.0149999999999999</v>
      </c>
      <c r="G130" s="312">
        <v>1.0249999999999999</v>
      </c>
      <c r="H130" s="312">
        <v>1.03</v>
      </c>
      <c r="I130" s="314">
        <v>1.0349999999999999</v>
      </c>
      <c r="J130" s="314">
        <v>1.0349999999999999</v>
      </c>
      <c r="K130" s="315">
        <v>1.03</v>
      </c>
    </row>
    <row r="131" spans="1:11" x14ac:dyDescent="0.25">
      <c r="A131">
        <f t="shared" si="22"/>
        <v>102</v>
      </c>
      <c r="B131" s="20" t="s">
        <v>641</v>
      </c>
      <c r="C131" s="313">
        <v>1</v>
      </c>
      <c r="D131" s="313">
        <v>1.02</v>
      </c>
      <c r="E131" s="313">
        <v>1.0349999999999999</v>
      </c>
      <c r="F131" s="313">
        <v>1.0449999999999999</v>
      </c>
      <c r="G131" s="313">
        <v>1.05</v>
      </c>
      <c r="H131" s="313">
        <v>1.0449999999999999</v>
      </c>
      <c r="I131" s="316">
        <v>1.0549999999999999</v>
      </c>
      <c r="J131" s="316">
        <v>1.0649999999999999</v>
      </c>
      <c r="K131" s="317">
        <v>1.07</v>
      </c>
    </row>
  </sheetData>
  <phoneticPr fontId="9" type="noConversion"/>
  <pageMargins left="0.31496062992125984" right="0.31496062992125984" top="0.35433070866141736" bottom="0.15748031496062992" header="0.31496062992125984" footer="0.31496062992125984"/>
  <pageSetup paperSize="9" orientation="landscape" horizontalDpi="30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FC92D-7757-4171-B966-282D0AFB02AC}">
  <dimension ref="B1:AE156"/>
  <sheetViews>
    <sheetView workbookViewId="0">
      <selection activeCell="C17" sqref="C17"/>
    </sheetView>
  </sheetViews>
  <sheetFormatPr defaultRowHeight="15" x14ac:dyDescent="0.25"/>
  <cols>
    <col min="1" max="1" width="4.5703125" customWidth="1"/>
    <col min="2" max="2" width="34.7109375" customWidth="1"/>
    <col min="12" max="12" width="60.85546875" customWidth="1"/>
    <col min="18" max="18" width="34.7109375" customWidth="1"/>
    <col min="28" max="28" width="60.85546875" customWidth="1"/>
  </cols>
  <sheetData>
    <row r="1" spans="2:30" x14ac:dyDescent="0.25">
      <c r="R1" t="s">
        <v>884</v>
      </c>
    </row>
    <row r="2" spans="2:30" ht="18.75" x14ac:dyDescent="0.3">
      <c r="B2" s="3" t="s">
        <v>275</v>
      </c>
      <c r="R2" s="3" t="s">
        <v>275</v>
      </c>
    </row>
    <row r="4" spans="2:30" ht="15.75" x14ac:dyDescent="0.25">
      <c r="B4" s="17" t="s">
        <v>36</v>
      </c>
      <c r="R4" s="17" t="s">
        <v>36</v>
      </c>
    </row>
    <row r="5" spans="2:30" x14ac:dyDescent="0.25">
      <c r="B5" s="25" t="s">
        <v>657</v>
      </c>
      <c r="R5" s="25" t="s">
        <v>657</v>
      </c>
    </row>
    <row r="6" spans="2:30" x14ac:dyDescent="0.25">
      <c r="B6" s="5" t="s">
        <v>2</v>
      </c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6">
        <f t="shared" si="0"/>
        <v>2030</v>
      </c>
      <c r="J6" s="6">
        <f t="shared" si="0"/>
        <v>2031</v>
      </c>
      <c r="K6" s="6">
        <f t="shared" si="0"/>
        <v>2032</v>
      </c>
      <c r="L6" s="7" t="s">
        <v>34</v>
      </c>
      <c r="R6" s="5" t="s">
        <v>2</v>
      </c>
      <c r="S6" s="6">
        <v>2024</v>
      </c>
      <c r="T6" s="6">
        <f t="shared" ref="T6" si="1">S6+1</f>
        <v>2025</v>
      </c>
      <c r="U6" s="6">
        <f t="shared" ref="U6" si="2">T6+1</f>
        <v>2026</v>
      </c>
      <c r="V6" s="6">
        <f t="shared" ref="V6" si="3">U6+1</f>
        <v>2027</v>
      </c>
      <c r="W6" s="6">
        <f t="shared" ref="W6" si="4">V6+1</f>
        <v>2028</v>
      </c>
      <c r="X6" s="6">
        <f t="shared" ref="X6" si="5">W6+1</f>
        <v>2029</v>
      </c>
      <c r="Y6" s="6">
        <f t="shared" ref="Y6" si="6">X6+1</f>
        <v>2030</v>
      </c>
      <c r="Z6" s="6">
        <f t="shared" ref="Z6" si="7">Y6+1</f>
        <v>2031</v>
      </c>
      <c r="AA6" s="6">
        <f t="shared" ref="AA6" si="8">Z6+1</f>
        <v>2032</v>
      </c>
      <c r="AB6" s="7" t="s">
        <v>34</v>
      </c>
    </row>
    <row r="7" spans="2:30" x14ac:dyDescent="0.25">
      <c r="B7" s="8" t="s">
        <v>23</v>
      </c>
      <c r="C7" s="87">
        <v>22311.89</v>
      </c>
      <c r="D7" s="87">
        <v>23949.15</v>
      </c>
      <c r="E7" s="87">
        <v>25153.86</v>
      </c>
      <c r="F7" s="87">
        <v>26119.58</v>
      </c>
      <c r="G7" s="87">
        <v>26875.09</v>
      </c>
      <c r="H7" s="87">
        <v>27778.03</v>
      </c>
      <c r="I7" s="87">
        <v>28209.41</v>
      </c>
      <c r="J7" s="87">
        <v>28862.45</v>
      </c>
      <c r="K7" s="87">
        <v>30113.7</v>
      </c>
      <c r="L7" s="9" t="s">
        <v>726</v>
      </c>
      <c r="R7" s="8" t="s">
        <v>23</v>
      </c>
      <c r="S7" s="294">
        <v>16464.13</v>
      </c>
      <c r="T7" s="294">
        <v>17682.88</v>
      </c>
      <c r="U7" s="294">
        <v>18563.21</v>
      </c>
      <c r="V7" s="294">
        <v>19275.91</v>
      </c>
      <c r="W7" s="294">
        <v>19841.169999999998</v>
      </c>
      <c r="X7" s="294">
        <v>20509.8</v>
      </c>
      <c r="Y7" s="294">
        <v>20831.11</v>
      </c>
      <c r="Z7" s="294">
        <v>21312.3</v>
      </c>
      <c r="AA7" s="294">
        <v>22235.73</v>
      </c>
      <c r="AB7" s="9" t="s">
        <v>726</v>
      </c>
    </row>
    <row r="8" spans="2:30" x14ac:dyDescent="0.25">
      <c r="B8" s="8" t="s">
        <v>24</v>
      </c>
      <c r="C8" s="87">
        <v>296.30329999999998</v>
      </c>
      <c r="D8" s="87">
        <v>318.04629999999997</v>
      </c>
      <c r="E8" s="87">
        <v>334.04489999999998</v>
      </c>
      <c r="F8" s="87">
        <v>346.86970000000002</v>
      </c>
      <c r="G8" s="87">
        <v>356.90300000000002</v>
      </c>
      <c r="H8" s="87">
        <v>368.89409999999998</v>
      </c>
      <c r="I8" s="87">
        <v>374.62290000000002</v>
      </c>
      <c r="J8" s="87">
        <v>383.2953</v>
      </c>
      <c r="K8" s="87">
        <v>399.9119</v>
      </c>
      <c r="L8" s="9" t="s">
        <v>39</v>
      </c>
      <c r="R8" s="8" t="s">
        <v>24</v>
      </c>
      <c r="S8" s="294">
        <v>218.6448</v>
      </c>
      <c r="T8" s="294">
        <v>234.82990000000001</v>
      </c>
      <c r="U8" s="294">
        <v>246.52070000000001</v>
      </c>
      <c r="V8" s="294">
        <v>255.9854</v>
      </c>
      <c r="W8" s="294">
        <v>263.49200000000002</v>
      </c>
      <c r="X8" s="294">
        <v>272.37150000000003</v>
      </c>
      <c r="Y8" s="294">
        <v>276.6386</v>
      </c>
      <c r="Z8" s="294">
        <v>283.02870000000001</v>
      </c>
      <c r="AA8" s="294">
        <v>295.2919</v>
      </c>
      <c r="AB8" s="9" t="s">
        <v>39</v>
      </c>
    </row>
    <row r="9" spans="2:30" x14ac:dyDescent="0.25">
      <c r="B9" s="8" t="s">
        <v>25</v>
      </c>
      <c r="C9" s="87">
        <v>9523.8520000000008</v>
      </c>
      <c r="D9" s="87">
        <v>10222.719999999999</v>
      </c>
      <c r="E9" s="87">
        <v>10736.95</v>
      </c>
      <c r="F9" s="87">
        <v>11149.17</v>
      </c>
      <c r="G9" s="87">
        <v>11471.66</v>
      </c>
      <c r="H9" s="87">
        <v>11857.08</v>
      </c>
      <c r="I9" s="87">
        <v>12041.22</v>
      </c>
      <c r="J9" s="87">
        <v>12319.97</v>
      </c>
      <c r="K9" s="87">
        <v>12854.06</v>
      </c>
      <c r="L9" s="9" t="s">
        <v>727</v>
      </c>
      <c r="R9" s="8" t="s">
        <v>25</v>
      </c>
      <c r="S9" s="294">
        <v>7027.7309999999998</v>
      </c>
      <c r="T9" s="294">
        <v>7547.9570000000003</v>
      </c>
      <c r="U9" s="294">
        <v>7923.7250000000004</v>
      </c>
      <c r="V9" s="294">
        <v>8227.9439999999995</v>
      </c>
      <c r="W9" s="294">
        <v>8469.223</v>
      </c>
      <c r="X9" s="294">
        <v>8754.6290000000008</v>
      </c>
      <c r="Y9" s="294">
        <v>8891.7819999999901</v>
      </c>
      <c r="Z9" s="294">
        <v>9097.1759999999995</v>
      </c>
      <c r="AA9" s="294">
        <v>9491.3430000000008</v>
      </c>
      <c r="AB9" s="9" t="s">
        <v>727</v>
      </c>
    </row>
    <row r="10" spans="2:30" x14ac:dyDescent="0.25">
      <c r="B10" s="8" t="s">
        <v>26</v>
      </c>
      <c r="C10" s="87">
        <v>2353.2559999999999</v>
      </c>
      <c r="D10" s="87">
        <v>2525.94</v>
      </c>
      <c r="E10" s="87">
        <v>2653.002</v>
      </c>
      <c r="F10" s="87">
        <v>2754.857</v>
      </c>
      <c r="G10" s="87">
        <v>2834.5419999999999</v>
      </c>
      <c r="H10" s="87">
        <v>2929.7759999999998</v>
      </c>
      <c r="I10" s="87">
        <v>2975.2739999999999</v>
      </c>
      <c r="J10" s="87">
        <v>3044.1509999999998</v>
      </c>
      <c r="K10" s="87">
        <v>3176.1210000000001</v>
      </c>
      <c r="L10" s="9" t="s">
        <v>40</v>
      </c>
      <c r="R10" s="8" t="s">
        <v>26</v>
      </c>
      <c r="S10" s="294">
        <v>1736.4880000000001</v>
      </c>
      <c r="T10" s="294">
        <v>1865.0309999999999</v>
      </c>
      <c r="U10" s="294">
        <v>1957.88</v>
      </c>
      <c r="V10" s="294">
        <v>2033.049</v>
      </c>
      <c r="W10" s="294">
        <v>2092.6669999999999</v>
      </c>
      <c r="X10" s="294">
        <v>2163.1880000000001</v>
      </c>
      <c r="Y10" s="294">
        <v>2197.078</v>
      </c>
      <c r="Z10" s="294">
        <v>2247.8290000000002</v>
      </c>
      <c r="AA10" s="294">
        <v>2345.2240000000002</v>
      </c>
      <c r="AB10" s="9" t="s">
        <v>40</v>
      </c>
    </row>
    <row r="11" spans="2:30" x14ac:dyDescent="0.25">
      <c r="B11" s="8" t="s">
        <v>27</v>
      </c>
      <c r="C11" s="87">
        <v>1577.79</v>
      </c>
      <c r="D11" s="87">
        <v>1693.57</v>
      </c>
      <c r="E11" s="87">
        <v>1778.761</v>
      </c>
      <c r="F11" s="87">
        <v>1847.0519999999999</v>
      </c>
      <c r="G11" s="87">
        <v>1900.4780000000001</v>
      </c>
      <c r="H11" s="87">
        <v>1964.33</v>
      </c>
      <c r="I11" s="87">
        <v>1994.835</v>
      </c>
      <c r="J11" s="87">
        <v>2041.0150000000001</v>
      </c>
      <c r="K11" s="87">
        <v>2129.4969999999998</v>
      </c>
      <c r="L11" s="9" t="s">
        <v>728</v>
      </c>
      <c r="N11" s="4"/>
      <c r="R11" s="8" t="s">
        <v>27</v>
      </c>
      <c r="S11" s="294">
        <v>1164.2650000000001</v>
      </c>
      <c r="T11" s="294">
        <v>1250.4490000000001</v>
      </c>
      <c r="U11" s="294">
        <v>1312.702</v>
      </c>
      <c r="V11" s="294">
        <v>1363.1010000000001</v>
      </c>
      <c r="W11" s="294">
        <v>1403.0730000000001</v>
      </c>
      <c r="X11" s="294">
        <v>1450.355</v>
      </c>
      <c r="Y11" s="294">
        <v>1473.077</v>
      </c>
      <c r="Z11" s="294">
        <v>1507.104</v>
      </c>
      <c r="AA11" s="294">
        <v>1572.405</v>
      </c>
      <c r="AB11" s="9" t="s">
        <v>728</v>
      </c>
      <c r="AD11" s="4"/>
    </row>
    <row r="12" spans="2:30" x14ac:dyDescent="0.25">
      <c r="B12" s="8" t="s">
        <v>28</v>
      </c>
      <c r="C12" s="87">
        <v>1893.0440000000001</v>
      </c>
      <c r="D12" s="87">
        <v>2031.9570000000001</v>
      </c>
      <c r="E12" s="87">
        <v>2134.17</v>
      </c>
      <c r="F12" s="87">
        <v>2216.1060000000002</v>
      </c>
      <c r="G12" s="87">
        <v>2280.2080000000001</v>
      </c>
      <c r="H12" s="87">
        <v>2356.817</v>
      </c>
      <c r="I12" s="87">
        <v>2393.4180000000001</v>
      </c>
      <c r="J12" s="87">
        <v>2448.8249999999998</v>
      </c>
      <c r="K12" s="87">
        <v>2554.9859999999999</v>
      </c>
      <c r="L12" s="9" t="s">
        <v>729</v>
      </c>
      <c r="N12" s="4"/>
      <c r="R12" s="8" t="s">
        <v>28</v>
      </c>
      <c r="S12" s="294">
        <v>1396.893</v>
      </c>
      <c r="T12" s="294">
        <v>1500.298</v>
      </c>
      <c r="U12" s="294">
        <v>1574.989</v>
      </c>
      <c r="V12" s="294">
        <v>1635.4580000000001</v>
      </c>
      <c r="W12" s="294">
        <v>1683.4169999999999</v>
      </c>
      <c r="X12" s="294">
        <v>1740.1469999999999</v>
      </c>
      <c r="Y12" s="294">
        <v>1767.4079999999999</v>
      </c>
      <c r="Z12" s="294">
        <v>1808.2339999999999</v>
      </c>
      <c r="AA12" s="294">
        <v>1886.5830000000001</v>
      </c>
      <c r="AB12" s="9" t="s">
        <v>729</v>
      </c>
      <c r="AD12" s="4"/>
    </row>
    <row r="13" spans="2:30" x14ac:dyDescent="0.25">
      <c r="B13" s="8" t="s">
        <v>29</v>
      </c>
      <c r="C13" s="87">
        <v>110.991</v>
      </c>
      <c r="D13" s="87">
        <v>119.1356</v>
      </c>
      <c r="E13" s="87">
        <v>125.1284</v>
      </c>
      <c r="F13" s="87">
        <v>129.9324</v>
      </c>
      <c r="G13" s="87">
        <v>133.69069999999999</v>
      </c>
      <c r="H13" s="87">
        <v>138.1824</v>
      </c>
      <c r="I13" s="87">
        <v>140.32830000000001</v>
      </c>
      <c r="J13" s="87">
        <v>143.57689999999999</v>
      </c>
      <c r="K13" s="87">
        <v>149.80119999999999</v>
      </c>
      <c r="L13" s="9" t="s">
        <v>38</v>
      </c>
      <c r="N13" s="4"/>
      <c r="R13" s="8" t="s">
        <v>29</v>
      </c>
      <c r="S13" s="294">
        <v>81.901179999999997</v>
      </c>
      <c r="T13" s="294">
        <v>87.963890000000006</v>
      </c>
      <c r="U13" s="294">
        <v>92.343090000000004</v>
      </c>
      <c r="V13" s="294">
        <v>95.888450000000006</v>
      </c>
      <c r="W13" s="294">
        <v>98.700320000000005</v>
      </c>
      <c r="X13" s="294">
        <v>102.0264</v>
      </c>
      <c r="Y13" s="294">
        <v>103.62479999999999</v>
      </c>
      <c r="Z13" s="294">
        <v>106.0185</v>
      </c>
      <c r="AA13" s="294">
        <v>110.6121</v>
      </c>
      <c r="AB13" s="9" t="s">
        <v>38</v>
      </c>
      <c r="AD13" s="4"/>
    </row>
    <row r="14" spans="2:30" x14ac:dyDescent="0.25">
      <c r="B14" s="8" t="s">
        <v>30</v>
      </c>
      <c r="C14" s="325">
        <v>1881.664</v>
      </c>
      <c r="D14" s="325">
        <v>2019.742</v>
      </c>
      <c r="E14" s="325">
        <v>2121.3409999999999</v>
      </c>
      <c r="F14" s="325">
        <v>2202.7840000000001</v>
      </c>
      <c r="G14" s="325">
        <v>2266.5</v>
      </c>
      <c r="H14" s="325">
        <v>2342.65</v>
      </c>
      <c r="I14" s="325">
        <v>2379.0300000000002</v>
      </c>
      <c r="J14" s="325">
        <v>2434.1039999999998</v>
      </c>
      <c r="K14" s="325">
        <v>2539.627</v>
      </c>
      <c r="L14" s="9" t="s">
        <v>730</v>
      </c>
      <c r="N14" s="4"/>
      <c r="R14" s="8" t="s">
        <v>30</v>
      </c>
      <c r="S14" s="295">
        <v>1388.4960000000001</v>
      </c>
      <c r="T14" s="295">
        <v>1491.279</v>
      </c>
      <c r="U14" s="295">
        <v>1565.521</v>
      </c>
      <c r="V14" s="295">
        <v>1625.627</v>
      </c>
      <c r="W14" s="295">
        <v>1673.297</v>
      </c>
      <c r="X14" s="295">
        <v>1729.6859999999999</v>
      </c>
      <c r="Y14" s="295">
        <v>1756.7840000000001</v>
      </c>
      <c r="Z14" s="295">
        <v>1797.364</v>
      </c>
      <c r="AA14" s="295">
        <v>1875.241</v>
      </c>
      <c r="AB14" s="9" t="s">
        <v>730</v>
      </c>
      <c r="AD14" s="4"/>
    </row>
    <row r="15" spans="2:30" x14ac:dyDescent="0.25">
      <c r="B15" s="8" t="s">
        <v>31</v>
      </c>
      <c r="C15" s="87">
        <v>140.94030000000001</v>
      </c>
      <c r="D15" s="87">
        <v>151.2826</v>
      </c>
      <c r="E15" s="87">
        <v>158.89250000000001</v>
      </c>
      <c r="F15" s="87">
        <v>164.99279999999999</v>
      </c>
      <c r="G15" s="87">
        <v>169.76519999999999</v>
      </c>
      <c r="H15" s="87">
        <v>175.46889999999999</v>
      </c>
      <c r="I15" s="87">
        <v>178.19390000000001</v>
      </c>
      <c r="J15" s="87">
        <v>182.31899999999999</v>
      </c>
      <c r="K15" s="87">
        <v>190.22290000000001</v>
      </c>
      <c r="L15" s="9" t="s">
        <v>41</v>
      </c>
      <c r="N15" s="4"/>
      <c r="R15" s="8" t="s">
        <v>31</v>
      </c>
      <c r="S15" s="294">
        <v>104.001</v>
      </c>
      <c r="T15" s="294">
        <v>111.69970000000001</v>
      </c>
      <c r="U15" s="294">
        <v>117.26049999999999</v>
      </c>
      <c r="V15" s="294">
        <v>121.76260000000001</v>
      </c>
      <c r="W15" s="294">
        <v>125.33320000000001</v>
      </c>
      <c r="X15" s="294">
        <v>129.55680000000001</v>
      </c>
      <c r="Y15" s="294">
        <v>131.5865</v>
      </c>
      <c r="Z15" s="294">
        <v>134.626</v>
      </c>
      <c r="AA15" s="294">
        <v>140.45920000000001</v>
      </c>
      <c r="AB15" s="9" t="s">
        <v>41</v>
      </c>
      <c r="AD15" s="4"/>
    </row>
    <row r="16" spans="2:30" x14ac:dyDescent="0.25">
      <c r="B16" s="8" t="s">
        <v>32</v>
      </c>
      <c r="C16" s="87">
        <v>250.3777</v>
      </c>
      <c r="D16" s="87">
        <v>268.75069999999999</v>
      </c>
      <c r="E16" s="87">
        <v>282.26960000000003</v>
      </c>
      <c r="F16" s="87">
        <v>293.10660000000001</v>
      </c>
      <c r="G16" s="87">
        <v>301.5847</v>
      </c>
      <c r="H16" s="87">
        <v>311.71730000000002</v>
      </c>
      <c r="I16" s="87">
        <v>316.55810000000002</v>
      </c>
      <c r="J16" s="87">
        <v>323.88630000000001</v>
      </c>
      <c r="K16" s="87">
        <v>337.92739999999998</v>
      </c>
      <c r="L16" s="9" t="s">
        <v>42</v>
      </c>
      <c r="N16" s="4"/>
      <c r="R16" s="8" t="s">
        <v>32</v>
      </c>
      <c r="S16" s="294">
        <v>184.7559</v>
      </c>
      <c r="T16" s="294">
        <v>198.4324</v>
      </c>
      <c r="U16" s="294">
        <v>208.31110000000001</v>
      </c>
      <c r="V16" s="294">
        <v>216.30889999999999</v>
      </c>
      <c r="W16" s="294">
        <v>222.65199999999999</v>
      </c>
      <c r="X16" s="294">
        <v>230.15520000000001</v>
      </c>
      <c r="Y16" s="294">
        <v>233.76089999999999</v>
      </c>
      <c r="Z16" s="294">
        <v>239.16059999999999</v>
      </c>
      <c r="AA16" s="294">
        <v>249.5231</v>
      </c>
      <c r="AB16" s="9" t="s">
        <v>42</v>
      </c>
      <c r="AD16" s="4"/>
    </row>
    <row r="17" spans="2:31" x14ac:dyDescent="0.25">
      <c r="B17" s="10" t="s">
        <v>33</v>
      </c>
      <c r="C17" s="326">
        <v>40340.11</v>
      </c>
      <c r="D17" s="326">
        <v>43300.3</v>
      </c>
      <c r="E17" s="326">
        <v>45478.42</v>
      </c>
      <c r="F17" s="326">
        <v>47224.45</v>
      </c>
      <c r="G17" s="326">
        <v>48590.42</v>
      </c>
      <c r="H17" s="326">
        <v>50222.95</v>
      </c>
      <c r="I17" s="326">
        <v>51002.89</v>
      </c>
      <c r="J17" s="326">
        <v>52183.59</v>
      </c>
      <c r="K17" s="326">
        <v>54445.85</v>
      </c>
      <c r="L17" s="11" t="s">
        <v>35</v>
      </c>
      <c r="N17" s="4">
        <f>C17/'2_Production_2'!AX21*100</f>
        <v>51.725264966242811</v>
      </c>
      <c r="R17" s="10" t="s">
        <v>33</v>
      </c>
      <c r="S17" s="296">
        <v>29767.31</v>
      </c>
      <c r="T17" s="296">
        <v>31970.83</v>
      </c>
      <c r="U17" s="296">
        <v>33562.46</v>
      </c>
      <c r="V17" s="296">
        <v>34851.040000000001</v>
      </c>
      <c r="W17" s="296">
        <v>35873.03</v>
      </c>
      <c r="X17" s="296">
        <v>37081.919999999998</v>
      </c>
      <c r="Y17" s="296">
        <v>37662.85</v>
      </c>
      <c r="Z17" s="296">
        <v>38532.839999999997</v>
      </c>
      <c r="AA17" s="296">
        <v>40202.410000000003</v>
      </c>
      <c r="AB17" s="11" t="s">
        <v>35</v>
      </c>
      <c r="AD17" s="4">
        <f>S17/'2_Production_2'!AX21*100</f>
        <v>38.168512606492385</v>
      </c>
      <c r="AE17">
        <v>51.662459709358956</v>
      </c>
    </row>
    <row r="18" spans="2:31" x14ac:dyDescent="0.25">
      <c r="B18" s="12"/>
      <c r="C18" s="289"/>
      <c r="D18" s="294"/>
      <c r="E18" s="289"/>
      <c r="F18" s="289"/>
      <c r="G18" s="289"/>
      <c r="H18" s="289"/>
      <c r="I18" s="289"/>
      <c r="J18" s="289"/>
      <c r="K18" s="289"/>
      <c r="L18" s="13" t="s">
        <v>37</v>
      </c>
      <c r="N18" s="4"/>
      <c r="R18" s="12"/>
      <c r="S18" s="289"/>
      <c r="T18" s="294"/>
      <c r="U18" s="289"/>
      <c r="V18" s="289"/>
      <c r="W18" s="289"/>
      <c r="X18" s="289"/>
      <c r="Y18" s="289"/>
      <c r="Z18" s="289"/>
      <c r="AA18" s="289"/>
      <c r="AB18" s="13" t="s">
        <v>37</v>
      </c>
      <c r="AD18" s="4"/>
    </row>
    <row r="19" spans="2:31" x14ac:dyDescent="0.25">
      <c r="B19" s="16" t="s">
        <v>62</v>
      </c>
      <c r="C19" s="318">
        <v>5552.509</v>
      </c>
      <c r="D19" s="327">
        <v>5959.9570000000003</v>
      </c>
      <c r="E19" s="318">
        <v>6259.759</v>
      </c>
      <c r="F19" s="318">
        <v>6500.0870000000004</v>
      </c>
      <c r="G19" s="318">
        <v>6688.1019999999999</v>
      </c>
      <c r="H19" s="318">
        <v>6912.808</v>
      </c>
      <c r="I19" s="318">
        <v>7020.1610000000001</v>
      </c>
      <c r="J19" s="318">
        <v>7182.6750000000002</v>
      </c>
      <c r="K19" s="318">
        <v>7494.058</v>
      </c>
      <c r="L19" s="15" t="s">
        <v>61</v>
      </c>
      <c r="N19" s="4"/>
      <c r="R19" s="16" t="s">
        <v>62</v>
      </c>
      <c r="S19" s="289">
        <v>4097.2439999999997</v>
      </c>
      <c r="T19" s="297">
        <v>4400.5410000000002</v>
      </c>
      <c r="U19" s="289">
        <v>4619.6180000000004</v>
      </c>
      <c r="V19" s="289">
        <v>4796.9809999999998</v>
      </c>
      <c r="W19" s="289">
        <v>4937.6490000000003</v>
      </c>
      <c r="X19" s="289">
        <v>5104.0439999999999</v>
      </c>
      <c r="Y19" s="289">
        <v>5184.0050000000001</v>
      </c>
      <c r="Z19" s="289">
        <v>5303.7529999999997</v>
      </c>
      <c r="AA19" s="289">
        <v>5533.5559999999996</v>
      </c>
      <c r="AB19" s="15" t="s">
        <v>61</v>
      </c>
      <c r="AD19" s="4"/>
    </row>
    <row r="20" spans="2:31" x14ac:dyDescent="0.25">
      <c r="B20" s="25" t="s">
        <v>658</v>
      </c>
      <c r="C20" s="4"/>
      <c r="D20" s="4"/>
      <c r="E20" s="4"/>
      <c r="N20" s="4"/>
      <c r="R20" s="25" t="s">
        <v>658</v>
      </c>
      <c r="S20" s="4"/>
      <c r="T20" s="4"/>
      <c r="U20" s="4"/>
      <c r="AD20" s="4"/>
    </row>
    <row r="21" spans="2:31" x14ac:dyDescent="0.25">
      <c r="B21" s="5" t="s">
        <v>3</v>
      </c>
      <c r="C21" s="6">
        <v>2024</v>
      </c>
      <c r="D21" s="6">
        <f t="shared" ref="D21:K21" si="9">C21+1</f>
        <v>2025</v>
      </c>
      <c r="E21" s="6">
        <f t="shared" si="9"/>
        <v>2026</v>
      </c>
      <c r="F21" s="6">
        <f t="shared" si="9"/>
        <v>2027</v>
      </c>
      <c r="G21" s="6">
        <f t="shared" si="9"/>
        <v>2028</v>
      </c>
      <c r="H21" s="6">
        <f t="shared" si="9"/>
        <v>2029</v>
      </c>
      <c r="I21" s="6">
        <f t="shared" si="9"/>
        <v>2030</v>
      </c>
      <c r="J21" s="6">
        <f t="shared" si="9"/>
        <v>2031</v>
      </c>
      <c r="K21" s="6">
        <f t="shared" si="9"/>
        <v>2032</v>
      </c>
      <c r="L21" s="7" t="s">
        <v>34</v>
      </c>
      <c r="N21" s="4"/>
      <c r="R21" s="5" t="s">
        <v>3</v>
      </c>
      <c r="S21" s="6">
        <v>2024</v>
      </c>
      <c r="T21" s="6">
        <f t="shared" ref="T21" si="10">S21+1</f>
        <v>2025</v>
      </c>
      <c r="U21" s="6">
        <f t="shared" ref="U21" si="11">T21+1</f>
        <v>2026</v>
      </c>
      <c r="V21" s="6">
        <f t="shared" ref="V21" si="12">U21+1</f>
        <v>2027</v>
      </c>
      <c r="W21" s="6">
        <f t="shared" ref="W21" si="13">V21+1</f>
        <v>2028</v>
      </c>
      <c r="X21" s="6">
        <f t="shared" ref="X21" si="14">W21+1</f>
        <v>2029</v>
      </c>
      <c r="Y21" s="6">
        <f t="shared" ref="Y21" si="15">X21+1</f>
        <v>2030</v>
      </c>
      <c r="Z21" s="6">
        <f t="shared" ref="Z21" si="16">Y21+1</f>
        <v>2031</v>
      </c>
      <c r="AA21" s="6">
        <f t="shared" ref="AA21" si="17">Z21+1</f>
        <v>2032</v>
      </c>
      <c r="AB21" s="7" t="s">
        <v>34</v>
      </c>
      <c r="AD21" s="4"/>
    </row>
    <row r="22" spans="2:31" x14ac:dyDescent="0.25">
      <c r="B22" s="8" t="s">
        <v>43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9" t="s">
        <v>54</v>
      </c>
      <c r="N22" s="4"/>
      <c r="R22" s="8" t="s">
        <v>43</v>
      </c>
      <c r="S22" s="294">
        <v>0</v>
      </c>
      <c r="T22" s="294">
        <v>0</v>
      </c>
      <c r="U22" s="294">
        <v>0</v>
      </c>
      <c r="V22" s="294">
        <v>0</v>
      </c>
      <c r="W22" s="294">
        <v>0</v>
      </c>
      <c r="X22" s="294">
        <v>0</v>
      </c>
      <c r="Y22" s="294">
        <v>0</v>
      </c>
      <c r="Z22" s="294">
        <v>0</v>
      </c>
      <c r="AA22" s="294">
        <v>0</v>
      </c>
      <c r="AB22" s="9" t="s">
        <v>54</v>
      </c>
      <c r="AD22" s="4"/>
    </row>
    <row r="23" spans="2:31" x14ac:dyDescent="0.25">
      <c r="B23" s="8" t="s">
        <v>44</v>
      </c>
      <c r="C23" s="87">
        <v>1160.229</v>
      </c>
      <c r="D23" s="87">
        <v>1444.1659999999999</v>
      </c>
      <c r="E23" s="87">
        <v>1537.133</v>
      </c>
      <c r="F23" s="87">
        <v>1630.58</v>
      </c>
      <c r="G23" s="87">
        <v>1692.3219999999999</v>
      </c>
      <c r="H23" s="87">
        <v>1757.1179999999999</v>
      </c>
      <c r="I23" s="87">
        <v>1831.8109999999999</v>
      </c>
      <c r="J23" s="87">
        <v>1926.386</v>
      </c>
      <c r="K23" s="87">
        <v>2015.434</v>
      </c>
      <c r="L23" s="9" t="s">
        <v>55</v>
      </c>
      <c r="N23" s="4"/>
      <c r="R23" s="8" t="s">
        <v>44</v>
      </c>
      <c r="S23" s="294">
        <v>533.68550000000005</v>
      </c>
      <c r="T23" s="294">
        <v>664.20569999999998</v>
      </c>
      <c r="U23" s="294">
        <v>707.06849999999997</v>
      </c>
      <c r="V23" s="294">
        <v>749.27030000000002</v>
      </c>
      <c r="W23" s="294">
        <v>779.47239999999999</v>
      </c>
      <c r="X23" s="294">
        <v>809.57090000000005</v>
      </c>
      <c r="Y23" s="294">
        <v>844.98530000000005</v>
      </c>
      <c r="Z23" s="294">
        <v>889.1173</v>
      </c>
      <c r="AA23" s="294">
        <v>930.21939999999995</v>
      </c>
      <c r="AB23" s="9" t="s">
        <v>55</v>
      </c>
      <c r="AD23" s="4"/>
    </row>
    <row r="24" spans="2:31" x14ac:dyDescent="0.25">
      <c r="B24" s="8" t="s">
        <v>45</v>
      </c>
      <c r="C24" s="87">
        <v>4107.0259999999998</v>
      </c>
      <c r="D24" s="87">
        <v>5112.116</v>
      </c>
      <c r="E24" s="87">
        <v>5441.2039999999997</v>
      </c>
      <c r="F24" s="87">
        <v>5771.9920000000002</v>
      </c>
      <c r="G24" s="87">
        <v>5990.549</v>
      </c>
      <c r="H24" s="87">
        <v>6219.9179999999997</v>
      </c>
      <c r="I24" s="87">
        <v>6484.3180000000002</v>
      </c>
      <c r="J24" s="87">
        <v>6819.1</v>
      </c>
      <c r="K24" s="87">
        <v>7134.3159999999998</v>
      </c>
      <c r="L24" s="9" t="s">
        <v>849</v>
      </c>
      <c r="N24" s="4"/>
      <c r="R24" s="8" t="s">
        <v>45</v>
      </c>
      <c r="S24" s="294">
        <v>1889.162</v>
      </c>
      <c r="T24" s="294">
        <v>2351.1819999999998</v>
      </c>
      <c r="U24" s="294">
        <v>2502.91</v>
      </c>
      <c r="V24" s="294">
        <v>2652.297</v>
      </c>
      <c r="W24" s="294">
        <v>2759.2080000000001</v>
      </c>
      <c r="X24" s="294">
        <v>2865.752</v>
      </c>
      <c r="Y24" s="294">
        <v>2991.1129999999998</v>
      </c>
      <c r="Z24" s="294">
        <v>3147.3330000000001</v>
      </c>
      <c r="AA24" s="294">
        <v>3292.828</v>
      </c>
      <c r="AB24" s="9" t="s">
        <v>849</v>
      </c>
      <c r="AD24" s="4"/>
    </row>
    <row r="25" spans="2:31" x14ac:dyDescent="0.25">
      <c r="B25" s="8" t="s">
        <v>46</v>
      </c>
      <c r="C25" s="87">
        <v>249.92910000000001</v>
      </c>
      <c r="D25" s="87">
        <v>311.09280000000001</v>
      </c>
      <c r="E25" s="87">
        <v>331.1191</v>
      </c>
      <c r="F25" s="87">
        <v>351.24889999999999</v>
      </c>
      <c r="G25" s="87">
        <v>364.54899999999998</v>
      </c>
      <c r="H25" s="87">
        <v>378.50700000000001</v>
      </c>
      <c r="I25" s="87">
        <v>394.59679999999997</v>
      </c>
      <c r="J25" s="87">
        <v>414.96969999999999</v>
      </c>
      <c r="K25" s="87">
        <v>434.15179999999998</v>
      </c>
      <c r="L25" s="9" t="s">
        <v>56</v>
      </c>
      <c r="N25" s="4"/>
      <c r="R25" s="8" t="s">
        <v>46</v>
      </c>
      <c r="S25" s="294">
        <v>114.9631</v>
      </c>
      <c r="T25" s="294">
        <v>143.0789</v>
      </c>
      <c r="U25" s="294">
        <v>152.31209999999999</v>
      </c>
      <c r="V25" s="294">
        <v>161.40299999999999</v>
      </c>
      <c r="W25" s="294">
        <v>167.90889999999999</v>
      </c>
      <c r="X25" s="294">
        <v>174.39250000000001</v>
      </c>
      <c r="Y25" s="294">
        <v>182.0213</v>
      </c>
      <c r="Z25" s="294">
        <v>191.52789999999999</v>
      </c>
      <c r="AA25" s="294">
        <v>200.3818</v>
      </c>
      <c r="AB25" s="9" t="s">
        <v>56</v>
      </c>
      <c r="AD25" s="4"/>
    </row>
    <row r="26" spans="2:31" x14ac:dyDescent="0.25">
      <c r="B26" s="8" t="s">
        <v>47</v>
      </c>
      <c r="C26" s="87">
        <v>315.20100000000002</v>
      </c>
      <c r="D26" s="87">
        <v>392.33850000000001</v>
      </c>
      <c r="E26" s="87">
        <v>417.5949</v>
      </c>
      <c r="F26" s="87">
        <v>442.98180000000002</v>
      </c>
      <c r="G26" s="87">
        <v>459.75540000000001</v>
      </c>
      <c r="H26" s="87">
        <v>477.3587</v>
      </c>
      <c r="I26" s="87">
        <v>497.65050000000002</v>
      </c>
      <c r="J26" s="87">
        <v>523.34400000000005</v>
      </c>
      <c r="K26" s="87">
        <v>547.53579999999999</v>
      </c>
      <c r="L26" s="9" t="s">
        <v>850</v>
      </c>
      <c r="N26" s="4"/>
      <c r="R26" s="8" t="s">
        <v>47</v>
      </c>
      <c r="S26" s="294">
        <v>144.9871</v>
      </c>
      <c r="T26" s="294">
        <v>180.44569999999999</v>
      </c>
      <c r="U26" s="294">
        <v>192.09030000000001</v>
      </c>
      <c r="V26" s="294">
        <v>203.55529999999999</v>
      </c>
      <c r="W26" s="294">
        <v>211.7603</v>
      </c>
      <c r="X26" s="294">
        <v>219.93719999999999</v>
      </c>
      <c r="Y26" s="294">
        <v>229.5583</v>
      </c>
      <c r="Z26" s="294">
        <v>241.54769999999999</v>
      </c>
      <c r="AA26" s="294">
        <v>252.714</v>
      </c>
      <c r="AB26" s="9" t="s">
        <v>850</v>
      </c>
      <c r="AD26" s="4"/>
    </row>
    <row r="27" spans="2:31" x14ac:dyDescent="0.25">
      <c r="B27" s="8" t="s">
        <v>48</v>
      </c>
      <c r="C27" s="87">
        <v>166.01480000000001</v>
      </c>
      <c r="D27" s="87">
        <v>206.64269999999999</v>
      </c>
      <c r="E27" s="87">
        <v>219.9451</v>
      </c>
      <c r="F27" s="87">
        <v>233.31630000000001</v>
      </c>
      <c r="G27" s="87">
        <v>242.1508</v>
      </c>
      <c r="H27" s="87">
        <v>251.42240000000001</v>
      </c>
      <c r="I27" s="87">
        <v>262.11</v>
      </c>
      <c r="J27" s="87">
        <v>275.64260000000002</v>
      </c>
      <c r="K27" s="87">
        <v>288.3843</v>
      </c>
      <c r="L27" s="9" t="s">
        <v>851</v>
      </c>
      <c r="N27" s="4"/>
      <c r="R27" s="8" t="s">
        <v>48</v>
      </c>
      <c r="S27" s="294">
        <v>76.363950000000003</v>
      </c>
      <c r="T27" s="294">
        <v>95.039810000000003</v>
      </c>
      <c r="U27" s="294">
        <v>101.173</v>
      </c>
      <c r="V27" s="294">
        <v>107.2115</v>
      </c>
      <c r="W27" s="294">
        <v>111.5331</v>
      </c>
      <c r="X27" s="294">
        <v>115.8398</v>
      </c>
      <c r="Y27" s="294">
        <v>120.9072</v>
      </c>
      <c r="Z27" s="294">
        <v>127.22190000000001</v>
      </c>
      <c r="AA27" s="294">
        <v>133.10319999999999</v>
      </c>
      <c r="AB27" s="9" t="s">
        <v>851</v>
      </c>
      <c r="AD27" s="4"/>
    </row>
    <row r="28" spans="2:31" x14ac:dyDescent="0.25">
      <c r="B28" s="8" t="s">
        <v>49</v>
      </c>
      <c r="C28" s="87">
        <v>64.157859999999999</v>
      </c>
      <c r="D28" s="87">
        <v>79.858869999999996</v>
      </c>
      <c r="E28" s="87">
        <v>84.999709999999894</v>
      </c>
      <c r="F28" s="87">
        <v>90.167109999999994</v>
      </c>
      <c r="G28" s="87">
        <v>93.581289999999996</v>
      </c>
      <c r="H28" s="87">
        <v>97.164379999999994</v>
      </c>
      <c r="I28" s="87">
        <v>101.29470000000001</v>
      </c>
      <c r="J28" s="87">
        <v>106.5245</v>
      </c>
      <c r="K28" s="87">
        <v>111.4486</v>
      </c>
      <c r="L28" s="9" t="s">
        <v>60</v>
      </c>
      <c r="N28" s="4"/>
      <c r="R28" s="8" t="s">
        <v>49</v>
      </c>
      <c r="S28" s="294">
        <v>29.511520000000001</v>
      </c>
      <c r="T28" s="294">
        <v>36.728969999999997</v>
      </c>
      <c r="U28" s="294">
        <v>39.099170000000001</v>
      </c>
      <c r="V28" s="294">
        <v>41.432830000000003</v>
      </c>
      <c r="W28" s="294">
        <v>43.102939999999997</v>
      </c>
      <c r="X28" s="294">
        <v>44.767310000000002</v>
      </c>
      <c r="Y28" s="294">
        <v>46.725639999999999</v>
      </c>
      <c r="Z28" s="294">
        <v>49.166029999999999</v>
      </c>
      <c r="AA28" s="294">
        <v>51.438879999999997</v>
      </c>
      <c r="AB28" s="9" t="s">
        <v>60</v>
      </c>
      <c r="AD28" s="4"/>
    </row>
    <row r="29" spans="2:31" x14ac:dyDescent="0.25">
      <c r="B29" s="8" t="s">
        <v>50</v>
      </c>
      <c r="C29" s="87">
        <v>226.26499999999999</v>
      </c>
      <c r="D29" s="87">
        <v>281.63760000000002</v>
      </c>
      <c r="E29" s="87">
        <v>299.76780000000002</v>
      </c>
      <c r="F29" s="87">
        <v>317.99160000000001</v>
      </c>
      <c r="G29" s="87">
        <v>330.0324</v>
      </c>
      <c r="H29" s="87">
        <v>342.66890000000001</v>
      </c>
      <c r="I29" s="87">
        <v>357.23520000000002</v>
      </c>
      <c r="J29" s="87">
        <v>375.67910000000001</v>
      </c>
      <c r="K29" s="87">
        <v>393.04500000000002</v>
      </c>
      <c r="L29" s="9" t="s">
        <v>852</v>
      </c>
      <c r="N29" s="4"/>
      <c r="R29" s="8" t="s">
        <v>50</v>
      </c>
      <c r="S29" s="294">
        <v>104.078</v>
      </c>
      <c r="T29" s="294">
        <v>129.5318</v>
      </c>
      <c r="U29" s="294">
        <v>137.89070000000001</v>
      </c>
      <c r="V29" s="294">
        <v>146.1208</v>
      </c>
      <c r="W29" s="294">
        <v>152.01079999999999</v>
      </c>
      <c r="X29" s="294">
        <v>157.88050000000001</v>
      </c>
      <c r="Y29" s="294">
        <v>164.7869</v>
      </c>
      <c r="Z29" s="294">
        <v>173.39340000000001</v>
      </c>
      <c r="AA29" s="294">
        <v>181.4091</v>
      </c>
      <c r="AB29" s="9" t="s">
        <v>852</v>
      </c>
      <c r="AD29" s="4"/>
    </row>
    <row r="30" spans="2:31" x14ac:dyDescent="0.25">
      <c r="B30" s="8" t="s">
        <v>51</v>
      </c>
      <c r="C30" s="87">
        <v>9.3549589999999903</v>
      </c>
      <c r="D30" s="87">
        <v>11.644349999999999</v>
      </c>
      <c r="E30" s="87">
        <v>12.393940000000001</v>
      </c>
      <c r="F30" s="87">
        <v>13.147410000000001</v>
      </c>
      <c r="G30" s="87">
        <v>13.645239999999999</v>
      </c>
      <c r="H30" s="87">
        <v>14.16769</v>
      </c>
      <c r="I30" s="87">
        <v>14.76994</v>
      </c>
      <c r="J30" s="87">
        <v>15.53251</v>
      </c>
      <c r="K30" s="87">
        <v>16.250499999999999</v>
      </c>
      <c r="L30" s="9" t="s">
        <v>57</v>
      </c>
      <c r="N30" s="4"/>
      <c r="R30" s="8" t="s">
        <v>51</v>
      </c>
      <c r="S30" s="294">
        <v>4.303121</v>
      </c>
      <c r="T30" s="294">
        <v>5.3555080000000004</v>
      </c>
      <c r="U30" s="294">
        <v>5.7011120000000002</v>
      </c>
      <c r="V30" s="294">
        <v>6.0413870000000003</v>
      </c>
      <c r="W30" s="294">
        <v>6.2849069999999996</v>
      </c>
      <c r="X30" s="294">
        <v>6.5275920000000003</v>
      </c>
      <c r="Y30" s="294">
        <v>6.8131389999999996</v>
      </c>
      <c r="Z30" s="294">
        <v>7.1689759999999998</v>
      </c>
      <c r="AA30" s="294">
        <v>7.5003840000000004</v>
      </c>
      <c r="AB30" s="9" t="s">
        <v>57</v>
      </c>
      <c r="AD30" s="4"/>
    </row>
    <row r="31" spans="2:31" x14ac:dyDescent="0.25">
      <c r="B31" s="8" t="s">
        <v>52</v>
      </c>
      <c r="C31" s="87">
        <v>10.549390000000001</v>
      </c>
      <c r="D31" s="87">
        <v>13.13109</v>
      </c>
      <c r="E31" s="87">
        <v>13.97639</v>
      </c>
      <c r="F31" s="87">
        <v>14.82606</v>
      </c>
      <c r="G31" s="87">
        <v>15.387449999999999</v>
      </c>
      <c r="H31" s="87">
        <v>15.976610000000001</v>
      </c>
      <c r="I31" s="87">
        <v>16.655750000000001</v>
      </c>
      <c r="J31" s="87">
        <v>17.51568</v>
      </c>
      <c r="K31" s="87">
        <v>18.32535</v>
      </c>
      <c r="L31" s="9" t="s">
        <v>64</v>
      </c>
      <c r="N31" s="4"/>
      <c r="R31" s="8" t="s">
        <v>52</v>
      </c>
      <c r="S31" s="294">
        <v>4.8525390000000002</v>
      </c>
      <c r="T31" s="294">
        <v>6.0392939999999999</v>
      </c>
      <c r="U31" s="294">
        <v>6.4290240000000001</v>
      </c>
      <c r="V31" s="294">
        <v>6.8127449999999996</v>
      </c>
      <c r="W31" s="294">
        <v>7.0873569999999999</v>
      </c>
      <c r="X31" s="294">
        <v>7.3610280000000001</v>
      </c>
      <c r="Y31" s="294">
        <v>7.6830340000000001</v>
      </c>
      <c r="Z31" s="294">
        <v>8.0843039999999995</v>
      </c>
      <c r="AA31" s="294">
        <v>8.4580249999999904</v>
      </c>
      <c r="AB31" s="9" t="s">
        <v>64</v>
      </c>
      <c r="AD31" s="4"/>
    </row>
    <row r="32" spans="2:31" x14ac:dyDescent="0.25">
      <c r="B32" s="10" t="s">
        <v>53</v>
      </c>
      <c r="C32" s="326">
        <v>6308.7269999999999</v>
      </c>
      <c r="D32" s="326">
        <v>7852.6279999999997</v>
      </c>
      <c r="E32" s="326">
        <v>8358.1329999999998</v>
      </c>
      <c r="F32" s="326">
        <v>8866.2510000000002</v>
      </c>
      <c r="G32" s="326">
        <v>9201.9719999999998</v>
      </c>
      <c r="H32" s="326">
        <v>9554.3019999999997</v>
      </c>
      <c r="I32" s="326">
        <v>9960.4410000000007</v>
      </c>
      <c r="J32" s="326">
        <v>10474.69</v>
      </c>
      <c r="K32" s="326">
        <v>10958.89</v>
      </c>
      <c r="L32" s="11" t="s">
        <v>58</v>
      </c>
      <c r="N32" s="4">
        <f>C32/'2_Production_2'!AX23*100</f>
        <v>49.813709667230974</v>
      </c>
      <c r="R32" s="10" t="s">
        <v>53</v>
      </c>
      <c r="S32" s="296">
        <v>2901.9059999999999</v>
      </c>
      <c r="T32" s="296">
        <v>3611.6080000000002</v>
      </c>
      <c r="U32" s="296">
        <v>3844.6729999999998</v>
      </c>
      <c r="V32" s="296">
        <v>4074.145</v>
      </c>
      <c r="W32" s="296">
        <v>4238.3680000000004</v>
      </c>
      <c r="X32" s="296">
        <v>4402.0280000000002</v>
      </c>
      <c r="Y32" s="296">
        <v>4594.5940000000001</v>
      </c>
      <c r="Z32" s="296">
        <v>4834.5609999999997</v>
      </c>
      <c r="AA32" s="296">
        <v>5058.0529999999999</v>
      </c>
      <c r="AB32" s="11" t="s">
        <v>58</v>
      </c>
      <c r="AD32" s="4">
        <f>S32/'2_Production_2'!AX23*100</f>
        <v>22.913450362584332</v>
      </c>
      <c r="AE32">
        <v>49.10277092764602</v>
      </c>
    </row>
    <row r="33" spans="2:31" x14ac:dyDescent="0.25">
      <c r="B33" s="12"/>
      <c r="C33" s="289"/>
      <c r="D33" s="294"/>
      <c r="E33" s="289"/>
      <c r="F33" s="289"/>
      <c r="G33" s="289"/>
      <c r="H33" s="289"/>
      <c r="I33" s="289"/>
      <c r="J33" s="289"/>
      <c r="K33" s="289"/>
      <c r="L33" s="13" t="s">
        <v>59</v>
      </c>
      <c r="R33" s="12"/>
      <c r="S33" s="289"/>
      <c r="T33" s="294"/>
      <c r="U33" s="289"/>
      <c r="V33" s="289"/>
      <c r="W33" s="289"/>
      <c r="X33" s="289"/>
      <c r="Y33" s="289"/>
      <c r="Z33" s="289"/>
      <c r="AA33" s="289"/>
      <c r="AB33" s="13" t="s">
        <v>59</v>
      </c>
    </row>
    <row r="34" spans="2:31" x14ac:dyDescent="0.25">
      <c r="B34" s="16" t="s">
        <v>63</v>
      </c>
      <c r="C34" s="318">
        <v>2019.652</v>
      </c>
      <c r="D34" s="87">
        <v>2513.91</v>
      </c>
      <c r="E34" s="318">
        <v>2675.741</v>
      </c>
      <c r="F34" s="318">
        <v>2838.4079999999999</v>
      </c>
      <c r="G34" s="318">
        <v>2945.884</v>
      </c>
      <c r="H34" s="318">
        <v>3058.6779999999999</v>
      </c>
      <c r="I34" s="318">
        <v>3188.6979999999999</v>
      </c>
      <c r="J34" s="318">
        <v>3353.3290000000002</v>
      </c>
      <c r="K34" s="318">
        <v>3508.3380000000002</v>
      </c>
      <c r="L34" s="15" t="s">
        <v>61</v>
      </c>
      <c r="R34" s="16" t="s">
        <v>63</v>
      </c>
      <c r="S34" s="289">
        <v>929.00519999999995</v>
      </c>
      <c r="T34" s="294">
        <v>1156.2059999999999</v>
      </c>
      <c r="U34" s="289">
        <v>1230.819</v>
      </c>
      <c r="V34" s="289">
        <v>1304.2809999999999</v>
      </c>
      <c r="W34" s="289">
        <v>1356.855</v>
      </c>
      <c r="X34" s="289">
        <v>1409.249</v>
      </c>
      <c r="Y34" s="289">
        <v>1470.896</v>
      </c>
      <c r="Z34" s="289">
        <v>1547.7180000000001</v>
      </c>
      <c r="AA34" s="289">
        <v>1619.2660000000001</v>
      </c>
      <c r="AB34" s="15" t="s">
        <v>61</v>
      </c>
    </row>
    <row r="35" spans="2:31" x14ac:dyDescent="0.25">
      <c r="B35" s="25" t="s">
        <v>659</v>
      </c>
      <c r="R35" s="25" t="s">
        <v>659</v>
      </c>
    </row>
    <row r="36" spans="2:31" x14ac:dyDescent="0.25">
      <c r="B36" s="5" t="s">
        <v>4</v>
      </c>
      <c r="C36" s="6">
        <v>2024</v>
      </c>
      <c r="D36" s="6">
        <f t="shared" ref="D36:K36" si="18">C36+1</f>
        <v>2025</v>
      </c>
      <c r="E36" s="6">
        <f t="shared" si="18"/>
        <v>2026</v>
      </c>
      <c r="F36" s="6">
        <f t="shared" si="18"/>
        <v>2027</v>
      </c>
      <c r="G36" s="6">
        <f t="shared" si="18"/>
        <v>2028</v>
      </c>
      <c r="H36" s="6">
        <f t="shared" si="18"/>
        <v>2029</v>
      </c>
      <c r="I36" s="6">
        <f t="shared" si="18"/>
        <v>2030</v>
      </c>
      <c r="J36" s="6">
        <f t="shared" si="18"/>
        <v>2031</v>
      </c>
      <c r="K36" s="6">
        <f t="shared" si="18"/>
        <v>2032</v>
      </c>
      <c r="L36" s="7" t="s">
        <v>34</v>
      </c>
      <c r="R36" s="5" t="s">
        <v>4</v>
      </c>
      <c r="S36" s="6">
        <v>2024</v>
      </c>
      <c r="T36" s="6">
        <f t="shared" ref="T36" si="19">S36+1</f>
        <v>2025</v>
      </c>
      <c r="U36" s="6">
        <f t="shared" ref="U36" si="20">T36+1</f>
        <v>2026</v>
      </c>
      <c r="V36" s="6">
        <f t="shared" ref="V36" si="21">U36+1</f>
        <v>2027</v>
      </c>
      <c r="W36" s="6">
        <f t="shared" ref="W36" si="22">V36+1</f>
        <v>2028</v>
      </c>
      <c r="X36" s="6">
        <f t="shared" ref="X36" si="23">W36+1</f>
        <v>2029</v>
      </c>
      <c r="Y36" s="6">
        <f t="shared" ref="Y36" si="24">X36+1</f>
        <v>2030</v>
      </c>
      <c r="Z36" s="6">
        <f t="shared" ref="Z36" si="25">Y36+1</f>
        <v>2031</v>
      </c>
      <c r="AA36" s="6">
        <f t="shared" ref="AA36" si="26">Z36+1</f>
        <v>2032</v>
      </c>
      <c r="AB36" s="7" t="s">
        <v>34</v>
      </c>
    </row>
    <row r="37" spans="2:31" x14ac:dyDescent="0.25">
      <c r="B37" s="8" t="s">
        <v>65</v>
      </c>
      <c r="C37" s="87">
        <v>8192.94</v>
      </c>
      <c r="D37" s="87">
        <v>8527.1419999999998</v>
      </c>
      <c r="E37" s="87">
        <v>9245.99</v>
      </c>
      <c r="F37" s="87">
        <v>10012.200000000001</v>
      </c>
      <c r="G37" s="87">
        <v>10963.55</v>
      </c>
      <c r="H37" s="87">
        <v>12205.55</v>
      </c>
      <c r="I37" s="87">
        <v>12601.31</v>
      </c>
      <c r="J37" s="87">
        <v>12950.2</v>
      </c>
      <c r="K37" s="87">
        <v>13207.94</v>
      </c>
      <c r="L37" s="9" t="s">
        <v>853</v>
      </c>
      <c r="N37" s="4"/>
      <c r="R37" s="8" t="s">
        <v>65</v>
      </c>
      <c r="S37" s="294">
        <v>6982.9560000000001</v>
      </c>
      <c r="T37" s="294">
        <v>7270.973</v>
      </c>
      <c r="U37" s="294">
        <v>7886.6660000000002</v>
      </c>
      <c r="V37" s="294">
        <v>8539.8490000000002</v>
      </c>
      <c r="W37" s="294">
        <v>9359.0930000000008</v>
      </c>
      <c r="X37" s="294">
        <v>10423.09</v>
      </c>
      <c r="Y37" s="294">
        <v>10764.93</v>
      </c>
      <c r="Z37" s="294">
        <v>11063.37</v>
      </c>
      <c r="AA37" s="294">
        <v>11284.21</v>
      </c>
      <c r="AB37" s="9" t="s">
        <v>853</v>
      </c>
      <c r="AD37" s="4"/>
    </row>
    <row r="38" spans="2:31" x14ac:dyDescent="0.25">
      <c r="B38" s="8" t="s">
        <v>66</v>
      </c>
      <c r="C38" s="87">
        <v>3804.83</v>
      </c>
      <c r="D38" s="87">
        <v>3960.0349999999999</v>
      </c>
      <c r="E38" s="87">
        <v>4293.87</v>
      </c>
      <c r="F38" s="87">
        <v>4649.6989999999996</v>
      </c>
      <c r="G38" s="87">
        <v>5091.5119999999997</v>
      </c>
      <c r="H38" s="87">
        <v>5668.3</v>
      </c>
      <c r="I38" s="87">
        <v>5852.0910000000003</v>
      </c>
      <c r="J38" s="87">
        <v>6014.1180000000004</v>
      </c>
      <c r="K38" s="87">
        <v>6133.8159999999998</v>
      </c>
      <c r="L38" s="9" t="s">
        <v>77</v>
      </c>
      <c r="N38" s="4"/>
      <c r="R38" s="8" t="s">
        <v>66</v>
      </c>
      <c r="S38" s="294">
        <v>3242.9090000000001</v>
      </c>
      <c r="T38" s="294">
        <v>3376.665</v>
      </c>
      <c r="U38" s="294">
        <v>3662.5949999999998</v>
      </c>
      <c r="V38" s="294">
        <v>3965.9360000000001</v>
      </c>
      <c r="W38" s="294">
        <v>4346.3959999999997</v>
      </c>
      <c r="X38" s="294">
        <v>4840.518</v>
      </c>
      <c r="Y38" s="294">
        <v>4999.2709999999997</v>
      </c>
      <c r="Z38" s="294">
        <v>5137.866</v>
      </c>
      <c r="AA38" s="294">
        <v>5240.4250000000002</v>
      </c>
      <c r="AB38" s="9" t="s">
        <v>77</v>
      </c>
      <c r="AD38" s="4"/>
    </row>
    <row r="39" spans="2:31" ht="15" customHeight="1" x14ac:dyDescent="0.25">
      <c r="B39" s="8" t="s">
        <v>67</v>
      </c>
      <c r="C39" s="87">
        <v>17755.54</v>
      </c>
      <c r="D39" s="87">
        <v>18479.810000000001</v>
      </c>
      <c r="E39" s="87">
        <v>20037.68</v>
      </c>
      <c r="F39" s="87">
        <v>21698.18</v>
      </c>
      <c r="G39" s="87">
        <v>23759.94</v>
      </c>
      <c r="H39" s="87">
        <v>26451.56</v>
      </c>
      <c r="I39" s="87">
        <v>27309.24</v>
      </c>
      <c r="J39" s="87">
        <v>28065.35</v>
      </c>
      <c r="K39" s="87">
        <v>28623.93</v>
      </c>
      <c r="L39" s="9" t="s">
        <v>854</v>
      </c>
      <c r="N39" s="4"/>
      <c r="R39" s="8" t="s">
        <v>67</v>
      </c>
      <c r="S39" s="294">
        <v>15133.29</v>
      </c>
      <c r="T39" s="294">
        <v>15757.47</v>
      </c>
      <c r="U39" s="294">
        <v>17091.79</v>
      </c>
      <c r="V39" s="294">
        <v>18507.349999999999</v>
      </c>
      <c r="W39" s="294">
        <v>20282.79</v>
      </c>
      <c r="X39" s="294">
        <v>22588.66</v>
      </c>
      <c r="Y39" s="294">
        <v>23329.49</v>
      </c>
      <c r="Z39" s="294">
        <v>23976.25</v>
      </c>
      <c r="AA39" s="294">
        <v>24454.85</v>
      </c>
      <c r="AB39" s="9" t="s">
        <v>854</v>
      </c>
      <c r="AD39" s="4"/>
    </row>
    <row r="40" spans="2:31" x14ac:dyDescent="0.25">
      <c r="B40" s="8" t="s">
        <v>68</v>
      </c>
      <c r="C40" s="87">
        <v>1460.623</v>
      </c>
      <c r="D40" s="87">
        <v>1520.204</v>
      </c>
      <c r="E40" s="87">
        <v>1648.3589999999999</v>
      </c>
      <c r="F40" s="87">
        <v>1784.9570000000001</v>
      </c>
      <c r="G40" s="87">
        <v>1954.5630000000001</v>
      </c>
      <c r="H40" s="87">
        <v>2175.9839999999999</v>
      </c>
      <c r="I40" s="87">
        <v>2246.5390000000002</v>
      </c>
      <c r="J40" s="87">
        <v>2308.739</v>
      </c>
      <c r="K40" s="87">
        <v>2354.6889999999999</v>
      </c>
      <c r="L40" s="9" t="s">
        <v>78</v>
      </c>
      <c r="N40" s="4"/>
      <c r="R40" s="8" t="s">
        <v>68</v>
      </c>
      <c r="S40" s="294">
        <v>1244.9090000000001</v>
      </c>
      <c r="T40" s="294">
        <v>1296.2560000000001</v>
      </c>
      <c r="U40" s="294">
        <v>1406.021</v>
      </c>
      <c r="V40" s="294">
        <v>1522.4690000000001</v>
      </c>
      <c r="W40" s="294">
        <v>1668.5229999999999</v>
      </c>
      <c r="X40" s="294">
        <v>1858.21</v>
      </c>
      <c r="Y40" s="294">
        <v>1919.153</v>
      </c>
      <c r="Z40" s="294">
        <v>1972.3579999999999</v>
      </c>
      <c r="AA40" s="294">
        <v>2011.729</v>
      </c>
      <c r="AB40" s="9" t="s">
        <v>78</v>
      </c>
      <c r="AD40" s="4"/>
    </row>
    <row r="41" spans="2:31" ht="24" x14ac:dyDescent="0.25">
      <c r="B41" s="8" t="s">
        <v>69</v>
      </c>
      <c r="C41" s="87">
        <v>697.75289999999995</v>
      </c>
      <c r="D41" s="87">
        <v>726.21529999999996</v>
      </c>
      <c r="E41" s="87">
        <v>787.43610000000001</v>
      </c>
      <c r="F41" s="87">
        <v>852.69010000000003</v>
      </c>
      <c r="G41" s="87">
        <v>933.71249999999998</v>
      </c>
      <c r="H41" s="87">
        <v>1039.4870000000001</v>
      </c>
      <c r="I41" s="87">
        <v>1073.192</v>
      </c>
      <c r="J41" s="87">
        <v>1102.9059999999999</v>
      </c>
      <c r="K41" s="87">
        <v>1124.856</v>
      </c>
      <c r="L41" s="9" t="s">
        <v>855</v>
      </c>
      <c r="N41" s="4"/>
      <c r="R41" s="8" t="s">
        <v>69</v>
      </c>
      <c r="S41" s="294">
        <v>594.70439999999996</v>
      </c>
      <c r="T41" s="294">
        <v>619.23339999999996</v>
      </c>
      <c r="U41" s="294">
        <v>671.66899999999998</v>
      </c>
      <c r="V41" s="294">
        <v>727.29750000000001</v>
      </c>
      <c r="W41" s="294">
        <v>797.06849999999997</v>
      </c>
      <c r="X41" s="294">
        <v>887.68370000000004</v>
      </c>
      <c r="Y41" s="294">
        <v>916.79679999999996</v>
      </c>
      <c r="Z41" s="294">
        <v>942.21320000000003</v>
      </c>
      <c r="AA41" s="294">
        <v>961.02110000000005</v>
      </c>
      <c r="AB41" s="9" t="s">
        <v>855</v>
      </c>
      <c r="AD41" s="4"/>
    </row>
    <row r="42" spans="2:31" x14ac:dyDescent="0.25">
      <c r="B42" s="8" t="s">
        <v>70</v>
      </c>
      <c r="C42" s="87">
        <v>1218.0809999999999</v>
      </c>
      <c r="D42" s="87">
        <v>1267.769</v>
      </c>
      <c r="E42" s="87">
        <v>1374.643</v>
      </c>
      <c r="F42" s="87">
        <v>1488.558</v>
      </c>
      <c r="G42" s="87">
        <v>1630.001</v>
      </c>
      <c r="H42" s="87">
        <v>1814.654</v>
      </c>
      <c r="I42" s="87">
        <v>1873.4929999999999</v>
      </c>
      <c r="J42" s="87">
        <v>1925.364</v>
      </c>
      <c r="K42" s="87">
        <v>1963.684</v>
      </c>
      <c r="L42" s="9" t="s">
        <v>856</v>
      </c>
      <c r="N42" s="4"/>
      <c r="R42" s="8" t="s">
        <v>70</v>
      </c>
      <c r="S42" s="294">
        <v>1038.1869999999999</v>
      </c>
      <c r="T42" s="294">
        <v>1081.008</v>
      </c>
      <c r="U42" s="294">
        <v>1172.546</v>
      </c>
      <c r="V42" s="294">
        <v>1269.6579999999999</v>
      </c>
      <c r="W42" s="294">
        <v>1391.4580000000001</v>
      </c>
      <c r="X42" s="294">
        <v>1549.6469999999999</v>
      </c>
      <c r="Y42" s="294">
        <v>1600.471</v>
      </c>
      <c r="Z42" s="294">
        <v>1644.84</v>
      </c>
      <c r="AA42" s="294">
        <v>1677.674</v>
      </c>
      <c r="AB42" s="9" t="s">
        <v>856</v>
      </c>
      <c r="AD42" s="4"/>
    </row>
    <row r="43" spans="2:31" x14ac:dyDescent="0.25">
      <c r="B43" s="8" t="s">
        <v>71</v>
      </c>
      <c r="C43" s="87">
        <v>248.4102</v>
      </c>
      <c r="D43" s="87">
        <v>258.54329999999999</v>
      </c>
      <c r="E43" s="87">
        <v>280.33879999999999</v>
      </c>
      <c r="F43" s="87">
        <v>303.5702</v>
      </c>
      <c r="G43" s="87">
        <v>332.4153</v>
      </c>
      <c r="H43" s="87">
        <v>370.0727</v>
      </c>
      <c r="I43" s="87">
        <v>382.072</v>
      </c>
      <c r="J43" s="87">
        <v>392.65050000000002</v>
      </c>
      <c r="K43" s="87">
        <v>400.46539999999999</v>
      </c>
      <c r="L43" s="9" t="s">
        <v>79</v>
      </c>
      <c r="N43" s="4"/>
      <c r="R43" s="8" t="s">
        <v>71</v>
      </c>
      <c r="S43" s="294">
        <v>211.7235</v>
      </c>
      <c r="T43" s="294">
        <v>220.4562</v>
      </c>
      <c r="U43" s="294">
        <v>239.124</v>
      </c>
      <c r="V43" s="294">
        <v>258.92849999999999</v>
      </c>
      <c r="W43" s="294">
        <v>283.76799999999997</v>
      </c>
      <c r="X43" s="294">
        <v>316.02839999999998</v>
      </c>
      <c r="Y43" s="294">
        <v>326.3931</v>
      </c>
      <c r="Z43" s="294">
        <v>335.44170000000003</v>
      </c>
      <c r="AA43" s="294">
        <v>342.13760000000002</v>
      </c>
      <c r="AB43" s="9" t="s">
        <v>79</v>
      </c>
      <c r="AD43" s="4"/>
    </row>
    <row r="44" spans="2:31" x14ac:dyDescent="0.25">
      <c r="B44" s="8" t="s">
        <v>72</v>
      </c>
      <c r="C44" s="87">
        <v>1305.0119999999999</v>
      </c>
      <c r="D44" s="87">
        <v>1358.2449999999999</v>
      </c>
      <c r="E44" s="87">
        <v>1472.7470000000001</v>
      </c>
      <c r="F44" s="87">
        <v>1594.7919999999999</v>
      </c>
      <c r="G44" s="87">
        <v>1746.328</v>
      </c>
      <c r="H44" s="87">
        <v>1944.16</v>
      </c>
      <c r="I44" s="87">
        <v>2007.1980000000001</v>
      </c>
      <c r="J44" s="87">
        <v>2062.7710000000002</v>
      </c>
      <c r="K44" s="87">
        <v>2103.826</v>
      </c>
      <c r="L44" s="9" t="s">
        <v>857</v>
      </c>
      <c r="N44" s="4"/>
      <c r="R44" s="8" t="s">
        <v>72</v>
      </c>
      <c r="S44" s="294">
        <v>1112.279</v>
      </c>
      <c r="T44" s="294">
        <v>1158.1559999999999</v>
      </c>
      <c r="U44" s="294">
        <v>1256.2270000000001</v>
      </c>
      <c r="V44" s="294">
        <v>1360.269</v>
      </c>
      <c r="W44" s="294">
        <v>1490.7619999999999</v>
      </c>
      <c r="X44" s="294">
        <v>1660.24</v>
      </c>
      <c r="Y44" s="294">
        <v>1714.691</v>
      </c>
      <c r="Z44" s="294">
        <v>1762.2270000000001</v>
      </c>
      <c r="AA44" s="294">
        <v>1797.404</v>
      </c>
      <c r="AB44" s="9" t="s">
        <v>857</v>
      </c>
      <c r="AD44" s="4"/>
    </row>
    <row r="45" spans="2:31" x14ac:dyDescent="0.25">
      <c r="B45" s="8" t="s">
        <v>73</v>
      </c>
      <c r="C45" s="87">
        <v>97.754369999999994</v>
      </c>
      <c r="D45" s="87">
        <v>101.7419</v>
      </c>
      <c r="E45" s="87">
        <v>110.3189</v>
      </c>
      <c r="F45" s="87">
        <v>119.4609</v>
      </c>
      <c r="G45" s="87">
        <v>130.81200000000001</v>
      </c>
      <c r="H45" s="87">
        <v>145.631</v>
      </c>
      <c r="I45" s="87">
        <v>150.35290000000001</v>
      </c>
      <c r="J45" s="87">
        <v>154.51580000000001</v>
      </c>
      <c r="K45" s="87">
        <v>157.59110000000001</v>
      </c>
      <c r="L45" s="9" t="s">
        <v>80</v>
      </c>
      <c r="N45" s="4"/>
      <c r="R45" s="8" t="s">
        <v>73</v>
      </c>
      <c r="S45" s="294">
        <v>83.317400000000006</v>
      </c>
      <c r="T45" s="294">
        <v>86.753879999999995</v>
      </c>
      <c r="U45" s="294">
        <v>94.100049999999996</v>
      </c>
      <c r="V45" s="294">
        <v>101.8935</v>
      </c>
      <c r="W45" s="294">
        <v>111.66840000000001</v>
      </c>
      <c r="X45" s="294">
        <v>124.3635</v>
      </c>
      <c r="Y45" s="294">
        <v>128.44220000000001</v>
      </c>
      <c r="Z45" s="294">
        <v>132.00299999999999</v>
      </c>
      <c r="AA45" s="294">
        <v>134.6379</v>
      </c>
      <c r="AB45" s="9" t="s">
        <v>80</v>
      </c>
      <c r="AD45" s="4"/>
    </row>
    <row r="46" spans="2:31" x14ac:dyDescent="0.25">
      <c r="B46" s="8" t="s">
        <v>74</v>
      </c>
      <c r="C46" s="87">
        <v>260.36040000000003</v>
      </c>
      <c r="D46" s="87">
        <v>270.98090000000002</v>
      </c>
      <c r="E46" s="87">
        <v>293.82490000000001</v>
      </c>
      <c r="F46" s="87">
        <v>318.17380000000003</v>
      </c>
      <c r="G46" s="87">
        <v>348.40660000000003</v>
      </c>
      <c r="H46" s="87">
        <v>387.87560000000002</v>
      </c>
      <c r="I46" s="87">
        <v>400.4522</v>
      </c>
      <c r="J46" s="87">
        <v>411.53949999999998</v>
      </c>
      <c r="K46" s="87">
        <v>419.7303</v>
      </c>
      <c r="L46" s="9" t="s">
        <v>81</v>
      </c>
      <c r="N46" s="4"/>
      <c r="R46" s="8" t="s">
        <v>74</v>
      </c>
      <c r="S46" s="294">
        <v>221.90870000000001</v>
      </c>
      <c r="T46" s="294">
        <v>231.0615</v>
      </c>
      <c r="U46" s="294">
        <v>250.62739999999999</v>
      </c>
      <c r="V46" s="294">
        <v>271.38470000000001</v>
      </c>
      <c r="W46" s="294">
        <v>297.41910000000001</v>
      </c>
      <c r="X46" s="294">
        <v>331.23140000000001</v>
      </c>
      <c r="Y46" s="294">
        <v>342.09469999999999</v>
      </c>
      <c r="Z46" s="294">
        <v>351.57859999999999</v>
      </c>
      <c r="AA46" s="294">
        <v>358.59660000000002</v>
      </c>
      <c r="AB46" s="9" t="s">
        <v>81</v>
      </c>
      <c r="AD46" s="4"/>
    </row>
    <row r="47" spans="2:31" x14ac:dyDescent="0.25">
      <c r="B47" s="10" t="s">
        <v>75</v>
      </c>
      <c r="C47" s="326">
        <v>35041.300000000003</v>
      </c>
      <c r="D47" s="326">
        <v>36470.69</v>
      </c>
      <c r="E47" s="326">
        <v>39545.21</v>
      </c>
      <c r="F47" s="326">
        <v>42822.28</v>
      </c>
      <c r="G47" s="326">
        <v>46891.24</v>
      </c>
      <c r="H47" s="326">
        <v>52203.28</v>
      </c>
      <c r="I47" s="326">
        <v>53895.93</v>
      </c>
      <c r="J47" s="326">
        <v>55388.15</v>
      </c>
      <c r="K47" s="326">
        <v>56490.54</v>
      </c>
      <c r="L47" s="11" t="s">
        <v>82</v>
      </c>
      <c r="N47" s="4">
        <f>C47/'2_Production_2'!AX24*100</f>
        <v>61.458346852849566</v>
      </c>
      <c r="R47" s="10" t="s">
        <v>75</v>
      </c>
      <c r="S47" s="296">
        <v>29866.18</v>
      </c>
      <c r="T47" s="296">
        <v>31098.04</v>
      </c>
      <c r="U47" s="296">
        <v>33731.360000000001</v>
      </c>
      <c r="V47" s="296">
        <v>36525.040000000001</v>
      </c>
      <c r="W47" s="296">
        <v>40028.949999999997</v>
      </c>
      <c r="X47" s="296">
        <v>44579.67</v>
      </c>
      <c r="Y47" s="296">
        <v>46041.73</v>
      </c>
      <c r="Z47" s="296">
        <v>47318.15</v>
      </c>
      <c r="AA47" s="296">
        <v>48262.69</v>
      </c>
      <c r="AB47" s="11" t="s">
        <v>82</v>
      </c>
      <c r="AD47" s="4">
        <f>S47/'2_Production_2'!AX24*100</f>
        <v>52.381790904151337</v>
      </c>
      <c r="AE47">
        <v>61.187308534723783</v>
      </c>
    </row>
    <row r="48" spans="2:31" x14ac:dyDescent="0.25">
      <c r="B48" s="12"/>
      <c r="C48" s="289"/>
      <c r="D48" s="294"/>
      <c r="E48" s="289"/>
      <c r="F48" s="289"/>
      <c r="G48" s="289"/>
      <c r="H48" s="289"/>
      <c r="I48" s="289"/>
      <c r="J48" s="289"/>
      <c r="K48" s="289"/>
      <c r="L48" s="13" t="s">
        <v>83</v>
      </c>
      <c r="N48" s="4"/>
      <c r="R48" s="12"/>
      <c r="S48" s="289"/>
      <c r="T48" s="294"/>
      <c r="U48" s="289"/>
      <c r="V48" s="289"/>
      <c r="W48" s="289"/>
      <c r="X48" s="289"/>
      <c r="Y48" s="289"/>
      <c r="Z48" s="289"/>
      <c r="AA48" s="289"/>
      <c r="AB48" s="13" t="s">
        <v>83</v>
      </c>
      <c r="AD48" s="4"/>
    </row>
    <row r="49" spans="2:31" x14ac:dyDescent="0.25">
      <c r="B49" s="16" t="s">
        <v>76</v>
      </c>
      <c r="C49" s="88">
        <v>6494.4809999999998</v>
      </c>
      <c r="D49" s="88">
        <v>6759.4009999999998</v>
      </c>
      <c r="E49" s="88">
        <v>7329.2259999999997</v>
      </c>
      <c r="F49" s="88">
        <v>7936.5919999999996</v>
      </c>
      <c r="G49" s="88">
        <v>8690.7240000000002</v>
      </c>
      <c r="H49" s="88">
        <v>9675.2459999999901</v>
      </c>
      <c r="I49" s="88">
        <v>9988.9590000000007</v>
      </c>
      <c r="J49" s="88">
        <v>10265.52</v>
      </c>
      <c r="K49" s="88">
        <v>10469.84</v>
      </c>
      <c r="L49" s="15" t="s">
        <v>61</v>
      </c>
      <c r="N49" s="4"/>
      <c r="R49" s="16" t="s">
        <v>76</v>
      </c>
      <c r="S49" s="298">
        <v>5535.3360000000002</v>
      </c>
      <c r="T49" s="298">
        <v>5763.6450000000004</v>
      </c>
      <c r="U49" s="298">
        <v>6251.7</v>
      </c>
      <c r="V49" s="298">
        <v>6769.4740000000002</v>
      </c>
      <c r="W49" s="298">
        <v>7418.8819999999996</v>
      </c>
      <c r="X49" s="298">
        <v>8262.3019999999997</v>
      </c>
      <c r="Y49" s="298">
        <v>8533.2780000000002</v>
      </c>
      <c r="Z49" s="298">
        <v>8769.8469999999998</v>
      </c>
      <c r="AA49" s="298">
        <v>8944.9050000000007</v>
      </c>
      <c r="AB49" s="15" t="s">
        <v>61</v>
      </c>
      <c r="AD49" s="4"/>
    </row>
    <row r="50" spans="2:31" x14ac:dyDescent="0.25">
      <c r="B50" s="25" t="s">
        <v>660</v>
      </c>
      <c r="N50" s="4"/>
      <c r="R50" s="25" t="s">
        <v>660</v>
      </c>
      <c r="AD50" s="4"/>
    </row>
    <row r="51" spans="2:31" x14ac:dyDescent="0.25">
      <c r="B51" s="5" t="s">
        <v>84</v>
      </c>
      <c r="C51" s="6">
        <v>2024</v>
      </c>
      <c r="D51" s="6">
        <f t="shared" ref="D51:K51" si="27">C51+1</f>
        <v>2025</v>
      </c>
      <c r="E51" s="6">
        <f t="shared" si="27"/>
        <v>2026</v>
      </c>
      <c r="F51" s="6">
        <f t="shared" si="27"/>
        <v>2027</v>
      </c>
      <c r="G51" s="6">
        <f t="shared" si="27"/>
        <v>2028</v>
      </c>
      <c r="H51" s="6">
        <f t="shared" si="27"/>
        <v>2029</v>
      </c>
      <c r="I51" s="6">
        <f t="shared" si="27"/>
        <v>2030</v>
      </c>
      <c r="J51" s="6">
        <f t="shared" si="27"/>
        <v>2031</v>
      </c>
      <c r="K51" s="6">
        <f t="shared" si="27"/>
        <v>2032</v>
      </c>
      <c r="L51" s="7" t="s">
        <v>34</v>
      </c>
      <c r="N51" s="4"/>
      <c r="R51" s="5" t="s">
        <v>84</v>
      </c>
      <c r="S51" s="6">
        <v>2024</v>
      </c>
      <c r="T51" s="6">
        <f t="shared" ref="T51" si="28">S51+1</f>
        <v>2025</v>
      </c>
      <c r="U51" s="6">
        <f t="shared" ref="U51" si="29">T51+1</f>
        <v>2026</v>
      </c>
      <c r="V51" s="6">
        <f t="shared" ref="V51" si="30">U51+1</f>
        <v>2027</v>
      </c>
      <c r="W51" s="6">
        <f t="shared" ref="W51" si="31">V51+1</f>
        <v>2028</v>
      </c>
      <c r="X51" s="6">
        <f t="shared" ref="X51" si="32">W51+1</f>
        <v>2029</v>
      </c>
      <c r="Y51" s="6">
        <f t="shared" ref="Y51" si="33">X51+1</f>
        <v>2030</v>
      </c>
      <c r="Z51" s="6">
        <f t="shared" ref="Z51" si="34">Y51+1</f>
        <v>2031</v>
      </c>
      <c r="AA51" s="6">
        <f t="shared" ref="AA51" si="35">Z51+1</f>
        <v>2032</v>
      </c>
      <c r="AB51" s="7" t="s">
        <v>34</v>
      </c>
      <c r="AD51" s="4"/>
    </row>
    <row r="52" spans="2:31" x14ac:dyDescent="0.25">
      <c r="B52" s="8" t="s">
        <v>85</v>
      </c>
      <c r="C52" s="327">
        <v>0.165966</v>
      </c>
      <c r="D52" s="327">
        <v>0.1912819</v>
      </c>
      <c r="E52" s="327">
        <v>0.2051123</v>
      </c>
      <c r="F52" s="327">
        <v>0.273372</v>
      </c>
      <c r="G52" s="327">
        <v>0.27679389999999998</v>
      </c>
      <c r="H52" s="327">
        <v>0.2807769</v>
      </c>
      <c r="I52" s="327">
        <v>0.28860170000000002</v>
      </c>
      <c r="J52" s="327">
        <v>0.3373524</v>
      </c>
      <c r="K52" s="327">
        <v>0.3837296</v>
      </c>
      <c r="L52" s="9" t="s">
        <v>858</v>
      </c>
      <c r="N52" s="4"/>
      <c r="R52" s="8" t="s">
        <v>85</v>
      </c>
      <c r="S52" s="297">
        <v>0.127253</v>
      </c>
      <c r="T52" s="297">
        <v>0.14685100000000001</v>
      </c>
      <c r="U52" s="297">
        <v>0.15754599999999999</v>
      </c>
      <c r="V52" s="297">
        <v>0.2099017</v>
      </c>
      <c r="W52" s="297">
        <v>0.21341959999999999</v>
      </c>
      <c r="X52" s="297">
        <v>0.21647920000000001</v>
      </c>
      <c r="Y52" s="297">
        <v>0.22248760000000001</v>
      </c>
      <c r="Z52" s="297">
        <v>0.26010559999999999</v>
      </c>
      <c r="AA52" s="297">
        <v>0.29542420000000003</v>
      </c>
      <c r="AB52" s="9" t="s">
        <v>858</v>
      </c>
      <c r="AD52" s="4"/>
    </row>
    <row r="53" spans="2:31" x14ac:dyDescent="0.25">
      <c r="B53" s="8" t="s">
        <v>86</v>
      </c>
      <c r="C53" s="87">
        <v>1323.5820000000001</v>
      </c>
      <c r="D53" s="87">
        <v>1525.4770000000001</v>
      </c>
      <c r="E53" s="87">
        <v>1635.7750000000001</v>
      </c>
      <c r="F53" s="87">
        <v>2180.1469999999999</v>
      </c>
      <c r="G53" s="87">
        <v>2207.4369999999999</v>
      </c>
      <c r="H53" s="87">
        <v>2239.2020000000002</v>
      </c>
      <c r="I53" s="87">
        <v>2301.605</v>
      </c>
      <c r="J53" s="87">
        <v>2690.393</v>
      </c>
      <c r="K53" s="87">
        <v>3060.252</v>
      </c>
      <c r="L53" s="9" t="s">
        <v>97</v>
      </c>
      <c r="N53" s="4"/>
      <c r="R53" s="8" t="s">
        <v>86</v>
      </c>
      <c r="S53" s="294">
        <v>1014.846</v>
      </c>
      <c r="T53" s="294">
        <v>1171.1400000000001</v>
      </c>
      <c r="U53" s="294">
        <v>1256.433</v>
      </c>
      <c r="V53" s="294">
        <v>1673.971</v>
      </c>
      <c r="W53" s="294">
        <v>1702.0260000000001</v>
      </c>
      <c r="X53" s="294">
        <v>1726.4269999999999</v>
      </c>
      <c r="Y53" s="294">
        <v>1774.3440000000001</v>
      </c>
      <c r="Z53" s="294">
        <v>2074.348</v>
      </c>
      <c r="AA53" s="294">
        <v>2356.0140000000001</v>
      </c>
      <c r="AB53" s="9" t="s">
        <v>97</v>
      </c>
      <c r="AD53" s="4"/>
    </row>
    <row r="54" spans="2:31" x14ac:dyDescent="0.25">
      <c r="B54" s="8" t="s">
        <v>87</v>
      </c>
      <c r="C54" s="87">
        <v>1154.2729999999999</v>
      </c>
      <c r="D54" s="87">
        <v>1330.3430000000001</v>
      </c>
      <c r="E54" s="87">
        <v>1426.5319999999999</v>
      </c>
      <c r="F54" s="87">
        <v>1901.269</v>
      </c>
      <c r="G54" s="87">
        <v>1925.068</v>
      </c>
      <c r="H54" s="87">
        <v>1952.77</v>
      </c>
      <c r="I54" s="87">
        <v>2007.19</v>
      </c>
      <c r="J54" s="87">
        <v>2346.2460000000001</v>
      </c>
      <c r="K54" s="87">
        <v>2668.7930000000001</v>
      </c>
      <c r="L54" s="9" t="s">
        <v>859</v>
      </c>
      <c r="N54" s="4"/>
      <c r="R54" s="8" t="s">
        <v>87</v>
      </c>
      <c r="S54" s="294">
        <v>885.02970000000005</v>
      </c>
      <c r="T54" s="294">
        <v>1021.331</v>
      </c>
      <c r="U54" s="294">
        <v>1095.713</v>
      </c>
      <c r="V54" s="294">
        <v>1459.8409999999999</v>
      </c>
      <c r="W54" s="294">
        <v>1484.308</v>
      </c>
      <c r="X54" s="294">
        <v>1505.587</v>
      </c>
      <c r="Y54" s="294">
        <v>1547.375</v>
      </c>
      <c r="Z54" s="294">
        <v>1809.0029999999999</v>
      </c>
      <c r="AA54" s="294">
        <v>2054.64</v>
      </c>
      <c r="AB54" s="9" t="s">
        <v>859</v>
      </c>
      <c r="AD54" s="4"/>
    </row>
    <row r="55" spans="2:31" x14ac:dyDescent="0.25">
      <c r="B55" s="8" t="s">
        <v>88</v>
      </c>
      <c r="C55" s="87">
        <v>670.04610000000002</v>
      </c>
      <c r="D55" s="87">
        <v>772.25279999999998</v>
      </c>
      <c r="E55" s="87">
        <v>828.08989999999994</v>
      </c>
      <c r="F55" s="87">
        <v>1103.671</v>
      </c>
      <c r="G55" s="87">
        <v>1117.4860000000001</v>
      </c>
      <c r="H55" s="87">
        <v>1133.567</v>
      </c>
      <c r="I55" s="87">
        <v>1165.1569999999999</v>
      </c>
      <c r="J55" s="87">
        <v>1361.9760000000001</v>
      </c>
      <c r="K55" s="87">
        <v>1549.212</v>
      </c>
      <c r="L55" s="9" t="s">
        <v>98</v>
      </c>
      <c r="N55" s="4"/>
      <c r="R55" s="8" t="s">
        <v>88</v>
      </c>
      <c r="S55" s="294">
        <v>513.75239999999997</v>
      </c>
      <c r="T55" s="294">
        <v>592.8741</v>
      </c>
      <c r="U55" s="294">
        <v>636.05259999999998</v>
      </c>
      <c r="V55" s="294">
        <v>847.42570000000001</v>
      </c>
      <c r="W55" s="294">
        <v>861.62850000000003</v>
      </c>
      <c r="X55" s="294">
        <v>873.98090000000002</v>
      </c>
      <c r="Y55" s="294">
        <v>898.23829999999998</v>
      </c>
      <c r="Z55" s="294">
        <v>1050.1110000000001</v>
      </c>
      <c r="AA55" s="294">
        <v>1192.701</v>
      </c>
      <c r="AB55" s="9" t="s">
        <v>98</v>
      </c>
      <c r="AD55" s="4"/>
    </row>
    <row r="56" spans="2:31" x14ac:dyDescent="0.25">
      <c r="B56" s="8" t="s">
        <v>89</v>
      </c>
      <c r="C56" s="87">
        <v>534.37710000000004</v>
      </c>
      <c r="D56" s="87">
        <v>615.88930000000005</v>
      </c>
      <c r="E56" s="87">
        <v>660.42070000000001</v>
      </c>
      <c r="F56" s="87">
        <v>880.20299999999997</v>
      </c>
      <c r="G56" s="87">
        <v>891.22090000000003</v>
      </c>
      <c r="H56" s="87">
        <v>904.0453</v>
      </c>
      <c r="I56" s="87">
        <v>929.2396</v>
      </c>
      <c r="J56" s="87">
        <v>1086.2070000000001</v>
      </c>
      <c r="K56" s="87">
        <v>1235.5319999999999</v>
      </c>
      <c r="L56" s="9" t="s">
        <v>860</v>
      </c>
      <c r="N56" s="4"/>
      <c r="R56" s="8" t="s">
        <v>89</v>
      </c>
      <c r="S56" s="294">
        <v>409.72930000000002</v>
      </c>
      <c r="T56" s="294">
        <v>472.83069999999998</v>
      </c>
      <c r="U56" s="294">
        <v>507.26650000000001</v>
      </c>
      <c r="V56" s="294">
        <v>675.84140000000002</v>
      </c>
      <c r="W56" s="294">
        <v>687.16849999999999</v>
      </c>
      <c r="X56" s="294">
        <v>697.01969999999994</v>
      </c>
      <c r="Y56" s="294">
        <v>716.36559999999997</v>
      </c>
      <c r="Z56" s="294">
        <v>837.48789999999997</v>
      </c>
      <c r="AA56" s="294">
        <v>951.20659999999998</v>
      </c>
      <c r="AB56" s="9" t="s">
        <v>860</v>
      </c>
      <c r="AD56" s="4"/>
    </row>
    <row r="57" spans="2:31" x14ac:dyDescent="0.25">
      <c r="B57" s="8" t="s">
        <v>90</v>
      </c>
      <c r="C57" s="87">
        <v>291.59609999999998</v>
      </c>
      <c r="D57" s="87">
        <v>336.07530000000003</v>
      </c>
      <c r="E57" s="87">
        <v>360.37490000000003</v>
      </c>
      <c r="F57" s="87">
        <v>480.30459999999999</v>
      </c>
      <c r="G57" s="87">
        <v>486.3168</v>
      </c>
      <c r="H57" s="87">
        <v>493.31470000000002</v>
      </c>
      <c r="I57" s="87">
        <v>507.06270000000001</v>
      </c>
      <c r="J57" s="87">
        <v>592.71600000000001</v>
      </c>
      <c r="K57" s="87">
        <v>674.19889999999998</v>
      </c>
      <c r="L57" s="9" t="s">
        <v>861</v>
      </c>
      <c r="N57" s="4"/>
      <c r="R57" s="8" t="s">
        <v>90</v>
      </c>
      <c r="S57" s="294">
        <v>223.57900000000001</v>
      </c>
      <c r="T57" s="294">
        <v>258.01179999999999</v>
      </c>
      <c r="U57" s="294">
        <v>276.80250000000001</v>
      </c>
      <c r="V57" s="294">
        <v>368.78960000000001</v>
      </c>
      <c r="W57" s="294">
        <v>374.97050000000002</v>
      </c>
      <c r="X57" s="294">
        <v>380.34609999999998</v>
      </c>
      <c r="Y57" s="294">
        <v>390.90269999999998</v>
      </c>
      <c r="Z57" s="294">
        <v>456.99599999999998</v>
      </c>
      <c r="AA57" s="294">
        <v>519.04949999999997</v>
      </c>
      <c r="AB57" s="9" t="s">
        <v>861</v>
      </c>
      <c r="AD57" s="4"/>
    </row>
    <row r="58" spans="2:31" x14ac:dyDescent="0.25">
      <c r="B58" s="8" t="s">
        <v>91</v>
      </c>
      <c r="C58" s="87">
        <v>67.418270000000007</v>
      </c>
      <c r="D58" s="87">
        <v>77.702029999999894</v>
      </c>
      <c r="E58" s="87">
        <v>83.320220000000006</v>
      </c>
      <c r="F58" s="87">
        <v>111.0485</v>
      </c>
      <c r="G58" s="87">
        <v>112.4385</v>
      </c>
      <c r="H58" s="87">
        <v>114.0565</v>
      </c>
      <c r="I58" s="87">
        <v>117.235</v>
      </c>
      <c r="J58" s="87">
        <v>137.0385</v>
      </c>
      <c r="K58" s="87">
        <v>155.8777</v>
      </c>
      <c r="L58" s="9" t="s">
        <v>99</v>
      </c>
      <c r="N58" s="4"/>
      <c r="R58" s="8" t="s">
        <v>91</v>
      </c>
      <c r="S58" s="294">
        <v>51.692410000000002</v>
      </c>
      <c r="T58" s="294">
        <v>59.653419999999997</v>
      </c>
      <c r="U58" s="294">
        <v>63.997920000000001</v>
      </c>
      <c r="V58" s="294">
        <v>85.265730000000005</v>
      </c>
      <c r="W58" s="294">
        <v>86.694779999999994</v>
      </c>
      <c r="X58" s="294">
        <v>87.937640000000002</v>
      </c>
      <c r="Y58" s="294">
        <v>90.378360000000001</v>
      </c>
      <c r="Z58" s="294">
        <v>105.65940000000001</v>
      </c>
      <c r="AA58" s="294">
        <v>120.0065</v>
      </c>
      <c r="AB58" s="9" t="s">
        <v>99</v>
      </c>
      <c r="AD58" s="4"/>
    </row>
    <row r="59" spans="2:31" x14ac:dyDescent="0.25">
      <c r="B59" s="8" t="s">
        <v>92</v>
      </c>
      <c r="C59" s="87">
        <v>218.23920000000001</v>
      </c>
      <c r="D59" s="87">
        <v>251.52869999999999</v>
      </c>
      <c r="E59" s="87">
        <v>269.71530000000001</v>
      </c>
      <c r="F59" s="87">
        <v>359.4742</v>
      </c>
      <c r="G59" s="87">
        <v>363.97379999999998</v>
      </c>
      <c r="H59" s="87">
        <v>369.21129999999999</v>
      </c>
      <c r="I59" s="87">
        <v>379.50069999999999</v>
      </c>
      <c r="J59" s="87">
        <v>443.6062</v>
      </c>
      <c r="K59" s="87">
        <v>504.59039999999999</v>
      </c>
      <c r="L59" s="9" t="s">
        <v>862</v>
      </c>
      <c r="N59" s="4"/>
      <c r="R59" s="8" t="s">
        <v>92</v>
      </c>
      <c r="S59" s="294">
        <v>167.3331</v>
      </c>
      <c r="T59" s="294">
        <v>193.1036</v>
      </c>
      <c r="U59" s="294">
        <v>207.16720000000001</v>
      </c>
      <c r="V59" s="294">
        <v>276.01310000000001</v>
      </c>
      <c r="W59" s="294">
        <v>280.63900000000001</v>
      </c>
      <c r="X59" s="294">
        <v>284.66230000000002</v>
      </c>
      <c r="Y59" s="294">
        <v>292.56310000000002</v>
      </c>
      <c r="Z59" s="294">
        <v>342.02929999999998</v>
      </c>
      <c r="AA59" s="294">
        <v>388.47199999999998</v>
      </c>
      <c r="AB59" s="9" t="s">
        <v>862</v>
      </c>
      <c r="AD59" s="4"/>
    </row>
    <row r="60" spans="2:31" x14ac:dyDescent="0.25">
      <c r="B60" s="8" t="s">
        <v>93</v>
      </c>
      <c r="C60" s="87">
        <v>10.504390000000001</v>
      </c>
      <c r="D60" s="87">
        <v>12.1067</v>
      </c>
      <c r="E60" s="87">
        <v>12.98207</v>
      </c>
      <c r="F60" s="87">
        <v>17.302379999999999</v>
      </c>
      <c r="G60" s="87">
        <v>17.518969999999999</v>
      </c>
      <c r="H60" s="87">
        <v>17.771059999999999</v>
      </c>
      <c r="I60" s="87">
        <v>18.266310000000001</v>
      </c>
      <c r="J60" s="87">
        <v>21.351870000000002</v>
      </c>
      <c r="K60" s="87">
        <v>24.287189999999999</v>
      </c>
      <c r="L60" s="9" t="s">
        <v>100</v>
      </c>
      <c r="R60" s="8" t="s">
        <v>93</v>
      </c>
      <c r="S60" s="294">
        <v>8.0541579999999904</v>
      </c>
      <c r="T60" s="294">
        <v>9.2945580000000003</v>
      </c>
      <c r="U60" s="294">
        <v>9.9714720000000003</v>
      </c>
      <c r="V60" s="294">
        <v>13.28519</v>
      </c>
      <c r="W60" s="294">
        <v>13.507849999999999</v>
      </c>
      <c r="X60" s="294">
        <v>13.701499999999999</v>
      </c>
      <c r="Y60" s="294">
        <v>14.08179</v>
      </c>
      <c r="Z60" s="294">
        <v>16.462720000000001</v>
      </c>
      <c r="AA60" s="294">
        <v>18.698119999999999</v>
      </c>
      <c r="AB60" s="9" t="s">
        <v>100</v>
      </c>
    </row>
    <row r="61" spans="2:31" x14ac:dyDescent="0.25">
      <c r="B61" s="8" t="s">
        <v>94</v>
      </c>
      <c r="C61" s="87">
        <v>18.600539999999999</v>
      </c>
      <c r="D61" s="87">
        <v>21.437799999999999</v>
      </c>
      <c r="E61" s="87">
        <v>22.987850000000002</v>
      </c>
      <c r="F61" s="87">
        <v>30.638010000000001</v>
      </c>
      <c r="G61" s="87">
        <v>31.021509999999999</v>
      </c>
      <c r="H61" s="87">
        <v>31.46791</v>
      </c>
      <c r="I61" s="87">
        <v>32.34487</v>
      </c>
      <c r="J61" s="87">
        <v>37.808579999999999</v>
      </c>
      <c r="K61" s="87">
        <v>43.006270000000001</v>
      </c>
      <c r="L61" s="9" t="s">
        <v>101</v>
      </c>
      <c r="R61" s="8" t="s">
        <v>94</v>
      </c>
      <c r="S61" s="294">
        <v>14.261810000000001</v>
      </c>
      <c r="T61" s="294">
        <v>16.45824</v>
      </c>
      <c r="U61" s="294">
        <v>17.656870000000001</v>
      </c>
      <c r="V61" s="294">
        <v>23.524609999999999</v>
      </c>
      <c r="W61" s="294">
        <v>23.918880000000001</v>
      </c>
      <c r="X61" s="294">
        <v>24.261780000000002</v>
      </c>
      <c r="Y61" s="294">
        <v>24.935169999999999</v>
      </c>
      <c r="Z61" s="294">
        <v>29.15118</v>
      </c>
      <c r="AA61" s="294">
        <v>33.109490000000001</v>
      </c>
      <c r="AB61" s="9" t="s">
        <v>101</v>
      </c>
    </row>
    <row r="62" spans="2:31" x14ac:dyDescent="0.25">
      <c r="B62" s="10" t="s">
        <v>95</v>
      </c>
      <c r="C62" s="326">
        <v>4288.8029999999999</v>
      </c>
      <c r="D62" s="326">
        <v>4943.0029999999997</v>
      </c>
      <c r="E62" s="326">
        <v>5300.4030000000002</v>
      </c>
      <c r="F62" s="326">
        <v>7064.3310000000001</v>
      </c>
      <c r="G62" s="326">
        <v>7152.759</v>
      </c>
      <c r="H62" s="326">
        <v>7255.6850000000004</v>
      </c>
      <c r="I62" s="326">
        <v>7457.89</v>
      </c>
      <c r="J62" s="326">
        <v>8717.6810000000005</v>
      </c>
      <c r="K62" s="326">
        <v>9916.134</v>
      </c>
      <c r="L62" s="11" t="s">
        <v>102</v>
      </c>
      <c r="R62" s="10" t="s">
        <v>95</v>
      </c>
      <c r="S62" s="296">
        <v>3288.4050000000002</v>
      </c>
      <c r="T62" s="296">
        <v>3794.8429999999998</v>
      </c>
      <c r="U62" s="296">
        <v>4071.2179999999998</v>
      </c>
      <c r="V62" s="296">
        <v>5424.1670000000004</v>
      </c>
      <c r="W62" s="296">
        <v>5515.0749999999998</v>
      </c>
      <c r="X62" s="296">
        <v>5594.14</v>
      </c>
      <c r="Y62" s="296">
        <v>5749.4059999999999</v>
      </c>
      <c r="Z62" s="296">
        <v>6721.509</v>
      </c>
      <c r="AA62" s="296">
        <v>7634.1930000000002</v>
      </c>
      <c r="AB62" s="11" t="s">
        <v>102</v>
      </c>
    </row>
    <row r="63" spans="2:31" x14ac:dyDescent="0.25">
      <c r="B63" s="12"/>
      <c r="C63" s="289"/>
      <c r="D63" s="294"/>
      <c r="E63" s="289"/>
      <c r="F63" s="289"/>
      <c r="G63" s="289"/>
      <c r="H63" s="289"/>
      <c r="I63" s="289"/>
      <c r="J63" s="289"/>
      <c r="K63" s="289"/>
      <c r="L63" s="13" t="s">
        <v>103</v>
      </c>
      <c r="N63">
        <f>C62/'2_Production_2'!AX25*100</f>
        <v>42.896793814976398</v>
      </c>
      <c r="R63" s="12"/>
      <c r="S63" s="289"/>
      <c r="T63" s="294"/>
      <c r="U63" s="289"/>
      <c r="V63" s="289"/>
      <c r="W63" s="289"/>
      <c r="X63" s="289"/>
      <c r="Y63" s="289"/>
      <c r="Z63" s="289"/>
      <c r="AA63" s="289"/>
      <c r="AB63" s="13" t="s">
        <v>103</v>
      </c>
      <c r="AD63">
        <f>S62/'2_Production_2'!AX25*100</f>
        <v>32.890769584226057</v>
      </c>
      <c r="AE63">
        <v>42.639265927331309</v>
      </c>
    </row>
    <row r="64" spans="2:31" x14ac:dyDescent="0.25">
      <c r="B64" s="16" t="s">
        <v>96</v>
      </c>
      <c r="C64" s="88">
        <v>1557.492</v>
      </c>
      <c r="D64" s="88">
        <v>1795.066</v>
      </c>
      <c r="E64" s="88">
        <v>1924.857</v>
      </c>
      <c r="F64" s="88">
        <v>2565.433</v>
      </c>
      <c r="G64" s="88">
        <v>2597.5459999999998</v>
      </c>
      <c r="H64" s="88">
        <v>2634.924</v>
      </c>
      <c r="I64" s="88">
        <v>2708.355</v>
      </c>
      <c r="J64" s="88">
        <v>3165.8519999999999</v>
      </c>
      <c r="K64" s="88">
        <v>3601.0740000000001</v>
      </c>
      <c r="L64" s="15" t="s">
        <v>61</v>
      </c>
      <c r="R64" s="16" t="s">
        <v>96</v>
      </c>
      <c r="S64" s="298">
        <v>1194.194</v>
      </c>
      <c r="T64" s="298">
        <v>1378.1089999999999</v>
      </c>
      <c r="U64" s="298">
        <v>1478.4749999999999</v>
      </c>
      <c r="V64" s="298">
        <v>1969.8019999999999</v>
      </c>
      <c r="W64" s="298">
        <v>2002.816</v>
      </c>
      <c r="X64" s="298">
        <v>2031.529</v>
      </c>
      <c r="Y64" s="298">
        <v>2087.9140000000002</v>
      </c>
      <c r="Z64" s="298">
        <v>2440.9360000000001</v>
      </c>
      <c r="AA64" s="298">
        <v>2772.38</v>
      </c>
      <c r="AB64" s="15" t="s">
        <v>61</v>
      </c>
    </row>
    <row r="65" spans="2:30" x14ac:dyDescent="0.25">
      <c r="B65" s="25" t="s">
        <v>661</v>
      </c>
      <c r="R65" s="25" t="s">
        <v>661</v>
      </c>
    </row>
    <row r="66" spans="2:30" x14ac:dyDescent="0.25">
      <c r="B66" s="5" t="s">
        <v>5</v>
      </c>
      <c r="C66" s="6">
        <v>2024</v>
      </c>
      <c r="D66" s="6">
        <f t="shared" ref="D66:K66" si="36">C66+1</f>
        <v>2025</v>
      </c>
      <c r="E66" s="6">
        <f t="shared" si="36"/>
        <v>2026</v>
      </c>
      <c r="F66" s="6">
        <f t="shared" si="36"/>
        <v>2027</v>
      </c>
      <c r="G66" s="6">
        <f t="shared" si="36"/>
        <v>2028</v>
      </c>
      <c r="H66" s="6">
        <f t="shared" si="36"/>
        <v>2029</v>
      </c>
      <c r="I66" s="6">
        <f t="shared" si="36"/>
        <v>2030</v>
      </c>
      <c r="J66" s="6">
        <f t="shared" si="36"/>
        <v>2031</v>
      </c>
      <c r="K66" s="6">
        <f t="shared" si="36"/>
        <v>2032</v>
      </c>
      <c r="L66" s="7" t="s">
        <v>34</v>
      </c>
      <c r="R66" s="5" t="s">
        <v>5</v>
      </c>
      <c r="S66" s="6">
        <v>2024</v>
      </c>
      <c r="T66" s="6">
        <f t="shared" ref="T66" si="37">S66+1</f>
        <v>2025</v>
      </c>
      <c r="U66" s="6">
        <f t="shared" ref="U66" si="38">T66+1</f>
        <v>2026</v>
      </c>
      <c r="V66" s="6">
        <f t="shared" ref="V66" si="39">U66+1</f>
        <v>2027</v>
      </c>
      <c r="W66" s="6">
        <f t="shared" ref="W66" si="40">V66+1</f>
        <v>2028</v>
      </c>
      <c r="X66" s="6">
        <f t="shared" ref="X66" si="41">W66+1</f>
        <v>2029</v>
      </c>
      <c r="Y66" s="6">
        <f t="shared" ref="Y66" si="42">X66+1</f>
        <v>2030</v>
      </c>
      <c r="Z66" s="6">
        <f t="shared" ref="Z66" si="43">Y66+1</f>
        <v>2031</v>
      </c>
      <c r="AA66" s="6">
        <f t="shared" ref="AA66" si="44">Z66+1</f>
        <v>2032</v>
      </c>
      <c r="AB66" s="7" t="s">
        <v>34</v>
      </c>
    </row>
    <row r="67" spans="2:30" x14ac:dyDescent="0.25">
      <c r="B67" s="8" t="s">
        <v>104</v>
      </c>
      <c r="C67" s="87">
        <v>101.07089999999999</v>
      </c>
      <c r="D67" s="87">
        <v>112.9256</v>
      </c>
      <c r="E67" s="87">
        <v>125.2296</v>
      </c>
      <c r="F67" s="87">
        <v>132.54669999999999</v>
      </c>
      <c r="G67" s="87">
        <v>145.0874</v>
      </c>
      <c r="H67" s="87">
        <v>151.6437</v>
      </c>
      <c r="I67" s="87">
        <v>157.84360000000001</v>
      </c>
      <c r="J67" s="87">
        <v>165.13679999999999</v>
      </c>
      <c r="K67" s="87">
        <v>171.24090000000001</v>
      </c>
      <c r="L67" s="9" t="s">
        <v>731</v>
      </c>
      <c r="N67" s="4"/>
      <c r="R67" s="8" t="s">
        <v>104</v>
      </c>
      <c r="S67" s="294">
        <v>94.223669999999998</v>
      </c>
      <c r="T67" s="294">
        <v>105.2745</v>
      </c>
      <c r="U67" s="294">
        <v>116.74590000000001</v>
      </c>
      <c r="V67" s="294">
        <v>123.5673</v>
      </c>
      <c r="W67" s="294">
        <v>135.25729999999999</v>
      </c>
      <c r="X67" s="294">
        <v>141.37039999999999</v>
      </c>
      <c r="Y67" s="294">
        <v>147.15100000000001</v>
      </c>
      <c r="Z67" s="294">
        <v>153.94999999999999</v>
      </c>
      <c r="AA67" s="294">
        <v>159.64070000000001</v>
      </c>
      <c r="AB67" s="9" t="s">
        <v>731</v>
      </c>
      <c r="AD67" s="4"/>
    </row>
    <row r="68" spans="2:30" x14ac:dyDescent="0.25">
      <c r="B68" s="8" t="s">
        <v>105</v>
      </c>
      <c r="C68" s="87">
        <v>170.8304</v>
      </c>
      <c r="D68" s="87">
        <v>190.8673</v>
      </c>
      <c r="E68" s="87">
        <v>211.6636</v>
      </c>
      <c r="F68" s="87">
        <v>224.03100000000001</v>
      </c>
      <c r="G68" s="87">
        <v>245.22720000000001</v>
      </c>
      <c r="H68" s="87">
        <v>256.30880000000002</v>
      </c>
      <c r="I68" s="87">
        <v>266.78800000000001</v>
      </c>
      <c r="J68" s="87">
        <v>279.11489999999998</v>
      </c>
      <c r="K68" s="87">
        <v>289.43200000000002</v>
      </c>
      <c r="L68" s="9" t="s">
        <v>116</v>
      </c>
      <c r="N68" s="4"/>
      <c r="R68" s="8" t="s">
        <v>105</v>
      </c>
      <c r="S68" s="294">
        <v>159.25720000000001</v>
      </c>
      <c r="T68" s="294">
        <v>177.93539999999999</v>
      </c>
      <c r="U68" s="294">
        <v>197.32429999999999</v>
      </c>
      <c r="V68" s="294">
        <v>208.85400000000001</v>
      </c>
      <c r="W68" s="294">
        <v>228.61250000000001</v>
      </c>
      <c r="X68" s="294">
        <v>238.94479999999999</v>
      </c>
      <c r="Y68" s="294">
        <v>248.71520000000001</v>
      </c>
      <c r="Z68" s="294">
        <v>260.20690000000002</v>
      </c>
      <c r="AA68" s="294">
        <v>269.8254</v>
      </c>
      <c r="AB68" s="9" t="s">
        <v>116</v>
      </c>
      <c r="AD68" s="4"/>
    </row>
    <row r="69" spans="2:30" x14ac:dyDescent="0.25">
      <c r="B69" s="8" t="s">
        <v>106</v>
      </c>
      <c r="C69" s="87">
        <v>9400.8410000000003</v>
      </c>
      <c r="D69" s="87">
        <v>10503.48</v>
      </c>
      <c r="E69" s="87">
        <v>11647.91</v>
      </c>
      <c r="F69" s="87">
        <v>12328.49</v>
      </c>
      <c r="G69" s="87">
        <v>13494.92</v>
      </c>
      <c r="H69" s="87">
        <v>14104.74</v>
      </c>
      <c r="I69" s="87">
        <v>14681.41</v>
      </c>
      <c r="J69" s="87">
        <v>15359.77</v>
      </c>
      <c r="K69" s="87">
        <v>15927.52</v>
      </c>
      <c r="L69" s="9" t="s">
        <v>732</v>
      </c>
      <c r="N69" s="4"/>
      <c r="R69" s="8" t="s">
        <v>106</v>
      </c>
      <c r="S69" s="294">
        <v>8763.96899999999</v>
      </c>
      <c r="T69" s="294">
        <v>9791.8330000000005</v>
      </c>
      <c r="U69" s="294">
        <v>10858.81</v>
      </c>
      <c r="V69" s="294">
        <v>11493.29</v>
      </c>
      <c r="W69" s="294">
        <v>12580.61</v>
      </c>
      <c r="X69" s="294">
        <v>13149.2</v>
      </c>
      <c r="Y69" s="294">
        <v>13686.87</v>
      </c>
      <c r="Z69" s="294">
        <v>14319.25</v>
      </c>
      <c r="AA69" s="294">
        <v>14848.57</v>
      </c>
      <c r="AB69" s="9" t="s">
        <v>732</v>
      </c>
      <c r="AD69" s="4"/>
    </row>
    <row r="70" spans="2:30" x14ac:dyDescent="0.25">
      <c r="B70" s="8" t="s">
        <v>107</v>
      </c>
      <c r="C70" s="87">
        <v>476.02199999999999</v>
      </c>
      <c r="D70" s="87">
        <v>531.85530000000006</v>
      </c>
      <c r="E70" s="87">
        <v>589.80460000000005</v>
      </c>
      <c r="F70" s="87">
        <v>624.26670000000001</v>
      </c>
      <c r="G70" s="87">
        <v>683.33029999999997</v>
      </c>
      <c r="H70" s="87">
        <v>714.20939999999996</v>
      </c>
      <c r="I70" s="87">
        <v>743.40970000000004</v>
      </c>
      <c r="J70" s="87">
        <v>777.75890000000004</v>
      </c>
      <c r="K70" s="87">
        <v>806.50779999999997</v>
      </c>
      <c r="L70" s="9" t="s">
        <v>117</v>
      </c>
      <c r="N70" s="4"/>
      <c r="R70" s="8" t="s">
        <v>107</v>
      </c>
      <c r="S70" s="294">
        <v>443.77330000000001</v>
      </c>
      <c r="T70" s="294">
        <v>495.82029999999997</v>
      </c>
      <c r="U70" s="294">
        <v>549.84799999999996</v>
      </c>
      <c r="V70" s="294">
        <v>581.97550000000001</v>
      </c>
      <c r="W70" s="294">
        <v>637.03300000000002</v>
      </c>
      <c r="X70" s="294">
        <v>665.82420000000002</v>
      </c>
      <c r="Y70" s="294">
        <v>693.04970000000003</v>
      </c>
      <c r="Z70" s="294">
        <v>725.07129999999995</v>
      </c>
      <c r="AA70" s="294">
        <v>751.87360000000001</v>
      </c>
      <c r="AB70" s="9" t="s">
        <v>117</v>
      </c>
      <c r="AD70" s="4"/>
    </row>
    <row r="71" spans="2:30" x14ac:dyDescent="0.25">
      <c r="B71" s="8" t="s">
        <v>108</v>
      </c>
      <c r="C71" s="87">
        <v>2238.0329999999999</v>
      </c>
      <c r="D71" s="87">
        <v>2500.5349999999999</v>
      </c>
      <c r="E71" s="87">
        <v>2772.9859999999999</v>
      </c>
      <c r="F71" s="87">
        <v>2935.01</v>
      </c>
      <c r="G71" s="87">
        <v>3212.7</v>
      </c>
      <c r="H71" s="87">
        <v>3357.8789999999999</v>
      </c>
      <c r="I71" s="87">
        <v>3495.165</v>
      </c>
      <c r="J71" s="87">
        <v>3656.6590000000001</v>
      </c>
      <c r="K71" s="87">
        <v>3791.8229999999999</v>
      </c>
      <c r="L71" s="9" t="s">
        <v>733</v>
      </c>
      <c r="N71" s="4"/>
      <c r="R71" s="8" t="s">
        <v>108</v>
      </c>
      <c r="S71" s="294">
        <v>2086.415</v>
      </c>
      <c r="T71" s="294">
        <v>2331.116</v>
      </c>
      <c r="U71" s="294">
        <v>2585.1280000000002</v>
      </c>
      <c r="V71" s="294">
        <v>2736.1770000000001</v>
      </c>
      <c r="W71" s="294">
        <v>2995.0309999999999</v>
      </c>
      <c r="X71" s="294">
        <v>3130.395</v>
      </c>
      <c r="Y71" s="294">
        <v>3258.3960000000002</v>
      </c>
      <c r="Z71" s="294">
        <v>3408.9470000000001</v>
      </c>
      <c r="AA71" s="294">
        <v>3534.9580000000001</v>
      </c>
      <c r="AB71" s="9" t="s">
        <v>733</v>
      </c>
      <c r="AD71" s="4"/>
    </row>
    <row r="72" spans="2:30" x14ac:dyDescent="0.25">
      <c r="B72" s="8" t="s">
        <v>109</v>
      </c>
      <c r="C72" s="87">
        <v>699.96979999999996</v>
      </c>
      <c r="D72" s="87">
        <v>782.0702</v>
      </c>
      <c r="E72" s="87">
        <v>867.28210000000001</v>
      </c>
      <c r="F72" s="87">
        <v>917.95709999999997</v>
      </c>
      <c r="G72" s="87">
        <v>1004.808</v>
      </c>
      <c r="H72" s="87">
        <v>1050.2139999999999</v>
      </c>
      <c r="I72" s="87">
        <v>1093.152</v>
      </c>
      <c r="J72" s="87">
        <v>1143.6610000000001</v>
      </c>
      <c r="K72" s="87">
        <v>1185.9349999999999</v>
      </c>
      <c r="L72" s="9" t="s">
        <v>734</v>
      </c>
      <c r="N72" s="4"/>
      <c r="R72" s="8" t="s">
        <v>109</v>
      </c>
      <c r="S72" s="294">
        <v>652.54939999999999</v>
      </c>
      <c r="T72" s="294">
        <v>729.08230000000003</v>
      </c>
      <c r="U72" s="294">
        <v>808.52769999999998</v>
      </c>
      <c r="V72" s="294">
        <v>855.76980000000003</v>
      </c>
      <c r="W72" s="294">
        <v>936.72940000000006</v>
      </c>
      <c r="X72" s="294">
        <v>979.06569999999999</v>
      </c>
      <c r="Y72" s="294">
        <v>1019.1</v>
      </c>
      <c r="Z72" s="294">
        <v>1066.1859999999999</v>
      </c>
      <c r="AA72" s="294">
        <v>1105.598</v>
      </c>
      <c r="AB72" s="9" t="s">
        <v>734</v>
      </c>
      <c r="AD72" s="4"/>
    </row>
    <row r="73" spans="2:30" x14ac:dyDescent="0.25">
      <c r="B73" s="8" t="s">
        <v>110</v>
      </c>
      <c r="C73" s="87">
        <v>103.55840000000001</v>
      </c>
      <c r="D73" s="87">
        <v>115.70489999999999</v>
      </c>
      <c r="E73" s="87">
        <v>128.3117</v>
      </c>
      <c r="F73" s="87">
        <v>135.80889999999999</v>
      </c>
      <c r="G73" s="87">
        <v>148.65819999999999</v>
      </c>
      <c r="H73" s="87">
        <v>155.3759</v>
      </c>
      <c r="I73" s="87">
        <v>161.72839999999999</v>
      </c>
      <c r="J73" s="87">
        <v>169.2011</v>
      </c>
      <c r="K73" s="87">
        <v>175.4554</v>
      </c>
      <c r="L73" s="9" t="s">
        <v>118</v>
      </c>
      <c r="N73" s="4"/>
      <c r="R73" s="8" t="s">
        <v>110</v>
      </c>
      <c r="S73" s="294">
        <v>96.542659999999998</v>
      </c>
      <c r="T73" s="294">
        <v>107.8655</v>
      </c>
      <c r="U73" s="294">
        <v>119.61920000000001</v>
      </c>
      <c r="V73" s="294">
        <v>126.60850000000001</v>
      </c>
      <c r="W73" s="294">
        <v>138.58619999999999</v>
      </c>
      <c r="X73" s="294">
        <v>144.84970000000001</v>
      </c>
      <c r="Y73" s="294">
        <v>150.77260000000001</v>
      </c>
      <c r="Z73" s="294">
        <v>157.7389</v>
      </c>
      <c r="AA73" s="294">
        <v>163.56970000000001</v>
      </c>
      <c r="AB73" s="9" t="s">
        <v>118</v>
      </c>
      <c r="AD73" s="4"/>
    </row>
    <row r="74" spans="2:30" x14ac:dyDescent="0.25">
      <c r="B74" s="8" t="s">
        <v>111</v>
      </c>
      <c r="C74" s="87">
        <v>777.87189999999998</v>
      </c>
      <c r="D74" s="87">
        <v>869.1096</v>
      </c>
      <c r="E74" s="87">
        <v>963.80499999999995</v>
      </c>
      <c r="F74" s="87">
        <v>1020.12</v>
      </c>
      <c r="G74" s="87">
        <v>1116.636</v>
      </c>
      <c r="H74" s="87">
        <v>1167.096</v>
      </c>
      <c r="I74" s="87">
        <v>1214.8119999999999</v>
      </c>
      <c r="J74" s="87">
        <v>1270.943</v>
      </c>
      <c r="K74" s="87">
        <v>1317.922</v>
      </c>
      <c r="L74" s="9" t="s">
        <v>735</v>
      </c>
      <c r="N74" s="4"/>
      <c r="R74" s="8" t="s">
        <v>111</v>
      </c>
      <c r="S74" s="294">
        <v>725.1739</v>
      </c>
      <c r="T74" s="294">
        <v>810.22450000000003</v>
      </c>
      <c r="U74" s="294">
        <v>898.51160000000004</v>
      </c>
      <c r="V74" s="294">
        <v>951.01149999999996</v>
      </c>
      <c r="W74" s="294">
        <v>1040.981</v>
      </c>
      <c r="X74" s="294">
        <v>1088.029</v>
      </c>
      <c r="Y74" s="294">
        <v>1132.519</v>
      </c>
      <c r="Z74" s="294">
        <v>1184.846</v>
      </c>
      <c r="AA74" s="294">
        <v>1228.643</v>
      </c>
      <c r="AB74" s="9" t="s">
        <v>735</v>
      </c>
      <c r="AD74" s="4"/>
    </row>
    <row r="75" spans="2:30" x14ac:dyDescent="0.25">
      <c r="B75" s="8" t="s">
        <v>112</v>
      </c>
      <c r="C75" s="87">
        <v>30.89471</v>
      </c>
      <c r="D75" s="87">
        <v>34.5184</v>
      </c>
      <c r="E75" s="87">
        <v>38.279420000000002</v>
      </c>
      <c r="F75" s="87">
        <v>40.516069999999999</v>
      </c>
      <c r="G75" s="87">
        <v>44.349409999999999</v>
      </c>
      <c r="H75" s="87">
        <v>46.35351</v>
      </c>
      <c r="I75" s="87">
        <v>48.248669999999997</v>
      </c>
      <c r="J75" s="87">
        <v>50.478000000000002</v>
      </c>
      <c r="K75" s="87">
        <v>52.343859999999999</v>
      </c>
      <c r="L75" s="9" t="s">
        <v>119</v>
      </c>
      <c r="R75" s="8" t="s">
        <v>112</v>
      </c>
      <c r="S75" s="294">
        <v>28.80171</v>
      </c>
      <c r="T75" s="294">
        <v>32.179659999999998</v>
      </c>
      <c r="U75" s="294">
        <v>35.686160000000001</v>
      </c>
      <c r="V75" s="294">
        <v>37.77129</v>
      </c>
      <c r="W75" s="294">
        <v>41.344630000000002</v>
      </c>
      <c r="X75" s="294">
        <v>43.213230000000003</v>
      </c>
      <c r="Y75" s="294">
        <v>44.98021</v>
      </c>
      <c r="Z75" s="294">
        <v>47.058480000000003</v>
      </c>
      <c r="AA75" s="294">
        <v>48.797989999999999</v>
      </c>
      <c r="AB75" s="9" t="s">
        <v>119</v>
      </c>
    </row>
    <row r="76" spans="2:30" x14ac:dyDescent="0.25">
      <c r="B76" s="8" t="s">
        <v>113</v>
      </c>
      <c r="C76" s="87">
        <v>119.23650000000001</v>
      </c>
      <c r="D76" s="87">
        <v>133.22190000000001</v>
      </c>
      <c r="E76" s="87">
        <v>147.7373</v>
      </c>
      <c r="F76" s="87">
        <v>156.36959999999999</v>
      </c>
      <c r="G76" s="87">
        <v>171.16419999999999</v>
      </c>
      <c r="H76" s="87">
        <v>178.8989</v>
      </c>
      <c r="I76" s="87">
        <v>186.2131</v>
      </c>
      <c r="J76" s="87">
        <v>194.81710000000001</v>
      </c>
      <c r="K76" s="87">
        <v>202.01830000000001</v>
      </c>
      <c r="L76" s="9" t="s">
        <v>120</v>
      </c>
      <c r="N76" s="4"/>
      <c r="R76" s="8" t="s">
        <v>113</v>
      </c>
      <c r="S76" s="294">
        <v>111.15860000000001</v>
      </c>
      <c r="T76" s="294">
        <v>124.1957</v>
      </c>
      <c r="U76" s="294">
        <v>137.72880000000001</v>
      </c>
      <c r="V76" s="294">
        <v>145.77629999999999</v>
      </c>
      <c r="W76" s="294">
        <v>159.56739999999999</v>
      </c>
      <c r="X76" s="294">
        <v>166.7791</v>
      </c>
      <c r="Y76" s="294">
        <v>173.59870000000001</v>
      </c>
      <c r="Z76" s="294">
        <v>181.61969999999999</v>
      </c>
      <c r="AA76" s="294">
        <v>188.33320000000001</v>
      </c>
      <c r="AB76" s="9" t="s">
        <v>120</v>
      </c>
      <c r="AD76" s="4"/>
    </row>
    <row r="77" spans="2:30" x14ac:dyDescent="0.25">
      <c r="B77" s="10" t="s">
        <v>114</v>
      </c>
      <c r="C77" s="326">
        <v>14118.33</v>
      </c>
      <c r="D77" s="326">
        <v>15774.29</v>
      </c>
      <c r="E77" s="326">
        <v>17493</v>
      </c>
      <c r="F77" s="326">
        <v>18515.11</v>
      </c>
      <c r="G77" s="326">
        <v>20266.88</v>
      </c>
      <c r="H77" s="326">
        <v>21182.720000000001</v>
      </c>
      <c r="I77" s="326">
        <v>22048.77</v>
      </c>
      <c r="J77" s="326">
        <v>23067.54</v>
      </c>
      <c r="K77" s="326">
        <v>23920.2</v>
      </c>
      <c r="L77" s="11" t="s">
        <v>121</v>
      </c>
      <c r="N77" s="4">
        <f>C77/'2_Production_2'!AX26*100</f>
        <v>44.57116176225923</v>
      </c>
      <c r="R77" s="10" t="s">
        <v>114</v>
      </c>
      <c r="S77" s="296">
        <v>13161.86</v>
      </c>
      <c r="T77" s="296">
        <v>14705.53</v>
      </c>
      <c r="U77" s="296">
        <v>16307.93</v>
      </c>
      <c r="V77" s="296">
        <v>17260.8</v>
      </c>
      <c r="W77" s="296">
        <v>18893.75</v>
      </c>
      <c r="X77" s="296">
        <v>19747.669999999998</v>
      </c>
      <c r="Y77" s="296">
        <v>20555.150000000001</v>
      </c>
      <c r="Z77" s="296">
        <v>21504.880000000001</v>
      </c>
      <c r="AA77" s="296">
        <v>22299.8</v>
      </c>
      <c r="AB77" s="11" t="s">
        <v>121</v>
      </c>
      <c r="AD77" s="4">
        <f>S77/'2_Production_2'!AX26*100</f>
        <v>41.551613480646033</v>
      </c>
    </row>
    <row r="78" spans="2:30" x14ac:dyDescent="0.25">
      <c r="B78" s="12"/>
      <c r="C78" s="289"/>
      <c r="D78" s="294"/>
      <c r="E78" s="289"/>
      <c r="F78" s="289"/>
      <c r="G78" s="289"/>
      <c r="H78" s="289"/>
      <c r="I78" s="289"/>
      <c r="J78" s="289"/>
      <c r="K78" s="289"/>
      <c r="L78" s="13" t="s">
        <v>122</v>
      </c>
      <c r="N78" s="4"/>
      <c r="R78" s="12"/>
      <c r="S78" s="289"/>
      <c r="T78" s="294"/>
      <c r="U78" s="289"/>
      <c r="V78" s="289"/>
      <c r="W78" s="289"/>
      <c r="X78" s="289"/>
      <c r="Y78" s="289"/>
      <c r="Z78" s="289"/>
      <c r="AA78" s="289"/>
      <c r="AB78" s="13" t="s">
        <v>122</v>
      </c>
      <c r="AD78" s="4"/>
    </row>
    <row r="79" spans="2:30" x14ac:dyDescent="0.25">
      <c r="B79" s="16" t="s">
        <v>115</v>
      </c>
      <c r="C79" s="88">
        <v>3471.0349999999999</v>
      </c>
      <c r="D79" s="88">
        <v>3878.1570000000002</v>
      </c>
      <c r="E79" s="88">
        <v>4300.7089999999998</v>
      </c>
      <c r="F79" s="88">
        <v>4551.9979999999996</v>
      </c>
      <c r="G79" s="88">
        <v>4982.6760000000004</v>
      </c>
      <c r="H79" s="88">
        <v>5207.8379999999997</v>
      </c>
      <c r="I79" s="88">
        <v>5420.76</v>
      </c>
      <c r="J79" s="88">
        <v>5671.2250000000004</v>
      </c>
      <c r="K79" s="88">
        <v>5880.8549999999996</v>
      </c>
      <c r="L79" s="15" t="s">
        <v>61</v>
      </c>
      <c r="N79" s="4"/>
      <c r="R79" s="16" t="s">
        <v>115</v>
      </c>
      <c r="S79" s="298">
        <v>3235.8850000000002</v>
      </c>
      <c r="T79" s="298">
        <v>3615.3989999999999</v>
      </c>
      <c r="U79" s="298">
        <v>4009.3560000000002</v>
      </c>
      <c r="V79" s="298">
        <v>4243.6220000000003</v>
      </c>
      <c r="W79" s="298">
        <v>4645.0870000000004</v>
      </c>
      <c r="X79" s="298">
        <v>4855.0259999999998</v>
      </c>
      <c r="Y79" s="298">
        <v>5053.5469999999996</v>
      </c>
      <c r="Z79" s="298">
        <v>5287.0410000000002</v>
      </c>
      <c r="AA79" s="298">
        <v>5482.4759999999997</v>
      </c>
      <c r="AB79" s="15" t="s">
        <v>61</v>
      </c>
      <c r="AD79" s="4"/>
    </row>
    <row r="80" spans="2:30" x14ac:dyDescent="0.25">
      <c r="B80" s="25" t="s">
        <v>662</v>
      </c>
      <c r="N80" s="4"/>
      <c r="R80" s="25" t="s">
        <v>662</v>
      </c>
      <c r="AD80" s="4"/>
    </row>
    <row r="81" spans="2:31" x14ac:dyDescent="0.25">
      <c r="B81" s="5" t="s">
        <v>6</v>
      </c>
      <c r="C81" s="6">
        <v>2024</v>
      </c>
      <c r="D81" s="6">
        <f t="shared" ref="D81:K81" si="45">C81+1</f>
        <v>2025</v>
      </c>
      <c r="E81" s="6">
        <f t="shared" si="45"/>
        <v>2026</v>
      </c>
      <c r="F81" s="6">
        <f t="shared" si="45"/>
        <v>2027</v>
      </c>
      <c r="G81" s="6">
        <f t="shared" si="45"/>
        <v>2028</v>
      </c>
      <c r="H81" s="6">
        <f t="shared" si="45"/>
        <v>2029</v>
      </c>
      <c r="I81" s="6">
        <f t="shared" si="45"/>
        <v>2030</v>
      </c>
      <c r="J81" s="6">
        <f t="shared" si="45"/>
        <v>2031</v>
      </c>
      <c r="K81" s="6">
        <f t="shared" si="45"/>
        <v>2032</v>
      </c>
      <c r="L81" s="7" t="s">
        <v>34</v>
      </c>
      <c r="N81" s="4"/>
      <c r="R81" s="5" t="s">
        <v>6</v>
      </c>
      <c r="S81" s="6">
        <v>2024</v>
      </c>
      <c r="T81" s="6">
        <f t="shared" ref="T81" si="46">S81+1</f>
        <v>2025</v>
      </c>
      <c r="U81" s="6">
        <f t="shared" ref="U81" si="47">T81+1</f>
        <v>2026</v>
      </c>
      <c r="V81" s="6">
        <f t="shared" ref="V81" si="48">U81+1</f>
        <v>2027</v>
      </c>
      <c r="W81" s="6">
        <f t="shared" ref="W81" si="49">V81+1</f>
        <v>2028</v>
      </c>
      <c r="X81" s="6">
        <f t="shared" ref="X81" si="50">W81+1</f>
        <v>2029</v>
      </c>
      <c r="Y81" s="6">
        <f t="shared" ref="Y81" si="51">X81+1</f>
        <v>2030</v>
      </c>
      <c r="Z81" s="6">
        <f t="shared" ref="Z81" si="52">Y81+1</f>
        <v>2031</v>
      </c>
      <c r="AA81" s="6">
        <f t="shared" ref="AA81" si="53">Z81+1</f>
        <v>2032</v>
      </c>
      <c r="AB81" s="7" t="s">
        <v>34</v>
      </c>
      <c r="AD81" s="4"/>
    </row>
    <row r="82" spans="2:31" x14ac:dyDescent="0.25">
      <c r="B82" s="8" t="s">
        <v>123</v>
      </c>
      <c r="C82" s="87">
        <v>25.563469999999999</v>
      </c>
      <c r="D82" s="87">
        <v>28.11759</v>
      </c>
      <c r="E82" s="87">
        <v>31.513960000000001</v>
      </c>
      <c r="F82" s="87">
        <v>39.298990000000003</v>
      </c>
      <c r="G82" s="87">
        <v>40.804049999999997</v>
      </c>
      <c r="H82" s="87">
        <v>42.559060000000002</v>
      </c>
      <c r="I82" s="87">
        <v>49.116959999999999</v>
      </c>
      <c r="J82" s="87">
        <v>54.574759999999998</v>
      </c>
      <c r="K82" s="87">
        <v>60.361269999999998</v>
      </c>
      <c r="L82" s="9" t="s">
        <v>863</v>
      </c>
      <c r="N82" s="4"/>
      <c r="R82" s="8" t="s">
        <v>123</v>
      </c>
      <c r="S82" s="294">
        <v>15.57039</v>
      </c>
      <c r="T82" s="294">
        <v>17.137650000000001</v>
      </c>
      <c r="U82" s="294">
        <v>19.211819999999999</v>
      </c>
      <c r="V82" s="294">
        <v>23.939769999999999</v>
      </c>
      <c r="W82" s="294">
        <v>24.88157</v>
      </c>
      <c r="X82" s="294">
        <v>25.943529999999999</v>
      </c>
      <c r="Y82" s="294">
        <v>29.998729999999998</v>
      </c>
      <c r="Z82" s="294">
        <v>33.340049999999998</v>
      </c>
      <c r="AA82" s="294">
        <v>36.869230000000002</v>
      </c>
      <c r="AB82" s="9" t="s">
        <v>863</v>
      </c>
      <c r="AD82" s="4"/>
    </row>
    <row r="83" spans="2:31" x14ac:dyDescent="0.25">
      <c r="B83" s="8" t="s">
        <v>124</v>
      </c>
      <c r="C83" s="87">
        <v>228.61160000000001</v>
      </c>
      <c r="D83" s="87">
        <v>251.4529</v>
      </c>
      <c r="E83" s="87">
        <v>281.8263</v>
      </c>
      <c r="F83" s="87">
        <v>351.44709999999998</v>
      </c>
      <c r="G83" s="87">
        <v>364.9067</v>
      </c>
      <c r="H83" s="87">
        <v>380.60160000000002</v>
      </c>
      <c r="I83" s="87">
        <v>439.2482</v>
      </c>
      <c r="J83" s="87">
        <v>488.05680000000001</v>
      </c>
      <c r="K83" s="87">
        <v>539.80510000000004</v>
      </c>
      <c r="L83" s="9" t="s">
        <v>135</v>
      </c>
      <c r="N83" s="4"/>
      <c r="R83" s="8" t="s">
        <v>124</v>
      </c>
      <c r="S83" s="294">
        <v>139.24449999999999</v>
      </c>
      <c r="T83" s="294">
        <v>153.2604</v>
      </c>
      <c r="U83" s="294">
        <v>171.80950000000001</v>
      </c>
      <c r="V83" s="294">
        <v>214.09110000000001</v>
      </c>
      <c r="W83" s="294">
        <v>222.51349999999999</v>
      </c>
      <c r="X83" s="294">
        <v>232.01050000000001</v>
      </c>
      <c r="Y83" s="294">
        <v>268.2758</v>
      </c>
      <c r="Z83" s="294">
        <v>298.15690000000001</v>
      </c>
      <c r="AA83" s="294">
        <v>329.71789999999999</v>
      </c>
      <c r="AB83" s="9" t="s">
        <v>135</v>
      </c>
      <c r="AD83" s="4"/>
    </row>
    <row r="84" spans="2:31" x14ac:dyDescent="0.25">
      <c r="B84" s="8" t="s">
        <v>125</v>
      </c>
      <c r="C84" s="87">
        <v>4131.2700000000004</v>
      </c>
      <c r="D84" s="87">
        <v>4544.0379999999996</v>
      </c>
      <c r="E84" s="87">
        <v>5092.9189999999999</v>
      </c>
      <c r="F84" s="87">
        <v>6351.0450000000001</v>
      </c>
      <c r="G84" s="87">
        <v>6594.2749999999996</v>
      </c>
      <c r="H84" s="87">
        <v>6877.9</v>
      </c>
      <c r="I84" s="87">
        <v>7937.7110000000002</v>
      </c>
      <c r="J84" s="87">
        <v>8819.7379999999903</v>
      </c>
      <c r="K84" s="87">
        <v>9754.8870000000006</v>
      </c>
      <c r="L84" s="9" t="s">
        <v>864</v>
      </c>
      <c r="N84" s="4"/>
      <c r="R84" s="8" t="s">
        <v>125</v>
      </c>
      <c r="S84" s="294">
        <v>2516.3049999999998</v>
      </c>
      <c r="T84" s="294">
        <v>2769.5880000000002</v>
      </c>
      <c r="U84" s="294">
        <v>3104.7910000000002</v>
      </c>
      <c r="V84" s="294">
        <v>3868.8670000000002</v>
      </c>
      <c r="W84" s="294">
        <v>4021.07</v>
      </c>
      <c r="X84" s="294">
        <v>4192.692</v>
      </c>
      <c r="Y84" s="294">
        <v>4848.0469999999996</v>
      </c>
      <c r="Z84" s="294">
        <v>5388.0309999999999</v>
      </c>
      <c r="AA84" s="294">
        <v>5958.375</v>
      </c>
      <c r="AB84" s="9" t="s">
        <v>864</v>
      </c>
      <c r="AD84" s="4"/>
    </row>
    <row r="85" spans="2:31" x14ac:dyDescent="0.25">
      <c r="B85" s="8" t="s">
        <v>126</v>
      </c>
      <c r="C85" s="87">
        <v>745.06659999999999</v>
      </c>
      <c r="D85" s="87">
        <v>819.5086</v>
      </c>
      <c r="E85" s="87">
        <v>918.4982</v>
      </c>
      <c r="F85" s="87">
        <v>1145.3989999999999</v>
      </c>
      <c r="G85" s="87">
        <v>1189.2650000000001</v>
      </c>
      <c r="H85" s="87">
        <v>1240.4159999999999</v>
      </c>
      <c r="I85" s="87">
        <v>1431.5509999999999</v>
      </c>
      <c r="J85" s="87">
        <v>1590.623</v>
      </c>
      <c r="K85" s="87">
        <v>1759.2750000000001</v>
      </c>
      <c r="L85" s="9" t="s">
        <v>136</v>
      </c>
      <c r="N85" s="4"/>
      <c r="R85" s="8" t="s">
        <v>126</v>
      </c>
      <c r="S85" s="294">
        <v>453.81079999999997</v>
      </c>
      <c r="T85" s="294">
        <v>499.49</v>
      </c>
      <c r="U85" s="294">
        <v>559.94309999999996</v>
      </c>
      <c r="V85" s="294">
        <v>697.74279999999999</v>
      </c>
      <c r="W85" s="294">
        <v>725.19219999999996</v>
      </c>
      <c r="X85" s="294">
        <v>756.14400000000001</v>
      </c>
      <c r="Y85" s="294">
        <v>874.33590000000004</v>
      </c>
      <c r="Z85" s="294">
        <v>971.72119999999995</v>
      </c>
      <c r="AA85" s="294">
        <v>1074.5820000000001</v>
      </c>
      <c r="AB85" s="9" t="s">
        <v>136</v>
      </c>
      <c r="AD85" s="4"/>
    </row>
    <row r="86" spans="2:31" x14ac:dyDescent="0.25">
      <c r="B86" s="8" t="s">
        <v>127</v>
      </c>
      <c r="C86" s="87">
        <v>574.8125</v>
      </c>
      <c r="D86" s="87">
        <v>632.24390000000005</v>
      </c>
      <c r="E86" s="87">
        <v>708.61350000000004</v>
      </c>
      <c r="F86" s="87">
        <v>883.66539999999998</v>
      </c>
      <c r="G86" s="87">
        <v>917.5077</v>
      </c>
      <c r="H86" s="87">
        <v>956.97040000000004</v>
      </c>
      <c r="I86" s="87">
        <v>1104.4290000000001</v>
      </c>
      <c r="J86" s="87">
        <v>1227.152</v>
      </c>
      <c r="K86" s="87">
        <v>1357.2660000000001</v>
      </c>
      <c r="L86" s="9" t="s">
        <v>865</v>
      </c>
      <c r="N86" s="4"/>
      <c r="R86" s="8" t="s">
        <v>127</v>
      </c>
      <c r="S86" s="294">
        <v>350.11110000000002</v>
      </c>
      <c r="T86" s="294">
        <v>385.35219999999998</v>
      </c>
      <c r="U86" s="294">
        <v>431.99130000000002</v>
      </c>
      <c r="V86" s="294">
        <v>538.30259999999998</v>
      </c>
      <c r="W86" s="294">
        <v>559.4796</v>
      </c>
      <c r="X86" s="294">
        <v>583.35860000000002</v>
      </c>
      <c r="Y86" s="294">
        <v>674.54269999999997</v>
      </c>
      <c r="Z86" s="294">
        <v>749.67449999999997</v>
      </c>
      <c r="AA86" s="294">
        <v>829.03049999999996</v>
      </c>
      <c r="AB86" s="9" t="s">
        <v>865</v>
      </c>
      <c r="AD86" s="4"/>
    </row>
    <row r="87" spans="2:31" x14ac:dyDescent="0.25">
      <c r="B87" s="8" t="s">
        <v>128</v>
      </c>
      <c r="C87" s="87">
        <v>2050.9989999999998</v>
      </c>
      <c r="D87" s="87">
        <v>2255.9209999999998</v>
      </c>
      <c r="E87" s="87">
        <v>2528.4169999999999</v>
      </c>
      <c r="F87" s="87">
        <v>3153.0230000000001</v>
      </c>
      <c r="G87" s="87">
        <v>3273.777</v>
      </c>
      <c r="H87" s="87">
        <v>3414.5839999999998</v>
      </c>
      <c r="I87" s="87">
        <v>3940.7350000000001</v>
      </c>
      <c r="J87" s="87">
        <v>4378.6239999999998</v>
      </c>
      <c r="K87" s="87">
        <v>4842.8860000000004</v>
      </c>
      <c r="L87" s="9" t="s">
        <v>866</v>
      </c>
      <c r="N87" s="4"/>
      <c r="R87" s="8" t="s">
        <v>128</v>
      </c>
      <c r="S87" s="294">
        <v>1249.2380000000001</v>
      </c>
      <c r="T87" s="294">
        <v>1374.9829999999999</v>
      </c>
      <c r="U87" s="294">
        <v>1541.396</v>
      </c>
      <c r="V87" s="294">
        <v>1920.7280000000001</v>
      </c>
      <c r="W87" s="294">
        <v>1996.29</v>
      </c>
      <c r="X87" s="294">
        <v>2081.4929999999999</v>
      </c>
      <c r="Y87" s="294">
        <v>2406.848</v>
      </c>
      <c r="Z87" s="294">
        <v>2674.9279999999999</v>
      </c>
      <c r="AA87" s="294">
        <v>2958.0790000000002</v>
      </c>
      <c r="AB87" s="9" t="s">
        <v>866</v>
      </c>
      <c r="AD87" s="4"/>
    </row>
    <row r="88" spans="2:31" x14ac:dyDescent="0.25">
      <c r="B88" s="8" t="s">
        <v>129</v>
      </c>
      <c r="C88" s="87">
        <v>282.68389999999999</v>
      </c>
      <c r="D88" s="87">
        <v>310.92779999999999</v>
      </c>
      <c r="E88" s="87">
        <v>348.48520000000002</v>
      </c>
      <c r="F88" s="87">
        <v>434.57299999999998</v>
      </c>
      <c r="G88" s="87">
        <v>451.21609999999998</v>
      </c>
      <c r="H88" s="87">
        <v>470.62329999999997</v>
      </c>
      <c r="I88" s="87">
        <v>543.1413</v>
      </c>
      <c r="J88" s="87">
        <v>603.49429999999995</v>
      </c>
      <c r="K88" s="87">
        <v>667.48230000000001</v>
      </c>
      <c r="L88" s="9" t="s">
        <v>137</v>
      </c>
      <c r="N88" s="4"/>
      <c r="R88" s="8" t="s">
        <v>129</v>
      </c>
      <c r="S88" s="294">
        <v>172.17930000000001</v>
      </c>
      <c r="T88" s="294">
        <v>189.5103</v>
      </c>
      <c r="U88" s="294">
        <v>212.44669999999999</v>
      </c>
      <c r="V88" s="294">
        <v>264.72890000000001</v>
      </c>
      <c r="W88" s="294">
        <v>275.14339999999999</v>
      </c>
      <c r="X88" s="294">
        <v>286.88679999999999</v>
      </c>
      <c r="Y88" s="294">
        <v>331.72969999999998</v>
      </c>
      <c r="Z88" s="294">
        <v>368.67840000000001</v>
      </c>
      <c r="AA88" s="294">
        <v>407.70440000000002</v>
      </c>
      <c r="AB88" s="9" t="s">
        <v>137</v>
      </c>
      <c r="AD88" s="4"/>
    </row>
    <row r="89" spans="2:31" x14ac:dyDescent="0.25">
      <c r="B89" s="8" t="s">
        <v>130</v>
      </c>
      <c r="C89" s="87">
        <v>1251.874</v>
      </c>
      <c r="D89" s="87">
        <v>1376.952</v>
      </c>
      <c r="E89" s="87">
        <v>1543.2760000000001</v>
      </c>
      <c r="F89" s="87">
        <v>1924.519</v>
      </c>
      <c r="G89" s="87">
        <v>1998.223</v>
      </c>
      <c r="H89" s="87">
        <v>2084.1680000000001</v>
      </c>
      <c r="I89" s="87">
        <v>2405.3159999999998</v>
      </c>
      <c r="J89" s="87">
        <v>2672.5909999999999</v>
      </c>
      <c r="K89" s="87">
        <v>2955.9639999999999</v>
      </c>
      <c r="L89" s="9" t="s">
        <v>867</v>
      </c>
      <c r="N89" s="4"/>
      <c r="R89" s="8" t="s">
        <v>130</v>
      </c>
      <c r="S89" s="294">
        <v>762.50059999999996</v>
      </c>
      <c r="T89" s="294">
        <v>839.25149999999996</v>
      </c>
      <c r="U89" s="294">
        <v>940.82600000000002</v>
      </c>
      <c r="V89" s="294">
        <v>1172.3589999999999</v>
      </c>
      <c r="W89" s="294">
        <v>1218.48</v>
      </c>
      <c r="X89" s="294">
        <v>1270.4860000000001</v>
      </c>
      <c r="Y89" s="294">
        <v>1469.0740000000001</v>
      </c>
      <c r="Z89" s="294">
        <v>1632.702</v>
      </c>
      <c r="AA89" s="294">
        <v>1805.53</v>
      </c>
      <c r="AB89" s="9" t="s">
        <v>867</v>
      </c>
      <c r="AD89" s="4"/>
    </row>
    <row r="90" spans="2:31" x14ac:dyDescent="0.25">
      <c r="B90" s="8" t="s">
        <v>131</v>
      </c>
      <c r="C90" s="87">
        <v>54.341149999999999</v>
      </c>
      <c r="D90" s="87">
        <v>59.77055</v>
      </c>
      <c r="E90" s="87">
        <v>66.990319999999997</v>
      </c>
      <c r="F90" s="87">
        <v>83.539230000000003</v>
      </c>
      <c r="G90" s="87">
        <v>86.738590000000002</v>
      </c>
      <c r="H90" s="87">
        <v>90.469279999999998</v>
      </c>
      <c r="I90" s="87">
        <v>104.4096</v>
      </c>
      <c r="J90" s="87">
        <v>116.0115</v>
      </c>
      <c r="K90" s="87">
        <v>128.31209999999999</v>
      </c>
      <c r="L90" s="9" t="s">
        <v>138</v>
      </c>
      <c r="R90" s="8" t="s">
        <v>131</v>
      </c>
      <c r="S90" s="294">
        <v>33.098520000000001</v>
      </c>
      <c r="T90" s="294">
        <v>36.430109999999999</v>
      </c>
      <c r="U90" s="294">
        <v>40.839239999999997</v>
      </c>
      <c r="V90" s="294">
        <v>50.889600000000002</v>
      </c>
      <c r="W90" s="294">
        <v>52.891620000000003</v>
      </c>
      <c r="X90" s="294">
        <v>55.149079999999998</v>
      </c>
      <c r="Y90" s="294">
        <v>63.769359999999999</v>
      </c>
      <c r="Z90" s="294">
        <v>70.872110000000006</v>
      </c>
      <c r="AA90" s="294">
        <v>78.374200000000002</v>
      </c>
      <c r="AB90" s="9" t="s">
        <v>138</v>
      </c>
    </row>
    <row r="91" spans="2:31" x14ac:dyDescent="0.25">
      <c r="B91" s="8" t="s">
        <v>132</v>
      </c>
      <c r="C91" s="87">
        <v>25.410910000000001</v>
      </c>
      <c r="D91" s="87">
        <v>27.9498</v>
      </c>
      <c r="E91" s="87">
        <v>31.325890000000001</v>
      </c>
      <c r="F91" s="87">
        <v>39.064459999999997</v>
      </c>
      <c r="G91" s="87">
        <v>40.560540000000003</v>
      </c>
      <c r="H91" s="87">
        <v>42.305079999999997</v>
      </c>
      <c r="I91" s="87">
        <v>48.823839999999997</v>
      </c>
      <c r="J91" s="87">
        <v>54.249070000000003</v>
      </c>
      <c r="K91" s="87">
        <v>60.001060000000003</v>
      </c>
      <c r="L91" s="9" t="s">
        <v>139</v>
      </c>
      <c r="R91" s="8" t="s">
        <v>132</v>
      </c>
      <c r="S91" s="294">
        <v>15.47747</v>
      </c>
      <c r="T91" s="294">
        <v>17.03538</v>
      </c>
      <c r="U91" s="294">
        <v>19.097169999999998</v>
      </c>
      <c r="V91" s="294">
        <v>23.79691</v>
      </c>
      <c r="W91" s="294">
        <v>24.733080000000001</v>
      </c>
      <c r="X91" s="294">
        <v>25.788709999999998</v>
      </c>
      <c r="Y91" s="294">
        <v>29.819710000000001</v>
      </c>
      <c r="Z91" s="294">
        <v>33.141089999999998</v>
      </c>
      <c r="AA91" s="294">
        <v>36.6492</v>
      </c>
      <c r="AB91" s="9" t="s">
        <v>139</v>
      </c>
    </row>
    <row r="92" spans="2:31" x14ac:dyDescent="0.25">
      <c r="B92" s="10" t="s">
        <v>133</v>
      </c>
      <c r="C92" s="326">
        <v>9370.634</v>
      </c>
      <c r="D92" s="326">
        <v>10306.879999999999</v>
      </c>
      <c r="E92" s="326">
        <v>11551.87</v>
      </c>
      <c r="F92" s="326">
        <v>14405.58</v>
      </c>
      <c r="G92" s="326">
        <v>14957.28</v>
      </c>
      <c r="H92" s="326">
        <v>15600.6</v>
      </c>
      <c r="I92" s="326">
        <v>18004.490000000002</v>
      </c>
      <c r="J92" s="326">
        <v>20005.12</v>
      </c>
      <c r="K92" s="326">
        <v>22126.240000000002</v>
      </c>
      <c r="L92" s="11" t="s">
        <v>140</v>
      </c>
      <c r="N92">
        <f>C92/'2_Production_2'!AX27*100</f>
        <v>51.032307745929671</v>
      </c>
      <c r="R92" s="10" t="s">
        <v>133</v>
      </c>
      <c r="S92" s="296">
        <v>5707.5360000000001</v>
      </c>
      <c r="T92" s="296">
        <v>6282.0389999999998</v>
      </c>
      <c r="U92" s="296">
        <v>7042.3530000000001</v>
      </c>
      <c r="V92" s="296">
        <v>8775.4470000000001</v>
      </c>
      <c r="W92" s="296">
        <v>9120.6759999999995</v>
      </c>
      <c r="X92" s="296">
        <v>9509.9529999999995</v>
      </c>
      <c r="Y92" s="296">
        <v>10996.44</v>
      </c>
      <c r="Z92" s="296">
        <v>12221.25</v>
      </c>
      <c r="AA92" s="296">
        <v>13514.91</v>
      </c>
      <c r="AB92" s="11" t="s">
        <v>140</v>
      </c>
      <c r="AD92">
        <f>S92/'2_Production_2'!AX27*100</f>
        <v>31.083140545556731</v>
      </c>
      <c r="AE92">
        <f>T92/'2_Production_2'!AY27*100</f>
        <v>30.484502594223802</v>
      </c>
    </row>
    <row r="93" spans="2:31" x14ac:dyDescent="0.25">
      <c r="B93" s="12"/>
      <c r="C93" s="289"/>
      <c r="D93" s="294"/>
      <c r="E93" s="289"/>
      <c r="F93" s="289"/>
      <c r="G93" s="289"/>
      <c r="H93" s="289"/>
      <c r="I93" s="289"/>
      <c r="J93" s="289"/>
      <c r="K93" s="289"/>
      <c r="L93" s="13" t="s">
        <v>141</v>
      </c>
      <c r="R93" s="12"/>
      <c r="S93" s="289"/>
      <c r="T93" s="294"/>
      <c r="U93" s="289"/>
      <c r="V93" s="289"/>
      <c r="W93" s="289"/>
      <c r="X93" s="289"/>
      <c r="Y93" s="289"/>
      <c r="Z93" s="289"/>
      <c r="AA93" s="289"/>
      <c r="AB93" s="13" t="s">
        <v>141</v>
      </c>
    </row>
    <row r="94" spans="2:31" x14ac:dyDescent="0.25">
      <c r="B94" s="16" t="s">
        <v>134</v>
      </c>
      <c r="C94" s="88">
        <v>2781.6970000000001</v>
      </c>
      <c r="D94" s="88">
        <v>3059.625</v>
      </c>
      <c r="E94" s="88">
        <v>3429.2020000000002</v>
      </c>
      <c r="F94" s="88">
        <v>4276.3329999999996</v>
      </c>
      <c r="G94" s="88">
        <v>4440.1059999999998</v>
      </c>
      <c r="H94" s="88">
        <v>4631.0780000000004</v>
      </c>
      <c r="I94" s="88">
        <v>5344.6779999999999</v>
      </c>
      <c r="J94" s="88">
        <v>5938.5709999999999</v>
      </c>
      <c r="K94" s="88">
        <v>6568.232</v>
      </c>
      <c r="L94" s="15" t="s">
        <v>61</v>
      </c>
      <c r="R94" s="16" t="s">
        <v>134</v>
      </c>
      <c r="S94" s="298">
        <v>1694.297</v>
      </c>
      <c r="T94" s="298">
        <v>1864.84</v>
      </c>
      <c r="U94" s="298">
        <v>2090.5410000000002</v>
      </c>
      <c r="V94" s="298">
        <v>2605.0140000000001</v>
      </c>
      <c r="W94" s="298">
        <v>2707.4960000000001</v>
      </c>
      <c r="X94" s="298">
        <v>2823.0540000000001</v>
      </c>
      <c r="Y94" s="298">
        <v>3264.3220000000001</v>
      </c>
      <c r="Z94" s="298">
        <v>3627.9090000000001</v>
      </c>
      <c r="AA94" s="298">
        <v>4011.9369999999999</v>
      </c>
      <c r="AB94" s="15" t="s">
        <v>61</v>
      </c>
    </row>
    <row r="95" spans="2:31" x14ac:dyDescent="0.25">
      <c r="B95" s="25" t="s">
        <v>663</v>
      </c>
      <c r="R95" s="25" t="s">
        <v>663</v>
      </c>
    </row>
    <row r="96" spans="2:31" x14ac:dyDescent="0.25">
      <c r="B96" s="5" t="s">
        <v>142</v>
      </c>
      <c r="C96" s="6">
        <v>2024</v>
      </c>
      <c r="D96" s="6">
        <f t="shared" ref="D96:K96" si="54">C96+1</f>
        <v>2025</v>
      </c>
      <c r="E96" s="6">
        <f t="shared" si="54"/>
        <v>2026</v>
      </c>
      <c r="F96" s="6">
        <f t="shared" si="54"/>
        <v>2027</v>
      </c>
      <c r="G96" s="6">
        <f t="shared" si="54"/>
        <v>2028</v>
      </c>
      <c r="H96" s="6">
        <f t="shared" si="54"/>
        <v>2029</v>
      </c>
      <c r="I96" s="6">
        <f t="shared" si="54"/>
        <v>2030</v>
      </c>
      <c r="J96" s="6">
        <f t="shared" si="54"/>
        <v>2031</v>
      </c>
      <c r="K96" s="6">
        <f t="shared" si="54"/>
        <v>2032</v>
      </c>
      <c r="L96" s="7" t="s">
        <v>34</v>
      </c>
      <c r="R96" s="5" t="s">
        <v>142</v>
      </c>
      <c r="S96" s="6">
        <v>2024</v>
      </c>
      <c r="T96" s="6">
        <f t="shared" ref="T96" si="55">S96+1</f>
        <v>2025</v>
      </c>
      <c r="U96" s="6">
        <f t="shared" ref="U96" si="56">T96+1</f>
        <v>2026</v>
      </c>
      <c r="V96" s="6">
        <f t="shared" ref="V96" si="57">U96+1</f>
        <v>2027</v>
      </c>
      <c r="W96" s="6">
        <f t="shared" ref="W96" si="58">V96+1</f>
        <v>2028</v>
      </c>
      <c r="X96" s="6">
        <f t="shared" ref="X96" si="59">W96+1</f>
        <v>2029</v>
      </c>
      <c r="Y96" s="6">
        <f t="shared" ref="Y96" si="60">X96+1</f>
        <v>2030</v>
      </c>
      <c r="Z96" s="6">
        <f t="shared" ref="Z96" si="61">Y96+1</f>
        <v>2031</v>
      </c>
      <c r="AA96" s="6">
        <f t="shared" ref="AA96" si="62">Z96+1</f>
        <v>2032</v>
      </c>
      <c r="AB96" s="7" t="s">
        <v>34</v>
      </c>
    </row>
    <row r="97" spans="2:30" x14ac:dyDescent="0.25">
      <c r="B97" s="8" t="s">
        <v>143</v>
      </c>
      <c r="C97" s="328">
        <v>692.94</v>
      </c>
      <c r="D97" s="328">
        <v>722.81759999999997</v>
      </c>
      <c r="E97" s="328">
        <v>732.47159999999997</v>
      </c>
      <c r="F97" s="328">
        <v>804.32150000000001</v>
      </c>
      <c r="G97" s="328">
        <v>855.3021</v>
      </c>
      <c r="H97" s="328">
        <v>883.31079999999997</v>
      </c>
      <c r="I97" s="328">
        <v>917.46630000000005</v>
      </c>
      <c r="J97" s="328">
        <v>1004.071</v>
      </c>
      <c r="K97" s="328">
        <v>1027.5050000000001</v>
      </c>
      <c r="L97" s="9" t="s">
        <v>868</v>
      </c>
      <c r="R97" s="8" t="s">
        <v>143</v>
      </c>
      <c r="S97" s="299">
        <v>536.53779999999995</v>
      </c>
      <c r="T97" s="299">
        <v>559.67719999999997</v>
      </c>
      <c r="U97" s="299">
        <v>567.18079999999998</v>
      </c>
      <c r="V97" s="299">
        <v>622.80100000000004</v>
      </c>
      <c r="W97" s="299">
        <v>662.28740000000005</v>
      </c>
      <c r="X97" s="299">
        <v>683.99109999999996</v>
      </c>
      <c r="Y97" s="299">
        <v>710.4316</v>
      </c>
      <c r="Z97" s="299">
        <v>777.51949999999999</v>
      </c>
      <c r="AA97" s="299">
        <v>795.64840000000004</v>
      </c>
      <c r="AB97" s="9" t="s">
        <v>868</v>
      </c>
    </row>
    <row r="98" spans="2:30" x14ac:dyDescent="0.25">
      <c r="B98" s="8" t="s">
        <v>144</v>
      </c>
      <c r="C98" s="87">
        <v>74.259649999999894</v>
      </c>
      <c r="D98" s="87">
        <v>77.461510000000004</v>
      </c>
      <c r="E98" s="87">
        <v>78.496089999999995</v>
      </c>
      <c r="F98" s="87">
        <v>86.195970000000003</v>
      </c>
      <c r="G98" s="87">
        <v>91.659360000000007</v>
      </c>
      <c r="H98" s="87">
        <v>94.660929999999894</v>
      </c>
      <c r="I98" s="87">
        <v>98.321250000000006</v>
      </c>
      <c r="J98" s="87">
        <v>107.6023</v>
      </c>
      <c r="K98" s="87">
        <v>110.11360000000001</v>
      </c>
      <c r="L98" s="9" t="s">
        <v>155</v>
      </c>
      <c r="N98" s="4"/>
      <c r="R98" s="8" t="s">
        <v>144</v>
      </c>
      <c r="S98" s="294">
        <v>57.498640000000002</v>
      </c>
      <c r="T98" s="294">
        <v>59.978400000000001</v>
      </c>
      <c r="U98" s="294">
        <v>60.782530000000001</v>
      </c>
      <c r="V98" s="294">
        <v>66.743129999999894</v>
      </c>
      <c r="W98" s="294">
        <v>70.974729999999994</v>
      </c>
      <c r="X98" s="294">
        <v>73.300640000000001</v>
      </c>
      <c r="Y98" s="294">
        <v>76.134150000000005</v>
      </c>
      <c r="Z98" s="294">
        <v>83.323700000000002</v>
      </c>
      <c r="AA98" s="294">
        <v>85.266499999999894</v>
      </c>
      <c r="AB98" s="9" t="s">
        <v>155</v>
      </c>
      <c r="AD98" s="4"/>
    </row>
    <row r="99" spans="2:30" x14ac:dyDescent="0.25">
      <c r="B99" s="8" t="s">
        <v>145</v>
      </c>
      <c r="C99" s="87">
        <v>4558.5630000000001</v>
      </c>
      <c r="D99" s="87">
        <v>4755.1149999999998</v>
      </c>
      <c r="E99" s="87">
        <v>4818.625</v>
      </c>
      <c r="F99" s="87">
        <v>5291.2960000000003</v>
      </c>
      <c r="G99" s="87">
        <v>5626.6760000000004</v>
      </c>
      <c r="H99" s="87">
        <v>5810.933</v>
      </c>
      <c r="I99" s="87">
        <v>6035.6279999999997</v>
      </c>
      <c r="J99" s="87">
        <v>6605.3620000000001</v>
      </c>
      <c r="K99" s="87">
        <v>6759.5259999999998</v>
      </c>
      <c r="L99" s="9" t="s">
        <v>869</v>
      </c>
      <c r="N99" s="4"/>
      <c r="R99" s="8" t="s">
        <v>145</v>
      </c>
      <c r="S99" s="294">
        <v>3529.6579999999999</v>
      </c>
      <c r="T99" s="294">
        <v>3681.8829999999998</v>
      </c>
      <c r="U99" s="294">
        <v>3731.2460000000001</v>
      </c>
      <c r="V99" s="294">
        <v>4097.1480000000001</v>
      </c>
      <c r="W99" s="294">
        <v>4356.9129999999996</v>
      </c>
      <c r="X99" s="294">
        <v>4499.692</v>
      </c>
      <c r="Y99" s="294">
        <v>4673.6329999999998</v>
      </c>
      <c r="Z99" s="294">
        <v>5114.9769999999999</v>
      </c>
      <c r="AA99" s="294">
        <v>5234.2389999999996</v>
      </c>
      <c r="AB99" s="9" t="s">
        <v>869</v>
      </c>
      <c r="AD99" s="4"/>
    </row>
    <row r="100" spans="2:30" x14ac:dyDescent="0.25">
      <c r="B100" s="8" t="s">
        <v>146</v>
      </c>
      <c r="C100" s="87">
        <v>627.49789999999996</v>
      </c>
      <c r="D100" s="87">
        <v>654.55370000000005</v>
      </c>
      <c r="E100" s="87">
        <v>663.29600000000005</v>
      </c>
      <c r="F100" s="87">
        <v>728.36040000000003</v>
      </c>
      <c r="G100" s="87">
        <v>774.52629999999999</v>
      </c>
      <c r="H100" s="87">
        <v>799.88969999999995</v>
      </c>
      <c r="I100" s="87">
        <v>830.81960000000004</v>
      </c>
      <c r="J100" s="87">
        <v>909.24490000000003</v>
      </c>
      <c r="K100" s="87">
        <v>930.46590000000003</v>
      </c>
      <c r="L100" s="9" t="s">
        <v>156</v>
      </c>
      <c r="N100" s="4"/>
      <c r="R100" s="8" t="s">
        <v>146</v>
      </c>
      <c r="S100" s="294">
        <v>485.86649999999997</v>
      </c>
      <c r="T100" s="294">
        <v>506.82060000000001</v>
      </c>
      <c r="U100" s="294">
        <v>513.6155</v>
      </c>
      <c r="V100" s="294">
        <v>563.9828</v>
      </c>
      <c r="W100" s="294">
        <v>599.74009999999998</v>
      </c>
      <c r="X100" s="294">
        <v>619.39409999999998</v>
      </c>
      <c r="Y100" s="294">
        <v>643.33749999999998</v>
      </c>
      <c r="Z100" s="294">
        <v>704.08960000000002</v>
      </c>
      <c r="AA100" s="294">
        <v>720.50630000000001</v>
      </c>
      <c r="AB100" s="9" t="s">
        <v>156</v>
      </c>
      <c r="AD100" s="4"/>
    </row>
    <row r="101" spans="2:30" x14ac:dyDescent="0.25">
      <c r="B101" s="8" t="s">
        <v>147</v>
      </c>
      <c r="C101" s="87">
        <v>710.28909999999996</v>
      </c>
      <c r="D101" s="87">
        <v>740.91470000000004</v>
      </c>
      <c r="E101" s="87">
        <v>750.81039999999996</v>
      </c>
      <c r="F101" s="87">
        <v>824.45920000000001</v>
      </c>
      <c r="G101" s="87">
        <v>876.71619999999996</v>
      </c>
      <c r="H101" s="87">
        <v>905.42610000000002</v>
      </c>
      <c r="I101" s="87">
        <v>940.43679999999995</v>
      </c>
      <c r="J101" s="87">
        <v>1029.2090000000001</v>
      </c>
      <c r="K101" s="87">
        <v>1053.23</v>
      </c>
      <c r="L101" s="9" t="s">
        <v>870</v>
      </c>
      <c r="N101" s="4"/>
      <c r="R101" s="8" t="s">
        <v>147</v>
      </c>
      <c r="S101" s="294">
        <v>549.971</v>
      </c>
      <c r="T101" s="294">
        <v>573.68979999999999</v>
      </c>
      <c r="U101" s="294">
        <v>581.38120000000004</v>
      </c>
      <c r="V101" s="294">
        <v>638.39400000000001</v>
      </c>
      <c r="W101" s="294">
        <v>678.86900000000003</v>
      </c>
      <c r="X101" s="294">
        <v>701.11620000000005</v>
      </c>
      <c r="Y101" s="294">
        <v>728.21860000000004</v>
      </c>
      <c r="Z101" s="294">
        <v>796.98620000000005</v>
      </c>
      <c r="AA101" s="294">
        <v>815.56889999999999</v>
      </c>
      <c r="AB101" s="9" t="s">
        <v>870</v>
      </c>
      <c r="AD101" s="4"/>
    </row>
    <row r="102" spans="2:30" x14ac:dyDescent="0.25">
      <c r="B102" s="8" t="s">
        <v>148</v>
      </c>
      <c r="C102" s="87">
        <v>1741.354</v>
      </c>
      <c r="D102" s="87">
        <v>1816.4359999999999</v>
      </c>
      <c r="E102" s="87">
        <v>1840.6969999999999</v>
      </c>
      <c r="F102" s="87">
        <v>2021.2550000000001</v>
      </c>
      <c r="G102" s="87">
        <v>2149.3690000000001</v>
      </c>
      <c r="H102" s="87">
        <v>2219.7550000000001</v>
      </c>
      <c r="I102" s="87">
        <v>2305.587</v>
      </c>
      <c r="J102" s="87">
        <v>2523.2240000000002</v>
      </c>
      <c r="K102" s="87">
        <v>2582.114</v>
      </c>
      <c r="L102" s="9" t="s">
        <v>871</v>
      </c>
      <c r="N102" s="4"/>
      <c r="R102" s="8" t="s">
        <v>148</v>
      </c>
      <c r="S102" s="294">
        <v>1348.316</v>
      </c>
      <c r="T102" s="294">
        <v>1406.4659999999999</v>
      </c>
      <c r="U102" s="294">
        <v>1425.3219999999999</v>
      </c>
      <c r="V102" s="294">
        <v>1565.095</v>
      </c>
      <c r="W102" s="294">
        <v>1664.3240000000001</v>
      </c>
      <c r="X102" s="294">
        <v>1718.866</v>
      </c>
      <c r="Y102" s="294">
        <v>1785.31</v>
      </c>
      <c r="Z102" s="294">
        <v>1953.902</v>
      </c>
      <c r="AA102" s="294">
        <v>1999.46</v>
      </c>
      <c r="AB102" s="9" t="s">
        <v>871</v>
      </c>
      <c r="AD102" s="4"/>
    </row>
    <row r="103" spans="2:30" x14ac:dyDescent="0.25">
      <c r="B103" s="8" t="s">
        <v>149</v>
      </c>
      <c r="C103" s="87">
        <v>805.21720000000005</v>
      </c>
      <c r="D103" s="87">
        <v>839.93579999999997</v>
      </c>
      <c r="E103" s="87">
        <v>851.15409999999997</v>
      </c>
      <c r="F103" s="87">
        <v>934.64589999999998</v>
      </c>
      <c r="G103" s="87">
        <v>993.88679999999999</v>
      </c>
      <c r="H103" s="87">
        <v>1026.434</v>
      </c>
      <c r="I103" s="87">
        <v>1066.123</v>
      </c>
      <c r="J103" s="87">
        <v>1166.76</v>
      </c>
      <c r="K103" s="87">
        <v>1193.992</v>
      </c>
      <c r="L103" s="9" t="s">
        <v>157</v>
      </c>
      <c r="N103" s="4"/>
      <c r="R103" s="8" t="s">
        <v>149</v>
      </c>
      <c r="S103" s="294">
        <v>623.47310000000004</v>
      </c>
      <c r="T103" s="294">
        <v>650.36180000000002</v>
      </c>
      <c r="U103" s="294">
        <v>659.08109999999999</v>
      </c>
      <c r="V103" s="294">
        <v>723.71349999999995</v>
      </c>
      <c r="W103" s="294">
        <v>769.59789999999998</v>
      </c>
      <c r="X103" s="294">
        <v>794.81830000000002</v>
      </c>
      <c r="Y103" s="294">
        <v>825.54290000000003</v>
      </c>
      <c r="Z103" s="294">
        <v>903.50109999999995</v>
      </c>
      <c r="AA103" s="294">
        <v>924.56740000000002</v>
      </c>
      <c r="AB103" s="9" t="s">
        <v>157</v>
      </c>
      <c r="AD103" s="4"/>
    </row>
    <row r="104" spans="2:30" x14ac:dyDescent="0.25">
      <c r="B104" s="8" t="s">
        <v>150</v>
      </c>
      <c r="C104" s="87">
        <v>2547.0590000000002</v>
      </c>
      <c r="D104" s="87">
        <v>2656.8809999999999</v>
      </c>
      <c r="E104" s="87">
        <v>2692.366</v>
      </c>
      <c r="F104" s="87">
        <v>2956.4670000000001</v>
      </c>
      <c r="G104" s="87">
        <v>3143.8580000000002</v>
      </c>
      <c r="H104" s="87">
        <v>3246.81</v>
      </c>
      <c r="I104" s="87">
        <v>3372.3560000000002</v>
      </c>
      <c r="J104" s="87">
        <v>3690.6909999999998</v>
      </c>
      <c r="K104" s="87">
        <v>3776.828</v>
      </c>
      <c r="L104" s="9" t="s">
        <v>872</v>
      </c>
      <c r="N104" s="4"/>
      <c r="R104" s="8" t="s">
        <v>150</v>
      </c>
      <c r="S104" s="294">
        <v>1972.1669999999999</v>
      </c>
      <c r="T104" s="294">
        <v>2057.221</v>
      </c>
      <c r="U104" s="294">
        <v>2084.8020000000001</v>
      </c>
      <c r="V104" s="294">
        <v>2289.2469999999998</v>
      </c>
      <c r="W104" s="294">
        <v>2434.3879999999999</v>
      </c>
      <c r="X104" s="294">
        <v>2514.165</v>
      </c>
      <c r="Y104" s="294">
        <v>2611.3530000000001</v>
      </c>
      <c r="Z104" s="294">
        <v>2857.95</v>
      </c>
      <c r="AA104" s="294">
        <v>2924.587</v>
      </c>
      <c r="AB104" s="9" t="s">
        <v>872</v>
      </c>
      <c r="AD104" s="4"/>
    </row>
    <row r="105" spans="2:30" x14ac:dyDescent="0.25">
      <c r="B105" s="8" t="s">
        <v>151</v>
      </c>
      <c r="C105" s="87">
        <v>18.387</v>
      </c>
      <c r="D105" s="87">
        <v>19.1798</v>
      </c>
      <c r="E105" s="87">
        <v>19.435960000000001</v>
      </c>
      <c r="F105" s="87">
        <v>21.342479999999998</v>
      </c>
      <c r="G105" s="87">
        <v>22.695239999999998</v>
      </c>
      <c r="H105" s="87">
        <v>23.43845</v>
      </c>
      <c r="I105" s="87">
        <v>24.344750000000001</v>
      </c>
      <c r="J105" s="87">
        <v>26.642779999999998</v>
      </c>
      <c r="K105" s="87">
        <v>27.264600000000002</v>
      </c>
      <c r="L105" s="9" t="s">
        <v>158</v>
      </c>
      <c r="N105" s="4"/>
      <c r="R105" s="8" t="s">
        <v>151</v>
      </c>
      <c r="S105" s="294">
        <v>14.23691</v>
      </c>
      <c r="T105" s="294">
        <v>14.850910000000001</v>
      </c>
      <c r="U105" s="294">
        <v>15.05001</v>
      </c>
      <c r="V105" s="294">
        <v>16.525880000000001</v>
      </c>
      <c r="W105" s="294">
        <v>17.573640000000001</v>
      </c>
      <c r="X105" s="294">
        <v>18.149550000000001</v>
      </c>
      <c r="Y105" s="294">
        <v>18.851140000000001</v>
      </c>
      <c r="Z105" s="294">
        <v>20.6313</v>
      </c>
      <c r="AA105" s="294">
        <v>21.11234</v>
      </c>
      <c r="AB105" s="9" t="s">
        <v>158</v>
      </c>
      <c r="AD105" s="4"/>
    </row>
    <row r="106" spans="2:30" x14ac:dyDescent="0.25">
      <c r="B106" s="8" t="s">
        <v>152</v>
      </c>
      <c r="C106" s="87">
        <v>59.525550000000003</v>
      </c>
      <c r="D106" s="87">
        <v>62.092120000000001</v>
      </c>
      <c r="E106" s="87">
        <v>62.921430000000001</v>
      </c>
      <c r="F106" s="87">
        <v>69.093549999999894</v>
      </c>
      <c r="G106" s="87">
        <v>73.472930000000005</v>
      </c>
      <c r="H106" s="87">
        <v>75.878950000000003</v>
      </c>
      <c r="I106" s="87">
        <v>78.813010000000006</v>
      </c>
      <c r="J106" s="87">
        <v>86.252570000000006</v>
      </c>
      <c r="K106" s="87">
        <v>88.265640000000005</v>
      </c>
      <c r="L106" s="9" t="s">
        <v>159</v>
      </c>
      <c r="N106" s="4"/>
      <c r="R106" s="8" t="s">
        <v>152</v>
      </c>
      <c r="S106" s="294">
        <v>46.090150000000001</v>
      </c>
      <c r="T106" s="294">
        <v>48.077889999999996</v>
      </c>
      <c r="U106" s="294">
        <v>48.722470000000001</v>
      </c>
      <c r="V106" s="294">
        <v>53.500399999999999</v>
      </c>
      <c r="W106" s="294">
        <v>56.892400000000002</v>
      </c>
      <c r="X106" s="294">
        <v>58.756819999999998</v>
      </c>
      <c r="Y106" s="294">
        <v>61.028129999999997</v>
      </c>
      <c r="Z106" s="294">
        <v>66.791169999999994</v>
      </c>
      <c r="AA106" s="294">
        <v>68.348500000000001</v>
      </c>
      <c r="AB106" s="9" t="s">
        <v>159</v>
      </c>
      <c r="AD106" s="4"/>
    </row>
    <row r="107" spans="2:30" x14ac:dyDescent="0.25">
      <c r="B107" s="10" t="s">
        <v>153</v>
      </c>
      <c r="C107" s="326">
        <v>11835.09</v>
      </c>
      <c r="D107" s="326">
        <v>12345.39</v>
      </c>
      <c r="E107" s="326">
        <v>12510.27</v>
      </c>
      <c r="F107" s="326">
        <v>13737.44</v>
      </c>
      <c r="G107" s="326">
        <v>14608.16</v>
      </c>
      <c r="H107" s="326">
        <v>15086.54</v>
      </c>
      <c r="I107" s="326">
        <v>15669.9</v>
      </c>
      <c r="J107" s="326">
        <v>17149.060000000001</v>
      </c>
      <c r="K107" s="326">
        <v>17549.310000000001</v>
      </c>
      <c r="L107" s="11" t="s">
        <v>179</v>
      </c>
      <c r="N107" s="4">
        <f>C107/'2_Production_2'!AX28*100</f>
        <v>35.362405880243813</v>
      </c>
      <c r="R107" s="10" t="s">
        <v>153</v>
      </c>
      <c r="S107" s="296">
        <v>9163.8160000000007</v>
      </c>
      <c r="T107" s="296">
        <v>9559.027</v>
      </c>
      <c r="U107" s="296">
        <v>9687.1839999999902</v>
      </c>
      <c r="V107" s="296">
        <v>10637.15</v>
      </c>
      <c r="W107" s="296">
        <v>11311.56</v>
      </c>
      <c r="X107" s="296">
        <v>11682.25</v>
      </c>
      <c r="Y107" s="296">
        <v>12133.84</v>
      </c>
      <c r="Z107" s="296">
        <v>13279.67</v>
      </c>
      <c r="AA107" s="296">
        <v>13589.3</v>
      </c>
      <c r="AB107" s="11" t="s">
        <v>179</v>
      </c>
      <c r="AD107" s="4">
        <f>S107/'2_Production_2'!AX28*100</f>
        <v>27.380829449025939</v>
      </c>
    </row>
    <row r="108" spans="2:30" x14ac:dyDescent="0.25">
      <c r="B108" s="12"/>
      <c r="C108" s="289"/>
      <c r="D108" s="294"/>
      <c r="E108" s="289"/>
      <c r="F108" s="289"/>
      <c r="G108" s="289"/>
      <c r="H108" s="289"/>
      <c r="I108" s="289"/>
      <c r="J108" s="289"/>
      <c r="K108" s="289"/>
      <c r="L108" s="13" t="s">
        <v>160</v>
      </c>
      <c r="N108" s="4"/>
      <c r="R108" s="12"/>
      <c r="S108" s="289"/>
      <c r="T108" s="294"/>
      <c r="U108" s="289"/>
      <c r="V108" s="289"/>
      <c r="W108" s="289"/>
      <c r="X108" s="289"/>
      <c r="Y108" s="289"/>
      <c r="Z108" s="289"/>
      <c r="AA108" s="289"/>
      <c r="AB108" s="13" t="s">
        <v>160</v>
      </c>
      <c r="AD108" s="4"/>
    </row>
    <row r="109" spans="2:30" x14ac:dyDescent="0.25">
      <c r="B109" s="16" t="s">
        <v>154</v>
      </c>
      <c r="C109" s="88">
        <v>2626.9549999999999</v>
      </c>
      <c r="D109" s="88">
        <v>2740.2220000000002</v>
      </c>
      <c r="E109" s="88">
        <v>2776.8209999999999</v>
      </c>
      <c r="F109" s="88">
        <v>3049.2060000000001</v>
      </c>
      <c r="G109" s="88">
        <v>3242.4749999999999</v>
      </c>
      <c r="H109" s="88">
        <v>3348.6559999999999</v>
      </c>
      <c r="I109" s="88">
        <v>3478.1410000000001</v>
      </c>
      <c r="J109" s="88">
        <v>3806.46</v>
      </c>
      <c r="K109" s="88">
        <v>3895.3</v>
      </c>
      <c r="L109" s="15" t="s">
        <v>61</v>
      </c>
      <c r="N109" s="4"/>
      <c r="R109" s="16" t="s">
        <v>154</v>
      </c>
      <c r="S109" s="298">
        <v>2034.03</v>
      </c>
      <c r="T109" s="298">
        <v>2121.752</v>
      </c>
      <c r="U109" s="298">
        <v>2150.1979999999999</v>
      </c>
      <c r="V109" s="298">
        <v>2361.056</v>
      </c>
      <c r="W109" s="298">
        <v>2510.75</v>
      </c>
      <c r="X109" s="298">
        <v>2593.0300000000002</v>
      </c>
      <c r="Y109" s="298">
        <v>2693.2660000000001</v>
      </c>
      <c r="Z109" s="298">
        <v>2947.5990000000002</v>
      </c>
      <c r="AA109" s="298">
        <v>3016.326</v>
      </c>
      <c r="AB109" s="15" t="s">
        <v>61</v>
      </c>
      <c r="AD109" s="4"/>
    </row>
    <row r="110" spans="2:30" x14ac:dyDescent="0.25">
      <c r="B110" s="25" t="s">
        <v>664</v>
      </c>
      <c r="N110" s="4"/>
      <c r="R110" s="25" t="s">
        <v>664</v>
      </c>
      <c r="AD110" s="4"/>
    </row>
    <row r="111" spans="2:30" x14ac:dyDescent="0.25">
      <c r="B111" s="5" t="s">
        <v>161</v>
      </c>
      <c r="C111" s="6">
        <v>2024</v>
      </c>
      <c r="D111" s="6">
        <f t="shared" ref="D111:K111" si="63">C111+1</f>
        <v>2025</v>
      </c>
      <c r="E111" s="6">
        <f t="shared" si="63"/>
        <v>2026</v>
      </c>
      <c r="F111" s="6">
        <f t="shared" si="63"/>
        <v>2027</v>
      </c>
      <c r="G111" s="6">
        <f t="shared" si="63"/>
        <v>2028</v>
      </c>
      <c r="H111" s="6">
        <f t="shared" si="63"/>
        <v>2029</v>
      </c>
      <c r="I111" s="6">
        <f t="shared" si="63"/>
        <v>2030</v>
      </c>
      <c r="J111" s="6">
        <f t="shared" si="63"/>
        <v>2031</v>
      </c>
      <c r="K111" s="6">
        <f t="shared" si="63"/>
        <v>2032</v>
      </c>
      <c r="L111" s="7" t="s">
        <v>34</v>
      </c>
      <c r="N111" s="4"/>
      <c r="R111" s="5" t="s">
        <v>161</v>
      </c>
      <c r="S111" s="6">
        <v>2024</v>
      </c>
      <c r="T111" s="6">
        <f t="shared" ref="T111" si="64">S111+1</f>
        <v>2025</v>
      </c>
      <c r="U111" s="6">
        <f t="shared" ref="U111" si="65">T111+1</f>
        <v>2026</v>
      </c>
      <c r="V111" s="6">
        <f t="shared" ref="V111" si="66">U111+1</f>
        <v>2027</v>
      </c>
      <c r="W111" s="6">
        <f t="shared" ref="W111" si="67">V111+1</f>
        <v>2028</v>
      </c>
      <c r="X111" s="6">
        <f t="shared" ref="X111" si="68">W111+1</f>
        <v>2029</v>
      </c>
      <c r="Y111" s="6">
        <f t="shared" ref="Y111" si="69">X111+1</f>
        <v>2030</v>
      </c>
      <c r="Z111" s="6">
        <f t="shared" ref="Z111" si="70">Y111+1</f>
        <v>2031</v>
      </c>
      <c r="AA111" s="6">
        <f t="shared" ref="AA111" si="71">Z111+1</f>
        <v>2032</v>
      </c>
      <c r="AB111" s="7" t="s">
        <v>34</v>
      </c>
      <c r="AD111" s="4"/>
    </row>
    <row r="112" spans="2:30" x14ac:dyDescent="0.25">
      <c r="B112" s="8" t="s">
        <v>162</v>
      </c>
      <c r="C112" s="87">
        <v>0.95989939999999996</v>
      </c>
      <c r="D112" s="87">
        <v>1.009433</v>
      </c>
      <c r="E112" s="87">
        <v>1.0256940000000001</v>
      </c>
      <c r="F112" s="87">
        <v>1.0607709999999999</v>
      </c>
      <c r="G112" s="87">
        <v>1.0926750000000001</v>
      </c>
      <c r="H112" s="87">
        <v>1.1200810000000001</v>
      </c>
      <c r="I112" s="87">
        <v>1.1764289999999999</v>
      </c>
      <c r="J112" s="87">
        <v>1.197052</v>
      </c>
      <c r="K112" s="87">
        <v>1.2367600000000001</v>
      </c>
      <c r="L112" s="9" t="s">
        <v>736</v>
      </c>
      <c r="R112" s="8" t="s">
        <v>162</v>
      </c>
      <c r="S112" s="294">
        <v>0.74700429999999995</v>
      </c>
      <c r="T112" s="294">
        <v>0.78569869999999997</v>
      </c>
      <c r="U112" s="294">
        <v>0.79841680000000004</v>
      </c>
      <c r="V112" s="294">
        <v>0.82560719999999999</v>
      </c>
      <c r="W112" s="294">
        <v>0.85045179999999998</v>
      </c>
      <c r="X112" s="294">
        <v>0.871784</v>
      </c>
      <c r="Y112" s="294">
        <v>0.91568320000000003</v>
      </c>
      <c r="Z112" s="294">
        <v>0.93170379999999997</v>
      </c>
      <c r="AA112" s="294">
        <v>0.96263849999999995</v>
      </c>
      <c r="AB112" s="9" t="s">
        <v>736</v>
      </c>
    </row>
    <row r="113" spans="2:30" x14ac:dyDescent="0.25">
      <c r="B113" s="8" t="s">
        <v>163</v>
      </c>
      <c r="C113" s="87">
        <v>40.792639999999999</v>
      </c>
      <c r="D113" s="87">
        <v>42.897649999999999</v>
      </c>
      <c r="E113" s="87">
        <v>43.588679999999997</v>
      </c>
      <c r="F113" s="87">
        <v>45.079349999999998</v>
      </c>
      <c r="G113" s="87">
        <v>46.435180000000003</v>
      </c>
      <c r="H113" s="87">
        <v>47.599829999999997</v>
      </c>
      <c r="I113" s="87">
        <v>49.994450000000001</v>
      </c>
      <c r="J113" s="87">
        <v>50.870849999999997</v>
      </c>
      <c r="K113" s="87">
        <v>52.558329999999998</v>
      </c>
      <c r="L113" s="9" t="s">
        <v>174</v>
      </c>
      <c r="N113" s="4"/>
      <c r="R113" s="8" t="s">
        <v>163</v>
      </c>
      <c r="S113" s="294">
        <v>31.745280000000001</v>
      </c>
      <c r="T113" s="294">
        <v>33.389659999999999</v>
      </c>
      <c r="U113" s="294">
        <v>33.930140000000002</v>
      </c>
      <c r="V113" s="294">
        <v>35.085650000000001</v>
      </c>
      <c r="W113" s="294">
        <v>36.141469999999998</v>
      </c>
      <c r="X113" s="294">
        <v>37.048009999999998</v>
      </c>
      <c r="Y113" s="294">
        <v>38.913589999999999</v>
      </c>
      <c r="Z113" s="294">
        <v>39.594410000000003</v>
      </c>
      <c r="AA113" s="294">
        <v>40.909039999999997</v>
      </c>
      <c r="AB113" s="9" t="s">
        <v>174</v>
      </c>
      <c r="AD113" s="4"/>
    </row>
    <row r="114" spans="2:30" x14ac:dyDescent="0.25">
      <c r="B114" s="8" t="s">
        <v>164</v>
      </c>
      <c r="C114" s="87">
        <v>1653.0419999999999</v>
      </c>
      <c r="D114" s="87">
        <v>1738.3440000000001</v>
      </c>
      <c r="E114" s="87">
        <v>1766.347</v>
      </c>
      <c r="F114" s="87">
        <v>1826.7529999999999</v>
      </c>
      <c r="G114" s="87">
        <v>1881.6949999999999</v>
      </c>
      <c r="H114" s="87">
        <v>1928.8910000000001</v>
      </c>
      <c r="I114" s="87">
        <v>2025.9280000000001</v>
      </c>
      <c r="J114" s="87">
        <v>2061.442</v>
      </c>
      <c r="K114" s="87">
        <v>2129.8240000000001</v>
      </c>
      <c r="L114" s="9" t="s">
        <v>737</v>
      </c>
      <c r="N114" s="4"/>
      <c r="R114" s="8" t="s">
        <v>164</v>
      </c>
      <c r="S114" s="294">
        <v>1286.4159999999999</v>
      </c>
      <c r="T114" s="294">
        <v>1353.0509999999999</v>
      </c>
      <c r="U114" s="294">
        <v>1374.953</v>
      </c>
      <c r="V114" s="294">
        <v>1421.778</v>
      </c>
      <c r="W114" s="294">
        <v>1464.5630000000001</v>
      </c>
      <c r="X114" s="294">
        <v>1501.299</v>
      </c>
      <c r="Y114" s="294">
        <v>1576.8979999999999</v>
      </c>
      <c r="Z114" s="294">
        <v>1604.4870000000001</v>
      </c>
      <c r="AA114" s="294">
        <v>1657.759</v>
      </c>
      <c r="AB114" s="9" t="s">
        <v>737</v>
      </c>
      <c r="AD114" s="4"/>
    </row>
    <row r="115" spans="2:30" x14ac:dyDescent="0.25">
      <c r="B115" s="8" t="s">
        <v>165</v>
      </c>
      <c r="C115" s="87">
        <v>295.90359999999998</v>
      </c>
      <c r="D115" s="87">
        <v>311.17309999999998</v>
      </c>
      <c r="E115" s="87">
        <v>316.18579999999997</v>
      </c>
      <c r="F115" s="87">
        <v>326.99880000000002</v>
      </c>
      <c r="G115" s="87">
        <v>336.8338</v>
      </c>
      <c r="H115" s="87">
        <v>345.28199999999998</v>
      </c>
      <c r="I115" s="87">
        <v>362.65219999999999</v>
      </c>
      <c r="J115" s="87">
        <v>369.0095</v>
      </c>
      <c r="K115" s="87">
        <v>381.25020000000001</v>
      </c>
      <c r="L115" s="9" t="s">
        <v>175</v>
      </c>
      <c r="N115" s="4"/>
      <c r="R115" s="8" t="s">
        <v>165</v>
      </c>
      <c r="S115" s="294">
        <v>230.27549999999999</v>
      </c>
      <c r="T115" s="294">
        <v>242.20359999999999</v>
      </c>
      <c r="U115" s="294">
        <v>246.1242</v>
      </c>
      <c r="V115" s="294">
        <v>254.506</v>
      </c>
      <c r="W115" s="294">
        <v>262.16469999999998</v>
      </c>
      <c r="X115" s="294">
        <v>268.7407</v>
      </c>
      <c r="Y115" s="294">
        <v>282.27330000000001</v>
      </c>
      <c r="Z115" s="294">
        <v>287.21190000000001</v>
      </c>
      <c r="AA115" s="294">
        <v>296.74799999999999</v>
      </c>
      <c r="AB115" s="9" t="s">
        <v>175</v>
      </c>
      <c r="AD115" s="4"/>
    </row>
    <row r="116" spans="2:30" x14ac:dyDescent="0.25">
      <c r="B116" s="8" t="s">
        <v>166</v>
      </c>
      <c r="C116" s="87">
        <v>2259.663</v>
      </c>
      <c r="D116" s="87">
        <v>2376.268</v>
      </c>
      <c r="E116" s="87">
        <v>2414.547</v>
      </c>
      <c r="F116" s="87">
        <v>2497.12</v>
      </c>
      <c r="G116" s="87">
        <v>2572.2249999999999</v>
      </c>
      <c r="H116" s="87">
        <v>2636.74</v>
      </c>
      <c r="I116" s="87">
        <v>2769.3870000000002</v>
      </c>
      <c r="J116" s="87">
        <v>2817.9340000000002</v>
      </c>
      <c r="K116" s="87">
        <v>2911.41</v>
      </c>
      <c r="L116" s="9" t="s">
        <v>738</v>
      </c>
      <c r="N116" s="4"/>
      <c r="R116" s="8" t="s">
        <v>166</v>
      </c>
      <c r="S116" s="294">
        <v>1758.4939999999999</v>
      </c>
      <c r="T116" s="294">
        <v>1849.5830000000001</v>
      </c>
      <c r="U116" s="294">
        <v>1879.5229999999999</v>
      </c>
      <c r="V116" s="294">
        <v>1943.5309999999999</v>
      </c>
      <c r="W116" s="294">
        <v>2002.0160000000001</v>
      </c>
      <c r="X116" s="294">
        <v>2052.2330000000002</v>
      </c>
      <c r="Y116" s="294">
        <v>2155.5749999999998</v>
      </c>
      <c r="Z116" s="294">
        <v>2193.288</v>
      </c>
      <c r="AA116" s="294">
        <v>2266.11</v>
      </c>
      <c r="AB116" s="9" t="s">
        <v>738</v>
      </c>
      <c r="AD116" s="4"/>
    </row>
    <row r="117" spans="2:30" x14ac:dyDescent="0.25">
      <c r="B117" s="8" t="s">
        <v>167</v>
      </c>
      <c r="C117" s="87">
        <v>198.357</v>
      </c>
      <c r="D117" s="87">
        <v>208.59280000000001</v>
      </c>
      <c r="E117" s="87">
        <v>211.953</v>
      </c>
      <c r="F117" s="87">
        <v>219.20150000000001</v>
      </c>
      <c r="G117" s="87">
        <v>225.79429999999999</v>
      </c>
      <c r="H117" s="87">
        <v>231.45750000000001</v>
      </c>
      <c r="I117" s="87">
        <v>243.10149999999999</v>
      </c>
      <c r="J117" s="87">
        <v>247.363</v>
      </c>
      <c r="K117" s="87">
        <v>255.5685</v>
      </c>
      <c r="L117" s="9" t="s">
        <v>739</v>
      </c>
      <c r="N117" s="4"/>
      <c r="R117" s="8" t="s">
        <v>167</v>
      </c>
      <c r="S117" s="294">
        <v>154.36359999999999</v>
      </c>
      <c r="T117" s="294">
        <v>162.3596</v>
      </c>
      <c r="U117" s="294">
        <v>164.98769999999999</v>
      </c>
      <c r="V117" s="294">
        <v>170.60640000000001</v>
      </c>
      <c r="W117" s="294">
        <v>175.74039999999999</v>
      </c>
      <c r="X117" s="294">
        <v>180.14850000000001</v>
      </c>
      <c r="Y117" s="294">
        <v>189.22</v>
      </c>
      <c r="Z117" s="294">
        <v>192.53059999999999</v>
      </c>
      <c r="AA117" s="294">
        <v>198.923</v>
      </c>
      <c r="AB117" s="9" t="s">
        <v>739</v>
      </c>
      <c r="AD117" s="4"/>
    </row>
    <row r="118" spans="2:30" x14ac:dyDescent="0.25">
      <c r="B118" s="8" t="s">
        <v>168</v>
      </c>
      <c r="C118" s="87">
        <v>90.658760000000001</v>
      </c>
      <c r="D118" s="87">
        <v>95.337010000000006</v>
      </c>
      <c r="E118" s="87">
        <v>96.872780000000006</v>
      </c>
      <c r="F118" s="87">
        <v>100.1857</v>
      </c>
      <c r="G118" s="87">
        <v>103.19889999999999</v>
      </c>
      <c r="H118" s="87">
        <v>105.7873</v>
      </c>
      <c r="I118" s="87">
        <v>111.1091</v>
      </c>
      <c r="J118" s="87">
        <v>113.0569</v>
      </c>
      <c r="K118" s="87">
        <v>116.80719999999999</v>
      </c>
      <c r="L118" s="9" t="s">
        <v>176</v>
      </c>
      <c r="N118" s="4"/>
      <c r="R118" s="8" t="s">
        <v>168</v>
      </c>
      <c r="S118" s="294">
        <v>70.551640000000006</v>
      </c>
      <c r="T118" s="294">
        <v>74.206180000000003</v>
      </c>
      <c r="U118" s="294">
        <v>75.407359999999997</v>
      </c>
      <c r="V118" s="294">
        <v>77.975390000000004</v>
      </c>
      <c r="W118" s="294">
        <v>80.321860000000001</v>
      </c>
      <c r="X118" s="294">
        <v>82.336600000000004</v>
      </c>
      <c r="Y118" s="294">
        <v>86.482709999999997</v>
      </c>
      <c r="Z118" s="294">
        <v>87.99579</v>
      </c>
      <c r="AA118" s="294">
        <v>90.917450000000002</v>
      </c>
      <c r="AB118" s="9" t="s">
        <v>176</v>
      </c>
      <c r="AD118" s="4"/>
    </row>
    <row r="119" spans="2:30" x14ac:dyDescent="0.25">
      <c r="B119" s="8" t="s">
        <v>169</v>
      </c>
      <c r="C119" s="87">
        <v>1283.011</v>
      </c>
      <c r="D119" s="87">
        <v>1349.2180000000001</v>
      </c>
      <c r="E119" s="87">
        <v>1370.953</v>
      </c>
      <c r="F119" s="87">
        <v>1417.837</v>
      </c>
      <c r="G119" s="87">
        <v>1460.481</v>
      </c>
      <c r="H119" s="87">
        <v>1497.1110000000001</v>
      </c>
      <c r="I119" s="87">
        <v>1572.4269999999999</v>
      </c>
      <c r="J119" s="87">
        <v>1599.991</v>
      </c>
      <c r="K119" s="87">
        <v>1653.066</v>
      </c>
      <c r="L119" s="9" t="s">
        <v>740</v>
      </c>
      <c r="N119" s="4"/>
      <c r="R119" s="8" t="s">
        <v>169</v>
      </c>
      <c r="S119" s="294">
        <v>998.45339999999999</v>
      </c>
      <c r="T119" s="294">
        <v>1050.173</v>
      </c>
      <c r="U119" s="294">
        <v>1067.172</v>
      </c>
      <c r="V119" s="294">
        <v>1103.5150000000001</v>
      </c>
      <c r="W119" s="294">
        <v>1136.722</v>
      </c>
      <c r="X119" s="294">
        <v>1165.2349999999999</v>
      </c>
      <c r="Y119" s="294">
        <v>1223.9110000000001</v>
      </c>
      <c r="Z119" s="294">
        <v>1245.325</v>
      </c>
      <c r="AA119" s="294">
        <v>1286.672</v>
      </c>
      <c r="AB119" s="9" t="s">
        <v>740</v>
      </c>
      <c r="AD119" s="4"/>
    </row>
    <row r="120" spans="2:30" x14ac:dyDescent="0.25">
      <c r="B120" s="8" t="s">
        <v>170</v>
      </c>
      <c r="C120" s="87">
        <v>22.230720000000002</v>
      </c>
      <c r="D120" s="87">
        <v>23.377890000000001</v>
      </c>
      <c r="E120" s="87">
        <v>23.754480000000001</v>
      </c>
      <c r="F120" s="87">
        <v>24.566849999999999</v>
      </c>
      <c r="G120" s="87">
        <v>25.305730000000001</v>
      </c>
      <c r="H120" s="87">
        <v>25.940429999999999</v>
      </c>
      <c r="I120" s="87">
        <v>27.245419999999999</v>
      </c>
      <c r="J120" s="87">
        <v>27.723040000000001</v>
      </c>
      <c r="K120" s="87">
        <v>28.642659999999999</v>
      </c>
      <c r="L120" s="9" t="s">
        <v>177</v>
      </c>
      <c r="N120" s="4"/>
      <c r="R120" s="8" t="s">
        <v>170</v>
      </c>
      <c r="S120" s="294">
        <v>17.300190000000001</v>
      </c>
      <c r="T120" s="294">
        <v>18.19633</v>
      </c>
      <c r="U120" s="294">
        <v>18.490880000000001</v>
      </c>
      <c r="V120" s="294">
        <v>19.12059</v>
      </c>
      <c r="W120" s="294">
        <v>19.695979999999999</v>
      </c>
      <c r="X120" s="294">
        <v>20.190020000000001</v>
      </c>
      <c r="Y120" s="294">
        <v>21.206700000000001</v>
      </c>
      <c r="Z120" s="294">
        <v>21.577729999999999</v>
      </c>
      <c r="AA120" s="294">
        <v>22.294160000000002</v>
      </c>
      <c r="AB120" s="9" t="s">
        <v>177</v>
      </c>
      <c r="AD120" s="4"/>
    </row>
    <row r="121" spans="2:30" x14ac:dyDescent="0.25">
      <c r="B121" s="8" t="s">
        <v>171</v>
      </c>
      <c r="C121" s="87">
        <v>11.890470000000001</v>
      </c>
      <c r="D121" s="87">
        <v>12.504049999999999</v>
      </c>
      <c r="E121" s="87">
        <v>12.70548</v>
      </c>
      <c r="F121" s="87">
        <v>13.139989999999999</v>
      </c>
      <c r="G121" s="87">
        <v>13.53519</v>
      </c>
      <c r="H121" s="87">
        <v>13.87467</v>
      </c>
      <c r="I121" s="87">
        <v>14.57267</v>
      </c>
      <c r="J121" s="87">
        <v>14.82813</v>
      </c>
      <c r="K121" s="87">
        <v>15.32</v>
      </c>
      <c r="L121" s="9" t="s">
        <v>178</v>
      </c>
      <c r="N121" s="4"/>
      <c r="R121" s="8" t="s">
        <v>171</v>
      </c>
      <c r="S121" s="294">
        <v>9.2532949999999996</v>
      </c>
      <c r="T121" s="294">
        <v>9.7326099999999904</v>
      </c>
      <c r="U121" s="294">
        <v>9.8901520000000005</v>
      </c>
      <c r="V121" s="294">
        <v>10.22697</v>
      </c>
      <c r="W121" s="294">
        <v>10.53472</v>
      </c>
      <c r="X121" s="294">
        <v>10.798970000000001</v>
      </c>
      <c r="Y121" s="294">
        <v>11.34276</v>
      </c>
      <c r="Z121" s="294">
        <v>11.54121</v>
      </c>
      <c r="AA121" s="294">
        <v>2682648</v>
      </c>
      <c r="AB121" s="9" t="s">
        <v>178</v>
      </c>
      <c r="AD121" s="4"/>
    </row>
    <row r="122" spans="2:30" x14ac:dyDescent="0.25">
      <c r="B122" s="10" t="s">
        <v>172</v>
      </c>
      <c r="C122" s="326">
        <v>5856.509</v>
      </c>
      <c r="D122" s="326">
        <v>6158.7209999999995</v>
      </c>
      <c r="E122" s="326">
        <v>6257.9319999999998</v>
      </c>
      <c r="F122" s="326">
        <v>6471.9430000000002</v>
      </c>
      <c r="G122" s="326">
        <v>6666.5959999999995</v>
      </c>
      <c r="H122" s="326">
        <v>6833.8029999999999</v>
      </c>
      <c r="I122" s="326">
        <v>7177.5929999999998</v>
      </c>
      <c r="J122" s="326">
        <v>7303.4160000000002</v>
      </c>
      <c r="K122" s="326">
        <v>7545.6840000000002</v>
      </c>
      <c r="L122" s="11" t="s">
        <v>180</v>
      </c>
      <c r="N122" s="4">
        <f>C122/'2_Production_2'!AX29*100</f>
        <v>39.602528228549481</v>
      </c>
      <c r="R122" s="10" t="s">
        <v>172</v>
      </c>
      <c r="S122" s="296">
        <v>4557.6000000000004</v>
      </c>
      <c r="T122" s="296">
        <v>4793.6809999999996</v>
      </c>
      <c r="U122" s="296">
        <v>4871.2759999999998</v>
      </c>
      <c r="V122" s="296">
        <v>5037.17</v>
      </c>
      <c r="W122" s="296">
        <v>5188.7510000000002</v>
      </c>
      <c r="X122" s="296">
        <v>5318.902</v>
      </c>
      <c r="Y122" s="296">
        <v>5586.7380000000003</v>
      </c>
      <c r="Z122" s="296">
        <v>5684.4830000000002</v>
      </c>
      <c r="AA122" s="296">
        <v>5873.2209999999995</v>
      </c>
      <c r="AB122" s="11" t="s">
        <v>180</v>
      </c>
      <c r="AD122" s="4">
        <f>S122/'2_Production_2'!AX29*100</f>
        <v>30.819124952157871</v>
      </c>
    </row>
    <row r="123" spans="2:30" x14ac:dyDescent="0.25">
      <c r="B123" s="12"/>
      <c r="C123" s="289"/>
      <c r="D123" s="294"/>
      <c r="E123" s="289"/>
      <c r="F123" s="289"/>
      <c r="G123" s="289"/>
      <c r="H123" s="289"/>
      <c r="I123" s="289"/>
      <c r="J123" s="289"/>
      <c r="K123" s="289"/>
      <c r="L123" s="13" t="s">
        <v>181</v>
      </c>
      <c r="N123" s="4"/>
      <c r="R123" s="12"/>
      <c r="S123" s="289"/>
      <c r="T123" s="294"/>
      <c r="U123" s="289"/>
      <c r="V123" s="289"/>
      <c r="W123" s="289"/>
      <c r="X123" s="289"/>
      <c r="Y123" s="289"/>
      <c r="Z123" s="289"/>
      <c r="AA123" s="289"/>
      <c r="AB123" s="13" t="s">
        <v>181</v>
      </c>
      <c r="AD123" s="4"/>
    </row>
    <row r="124" spans="2:30" x14ac:dyDescent="0.25">
      <c r="B124" s="16" t="s">
        <v>173</v>
      </c>
      <c r="C124" s="88">
        <v>891.35599999999999</v>
      </c>
      <c r="D124" s="88">
        <v>937.35249999999996</v>
      </c>
      <c r="E124" s="88">
        <v>952.45219999999995</v>
      </c>
      <c r="F124" s="88">
        <v>985.02449999999999</v>
      </c>
      <c r="G124" s="88">
        <v>1014.651</v>
      </c>
      <c r="H124" s="88">
        <v>1040.0989999999999</v>
      </c>
      <c r="I124" s="88">
        <v>1092.424</v>
      </c>
      <c r="J124" s="88">
        <v>1111.5740000000001</v>
      </c>
      <c r="K124" s="88">
        <v>1148.4469999999999</v>
      </c>
      <c r="L124" s="15" t="s">
        <v>61</v>
      </c>
      <c r="N124" s="4"/>
      <c r="R124" s="16" t="s">
        <v>173</v>
      </c>
      <c r="S124" s="298">
        <v>693.66300000000001</v>
      </c>
      <c r="T124" s="298">
        <v>729.59439999999995</v>
      </c>
      <c r="U124" s="298">
        <v>741.40430000000003</v>
      </c>
      <c r="V124" s="298">
        <v>766.65319999999997</v>
      </c>
      <c r="W124" s="298">
        <v>789.72370000000001</v>
      </c>
      <c r="X124" s="298">
        <v>809.5326</v>
      </c>
      <c r="Y124" s="298">
        <v>850.2971</v>
      </c>
      <c r="Z124" s="298">
        <v>865.17370000000005</v>
      </c>
      <c r="AA124" s="298">
        <v>893.89949999999999</v>
      </c>
      <c r="AB124" s="15" t="s">
        <v>61</v>
      </c>
      <c r="AD124" s="4"/>
    </row>
    <row r="125" spans="2:30" x14ac:dyDescent="0.25">
      <c r="B125" s="25" t="s">
        <v>665</v>
      </c>
      <c r="N125" s="4"/>
      <c r="R125" s="25" t="s">
        <v>665</v>
      </c>
      <c r="AD125" s="4"/>
    </row>
    <row r="126" spans="2:30" x14ac:dyDescent="0.25">
      <c r="B126" s="5" t="s">
        <v>7</v>
      </c>
      <c r="C126" s="6">
        <v>2022</v>
      </c>
      <c r="D126" s="6">
        <f t="shared" ref="D126:K126" si="72">C126+1</f>
        <v>2023</v>
      </c>
      <c r="E126" s="6">
        <f t="shared" si="72"/>
        <v>2024</v>
      </c>
      <c r="F126" s="6">
        <f t="shared" si="72"/>
        <v>2025</v>
      </c>
      <c r="G126" s="6">
        <f t="shared" si="72"/>
        <v>2026</v>
      </c>
      <c r="H126" s="6">
        <f t="shared" si="72"/>
        <v>2027</v>
      </c>
      <c r="I126" s="6">
        <f t="shared" si="72"/>
        <v>2028</v>
      </c>
      <c r="J126" s="6">
        <f t="shared" si="72"/>
        <v>2029</v>
      </c>
      <c r="K126" s="6">
        <f t="shared" si="72"/>
        <v>2030</v>
      </c>
      <c r="L126" s="7" t="s">
        <v>34</v>
      </c>
      <c r="N126" s="4"/>
      <c r="R126" s="5" t="s">
        <v>7</v>
      </c>
      <c r="S126" s="6">
        <v>2022</v>
      </c>
      <c r="T126" s="6">
        <f t="shared" ref="T126" si="73">S126+1</f>
        <v>2023</v>
      </c>
      <c r="U126" s="6">
        <f t="shared" ref="U126" si="74">T126+1</f>
        <v>2024</v>
      </c>
      <c r="V126" s="6">
        <f t="shared" ref="V126" si="75">U126+1</f>
        <v>2025</v>
      </c>
      <c r="W126" s="6">
        <f t="shared" ref="W126" si="76">V126+1</f>
        <v>2026</v>
      </c>
      <c r="X126" s="6">
        <f t="shared" ref="X126" si="77">W126+1</f>
        <v>2027</v>
      </c>
      <c r="Y126" s="6">
        <f t="shared" ref="Y126" si="78">X126+1</f>
        <v>2028</v>
      </c>
      <c r="Z126" s="6">
        <f t="shared" ref="Z126" si="79">Y126+1</f>
        <v>2029</v>
      </c>
      <c r="AA126" s="6">
        <f t="shared" ref="AA126" si="80">Z126+1</f>
        <v>2030</v>
      </c>
      <c r="AB126" s="7" t="s">
        <v>34</v>
      </c>
      <c r="AD126" s="4"/>
    </row>
    <row r="127" spans="2:30" x14ac:dyDescent="0.25">
      <c r="B127" s="8" t="s">
        <v>182</v>
      </c>
      <c r="C127" s="87">
        <v>90.331620000000001</v>
      </c>
      <c r="D127" s="87">
        <v>90.74418</v>
      </c>
      <c r="E127" s="87">
        <v>96.300899999999999</v>
      </c>
      <c r="F127" s="87">
        <v>108.67359999999999</v>
      </c>
      <c r="G127" s="87">
        <v>113.1891</v>
      </c>
      <c r="H127" s="87">
        <v>128.10339999999999</v>
      </c>
      <c r="I127" s="87">
        <v>141.73339999999999</v>
      </c>
      <c r="J127" s="87">
        <v>153.42519999999999</v>
      </c>
      <c r="K127" s="87">
        <v>166.92590000000001</v>
      </c>
      <c r="L127" s="9" t="s">
        <v>873</v>
      </c>
      <c r="N127" s="4"/>
      <c r="R127" s="8" t="s">
        <v>182</v>
      </c>
      <c r="S127" s="294">
        <v>63.589179999999999</v>
      </c>
      <c r="T127" s="294">
        <v>63.880560000000003</v>
      </c>
      <c r="U127" s="294">
        <v>67.792119999999997</v>
      </c>
      <c r="V127" s="294">
        <v>76.501990000000006</v>
      </c>
      <c r="W127" s="294">
        <v>79.683199999999999</v>
      </c>
      <c r="X127" s="294">
        <v>90.183949999999996</v>
      </c>
      <c r="Y127" s="294">
        <v>99.780630000000002</v>
      </c>
      <c r="Z127" s="294">
        <v>108.0153</v>
      </c>
      <c r="AA127" s="294">
        <v>117.5181</v>
      </c>
      <c r="AB127" s="9" t="s">
        <v>873</v>
      </c>
      <c r="AD127" s="4"/>
    </row>
    <row r="128" spans="2:30" x14ac:dyDescent="0.25">
      <c r="B128" s="8" t="s">
        <v>183</v>
      </c>
      <c r="C128" s="87">
        <v>24.131710000000002</v>
      </c>
      <c r="D128" s="87">
        <v>24.24192</v>
      </c>
      <c r="E128" s="87">
        <v>25.726379999999999</v>
      </c>
      <c r="F128" s="87">
        <v>29.031680000000001</v>
      </c>
      <c r="G128" s="87">
        <v>30.23799</v>
      </c>
      <c r="H128" s="87">
        <v>34.222290000000001</v>
      </c>
      <c r="I128" s="87">
        <v>37.86347</v>
      </c>
      <c r="J128" s="87">
        <v>40.986890000000002</v>
      </c>
      <c r="K128" s="87">
        <v>44.593559999999997</v>
      </c>
      <c r="L128" s="9" t="s">
        <v>194</v>
      </c>
      <c r="N128" s="4"/>
      <c r="R128" s="8" t="s">
        <v>183</v>
      </c>
      <c r="S128" s="294">
        <v>16.987580000000001</v>
      </c>
      <c r="T128" s="294">
        <v>17.06542</v>
      </c>
      <c r="U128" s="294">
        <v>18.110379999999999</v>
      </c>
      <c r="V128" s="294">
        <v>20.437180000000001</v>
      </c>
      <c r="W128" s="294">
        <v>21.287030000000001</v>
      </c>
      <c r="X128" s="294">
        <v>24.09226</v>
      </c>
      <c r="Y128" s="294">
        <v>26.65597</v>
      </c>
      <c r="Z128" s="294">
        <v>28.855830000000001</v>
      </c>
      <c r="AA128" s="294">
        <v>31.394449999999999</v>
      </c>
      <c r="AB128" s="9" t="s">
        <v>194</v>
      </c>
      <c r="AD128" s="4"/>
    </row>
    <row r="129" spans="2:30" x14ac:dyDescent="0.25">
      <c r="B129" s="8" t="s">
        <v>184</v>
      </c>
      <c r="C129" s="87">
        <v>1752.5150000000001</v>
      </c>
      <c r="D129" s="87">
        <v>1760.519</v>
      </c>
      <c r="E129" s="87">
        <v>1868.325</v>
      </c>
      <c r="F129" s="87">
        <v>2108.366</v>
      </c>
      <c r="G129" s="87">
        <v>2195.9720000000002</v>
      </c>
      <c r="H129" s="87">
        <v>2485.3229999999999</v>
      </c>
      <c r="I129" s="87">
        <v>2749.7559999999999</v>
      </c>
      <c r="J129" s="87">
        <v>2976.5880000000002</v>
      </c>
      <c r="K129" s="87">
        <v>3238.5149999999999</v>
      </c>
      <c r="L129" s="9" t="s">
        <v>874</v>
      </c>
      <c r="N129" s="4"/>
      <c r="R129" s="8" t="s">
        <v>184</v>
      </c>
      <c r="S129" s="294">
        <v>1233.6880000000001</v>
      </c>
      <c r="T129" s="294">
        <v>1239.3409999999999</v>
      </c>
      <c r="U129" s="294">
        <v>1315.229</v>
      </c>
      <c r="V129" s="294">
        <v>1484.2080000000001</v>
      </c>
      <c r="W129" s="294">
        <v>1545.9259999999999</v>
      </c>
      <c r="X129" s="294">
        <v>1749.65</v>
      </c>
      <c r="Y129" s="294">
        <v>1935.835</v>
      </c>
      <c r="Z129" s="294">
        <v>2095.5949999999998</v>
      </c>
      <c r="AA129" s="294">
        <v>2279.9569999999999</v>
      </c>
      <c r="AB129" s="9" t="s">
        <v>874</v>
      </c>
      <c r="AD129" s="4"/>
    </row>
    <row r="130" spans="2:30" x14ac:dyDescent="0.25">
      <c r="B130" s="8" t="s">
        <v>185</v>
      </c>
      <c r="C130" s="87">
        <v>204.23599999999999</v>
      </c>
      <c r="D130" s="87">
        <v>205.1688</v>
      </c>
      <c r="E130" s="87">
        <v>217.73230000000001</v>
      </c>
      <c r="F130" s="87">
        <v>245.7064</v>
      </c>
      <c r="G130" s="87">
        <v>255.91589999999999</v>
      </c>
      <c r="H130" s="87">
        <v>289.63659999999999</v>
      </c>
      <c r="I130" s="87">
        <v>320.45330000000001</v>
      </c>
      <c r="J130" s="87">
        <v>346.88799999999998</v>
      </c>
      <c r="K130" s="87">
        <v>377.4126</v>
      </c>
      <c r="L130" s="9" t="s">
        <v>195</v>
      </c>
      <c r="N130" s="4"/>
      <c r="R130" s="8" t="s">
        <v>185</v>
      </c>
      <c r="S130" s="294">
        <v>143.77250000000001</v>
      </c>
      <c r="T130" s="294">
        <v>144.43129999999999</v>
      </c>
      <c r="U130" s="294">
        <v>153.27520000000001</v>
      </c>
      <c r="V130" s="294">
        <v>172.96780000000001</v>
      </c>
      <c r="W130" s="294">
        <v>180.16040000000001</v>
      </c>
      <c r="X130" s="294">
        <v>203.90219999999999</v>
      </c>
      <c r="Y130" s="294">
        <v>225.59989999999999</v>
      </c>
      <c r="Z130" s="294">
        <v>244.21809999999999</v>
      </c>
      <c r="AA130" s="294">
        <v>265.70339999999999</v>
      </c>
      <c r="AB130" s="9" t="s">
        <v>195</v>
      </c>
      <c r="AD130" s="4"/>
    </row>
    <row r="131" spans="2:30" x14ac:dyDescent="0.25">
      <c r="B131" s="8" t="s">
        <v>186</v>
      </c>
      <c r="C131" s="87">
        <v>352.72219999999999</v>
      </c>
      <c r="D131" s="87">
        <v>354.3331</v>
      </c>
      <c r="E131" s="87">
        <v>376.03070000000002</v>
      </c>
      <c r="F131" s="87">
        <v>424.34289999999999</v>
      </c>
      <c r="G131" s="87">
        <v>441.97500000000002</v>
      </c>
      <c r="H131" s="87">
        <v>500.21159999999998</v>
      </c>
      <c r="I131" s="87">
        <v>553.43309999999997</v>
      </c>
      <c r="J131" s="87">
        <v>599.08669999999995</v>
      </c>
      <c r="K131" s="87">
        <v>651.80370000000005</v>
      </c>
      <c r="L131" s="9" t="s">
        <v>875</v>
      </c>
      <c r="N131" s="4"/>
      <c r="R131" s="8" t="s">
        <v>186</v>
      </c>
      <c r="S131" s="294">
        <v>248.2997</v>
      </c>
      <c r="T131" s="294">
        <v>249.4375</v>
      </c>
      <c r="U131" s="294">
        <v>264.71109999999999</v>
      </c>
      <c r="V131" s="294">
        <v>298.721</v>
      </c>
      <c r="W131" s="294">
        <v>311.14280000000002</v>
      </c>
      <c r="X131" s="294">
        <v>352.1456</v>
      </c>
      <c r="Y131" s="294">
        <v>389.6182</v>
      </c>
      <c r="Z131" s="294">
        <v>421.77249999999998</v>
      </c>
      <c r="AA131" s="294">
        <v>458.87830000000002</v>
      </c>
      <c r="AB131" s="9" t="s">
        <v>875</v>
      </c>
      <c r="AD131" s="4"/>
    </row>
    <row r="132" spans="2:30" x14ac:dyDescent="0.25">
      <c r="B132" s="8" t="s">
        <v>187</v>
      </c>
      <c r="C132" s="87">
        <v>230.23609999999999</v>
      </c>
      <c r="D132" s="87">
        <v>231.2877</v>
      </c>
      <c r="E132" s="87">
        <v>245.45060000000001</v>
      </c>
      <c r="F132" s="87">
        <v>276.98590000000002</v>
      </c>
      <c r="G132" s="87">
        <v>288.49509999999998</v>
      </c>
      <c r="H132" s="87">
        <v>326.50850000000003</v>
      </c>
      <c r="I132" s="87">
        <v>361.24829999999997</v>
      </c>
      <c r="J132" s="87">
        <v>391.04829999999998</v>
      </c>
      <c r="K132" s="87">
        <v>425.4588</v>
      </c>
      <c r="L132" s="9" t="s">
        <v>876</v>
      </c>
      <c r="N132" s="4"/>
      <c r="R132" s="8" t="s">
        <v>187</v>
      </c>
      <c r="S132" s="294">
        <v>162.0753</v>
      </c>
      <c r="T132" s="294">
        <v>162.81800000000001</v>
      </c>
      <c r="U132" s="294">
        <v>172.7877</v>
      </c>
      <c r="V132" s="294">
        <v>194.9873</v>
      </c>
      <c r="W132" s="294">
        <v>203.09559999999999</v>
      </c>
      <c r="X132" s="294">
        <v>229.85980000000001</v>
      </c>
      <c r="Y132" s="294">
        <v>254.31960000000001</v>
      </c>
      <c r="Z132" s="294">
        <v>275.30810000000002</v>
      </c>
      <c r="AA132" s="294">
        <v>299.52859999999998</v>
      </c>
      <c r="AB132" s="9" t="s">
        <v>876</v>
      </c>
      <c r="AD132" s="4"/>
    </row>
    <row r="133" spans="2:30" x14ac:dyDescent="0.25">
      <c r="B133" s="8" t="s">
        <v>188</v>
      </c>
      <c r="C133" s="87">
        <v>95.639570000000006</v>
      </c>
      <c r="D133" s="87">
        <v>96.076369999999997</v>
      </c>
      <c r="E133" s="87">
        <v>101.95959999999999</v>
      </c>
      <c r="F133" s="87">
        <v>115.05929999999999</v>
      </c>
      <c r="G133" s="87">
        <v>119.8402</v>
      </c>
      <c r="H133" s="87">
        <v>135.6309</v>
      </c>
      <c r="I133" s="87">
        <v>150.0617</v>
      </c>
      <c r="J133" s="87">
        <v>162.44059999999999</v>
      </c>
      <c r="K133" s="87">
        <v>176.7346</v>
      </c>
      <c r="L133" s="9" t="s">
        <v>196</v>
      </c>
      <c r="N133" s="4"/>
      <c r="R133" s="8" t="s">
        <v>188</v>
      </c>
      <c r="S133" s="294">
        <v>67.325720000000004</v>
      </c>
      <c r="T133" s="294">
        <v>67.634230000000002</v>
      </c>
      <c r="U133" s="294">
        <v>71.775630000000007</v>
      </c>
      <c r="V133" s="294">
        <v>80.997299999999996</v>
      </c>
      <c r="W133" s="294">
        <v>84.365430000000003</v>
      </c>
      <c r="X133" s="294">
        <v>95.483220000000003</v>
      </c>
      <c r="Y133" s="294">
        <v>105.6438</v>
      </c>
      <c r="Z133" s="294">
        <v>114.36239999999999</v>
      </c>
      <c r="AA133" s="294">
        <v>124.4235</v>
      </c>
      <c r="AB133" s="9" t="s">
        <v>196</v>
      </c>
      <c r="AD133" s="4"/>
    </row>
    <row r="134" spans="2:30" x14ac:dyDescent="0.25">
      <c r="B134" s="8" t="s">
        <v>189</v>
      </c>
      <c r="C134" s="87">
        <v>738.04920000000004</v>
      </c>
      <c r="D134" s="87">
        <v>741.42</v>
      </c>
      <c r="E134" s="87">
        <v>786.82090000000005</v>
      </c>
      <c r="F134" s="87">
        <v>887.91110000000003</v>
      </c>
      <c r="G134" s="87">
        <v>924.80510000000004</v>
      </c>
      <c r="H134" s="87">
        <v>1046.662</v>
      </c>
      <c r="I134" s="87">
        <v>1158.0239999999999</v>
      </c>
      <c r="J134" s="87">
        <v>1253.5519999999999</v>
      </c>
      <c r="K134" s="87">
        <v>1363.8589999999999</v>
      </c>
      <c r="L134" s="9" t="s">
        <v>877</v>
      </c>
      <c r="N134" s="4"/>
      <c r="R134" s="8" t="s">
        <v>189</v>
      </c>
      <c r="S134" s="294">
        <v>519.55169999999998</v>
      </c>
      <c r="T134" s="294">
        <v>521.93240000000003</v>
      </c>
      <c r="U134" s="294">
        <v>553.89160000000004</v>
      </c>
      <c r="V134" s="294">
        <v>625.05510000000004</v>
      </c>
      <c r="W134" s="294">
        <v>651.04690000000005</v>
      </c>
      <c r="X134" s="294">
        <v>736.84270000000004</v>
      </c>
      <c r="Y134" s="294">
        <v>815.2518</v>
      </c>
      <c r="Z134" s="294">
        <v>882.53279999999995</v>
      </c>
      <c r="AA134" s="294">
        <v>960.17439999999999</v>
      </c>
      <c r="AB134" s="9" t="s">
        <v>877</v>
      </c>
      <c r="AD134" s="4"/>
    </row>
    <row r="135" spans="2:30" x14ac:dyDescent="0.25">
      <c r="B135" s="8" t="s">
        <v>190</v>
      </c>
      <c r="C135" s="87">
        <v>133.5334</v>
      </c>
      <c r="D135" s="87">
        <v>134.14320000000001</v>
      </c>
      <c r="E135" s="87">
        <v>142.35749999999999</v>
      </c>
      <c r="F135" s="87">
        <v>160.64750000000001</v>
      </c>
      <c r="G135" s="87">
        <v>167.32259999999999</v>
      </c>
      <c r="H135" s="87">
        <v>189.3698</v>
      </c>
      <c r="I135" s="87">
        <v>209.51840000000001</v>
      </c>
      <c r="J135" s="87">
        <v>226.80189999999999</v>
      </c>
      <c r="K135" s="87">
        <v>246.7595</v>
      </c>
      <c r="L135" s="9" t="s">
        <v>197</v>
      </c>
      <c r="R135" s="8" t="s">
        <v>190</v>
      </c>
      <c r="S135" s="294">
        <v>94.001159999999999</v>
      </c>
      <c r="T135" s="294">
        <v>94.431899999999999</v>
      </c>
      <c r="U135" s="294">
        <v>100.21420000000001</v>
      </c>
      <c r="V135" s="294">
        <v>113.0896</v>
      </c>
      <c r="W135" s="294">
        <v>117.7923</v>
      </c>
      <c r="X135" s="294">
        <v>133.3151</v>
      </c>
      <c r="Y135" s="294">
        <v>147.50139999999999</v>
      </c>
      <c r="Z135" s="294">
        <v>159.67439999999999</v>
      </c>
      <c r="AA135" s="294">
        <v>173.72190000000001</v>
      </c>
      <c r="AB135" s="9" t="s">
        <v>197</v>
      </c>
    </row>
    <row r="136" spans="2:30" x14ac:dyDescent="0.25">
      <c r="B136" s="8" t="s">
        <v>191</v>
      </c>
      <c r="C136" s="87">
        <v>34.719340000000003</v>
      </c>
      <c r="D136" s="87">
        <v>34.87791</v>
      </c>
      <c r="E136" s="87">
        <v>37.013660000000002</v>
      </c>
      <c r="F136" s="87">
        <v>41.769150000000003</v>
      </c>
      <c r="G136" s="87">
        <v>43.504719999999999</v>
      </c>
      <c r="H136" s="87">
        <v>49.237099999999998</v>
      </c>
      <c r="I136" s="87">
        <v>54.475830000000002</v>
      </c>
      <c r="J136" s="87">
        <v>58.969630000000002</v>
      </c>
      <c r="K136" s="87">
        <v>64.158690000000007</v>
      </c>
      <c r="L136" s="9" t="s">
        <v>198</v>
      </c>
      <c r="N136" s="4"/>
      <c r="R136" s="8" t="s">
        <v>191</v>
      </c>
      <c r="S136" s="294">
        <v>24.440770000000001</v>
      </c>
      <c r="T136" s="294">
        <v>24.552759999999999</v>
      </c>
      <c r="U136" s="294">
        <v>26.056190000000001</v>
      </c>
      <c r="V136" s="294">
        <v>29.403860000000002</v>
      </c>
      <c r="W136" s="294">
        <v>30.626570000000001</v>
      </c>
      <c r="X136" s="294">
        <v>34.662579999999998</v>
      </c>
      <c r="Y136" s="294">
        <v>38.351109999999998</v>
      </c>
      <c r="Z136" s="294">
        <v>41.51614</v>
      </c>
      <c r="AA136" s="294">
        <v>45.168559999999999</v>
      </c>
      <c r="AB136" s="9" t="s">
        <v>198</v>
      </c>
      <c r="AD136" s="4"/>
    </row>
    <row r="137" spans="2:30" x14ac:dyDescent="0.25">
      <c r="B137" s="10" t="s">
        <v>192</v>
      </c>
      <c r="C137" s="326">
        <v>3656.114</v>
      </c>
      <c r="D137" s="326">
        <v>3672.8119999999999</v>
      </c>
      <c r="E137" s="326">
        <v>3897.7170000000001</v>
      </c>
      <c r="F137" s="326">
        <v>4398.4930000000004</v>
      </c>
      <c r="G137" s="326">
        <v>4581.2569999999996</v>
      </c>
      <c r="H137" s="326">
        <v>5184.9049999999997</v>
      </c>
      <c r="I137" s="326">
        <v>5736.5680000000002</v>
      </c>
      <c r="J137" s="326">
        <v>6209.7870000000003</v>
      </c>
      <c r="K137" s="326">
        <v>6756.2209999999995</v>
      </c>
      <c r="L137" s="11" t="s">
        <v>199</v>
      </c>
      <c r="N137" s="4">
        <f>C137/'2_Production_2'!AX30*100</f>
        <v>18.399365503372525</v>
      </c>
      <c r="R137" s="10" t="s">
        <v>192</v>
      </c>
      <c r="S137" s="296">
        <v>2573.7310000000002</v>
      </c>
      <c r="T137" s="296">
        <v>2585.5250000000001</v>
      </c>
      <c r="U137" s="296">
        <v>2743.8429999999998</v>
      </c>
      <c r="V137" s="296">
        <v>3096.3690000000001</v>
      </c>
      <c r="W137" s="296">
        <v>3225.1260000000002</v>
      </c>
      <c r="X137" s="296">
        <v>3650.1379999999999</v>
      </c>
      <c r="Y137" s="296">
        <v>4038.5569999999998</v>
      </c>
      <c r="Z137" s="296">
        <v>4371.8509999999997</v>
      </c>
      <c r="AA137" s="296">
        <v>4756.4679999999998</v>
      </c>
      <c r="AB137" s="11" t="s">
        <v>199</v>
      </c>
      <c r="AD137" s="4">
        <f>S137/'2_Production_2'!AX30*100</f>
        <v>12.952281404890678</v>
      </c>
    </row>
    <row r="138" spans="2:30" x14ac:dyDescent="0.25">
      <c r="B138" s="12"/>
      <c r="C138" s="289"/>
      <c r="D138" s="294"/>
      <c r="E138" s="289"/>
      <c r="F138" s="289"/>
      <c r="G138" s="289"/>
      <c r="H138" s="289"/>
      <c r="I138" s="289"/>
      <c r="J138" s="289"/>
      <c r="K138" s="289"/>
      <c r="L138" s="13" t="s">
        <v>200</v>
      </c>
      <c r="N138" s="4"/>
      <c r="R138" s="12"/>
      <c r="S138" s="289"/>
      <c r="T138" s="294"/>
      <c r="U138" s="289"/>
      <c r="V138" s="289"/>
      <c r="W138" s="289"/>
      <c r="X138" s="289"/>
      <c r="Y138" s="289"/>
      <c r="Z138" s="289"/>
      <c r="AA138" s="289"/>
      <c r="AB138" s="13" t="s">
        <v>200</v>
      </c>
      <c r="AD138" s="4"/>
    </row>
    <row r="139" spans="2:30" x14ac:dyDescent="0.25">
      <c r="B139" s="16" t="s">
        <v>193</v>
      </c>
      <c r="C139" s="88">
        <v>914.03589999999997</v>
      </c>
      <c r="D139" s="88">
        <v>918.21050000000002</v>
      </c>
      <c r="E139" s="88">
        <v>974.43709999999999</v>
      </c>
      <c r="F139" s="88">
        <v>1099.6320000000001</v>
      </c>
      <c r="G139" s="88">
        <v>1145.3230000000001</v>
      </c>
      <c r="H139" s="88">
        <v>1296.2370000000001</v>
      </c>
      <c r="I139" s="88">
        <v>1434.154</v>
      </c>
      <c r="J139" s="88">
        <v>1552.4590000000001</v>
      </c>
      <c r="K139" s="88">
        <v>1689.069</v>
      </c>
      <c r="L139" s="15" t="s">
        <v>61</v>
      </c>
      <c r="N139" s="4"/>
      <c r="R139" s="16" t="s">
        <v>193</v>
      </c>
      <c r="S139" s="298">
        <v>643.43790000000001</v>
      </c>
      <c r="T139" s="298">
        <v>646.38639999999998</v>
      </c>
      <c r="U139" s="298">
        <v>685.96619999999996</v>
      </c>
      <c r="V139" s="298">
        <v>774.09849999999994</v>
      </c>
      <c r="W139" s="298">
        <v>806.28800000000001</v>
      </c>
      <c r="X139" s="298">
        <v>912.54169999999999</v>
      </c>
      <c r="Y139" s="298">
        <v>1009.647</v>
      </c>
      <c r="Z139" s="298">
        <v>1092.971</v>
      </c>
      <c r="AA139" s="298">
        <v>1189.127</v>
      </c>
      <c r="AB139" s="15" t="s">
        <v>61</v>
      </c>
      <c r="AD139" s="4"/>
    </row>
    <row r="140" spans="2:30" x14ac:dyDescent="0.25">
      <c r="B140" s="25" t="s">
        <v>666</v>
      </c>
      <c r="N140" s="4"/>
      <c r="R140" s="25" t="s">
        <v>666</v>
      </c>
      <c r="AD140" s="4"/>
    </row>
    <row r="141" spans="2:30" x14ac:dyDescent="0.25">
      <c r="B141" s="5" t="s">
        <v>8</v>
      </c>
      <c r="C141" s="6">
        <v>2022</v>
      </c>
      <c r="D141" s="6">
        <f t="shared" ref="D141:K141" si="81">C141+1</f>
        <v>2023</v>
      </c>
      <c r="E141" s="6">
        <f t="shared" si="81"/>
        <v>2024</v>
      </c>
      <c r="F141" s="6">
        <f t="shared" si="81"/>
        <v>2025</v>
      </c>
      <c r="G141" s="6">
        <f t="shared" si="81"/>
        <v>2026</v>
      </c>
      <c r="H141" s="6">
        <f t="shared" si="81"/>
        <v>2027</v>
      </c>
      <c r="I141" s="6">
        <f t="shared" si="81"/>
        <v>2028</v>
      </c>
      <c r="J141" s="6">
        <f t="shared" si="81"/>
        <v>2029</v>
      </c>
      <c r="K141" s="6">
        <f t="shared" si="81"/>
        <v>2030</v>
      </c>
      <c r="L141" s="7" t="s">
        <v>34</v>
      </c>
      <c r="N141" s="4"/>
      <c r="R141" s="5" t="s">
        <v>8</v>
      </c>
      <c r="S141" s="6">
        <v>2022</v>
      </c>
      <c r="T141" s="6">
        <f t="shared" ref="T141" si="82">S141+1</f>
        <v>2023</v>
      </c>
      <c r="U141" s="6">
        <f t="shared" ref="U141" si="83">T141+1</f>
        <v>2024</v>
      </c>
      <c r="V141" s="6">
        <f t="shared" ref="V141" si="84">U141+1</f>
        <v>2025</v>
      </c>
      <c r="W141" s="6">
        <f t="shared" ref="W141" si="85">V141+1</f>
        <v>2026</v>
      </c>
      <c r="X141" s="6">
        <f t="shared" ref="X141" si="86">W141+1</f>
        <v>2027</v>
      </c>
      <c r="Y141" s="6">
        <f t="shared" ref="Y141" si="87">X141+1</f>
        <v>2028</v>
      </c>
      <c r="Z141" s="6">
        <f t="shared" ref="Z141" si="88">Y141+1</f>
        <v>2029</v>
      </c>
      <c r="AA141" s="6">
        <f t="shared" ref="AA141" si="89">Z141+1</f>
        <v>2030</v>
      </c>
      <c r="AB141" s="7" t="s">
        <v>34</v>
      </c>
      <c r="AD141" s="4"/>
    </row>
    <row r="142" spans="2:30" x14ac:dyDescent="0.25">
      <c r="B142" s="8" t="s">
        <v>201</v>
      </c>
      <c r="C142" s="87">
        <v>157.5736</v>
      </c>
      <c r="D142" s="87">
        <v>168.98249999999999</v>
      </c>
      <c r="E142" s="87">
        <v>211.27969999999999</v>
      </c>
      <c r="F142" s="87">
        <v>227.53319999999999</v>
      </c>
      <c r="G142" s="87">
        <v>264.99</v>
      </c>
      <c r="H142" s="87">
        <v>277.79390000000001</v>
      </c>
      <c r="I142" s="87">
        <v>281.31599999999997</v>
      </c>
      <c r="J142" s="87">
        <v>319.8845</v>
      </c>
      <c r="K142" s="87">
        <v>336.18669999999997</v>
      </c>
      <c r="L142" s="9" t="s">
        <v>878</v>
      </c>
      <c r="N142" s="4"/>
      <c r="R142" s="8" t="s">
        <v>201</v>
      </c>
      <c r="S142" s="294">
        <v>119.2919</v>
      </c>
      <c r="T142" s="294">
        <v>127.93</v>
      </c>
      <c r="U142" s="294">
        <v>159.982</v>
      </c>
      <c r="V142" s="294">
        <v>172.262</v>
      </c>
      <c r="W142" s="294">
        <v>200.6249</v>
      </c>
      <c r="X142" s="294">
        <v>210.35</v>
      </c>
      <c r="Y142" s="294">
        <v>213.01070000000001</v>
      </c>
      <c r="Z142" s="294">
        <v>242.2242</v>
      </c>
      <c r="AA142" s="294">
        <v>254.5538</v>
      </c>
      <c r="AB142" s="9" t="s">
        <v>878</v>
      </c>
      <c r="AD142" s="4"/>
    </row>
    <row r="143" spans="2:30" x14ac:dyDescent="0.25">
      <c r="B143" s="8" t="s">
        <v>202</v>
      </c>
      <c r="C143" s="87">
        <v>0</v>
      </c>
      <c r="D143" s="87">
        <v>0</v>
      </c>
      <c r="E143" s="87">
        <v>0</v>
      </c>
      <c r="F143" s="87">
        <v>0</v>
      </c>
      <c r="G143" s="87">
        <v>0</v>
      </c>
      <c r="H143" s="87">
        <v>0</v>
      </c>
      <c r="I143" s="87">
        <v>0</v>
      </c>
      <c r="J143" s="87">
        <v>0</v>
      </c>
      <c r="K143" s="87">
        <v>0</v>
      </c>
      <c r="L143" s="9" t="s">
        <v>213</v>
      </c>
      <c r="N143" s="4"/>
      <c r="R143" s="8" t="s">
        <v>202</v>
      </c>
      <c r="S143" s="294">
        <v>0</v>
      </c>
      <c r="T143" s="294">
        <v>0</v>
      </c>
      <c r="U143" s="294">
        <v>0</v>
      </c>
      <c r="V143" s="294">
        <v>0</v>
      </c>
      <c r="W143" s="294">
        <v>0</v>
      </c>
      <c r="X143" s="294">
        <v>0</v>
      </c>
      <c r="Y143" s="294">
        <v>0</v>
      </c>
      <c r="Z143" s="294">
        <v>0</v>
      </c>
      <c r="AA143" s="294">
        <v>0</v>
      </c>
      <c r="AB143" s="9" t="s">
        <v>213</v>
      </c>
      <c r="AD143" s="4"/>
    </row>
    <row r="144" spans="2:30" x14ac:dyDescent="0.25">
      <c r="B144" s="8" t="s">
        <v>203</v>
      </c>
      <c r="C144" s="87">
        <v>1613.866</v>
      </c>
      <c r="D144" s="87">
        <v>1730.7149999999999</v>
      </c>
      <c r="E144" s="87">
        <v>2163.9229999999998</v>
      </c>
      <c r="F144" s="87">
        <v>2330.3910000000001</v>
      </c>
      <c r="G144" s="87">
        <v>2714.0230000000001</v>
      </c>
      <c r="H144" s="87">
        <v>2845.16</v>
      </c>
      <c r="I144" s="87">
        <v>2881.2339999999999</v>
      </c>
      <c r="J144" s="87">
        <v>3276.2510000000002</v>
      </c>
      <c r="K144" s="87">
        <v>3443.2190000000001</v>
      </c>
      <c r="L144" s="9" t="s">
        <v>879</v>
      </c>
      <c r="N144" s="4"/>
      <c r="R144" s="8" t="s">
        <v>203</v>
      </c>
      <c r="S144" s="294">
        <v>1221.7860000000001</v>
      </c>
      <c r="T144" s="294">
        <v>1310.2570000000001</v>
      </c>
      <c r="U144" s="294">
        <v>1638.5329999999999</v>
      </c>
      <c r="V144" s="294">
        <v>1764.3040000000001</v>
      </c>
      <c r="W144" s="294">
        <v>2054.797</v>
      </c>
      <c r="X144" s="294">
        <v>2154.4009999999998</v>
      </c>
      <c r="Y144" s="294">
        <v>2181.652</v>
      </c>
      <c r="Z144" s="294">
        <v>2480.8560000000002</v>
      </c>
      <c r="AA144" s="294">
        <v>2607.136</v>
      </c>
      <c r="AB144" s="9" t="s">
        <v>879</v>
      </c>
      <c r="AD144" s="4"/>
    </row>
    <row r="145" spans="2:30" x14ac:dyDescent="0.25">
      <c r="B145" s="8" t="s">
        <v>204</v>
      </c>
      <c r="C145" s="87">
        <v>380.80959999999999</v>
      </c>
      <c r="D145" s="87">
        <v>408.38150000000002</v>
      </c>
      <c r="E145" s="87">
        <v>510.60149999999999</v>
      </c>
      <c r="F145" s="87">
        <v>549.88160000000005</v>
      </c>
      <c r="G145" s="87">
        <v>640.40380000000005</v>
      </c>
      <c r="H145" s="87">
        <v>671.34699999999998</v>
      </c>
      <c r="I145" s="87">
        <v>679.85910000000001</v>
      </c>
      <c r="J145" s="87">
        <v>773.06790000000001</v>
      </c>
      <c r="K145" s="87">
        <v>812.46559999999999</v>
      </c>
      <c r="L145" s="9" t="s">
        <v>214</v>
      </c>
      <c r="N145" s="4"/>
      <c r="R145" s="8" t="s">
        <v>204</v>
      </c>
      <c r="S145" s="294">
        <v>288.29390000000001</v>
      </c>
      <c r="T145" s="294">
        <v>309.16969999999998</v>
      </c>
      <c r="U145" s="294">
        <v>386.63010000000003</v>
      </c>
      <c r="V145" s="294">
        <v>416.30709999999999</v>
      </c>
      <c r="W145" s="294">
        <v>484.85210000000001</v>
      </c>
      <c r="X145" s="294">
        <v>508.35489999999999</v>
      </c>
      <c r="Y145" s="294">
        <v>514.78499999999997</v>
      </c>
      <c r="Z145" s="294">
        <v>585.3854</v>
      </c>
      <c r="AA145" s="294">
        <v>615.18259999999998</v>
      </c>
      <c r="AB145" s="9" t="s">
        <v>214</v>
      </c>
      <c r="AD145" s="4"/>
    </row>
    <row r="146" spans="2:30" x14ac:dyDescent="0.25">
      <c r="B146" s="8" t="s">
        <v>205</v>
      </c>
      <c r="C146" s="87">
        <v>114.37730000000001</v>
      </c>
      <c r="D146" s="87">
        <v>122.65860000000001</v>
      </c>
      <c r="E146" s="87">
        <v>153.36070000000001</v>
      </c>
      <c r="F146" s="87">
        <v>165.15860000000001</v>
      </c>
      <c r="G146" s="87">
        <v>192.34719999999999</v>
      </c>
      <c r="H146" s="87">
        <v>201.64109999999999</v>
      </c>
      <c r="I146" s="87">
        <v>204.1978</v>
      </c>
      <c r="J146" s="87">
        <v>232.19329999999999</v>
      </c>
      <c r="K146" s="87">
        <v>244.0265</v>
      </c>
      <c r="L146" s="9" t="s">
        <v>880</v>
      </c>
      <c r="N146" s="4"/>
      <c r="R146" s="8" t="s">
        <v>205</v>
      </c>
      <c r="S146" s="294">
        <v>86.589950000000002</v>
      </c>
      <c r="T146" s="294">
        <v>92.860060000000004</v>
      </c>
      <c r="U146" s="294">
        <v>116.1255</v>
      </c>
      <c r="V146" s="294">
        <v>125.0391</v>
      </c>
      <c r="W146" s="294">
        <v>145.6268</v>
      </c>
      <c r="X146" s="294">
        <v>152.68600000000001</v>
      </c>
      <c r="Y146" s="294">
        <v>154.6173</v>
      </c>
      <c r="Z146" s="294">
        <v>175.82230000000001</v>
      </c>
      <c r="AA146" s="294">
        <v>184.77199999999999</v>
      </c>
      <c r="AB146" s="9" t="s">
        <v>880</v>
      </c>
      <c r="AD146" s="4"/>
    </row>
    <row r="147" spans="2:30" x14ac:dyDescent="0.25">
      <c r="B147" s="8" t="s">
        <v>206</v>
      </c>
      <c r="C147" s="87">
        <v>329.9504</v>
      </c>
      <c r="D147" s="87">
        <v>353.8399</v>
      </c>
      <c r="E147" s="87">
        <v>442.40800000000002</v>
      </c>
      <c r="F147" s="87">
        <v>476.44200000000001</v>
      </c>
      <c r="G147" s="87">
        <v>554.87450000000001</v>
      </c>
      <c r="H147" s="87">
        <v>581.68510000000003</v>
      </c>
      <c r="I147" s="87">
        <v>589.06029999999998</v>
      </c>
      <c r="J147" s="87">
        <v>669.82050000000004</v>
      </c>
      <c r="K147" s="87">
        <v>703.95650000000001</v>
      </c>
      <c r="L147" s="9" t="s">
        <v>881</v>
      </c>
      <c r="N147" s="4"/>
      <c r="R147" s="8" t="s">
        <v>206</v>
      </c>
      <c r="S147" s="294">
        <v>249.79069999999999</v>
      </c>
      <c r="T147" s="294">
        <v>267.8784</v>
      </c>
      <c r="U147" s="294">
        <v>334.99360000000001</v>
      </c>
      <c r="V147" s="294">
        <v>360.70710000000003</v>
      </c>
      <c r="W147" s="294">
        <v>420.09750000000003</v>
      </c>
      <c r="X147" s="294">
        <v>440.46140000000003</v>
      </c>
      <c r="Y147" s="294">
        <v>446.03269999999998</v>
      </c>
      <c r="Z147" s="294">
        <v>507.20409999999998</v>
      </c>
      <c r="AA147" s="294">
        <v>533.02170000000001</v>
      </c>
      <c r="AB147" s="9" t="s">
        <v>881</v>
      </c>
      <c r="AD147" s="4"/>
    </row>
    <row r="148" spans="2:30" x14ac:dyDescent="0.25">
      <c r="B148" s="8" t="s">
        <v>207</v>
      </c>
      <c r="C148" s="87">
        <v>103.4294</v>
      </c>
      <c r="D148" s="87">
        <v>110.91800000000001</v>
      </c>
      <c r="E148" s="87">
        <v>138.6814</v>
      </c>
      <c r="F148" s="87">
        <v>149.35</v>
      </c>
      <c r="G148" s="87">
        <v>173.93620000000001</v>
      </c>
      <c r="H148" s="87">
        <v>182.34049999999999</v>
      </c>
      <c r="I148" s="87">
        <v>184.6524</v>
      </c>
      <c r="J148" s="87">
        <v>209.9683</v>
      </c>
      <c r="K148" s="87">
        <v>220.66890000000001</v>
      </c>
      <c r="L148" s="9" t="s">
        <v>215</v>
      </c>
      <c r="N148" s="4"/>
      <c r="R148" s="8" t="s">
        <v>207</v>
      </c>
      <c r="S148" s="294">
        <v>78.301770000000005</v>
      </c>
      <c r="T148" s="294">
        <v>83.971710000000002</v>
      </c>
      <c r="U148" s="294">
        <v>105.0103</v>
      </c>
      <c r="V148" s="294">
        <v>113.0707</v>
      </c>
      <c r="W148" s="294">
        <v>131.68780000000001</v>
      </c>
      <c r="X148" s="294">
        <v>138.0712</v>
      </c>
      <c r="Y148" s="294">
        <v>139.8177</v>
      </c>
      <c r="Z148" s="294">
        <v>158.99299999999999</v>
      </c>
      <c r="AA148" s="294">
        <v>167.08600000000001</v>
      </c>
      <c r="AB148" s="9" t="s">
        <v>215</v>
      </c>
      <c r="AD148" s="4"/>
    </row>
    <row r="149" spans="2:30" x14ac:dyDescent="0.25">
      <c r="B149" s="8" t="s">
        <v>208</v>
      </c>
      <c r="C149" s="87">
        <v>378.63659999999999</v>
      </c>
      <c r="D149" s="87">
        <v>406.05119999999999</v>
      </c>
      <c r="E149" s="87">
        <v>507.68799999999999</v>
      </c>
      <c r="F149" s="87">
        <v>546.74400000000003</v>
      </c>
      <c r="G149" s="87">
        <v>636.74959999999999</v>
      </c>
      <c r="H149" s="87">
        <v>667.5163</v>
      </c>
      <c r="I149" s="87">
        <v>675.97979999999995</v>
      </c>
      <c r="J149" s="87">
        <v>768.6567</v>
      </c>
      <c r="K149" s="87">
        <v>807.82960000000003</v>
      </c>
      <c r="L149" s="9" t="s">
        <v>882</v>
      </c>
      <c r="N149" s="4"/>
      <c r="R149" s="8" t="s">
        <v>208</v>
      </c>
      <c r="S149" s="294">
        <v>286.64890000000003</v>
      </c>
      <c r="T149" s="294">
        <v>307.40550000000002</v>
      </c>
      <c r="U149" s="294">
        <v>384.42399999999998</v>
      </c>
      <c r="V149" s="294">
        <v>413.9316</v>
      </c>
      <c r="W149" s="294">
        <v>482.08550000000002</v>
      </c>
      <c r="X149" s="294">
        <v>505.45420000000001</v>
      </c>
      <c r="Y149" s="294">
        <v>511.8476</v>
      </c>
      <c r="Z149" s="294">
        <v>582.04520000000002</v>
      </c>
      <c r="AA149" s="294">
        <v>611.67229999999995</v>
      </c>
      <c r="AB149" s="9" t="s">
        <v>882</v>
      </c>
      <c r="AD149" s="4"/>
    </row>
    <row r="150" spans="2:30" x14ac:dyDescent="0.25">
      <c r="B150" s="8" t="s">
        <v>209</v>
      </c>
      <c r="C150" s="87">
        <v>44.50365</v>
      </c>
      <c r="D150" s="87">
        <v>47.725859999999997</v>
      </c>
      <c r="E150" s="87">
        <v>59.671900000000001</v>
      </c>
      <c r="F150" s="87">
        <v>64.2624</v>
      </c>
      <c r="G150" s="87">
        <v>74.841350000000006</v>
      </c>
      <c r="H150" s="87">
        <v>78.457560000000001</v>
      </c>
      <c r="I150" s="87">
        <v>79.452330000000003</v>
      </c>
      <c r="J150" s="87">
        <v>90.345259999999996</v>
      </c>
      <c r="K150" s="87">
        <v>94.949510000000004</v>
      </c>
      <c r="L150" s="9" t="s">
        <v>216</v>
      </c>
      <c r="R150" s="8" t="s">
        <v>209</v>
      </c>
      <c r="S150" s="294">
        <v>33.691719999999997</v>
      </c>
      <c r="T150" s="294">
        <v>36.131390000000003</v>
      </c>
      <c r="U150" s="294">
        <v>45.183869999999999</v>
      </c>
      <c r="V150" s="294">
        <v>48.652099999999997</v>
      </c>
      <c r="W150" s="294">
        <v>56.662669999999999</v>
      </c>
      <c r="X150" s="294">
        <v>59.40934</v>
      </c>
      <c r="Y150" s="294">
        <v>60.160800000000002</v>
      </c>
      <c r="Z150" s="294">
        <v>68.411580000000001</v>
      </c>
      <c r="AA150" s="294">
        <v>71.893860000000004</v>
      </c>
      <c r="AB150" s="9" t="s">
        <v>216</v>
      </c>
    </row>
    <row r="151" spans="2:30" x14ac:dyDescent="0.25">
      <c r="B151" s="8" t="s">
        <v>210</v>
      </c>
      <c r="C151" s="87">
        <v>104.1407</v>
      </c>
      <c r="D151" s="87">
        <v>111.6808</v>
      </c>
      <c r="E151" s="87">
        <v>139.63509999999999</v>
      </c>
      <c r="F151" s="87">
        <v>150.37710000000001</v>
      </c>
      <c r="G151" s="87">
        <v>175.13239999999999</v>
      </c>
      <c r="H151" s="87">
        <v>183.59450000000001</v>
      </c>
      <c r="I151" s="87">
        <v>185.92230000000001</v>
      </c>
      <c r="J151" s="87">
        <v>211.41229999999999</v>
      </c>
      <c r="K151" s="87">
        <v>222.18639999999999</v>
      </c>
      <c r="L151" s="9" t="s">
        <v>217</v>
      </c>
      <c r="R151" s="8" t="s">
        <v>210</v>
      </c>
      <c r="S151" s="294">
        <v>78.840260000000001</v>
      </c>
      <c r="T151" s="294">
        <v>84.549199999999999</v>
      </c>
      <c r="U151" s="294">
        <v>105.7324</v>
      </c>
      <c r="V151" s="294">
        <v>113.84829999999999</v>
      </c>
      <c r="W151" s="294">
        <v>132.5934</v>
      </c>
      <c r="X151" s="294">
        <v>139.02070000000001</v>
      </c>
      <c r="Y151" s="294">
        <v>140.7792</v>
      </c>
      <c r="Z151" s="294">
        <v>160.0864</v>
      </c>
      <c r="AA151" s="294">
        <v>168.23509999999999</v>
      </c>
      <c r="AB151" s="9" t="s">
        <v>217</v>
      </c>
    </row>
    <row r="152" spans="2:30" x14ac:dyDescent="0.25">
      <c r="B152" s="10" t="s">
        <v>211</v>
      </c>
      <c r="C152" s="326">
        <v>3227.2869999999998</v>
      </c>
      <c r="D152" s="326">
        <v>3460.9540000000002</v>
      </c>
      <c r="E152" s="326">
        <v>4327.2489999999998</v>
      </c>
      <c r="F152" s="326">
        <v>4660.1400000000003</v>
      </c>
      <c r="G152" s="326">
        <v>5427.2979999999998</v>
      </c>
      <c r="H152" s="326">
        <v>5689.5360000000001</v>
      </c>
      <c r="I152" s="326">
        <v>5761.674</v>
      </c>
      <c r="J152" s="326">
        <v>6551.6</v>
      </c>
      <c r="K152" s="326">
        <v>6885.4880000000003</v>
      </c>
      <c r="L152" s="11" t="s">
        <v>218</v>
      </c>
      <c r="N152">
        <f>C152/'2_Production_2'!AX31*100</f>
        <v>83.513296634224361</v>
      </c>
      <c r="R152" s="10" t="s">
        <v>211</v>
      </c>
      <c r="S152" s="296">
        <v>2443.2350000000001</v>
      </c>
      <c r="T152" s="296">
        <v>2620.1529999999998</v>
      </c>
      <c r="U152" s="296">
        <v>3276.6149999999998</v>
      </c>
      <c r="V152" s="296">
        <v>3528.1219999999998</v>
      </c>
      <c r="W152" s="296">
        <v>4109.0280000000002</v>
      </c>
      <c r="X152" s="296">
        <v>4308.2089999999998</v>
      </c>
      <c r="Y152" s="296">
        <v>4362.7030000000004</v>
      </c>
      <c r="Z152" s="296">
        <v>4961.0280000000002</v>
      </c>
      <c r="AA152" s="296">
        <v>5213.5529999999999</v>
      </c>
      <c r="AB152" s="11" t="s">
        <v>218</v>
      </c>
      <c r="AD152">
        <f>S152/'2_Production_2'!AX31*100</f>
        <v>63.224190876770237</v>
      </c>
    </row>
    <row r="153" spans="2:30" x14ac:dyDescent="0.25">
      <c r="B153" s="12"/>
      <c r="C153" s="289"/>
      <c r="D153" s="294"/>
      <c r="E153" s="289"/>
      <c r="F153" s="289"/>
      <c r="G153" s="289"/>
      <c r="H153" s="289"/>
      <c r="I153" s="289"/>
      <c r="J153" s="289"/>
      <c r="K153" s="289"/>
      <c r="L153" s="13" t="s">
        <v>219</v>
      </c>
      <c r="R153" s="12"/>
      <c r="S153" s="289"/>
      <c r="T153" s="294"/>
      <c r="U153" s="289"/>
      <c r="V153" s="289"/>
      <c r="W153" s="289"/>
      <c r="X153" s="289"/>
      <c r="Y153" s="289"/>
      <c r="Z153" s="289"/>
      <c r="AA153" s="289"/>
      <c r="AB153" s="13" t="s">
        <v>219</v>
      </c>
    </row>
    <row r="154" spans="2:30" x14ac:dyDescent="0.25">
      <c r="B154" s="16" t="s">
        <v>212</v>
      </c>
      <c r="C154" s="88">
        <v>699.06500000000005</v>
      </c>
      <c r="D154" s="88">
        <v>749.67960000000005</v>
      </c>
      <c r="E154" s="88">
        <v>937.32839999999999</v>
      </c>
      <c r="F154" s="88">
        <v>1009.436</v>
      </c>
      <c r="G154" s="88">
        <v>1175.6110000000001</v>
      </c>
      <c r="H154" s="88">
        <v>1232.414</v>
      </c>
      <c r="I154" s="88">
        <v>1248.04</v>
      </c>
      <c r="J154" s="88">
        <v>1419.1469999999999</v>
      </c>
      <c r="K154" s="88">
        <v>1491.47</v>
      </c>
      <c r="L154" s="15" t="s">
        <v>61</v>
      </c>
      <c r="R154" s="16" t="s">
        <v>212</v>
      </c>
      <c r="S154" s="298">
        <v>529.23080000000004</v>
      </c>
      <c r="T154" s="298">
        <v>567.55319999999995</v>
      </c>
      <c r="U154" s="298">
        <v>709.74990000000003</v>
      </c>
      <c r="V154" s="298">
        <v>764.22900000000004</v>
      </c>
      <c r="W154" s="298">
        <v>890.05930000000001</v>
      </c>
      <c r="X154" s="298">
        <v>933.20420000000001</v>
      </c>
      <c r="Y154" s="298">
        <v>945.00819999999999</v>
      </c>
      <c r="Z154" s="298">
        <v>1074.6120000000001</v>
      </c>
      <c r="AA154" s="298">
        <v>1129.3109999999999</v>
      </c>
      <c r="AB154" s="15" t="s">
        <v>61</v>
      </c>
    </row>
    <row r="156" spans="2:30" x14ac:dyDescent="0.25">
      <c r="C156" s="34">
        <f t="shared" ref="C156:I156" si="90">C17+C32+C47+C62+C77+C92+C107+C122+C137+C152</f>
        <v>134042.90400000001</v>
      </c>
      <c r="D156" s="34">
        <f t="shared" si="90"/>
        <v>144285.66800000001</v>
      </c>
      <c r="E156" s="34">
        <f t="shared" si="90"/>
        <v>154720.20400000003</v>
      </c>
      <c r="F156" s="34">
        <f t="shared" si="90"/>
        <v>168166.01800000001</v>
      </c>
      <c r="G156" s="34">
        <f t="shared" si="90"/>
        <v>178343.86200000002</v>
      </c>
      <c r="H156" s="34">
        <f t="shared" si="90"/>
        <v>188814.321</v>
      </c>
      <c r="I156" s="34">
        <f t="shared" si="90"/>
        <v>196716.14599999998</v>
      </c>
      <c r="J156" s="34">
        <f>J17+J32+J47+J62+J77+J92+J107+J122+J137+J152</f>
        <v>207050.63399999999</v>
      </c>
      <c r="K156" s="34">
        <f>K17+K32+K47+K62+K77+K92+K107+K122+K137+K152</f>
        <v>216594.557</v>
      </c>
      <c r="S156" s="34">
        <f t="shared" ref="S156:Y156" si="91">S17+S32+S47+S62+S77+S92+S107+S122+S137+S152</f>
        <v>103431.57900000003</v>
      </c>
      <c r="T156" s="34">
        <f t="shared" si="91"/>
        <v>111021.276</v>
      </c>
      <c r="U156" s="34">
        <f t="shared" si="91"/>
        <v>119138.912</v>
      </c>
      <c r="V156" s="34">
        <f t="shared" si="91"/>
        <v>129209.45000000001</v>
      </c>
      <c r="W156" s="34">
        <f t="shared" si="91"/>
        <v>137504.31399999998</v>
      </c>
      <c r="X156" s="34">
        <f t="shared" si="91"/>
        <v>145874.88</v>
      </c>
      <c r="Y156" s="34">
        <f t="shared" si="91"/>
        <v>151722.00800000003</v>
      </c>
      <c r="Z156" s="34">
        <f>Z17+Z32+Z47+Z62+Z77+Z92+Z107+Z122+Z137+Z152</f>
        <v>159430.22200000001</v>
      </c>
      <c r="AA156" s="34">
        <f>AA17+AA32+AA47+AA62+AA77+AA92+AA107+AA122+AA137+AA152</f>
        <v>166404.598</v>
      </c>
    </row>
  </sheetData>
  <phoneticPr fontId="9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3710-FD11-4AAB-98A6-988E8B49EDB4}">
  <dimension ref="A1:BO108"/>
  <sheetViews>
    <sheetView zoomScale="90" zoomScaleNormal="90" workbookViewId="0">
      <pane xSplit="11" ySplit="5" topLeftCell="AL6" activePane="bottomRight" state="frozen"/>
      <selection pane="topRight" activeCell="L1" sqref="L1"/>
      <selection pane="bottomLeft" activeCell="A6" sqref="A6"/>
      <selection pane="bottomRight" activeCell="AL9" sqref="AL9"/>
    </sheetView>
  </sheetViews>
  <sheetFormatPr defaultRowHeight="15" x14ac:dyDescent="0.25"/>
  <cols>
    <col min="2" max="2" width="40.140625" customWidth="1"/>
    <col min="3" max="3" width="11" bestFit="1" customWidth="1"/>
    <col min="4" max="4" width="11.5703125" customWidth="1"/>
    <col min="5" max="8" width="12" bestFit="1" customWidth="1"/>
    <col min="9" max="9" width="10" bestFit="1" customWidth="1"/>
    <col min="10" max="10" width="9.5703125" customWidth="1"/>
    <col min="11" max="11" width="9.7109375" customWidth="1"/>
    <col min="13" max="13" width="23.140625" customWidth="1"/>
    <col min="19" max="19" width="9.42578125" customWidth="1"/>
    <col min="21" max="21" width="23.140625" customWidth="1"/>
    <col min="24" max="25" width="9.85546875" bestFit="1" customWidth="1"/>
    <col min="59" max="59" width="5" customWidth="1"/>
  </cols>
  <sheetData>
    <row r="1" spans="1:53" x14ac:dyDescent="0.25">
      <c r="C1" s="220">
        <f>C18+C19</f>
        <v>157803.29865302946</v>
      </c>
      <c r="D1" s="220">
        <f t="shared" ref="D1:J1" si="0">D18+D19</f>
        <v>176918.85436359188</v>
      </c>
      <c r="E1" s="220">
        <f t="shared" si="0"/>
        <v>199898.14276237885</v>
      </c>
      <c r="F1" s="220">
        <f>F18+F19</f>
        <v>225457.16600975068</v>
      </c>
      <c r="G1" s="220">
        <f>G18+G19</f>
        <v>254611.99914551753</v>
      </c>
      <c r="H1" s="220">
        <f>H18+H19</f>
        <v>290957.13820040156</v>
      </c>
      <c r="I1" s="220">
        <f>I18+I19</f>
        <v>325987.61538032541</v>
      </c>
      <c r="J1" s="220">
        <f t="shared" si="0"/>
        <v>368330.85435261182</v>
      </c>
      <c r="K1" s="220">
        <f>K18+K19</f>
        <v>413970.33784832666</v>
      </c>
      <c r="V1" s="222">
        <f>V2+V3</f>
        <v>168506.32799999986</v>
      </c>
      <c r="W1" s="222">
        <f t="shared" ref="W1:AD1" si="1">W2+W3</f>
        <v>191590.41279999985</v>
      </c>
      <c r="X1" s="222">
        <f t="shared" si="1"/>
        <v>207987.40549249982</v>
      </c>
      <c r="Y1" s="222">
        <f t="shared" si="1"/>
        <v>227590.86389164816</v>
      </c>
      <c r="Z1" s="222">
        <f t="shared" si="1"/>
        <v>262764.28487644851</v>
      </c>
      <c r="AA1" s="222">
        <f t="shared" si="1"/>
        <v>307293.08937339473</v>
      </c>
      <c r="AB1" s="222">
        <f t="shared" si="1"/>
        <v>324567.17229163687</v>
      </c>
      <c r="AC1" s="222">
        <f t="shared" si="1"/>
        <v>340824.59139679989</v>
      </c>
      <c r="AD1" s="222">
        <f t="shared" si="1"/>
        <v>345054.51674867223</v>
      </c>
    </row>
    <row r="2" spans="1:53" ht="18.75" x14ac:dyDescent="0.3">
      <c r="B2" s="3" t="s">
        <v>276</v>
      </c>
      <c r="D2" s="221">
        <f>D1-C1</f>
        <v>19115.555710562418</v>
      </c>
      <c r="E2" s="221">
        <f t="shared" ref="E2:F2" si="2">E1-D1</f>
        <v>22979.288398786972</v>
      </c>
      <c r="F2" s="221">
        <f t="shared" si="2"/>
        <v>25559.023247371835</v>
      </c>
      <c r="G2" s="221">
        <f>G1-F1</f>
        <v>29154.83313576685</v>
      </c>
      <c r="H2" s="221">
        <f>H1-G1</f>
        <v>36345.139054884028</v>
      </c>
      <c r="I2" s="221">
        <f>I1-H1</f>
        <v>35030.477179923852</v>
      </c>
      <c r="J2" s="221">
        <f t="shared" ref="J2:K2" si="3">J1-I1</f>
        <v>42343.238972286403</v>
      </c>
      <c r="K2" s="221">
        <f t="shared" si="3"/>
        <v>45639.483495714841</v>
      </c>
      <c r="V2" s="4">
        <f>C19</f>
        <v>14524.861000000001</v>
      </c>
      <c r="W2" s="4">
        <f t="shared" ref="W2:AD2" si="4">D19</f>
        <v>19301.089799999998</v>
      </c>
      <c r="X2" s="4">
        <f t="shared" si="4"/>
        <v>18610.317492500002</v>
      </c>
      <c r="Y2" s="4">
        <f t="shared" si="4"/>
        <v>20494.298679299998</v>
      </c>
      <c r="Z2" s="4">
        <f t="shared" si="4"/>
        <v>21611.492778</v>
      </c>
      <c r="AA2" s="4">
        <f t="shared" si="4"/>
        <v>21722.856097599997</v>
      </c>
      <c r="AB2" s="4">
        <f t="shared" si="4"/>
        <v>21977.797952000001</v>
      </c>
      <c r="AC2" s="4">
        <f t="shared" si="4"/>
        <v>22429.217100000002</v>
      </c>
      <c r="AD2" s="4">
        <f t="shared" si="4"/>
        <v>23764.345399999998</v>
      </c>
    </row>
    <row r="3" spans="1:53" x14ac:dyDescent="0.25">
      <c r="D3" s="4"/>
      <c r="E3" s="4">
        <f>E2-D2</f>
        <v>3863.7326882245543</v>
      </c>
      <c r="F3" s="4">
        <f>F2-E2</f>
        <v>2579.7348485848634</v>
      </c>
      <c r="G3" s="4">
        <f>G2-F2</f>
        <v>3595.8098883950152</v>
      </c>
      <c r="H3" s="4">
        <f>H2-G2</f>
        <v>7190.3059191171778</v>
      </c>
      <c r="I3" s="4">
        <f t="shared" ref="I3:K3" si="5">I2-H2</f>
        <v>-1314.6618749601766</v>
      </c>
      <c r="J3" s="4">
        <f>J2-I2</f>
        <v>7312.7617923625512</v>
      </c>
      <c r="K3" s="4">
        <f t="shared" si="5"/>
        <v>3296.2445234284387</v>
      </c>
      <c r="V3" s="93">
        <f>C32-V17</f>
        <v>153981.46699999986</v>
      </c>
      <c r="W3" s="93">
        <f t="shared" ref="W3:AD3" si="6">D32-W17</f>
        <v>172289.32299999986</v>
      </c>
      <c r="X3" s="93">
        <f t="shared" si="6"/>
        <v>189377.08799999981</v>
      </c>
      <c r="Y3" s="93">
        <f t="shared" si="6"/>
        <v>207096.56521234816</v>
      </c>
      <c r="Z3" s="93">
        <f t="shared" si="6"/>
        <v>241152.7920984485</v>
      </c>
      <c r="AA3" s="93">
        <f t="shared" si="6"/>
        <v>285570.23327579472</v>
      </c>
      <c r="AB3" s="93">
        <f t="shared" si="6"/>
        <v>302589.37433963688</v>
      </c>
      <c r="AC3" s="93">
        <f t="shared" si="6"/>
        <v>318395.37429679988</v>
      </c>
      <c r="AD3" s="93">
        <f t="shared" si="6"/>
        <v>321290.17134867224</v>
      </c>
    </row>
    <row r="4" spans="1:53" ht="15.75" x14ac:dyDescent="0.25">
      <c r="B4" s="17" t="s">
        <v>220</v>
      </c>
      <c r="M4" s="17"/>
      <c r="U4" s="17" t="s">
        <v>220</v>
      </c>
      <c r="AE4" s="481" t="s">
        <v>723</v>
      </c>
      <c r="AF4" s="481"/>
      <c r="AG4" s="481"/>
      <c r="AQ4" s="329" t="s">
        <v>220</v>
      </c>
      <c r="AR4" s="330"/>
      <c r="AS4" s="330"/>
      <c r="AT4" s="330"/>
      <c r="AU4" s="330"/>
      <c r="AV4" s="330"/>
    </row>
    <row r="5" spans="1:53" x14ac:dyDescent="0.25">
      <c r="B5" s="25" t="s">
        <v>667</v>
      </c>
      <c r="C5">
        <f>C17/C33*100</f>
        <v>50.254752000472358</v>
      </c>
      <c r="D5">
        <f t="shared" ref="D5:K5" si="7">D17/D33*100</f>
        <v>49.66773993676582</v>
      </c>
      <c r="E5">
        <f t="shared" si="7"/>
        <v>47.314951473120288</v>
      </c>
      <c r="F5">
        <f t="shared" si="7"/>
        <v>44.654897027378723</v>
      </c>
      <c r="G5">
        <f t="shared" si="7"/>
        <v>46.164132875706123</v>
      </c>
      <c r="H5">
        <f t="shared" si="7"/>
        <v>47.719163586633442</v>
      </c>
      <c r="I5">
        <f t="shared" si="7"/>
        <v>43.094442463282469</v>
      </c>
      <c r="J5">
        <f t="shared" si="7"/>
        <v>37.076026331314544</v>
      </c>
      <c r="K5">
        <f t="shared" si="7"/>
        <v>29.933554359163693</v>
      </c>
      <c r="M5" s="18"/>
      <c r="N5" s="27"/>
      <c r="O5" s="27"/>
      <c r="P5" s="27"/>
      <c r="Q5" s="27"/>
      <c r="R5" s="19"/>
      <c r="U5" s="25" t="s">
        <v>667</v>
      </c>
      <c r="V5">
        <f t="shared" ref="V5:AD5" si="8">V9/C24*100</f>
        <v>59.726686440596488</v>
      </c>
      <c r="W5">
        <f t="shared" si="8"/>
        <v>55.944262173058576</v>
      </c>
      <c r="X5">
        <f t="shared" si="8"/>
        <v>65.836807025396055</v>
      </c>
      <c r="Y5">
        <f t="shared" si="8"/>
        <v>70.968581651709968</v>
      </c>
      <c r="Z5">
        <f t="shared" si="8"/>
        <v>64.203788794291199</v>
      </c>
      <c r="AA5">
        <f t="shared" si="8"/>
        <v>54.848544047568268</v>
      </c>
      <c r="AB5">
        <f t="shared" si="8"/>
        <v>55.881752654479946</v>
      </c>
      <c r="AC5">
        <f t="shared" si="8"/>
        <v>56.902506624987069</v>
      </c>
      <c r="AD5">
        <f t="shared" si="8"/>
        <v>57.649986974748458</v>
      </c>
      <c r="AQ5" s="330" t="s">
        <v>667</v>
      </c>
      <c r="AR5" s="330"/>
      <c r="AS5" s="330"/>
      <c r="AT5" s="330"/>
      <c r="AU5" s="330"/>
      <c r="AV5" s="330"/>
    </row>
    <row r="6" spans="1:53" x14ac:dyDescent="0.25">
      <c r="A6" s="42">
        <v>2</v>
      </c>
      <c r="B6" s="18"/>
      <c r="C6" s="6">
        <v>2024</v>
      </c>
      <c r="D6" s="6">
        <f t="shared" ref="D6:K6" si="9">C6+1</f>
        <v>2025</v>
      </c>
      <c r="E6" s="6">
        <f t="shared" si="9"/>
        <v>2026</v>
      </c>
      <c r="F6" s="6">
        <f t="shared" si="9"/>
        <v>2027</v>
      </c>
      <c r="G6" s="6">
        <f t="shared" si="9"/>
        <v>2028</v>
      </c>
      <c r="H6" s="6">
        <f t="shared" si="9"/>
        <v>2029</v>
      </c>
      <c r="I6" s="19">
        <f t="shared" si="9"/>
        <v>2030</v>
      </c>
      <c r="J6" s="27">
        <f t="shared" si="9"/>
        <v>2031</v>
      </c>
      <c r="K6" s="27">
        <f t="shared" si="9"/>
        <v>2032</v>
      </c>
      <c r="M6" s="12"/>
      <c r="N6" s="300"/>
      <c r="O6" s="300"/>
      <c r="P6" s="133"/>
      <c r="Q6" s="300"/>
      <c r="R6" s="300"/>
      <c r="T6" s="42">
        <v>2</v>
      </c>
      <c r="U6" s="18"/>
      <c r="V6" s="6">
        <v>2024</v>
      </c>
      <c r="W6" s="6">
        <f t="shared" ref="W6" si="10">V6+1</f>
        <v>2025</v>
      </c>
      <c r="X6" s="6">
        <f t="shared" ref="X6" si="11">W6+1</f>
        <v>2026</v>
      </c>
      <c r="Y6" s="6">
        <f t="shared" ref="Y6" si="12">X6+1</f>
        <v>2027</v>
      </c>
      <c r="Z6" s="6">
        <f t="shared" ref="Z6" si="13">Y6+1</f>
        <v>2028</v>
      </c>
      <c r="AA6" s="6">
        <f t="shared" ref="AA6" si="14">Z6+1</f>
        <v>2029</v>
      </c>
      <c r="AB6" s="19">
        <f t="shared" ref="AB6" si="15">AA6+1</f>
        <v>2030</v>
      </c>
      <c r="AC6" s="27">
        <f t="shared" ref="AC6" si="16">AB6+1</f>
        <v>2031</v>
      </c>
      <c r="AD6" s="27">
        <f t="shared" ref="AD6" si="17">AC6+1</f>
        <v>2032</v>
      </c>
      <c r="AF6" s="6">
        <v>2024</v>
      </c>
      <c r="AG6" s="6">
        <f t="shared" ref="AG6" si="18">AF6+1</f>
        <v>2025</v>
      </c>
      <c r="AH6" s="6">
        <f t="shared" ref="AH6" si="19">AG6+1</f>
        <v>2026</v>
      </c>
      <c r="AI6" s="6">
        <f t="shared" ref="AI6" si="20">AH6+1</f>
        <v>2027</v>
      </c>
      <c r="AJ6" s="6">
        <f t="shared" ref="AJ6" si="21">AI6+1</f>
        <v>2028</v>
      </c>
      <c r="AK6" s="6">
        <f t="shared" ref="AK6" si="22">AJ6+1</f>
        <v>2029</v>
      </c>
      <c r="AL6" s="19">
        <f t="shared" ref="AL6" si="23">AK6+1</f>
        <v>2030</v>
      </c>
      <c r="AM6" s="27">
        <f t="shared" ref="AM6" si="24">AL6+1</f>
        <v>2031</v>
      </c>
      <c r="AN6" s="27">
        <f t="shared" ref="AN6" si="25">AM6+1</f>
        <v>2032</v>
      </c>
      <c r="AQ6" s="331"/>
      <c r="AR6" s="63"/>
      <c r="AS6" s="332">
        <v>2024</v>
      </c>
      <c r="AT6" s="332">
        <f t="shared" ref="AT6" si="26">AS6+1</f>
        <v>2025</v>
      </c>
      <c r="AU6" s="332">
        <f t="shared" ref="AU6" si="27">AT6+1</f>
        <v>2026</v>
      </c>
      <c r="AV6" s="332">
        <f t="shared" ref="AV6" si="28">AU6+1</f>
        <v>2027</v>
      </c>
      <c r="AW6" s="332">
        <f t="shared" ref="AW6" si="29">AV6+1</f>
        <v>2028</v>
      </c>
      <c r="AX6" s="332">
        <f t="shared" ref="AX6" si="30">AW6+1</f>
        <v>2029</v>
      </c>
      <c r="AY6" s="333">
        <f t="shared" ref="AY6" si="31">AX6+1</f>
        <v>2030</v>
      </c>
      <c r="AZ6" s="334">
        <f t="shared" ref="AZ6" si="32">AY6+1</f>
        <v>2031</v>
      </c>
      <c r="BA6" s="334">
        <f t="shared" ref="BA6" si="33">AZ6+1</f>
        <v>2032</v>
      </c>
    </row>
    <row r="7" spans="1:53" x14ac:dyDescent="0.25">
      <c r="B7" s="12" t="s">
        <v>221</v>
      </c>
      <c r="C7" s="76">
        <f>C21*AF7/100</f>
        <v>42982.911482227079</v>
      </c>
      <c r="D7" s="76">
        <f>D21*AG7/100</f>
        <v>45882.216136840383</v>
      </c>
      <c r="E7" s="76">
        <f>E21*AH7/100</f>
        <v>50270.624141171764</v>
      </c>
      <c r="F7" s="76">
        <f t="shared" ref="F7:K7" si="34">F21*AI7/100</f>
        <v>53550.574554345745</v>
      </c>
      <c r="G7" s="76">
        <f t="shared" si="34"/>
        <v>50441.769725703438</v>
      </c>
      <c r="H7" s="76">
        <f t="shared" si="34"/>
        <v>58277.582580730523</v>
      </c>
      <c r="I7" s="76">
        <f t="shared" si="34"/>
        <v>67646.699058060345</v>
      </c>
      <c r="J7" s="76">
        <f t="shared" si="34"/>
        <v>60945.223725837815</v>
      </c>
      <c r="K7" s="76">
        <f t="shared" si="34"/>
        <v>71815.133767646301</v>
      </c>
      <c r="L7">
        <v>26.724556494026075</v>
      </c>
      <c r="M7" s="41"/>
      <c r="N7" s="301"/>
      <c r="O7" s="301"/>
      <c r="P7" s="301"/>
      <c r="Q7" s="301"/>
      <c r="R7" s="301"/>
      <c r="U7" s="12" t="s">
        <v>221</v>
      </c>
      <c r="V7" s="294">
        <f>'2_Production_1'!C17</f>
        <v>40340.11</v>
      </c>
      <c r="W7" s="294">
        <f>'2_Production_1'!D17</f>
        <v>43300.3</v>
      </c>
      <c r="X7" s="294">
        <f>'2_Production_1'!E17</f>
        <v>45478.42</v>
      </c>
      <c r="Y7" s="294">
        <f>'2_Production_1'!F17</f>
        <v>47224.45</v>
      </c>
      <c r="Z7" s="294">
        <f>'2_Production_1'!G17</f>
        <v>48590.42</v>
      </c>
      <c r="AA7" s="294">
        <f>'2_Production_1'!H17</f>
        <v>50222.95</v>
      </c>
      <c r="AB7" s="294">
        <f>'2_Production_1'!I17</f>
        <v>51002.89</v>
      </c>
      <c r="AC7" s="294">
        <f>'2_Production_1'!J17</f>
        <v>52183.59</v>
      </c>
      <c r="AD7" s="294">
        <f>'2_Production_1'!K17</f>
        <v>54445.85</v>
      </c>
      <c r="AE7">
        <f>V7/C21*100</f>
        <v>50.867516568859337</v>
      </c>
      <c r="AF7" s="69">
        <v>54.2</v>
      </c>
      <c r="AG7" s="69">
        <v>54.2</v>
      </c>
      <c r="AH7" s="69">
        <v>52.83</v>
      </c>
      <c r="AI7" s="69">
        <v>51.2</v>
      </c>
      <c r="AJ7" s="69">
        <v>43.971015652687903</v>
      </c>
      <c r="AK7" s="69">
        <v>46.46050256306485</v>
      </c>
      <c r="AL7" s="69">
        <v>49.395299999999999</v>
      </c>
      <c r="AM7" s="69">
        <v>41.152603498281167</v>
      </c>
      <c r="AN7" s="69">
        <v>45</v>
      </c>
      <c r="AQ7" s="335" t="s">
        <v>221</v>
      </c>
      <c r="AR7" s="63"/>
      <c r="AS7" s="63">
        <v>31573.43</v>
      </c>
      <c r="AT7" s="63">
        <v>33601.08</v>
      </c>
      <c r="AU7" s="63">
        <v>35597.879999999997</v>
      </c>
      <c r="AV7" s="63">
        <v>37445.480000000003</v>
      </c>
      <c r="AW7" s="63">
        <v>39259.39</v>
      </c>
      <c r="AX7" s="63">
        <v>41468.39</v>
      </c>
      <c r="AY7" s="63">
        <v>42359.66</v>
      </c>
      <c r="AZ7" s="63">
        <v>43511.28</v>
      </c>
      <c r="BA7" s="63">
        <v>45085.48</v>
      </c>
    </row>
    <row r="8" spans="1:53" x14ac:dyDescent="0.25">
      <c r="B8" s="12" t="s">
        <v>222</v>
      </c>
      <c r="C8" s="76">
        <f t="shared" ref="C8:C16" si="35">C23*AF8/100</f>
        <v>7000.7757967385105</v>
      </c>
      <c r="D8" s="76">
        <f t="shared" ref="D8:D16" si="36">D23*AG8/100</f>
        <v>7778.9827858426852</v>
      </c>
      <c r="E8" s="76">
        <f t="shared" ref="E8:K8" si="37">E23*AH8/100</f>
        <v>16421.931582876598</v>
      </c>
      <c r="F8" s="76">
        <f t="shared" si="37"/>
        <v>14149.747284721185</v>
      </c>
      <c r="G8" s="76">
        <f t="shared" si="37"/>
        <v>24731.766877738472</v>
      </c>
      <c r="H8" s="76">
        <f t="shared" si="37"/>
        <v>27517.376839578563</v>
      </c>
      <c r="I8" s="76">
        <f t="shared" si="37"/>
        <v>22437.650541511368</v>
      </c>
      <c r="J8" s="76">
        <f t="shared" si="37"/>
        <v>22936.390834720994</v>
      </c>
      <c r="K8" s="76">
        <f t="shared" si="37"/>
        <v>11648.733727922261</v>
      </c>
      <c r="L8" s="4">
        <v>3.2720337203142451</v>
      </c>
      <c r="M8" s="12"/>
      <c r="N8" s="300"/>
      <c r="O8" s="300"/>
      <c r="P8" s="133"/>
      <c r="Q8" s="300"/>
      <c r="R8" s="300"/>
      <c r="U8" s="12" t="s">
        <v>222</v>
      </c>
      <c r="V8" s="294">
        <f>'2_Production_1'!C32</f>
        <v>6308.7269999999999</v>
      </c>
      <c r="W8" s="294">
        <f>'2_Production_1'!D32</f>
        <v>7852.6279999999997</v>
      </c>
      <c r="X8" s="294">
        <f>'2_Production_1'!E32</f>
        <v>8358.1329999999998</v>
      </c>
      <c r="Y8" s="294">
        <f>'2_Production_1'!F32</f>
        <v>8866.2510000000002</v>
      </c>
      <c r="Z8" s="294">
        <f>'2_Production_1'!G32</f>
        <v>9201.9719999999998</v>
      </c>
      <c r="AA8" s="294">
        <f>'2_Production_1'!H32</f>
        <v>9554.3019999999997</v>
      </c>
      <c r="AB8" s="294">
        <f>'2_Production_1'!I32</f>
        <v>9960.4410000000007</v>
      </c>
      <c r="AC8" s="294">
        <f>'2_Production_1'!J32</f>
        <v>10474.69</v>
      </c>
      <c r="AD8" s="294">
        <f>'2_Production_1'!K32</f>
        <v>10958.89</v>
      </c>
      <c r="AE8">
        <f t="shared" ref="AE8:AE16" si="38">V8/C23*100</f>
        <v>46.589291725632819</v>
      </c>
      <c r="AF8" s="69">
        <v>51.7</v>
      </c>
      <c r="AG8" s="69">
        <v>51.7</v>
      </c>
      <c r="AH8" s="448">
        <v>61.38</v>
      </c>
      <c r="AI8" s="449">
        <v>47.5</v>
      </c>
      <c r="AJ8" s="449">
        <v>60.7</v>
      </c>
      <c r="AK8" s="448">
        <v>57.271391047768041</v>
      </c>
      <c r="AL8" s="69">
        <v>45.7</v>
      </c>
      <c r="AM8" s="69">
        <v>45</v>
      </c>
      <c r="AN8" s="69">
        <v>23</v>
      </c>
      <c r="AQ8" s="335" t="s">
        <v>222</v>
      </c>
      <c r="AR8" s="63"/>
      <c r="AS8" s="63">
        <v>7123.5709999999999</v>
      </c>
      <c r="AT8" s="63">
        <v>7834.6450000000004</v>
      </c>
      <c r="AU8" s="63">
        <v>8442.1239999999998</v>
      </c>
      <c r="AV8" s="63">
        <v>9543.0810000000001</v>
      </c>
      <c r="AW8" s="63">
        <v>10126.64</v>
      </c>
      <c r="AX8" s="63">
        <v>10846.91</v>
      </c>
      <c r="AY8" s="63">
        <v>11252.34</v>
      </c>
      <c r="AZ8" s="63">
        <v>11980.82</v>
      </c>
      <c r="BA8" s="63">
        <v>12645.92</v>
      </c>
    </row>
    <row r="9" spans="1:53" x14ac:dyDescent="0.25">
      <c r="B9" s="12" t="s">
        <v>223</v>
      </c>
      <c r="C9" s="76">
        <f t="shared" si="35"/>
        <v>37783.105919402537</v>
      </c>
      <c r="D9" s="76">
        <f t="shared" si="36"/>
        <v>41983.080029449098</v>
      </c>
      <c r="E9" s="76">
        <f t="shared" ref="E9:K9" si="39">E24*AH9/100</f>
        <v>32735.699715337687</v>
      </c>
      <c r="F9" s="76">
        <f t="shared" si="39"/>
        <v>33247.21409228204</v>
      </c>
      <c r="G9" s="76">
        <f t="shared" si="39"/>
        <v>40027.954461277237</v>
      </c>
      <c r="H9" s="76">
        <f t="shared" si="39"/>
        <v>58058.060342281431</v>
      </c>
      <c r="I9" s="76">
        <f t="shared" si="39"/>
        <v>50482.140101417695</v>
      </c>
      <c r="J9" s="76">
        <f t="shared" si="39"/>
        <v>44289.100331009759</v>
      </c>
      <c r="K9" s="76">
        <f t="shared" si="39"/>
        <v>29886.589059502869</v>
      </c>
      <c r="L9" s="4">
        <v>27.822405437970392</v>
      </c>
      <c r="M9" s="12"/>
      <c r="N9" s="300"/>
      <c r="O9" s="300"/>
      <c r="P9" s="133"/>
      <c r="Q9" s="300"/>
      <c r="R9" s="300"/>
      <c r="U9" s="12" t="s">
        <v>223</v>
      </c>
      <c r="V9" s="294">
        <f>'2_Production_1'!C47</f>
        <v>35041.300000000003</v>
      </c>
      <c r="W9" s="294">
        <f>'2_Production_1'!D47</f>
        <v>36470.69</v>
      </c>
      <c r="X9" s="294">
        <f>'2_Production_1'!E47</f>
        <v>39545.21</v>
      </c>
      <c r="Y9" s="294">
        <f>'2_Production_1'!F47</f>
        <v>42822.28</v>
      </c>
      <c r="Z9" s="294">
        <f>'2_Production_1'!G47</f>
        <v>46891.24</v>
      </c>
      <c r="AA9" s="294">
        <f>'2_Production_1'!H47</f>
        <v>52203.28</v>
      </c>
      <c r="AB9" s="294">
        <f>'2_Production_1'!I47</f>
        <v>53895.93</v>
      </c>
      <c r="AC9" s="294">
        <f>'2_Production_1'!J47</f>
        <v>55388.15</v>
      </c>
      <c r="AD9" s="294">
        <f>'2_Production_1'!K47</f>
        <v>56490.54</v>
      </c>
      <c r="AE9">
        <f t="shared" si="38"/>
        <v>59.726686440596488</v>
      </c>
      <c r="AF9" s="69">
        <v>64.400000000000006</v>
      </c>
      <c r="AG9" s="69">
        <v>64.400000000000006</v>
      </c>
      <c r="AH9" s="449">
        <v>54.5</v>
      </c>
      <c r="AI9" s="449">
        <v>55.1</v>
      </c>
      <c r="AJ9" s="448">
        <v>54.806533887765617</v>
      </c>
      <c r="AK9" s="448">
        <v>61</v>
      </c>
      <c r="AL9" s="69">
        <v>52.342179949696146</v>
      </c>
      <c r="AM9" s="69">
        <v>45.5</v>
      </c>
      <c r="AN9" s="69">
        <v>30.5</v>
      </c>
      <c r="AQ9" s="335" t="s">
        <v>223</v>
      </c>
      <c r="AR9" s="63"/>
      <c r="AS9" s="63">
        <v>55650.79</v>
      </c>
      <c r="AT9" s="63">
        <v>60177.2</v>
      </c>
      <c r="AU9" s="63">
        <v>65000.41</v>
      </c>
      <c r="AV9" s="63">
        <v>70756.95</v>
      </c>
      <c r="AW9" s="63">
        <v>75654.78</v>
      </c>
      <c r="AX9" s="63">
        <v>80534.28</v>
      </c>
      <c r="AY9" s="63">
        <v>84153.63</v>
      </c>
      <c r="AZ9" s="63">
        <v>88649.81</v>
      </c>
      <c r="BA9" s="63">
        <v>92534.59</v>
      </c>
    </row>
    <row r="10" spans="1:53" x14ac:dyDescent="0.25">
      <c r="B10" s="12" t="s">
        <v>224</v>
      </c>
      <c r="C10" s="76">
        <f t="shared" si="35"/>
        <v>4687.6180779299175</v>
      </c>
      <c r="D10" s="76">
        <f t="shared" si="36"/>
        <v>5208.6942066920492</v>
      </c>
      <c r="E10" s="76">
        <f>E25*AH10/100</f>
        <v>5474.7841880474516</v>
      </c>
      <c r="F10" s="76">
        <f t="shared" ref="F10:K10" si="40">F25*AI10/100</f>
        <v>6053.3790855411589</v>
      </c>
      <c r="G10" s="76">
        <f t="shared" si="40"/>
        <v>7290.9433191924791</v>
      </c>
      <c r="H10" s="76">
        <f t="shared" si="40"/>
        <v>8616.9930410766829</v>
      </c>
      <c r="I10" s="76">
        <f t="shared" si="40"/>
        <v>8795.7572236041542</v>
      </c>
      <c r="J10" s="76">
        <f t="shared" si="40"/>
        <v>8250.6213841943718</v>
      </c>
      <c r="K10" s="76">
        <f t="shared" si="40"/>
        <v>4415.3949843054861</v>
      </c>
      <c r="L10" s="4">
        <f>2.8435571632284+0.0641141742494007</f>
        <v>2.9076713374778005</v>
      </c>
      <c r="M10" s="12"/>
      <c r="N10" s="300"/>
      <c r="O10" s="300"/>
      <c r="P10" s="133"/>
      <c r="Q10" s="300"/>
      <c r="R10" s="300"/>
      <c r="U10" s="12" t="s">
        <v>224</v>
      </c>
      <c r="V10" s="294">
        <f>'2_Production_1'!C62</f>
        <v>4288.8029999999999</v>
      </c>
      <c r="W10" s="294">
        <f>'2_Production_1'!D62</f>
        <v>4943.0029999999997</v>
      </c>
      <c r="X10" s="294">
        <f>'2_Production_1'!E62</f>
        <v>5300.4030000000002</v>
      </c>
      <c r="Y10" s="294">
        <f>'2_Production_1'!F62</f>
        <v>7064.3310000000001</v>
      </c>
      <c r="Z10" s="294">
        <f>'2_Production_1'!G62</f>
        <v>7152.759</v>
      </c>
      <c r="AA10" s="294">
        <f>'2_Production_1'!H62</f>
        <v>7255.6850000000004</v>
      </c>
      <c r="AB10" s="294">
        <f>'2_Production_1'!I62</f>
        <v>7457.89</v>
      </c>
      <c r="AC10" s="294">
        <f>'2_Production_1'!J62</f>
        <v>8717.6810000000005</v>
      </c>
      <c r="AD10" s="294">
        <f>'2_Production_1'!K62</f>
        <v>9916.134</v>
      </c>
      <c r="AE10">
        <f t="shared" si="38"/>
        <v>41.445948170290471</v>
      </c>
      <c r="AF10" s="69">
        <v>45.3</v>
      </c>
      <c r="AG10" s="69">
        <v>45.3</v>
      </c>
      <c r="AH10" s="219">
        <f t="shared" ref="AH10:AH15" si="41">X10/AZ25*100</f>
        <v>41.743871205534347</v>
      </c>
      <c r="AI10" s="219">
        <f t="shared" ref="AI10:AI15" si="42">Y10/BA25*100</f>
        <v>41.020678354070142</v>
      </c>
      <c r="AJ10" s="69">
        <v>40.9</v>
      </c>
      <c r="AK10" s="219">
        <f t="shared" ref="AK10" si="43">AA10/BC25*100</f>
        <v>39.932904744109564</v>
      </c>
      <c r="AL10" s="69">
        <v>39.4</v>
      </c>
      <c r="AM10" s="69">
        <v>35</v>
      </c>
      <c r="AN10" s="69">
        <v>18.3</v>
      </c>
      <c r="AQ10" s="335" t="s">
        <v>224</v>
      </c>
      <c r="AR10" s="63"/>
      <c r="AS10" s="63">
        <v>7463.39</v>
      </c>
      <c r="AT10" s="63">
        <v>8060.1310000000003</v>
      </c>
      <c r="AU10" s="63">
        <v>8676.6880000000001</v>
      </c>
      <c r="AV10" s="63">
        <v>9615.3469999999998</v>
      </c>
      <c r="AW10" s="63">
        <v>10151.41</v>
      </c>
      <c r="AX10" s="63">
        <v>10678.61</v>
      </c>
      <c r="AY10" s="63">
        <v>11150.31</v>
      </c>
      <c r="AZ10" s="63">
        <v>11896.43</v>
      </c>
      <c r="BA10" s="63">
        <v>12581.55</v>
      </c>
    </row>
    <row r="11" spans="1:53" x14ac:dyDescent="0.25">
      <c r="B11" s="12" t="s">
        <v>225</v>
      </c>
      <c r="C11" s="76">
        <f t="shared" si="35"/>
        <v>16054.821324153405</v>
      </c>
      <c r="D11" s="76">
        <f t="shared" si="36"/>
        <v>17839.476986043843</v>
      </c>
      <c r="E11" s="76">
        <f t="shared" ref="E11:K11" si="44">E26*AH11/100</f>
        <v>18068.512866194153</v>
      </c>
      <c r="F11" s="76">
        <f t="shared" si="44"/>
        <v>19607.109600979406</v>
      </c>
      <c r="G11" s="76">
        <f t="shared" si="44"/>
        <v>20312.50668618214</v>
      </c>
      <c r="H11" s="76">
        <f t="shared" si="44"/>
        <v>18074.894746448583</v>
      </c>
      <c r="I11" s="76">
        <f t="shared" si="44"/>
        <v>16680.325660771559</v>
      </c>
      <c r="J11" s="76">
        <f>J26*AM11/100</f>
        <v>16187.189838301842</v>
      </c>
      <c r="K11" s="76">
        <f t="shared" si="44"/>
        <v>11244.509081968492</v>
      </c>
      <c r="L11" s="4">
        <v>15.483317985046263</v>
      </c>
      <c r="M11" s="12"/>
      <c r="N11" s="300"/>
      <c r="O11" s="300"/>
      <c r="P11" s="133"/>
      <c r="Q11" s="300"/>
      <c r="R11" s="300"/>
      <c r="U11" s="12" t="s">
        <v>225</v>
      </c>
      <c r="V11" s="294">
        <f>'2_Production_1'!C77</f>
        <v>14118.33</v>
      </c>
      <c r="W11" s="294">
        <f>'2_Production_1'!D77</f>
        <v>15774.29</v>
      </c>
      <c r="X11" s="294">
        <f>'2_Production_1'!E77</f>
        <v>17493</v>
      </c>
      <c r="Y11" s="294">
        <f>'2_Production_1'!F77</f>
        <v>18515.11</v>
      </c>
      <c r="Z11" s="294">
        <f>'2_Production_1'!G77</f>
        <v>20266.88</v>
      </c>
      <c r="AA11" s="294">
        <f>'2_Production_1'!H77</f>
        <v>21182.720000000001</v>
      </c>
      <c r="AB11" s="294">
        <f>'2_Production_1'!I77</f>
        <v>22048.77</v>
      </c>
      <c r="AC11" s="294">
        <f>'2_Production_1'!J77</f>
        <v>23067.54</v>
      </c>
      <c r="AD11" s="294">
        <f>'2_Production_1'!K77</f>
        <v>23920.2</v>
      </c>
      <c r="AE11">
        <f t="shared" si="38"/>
        <v>41.330980681903704</v>
      </c>
      <c r="AF11" s="69">
        <v>47</v>
      </c>
      <c r="AG11" s="69">
        <v>47</v>
      </c>
      <c r="AH11" s="219">
        <f t="shared" si="41"/>
        <v>42.048257063328386</v>
      </c>
      <c r="AI11" s="219">
        <f t="shared" si="42"/>
        <v>41.655280807569945</v>
      </c>
      <c r="AJ11" s="69">
        <v>41</v>
      </c>
      <c r="AK11" s="69">
        <v>34</v>
      </c>
      <c r="AL11" s="69">
        <v>30</v>
      </c>
      <c r="AM11" s="69">
        <v>27.1</v>
      </c>
      <c r="AN11" s="69">
        <v>19</v>
      </c>
      <c r="AQ11" s="335" t="s">
        <v>225</v>
      </c>
      <c r="AR11" s="63"/>
      <c r="AS11" s="63">
        <v>9375.018</v>
      </c>
      <c r="AT11" s="63">
        <v>10154.969999999999</v>
      </c>
      <c r="AU11" s="63">
        <v>10820.56</v>
      </c>
      <c r="AV11" s="63">
        <v>11752.68</v>
      </c>
      <c r="AW11" s="63">
        <v>12398.64</v>
      </c>
      <c r="AX11" s="63">
        <v>12944.09</v>
      </c>
      <c r="AY11" s="63">
        <v>13561.97</v>
      </c>
      <c r="AZ11" s="63">
        <v>14315.71</v>
      </c>
      <c r="BA11" s="63">
        <v>15046.98</v>
      </c>
    </row>
    <row r="12" spans="1:53" x14ac:dyDescent="0.25">
      <c r="B12" s="12" t="s">
        <v>226</v>
      </c>
      <c r="C12" s="76">
        <f t="shared" si="35"/>
        <v>10176.772163766809</v>
      </c>
      <c r="D12" s="76">
        <f t="shared" si="36"/>
        <v>11308.023249975528</v>
      </c>
      <c r="E12" s="76">
        <f t="shared" ref="E12:K12" si="45">E27*AH12/100</f>
        <v>11619.869144307808</v>
      </c>
      <c r="F12" s="76">
        <f t="shared" si="45"/>
        <v>11637.063774317412</v>
      </c>
      <c r="G12" s="76">
        <f t="shared" si="45"/>
        <v>11048.283447942087</v>
      </c>
      <c r="H12" s="76">
        <f t="shared" si="45"/>
        <v>7924.2226814509459</v>
      </c>
      <c r="I12" s="76">
        <f t="shared" si="45"/>
        <v>8386.8571403360438</v>
      </c>
      <c r="J12" s="76">
        <f t="shared" si="45"/>
        <v>7746.6811408825833</v>
      </c>
      <c r="K12" s="76">
        <f t="shared" si="45"/>
        <v>4043.6176058703904</v>
      </c>
      <c r="L12" s="4">
        <v>5.7927241466394914</v>
      </c>
      <c r="M12" s="12"/>
      <c r="N12" s="300"/>
      <c r="O12" s="300"/>
      <c r="P12" s="133"/>
      <c r="Q12" s="300"/>
      <c r="R12" s="300"/>
      <c r="U12" s="12" t="s">
        <v>226</v>
      </c>
      <c r="V12" s="294">
        <f>'2_Production_1'!C92</f>
        <v>9370.634</v>
      </c>
      <c r="W12" s="294">
        <f>'2_Production_1'!D92</f>
        <v>10306.879999999999</v>
      </c>
      <c r="X12" s="294">
        <f>'2_Production_1'!E92</f>
        <v>11551.87</v>
      </c>
      <c r="Y12" s="294">
        <f>'2_Production_1'!F92</f>
        <v>14405.58</v>
      </c>
      <c r="Z12" s="294">
        <f>'2_Production_1'!G92</f>
        <v>14957.28</v>
      </c>
      <c r="AA12" s="294">
        <f>'2_Production_1'!H92</f>
        <v>15600.6</v>
      </c>
      <c r="AB12" s="294">
        <f>'2_Production_1'!I92</f>
        <v>18004.490000000002</v>
      </c>
      <c r="AC12" s="294">
        <f>'2_Production_1'!J92</f>
        <v>20005.12</v>
      </c>
      <c r="AD12" s="294">
        <f>'2_Production_1'!K92</f>
        <v>22126.240000000002</v>
      </c>
      <c r="AE12">
        <f t="shared" si="38"/>
        <v>49.169996885808828</v>
      </c>
      <c r="AF12" s="69">
        <v>53.4</v>
      </c>
      <c r="AG12" s="69">
        <v>53.4</v>
      </c>
      <c r="AH12" s="69">
        <v>50</v>
      </c>
      <c r="AI12" s="219">
        <f t="shared" si="42"/>
        <v>47.141562654521067</v>
      </c>
      <c r="AJ12" s="219">
        <f t="shared" ref="AJ12:AJ13" si="46">Z12/BB27*100</f>
        <v>46.184215279812683</v>
      </c>
      <c r="AK12" s="69">
        <v>32</v>
      </c>
      <c r="AL12" s="69">
        <v>30.2</v>
      </c>
      <c r="AM12" s="69">
        <v>27.2</v>
      </c>
      <c r="AN12" s="69">
        <v>15</v>
      </c>
      <c r="AQ12" s="335" t="s">
        <v>226</v>
      </c>
      <c r="AR12" s="63"/>
      <c r="AS12" s="63">
        <v>8819.6029999999901</v>
      </c>
      <c r="AT12" s="63">
        <v>9490.5920000000006</v>
      </c>
      <c r="AU12" s="63">
        <v>10225.34</v>
      </c>
      <c r="AV12" s="63">
        <v>11483.15</v>
      </c>
      <c r="AW12" s="63">
        <v>12135.79</v>
      </c>
      <c r="AX12" s="63">
        <v>12740.41</v>
      </c>
      <c r="AY12" s="63">
        <v>13568.97</v>
      </c>
      <c r="AZ12" s="63">
        <v>14596.29</v>
      </c>
      <c r="BA12" s="63">
        <v>15477.17</v>
      </c>
    </row>
    <row r="13" spans="1:53" x14ac:dyDescent="0.25">
      <c r="B13" s="12" t="s">
        <v>227</v>
      </c>
      <c r="C13" s="76">
        <f t="shared" si="35"/>
        <v>12676.461813028525</v>
      </c>
      <c r="D13" s="76">
        <f t="shared" si="36"/>
        <v>14085.578668992801</v>
      </c>
      <c r="E13" s="76">
        <f t="shared" ref="E13:K13" si="47">E28*AH13/100</f>
        <v>12921.852995744739</v>
      </c>
      <c r="F13" s="76">
        <f t="shared" si="47"/>
        <v>14306.895735085633</v>
      </c>
      <c r="G13" s="76">
        <f t="shared" si="47"/>
        <v>15819.405853625809</v>
      </c>
      <c r="H13" s="76">
        <f t="shared" si="47"/>
        <v>11697.912394937219</v>
      </c>
      <c r="I13" s="76">
        <f t="shared" si="47"/>
        <v>8383.2587602879576</v>
      </c>
      <c r="J13" s="76">
        <f t="shared" si="47"/>
        <v>7830.3565492653124</v>
      </c>
      <c r="K13" s="76">
        <f t="shared" si="47"/>
        <v>4418.115213965435</v>
      </c>
      <c r="L13" s="4">
        <v>8.3772736510301229</v>
      </c>
      <c r="M13" s="12"/>
      <c r="N13" s="300"/>
      <c r="O13" s="300"/>
      <c r="P13" s="133"/>
      <c r="Q13" s="300"/>
      <c r="R13" s="300"/>
      <c r="U13" s="12" t="s">
        <v>227</v>
      </c>
      <c r="V13" s="294">
        <f>'2_Production_1'!C107</f>
        <v>11835.09</v>
      </c>
      <c r="W13" s="294">
        <f>'2_Production_1'!D107</f>
        <v>12345.39</v>
      </c>
      <c r="X13" s="294">
        <f>'2_Production_1'!E107</f>
        <v>12510.27</v>
      </c>
      <c r="Y13" s="294">
        <f>'2_Production_1'!F107</f>
        <v>13737.44</v>
      </c>
      <c r="Z13" s="294">
        <f>'2_Production_1'!G107</f>
        <v>14608.16</v>
      </c>
      <c r="AA13" s="294">
        <f>'2_Production_1'!H107</f>
        <v>15086.54</v>
      </c>
      <c r="AB13" s="294">
        <f>'2_Production_1'!I107</f>
        <v>15669.9</v>
      </c>
      <c r="AC13" s="294">
        <f>'2_Production_1'!J107</f>
        <v>17149.060000000001</v>
      </c>
      <c r="AD13" s="294">
        <f>'2_Production_1'!K107</f>
        <v>17549.310000000001</v>
      </c>
      <c r="AE13">
        <f t="shared" si="38"/>
        <v>34.917658612364086</v>
      </c>
      <c r="AF13" s="69">
        <v>37.4</v>
      </c>
      <c r="AG13" s="69">
        <v>37.4</v>
      </c>
      <c r="AH13" s="219">
        <f t="shared" si="41"/>
        <v>34.664493186121867</v>
      </c>
      <c r="AI13" s="219">
        <f t="shared" si="42"/>
        <v>33.836000775368127</v>
      </c>
      <c r="AJ13" s="219">
        <f t="shared" si="46"/>
        <v>33.51340165789496</v>
      </c>
      <c r="AK13" s="69">
        <v>24</v>
      </c>
      <c r="AL13" s="69">
        <v>16.100000000000001</v>
      </c>
      <c r="AM13" s="69">
        <v>14.1</v>
      </c>
      <c r="AN13" s="69">
        <v>8</v>
      </c>
      <c r="AQ13" s="335" t="s">
        <v>227</v>
      </c>
      <c r="AR13" s="63"/>
      <c r="AS13" s="63">
        <v>1972.165</v>
      </c>
      <c r="AT13" s="63">
        <v>2104.14</v>
      </c>
      <c r="AU13" s="63">
        <v>2239.252</v>
      </c>
      <c r="AV13" s="63">
        <v>2504.3409999999999</v>
      </c>
      <c r="AW13" s="63">
        <v>2662.8620000000001</v>
      </c>
      <c r="AX13" s="63">
        <v>2795.6680000000001</v>
      </c>
      <c r="AY13" s="63">
        <v>2957.7469999999998</v>
      </c>
      <c r="AZ13" s="63">
        <v>3204.712</v>
      </c>
      <c r="BA13" s="63">
        <v>3368.7330000000002</v>
      </c>
    </row>
    <row r="14" spans="1:53" x14ac:dyDescent="0.25">
      <c r="B14" s="12" t="s">
        <v>228</v>
      </c>
      <c r="C14" s="76">
        <f t="shared" si="35"/>
        <v>8013.5877945784314</v>
      </c>
      <c r="D14" s="76">
        <f t="shared" si="36"/>
        <v>8904.3790740886452</v>
      </c>
      <c r="E14" s="76">
        <f t="shared" ref="E14:K14" si="48">E29*AH14/100</f>
        <v>9291.7983408945311</v>
      </c>
      <c r="F14" s="76">
        <f t="shared" si="48"/>
        <v>10896.997714953905</v>
      </c>
      <c r="G14" s="76">
        <f t="shared" si="48"/>
        <v>9898.3673767518685</v>
      </c>
      <c r="H14" s="76">
        <f t="shared" si="48"/>
        <v>8362.5247972018242</v>
      </c>
      <c r="I14" s="76">
        <f t="shared" si="48"/>
        <v>7117.8672215113638</v>
      </c>
      <c r="J14" s="76">
        <f t="shared" si="48"/>
        <v>6812.5066502860682</v>
      </c>
      <c r="K14" s="76">
        <f t="shared" si="48"/>
        <v>5513.4254261525257</v>
      </c>
      <c r="L14" s="4">
        <v>4.6731920270538012</v>
      </c>
      <c r="M14" s="12"/>
      <c r="N14" s="300"/>
      <c r="O14" s="300"/>
      <c r="P14" s="133"/>
      <c r="Q14" s="300"/>
      <c r="R14" s="300"/>
      <c r="U14" s="12" t="s">
        <v>228</v>
      </c>
      <c r="V14" s="294">
        <f>'2_Production_1'!C122</f>
        <v>5856.509</v>
      </c>
      <c r="W14" s="294">
        <f>'2_Production_1'!D122</f>
        <v>6158.7209999999995</v>
      </c>
      <c r="X14" s="294">
        <f>'2_Production_1'!E122</f>
        <v>6257.9319999999998</v>
      </c>
      <c r="Y14" s="294">
        <f>'2_Production_1'!F122</f>
        <v>6471.9430000000002</v>
      </c>
      <c r="Z14" s="294">
        <f>'2_Production_1'!G122</f>
        <v>6666.5959999999995</v>
      </c>
      <c r="AA14" s="294">
        <f>'2_Production_1'!H122</f>
        <v>6833.8029999999999</v>
      </c>
      <c r="AB14" s="294">
        <f>'2_Production_1'!I122</f>
        <v>7177.5929999999998</v>
      </c>
      <c r="AC14" s="294">
        <f>'2_Production_1'!J122</f>
        <v>7303.4160000000002</v>
      </c>
      <c r="AD14" s="294">
        <f>'2_Production_1'!K122</f>
        <v>7545.6840000000002</v>
      </c>
      <c r="AE14">
        <f t="shared" si="38"/>
        <v>39.02591306375674</v>
      </c>
      <c r="AF14" s="69">
        <v>53.4</v>
      </c>
      <c r="AG14" s="69">
        <v>53.4</v>
      </c>
      <c r="AH14" s="69">
        <v>53.4</v>
      </c>
      <c r="AI14" s="69">
        <v>53.4</v>
      </c>
      <c r="AJ14" s="69">
        <v>52</v>
      </c>
      <c r="AK14" s="69">
        <v>37</v>
      </c>
      <c r="AL14" s="69">
        <v>33</v>
      </c>
      <c r="AM14" s="69">
        <v>28.5</v>
      </c>
      <c r="AN14" s="69">
        <v>23</v>
      </c>
      <c r="AQ14" s="335" t="s">
        <v>228</v>
      </c>
      <c r="AR14" s="63"/>
      <c r="AS14" s="63">
        <v>10607.68</v>
      </c>
      <c r="AT14" s="63">
        <v>11310.79</v>
      </c>
      <c r="AU14" s="63">
        <v>12028.48</v>
      </c>
      <c r="AV14" s="63">
        <v>13228.64</v>
      </c>
      <c r="AW14" s="63">
        <v>13987.59</v>
      </c>
      <c r="AX14" s="63">
        <v>14708.05</v>
      </c>
      <c r="AY14" s="63">
        <v>15521.88</v>
      </c>
      <c r="AZ14" s="63">
        <v>16572.580000000002</v>
      </c>
      <c r="BA14" s="63">
        <v>17416.560000000001</v>
      </c>
    </row>
    <row r="15" spans="1:53" x14ac:dyDescent="0.25">
      <c r="B15" s="12" t="s">
        <v>229</v>
      </c>
      <c r="C15" s="76">
        <f t="shared" si="35"/>
        <v>3924.9602704081208</v>
      </c>
      <c r="D15" s="76">
        <f t="shared" si="36"/>
        <v>4361.2592754142215</v>
      </c>
      <c r="E15" s="76">
        <f t="shared" ref="E15:K15" si="49">E30*AH15/100</f>
        <v>4025.9503666200012</v>
      </c>
      <c r="F15" s="76">
        <f t="shared" si="49"/>
        <v>4422.2746467888301</v>
      </c>
      <c r="G15" s="76">
        <f t="shared" si="49"/>
        <v>4789.9506971377123</v>
      </c>
      <c r="H15" s="76">
        <f t="shared" si="49"/>
        <v>4392.1120485895417</v>
      </c>
      <c r="I15" s="76">
        <f t="shared" si="49"/>
        <v>2940.7221878440059</v>
      </c>
      <c r="J15" s="76">
        <f t="shared" si="49"/>
        <v>3025.0570536824962</v>
      </c>
      <c r="K15" s="76">
        <f t="shared" si="49"/>
        <v>3249.8142952024768</v>
      </c>
      <c r="L15" s="4">
        <v>3.0868338907184962</v>
      </c>
      <c r="M15" s="12"/>
      <c r="N15" s="300"/>
      <c r="O15" s="300"/>
      <c r="P15" s="133"/>
      <c r="Q15" s="300"/>
      <c r="R15" s="300"/>
      <c r="U15" s="12" t="s">
        <v>229</v>
      </c>
      <c r="V15" s="294">
        <f>'2_Production_1'!C137</f>
        <v>3656.114</v>
      </c>
      <c r="W15" s="294">
        <f>'2_Production_1'!D137</f>
        <v>3672.8119999999999</v>
      </c>
      <c r="X15" s="294">
        <f>'2_Production_1'!E137</f>
        <v>3897.7170000000001</v>
      </c>
      <c r="Y15" s="294">
        <f>'2_Production_1'!F137</f>
        <v>4398.4930000000004</v>
      </c>
      <c r="Z15" s="294">
        <f>'2_Production_1'!G137</f>
        <v>4581.2569999999996</v>
      </c>
      <c r="AA15" s="294">
        <f>'2_Production_1'!H137</f>
        <v>5184.9049999999997</v>
      </c>
      <c r="AB15" s="294">
        <f>'2_Production_1'!I137</f>
        <v>5736.5680000000002</v>
      </c>
      <c r="AC15" s="294">
        <f>'2_Production_1'!J137</f>
        <v>6209.7870000000003</v>
      </c>
      <c r="AD15" s="294">
        <f>'2_Production_1'!K137</f>
        <v>6756.2209999999995</v>
      </c>
      <c r="AE15">
        <f t="shared" si="38"/>
        <v>18.16431711105875</v>
      </c>
      <c r="AF15" s="69">
        <v>19.5</v>
      </c>
      <c r="AG15" s="69">
        <v>19.5</v>
      </c>
      <c r="AH15" s="219">
        <f t="shared" si="41"/>
        <v>17.690986201118182</v>
      </c>
      <c r="AI15" s="219">
        <f t="shared" si="42"/>
        <v>17.860478922286795</v>
      </c>
      <c r="AJ15" s="69">
        <v>17.5</v>
      </c>
      <c r="AK15" s="219">
        <v>16</v>
      </c>
      <c r="AL15" s="69">
        <v>10.1</v>
      </c>
      <c r="AM15" s="69">
        <v>10</v>
      </c>
      <c r="AN15" s="69">
        <v>10.1</v>
      </c>
      <c r="AQ15" s="335" t="s">
        <v>229</v>
      </c>
      <c r="AR15" s="63"/>
      <c r="AS15" s="63">
        <v>562.44460000000004</v>
      </c>
      <c r="AT15" s="63">
        <v>595.49130000000002</v>
      </c>
      <c r="AU15" s="63">
        <v>645.077</v>
      </c>
      <c r="AV15" s="63">
        <v>709.77800000000002</v>
      </c>
      <c r="AW15" s="63">
        <v>752.99440000000004</v>
      </c>
      <c r="AX15" s="63">
        <v>807.06769999999995</v>
      </c>
      <c r="AY15" s="63">
        <v>854.80229999999995</v>
      </c>
      <c r="AZ15" s="63">
        <v>911.72159999999997</v>
      </c>
      <c r="BA15" s="63">
        <v>966.62390000000005</v>
      </c>
    </row>
    <row r="16" spans="1:53" x14ac:dyDescent="0.25">
      <c r="B16" s="20" t="s">
        <v>8</v>
      </c>
      <c r="C16" s="79">
        <f t="shared" si="35"/>
        <v>1444.9187047370315</v>
      </c>
      <c r="D16" s="79">
        <f t="shared" si="36"/>
        <v>1605.536023068745</v>
      </c>
      <c r="E16" s="79">
        <f t="shared" ref="E16:K16" si="50">E31*AH16/100</f>
        <v>1978.4433889262873</v>
      </c>
      <c r="F16" s="79">
        <f t="shared" si="50"/>
        <v>2428.4593928821669</v>
      </c>
      <c r="G16" s="79">
        <f t="shared" si="50"/>
        <v>2135.1992853797169</v>
      </c>
      <c r="H16" s="79">
        <f t="shared" si="50"/>
        <v>2228.592700697825</v>
      </c>
      <c r="I16" s="79">
        <f t="shared" si="50"/>
        <v>2424.425015967025</v>
      </c>
      <c r="J16" s="79">
        <f t="shared" si="50"/>
        <v>1521.2435360068121</v>
      </c>
      <c r="K16" s="79">
        <f t="shared" si="50"/>
        <v>1443.4027378094004</v>
      </c>
      <c r="L16">
        <v>1.8599913097233314</v>
      </c>
      <c r="M16" s="20"/>
      <c r="N16" s="302"/>
      <c r="O16" s="302"/>
      <c r="P16" s="133"/>
      <c r="Q16" s="302"/>
      <c r="R16" s="302"/>
      <c r="U16" s="20" t="s">
        <v>8</v>
      </c>
      <c r="V16" s="298">
        <f>'2_Production_1'!C152</f>
        <v>3227.2869999999998</v>
      </c>
      <c r="W16" s="298">
        <f>'2_Production_1'!D152</f>
        <v>3460.9540000000002</v>
      </c>
      <c r="X16" s="298">
        <f>'2_Production_1'!E152</f>
        <v>4327.2489999999998</v>
      </c>
      <c r="Y16" s="298">
        <f>'2_Production_1'!F152</f>
        <v>4660.1400000000003</v>
      </c>
      <c r="Z16" s="298">
        <f>'2_Production_1'!G152</f>
        <v>5427.2979999999998</v>
      </c>
      <c r="AA16" s="298">
        <f>'2_Production_1'!H152</f>
        <v>5689.5360000000001</v>
      </c>
      <c r="AB16" s="298">
        <f>'2_Production_1'!I152</f>
        <v>5761.674</v>
      </c>
      <c r="AC16" s="298">
        <f>'2_Production_1'!J152</f>
        <v>6551.6</v>
      </c>
      <c r="AD16" s="298">
        <f>'2_Production_1'!K152</f>
        <v>6885.4880000000003</v>
      </c>
      <c r="AE16">
        <f t="shared" si="38"/>
        <v>82.417709667391463</v>
      </c>
      <c r="AF16" s="69">
        <v>36.9</v>
      </c>
      <c r="AG16" s="69">
        <v>36.9</v>
      </c>
      <c r="AH16" s="69">
        <v>36.9</v>
      </c>
      <c r="AI16" s="69">
        <v>36.9</v>
      </c>
      <c r="AJ16" s="69">
        <v>35</v>
      </c>
      <c r="AK16" s="69">
        <v>30</v>
      </c>
      <c r="AL16" s="69">
        <v>29</v>
      </c>
      <c r="AM16" s="69">
        <v>20.100000000000001</v>
      </c>
      <c r="AN16" s="69">
        <v>18</v>
      </c>
      <c r="AQ16" s="336" t="s">
        <v>8</v>
      </c>
      <c r="AR16" s="63"/>
      <c r="AS16" s="63">
        <v>894.81150000000002</v>
      </c>
      <c r="AT16" s="63">
        <v>956.62699999999995</v>
      </c>
      <c r="AU16" s="63">
        <v>1044.3979999999999</v>
      </c>
      <c r="AV16" s="63">
        <v>1126.558</v>
      </c>
      <c r="AW16" s="63">
        <v>1213.77</v>
      </c>
      <c r="AX16" s="63">
        <v>1290.827</v>
      </c>
      <c r="AY16" s="63">
        <v>1334.8320000000001</v>
      </c>
      <c r="AZ16" s="63">
        <v>1411.279</v>
      </c>
      <c r="BA16" s="63">
        <v>1470.94</v>
      </c>
    </row>
    <row r="17" spans="1:58" x14ac:dyDescent="0.25">
      <c r="C17" s="33">
        <f>SUM(C7:C16)</f>
        <v>144745.93334697041</v>
      </c>
      <c r="D17" s="33">
        <f t="shared" ref="D17:I17" si="51">SUM(D7:D16)</f>
        <v>158957.22643640797</v>
      </c>
      <c r="E17" s="33">
        <f>SUM(E7:E16)</f>
        <v>162809.466730121</v>
      </c>
      <c r="F17" s="33">
        <f t="shared" si="51"/>
        <v>170299.71588189749</v>
      </c>
      <c r="G17" s="33">
        <f t="shared" si="51"/>
        <v>186496.147730931</v>
      </c>
      <c r="H17" s="33">
        <f t="shared" si="51"/>
        <v>205150.27217299317</v>
      </c>
      <c r="I17" s="33">
        <f t="shared" si="51"/>
        <v>195295.7029113115</v>
      </c>
      <c r="J17" s="33">
        <f>SUM(J7:J16)</f>
        <v>179544.37104418801</v>
      </c>
      <c r="K17" s="33">
        <f>SUM(K7:K16)</f>
        <v>147678.73590034564</v>
      </c>
      <c r="L17" s="218">
        <f>SUM(L7:L16)</f>
        <v>100.00000000000001</v>
      </c>
      <c r="N17" s="54"/>
      <c r="O17" s="54"/>
      <c r="P17" s="54"/>
      <c r="Q17" s="54"/>
      <c r="R17" s="54"/>
      <c r="V17" s="33">
        <f t="shared" ref="V17:AD17" si="52">SUM(V7:V16)</f>
        <v>134042.90400000001</v>
      </c>
      <c r="W17" s="33">
        <f t="shared" si="52"/>
        <v>144285.66800000001</v>
      </c>
      <c r="X17" s="33">
        <f t="shared" si="52"/>
        <v>154720.20400000003</v>
      </c>
      <c r="Y17" s="33">
        <f t="shared" si="52"/>
        <v>168166.01800000001</v>
      </c>
      <c r="Z17" s="33">
        <f t="shared" si="52"/>
        <v>178343.86200000002</v>
      </c>
      <c r="AA17" s="33">
        <f t="shared" si="52"/>
        <v>188814.321</v>
      </c>
      <c r="AB17" s="33">
        <f t="shared" si="52"/>
        <v>196716.14599999998</v>
      </c>
      <c r="AC17" s="33">
        <f t="shared" si="52"/>
        <v>207050.63399999999</v>
      </c>
      <c r="AD17" s="33">
        <f t="shared" si="52"/>
        <v>216594.557</v>
      </c>
      <c r="AS17" s="33">
        <f>SUM(AS7:AS16)</f>
        <v>134042.90309999997</v>
      </c>
      <c r="AT17" s="33">
        <f t="shared" ref="AT17:BA17" si="53">SUM(AT7:AT16)</f>
        <v>144285.66630000001</v>
      </c>
      <c r="AU17" s="33">
        <f t="shared" si="53"/>
        <v>154720.209</v>
      </c>
      <c r="AV17" s="33">
        <f t="shared" si="53"/>
        <v>168166.00499999998</v>
      </c>
      <c r="AW17" s="33">
        <f t="shared" si="53"/>
        <v>178343.86639999997</v>
      </c>
      <c r="AX17" s="33">
        <f t="shared" si="53"/>
        <v>188814.3027</v>
      </c>
      <c r="AY17" s="33">
        <f t="shared" si="53"/>
        <v>196716.14130000002</v>
      </c>
      <c r="AZ17" s="33">
        <f t="shared" si="53"/>
        <v>207050.63259999998</v>
      </c>
      <c r="BA17" s="33">
        <f t="shared" si="53"/>
        <v>216594.54690000002</v>
      </c>
    </row>
    <row r="18" spans="1:58" x14ac:dyDescent="0.25">
      <c r="A18" s="42">
        <v>1</v>
      </c>
      <c r="B18" s="337" t="s">
        <v>230</v>
      </c>
      <c r="C18" s="47">
        <f>C32-C17</f>
        <v>143278.43765302945</v>
      </c>
      <c r="D18" s="47">
        <f t="shared" ref="D18:J18" si="54">D32-D17</f>
        <v>157617.76456359189</v>
      </c>
      <c r="E18" s="47">
        <f>E32-E17</f>
        <v>181287.82526987884</v>
      </c>
      <c r="F18" s="47">
        <f>F32-F17</f>
        <v>204962.86733045068</v>
      </c>
      <c r="G18" s="47">
        <f t="shared" si="54"/>
        <v>233000.50636751752</v>
      </c>
      <c r="H18" s="47">
        <f>H32-H17</f>
        <v>269234.28210280155</v>
      </c>
      <c r="I18" s="47">
        <f t="shared" si="54"/>
        <v>304009.81742832542</v>
      </c>
      <c r="J18" s="47">
        <f t="shared" si="54"/>
        <v>345901.63725261181</v>
      </c>
      <c r="K18" s="47">
        <f>K32-K17</f>
        <v>390205.99244832667</v>
      </c>
      <c r="M18" s="2" t="s">
        <v>715</v>
      </c>
      <c r="T18" s="2" t="s">
        <v>715</v>
      </c>
      <c r="AW18" s="337" t="s">
        <v>230</v>
      </c>
      <c r="AX18" s="289"/>
      <c r="AY18" s="223"/>
      <c r="AZ18" s="223"/>
    </row>
    <row r="19" spans="1:58" ht="15.75" x14ac:dyDescent="0.25">
      <c r="B19" s="304" t="s">
        <v>668</v>
      </c>
      <c r="C19" s="85">
        <f>'3_In &amp; SA'!C68+689.2</f>
        <v>14524.861000000001</v>
      </c>
      <c r="D19" s="434">
        <f>'3_In &amp; SA'!D68+3879.8</f>
        <v>19301.089799999998</v>
      </c>
      <c r="E19" s="434">
        <f>'3_In &amp; SA'!E68+(16396.7555*13.5/100)</f>
        <v>18610.317492500002</v>
      </c>
      <c r="F19" s="434">
        <f>'3_In &amp; SA'!F68+(18024.8889*13.7/100)</f>
        <v>20494.298679299998</v>
      </c>
      <c r="G19" s="434">
        <f>'3_In &amp; SA'!G68+(19040.9628*13.5/100)</f>
        <v>21611.492778</v>
      </c>
      <c r="H19" s="434">
        <f>'3_In &amp; SA'!H68+(20076.5768*8.2/100)</f>
        <v>21722.856097599997</v>
      </c>
      <c r="I19" s="434">
        <f>'3_In &amp; SA'!I68+(21031.3856*4.5/100)</f>
        <v>21977.797952000001</v>
      </c>
      <c r="J19" s="85">
        <f>'3_In &amp; SA'!J68</f>
        <v>22429.217100000002</v>
      </c>
      <c r="K19" s="85">
        <f>'3_In &amp; SA'!K68</f>
        <v>23764.345399999998</v>
      </c>
      <c r="L19" s="4"/>
      <c r="M19" s="25" t="s">
        <v>668</v>
      </c>
      <c r="N19" s="133" t="s">
        <v>818</v>
      </c>
      <c r="O19" s="133"/>
      <c r="P19" s="133"/>
      <c r="Q19" s="133"/>
      <c r="R19" s="133"/>
      <c r="S19" s="133"/>
      <c r="T19" s="133"/>
      <c r="X19" s="225" t="s">
        <v>819</v>
      </c>
      <c r="Y19" s="225"/>
      <c r="Z19" s="225"/>
      <c r="AA19" s="225"/>
      <c r="AB19" s="225"/>
      <c r="AC19" s="225"/>
      <c r="AD19" s="225"/>
      <c r="AL19" t="s">
        <v>725</v>
      </c>
      <c r="AW19" s="304" t="s">
        <v>668</v>
      </c>
      <c r="AX19" s="289"/>
      <c r="AY19" s="223"/>
      <c r="AZ19" s="223"/>
    </row>
    <row r="20" spans="1:58" x14ac:dyDescent="0.25">
      <c r="B20" s="18"/>
      <c r="C20" s="6">
        <v>2024</v>
      </c>
      <c r="D20" s="6">
        <f t="shared" ref="D20" si="55">C20+1</f>
        <v>2025</v>
      </c>
      <c r="E20" s="6">
        <f t="shared" ref="E20" si="56">D20+1</f>
        <v>2026</v>
      </c>
      <c r="F20" s="6">
        <f t="shared" ref="F20" si="57">E20+1</f>
        <v>2027</v>
      </c>
      <c r="G20" s="6">
        <f t="shared" ref="G20" si="58">F20+1</f>
        <v>2028</v>
      </c>
      <c r="H20" s="6">
        <f t="shared" ref="H20" si="59">G20+1</f>
        <v>2029</v>
      </c>
      <c r="I20" s="19">
        <f t="shared" ref="I20" si="60">H20+1</f>
        <v>2030</v>
      </c>
      <c r="J20" s="27">
        <f t="shared" ref="J20" si="61">I20+1</f>
        <v>2031</v>
      </c>
      <c r="K20" s="27">
        <f t="shared" ref="K20" si="62">J20+1</f>
        <v>2032</v>
      </c>
      <c r="M20" s="18"/>
      <c r="N20" s="27">
        <v>2024</v>
      </c>
      <c r="O20" s="27">
        <v>2025</v>
      </c>
      <c r="P20" s="27">
        <v>2026</v>
      </c>
      <c r="Q20" s="27">
        <v>2027</v>
      </c>
      <c r="R20" s="19">
        <v>2028</v>
      </c>
      <c r="S20" s="27">
        <v>2029</v>
      </c>
      <c r="T20" s="6">
        <v>2030</v>
      </c>
      <c r="U20" s="479"/>
      <c r="V20" s="479"/>
      <c r="W20" s="479"/>
      <c r="X20" s="208">
        <v>2026</v>
      </c>
      <c r="Y20" s="208">
        <v>2027</v>
      </c>
      <c r="Z20" s="208">
        <v>2028</v>
      </c>
      <c r="AA20" s="208">
        <v>2029</v>
      </c>
      <c r="AB20" s="208">
        <v>2030</v>
      </c>
      <c r="AC20" s="208">
        <v>2031</v>
      </c>
      <c r="AD20" s="208">
        <v>2032</v>
      </c>
      <c r="AO20" s="92">
        <v>2025</v>
      </c>
      <c r="AP20" s="92">
        <v>2026</v>
      </c>
      <c r="AQ20" s="92">
        <v>2027</v>
      </c>
      <c r="AR20" s="92">
        <v>2028</v>
      </c>
      <c r="AS20" s="92">
        <v>2029</v>
      </c>
      <c r="AT20" s="92">
        <v>2030</v>
      </c>
      <c r="AU20" s="92">
        <v>2031</v>
      </c>
      <c r="AV20" s="92">
        <v>2032</v>
      </c>
      <c r="AW20" s="18"/>
      <c r="AX20" s="6">
        <v>2024</v>
      </c>
      <c r="AY20" s="6">
        <f t="shared" ref="AY20" si="63">AX20+1</f>
        <v>2025</v>
      </c>
      <c r="AZ20" s="6">
        <f t="shared" ref="AZ20" si="64">AY20+1</f>
        <v>2026</v>
      </c>
      <c r="BA20" s="6">
        <f t="shared" ref="BA20" si="65">AZ20+1</f>
        <v>2027</v>
      </c>
      <c r="BB20" s="6">
        <f t="shared" ref="BB20" si="66">BA20+1</f>
        <v>2028</v>
      </c>
      <c r="BC20" s="6">
        <f t="shared" ref="BC20" si="67">BB20+1</f>
        <v>2029</v>
      </c>
      <c r="BD20" s="19">
        <f t="shared" ref="BD20" si="68">BC20+1</f>
        <v>2030</v>
      </c>
      <c r="BE20" s="27">
        <f t="shared" ref="BE20" si="69">BD20+1</f>
        <v>2031</v>
      </c>
      <c r="BF20" s="27">
        <f t="shared" ref="BF20" si="70">BE20+1</f>
        <v>2032</v>
      </c>
    </row>
    <row r="21" spans="1:58" ht="15.75" x14ac:dyDescent="0.25">
      <c r="B21" s="12" t="s">
        <v>231</v>
      </c>
      <c r="C21" s="217">
        <f>$L$21*C33/100</f>
        <v>79304.264727356232</v>
      </c>
      <c r="D21" s="217">
        <f>($L$21*D33/100)-3466.2</f>
        <v>84653.535307823593</v>
      </c>
      <c r="E21" s="217">
        <f>$AH$21*E33/100</f>
        <v>95155.449822395924</v>
      </c>
      <c r="F21" s="217">
        <f>$AI$21*F33/100</f>
        <v>104590.96592645653</v>
      </c>
      <c r="G21" s="446">
        <f>($AJ$21*G33/100)+2151.7</f>
        <v>114715.95317271228</v>
      </c>
      <c r="H21" s="446">
        <f>($AK$21*H33/100)+5511.3</f>
        <v>125434.6797080495</v>
      </c>
      <c r="I21" s="446">
        <f>($AL$21*I33/100)+9979.4</f>
        <v>136949.66739357862</v>
      </c>
      <c r="J21" s="446">
        <f>($AM$21*J33/100)+14018.1</f>
        <v>148095.66964185712</v>
      </c>
      <c r="K21" s="446">
        <f>($AN$21*K33/100)+17692.2</f>
        <v>159589.18615032511</v>
      </c>
      <c r="L21" s="129">
        <v>27.53387307192704</v>
      </c>
      <c r="M21" s="12" t="s">
        <v>231</v>
      </c>
      <c r="N21" s="45">
        <f>E21/D21*100</f>
        <v>112.40576010958605</v>
      </c>
      <c r="O21" s="45">
        <f>F21/E21*100</f>
        <v>109.91589669500974</v>
      </c>
      <c r="P21" s="45">
        <f t="shared" ref="P21:T21" si="71">G21/F21*100</f>
        <v>109.68055620919992</v>
      </c>
      <c r="Q21" s="45">
        <f t="shared" si="71"/>
        <v>109.34371047695475</v>
      </c>
      <c r="R21" s="45">
        <f t="shared" si="71"/>
        <v>109.18006703754526</v>
      </c>
      <c r="S21" s="45">
        <f t="shared" si="71"/>
        <v>108.1387581732828</v>
      </c>
      <c r="T21" s="206">
        <f t="shared" si="71"/>
        <v>107.76087277653899</v>
      </c>
      <c r="U21" s="479" t="s">
        <v>231</v>
      </c>
      <c r="V21" s="479"/>
      <c r="W21" s="479"/>
      <c r="X21" s="122">
        <f>E21/D21*100/'1_Prices'!E3</f>
        <v>108.92031018370741</v>
      </c>
      <c r="Y21" s="122">
        <f>F21/E21*100/'1_Prices'!F3</f>
        <v>108.61254614131397</v>
      </c>
      <c r="Z21" s="122">
        <f>G21/F21*100/'1_Prices'!G3</f>
        <v>108.27300711668305</v>
      </c>
      <c r="AA21" s="122">
        <f>H21/G21*100/'1_Prices'!H3</f>
        <v>108.15401629768029</v>
      </c>
      <c r="AB21" s="122">
        <f>I21/H21*100/'1_Prices'!I3</f>
        <v>108.31355856899332</v>
      </c>
      <c r="AC21" s="122">
        <f>J21/I21*100/'1_Prices'!J3</f>
        <v>107.60075440127642</v>
      </c>
      <c r="AD21" s="122">
        <f>K21/J21*100/'1_Prices'!K3</f>
        <v>107.54578121411076</v>
      </c>
      <c r="AF21" s="129">
        <v>27.53387307192704</v>
      </c>
      <c r="AG21" s="129">
        <v>27.53387307192704</v>
      </c>
      <c r="AH21" s="430">
        <f>AZ21/AZ32*100+0.333</f>
        <v>27.653646812889171</v>
      </c>
      <c r="AI21" s="430">
        <f>BA21/BA32*100+1.5</f>
        <v>27.425170906796897</v>
      </c>
      <c r="AJ21" s="432">
        <f>BB21/BB32*100+2.5+0.43635</f>
        <v>27.863477094534485</v>
      </c>
      <c r="AK21" s="432">
        <f>BC21/BC32*100+2.5+0.62436</f>
        <v>27.894885605244269</v>
      </c>
      <c r="AL21" s="432">
        <f>BD21/BD32*100+3.5+0.63202</f>
        <v>28.017579502120437</v>
      </c>
      <c r="AM21" s="432">
        <f>BE21/BE32*100+4.1+0.2876</f>
        <v>27.687103046281056</v>
      </c>
      <c r="AN21" s="432">
        <f>BF21/BF32*100+5+0.43977</f>
        <v>28.761629915348657</v>
      </c>
      <c r="AO21" s="4">
        <f t="shared" ref="AO21:AU21" si="72">D21-C21</f>
        <v>5349.2705804673606</v>
      </c>
      <c r="AP21" s="4">
        <f t="shared" si="72"/>
        <v>10501.914514572331</v>
      </c>
      <c r="AQ21" s="4">
        <f t="shared" si="72"/>
        <v>9435.5161040606035</v>
      </c>
      <c r="AR21" s="4">
        <f t="shared" si="72"/>
        <v>10124.987246255754</v>
      </c>
      <c r="AS21" s="4">
        <f t="shared" si="72"/>
        <v>10718.72653533722</v>
      </c>
      <c r="AT21" s="4">
        <f t="shared" si="72"/>
        <v>11514.987685529122</v>
      </c>
      <c r="AU21" s="4">
        <f t="shared" si="72"/>
        <v>11146.002248278499</v>
      </c>
      <c r="AW21" s="12" t="s">
        <v>231</v>
      </c>
      <c r="AX21" s="338">
        <v>77989.179999999906</v>
      </c>
      <c r="AY21" s="338">
        <v>87034.98</v>
      </c>
      <c r="AZ21" s="338">
        <v>91015.24</v>
      </c>
      <c r="BA21" s="338">
        <v>95492.76</v>
      </c>
      <c r="BB21" s="338">
        <v>97449.91</v>
      </c>
      <c r="BC21" s="338">
        <v>102734.39999999999</v>
      </c>
      <c r="BD21" s="338">
        <v>103766.2</v>
      </c>
      <c r="BE21" s="338">
        <v>108226.8</v>
      </c>
      <c r="BF21" s="338">
        <v>115059.6</v>
      </c>
    </row>
    <row r="22" spans="1:58" ht="15.75" x14ac:dyDescent="0.25">
      <c r="B22" s="41" t="s">
        <v>716</v>
      </c>
      <c r="C22" s="67">
        <f>C23+C24+C25</f>
        <v>82558.514317880763</v>
      </c>
      <c r="D22" s="67">
        <f t="shared" ref="D22:K22" si="73">D23+D24+D25</f>
        <v>91735.727632177033</v>
      </c>
      <c r="E22" s="67">
        <f t="shared" si="73"/>
        <v>99935.216621873406</v>
      </c>
      <c r="F22" s="67">
        <f t="shared" si="73"/>
        <v>104885.60973515622</v>
      </c>
      <c r="G22" s="67">
        <f t="shared" si="73"/>
        <v>131605.53347201648</v>
      </c>
      <c r="H22" s="67">
        <f t="shared" si="73"/>
        <v>164803.16089586611</v>
      </c>
      <c r="I22" s="67">
        <f t="shared" si="73"/>
        <v>167868.3449500881</v>
      </c>
      <c r="J22" s="67">
        <f t="shared" si="73"/>
        <v>171881.64341150748</v>
      </c>
      <c r="K22" s="67">
        <f t="shared" si="73"/>
        <v>172763.32641509699</v>
      </c>
      <c r="L22" s="428">
        <f>L23+L24+L25</f>
        <v>28.663725236598385</v>
      </c>
      <c r="M22" s="41" t="s">
        <v>716</v>
      </c>
      <c r="N22" s="55">
        <f t="shared" ref="N22:N31" si="74">E22/D22*100</f>
        <v>108.93816313592997</v>
      </c>
      <c r="O22" s="55">
        <f t="shared" ref="O22:T32" si="75">F22/E22*100</f>
        <v>104.95360222414256</v>
      </c>
      <c r="P22" s="55">
        <f t="shared" si="75"/>
        <v>125.4753</v>
      </c>
      <c r="Q22" s="55">
        <f t="shared" si="75"/>
        <v>125.2251</v>
      </c>
      <c r="R22" s="55">
        <f t="shared" si="75"/>
        <v>101.85990610711573</v>
      </c>
      <c r="S22" s="55">
        <f t="shared" si="75"/>
        <v>102.39074166282668</v>
      </c>
      <c r="T22" s="207">
        <f t="shared" si="75"/>
        <v>100.5129593748872</v>
      </c>
      <c r="U22" s="480" t="s">
        <v>813</v>
      </c>
      <c r="V22" s="480"/>
      <c r="W22" s="480"/>
      <c r="X22" s="135">
        <f>E22/D22*100/'1_Prices'!E2</f>
        <v>118.02617891216681</v>
      </c>
      <c r="Y22" s="135">
        <f>F22/E22*100/'1_Prices'!F2</f>
        <v>112.37002379458517</v>
      </c>
      <c r="Z22" s="135">
        <f>G22/F22*100/'1_Prices'!G2</f>
        <v>139.24680945511042</v>
      </c>
      <c r="AA22" s="135">
        <f>H22/G22*100/'1_Prices'!H2</f>
        <v>139.13745402828857</v>
      </c>
      <c r="AB22" s="135">
        <f>I22/H22*100/'1_Prices'!I2</f>
        <v>115.7498933035406</v>
      </c>
      <c r="AC22" s="135">
        <f>J22/I22*100/'1_Prices'!J2</f>
        <v>110.0857345047056</v>
      </c>
      <c r="AD22" s="135">
        <f>K22/J22*100/'1_Prices'!K2</f>
        <v>118.25054044104377</v>
      </c>
      <c r="AF22" s="428">
        <f t="shared" ref="AF22:AL22" si="76">AF23+AF24+AF25</f>
        <v>28.663725236598385</v>
      </c>
      <c r="AG22" s="428">
        <f t="shared" si="76"/>
        <v>28.663725236598385</v>
      </c>
      <c r="AH22" s="44">
        <f t="shared" si="76"/>
        <v>29.042721040034646</v>
      </c>
      <c r="AI22" s="44">
        <f t="shared" si="76"/>
        <v>29.131003136701555</v>
      </c>
      <c r="AJ22" s="44">
        <f t="shared" si="76"/>
        <v>29.295532944759493</v>
      </c>
      <c r="AK22" s="44">
        <f t="shared" si="76"/>
        <v>29.300173235567001</v>
      </c>
      <c r="AL22" s="44">
        <f t="shared" si="76"/>
        <v>29.109622541471968</v>
      </c>
      <c r="AM22" s="44">
        <f t="shared" ref="AM22:AN22" si="77">AM23+AM24+AM25</f>
        <v>29.928651867008462</v>
      </c>
      <c r="AN22" s="44">
        <f t="shared" si="77"/>
        <v>29.55562001959813</v>
      </c>
      <c r="AO22" s="4">
        <f>D22-C22</f>
        <v>9177.2133142962703</v>
      </c>
      <c r="AP22" s="4">
        <f t="shared" ref="AP22:AP32" si="78">E22-D22</f>
        <v>8199.4889896963723</v>
      </c>
      <c r="AQ22" s="4">
        <f t="shared" ref="AQ22:AQ32" si="79">F22-E22</f>
        <v>4950.3931132828147</v>
      </c>
      <c r="AR22" s="4">
        <f t="shared" ref="AR22:AR32" si="80">G22-F22</f>
        <v>26719.923736860263</v>
      </c>
      <c r="AS22" s="4">
        <f t="shared" ref="AS22:AS32" si="81">H22-G22</f>
        <v>33197.627423849626</v>
      </c>
      <c r="AT22" s="4">
        <f t="shared" ref="AT22:AT32" si="82">I22-H22</f>
        <v>3065.184054221987</v>
      </c>
      <c r="AU22" s="4">
        <f t="shared" ref="AU22:AU32" si="83">J22-I22</f>
        <v>4013.2984614193847</v>
      </c>
      <c r="AW22" s="41" t="s">
        <v>716</v>
      </c>
      <c r="AX22" s="296">
        <f>AX23+AX24+AX25</f>
        <v>79678.936999999991</v>
      </c>
      <c r="AY22" s="296">
        <f t="shared" ref="AY22:BF22" si="84">AY23+AY24+AY25</f>
        <v>88903.85</v>
      </c>
      <c r="AZ22" s="296">
        <f t="shared" si="84"/>
        <v>96752.110000000015</v>
      </c>
      <c r="BA22" s="296">
        <f t="shared" si="84"/>
        <v>109039.15000000001</v>
      </c>
      <c r="BB22" s="296">
        <f t="shared" si="84"/>
        <v>118703.06</v>
      </c>
      <c r="BC22" s="296">
        <f t="shared" si="84"/>
        <v>127673.28</v>
      </c>
      <c r="BD22" s="296">
        <f t="shared" si="84"/>
        <v>133393.60999999999</v>
      </c>
      <c r="BE22" s="296">
        <f t="shared" si="84"/>
        <v>140971.17999999991</v>
      </c>
      <c r="BF22" s="296">
        <f t="shared" si="84"/>
        <v>148230.6999999999</v>
      </c>
    </row>
    <row r="23" spans="1:58" ht="15.75" x14ac:dyDescent="0.25">
      <c r="B23" s="12" t="s">
        <v>233</v>
      </c>
      <c r="C23" s="217">
        <f>$L$23*C33/100</f>
        <v>13541.152411486481</v>
      </c>
      <c r="D23" s="217">
        <f>$L$23*D33/100</f>
        <v>15046.38836720055</v>
      </c>
      <c r="E23" s="263">
        <v>26754.531741408598</v>
      </c>
      <c r="F23" s="263">
        <v>29788.941652044599</v>
      </c>
      <c r="G23" s="263">
        <v>40744.261742567498</v>
      </c>
      <c r="H23" s="263">
        <v>48047.334517555704</v>
      </c>
      <c r="I23" s="263">
        <v>49097.703591928599</v>
      </c>
      <c r="J23" s="263">
        <v>50969.757410491104</v>
      </c>
      <c r="K23" s="263">
        <v>50646.668382270698</v>
      </c>
      <c r="L23" s="129">
        <v>4.7013911928607186</v>
      </c>
      <c r="M23" s="12" t="s">
        <v>233</v>
      </c>
      <c r="N23" s="45">
        <f>E23/D23*100</f>
        <v>177.81364596257859</v>
      </c>
      <c r="O23" s="45">
        <f t="shared" si="75"/>
        <v>111.34166704902397</v>
      </c>
      <c r="P23" s="45">
        <f t="shared" si="75"/>
        <v>136.77646630917138</v>
      </c>
      <c r="Q23" s="45">
        <f t="shared" si="75"/>
        <v>117.92417499458172</v>
      </c>
      <c r="R23" s="45">
        <f t="shared" si="75"/>
        <v>102.18611310059065</v>
      </c>
      <c r="S23" s="45">
        <f t="shared" si="75"/>
        <v>103.81291523147786</v>
      </c>
      <c r="T23" s="206">
        <f t="shared" si="75"/>
        <v>99.366116213545283</v>
      </c>
      <c r="U23" s="479" t="s">
        <v>233</v>
      </c>
      <c r="V23" s="479"/>
      <c r="W23" s="479"/>
      <c r="X23" s="122">
        <f>E23/D23*100/'1_Prices'!E6</f>
        <v>170.71169790628147</v>
      </c>
      <c r="Y23" s="122">
        <f>F23/E23*100/'1_Prices'!F6</f>
        <v>123.02946635251267</v>
      </c>
      <c r="Z23" s="122">
        <f>G23/F23*100/'1_Prices'!G6</f>
        <v>146.28499070499612</v>
      </c>
      <c r="AA23" s="122">
        <f>H23/G23*100/'1_Prices'!H6</f>
        <v>126.12211229367028</v>
      </c>
      <c r="AB23" s="122">
        <f>I23/H23*100/'1_Prices'!I6</f>
        <v>109.28996053539106</v>
      </c>
      <c r="AC23" s="122">
        <f>J23/I23*100/'1_Prices'!J6</f>
        <v>114.71040357069377</v>
      </c>
      <c r="AD23" s="122">
        <f>K23/J23*100/'1_Prices'!K6</f>
        <v>110.28425772868511</v>
      </c>
      <c r="AF23" s="129">
        <v>4.7013911928607186</v>
      </c>
      <c r="AG23" s="129">
        <v>4.7013911928607186</v>
      </c>
      <c r="AH23" s="430">
        <f>AZ23/$AZ$32*100+0.7</f>
        <v>5.8862804829654438</v>
      </c>
      <c r="AI23" s="429">
        <f t="shared" ref="AI23" si="85">BA23/$AZ$32*100</f>
        <v>5.582249461609222</v>
      </c>
      <c r="AJ23" s="430">
        <f>BB23/$AZ$32*100-0.4</f>
        <v>5.4971377343115613</v>
      </c>
      <c r="AK23" s="430">
        <f>BC23/$AZ$32*100-0.6</f>
        <v>5.6053800967197862</v>
      </c>
      <c r="AL23" s="430">
        <f>BD23/$AZ$32*100-1</f>
        <v>5.5493434765173371</v>
      </c>
      <c r="AM23" s="430">
        <f>BE23/$AZ$32*100-1.4</f>
        <v>5.5797727307602329</v>
      </c>
      <c r="AN23" s="430">
        <f>BF23/$AZ$32*100-1.9</f>
        <v>5.4114198639738831</v>
      </c>
      <c r="AO23" s="4">
        <f t="shared" ref="AO23:AO32" si="86">D23-C23</f>
        <v>1505.2359557140699</v>
      </c>
      <c r="AP23" s="4">
        <f t="shared" si="78"/>
        <v>11708.143374208048</v>
      </c>
      <c r="AQ23" s="4">
        <f t="shared" si="79"/>
        <v>3034.4099106360009</v>
      </c>
      <c r="AR23" s="4">
        <f t="shared" si="80"/>
        <v>10955.320090522899</v>
      </c>
      <c r="AS23" s="4">
        <f t="shared" si="81"/>
        <v>7303.0727749882062</v>
      </c>
      <c r="AT23" s="4">
        <f t="shared" si="82"/>
        <v>1050.3690743728948</v>
      </c>
      <c r="AU23" s="4">
        <f t="shared" si="83"/>
        <v>1872.0538185625046</v>
      </c>
      <c r="AW23" s="12" t="s">
        <v>233</v>
      </c>
      <c r="AX23" s="338">
        <v>12664.64</v>
      </c>
      <c r="AY23" s="338">
        <v>16086.69</v>
      </c>
      <c r="AZ23" s="338">
        <v>17277.43</v>
      </c>
      <c r="BA23" s="338">
        <v>18596.55</v>
      </c>
      <c r="BB23" s="338">
        <v>19645.560000000001</v>
      </c>
      <c r="BC23" s="338">
        <v>20672.43</v>
      </c>
      <c r="BD23" s="338">
        <v>21818.3</v>
      </c>
      <c r="BE23" s="338">
        <v>23252.22</v>
      </c>
      <c r="BF23" s="338">
        <v>24357.06</v>
      </c>
    </row>
    <row r="24" spans="1:58" ht="15.75" x14ac:dyDescent="0.25">
      <c r="B24" s="12" t="s">
        <v>234</v>
      </c>
      <c r="C24" s="217">
        <f>$L$24*C33/100</f>
        <v>58669.419129507041</v>
      </c>
      <c r="D24" s="217">
        <f>$L$24*D33/100</f>
        <v>65191.118058150765</v>
      </c>
      <c r="E24" s="263">
        <v>60065.504064839799</v>
      </c>
      <c r="F24" s="263">
        <v>60339.771492344902</v>
      </c>
      <c r="G24" s="263">
        <v>73035.004445359795</v>
      </c>
      <c r="H24" s="263">
        <v>95177.148102100706</v>
      </c>
      <c r="I24" s="263">
        <v>96446.384445458607</v>
      </c>
      <c r="J24" s="263">
        <v>97338.682046175294</v>
      </c>
      <c r="K24" s="263">
        <v>97988.816588533999</v>
      </c>
      <c r="L24" s="129">
        <v>20.369602379760789</v>
      </c>
      <c r="M24" s="12" t="s">
        <v>234</v>
      </c>
      <c r="N24" s="45">
        <f>E24/D24*100</f>
        <v>92.137557774758676</v>
      </c>
      <c r="O24" s="45">
        <f t="shared" si="75"/>
        <v>100.45661387809055</v>
      </c>
      <c r="P24" s="45">
        <f t="shared" si="75"/>
        <v>121.03957744458063</v>
      </c>
      <c r="Q24" s="45">
        <f t="shared" si="75"/>
        <v>130.31716616558336</v>
      </c>
      <c r="R24" s="45">
        <f t="shared" si="75"/>
        <v>101.33355156008281</v>
      </c>
      <c r="S24" s="45">
        <f t="shared" si="75"/>
        <v>100.92517475470663</v>
      </c>
      <c r="T24" s="206">
        <f t="shared" si="75"/>
        <v>100.6679097442991</v>
      </c>
      <c r="U24" s="479" t="s">
        <v>234</v>
      </c>
      <c r="V24" s="479"/>
      <c r="W24" s="479"/>
      <c r="X24" s="122">
        <f>E24/D24*100/'1_Prices'!E7</f>
        <v>88.396104265612365</v>
      </c>
      <c r="Y24" s="122">
        <f>F24/E24*100/'1_Prices'!F7</f>
        <v>95.143064037712392</v>
      </c>
      <c r="Z24" s="122">
        <f>G24/F24*100/'1_Prices'!G7</f>
        <v>119.95993800255762</v>
      </c>
      <c r="AA24" s="122">
        <f>H24/G24*100/'1_Prices'!H7</f>
        <v>129.15477320672287</v>
      </c>
      <c r="AB24" s="122">
        <f>I24/H24*100/'1_Prices'!I7</f>
        <v>100.42968440047851</v>
      </c>
      <c r="AC24" s="122">
        <f>J24/I24*100/'1_Prices'!J7</f>
        <v>110.90678544473256</v>
      </c>
      <c r="AD24" s="122">
        <f>K24/J24*100/'1_Prices'!K7</f>
        <v>110.98997766736395</v>
      </c>
      <c r="AF24" s="129">
        <v>20.369602379760789</v>
      </c>
      <c r="AG24" s="129">
        <v>20.369602379760789</v>
      </c>
      <c r="AH24" s="430">
        <f>AZ24/$AZ$32*100-0.7</f>
        <v>19.344965976901623</v>
      </c>
      <c r="AI24" s="431">
        <f>BA24/$AZ$32*100-2.3</f>
        <v>19.679295089727709</v>
      </c>
      <c r="AJ24" s="432">
        <f>BB24/$AZ$32*100-4.6-0.43635</f>
        <v>19.385788400103291</v>
      </c>
      <c r="AK24" s="432">
        <f>BC24/$AZ$32*100-6.9-0.62436</f>
        <v>19.140677067849825</v>
      </c>
      <c r="AL24" s="432">
        <f>BD24/$AZ$32*100-8.1-0.63202</f>
        <v>19.0754772640102</v>
      </c>
      <c r="AM24" s="432">
        <f>BE24/$AZ$32*100-9.1-0.2876</f>
        <v>19.480997589975562</v>
      </c>
      <c r="AN24" s="432">
        <f>BF24/$AZ$32*100-9.7-0.3-0.43977</f>
        <v>19.253637888559805</v>
      </c>
      <c r="AO24" s="4">
        <f t="shared" si="86"/>
        <v>6521.6989286437238</v>
      </c>
      <c r="AP24" s="4">
        <f t="shared" si="78"/>
        <v>-5125.6139933109662</v>
      </c>
      <c r="AQ24" s="4">
        <f t="shared" si="79"/>
        <v>274.26742750510311</v>
      </c>
      <c r="AR24" s="4">
        <f t="shared" si="80"/>
        <v>12695.232953014893</v>
      </c>
      <c r="AS24" s="4">
        <f t="shared" si="81"/>
        <v>22142.143656740911</v>
      </c>
      <c r="AT24" s="4">
        <f t="shared" si="82"/>
        <v>1269.2363433579012</v>
      </c>
      <c r="AU24" s="4">
        <f t="shared" si="83"/>
        <v>892.29760071668716</v>
      </c>
      <c r="AW24" s="12" t="s">
        <v>234</v>
      </c>
      <c r="AX24" s="338">
        <v>57016.34</v>
      </c>
      <c r="AY24" s="338">
        <v>61135.58</v>
      </c>
      <c r="AZ24" s="338">
        <v>66777.240000000005</v>
      </c>
      <c r="BA24" s="338">
        <v>73221.210000000006</v>
      </c>
      <c r="BB24" s="338">
        <v>81359.23</v>
      </c>
      <c r="BC24" s="338">
        <v>88831.16</v>
      </c>
      <c r="BD24" s="338">
        <v>92637.119999999995</v>
      </c>
      <c r="BE24" s="338">
        <v>96172.039999999906</v>
      </c>
      <c r="BF24" s="338">
        <v>98919.789999999906</v>
      </c>
    </row>
    <row r="25" spans="1:58" ht="15.75" x14ac:dyDescent="0.25">
      <c r="B25" s="12" t="s">
        <v>235</v>
      </c>
      <c r="C25" s="217">
        <f>$L$25*C33/100</f>
        <v>10347.942776887236</v>
      </c>
      <c r="D25" s="217">
        <f>$L$25*D33/100</f>
        <v>11498.221206825718</v>
      </c>
      <c r="E25" s="217">
        <f>$AH$25*E33/100</f>
        <v>13115.180815625006</v>
      </c>
      <c r="F25" s="217">
        <f>$AI$25*F33/100</f>
        <v>14756.896590766721</v>
      </c>
      <c r="G25" s="217">
        <f>$AJ$25*G33/100</f>
        <v>17826.26728408919</v>
      </c>
      <c r="H25" s="263">
        <v>21578.678276209699</v>
      </c>
      <c r="I25" s="263">
        <v>22324.256912700901</v>
      </c>
      <c r="J25" s="263">
        <v>23573.203954841065</v>
      </c>
      <c r="K25" s="217">
        <f>$AN$25*K33/100</f>
        <v>24127.841444292273</v>
      </c>
      <c r="L25" s="129">
        <f>3.48434345706365+0.108388206913228</f>
        <v>3.592731663976878</v>
      </c>
      <c r="M25" s="12" t="s">
        <v>235</v>
      </c>
      <c r="N25" s="45">
        <f t="shared" si="74"/>
        <v>114.06269352201545</v>
      </c>
      <c r="O25" s="45">
        <f t="shared" si="75"/>
        <v>112.51767549545202</v>
      </c>
      <c r="P25" s="45">
        <f t="shared" si="75"/>
        <v>120.7995676763294</v>
      </c>
      <c r="Q25" s="45">
        <f t="shared" si="75"/>
        <v>121.04989750417194</v>
      </c>
      <c r="R25" s="45">
        <f t="shared" si="75"/>
        <v>103.45516359689739</v>
      </c>
      <c r="S25" s="45">
        <f t="shared" si="75"/>
        <v>105.59457386207379</v>
      </c>
      <c r="T25" s="206">
        <f t="shared" si="75"/>
        <v>102.35283031748132</v>
      </c>
      <c r="U25" s="479" t="s">
        <v>235</v>
      </c>
      <c r="V25" s="479"/>
      <c r="W25" s="479"/>
      <c r="X25" s="122">
        <f>E25/D25*100/'1_Prices'!E8</f>
        <v>110.1922992047479</v>
      </c>
      <c r="Y25" s="122">
        <f>F25/E25*100/'1_Prices'!F8</f>
        <v>106.82274150057346</v>
      </c>
      <c r="Z25" s="122">
        <f>G25/F25*100/'1_Prices'!G8</f>
        <v>114.80382320559404</v>
      </c>
      <c r="AA25" s="122">
        <f>H25/G25*100/'1_Prices'!H8</f>
        <v>111.48493594024286</v>
      </c>
      <c r="AB25" s="122">
        <f>I25/H25*100/'1_Prices'!I8</f>
        <v>101.42663097735038</v>
      </c>
      <c r="AC25" s="122">
        <f>J25/I25*100/'1_Prices'!J8</f>
        <v>98.099023662100038</v>
      </c>
      <c r="AD25" s="122">
        <f>K25/J25*100/'1_Prices'!K8</f>
        <v>102.35283031748132</v>
      </c>
      <c r="AF25" s="129">
        <f>3.48434345706365+0.108388206913228</f>
        <v>3.592731663976878</v>
      </c>
      <c r="AG25" s="129">
        <f>3.48434345706365+0.108388206913228</f>
        <v>3.592731663976878</v>
      </c>
      <c r="AH25" s="429">
        <f>AZ25/$AZ$32*100</f>
        <v>3.8114745801675793</v>
      </c>
      <c r="AI25" s="431">
        <f>BA25/$AZ$32*100-1.3</f>
        <v>3.8694585853646215</v>
      </c>
      <c r="AJ25" s="430">
        <f>BB25/$AZ$32*100-0.9</f>
        <v>4.4126068103446414</v>
      </c>
      <c r="AK25" s="430">
        <f>BC25/$AZ$32*100-0.9</f>
        <v>4.5541160709973862</v>
      </c>
      <c r="AL25" s="430">
        <f>BD25/$AZ$32*100-1.2</f>
        <v>4.4848018009444308</v>
      </c>
      <c r="AM25" s="430">
        <f>BE25/$AZ$32*100-1.9+0.3</f>
        <v>4.8678815462726677</v>
      </c>
      <c r="AN25" s="430">
        <f>BF25/$AZ$32*100-2.6</f>
        <v>4.8905622670644426</v>
      </c>
      <c r="AO25" s="4">
        <f t="shared" si="86"/>
        <v>1150.2784299384821</v>
      </c>
      <c r="AP25" s="4">
        <f t="shared" si="78"/>
        <v>1616.9596087992886</v>
      </c>
      <c r="AQ25" s="4">
        <f t="shared" si="79"/>
        <v>1641.7157751417144</v>
      </c>
      <c r="AR25" s="4">
        <f t="shared" si="80"/>
        <v>3069.3706933224694</v>
      </c>
      <c r="AS25" s="4">
        <f t="shared" si="81"/>
        <v>3752.410992120509</v>
      </c>
      <c r="AT25" s="4">
        <f t="shared" si="82"/>
        <v>745.57863649120191</v>
      </c>
      <c r="AU25" s="4">
        <f t="shared" si="83"/>
        <v>1248.9470421401638</v>
      </c>
      <c r="AW25" s="12" t="s">
        <v>235</v>
      </c>
      <c r="AX25" s="338">
        <v>9997.9570000000003</v>
      </c>
      <c r="AY25" s="338">
        <v>11681.58</v>
      </c>
      <c r="AZ25" s="338">
        <v>12697.44</v>
      </c>
      <c r="BA25" s="338">
        <v>17221.39</v>
      </c>
      <c r="BB25" s="338">
        <v>17698.27</v>
      </c>
      <c r="BC25" s="338">
        <v>18169.689999999999</v>
      </c>
      <c r="BD25" s="338">
        <v>18938.189999999999</v>
      </c>
      <c r="BE25" s="338">
        <v>21546.92</v>
      </c>
      <c r="BF25" s="338">
        <v>24953.85</v>
      </c>
    </row>
    <row r="26" spans="1:58" ht="15.75" x14ac:dyDescent="0.25">
      <c r="B26" s="12" t="s">
        <v>236</v>
      </c>
      <c r="C26" s="217">
        <f>$L$26*C33/100</f>
        <v>34159.194306709374</v>
      </c>
      <c r="D26" s="217">
        <f>$L$26*D33/100</f>
        <v>37956.334012859239</v>
      </c>
      <c r="E26" s="217">
        <f>$AH$26*E33/100</f>
        <v>42970.896127707216</v>
      </c>
      <c r="F26" s="217">
        <f>$AI$26*F33/100</f>
        <v>47069.925399269516</v>
      </c>
      <c r="G26" s="217">
        <f>$AJ$26*G33/100</f>
        <v>49542.699234590589</v>
      </c>
      <c r="H26" s="217">
        <f>$AK$26*H33/100</f>
        <v>53161.455136613476</v>
      </c>
      <c r="I26" s="217">
        <f>$AL$26*I33/100</f>
        <v>55601.085535905193</v>
      </c>
      <c r="J26" s="217">
        <f>$AM$26*J33/100</f>
        <v>59731.327816611963</v>
      </c>
      <c r="K26" s="217">
        <f>$AN$26*K33/100</f>
        <v>59181.626747202594</v>
      </c>
      <c r="L26" s="129">
        <v>11.8598277597521</v>
      </c>
      <c r="M26" s="12" t="s">
        <v>236</v>
      </c>
      <c r="N26" s="45">
        <f t="shared" si="74"/>
        <v>113.21139737349</v>
      </c>
      <c r="O26" s="45">
        <f t="shared" si="75"/>
        <v>109.53908259064508</v>
      </c>
      <c r="P26" s="45">
        <f t="shared" si="75"/>
        <v>105.25340504440112</v>
      </c>
      <c r="Q26" s="45">
        <f t="shared" si="75"/>
        <v>107.30431720098181</v>
      </c>
      <c r="R26" s="45">
        <f t="shared" si="75"/>
        <v>104.58909635378188</v>
      </c>
      <c r="S26" s="45">
        <f t="shared" si="75"/>
        <v>107.4283482793508</v>
      </c>
      <c r="T26" s="206">
        <f t="shared" si="75"/>
        <v>99.079710615010825</v>
      </c>
      <c r="U26" s="479" t="s">
        <v>236</v>
      </c>
      <c r="V26" s="479"/>
      <c r="W26" s="479"/>
      <c r="X26" s="122">
        <f>E26/D26*100/'1_Prices'!E9</f>
        <v>106.80320506933019</v>
      </c>
      <c r="Y26" s="122">
        <f>F26/E26*100/'1_Prices'!F9</f>
        <v>102.37297438378044</v>
      </c>
      <c r="Z26" s="122">
        <f>G26/F26*100/'1_Prices'!G9</f>
        <v>100.72096176497716</v>
      </c>
      <c r="AA26" s="122">
        <f>H26/G26*100/'1_Prices'!H9</f>
        <v>105.09727443778827</v>
      </c>
      <c r="AB26" s="122">
        <f>I26/H26*100/'1_Prices'!I9</f>
        <v>101.05226700848492</v>
      </c>
      <c r="AC26" s="122">
        <f>J26/I26*100/'1_Prices'!J9</f>
        <v>102.8022471572735</v>
      </c>
      <c r="AD26" s="122">
        <f>K26/J26*100/'1_Prices'!K9</f>
        <v>93.914417644560032</v>
      </c>
      <c r="AF26" s="129">
        <v>11.8598277597521</v>
      </c>
      <c r="AG26" s="129">
        <v>12.8598277597521</v>
      </c>
      <c r="AH26" s="429">
        <f t="shared" ref="AH26:AH31" si="87">AZ26/$AZ$32*100</f>
        <v>12.488007643985533</v>
      </c>
      <c r="AI26" s="431">
        <f>BA26/$AZ$32*100-1</f>
        <v>12.342373332251734</v>
      </c>
      <c r="AJ26" s="430">
        <f>BB26/$AZ$32*100-2</f>
        <v>12.263501301841968</v>
      </c>
      <c r="AK26" s="430">
        <f>BC26/$AZ$32*100-2.2</f>
        <v>12.365668089527841</v>
      </c>
      <c r="AL26" s="430">
        <f>BD26/$AZ$32*100-3.1</f>
        <v>12.269075795340154</v>
      </c>
      <c r="AM26" s="430">
        <f>BE26/$AZ$32*100-3.9</f>
        <v>12.334557023723383</v>
      </c>
      <c r="AN26" s="430">
        <f>BF26/$AZ$32*100-5</f>
        <v>11.995744888394448</v>
      </c>
      <c r="AO26" s="4">
        <f t="shared" si="86"/>
        <v>3797.1397061498647</v>
      </c>
      <c r="AP26" s="4">
        <f t="shared" si="78"/>
        <v>5014.5621148479768</v>
      </c>
      <c r="AQ26" s="4">
        <f t="shared" si="79"/>
        <v>4099.0292715623</v>
      </c>
      <c r="AR26" s="4">
        <f t="shared" si="80"/>
        <v>2472.7738353210734</v>
      </c>
      <c r="AS26" s="4">
        <f t="shared" si="81"/>
        <v>3618.7559020228873</v>
      </c>
      <c r="AT26" s="4">
        <f t="shared" si="82"/>
        <v>2439.6303992917165</v>
      </c>
      <c r="AU26" s="4">
        <f t="shared" si="83"/>
        <v>4130.2422807067705</v>
      </c>
      <c r="AW26" s="12" t="s">
        <v>236</v>
      </c>
      <c r="AX26" s="338">
        <v>31675.93</v>
      </c>
      <c r="AY26" s="338">
        <v>37514.720000000001</v>
      </c>
      <c r="AZ26" s="338">
        <v>41602.199999999997</v>
      </c>
      <c r="BA26" s="338">
        <v>44448.41</v>
      </c>
      <c r="BB26" s="338">
        <v>47517.03</v>
      </c>
      <c r="BC26" s="338">
        <v>48523.66</v>
      </c>
      <c r="BD26" s="338">
        <v>51200.11</v>
      </c>
      <c r="BE26" s="338">
        <v>54083.35</v>
      </c>
      <c r="BF26" s="338">
        <v>56619.15</v>
      </c>
    </row>
    <row r="27" spans="1:58" ht="15.75" x14ac:dyDescent="0.25">
      <c r="B27" s="12" t="s">
        <v>237</v>
      </c>
      <c r="C27" s="217">
        <f>$L$27*C33/100</f>
        <v>19057.625774844215</v>
      </c>
      <c r="D27" s="217">
        <f>$L$27*D33/100</f>
        <v>21176.073501826831</v>
      </c>
      <c r="E27" s="217">
        <f>$AH$27*E33/100</f>
        <v>23239.738288615616</v>
      </c>
      <c r="F27" s="217">
        <f>$AI$27*F33/100</f>
        <v>24685.35856479796</v>
      </c>
      <c r="G27" s="217">
        <f>$AJ$27*G33/100</f>
        <v>23922.206712844894</v>
      </c>
      <c r="H27" s="217">
        <f>$AK$27*H33/100</f>
        <v>24763.195879534207</v>
      </c>
      <c r="I27" s="217">
        <f>$AL$27*I33/100</f>
        <v>27771.050133563058</v>
      </c>
      <c r="J27" s="217">
        <f>$AM$27*J33/100</f>
        <v>28480.445370891852</v>
      </c>
      <c r="K27" s="217">
        <f>$AN$27*K33/100</f>
        <v>26957.450705802603</v>
      </c>
      <c r="L27" s="129">
        <f>4.36947866818869+2.24719259080148</f>
        <v>6.6166712589901699</v>
      </c>
      <c r="M27" s="12" t="s">
        <v>237</v>
      </c>
      <c r="N27" s="45">
        <f t="shared" si="74"/>
        <v>109.74526645183185</v>
      </c>
      <c r="O27" s="45">
        <f t="shared" si="75"/>
        <v>106.22046710780089</v>
      </c>
      <c r="P27" s="45">
        <f t="shared" si="75"/>
        <v>96.908483828785279</v>
      </c>
      <c r="Q27" s="45">
        <f t="shared" si="75"/>
        <v>103.51551667780609</v>
      </c>
      <c r="R27" s="45">
        <f t="shared" si="75"/>
        <v>112.14647038557217</v>
      </c>
      <c r="S27" s="45">
        <f t="shared" si="75"/>
        <v>102.55444152783926</v>
      </c>
      <c r="T27" s="206">
        <f t="shared" si="75"/>
        <v>94.652489997063711</v>
      </c>
      <c r="U27" s="479" t="s">
        <v>237</v>
      </c>
      <c r="V27" s="479"/>
      <c r="W27" s="479"/>
      <c r="X27" s="122">
        <f>E27/D27*100/'1_Prices'!E10</f>
        <v>104.59879646801269</v>
      </c>
      <c r="Y27" s="122">
        <f>F27/E27*100/'1_Prices'!F10</f>
        <v>97.626862533306578</v>
      </c>
      <c r="Z27" s="122">
        <f>G27/F27*100/'1_Prices'!G10</f>
        <v>88.56179987588294</v>
      </c>
      <c r="AA27" s="122">
        <f>H27/G27*100/'1_Prices'!H10</f>
        <v>90.307817720541451</v>
      </c>
      <c r="AB27" s="122">
        <f>I27/H27*100/'1_Prices'!I10</f>
        <v>103.03526773068332</v>
      </c>
      <c r="AC27" s="122">
        <f>J27/I27*100/'1_Prices'!J10</f>
        <v>92.750693251188636</v>
      </c>
      <c r="AD27" s="122">
        <f>K27/J27*100/'1_Prices'!K10</f>
        <v>84.334951972721029</v>
      </c>
      <c r="AF27" s="129">
        <f>4.36947866818869+2.24719259080148</f>
        <v>6.6166712589901699</v>
      </c>
      <c r="AG27" s="129">
        <f>4.36947866818869+2.24719259080148</f>
        <v>6.6166712589901699</v>
      </c>
      <c r="AH27" s="430">
        <f>AZ27/$AZ$32*100-0.333</f>
        <v>6.7538277193461962</v>
      </c>
      <c r="AI27" s="431">
        <f>BA27/$AZ$32*100-2.3-0.4</f>
        <v>6.4728360765994024</v>
      </c>
      <c r="AJ27" s="430">
        <f>BB27/$AZ$32*100-3.8</f>
        <v>5.9215589319581481</v>
      </c>
      <c r="AK27" s="430">
        <f>BC27/$AZ$32*100-3.5-1.2</f>
        <v>5.760065451470072</v>
      </c>
      <c r="AL27" s="430">
        <f>BD27/$AZ$32*100-4.5-0.8</f>
        <v>6.1280299785666648</v>
      </c>
      <c r="AM27" s="430">
        <f>BE27/$AZ$32*100-7</f>
        <v>5.8812300065863496</v>
      </c>
      <c r="AN27" s="430">
        <f>BF27/$AZ$32*100-9</f>
        <v>5.4641063330277966</v>
      </c>
      <c r="AO27" s="4">
        <f t="shared" si="86"/>
        <v>2118.4477269826166</v>
      </c>
      <c r="AP27" s="4">
        <f t="shared" si="78"/>
        <v>2063.6647867887841</v>
      </c>
      <c r="AQ27" s="4">
        <f t="shared" si="79"/>
        <v>1445.6202761823442</v>
      </c>
      <c r="AR27" s="4">
        <f t="shared" si="80"/>
        <v>-763.15185195306549</v>
      </c>
      <c r="AS27" s="4">
        <f t="shared" si="81"/>
        <v>840.9891666893127</v>
      </c>
      <c r="AT27" s="4">
        <f t="shared" si="82"/>
        <v>3007.8542540288508</v>
      </c>
      <c r="AU27" s="4">
        <f t="shared" si="83"/>
        <v>709.39523732879388</v>
      </c>
      <c r="AW27" s="12" t="s">
        <v>237</v>
      </c>
      <c r="AX27" s="338">
        <v>18362.16</v>
      </c>
      <c r="AY27" s="338">
        <v>20607.32</v>
      </c>
      <c r="AZ27" s="338">
        <v>23608.86</v>
      </c>
      <c r="BA27" s="338">
        <v>30558.13</v>
      </c>
      <c r="BB27" s="338">
        <v>32386.13</v>
      </c>
      <c r="BC27" s="338">
        <v>34846.370000000003</v>
      </c>
      <c r="BD27" s="338">
        <v>38071.019999999997</v>
      </c>
      <c r="BE27" s="338">
        <v>42912.17</v>
      </c>
      <c r="BF27" s="338">
        <v>48185.32</v>
      </c>
    </row>
    <row r="28" spans="1:58" ht="15.75" x14ac:dyDescent="0.25">
      <c r="B28" s="12" t="s">
        <v>238</v>
      </c>
      <c r="C28" s="217">
        <f>$L$28*C33/100</f>
        <v>33894.282922536164</v>
      </c>
      <c r="D28" s="217">
        <f>$L$28*D33/100</f>
        <v>37661.975050782894</v>
      </c>
      <c r="E28" s="217">
        <f>$AH$28*E33/100</f>
        <v>37276.913083264342</v>
      </c>
      <c r="F28" s="217">
        <f>$AI$28*F33/100</f>
        <v>42283.057711420617</v>
      </c>
      <c r="G28" s="217">
        <f>$AJ$28*G33/100</f>
        <v>47203.223400329261</v>
      </c>
      <c r="H28" s="217">
        <f>$AK$28*H33/100</f>
        <v>48741.301645571744</v>
      </c>
      <c r="I28" s="217">
        <f>$AL$28*I33/100</f>
        <v>52069.930188123959</v>
      </c>
      <c r="J28" s="217">
        <f>$AM$28*J33/100</f>
        <v>55534.443611810726</v>
      </c>
      <c r="K28" s="217">
        <f>$AN$28*K33/100</f>
        <v>55226.440174567935</v>
      </c>
      <c r="L28" s="129">
        <f>8.84253063267223+2.92532179066877</f>
        <v>11.767852423340999</v>
      </c>
      <c r="M28" s="12" t="s">
        <v>238</v>
      </c>
      <c r="N28" s="45">
        <f t="shared" si="74"/>
        <v>98.977584242463806</v>
      </c>
      <c r="O28" s="45">
        <f t="shared" si="75"/>
        <v>113.42961155869907</v>
      </c>
      <c r="P28" s="45">
        <f t="shared" si="75"/>
        <v>111.63625800784911</v>
      </c>
      <c r="Q28" s="45">
        <f t="shared" si="75"/>
        <v>103.25841782498217</v>
      </c>
      <c r="R28" s="45">
        <f t="shared" si="75"/>
        <v>106.82917449918907</v>
      </c>
      <c r="S28" s="45">
        <f t="shared" si="75"/>
        <v>106.65357800782485</v>
      </c>
      <c r="T28" s="206">
        <f t="shared" si="75"/>
        <v>99.445383050209784</v>
      </c>
      <c r="U28" s="479" t="s">
        <v>238</v>
      </c>
      <c r="V28" s="479"/>
      <c r="W28" s="479"/>
      <c r="X28" s="122">
        <f>E28/D28*100/'1_Prices'!E11</f>
        <v>97.008885911770335</v>
      </c>
      <c r="Y28" s="122">
        <f>F28/E28*100/'1_Prices'!F11</f>
        <v>108.52005571796271</v>
      </c>
      <c r="Z28" s="122">
        <f>G28/F28*100/'1_Prices'!G11</f>
        <v>105.81866524848324</v>
      </c>
      <c r="AA28" s="122">
        <f>H28/G28*100/'1_Prices'!H11</f>
        <v>98.38867057487856</v>
      </c>
      <c r="AB28" s="122">
        <f>I28/H28*100/'1_Prices'!I11</f>
        <v>100.83284676761266</v>
      </c>
      <c r="AC28" s="122">
        <f>J28/I28*100/'1_Prices'!J11</f>
        <v>99.704288783877388</v>
      </c>
      <c r="AD28" s="122">
        <f>K28/J28*100/'1_Prices'!K11</f>
        <v>92.028953727239042</v>
      </c>
      <c r="AF28" s="129">
        <f>8.84253063267223+2.92532179066877</f>
        <v>11.767852423340999</v>
      </c>
      <c r="AG28" s="129">
        <f>8.84253063267223+2.92532179066877</f>
        <v>11.767852423340999</v>
      </c>
      <c r="AH28" s="429">
        <f t="shared" si="87"/>
        <v>10.833248023138859</v>
      </c>
      <c r="AI28" s="431">
        <f>BA28/$AZ$32*100-1.1</f>
        <v>11.087191651074889</v>
      </c>
      <c r="AJ28" s="430">
        <f>BB28/$AZ$32*100-2+0.6</f>
        <v>11.684401547845111</v>
      </c>
      <c r="AK28" s="430">
        <f>BC28/$AZ$32*100-2.1</f>
        <v>11.337514310920199</v>
      </c>
      <c r="AL28" s="430">
        <f>BD28/$AZ$32*100-3.1+0.5</f>
        <v>11.489882148499001</v>
      </c>
      <c r="AM28" s="430">
        <f>BE28/$AZ$32*100-4.1</f>
        <v>11.467897777422685</v>
      </c>
      <c r="AN28" s="430">
        <f>BF28/$AZ$32*100-4.9</f>
        <v>11.194053354736644</v>
      </c>
      <c r="AO28" s="4">
        <f t="shared" si="86"/>
        <v>3767.6921282467301</v>
      </c>
      <c r="AP28" s="4">
        <f t="shared" si="78"/>
        <v>-385.06196751855168</v>
      </c>
      <c r="AQ28" s="4">
        <f t="shared" si="79"/>
        <v>5006.1446281562748</v>
      </c>
      <c r="AR28" s="4">
        <f t="shared" si="80"/>
        <v>4920.1656889086444</v>
      </c>
      <c r="AS28" s="4">
        <f t="shared" si="81"/>
        <v>1538.0782452424828</v>
      </c>
      <c r="AT28" s="4">
        <f t="shared" si="82"/>
        <v>3328.6285425522146</v>
      </c>
      <c r="AU28" s="4">
        <f t="shared" si="83"/>
        <v>3464.5134236867671</v>
      </c>
      <c r="AW28" s="12" t="s">
        <v>238</v>
      </c>
      <c r="AX28" s="338">
        <v>33468</v>
      </c>
      <c r="AY28" s="338">
        <v>35260.35</v>
      </c>
      <c r="AZ28" s="338">
        <v>36089.58</v>
      </c>
      <c r="BA28" s="338">
        <v>40600.07</v>
      </c>
      <c r="BB28" s="338">
        <v>43589.01</v>
      </c>
      <c r="BC28" s="338">
        <v>44765.36</v>
      </c>
      <c r="BD28" s="338">
        <v>46938.64</v>
      </c>
      <c r="BE28" s="338">
        <v>51862.46</v>
      </c>
      <c r="BF28" s="338">
        <v>53615.28</v>
      </c>
    </row>
    <row r="29" spans="1:58" ht="15.75" x14ac:dyDescent="0.25">
      <c r="B29" s="12" t="s">
        <v>239</v>
      </c>
      <c r="C29" s="217">
        <f>$L$29*C33/100</f>
        <v>15006.718716439011</v>
      </c>
      <c r="D29" s="217">
        <f t="shared" ref="D29" si="88">$L$29*D33/100</f>
        <v>16674.867179941284</v>
      </c>
      <c r="E29" s="217">
        <f>$AH$29*E33/100</f>
        <v>17400.371424896126</v>
      </c>
      <c r="F29" s="217">
        <f>$AI$29*F33/100</f>
        <v>20406.362762085966</v>
      </c>
      <c r="G29" s="217">
        <f>$AJ$29*G33/100</f>
        <v>19035.321878368977</v>
      </c>
      <c r="H29" s="217">
        <f>$AK$29*H33/100</f>
        <v>22601.41837081574</v>
      </c>
      <c r="I29" s="217">
        <f>$AL$29*I33/100</f>
        <v>21569.294610640496</v>
      </c>
      <c r="J29" s="217">
        <f>$AM$29*J33/100</f>
        <v>23903.532106266903</v>
      </c>
      <c r="K29" s="217">
        <f>$AN$29*K33/100</f>
        <v>23971.414896315327</v>
      </c>
      <c r="L29" s="129">
        <f>2.58276023010352+1.93584008592331+0.466027115327302+0.225597892404672</f>
        <v>5.210225323758805</v>
      </c>
      <c r="M29" s="12" t="s">
        <v>239</v>
      </c>
      <c r="N29" s="45">
        <f t="shared" si="74"/>
        <v>104.35088470046449</v>
      </c>
      <c r="O29" s="45">
        <f t="shared" si="75"/>
        <v>117.27544351661898</v>
      </c>
      <c r="P29" s="45">
        <f t="shared" si="75"/>
        <v>93.281306915388583</v>
      </c>
      <c r="Q29" s="45">
        <f t="shared" si="75"/>
        <v>118.73410134713372</v>
      </c>
      <c r="R29" s="45">
        <f t="shared" si="75"/>
        <v>95.43336730800938</v>
      </c>
      <c r="S29" s="45">
        <f t="shared" si="75"/>
        <v>110.82203909660953</v>
      </c>
      <c r="T29" s="206">
        <f t="shared" si="75"/>
        <v>100.28398644077636</v>
      </c>
      <c r="U29" s="479" t="s">
        <v>239</v>
      </c>
      <c r="V29" s="479"/>
      <c r="W29" s="479"/>
      <c r="X29" s="122">
        <f>E29/D29*100/'1_Prices'!E12</f>
        <v>97.787578037728238</v>
      </c>
      <c r="Y29" s="122">
        <f>F29/E29*100/'1_Prices'!F12</f>
        <v>107.44123943032216</v>
      </c>
      <c r="Z29" s="122">
        <f>G29/F29*100/'1_Prices'!G12</f>
        <v>84.074175777628881</v>
      </c>
      <c r="AA29" s="122">
        <f>H29/G29*100/'1_Prices'!H12</f>
        <v>104.92854743284664</v>
      </c>
      <c r="AB29" s="122">
        <f>I29/H29*100/'1_Prices'!I12</f>
        <v>82.894208995836223</v>
      </c>
      <c r="AC29" s="122">
        <f>J29/I29*100/'1_Prices'!J12</f>
        <v>92.38626710878448</v>
      </c>
      <c r="AD29" s="122">
        <f>K29/J29*100/'1_Prices'!K12</f>
        <v>83.560240005979608</v>
      </c>
      <c r="AF29" s="129">
        <f>2.58276023010352+1.93584008592331+0.466027115327302+0.225597892404672</f>
        <v>5.210225323758805</v>
      </c>
      <c r="AG29" s="129">
        <f>2.58276023010352+1.93584008592331+0.466027115327302+0.225597892404672</f>
        <v>5.210225323758805</v>
      </c>
      <c r="AH29" s="429">
        <f t="shared" si="87"/>
        <v>5.0568173099415521</v>
      </c>
      <c r="AI29" s="429">
        <f t="shared" ref="AI29:AI31" si="89">BA29/$AZ$32*100</f>
        <v>5.3508252971850547</v>
      </c>
      <c r="AJ29" s="430">
        <f>BB29/$AZ$32*100-0.9</f>
        <v>4.7118889007438618</v>
      </c>
      <c r="AK29" s="430">
        <f>BC29/$AZ$32*100-1.1+0.5</f>
        <v>5.2572232495866977</v>
      </c>
      <c r="AL29" s="430">
        <f>BD29/$AZ$32*100-1.5</f>
        <v>4.7595349601417061</v>
      </c>
      <c r="AM29" s="430">
        <f>BE29/$AZ$32*100-1.7</f>
        <v>4.9360945187485612</v>
      </c>
      <c r="AN29" s="430">
        <f>BF29/$AZ$32*100-2</f>
        <v>4.8588555860142746</v>
      </c>
      <c r="AO29" s="4">
        <f t="shared" si="86"/>
        <v>1668.1484635022734</v>
      </c>
      <c r="AP29" s="4">
        <f t="shared" si="78"/>
        <v>725.50424495484185</v>
      </c>
      <c r="AQ29" s="4">
        <f t="shared" si="79"/>
        <v>3005.9913371898401</v>
      </c>
      <c r="AR29" s="4">
        <f t="shared" si="80"/>
        <v>-1371.0408837169889</v>
      </c>
      <c r="AS29" s="4">
        <f t="shared" si="81"/>
        <v>3566.0964924467626</v>
      </c>
      <c r="AT29" s="4">
        <f t="shared" si="82"/>
        <v>-1032.1237601752437</v>
      </c>
      <c r="AU29" s="4">
        <f t="shared" si="83"/>
        <v>2334.2374956264066</v>
      </c>
      <c r="AW29" s="12" t="s">
        <v>239</v>
      </c>
      <c r="AX29" s="338">
        <v>14788.22</v>
      </c>
      <c r="AY29" s="338">
        <v>16646.490000000002</v>
      </c>
      <c r="AZ29" s="338">
        <v>16846.14</v>
      </c>
      <c r="BA29" s="338">
        <v>17825.59</v>
      </c>
      <c r="BB29" s="338">
        <v>18695.29</v>
      </c>
      <c r="BC29" s="338">
        <v>19512.59</v>
      </c>
      <c r="BD29" s="338">
        <v>20852.84</v>
      </c>
      <c r="BE29" s="338">
        <v>22107.3</v>
      </c>
      <c r="BF29" s="338">
        <v>22849.4</v>
      </c>
    </row>
    <row r="30" spans="1:58" ht="15.75" x14ac:dyDescent="0.25">
      <c r="B30" s="12" t="s">
        <v>240</v>
      </c>
      <c r="C30" s="217">
        <f>$L$30*C33/100</f>
        <v>20128.001386708311</v>
      </c>
      <c r="D30" s="217">
        <f t="shared" ref="D30" si="90">$L$30*D33/100</f>
        <v>22365.432181611395</v>
      </c>
      <c r="E30" s="217">
        <f>$AH$30*E33/100</f>
        <v>22757.07143090494</v>
      </c>
      <c r="F30" s="217">
        <f>$AI$30*F33/100</f>
        <v>24760.11234654293</v>
      </c>
      <c r="G30" s="217">
        <f>$AJ$30*G33/100</f>
        <v>27371.146840786929</v>
      </c>
      <c r="H30" s="217">
        <f>$AK$30*H33/100</f>
        <v>27450.700303684636</v>
      </c>
      <c r="I30" s="217">
        <f>$AL$30*I33/100</f>
        <v>29116.061265782242</v>
      </c>
      <c r="J30" s="217">
        <f>$AM$30*J33/100</f>
        <v>30250.570536824962</v>
      </c>
      <c r="K30" s="217">
        <f>$AN$30*K33/100</f>
        <v>32176.379160420565</v>
      </c>
      <c r="L30" s="129">
        <f>1.79416924867713+3.24177036882918+1.51008952219217+0.442268870232184</f>
        <v>6.9882980099306646</v>
      </c>
      <c r="M30" s="12" t="s">
        <v>240</v>
      </c>
      <c r="N30" s="45">
        <f t="shared" si="74"/>
        <v>101.75109180146111</v>
      </c>
      <c r="O30" s="45">
        <f t="shared" si="75"/>
        <v>108.80183955883615</v>
      </c>
      <c r="P30" s="45">
        <f t="shared" si="75"/>
        <v>110.54532571460062</v>
      </c>
      <c r="Q30" s="45">
        <f t="shared" si="75"/>
        <v>100.29064716710796</v>
      </c>
      <c r="R30" s="45">
        <f t="shared" si="75"/>
        <v>106.06673397645186</v>
      </c>
      <c r="S30" s="45">
        <f t="shared" si="75"/>
        <v>103.89650667611426</v>
      </c>
      <c r="T30" s="206">
        <f t="shared" si="75"/>
        <v>106.36618942856386</v>
      </c>
      <c r="U30" s="479" t="s">
        <v>240</v>
      </c>
      <c r="V30" s="479"/>
      <c r="W30" s="479"/>
      <c r="X30" s="122">
        <f>E30/D30*100/'1_Prices'!E13</f>
        <v>97.818871005895133</v>
      </c>
      <c r="Y30" s="122">
        <f>F30/E30*100/'1_Prices'!F13</f>
        <v>105.59635655912727</v>
      </c>
      <c r="Z30" s="122">
        <f>G30/F30*100/'1_Prices'!G13</f>
        <v>106.2904141459251</v>
      </c>
      <c r="AA30" s="122">
        <f>H30/G30*100/'1_Prices'!H13</f>
        <v>95.453084828023719</v>
      </c>
      <c r="AB30" s="122">
        <f>I30/H30*100/'1_Prices'!I13</f>
        <v>99.989285230836387</v>
      </c>
      <c r="AC30" s="122">
        <f>J30/I30*100/'1_Prices'!J13</f>
        <v>97.005253469631626</v>
      </c>
      <c r="AD30" s="122">
        <f>K30/J30*100/'1_Prices'!K13</f>
        <v>97.489122409336872</v>
      </c>
      <c r="AF30" s="129">
        <f>1.79416924867713+3.24177036882918+1.51008952219217+0.442268870232184</f>
        <v>6.9882980099306646</v>
      </c>
      <c r="AG30" s="129">
        <f>1.79416924867713+3.24177036882918+1.51008952219217+0.442268870232184</f>
        <v>6.9882980099306646</v>
      </c>
      <c r="AH30" s="429">
        <f t="shared" si="87"/>
        <v>6.6135572583654465</v>
      </c>
      <c r="AI30" s="431">
        <f>BA30/$AZ$32*100-0.9</f>
        <v>6.4924375328258108</v>
      </c>
      <c r="AJ30" s="430">
        <f>BB30/$AZ$32*100-1</f>
        <v>6.7752887933190555</v>
      </c>
      <c r="AK30" s="430">
        <f>BC30/$AZ$32*100-2.5</f>
        <v>6.3851948353964669</v>
      </c>
      <c r="AL30" s="430">
        <f>BD30/$AZ$32*100-3.5</f>
        <v>6.4248235279680888</v>
      </c>
      <c r="AM30" s="430">
        <f>BE30/$AZ$32*100-4.6</f>
        <v>6.2467619744234604</v>
      </c>
      <c r="AN30" s="430">
        <f>BF30/$AZ$32*100-5.5</f>
        <v>6.5219504271044926</v>
      </c>
      <c r="AO30" s="4">
        <f t="shared" si="86"/>
        <v>2237.4307949030845</v>
      </c>
      <c r="AP30" s="4">
        <f t="shared" si="78"/>
        <v>391.63924929354471</v>
      </c>
      <c r="AQ30" s="4">
        <f t="shared" si="79"/>
        <v>2003.0409156379901</v>
      </c>
      <c r="AR30" s="4">
        <f t="shared" si="80"/>
        <v>2611.0344942439988</v>
      </c>
      <c r="AS30" s="4">
        <f t="shared" si="81"/>
        <v>79.553462897707504</v>
      </c>
      <c r="AT30" s="4">
        <f t="shared" si="82"/>
        <v>1665.3609620976058</v>
      </c>
      <c r="AU30" s="4">
        <f t="shared" si="83"/>
        <v>1134.5092710427198</v>
      </c>
      <c r="AW30" s="12" t="s">
        <v>240</v>
      </c>
      <c r="AX30" s="338">
        <v>19870.87</v>
      </c>
      <c r="AY30" s="338">
        <v>20162.73</v>
      </c>
      <c r="AZ30" s="338">
        <v>22032.22</v>
      </c>
      <c r="BA30" s="338">
        <v>24626.959999999999</v>
      </c>
      <c r="BB30" s="338">
        <v>25902.38</v>
      </c>
      <c r="BC30" s="338">
        <v>29599.89</v>
      </c>
      <c r="BD30" s="338">
        <v>33063.279999999999</v>
      </c>
      <c r="BE30" s="338">
        <v>36134.6</v>
      </c>
      <c r="BF30" s="338">
        <v>40049.589999999997</v>
      </c>
    </row>
    <row r="31" spans="1:58" ht="15.75" x14ac:dyDescent="0.25">
      <c r="B31" s="20" t="s">
        <v>242</v>
      </c>
      <c r="C31" s="217">
        <f>$L$31*C33/100</f>
        <v>3915.7688475258301</v>
      </c>
      <c r="D31" s="217">
        <f t="shared" ref="D31" si="91">$L$31*D33/100</f>
        <v>4351.046132977629</v>
      </c>
      <c r="E31" s="217">
        <f>$AH$31*E33/100</f>
        <v>5361.6352003422426</v>
      </c>
      <c r="F31" s="217">
        <f>$AI$31*F33/100</f>
        <v>6581.1907666183388</v>
      </c>
      <c r="G31" s="217">
        <f>$AJ$31*G33/100</f>
        <v>6100.5693867991913</v>
      </c>
      <c r="H31" s="217">
        <f>$AK$31*H33/100</f>
        <v>7428.6423356594159</v>
      </c>
      <c r="I31" s="217">
        <f>$AL$31*I33/100</f>
        <v>8360.086261955259</v>
      </c>
      <c r="J31" s="217">
        <f>$AM$31*J33/100</f>
        <v>7568.3758010289157</v>
      </c>
      <c r="K31" s="217">
        <f>$AN$31*K33/100</f>
        <v>8018.9040989411133</v>
      </c>
      <c r="L31" s="129">
        <f>1.04574938284795+0.313777532853857</f>
        <v>1.3595269157018071</v>
      </c>
      <c r="M31" s="20" t="s">
        <v>242</v>
      </c>
      <c r="N31" s="45">
        <f t="shared" si="74"/>
        <v>123.22634687104591</v>
      </c>
      <c r="O31" s="45">
        <f t="shared" si="75"/>
        <v>122.74596313822785</v>
      </c>
      <c r="P31" s="45">
        <f t="shared" si="75"/>
        <v>92.697045308928068</v>
      </c>
      <c r="Q31" s="45">
        <f t="shared" si="75"/>
        <v>121.76965566089611</v>
      </c>
      <c r="R31" s="45">
        <f t="shared" si="75"/>
        <v>112.53854855583327</v>
      </c>
      <c r="S31" s="45">
        <f t="shared" si="75"/>
        <v>90.529876892189179</v>
      </c>
      <c r="T31" s="206">
        <f t="shared" si="75"/>
        <v>105.95277388116679</v>
      </c>
      <c r="U31" s="479" t="s">
        <v>242</v>
      </c>
      <c r="V31" s="479"/>
      <c r="W31" s="479"/>
      <c r="X31" s="122">
        <f>E31/D31*100/'1_Prices'!E14</f>
        <v>122.96394181920371</v>
      </c>
      <c r="Y31" s="122">
        <f>F31/E31*100/'1_Prices'!F14</f>
        <v>119.11278497104115</v>
      </c>
      <c r="Z31" s="122">
        <f>G31/F31*100/'1_Prices'!G14</f>
        <v>89.993374362942191</v>
      </c>
      <c r="AA31" s="122">
        <f>H31/G31*100/'1_Prices'!H14</f>
        <v>116.97968836155549</v>
      </c>
      <c r="AB31" s="122">
        <f>I31/H31*100/'1_Prices'!I14</f>
        <v>108.62049855254445</v>
      </c>
      <c r="AC31" s="122">
        <f>J31/I31*100/'1_Prices'!J14</f>
        <v>86.517787531013497</v>
      </c>
      <c r="AD31" s="122">
        <f>K31/J31*100/'1_Prices'!K14</f>
        <v>99.835362070308634</v>
      </c>
      <c r="AF31" s="129">
        <f>1.04574938284795+0.313777532853857</f>
        <v>1.3595269157018071</v>
      </c>
      <c r="AG31" s="129">
        <f>1.04574938284795+0.313777532853857</f>
        <v>1.3595269157018071</v>
      </c>
      <c r="AH31" s="429">
        <f t="shared" si="87"/>
        <v>1.5581741922985675</v>
      </c>
      <c r="AI31" s="429">
        <f t="shared" si="89"/>
        <v>1.7256775472525416</v>
      </c>
      <c r="AJ31" s="430">
        <f>BB31/$AZ$32*100-0.5</f>
        <v>1.5100981935347186</v>
      </c>
      <c r="AK31" s="430">
        <f>BC31/$AZ$32*100-0.4</f>
        <v>1.727946032374744</v>
      </c>
      <c r="AL31" s="430">
        <f>BD31/$AZ$32*100-0.3</f>
        <v>1.8447577239705983</v>
      </c>
      <c r="AM31" s="430">
        <f>BE31/$AZ$32*100-0.9</f>
        <v>1.5628743961857294</v>
      </c>
      <c r="AN31" s="430">
        <f>BF31/$AZ$32*100-1</f>
        <v>1.6253816115310653</v>
      </c>
      <c r="AO31" s="4">
        <f t="shared" si="86"/>
        <v>435.27728545179889</v>
      </c>
      <c r="AP31" s="4">
        <f t="shared" si="78"/>
        <v>1010.5890673646136</v>
      </c>
      <c r="AQ31" s="4">
        <f t="shared" si="79"/>
        <v>1219.5555662760962</v>
      </c>
      <c r="AR31" s="4">
        <f t="shared" si="80"/>
        <v>-480.62137981914748</v>
      </c>
      <c r="AS31" s="4">
        <f t="shared" si="81"/>
        <v>1328.0729488602246</v>
      </c>
      <c r="AT31" s="4">
        <f t="shared" si="82"/>
        <v>931.44392629584308</v>
      </c>
      <c r="AU31" s="4">
        <f t="shared" si="83"/>
        <v>-791.71046092634333</v>
      </c>
      <c r="AW31" s="20" t="s">
        <v>242</v>
      </c>
      <c r="AX31" s="338">
        <v>3864.3989999999999</v>
      </c>
      <c r="AY31" s="338">
        <v>4185.875</v>
      </c>
      <c r="AZ31" s="338">
        <v>5190.8580000000002</v>
      </c>
      <c r="BA31" s="338">
        <v>5748.8739999999998</v>
      </c>
      <c r="BB31" s="338">
        <v>6696.3850000000002</v>
      </c>
      <c r="BC31" s="338">
        <v>7088.98</v>
      </c>
      <c r="BD31" s="338">
        <v>7144.9859999999999</v>
      </c>
      <c r="BE31" s="338">
        <v>8204.7510000000002</v>
      </c>
      <c r="BF31" s="338">
        <v>8746.1229999999996</v>
      </c>
    </row>
    <row r="32" spans="1:58" x14ac:dyDescent="0.25">
      <c r="B32" s="33">
        <f>SUM('[5]2024-Final'!$AF$6:$AF$15)</f>
        <v>284532.8</v>
      </c>
      <c r="C32" s="33">
        <f>C21+C23+C24+C25+C26+C27+C28+C29+C30+C31</f>
        <v>288024.37099999987</v>
      </c>
      <c r="D32" s="33">
        <f t="shared" ref="D32:K32" si="92">D21+D23+D24+D25+D26+D27+D28+D29+D30+D31</f>
        <v>316574.99099999986</v>
      </c>
      <c r="E32" s="33">
        <f t="shared" si="92"/>
        <v>344097.29199999984</v>
      </c>
      <c r="F32" s="33">
        <f>F21+F23+F24+F25+F26+F27+F28+F29+F30+F31</f>
        <v>375262.58321234817</v>
      </c>
      <c r="G32" s="33">
        <f>G21+G23+G24+G25+G26+G27+G28+G29+G30+G31</f>
        <v>419496.65409844852</v>
      </c>
      <c r="H32" s="33">
        <f>H21+H23+H24+H25+H26+H27+H28+H29+H30+H31</f>
        <v>474384.55427579471</v>
      </c>
      <c r="I32" s="33">
        <f>I21+I23+I24+I25+I26+I27+I28+I29+I30+I31</f>
        <v>499305.52033963689</v>
      </c>
      <c r="J32" s="33">
        <f t="shared" si="92"/>
        <v>525446.00829679985</v>
      </c>
      <c r="K32" s="33">
        <f t="shared" si="92"/>
        <v>537884.72834867227</v>
      </c>
      <c r="L32" s="224">
        <f>L21+L23+L24+L25+L26+L27+L28+L29+L30+L31</f>
        <v>99.999999999999957</v>
      </c>
      <c r="M32" s="53" t="s">
        <v>714</v>
      </c>
      <c r="N32" s="68">
        <f>E32/D32*100</f>
        <v>108.69376981203168</v>
      </c>
      <c r="O32" s="68">
        <f t="shared" si="75"/>
        <v>109.05711609388322</v>
      </c>
      <c r="P32" s="68">
        <f t="shared" si="75"/>
        <v>111.78749837179205</v>
      </c>
      <c r="Q32" s="68">
        <f t="shared" si="75"/>
        <v>113.0842283582231</v>
      </c>
      <c r="R32" s="68">
        <f t="shared" si="75"/>
        <v>105.25332577530628</v>
      </c>
      <c r="S32" s="68">
        <f t="shared" si="75"/>
        <v>105.23536930642821</v>
      </c>
      <c r="T32" s="68">
        <f t="shared" si="75"/>
        <v>102.36726892115743</v>
      </c>
      <c r="U32" s="209"/>
      <c r="V32" s="209"/>
      <c r="W32" s="209"/>
      <c r="X32" s="210">
        <f>GDP!W32/'2_Production_2'!D32*100</f>
        <v>104.53925680794005</v>
      </c>
      <c r="Y32" s="210">
        <f>GDP!Z32/'2_Production_2'!E32*100</f>
        <v>105.68778782348109</v>
      </c>
      <c r="Z32" s="210">
        <f>GDP!AC32/'2_Production_2'!F32*100</f>
        <v>109.13871416591057</v>
      </c>
      <c r="AA32" s="210">
        <f>GDP!AF32/'2_Production_2'!G32*100</f>
        <v>110.37275695268201</v>
      </c>
      <c r="AB32" s="210">
        <f>GDP!AI32/'2_Production_2'!H32*100</f>
        <v>102.97158428876978</v>
      </c>
      <c r="AC32" s="210">
        <f>GDP!AL32/I32*100</f>
        <v>104.70174831550172</v>
      </c>
      <c r="AD32" s="210">
        <f>GDP!AO32/J32*100</f>
        <v>101.98766835521963</v>
      </c>
      <c r="AF32" s="224">
        <f t="shared" ref="AF32:AL32" si="93">AF21+AF23+AF24+AF25+AF26+AF27+AF28+AF29+AF30+AF31</f>
        <v>99.999999999999957</v>
      </c>
      <c r="AG32" s="224">
        <f t="shared" si="93"/>
        <v>100.99999999999996</v>
      </c>
      <c r="AH32" s="224">
        <f t="shared" si="93"/>
        <v>99.999999999999972</v>
      </c>
      <c r="AI32" s="224">
        <f t="shared" si="93"/>
        <v>100.02751548068788</v>
      </c>
      <c r="AJ32" s="224">
        <f t="shared" si="93"/>
        <v>100.02574770853683</v>
      </c>
      <c r="AK32" s="224">
        <f t="shared" si="93"/>
        <v>100.02867081008728</v>
      </c>
      <c r="AL32" s="224">
        <f t="shared" si="93"/>
        <v>100.04330617807862</v>
      </c>
      <c r="AM32" s="224">
        <f t="shared" ref="AM32:AN32" si="94">AM21+AM23+AM24+AM25+AM26+AM27+AM28+AM29+AM30+AM31</f>
        <v>100.0451706103797</v>
      </c>
      <c r="AN32" s="224">
        <f t="shared" si="94"/>
        <v>99.977342135755507</v>
      </c>
      <c r="AO32" s="4">
        <f t="shared" si="86"/>
        <v>28550.619999999995</v>
      </c>
      <c r="AP32" s="4">
        <f t="shared" si="78"/>
        <v>27522.300999999978</v>
      </c>
      <c r="AQ32" s="4">
        <f t="shared" si="79"/>
        <v>31165.291212348326</v>
      </c>
      <c r="AR32" s="4">
        <f t="shared" si="80"/>
        <v>44234.070886100351</v>
      </c>
      <c r="AS32" s="4">
        <f t="shared" si="81"/>
        <v>54887.900177346193</v>
      </c>
      <c r="AT32" s="4">
        <f t="shared" si="82"/>
        <v>24920.966063842177</v>
      </c>
      <c r="AU32" s="4">
        <f t="shared" si="83"/>
        <v>26140.487957162957</v>
      </c>
      <c r="AX32" s="33">
        <f>AX21+AX23+AX24+AX25+AX26+AX27+AX28+AX29+AX30+AX31</f>
        <v>279697.69599999988</v>
      </c>
      <c r="AY32" s="33">
        <f t="shared" ref="AY32:AZ32" si="95">AY21+AY23+AY24+AY25+AY26+AY27+AY28+AY29+AY30+AY31</f>
        <v>310316.31499999994</v>
      </c>
      <c r="AZ32" s="33">
        <f t="shared" si="95"/>
        <v>333137.2080000001</v>
      </c>
      <c r="BA32" s="33">
        <f>BA21+BA23+BA24+BA25+BA26+BA27+BA28+BA29+BA30+BA31</f>
        <v>368339.94400000008</v>
      </c>
      <c r="BB32" s="33">
        <f t="shared" ref="BB32" si="96">BB21+BB23+BB24+BB25+BB26+BB27+BB28+BB29+BB30+BB31</f>
        <v>390939.19500000001</v>
      </c>
      <c r="BC32" s="33">
        <f>BC21+BC23+BC24+BC25+BC26+BC27+BC28+BC29+BC30+BC31</f>
        <v>414744.52999999997</v>
      </c>
      <c r="BD32" s="33">
        <f t="shared" ref="BD32:BF32" si="97">BD21+BD23+BD24+BD25+BD26+BD27+BD28+BD29+BD30+BD31</f>
        <v>434430.68600000005</v>
      </c>
      <c r="BE32" s="33">
        <f t="shared" si="97"/>
        <v>464502.61099999986</v>
      </c>
      <c r="BF32" s="33">
        <f t="shared" si="97"/>
        <v>493355.16299999994</v>
      </c>
    </row>
    <row r="33" spans="2:67" x14ac:dyDescent="0.25">
      <c r="B33" s="2" t="s">
        <v>232</v>
      </c>
      <c r="C33" s="426">
        <v>288024.37099999998</v>
      </c>
      <c r="D33" s="426">
        <v>320041.19099999999</v>
      </c>
      <c r="E33" s="426">
        <v>344097.29199999996</v>
      </c>
      <c r="F33" s="426">
        <v>381368.511</v>
      </c>
      <c r="G33" s="426">
        <v>403984.94700000004</v>
      </c>
      <c r="H33" s="426">
        <v>429911.71</v>
      </c>
      <c r="I33" s="427">
        <v>453180.71599999996</v>
      </c>
      <c r="J33" s="426">
        <v>484260.01599999995</v>
      </c>
      <c r="K33" s="25">
        <v>493355.16299999994</v>
      </c>
      <c r="L33" s="4"/>
      <c r="M33" s="41"/>
      <c r="N33" s="66"/>
      <c r="O33" s="66"/>
      <c r="P33" s="66"/>
      <c r="Q33" s="66"/>
      <c r="R33" s="66"/>
      <c r="X33" s="31">
        <v>0.92300000000000004</v>
      </c>
      <c r="Y33" s="31">
        <v>0.93400000000000005</v>
      </c>
      <c r="Z33" s="31">
        <v>0.90110000000000001</v>
      </c>
      <c r="AA33" s="31">
        <v>0.90000999999999998</v>
      </c>
      <c r="AB33" s="31">
        <v>0.84899999999999998</v>
      </c>
      <c r="AC33" s="31">
        <v>0.85299999999999998</v>
      </c>
      <c r="AD33" s="31">
        <v>0.83699999999999997</v>
      </c>
      <c r="AO33" s="4">
        <f t="shared" ref="AO33" si="98">D33-C33</f>
        <v>32016.820000000007</v>
      </c>
      <c r="AP33" s="4">
        <f t="shared" ref="AP33" si="99">E33-D33</f>
        <v>24056.100999999966</v>
      </c>
      <c r="AQ33" s="4">
        <f t="shared" ref="AQ33" si="100">F33-E33</f>
        <v>37271.219000000041</v>
      </c>
      <c r="AR33" s="4">
        <f t="shared" ref="AR33" si="101">G33-F33</f>
        <v>22616.436000000045</v>
      </c>
      <c r="AS33" s="4">
        <f t="shared" ref="AS33" si="102">H33-G33</f>
        <v>25926.762999999977</v>
      </c>
      <c r="AT33" s="4">
        <f t="shared" ref="AT33" si="103">I33-H33</f>
        <v>23269.005999999936</v>
      </c>
      <c r="AU33" s="4">
        <f t="shared" ref="AU33" si="104">J33-I33</f>
        <v>31079.299999999988</v>
      </c>
      <c r="AW33" s="2" t="s">
        <v>232</v>
      </c>
      <c r="AX33" s="25">
        <v>279697.69599999988</v>
      </c>
      <c r="AY33" s="25">
        <v>310316.31499999994</v>
      </c>
      <c r="AZ33" s="25">
        <v>333137.2080000001</v>
      </c>
      <c r="BA33" s="25">
        <v>368339.94400000008</v>
      </c>
      <c r="BB33" s="25">
        <v>390939.19500000001</v>
      </c>
      <c r="BC33" s="25">
        <v>414744.52999999997</v>
      </c>
      <c r="BD33" s="216">
        <v>434430.68600000005</v>
      </c>
      <c r="BE33" s="25">
        <v>464502.61099999986</v>
      </c>
      <c r="BF33" s="25">
        <v>493355.16299999994</v>
      </c>
    </row>
    <row r="34" spans="2:67" ht="15.75" x14ac:dyDescent="0.25">
      <c r="B34" s="304" t="s">
        <v>669</v>
      </c>
      <c r="C34" s="294">
        <f>C37+C38+C39</f>
        <v>80392.72</v>
      </c>
      <c r="D34" s="294">
        <f>D37+D38+D39</f>
        <v>87435.34</v>
      </c>
      <c r="E34" s="294">
        <f t="shared" ref="E34:K34" si="105">E37+E38+E39</f>
        <v>94346.15</v>
      </c>
      <c r="F34" s="294">
        <f t="shared" si="105"/>
        <v>104901.35</v>
      </c>
      <c r="G34" s="294">
        <f t="shared" si="105"/>
        <v>112460.17</v>
      </c>
      <c r="H34" s="294">
        <f t="shared" si="105"/>
        <v>122122.67</v>
      </c>
      <c r="I34" s="294">
        <f t="shared" si="105"/>
        <v>126202.10999999991</v>
      </c>
      <c r="J34" s="294">
        <f t="shared" si="105"/>
        <v>132661.74</v>
      </c>
      <c r="K34" s="294">
        <f t="shared" si="105"/>
        <v>138277.18000000002</v>
      </c>
      <c r="U34" s="480" t="s">
        <v>812</v>
      </c>
      <c r="V34" s="480"/>
      <c r="W34" s="480"/>
      <c r="X34" s="135">
        <f>E22/D22*100/X33</f>
        <v>118.02617891216681</v>
      </c>
      <c r="Y34" s="135">
        <f>F22/E22*100/Y33</f>
        <v>112.37002379458517</v>
      </c>
      <c r="Z34" s="135">
        <f t="shared" ref="Z34:AD34" si="106">G22/F22*100/Z33</f>
        <v>139.24680945511042</v>
      </c>
      <c r="AA34" s="135">
        <f t="shared" si="106"/>
        <v>139.13745402828857</v>
      </c>
      <c r="AB34" s="135">
        <f t="shared" si="106"/>
        <v>119.97633228164398</v>
      </c>
      <c r="AC34" s="135">
        <f t="shared" si="106"/>
        <v>120.03603946404067</v>
      </c>
      <c r="AD34" s="135">
        <f t="shared" si="106"/>
        <v>120.08716771193215</v>
      </c>
      <c r="AW34" s="304" t="s">
        <v>669</v>
      </c>
      <c r="AX34" s="294">
        <f>AX37+AX38+AX39</f>
        <v>80392.72</v>
      </c>
      <c r="AY34" s="294">
        <f>AY37+AY38+AY39</f>
        <v>87435.34</v>
      </c>
      <c r="AZ34" s="294">
        <f t="shared" ref="AZ34:BF34" si="107">AZ37+AZ38+AZ39</f>
        <v>94346.15</v>
      </c>
      <c r="BA34" s="294">
        <f t="shared" si="107"/>
        <v>104901.35</v>
      </c>
      <c r="BB34" s="294">
        <f t="shared" si="107"/>
        <v>112460.17</v>
      </c>
      <c r="BC34" s="294">
        <f t="shared" si="107"/>
        <v>122122.67</v>
      </c>
      <c r="BD34" s="294">
        <f t="shared" si="107"/>
        <v>126202.10999999991</v>
      </c>
      <c r="BE34" s="294">
        <f t="shared" si="107"/>
        <v>132661.74</v>
      </c>
      <c r="BF34" s="294">
        <f t="shared" si="107"/>
        <v>138277.18000000002</v>
      </c>
      <c r="BH34" s="482" t="s">
        <v>883</v>
      </c>
      <c r="BI34" s="483"/>
    </row>
    <row r="35" spans="2:67" ht="15.75" x14ac:dyDescent="0.25">
      <c r="B35" s="303"/>
      <c r="C35" s="305">
        <v>2024</v>
      </c>
      <c r="D35" s="305">
        <f t="shared" ref="D35" si="108">C35+1</f>
        <v>2025</v>
      </c>
      <c r="E35" s="305">
        <f t="shared" ref="E35" si="109">D35+1</f>
        <v>2026</v>
      </c>
      <c r="F35" s="305">
        <f t="shared" ref="F35" si="110">E35+1</f>
        <v>2027</v>
      </c>
      <c r="G35" s="305">
        <f t="shared" ref="G35" si="111">F35+1</f>
        <v>2028</v>
      </c>
      <c r="H35" s="305">
        <f t="shared" ref="H35" si="112">G35+1</f>
        <v>2029</v>
      </c>
      <c r="I35" s="306">
        <f t="shared" ref="I35" si="113">H35+1</f>
        <v>2030</v>
      </c>
      <c r="J35" s="307">
        <f t="shared" ref="J35" si="114">I35+1</f>
        <v>2031</v>
      </c>
      <c r="K35" s="307">
        <f t="shared" ref="K35" si="115">J35+1</f>
        <v>2032</v>
      </c>
      <c r="M35" s="106"/>
      <c r="N35" s="107">
        <v>2023</v>
      </c>
      <c r="O35" s="107">
        <v>2024</v>
      </c>
      <c r="P35" s="107">
        <v>2025</v>
      </c>
      <c r="Q35" s="107">
        <v>2026</v>
      </c>
      <c r="R35" s="107">
        <v>2027</v>
      </c>
      <c r="S35" s="108">
        <v>2028</v>
      </c>
      <c r="X35" s="257">
        <f>'GDP-total'!D30/'GDP-total'!C30*100/X36</f>
        <v>125.00000000000001</v>
      </c>
      <c r="Y35" s="257">
        <f>'GDP-total'!E68/'GDP-total'!D68*100/Y36</f>
        <v>124.99999999999999</v>
      </c>
      <c r="Z35" s="257">
        <f>'GDP-total'!F30/'GDP-total'!E30*100/Z36</f>
        <v>125.09999999999998</v>
      </c>
      <c r="AA35" s="257">
        <f>'GDP-total'!G30/'GDP-total'!F30*100/AA36</f>
        <v>125.1</v>
      </c>
      <c r="AB35" s="257">
        <f>'GDP-total'!H30/'GDP-total'!G30*100/AB36</f>
        <v>119.97633228164399</v>
      </c>
      <c r="AC35" s="256">
        <f>'GDP-total'!I30/'GDP-total'!H30*100/AC36</f>
        <v>120.03603946404067</v>
      </c>
      <c r="AD35" s="257">
        <f>'GDP-total'!J30/'GDP-total'!I30*100/AD36</f>
        <v>120.08716771193215</v>
      </c>
      <c r="AW35" s="303"/>
      <c r="AX35" s="305">
        <v>2024</v>
      </c>
      <c r="AY35" s="305">
        <f t="shared" ref="AY35" si="116">AX35+1</f>
        <v>2025</v>
      </c>
      <c r="AZ35" s="305">
        <f t="shared" ref="AZ35" si="117">AY35+1</f>
        <v>2026</v>
      </c>
      <c r="BA35" s="305">
        <f t="shared" ref="BA35" si="118">AZ35+1</f>
        <v>2027</v>
      </c>
      <c r="BB35" s="305">
        <f t="shared" ref="BB35" si="119">BA35+1</f>
        <v>2028</v>
      </c>
      <c r="BC35" s="305">
        <f t="shared" ref="BC35" si="120">BB35+1</f>
        <v>2029</v>
      </c>
      <c r="BD35" s="306">
        <f t="shared" ref="BD35" si="121">BC35+1</f>
        <v>2030</v>
      </c>
      <c r="BE35" s="307">
        <f t="shared" ref="BE35" si="122">BD35+1</f>
        <v>2031</v>
      </c>
      <c r="BF35" s="307">
        <f t="shared" ref="BF35" si="123">BE35+1</f>
        <v>2032</v>
      </c>
      <c r="BH35" s="106">
        <v>2025</v>
      </c>
      <c r="BI35" s="107">
        <v>2026</v>
      </c>
      <c r="BJ35" s="107">
        <v>2027</v>
      </c>
      <c r="BK35" s="107">
        <v>2028</v>
      </c>
      <c r="BL35" s="107">
        <v>2029</v>
      </c>
      <c r="BM35" s="107">
        <v>2030</v>
      </c>
      <c r="BN35" s="107">
        <v>2031</v>
      </c>
      <c r="BO35" s="108">
        <v>2032</v>
      </c>
    </row>
    <row r="36" spans="2:67" x14ac:dyDescent="0.25">
      <c r="B36" s="12" t="s">
        <v>381</v>
      </c>
      <c r="C36" s="339">
        <v>78126.149999999994</v>
      </c>
      <c r="D36" s="339">
        <v>83859.11</v>
      </c>
      <c r="E36" s="339">
        <v>88077.45</v>
      </c>
      <c r="F36" s="339">
        <v>91458.96</v>
      </c>
      <c r="G36" s="339">
        <v>94104.42</v>
      </c>
      <c r="H36" s="339">
        <v>97266.12</v>
      </c>
      <c r="I36" s="340">
        <v>98776.62</v>
      </c>
      <c r="J36" s="341">
        <v>101063.3</v>
      </c>
      <c r="K36" s="341">
        <v>105444.6</v>
      </c>
      <c r="M36" s="12" t="s">
        <v>381</v>
      </c>
      <c r="N36">
        <f>D36/C21*100</f>
        <v>105.74350608798035</v>
      </c>
      <c r="O36">
        <f>E36/D21*100</f>
        <v>104.04462103056429</v>
      </c>
      <c r="P36">
        <f>F36/E21*100</f>
        <v>96.115314646407242</v>
      </c>
      <c r="Q36">
        <f t="shared" ref="Q36:R36" si="124">G36/F21*100</f>
        <v>89.973755540387515</v>
      </c>
      <c r="R36">
        <f t="shared" si="124"/>
        <v>84.788660434664706</v>
      </c>
      <c r="S36" s="26">
        <f>I36/H21*100</f>
        <v>78.747456628345205</v>
      </c>
      <c r="X36" s="258">
        <v>1.0009999999999999</v>
      </c>
      <c r="Y36" s="258">
        <v>1.0049999999999999</v>
      </c>
      <c r="Z36" s="258">
        <v>1.0029999999999999</v>
      </c>
      <c r="AA36" s="258">
        <v>1.0009999999999999</v>
      </c>
      <c r="AB36" s="452">
        <v>0.84899999999999998</v>
      </c>
      <c r="AC36" s="258">
        <v>0.85299999999999998</v>
      </c>
      <c r="AD36" s="258">
        <v>0.83699999999999997</v>
      </c>
      <c r="AW36" s="12" t="s">
        <v>381</v>
      </c>
      <c r="AX36" s="294">
        <v>78126.149999999994</v>
      </c>
      <c r="AY36" s="294">
        <v>83859.11</v>
      </c>
      <c r="AZ36" s="294">
        <v>88077.45</v>
      </c>
      <c r="BA36" s="294">
        <v>91458.96</v>
      </c>
      <c r="BB36" s="294">
        <v>94104.42</v>
      </c>
      <c r="BC36" s="294">
        <v>97266.12</v>
      </c>
      <c r="BD36" s="308">
        <v>98776.62</v>
      </c>
      <c r="BE36" s="309">
        <v>101063.3</v>
      </c>
      <c r="BF36" s="309">
        <v>105444.6</v>
      </c>
      <c r="BH36" s="12">
        <f>AY36/AX21*100</f>
        <v>107.52659535592002</v>
      </c>
      <c r="BI36">
        <f t="shared" ref="BI36:BO36" si="125">AZ36/AY21*100</f>
        <v>101.19775979726772</v>
      </c>
      <c r="BJ36">
        <f t="shared" si="125"/>
        <v>100.48752274893744</v>
      </c>
      <c r="BK36">
        <f t="shared" si="125"/>
        <v>98.546130617651016</v>
      </c>
      <c r="BL36">
        <f t="shared" si="125"/>
        <v>99.81140054413595</v>
      </c>
      <c r="BM36">
        <f t="shared" si="125"/>
        <v>96.147561089566878</v>
      </c>
      <c r="BN36">
        <f t="shared" si="125"/>
        <v>97.395201905822901</v>
      </c>
      <c r="BO36" s="26">
        <f t="shared" si="125"/>
        <v>97.429287385379595</v>
      </c>
    </row>
    <row r="37" spans="2:67" x14ac:dyDescent="0.25">
      <c r="B37" s="12" t="s">
        <v>382</v>
      </c>
      <c r="C37" s="339">
        <v>12927.48</v>
      </c>
      <c r="D37" s="339">
        <v>16091.15</v>
      </c>
      <c r="E37" s="339">
        <v>17127</v>
      </c>
      <c r="F37" s="339">
        <v>18168.2</v>
      </c>
      <c r="G37" s="339">
        <v>18856.14</v>
      </c>
      <c r="H37" s="339">
        <v>19578.12</v>
      </c>
      <c r="I37" s="340">
        <v>20410.349999999999</v>
      </c>
      <c r="J37" s="341">
        <v>21464.13</v>
      </c>
      <c r="K37" s="341">
        <v>22456.32</v>
      </c>
      <c r="M37" s="12" t="s">
        <v>382</v>
      </c>
      <c r="N37">
        <f>D37/C22*100</f>
        <v>19.490600252377522</v>
      </c>
      <c r="O37">
        <f t="shared" ref="O37:P37" si="126">E37/D22*100</f>
        <v>18.669934214368809</v>
      </c>
      <c r="P37">
        <f t="shared" si="126"/>
        <v>18.179977603634292</v>
      </c>
      <c r="Q37">
        <f t="shared" ref="Q37:Q45" si="127">G37/F22*100</f>
        <v>17.977814161173416</v>
      </c>
      <c r="R37">
        <f t="shared" ref="R37:S45" si="128">H37/G22*100</f>
        <v>14.876365365110525</v>
      </c>
      <c r="S37" s="26">
        <f t="shared" si="128"/>
        <v>12.384683575879137</v>
      </c>
      <c r="U37" s="473" t="s">
        <v>233</v>
      </c>
      <c r="V37" s="474"/>
      <c r="W37" s="475"/>
      <c r="X37" s="209">
        <v>1.0149999999999999</v>
      </c>
      <c r="Y37" s="209">
        <v>1.008</v>
      </c>
      <c r="Z37" s="209">
        <v>1.0009999999999999</v>
      </c>
      <c r="AA37" s="209">
        <v>1.002</v>
      </c>
      <c r="AB37" s="450">
        <v>0.8</v>
      </c>
      <c r="AC37" s="209">
        <v>0.80500000000000005</v>
      </c>
      <c r="AD37" s="209">
        <v>0.8</v>
      </c>
      <c r="AW37" s="12" t="s">
        <v>382</v>
      </c>
      <c r="AX37" s="294">
        <v>12927.48</v>
      </c>
      <c r="AY37" s="294">
        <v>16091.15</v>
      </c>
      <c r="AZ37" s="294">
        <v>17127</v>
      </c>
      <c r="BA37" s="294">
        <v>18168.2</v>
      </c>
      <c r="BB37" s="294">
        <v>18856.14</v>
      </c>
      <c r="BC37" s="294">
        <v>19578.12</v>
      </c>
      <c r="BD37" s="308">
        <v>20410.349999999999</v>
      </c>
      <c r="BE37" s="309">
        <v>21464.13</v>
      </c>
      <c r="BF37" s="309">
        <v>22456.32</v>
      </c>
      <c r="BH37" s="12">
        <f>AY37/AX23*100</f>
        <v>127.05572365262651</v>
      </c>
      <c r="BI37">
        <f t="shared" ref="BI37:BO46" si="129">AZ37/AY23*100</f>
        <v>106.46689903267857</v>
      </c>
      <c r="BJ37">
        <f t="shared" si="129"/>
        <v>105.15568577039525</v>
      </c>
      <c r="BK37">
        <f t="shared" si="129"/>
        <v>101.3959040789824</v>
      </c>
      <c r="BL37">
        <f t="shared" si="129"/>
        <v>99.656716326742526</v>
      </c>
      <c r="BM37">
        <f t="shared" si="129"/>
        <v>98.732224513518716</v>
      </c>
      <c r="BN37">
        <f t="shared" si="129"/>
        <v>98.376729626047862</v>
      </c>
      <c r="BO37" s="26">
        <f t="shared" si="129"/>
        <v>96.57710102519242</v>
      </c>
    </row>
    <row r="38" spans="2:67" ht="15.75" x14ac:dyDescent="0.25">
      <c r="B38" s="12" t="s">
        <v>383</v>
      </c>
      <c r="C38" s="339">
        <v>57380.35</v>
      </c>
      <c r="D38" s="339">
        <v>59720.98</v>
      </c>
      <c r="E38" s="339">
        <v>64755.53</v>
      </c>
      <c r="F38" s="339">
        <v>70121.75</v>
      </c>
      <c r="G38" s="339">
        <v>76784.7</v>
      </c>
      <c r="H38" s="339">
        <v>85483.19</v>
      </c>
      <c r="I38" s="340">
        <v>88254.929999999906</v>
      </c>
      <c r="J38" s="341">
        <v>90698.45</v>
      </c>
      <c r="K38" s="341">
        <v>92503.6</v>
      </c>
      <c r="M38" s="12" t="s">
        <v>383</v>
      </c>
      <c r="N38">
        <f t="shared" ref="N38:P38" si="130">D38/C23*100</f>
        <v>441.03321626703507</v>
      </c>
      <c r="O38">
        <f t="shared" si="130"/>
        <v>430.3725812445453</v>
      </c>
      <c r="P38">
        <f t="shared" si="130"/>
        <v>262.09298177127494</v>
      </c>
      <c r="Q38">
        <f t="shared" si="127"/>
        <v>257.76243042434436</v>
      </c>
      <c r="R38">
        <f t="shared" si="128"/>
        <v>209.80424320878436</v>
      </c>
      <c r="S38" s="26">
        <f t="shared" ref="S38:S45" si="131">I38/H23*100</f>
        <v>183.68330082442557</v>
      </c>
      <c r="U38" s="476"/>
      <c r="V38" s="477"/>
      <c r="W38" s="478"/>
      <c r="X38" s="257">
        <f>'GDP-total'!D69/'GDP-total'!C69*100/X37</f>
        <v>175.18585809121046</v>
      </c>
      <c r="Y38" s="257">
        <f>'GDP-total'!E69/'GDP-total'!D69*100/Y37</f>
        <v>110.45800302482536</v>
      </c>
      <c r="Z38" s="257">
        <f>'GDP-total'!F69/'GDP-total'!E69*100/Z37</f>
        <v>136.6398264826887</v>
      </c>
      <c r="AA38" s="257">
        <f>'GDP-total'!G69/'GDP-total'!F69*100/AA37</f>
        <v>117.68879739978216</v>
      </c>
      <c r="AB38" s="257">
        <f>'GDP-total'!H69/'GDP-total'!G69*100/AB37</f>
        <v>127.7326413757383</v>
      </c>
      <c r="AC38" s="257">
        <f>'GDP-total'!I69/'GDP-total'!H69*100/AC37</f>
        <v>128.96014314469298</v>
      </c>
      <c r="AD38" s="257">
        <f>'GDP-total'!J69/'GDP-total'!I69*100/AD37</f>
        <v>124.20764526693159</v>
      </c>
      <c r="AW38" s="12" t="s">
        <v>383</v>
      </c>
      <c r="AX38" s="294">
        <v>57380.35</v>
      </c>
      <c r="AY38" s="294">
        <v>59720.98</v>
      </c>
      <c r="AZ38" s="294">
        <v>64755.53</v>
      </c>
      <c r="BA38" s="294">
        <v>70121.75</v>
      </c>
      <c r="BB38" s="294">
        <v>76784.7</v>
      </c>
      <c r="BC38" s="294">
        <v>85483.19</v>
      </c>
      <c r="BD38" s="308">
        <v>88254.929999999906</v>
      </c>
      <c r="BE38" s="309">
        <v>90698.45</v>
      </c>
      <c r="BF38" s="309">
        <v>92503.6</v>
      </c>
      <c r="BH38" s="12">
        <f t="shared" ref="BH38:BH46" si="132">AY38/AX24*100</f>
        <v>104.74362261765664</v>
      </c>
      <c r="BI38">
        <f t="shared" si="129"/>
        <v>105.92118370349965</v>
      </c>
      <c r="BJ38">
        <f t="shared" si="129"/>
        <v>105.00845797160829</v>
      </c>
      <c r="BK38">
        <f t="shared" si="129"/>
        <v>104.86674557822792</v>
      </c>
      <c r="BL38">
        <f t="shared" si="129"/>
        <v>105.06882869958332</v>
      </c>
      <c r="BM38">
        <f t="shared" si="129"/>
        <v>99.351319964750999</v>
      </c>
      <c r="BN38">
        <f t="shared" si="129"/>
        <v>97.90724279856714</v>
      </c>
      <c r="BO38" s="26">
        <f t="shared" si="129"/>
        <v>96.185544156077057</v>
      </c>
    </row>
    <row r="39" spans="2:67" x14ac:dyDescent="0.25">
      <c r="B39" s="12" t="s">
        <v>384</v>
      </c>
      <c r="C39" s="339">
        <v>10084.89</v>
      </c>
      <c r="D39" s="339">
        <v>11623.21</v>
      </c>
      <c r="E39" s="339">
        <v>12463.62</v>
      </c>
      <c r="F39" s="339">
        <v>16611.400000000001</v>
      </c>
      <c r="G39" s="339">
        <v>16819.330000000002</v>
      </c>
      <c r="H39" s="339">
        <v>17061.36</v>
      </c>
      <c r="I39" s="340">
        <v>17536.830000000002</v>
      </c>
      <c r="J39" s="341">
        <v>20499.16</v>
      </c>
      <c r="K39" s="341">
        <v>23317.26</v>
      </c>
      <c r="M39" s="12" t="s">
        <v>384</v>
      </c>
      <c r="N39">
        <f t="shared" ref="N39:P39" si="133">D39/C24*100</f>
        <v>19.811360283528447</v>
      </c>
      <c r="O39">
        <f t="shared" si="133"/>
        <v>19.118586045544419</v>
      </c>
      <c r="P39">
        <f t="shared" si="133"/>
        <v>27.655474233710329</v>
      </c>
      <c r="Q39">
        <f t="shared" si="127"/>
        <v>27.874368072696154</v>
      </c>
      <c r="R39">
        <f t="shared" si="128"/>
        <v>23.360524353447857</v>
      </c>
      <c r="S39" s="26">
        <f t="shared" si="131"/>
        <v>18.425462781451987</v>
      </c>
      <c r="U39" s="473" t="s">
        <v>234</v>
      </c>
      <c r="V39" s="474"/>
      <c r="W39" s="475"/>
      <c r="X39" s="209">
        <v>0.98299999999999998</v>
      </c>
      <c r="Y39" s="267">
        <v>1.0026163321985699</v>
      </c>
      <c r="Z39" s="209">
        <v>1.0009999999999999</v>
      </c>
      <c r="AA39" s="209">
        <v>1.0009999999999999</v>
      </c>
      <c r="AB39" s="209">
        <v>0.84499999999999997</v>
      </c>
      <c r="AC39" s="209">
        <v>0.85</v>
      </c>
      <c r="AD39" s="209">
        <v>0.82399999999999995</v>
      </c>
      <c r="AW39" s="12" t="s">
        <v>384</v>
      </c>
      <c r="AX39" s="294">
        <v>10084.89</v>
      </c>
      <c r="AY39" s="294">
        <v>11623.21</v>
      </c>
      <c r="AZ39" s="294">
        <v>12463.62</v>
      </c>
      <c r="BA39" s="294">
        <v>16611.400000000001</v>
      </c>
      <c r="BB39" s="294">
        <v>16819.330000000002</v>
      </c>
      <c r="BC39" s="294">
        <v>17061.36</v>
      </c>
      <c r="BD39" s="308">
        <v>17536.830000000002</v>
      </c>
      <c r="BE39" s="309">
        <v>20499.16</v>
      </c>
      <c r="BF39" s="309">
        <v>23317.26</v>
      </c>
      <c r="BH39" s="12">
        <f t="shared" si="132"/>
        <v>116.25585107037367</v>
      </c>
      <c r="BI39">
        <f t="shared" si="129"/>
        <v>106.69464233434176</v>
      </c>
      <c r="BJ39">
        <f t="shared" si="129"/>
        <v>130.82479617938733</v>
      </c>
      <c r="BK39">
        <f t="shared" si="129"/>
        <v>97.665345247973619</v>
      </c>
      <c r="BL39">
        <f t="shared" si="129"/>
        <v>96.401286679432502</v>
      </c>
      <c r="BM39">
        <f t="shared" si="129"/>
        <v>96.516946629249063</v>
      </c>
      <c r="BN39">
        <f t="shared" si="129"/>
        <v>108.24244555577908</v>
      </c>
      <c r="BO39" s="26">
        <f t="shared" si="129"/>
        <v>108.21620909160103</v>
      </c>
    </row>
    <row r="40" spans="2:67" ht="15.75" x14ac:dyDescent="0.25">
      <c r="B40" s="12" t="s">
        <v>385</v>
      </c>
      <c r="C40" s="339">
        <v>31675.93</v>
      </c>
      <c r="D40" s="339">
        <v>35391.24</v>
      </c>
      <c r="E40" s="339">
        <v>39247.360000000001</v>
      </c>
      <c r="F40" s="339">
        <v>41540.57</v>
      </c>
      <c r="G40" s="339">
        <v>45470.84</v>
      </c>
      <c r="H40" s="339">
        <v>47525.62</v>
      </c>
      <c r="I40" s="340">
        <v>49468.7</v>
      </c>
      <c r="J40" s="341">
        <v>51754.400000000001</v>
      </c>
      <c r="K40" s="341">
        <v>53667.44</v>
      </c>
      <c r="M40" s="12" t="s">
        <v>385</v>
      </c>
      <c r="N40">
        <f t="shared" ref="N40:P40" si="134">D40/C25*100</f>
        <v>342.01232808368928</v>
      </c>
      <c r="O40">
        <f t="shared" si="134"/>
        <v>341.33418808033969</v>
      </c>
      <c r="P40">
        <f t="shared" si="134"/>
        <v>316.73654053255518</v>
      </c>
      <c r="Q40">
        <f t="shared" si="127"/>
        <v>308.13280909246703</v>
      </c>
      <c r="R40">
        <f t="shared" si="128"/>
        <v>266.60443963172776</v>
      </c>
      <c r="S40" s="26">
        <f t="shared" si="131"/>
        <v>229.24805387426716</v>
      </c>
      <c r="U40" s="476"/>
      <c r="V40" s="477"/>
      <c r="W40" s="478"/>
      <c r="X40" s="257">
        <f>'GDP-total'!D70/'GDP-total'!C70*100/X39</f>
        <v>110.43818090875362</v>
      </c>
      <c r="Y40" s="257">
        <f>'GDP-total'!E70/'GDP-total'!D70*100/Y39</f>
        <v>137.96536755695158</v>
      </c>
      <c r="Z40" s="257">
        <f>'GDP-total'!F70/'GDP-total'!E70*100/Z39</f>
        <v>120.91865878579485</v>
      </c>
      <c r="AA40" s="257">
        <f>'GDP-total'!G70/'GDP-total'!F70*100/AA39</f>
        <v>130.18697918639697</v>
      </c>
      <c r="AB40" s="257">
        <f>'GDP-total'!H70/'GDP-total'!G70*100/AB39</f>
        <v>119.92136279299741</v>
      </c>
      <c r="AC40" s="257">
        <f>'GDP-total'!I70/'GDP-total'!H70*100/AC39</f>
        <v>118.73549971141956</v>
      </c>
      <c r="AD40" s="257">
        <f>'GDP-total'!J70/'GDP-total'!I70*100/AD39</f>
        <v>122.16979337900376</v>
      </c>
      <c r="AW40" s="12" t="s">
        <v>385</v>
      </c>
      <c r="AX40" s="294">
        <v>31675.93</v>
      </c>
      <c r="AY40" s="294">
        <v>35391.24</v>
      </c>
      <c r="AZ40" s="294">
        <v>39247.360000000001</v>
      </c>
      <c r="BA40" s="294">
        <v>41540.57</v>
      </c>
      <c r="BB40" s="294">
        <v>45470.84</v>
      </c>
      <c r="BC40" s="294">
        <v>47525.62</v>
      </c>
      <c r="BD40" s="308">
        <v>49468.7</v>
      </c>
      <c r="BE40" s="309">
        <v>51754.400000000001</v>
      </c>
      <c r="BF40" s="309">
        <v>53667.44</v>
      </c>
      <c r="BH40" s="12">
        <f t="shared" si="132"/>
        <v>111.72912681648177</v>
      </c>
      <c r="BI40">
        <f t="shared" si="129"/>
        <v>104.6185603944265</v>
      </c>
      <c r="BJ40">
        <f t="shared" si="129"/>
        <v>99.851858795929076</v>
      </c>
      <c r="BK40">
        <f t="shared" si="129"/>
        <v>102.30026225909992</v>
      </c>
      <c r="BL40">
        <f t="shared" si="129"/>
        <v>100.01807772918467</v>
      </c>
      <c r="BM40">
        <f t="shared" si="129"/>
        <v>101.94758598176641</v>
      </c>
      <c r="BN40">
        <f t="shared" si="129"/>
        <v>101.08259533036158</v>
      </c>
      <c r="BO40" s="26">
        <f t="shared" si="129"/>
        <v>99.230983287832586</v>
      </c>
    </row>
    <row r="41" spans="2:67" x14ac:dyDescent="0.25">
      <c r="B41" s="12" t="s">
        <v>386</v>
      </c>
      <c r="C41" s="339">
        <v>18541.68</v>
      </c>
      <c r="D41" s="339">
        <v>20394.23</v>
      </c>
      <c r="E41" s="339">
        <v>22857.68</v>
      </c>
      <c r="F41" s="339">
        <v>28504.31</v>
      </c>
      <c r="G41" s="339">
        <v>29595.96</v>
      </c>
      <c r="H41" s="339">
        <v>30868.91</v>
      </c>
      <c r="I41" s="340">
        <v>35625.480000000003</v>
      </c>
      <c r="J41" s="341">
        <v>39584.120000000003</v>
      </c>
      <c r="K41" s="341">
        <v>43781.2</v>
      </c>
      <c r="M41" s="12" t="s">
        <v>386</v>
      </c>
      <c r="N41">
        <f t="shared" ref="N41:P41" si="135">D41/C26*100</f>
        <v>59.703486612956411</v>
      </c>
      <c r="O41">
        <f t="shared" si="135"/>
        <v>60.220989709533171</v>
      </c>
      <c r="P41">
        <f t="shared" si="135"/>
        <v>66.333990139015739</v>
      </c>
      <c r="Q41">
        <f t="shared" si="127"/>
        <v>62.876581487973425</v>
      </c>
      <c r="R41">
        <f t="shared" si="128"/>
        <v>62.307687059665504</v>
      </c>
      <c r="S41" s="26">
        <f t="shared" si="131"/>
        <v>67.013741268838871</v>
      </c>
      <c r="U41" s="474" t="s">
        <v>835</v>
      </c>
      <c r="V41" s="474"/>
      <c r="W41" s="474"/>
      <c r="X41" s="209">
        <v>1.0349999999999999</v>
      </c>
      <c r="Y41" s="209">
        <v>1.0089999999999999</v>
      </c>
      <c r="Z41" s="209">
        <v>1.0149999999999999</v>
      </c>
      <c r="AA41" s="267">
        <v>1</v>
      </c>
      <c r="AB41" s="209">
        <v>1</v>
      </c>
      <c r="AC41" s="267">
        <v>1</v>
      </c>
      <c r="AD41" s="267">
        <v>1</v>
      </c>
      <c r="AW41" s="12" t="s">
        <v>386</v>
      </c>
      <c r="AX41" s="294">
        <v>18541.68</v>
      </c>
      <c r="AY41" s="294">
        <v>20394.23</v>
      </c>
      <c r="AZ41" s="294">
        <v>22857.68</v>
      </c>
      <c r="BA41" s="294">
        <v>28504.31</v>
      </c>
      <c r="BB41" s="294">
        <v>29595.96</v>
      </c>
      <c r="BC41" s="294">
        <v>30868.91</v>
      </c>
      <c r="BD41" s="308">
        <v>35625.480000000003</v>
      </c>
      <c r="BE41" s="309">
        <v>39584.120000000003</v>
      </c>
      <c r="BF41" s="309">
        <v>43781.2</v>
      </c>
      <c r="BH41" s="12">
        <f t="shared" si="132"/>
        <v>111.06661743498587</v>
      </c>
      <c r="BI41">
        <f t="shared" si="129"/>
        <v>110.92019728911862</v>
      </c>
      <c r="BJ41">
        <f t="shared" si="129"/>
        <v>120.73564754926753</v>
      </c>
      <c r="BK41">
        <f t="shared" si="129"/>
        <v>96.851345288471506</v>
      </c>
      <c r="BL41">
        <f t="shared" si="129"/>
        <v>95.315216730124902</v>
      </c>
      <c r="BM41">
        <f t="shared" si="129"/>
        <v>102.235842643007</v>
      </c>
      <c r="BN41">
        <f t="shared" si="129"/>
        <v>103.97441413442563</v>
      </c>
      <c r="BO41" s="26">
        <f t="shared" si="129"/>
        <v>102.02513645895792</v>
      </c>
    </row>
    <row r="42" spans="2:67" ht="15.75" x14ac:dyDescent="0.25">
      <c r="B42" s="12" t="s">
        <v>387</v>
      </c>
      <c r="C42" s="339">
        <v>33474.18</v>
      </c>
      <c r="D42" s="339">
        <v>34917.49</v>
      </c>
      <c r="E42" s="339">
        <v>35383.85</v>
      </c>
      <c r="F42" s="339">
        <v>38854.74</v>
      </c>
      <c r="G42" s="339">
        <v>41317.480000000003</v>
      </c>
      <c r="H42" s="339">
        <v>42670.51</v>
      </c>
      <c r="I42" s="340">
        <v>44320.480000000003</v>
      </c>
      <c r="J42" s="341">
        <v>48504.11</v>
      </c>
      <c r="K42" s="341">
        <v>49636.160000000003</v>
      </c>
      <c r="M42" s="12" t="s">
        <v>387</v>
      </c>
      <c r="N42">
        <f t="shared" ref="N42:P42" si="136">D42/C27*100</f>
        <v>183.22056699261339</v>
      </c>
      <c r="O42">
        <f t="shared" si="136"/>
        <v>167.09353599923745</v>
      </c>
      <c r="P42">
        <f t="shared" si="136"/>
        <v>167.19095334663757</v>
      </c>
      <c r="Q42">
        <f t="shared" si="127"/>
        <v>167.3764628192192</v>
      </c>
      <c r="R42">
        <f t="shared" si="128"/>
        <v>178.37196422639519</v>
      </c>
      <c r="S42" s="26">
        <f t="shared" si="131"/>
        <v>178.97722174313176</v>
      </c>
      <c r="U42" s="477"/>
      <c r="V42" s="477"/>
      <c r="W42" s="477"/>
      <c r="X42" s="257">
        <f>'GDP-total'!D71/'GDP-total'!C71*100/X41</f>
        <v>110.20550098745456</v>
      </c>
      <c r="Y42" s="257">
        <f>'GDP-total'!E71/'GDP-total'!D71*100/Y41</f>
        <v>111.76341777805892</v>
      </c>
      <c r="Z42" s="257">
        <f>'GDP-total'!F71/'GDP-total'!E71*100/Z41</f>
        <v>119.50412338796396</v>
      </c>
      <c r="AA42" s="257">
        <f>'GDP-total'!G71/'GDP-total'!F71*100/AA41</f>
        <v>121.19792219999404</v>
      </c>
      <c r="AB42" s="257">
        <f>'GDP-total'!H71/'GDP-total'!G71*100/AB41</f>
        <v>103.45516359689739</v>
      </c>
      <c r="AC42" s="257">
        <f>'GDP-total'!I71/'GDP-total'!H71*100/AC41</f>
        <v>105.59457386207379</v>
      </c>
      <c r="AD42" s="257">
        <f>'GDP-total'!J71/'GDP-total'!I71*100/AD41</f>
        <v>102.35283031748132</v>
      </c>
      <c r="AW42" s="12" t="s">
        <v>387</v>
      </c>
      <c r="AX42" s="294">
        <v>33474.18</v>
      </c>
      <c r="AY42" s="294">
        <v>34917.49</v>
      </c>
      <c r="AZ42" s="294">
        <v>35383.85</v>
      </c>
      <c r="BA42" s="294">
        <v>38854.74</v>
      </c>
      <c r="BB42" s="294">
        <v>41317.480000000003</v>
      </c>
      <c r="BC42" s="294">
        <v>42670.51</v>
      </c>
      <c r="BD42" s="308">
        <v>44320.480000000003</v>
      </c>
      <c r="BE42" s="309">
        <v>48504.11</v>
      </c>
      <c r="BF42" s="309">
        <v>49636.160000000003</v>
      </c>
      <c r="BH42" s="12">
        <f t="shared" si="132"/>
        <v>104.33097286960677</v>
      </c>
      <c r="BI42">
        <f t="shared" si="129"/>
        <v>100.35025177004766</v>
      </c>
      <c r="BJ42">
        <f t="shared" si="129"/>
        <v>107.66193455285431</v>
      </c>
      <c r="BK42">
        <f t="shared" si="129"/>
        <v>101.76701665785306</v>
      </c>
      <c r="BL42">
        <f t="shared" si="129"/>
        <v>97.892817478534155</v>
      </c>
      <c r="BM42">
        <f t="shared" si="129"/>
        <v>99.006195862157711</v>
      </c>
      <c r="BN42">
        <f t="shared" si="129"/>
        <v>103.33514136753857</v>
      </c>
      <c r="BO42" s="26">
        <f t="shared" si="129"/>
        <v>95.707299653737991</v>
      </c>
    </row>
    <row r="43" spans="2:67" x14ac:dyDescent="0.25">
      <c r="B43" s="12" t="s">
        <v>388</v>
      </c>
      <c r="C43" s="339">
        <v>14802.46</v>
      </c>
      <c r="D43" s="339">
        <v>15566.31</v>
      </c>
      <c r="E43" s="339">
        <v>15817.07</v>
      </c>
      <c r="F43" s="339">
        <v>16357.98</v>
      </c>
      <c r="G43" s="339">
        <v>16849.97</v>
      </c>
      <c r="H43" s="339">
        <v>17272.59</v>
      </c>
      <c r="I43" s="340">
        <v>18141.53</v>
      </c>
      <c r="J43" s="341">
        <v>18459.55</v>
      </c>
      <c r="K43" s="341">
        <v>19071.89</v>
      </c>
      <c r="M43" s="12" t="s">
        <v>388</v>
      </c>
      <c r="N43">
        <f t="shared" ref="N43:P43" si="137">D43/C28*100</f>
        <v>45.926063801308587</v>
      </c>
      <c r="O43">
        <f t="shared" si="137"/>
        <v>41.997452280907936</v>
      </c>
      <c r="P43">
        <f t="shared" si="137"/>
        <v>43.882335330346862</v>
      </c>
      <c r="Q43">
        <f t="shared" si="127"/>
        <v>39.850405604533272</v>
      </c>
      <c r="R43">
        <f t="shared" si="128"/>
        <v>36.591971386173419</v>
      </c>
      <c r="S43" s="26">
        <f t="shared" si="131"/>
        <v>37.220035960299796</v>
      </c>
      <c r="U43" s="479" t="s">
        <v>832</v>
      </c>
      <c r="V43" s="479"/>
      <c r="W43" s="479"/>
      <c r="X43" s="267">
        <v>1</v>
      </c>
      <c r="Y43" s="267">
        <v>1</v>
      </c>
      <c r="Z43" s="267">
        <v>1</v>
      </c>
      <c r="AA43" s="267">
        <v>1</v>
      </c>
      <c r="AB43" s="267">
        <v>1</v>
      </c>
      <c r="AC43" s="267">
        <v>1</v>
      </c>
      <c r="AD43" s="267">
        <v>1</v>
      </c>
      <c r="AW43" s="12" t="s">
        <v>388</v>
      </c>
      <c r="AX43" s="294">
        <v>14802.46</v>
      </c>
      <c r="AY43" s="294">
        <v>15566.31</v>
      </c>
      <c r="AZ43" s="294">
        <v>15817.07</v>
      </c>
      <c r="BA43" s="294">
        <v>16357.98</v>
      </c>
      <c r="BB43" s="294">
        <v>16849.97</v>
      </c>
      <c r="BC43" s="294">
        <v>17272.59</v>
      </c>
      <c r="BD43" s="308">
        <v>18141.53</v>
      </c>
      <c r="BE43" s="309">
        <v>18459.55</v>
      </c>
      <c r="BF43" s="309">
        <v>19071.89</v>
      </c>
      <c r="BH43" s="12">
        <f t="shared" si="132"/>
        <v>105.26155277646667</v>
      </c>
      <c r="BI43">
        <f t="shared" si="129"/>
        <v>95.017448122697317</v>
      </c>
      <c r="BJ43">
        <f t="shared" si="129"/>
        <v>97.102244193625367</v>
      </c>
      <c r="BK43">
        <f t="shared" si="129"/>
        <v>94.526857175554923</v>
      </c>
      <c r="BL43">
        <f t="shared" si="129"/>
        <v>92.390061881896457</v>
      </c>
      <c r="BM43">
        <f t="shared" si="129"/>
        <v>92.973459699609322</v>
      </c>
      <c r="BN43">
        <f t="shared" si="129"/>
        <v>88.52295418753512</v>
      </c>
      <c r="BO43" s="26">
        <f t="shared" si="129"/>
        <v>86.269648487151301</v>
      </c>
    </row>
    <row r="44" spans="2:67" ht="15.75" x14ac:dyDescent="0.25">
      <c r="B44" s="12" t="s">
        <v>241</v>
      </c>
      <c r="C44" s="339">
        <v>19875.96</v>
      </c>
      <c r="D44" s="339">
        <v>19966.73</v>
      </c>
      <c r="E44" s="339">
        <v>21189.39</v>
      </c>
      <c r="F44" s="339">
        <v>23911.8</v>
      </c>
      <c r="G44" s="339">
        <v>24905.37</v>
      </c>
      <c r="H44" s="339">
        <v>28187.01</v>
      </c>
      <c r="I44" s="340">
        <v>31186.05</v>
      </c>
      <c r="J44" s="341">
        <v>33758.639999999999</v>
      </c>
      <c r="K44" s="341">
        <v>36729.25</v>
      </c>
      <c r="M44" s="12" t="s">
        <v>241</v>
      </c>
      <c r="N44">
        <f t="shared" ref="N44:P44" si="138">D44/C29*100</f>
        <v>133.05193745070719</v>
      </c>
      <c r="O44">
        <f t="shared" si="138"/>
        <v>127.07381576921568</v>
      </c>
      <c r="P44">
        <f t="shared" si="138"/>
        <v>137.42120450249379</v>
      </c>
      <c r="Q44">
        <f t="shared" si="127"/>
        <v>122.04708056191656</v>
      </c>
      <c r="R44">
        <f t="shared" si="128"/>
        <v>148.07740147557291</v>
      </c>
      <c r="S44" s="26">
        <f t="shared" si="131"/>
        <v>137.98271191806808</v>
      </c>
      <c r="U44" s="479"/>
      <c r="V44" s="479"/>
      <c r="W44" s="479"/>
      <c r="X44" s="257">
        <f>'GDP-total'!D72/'GDP-total'!C72*100/X43</f>
        <v>114.06269352201544</v>
      </c>
      <c r="Y44" s="257">
        <f>'GDP-total'!E72/'GDP-total'!D72*100/Y43</f>
        <v>104.42909940681973</v>
      </c>
      <c r="Z44" s="257">
        <f>'GDP-total'!F72/'GDP-total'!E72*100/Z43</f>
        <v>103.54248657971125</v>
      </c>
      <c r="AA44" s="257">
        <f>'GDP-total'!G72/'GDP-total'!F72*100/AA43</f>
        <v>115.03022654074029</v>
      </c>
      <c r="AB44" s="257">
        <f>'GDP-total'!H72/'GDP-total'!G72*100/AB43</f>
        <v>103.45516359689739</v>
      </c>
      <c r="AC44" s="257">
        <f>'GDP-total'!I72/'GDP-total'!H72*100/AC43</f>
        <v>105.59457386207376</v>
      </c>
      <c r="AD44" s="257">
        <f>'GDP-total'!J72/'GDP-total'!I72*100/AD43</f>
        <v>102.35283031748132</v>
      </c>
      <c r="AW44" s="12" t="s">
        <v>241</v>
      </c>
      <c r="AX44" s="294">
        <v>19875.96</v>
      </c>
      <c r="AY44" s="294">
        <v>19966.73</v>
      </c>
      <c r="AZ44" s="294">
        <v>21189.39</v>
      </c>
      <c r="BA44" s="294">
        <v>23911.8</v>
      </c>
      <c r="BB44" s="294">
        <v>24905.37</v>
      </c>
      <c r="BC44" s="294">
        <v>28187.01</v>
      </c>
      <c r="BD44" s="308">
        <v>31186.05</v>
      </c>
      <c r="BE44" s="309">
        <v>33758.639999999999</v>
      </c>
      <c r="BF44" s="309">
        <v>36729.25</v>
      </c>
      <c r="BH44" s="12">
        <f t="shared" si="132"/>
        <v>100.48241471057887</v>
      </c>
      <c r="BI44">
        <f t="shared" si="129"/>
        <v>105.09186999974706</v>
      </c>
      <c r="BJ44">
        <f t="shared" si="129"/>
        <v>108.53105134207991</v>
      </c>
      <c r="BK44">
        <f t="shared" si="129"/>
        <v>101.13050900314127</v>
      </c>
      <c r="BL44">
        <f t="shared" si="129"/>
        <v>108.82015475025845</v>
      </c>
      <c r="BM44">
        <f t="shared" si="129"/>
        <v>105.35866856261966</v>
      </c>
      <c r="BN44">
        <f t="shared" si="129"/>
        <v>102.10311862585925</v>
      </c>
      <c r="BO44" s="26">
        <f t="shared" si="129"/>
        <v>101.64565264317302</v>
      </c>
    </row>
    <row r="45" spans="2:67" x14ac:dyDescent="0.25">
      <c r="B45" s="20" t="s">
        <v>8</v>
      </c>
      <c r="C45" s="342">
        <v>3865.7930000000001</v>
      </c>
      <c r="D45" s="342">
        <v>4145.6890000000003</v>
      </c>
      <c r="E45" s="342">
        <v>5183.3779999999997</v>
      </c>
      <c r="F45" s="342">
        <v>5582.13</v>
      </c>
      <c r="G45" s="342">
        <v>6501.067</v>
      </c>
      <c r="H45" s="342">
        <v>6815.1880000000001</v>
      </c>
      <c r="I45" s="343">
        <v>6901.598</v>
      </c>
      <c r="J45" s="344">
        <v>7847.808</v>
      </c>
      <c r="K45" s="344">
        <v>8247.7540000000008</v>
      </c>
      <c r="M45" s="20" t="s">
        <v>8</v>
      </c>
      <c r="N45">
        <f t="shared" ref="N45:P45" si="139">D45/C30*100</f>
        <v>20.596625170831118</v>
      </c>
      <c r="O45">
        <f t="shared" si="139"/>
        <v>23.17584546504634</v>
      </c>
      <c r="P45">
        <f t="shared" si="139"/>
        <v>24.529210698083332</v>
      </c>
      <c r="Q45">
        <f t="shared" si="127"/>
        <v>26.256209620582339</v>
      </c>
      <c r="R45">
        <f t="shared" si="128"/>
        <v>24.899168601311196</v>
      </c>
      <c r="S45" s="26">
        <f t="shared" si="131"/>
        <v>25.141792098737881</v>
      </c>
      <c r="AW45" s="20" t="s">
        <v>8</v>
      </c>
      <c r="AX45" s="298">
        <v>3865.7930000000001</v>
      </c>
      <c r="AY45" s="298">
        <v>4145.6890000000003</v>
      </c>
      <c r="AZ45" s="298">
        <v>5183.3779999999997</v>
      </c>
      <c r="BA45" s="298">
        <v>5582.13</v>
      </c>
      <c r="BB45" s="298">
        <v>6501.067</v>
      </c>
      <c r="BC45" s="298">
        <v>6815.1880000000001</v>
      </c>
      <c r="BD45" s="310">
        <v>6901.598</v>
      </c>
      <c r="BE45" s="311">
        <v>7847.808</v>
      </c>
      <c r="BF45" s="311">
        <v>8247.7540000000008</v>
      </c>
      <c r="BH45" s="12">
        <f t="shared" si="132"/>
        <v>107.27901026783209</v>
      </c>
      <c r="BI45">
        <f t="shared" si="129"/>
        <v>123.83021471018603</v>
      </c>
      <c r="BJ45">
        <f t="shared" si="129"/>
        <v>107.53771341847533</v>
      </c>
      <c r="BK45">
        <f t="shared" si="129"/>
        <v>113.08417961499939</v>
      </c>
      <c r="BL45">
        <f t="shared" si="129"/>
        <v>101.77413634371382</v>
      </c>
      <c r="BM45">
        <f t="shared" si="129"/>
        <v>97.356714224049171</v>
      </c>
      <c r="BN45">
        <f t="shared" si="129"/>
        <v>109.83657630679753</v>
      </c>
      <c r="BO45" s="26">
        <f t="shared" si="129"/>
        <v>100.5241231574243</v>
      </c>
    </row>
    <row r="46" spans="2:67" x14ac:dyDescent="0.25">
      <c r="C46" s="33">
        <f>SUM(C36:C45)</f>
        <v>280754.87299999996</v>
      </c>
      <c r="D46" s="33">
        <f t="shared" ref="D46:K46" si="140">SUM(D36:D45)</f>
        <v>301676.13899999997</v>
      </c>
      <c r="E46" s="33">
        <f t="shared" si="140"/>
        <v>322102.32799999998</v>
      </c>
      <c r="F46" s="33">
        <f t="shared" si="140"/>
        <v>351111.83999999997</v>
      </c>
      <c r="G46" s="33">
        <f t="shared" si="140"/>
        <v>371205.27699999994</v>
      </c>
      <c r="H46" s="33">
        <f t="shared" si="140"/>
        <v>392728.61800000002</v>
      </c>
      <c r="I46" s="33">
        <f t="shared" si="140"/>
        <v>410622.56799999991</v>
      </c>
      <c r="J46" s="33">
        <f t="shared" si="140"/>
        <v>433633.66800000001</v>
      </c>
      <c r="K46" s="33">
        <f t="shared" si="140"/>
        <v>454855.4740000001</v>
      </c>
      <c r="M46" s="109" t="s">
        <v>716</v>
      </c>
      <c r="N46" s="41">
        <f>D34/C22*100</f>
        <v>105.90711415099072</v>
      </c>
      <c r="O46" s="41">
        <f t="shared" ref="O46:S46" si="141">E34/D22*100</f>
        <v>102.84558964669654</v>
      </c>
      <c r="P46" s="41">
        <f t="shared" si="141"/>
        <v>104.96935269267193</v>
      </c>
      <c r="Q46" s="41">
        <f t="shared" si="141"/>
        <v>107.22173450101505</v>
      </c>
      <c r="R46" s="41">
        <f t="shared" si="141"/>
        <v>92.794479668263463</v>
      </c>
      <c r="S46" s="110">
        <f t="shared" si="141"/>
        <v>76.577481471816569</v>
      </c>
      <c r="AX46" s="33">
        <f>SUM(AX36:AX45)</f>
        <v>280754.87299999996</v>
      </c>
      <c r="AY46" s="33">
        <f t="shared" ref="AY46:BF46" si="142">SUM(AY36:AY45)</f>
        <v>301676.13899999997</v>
      </c>
      <c r="AZ46" s="33">
        <f t="shared" si="142"/>
        <v>322102.32799999998</v>
      </c>
      <c r="BA46" s="33">
        <f t="shared" si="142"/>
        <v>351111.83999999997</v>
      </c>
      <c r="BB46" s="33">
        <f t="shared" si="142"/>
        <v>371205.27699999994</v>
      </c>
      <c r="BC46" s="33">
        <f t="shared" si="142"/>
        <v>392728.61800000002</v>
      </c>
      <c r="BD46" s="33">
        <f t="shared" si="142"/>
        <v>410622.56799999991</v>
      </c>
      <c r="BE46" s="33">
        <f t="shared" si="142"/>
        <v>433633.66800000001</v>
      </c>
      <c r="BF46" s="33">
        <f t="shared" si="142"/>
        <v>454855.4740000001</v>
      </c>
      <c r="BH46" s="243">
        <f t="shared" si="132"/>
        <v>107.85792779644494</v>
      </c>
      <c r="BI46" s="118">
        <f t="shared" si="129"/>
        <v>103.79806424293226</v>
      </c>
      <c r="BJ46" s="118">
        <f t="shared" si="129"/>
        <v>105.39556422049377</v>
      </c>
      <c r="BK46" s="118">
        <f t="shared" si="129"/>
        <v>100.77790450008861</v>
      </c>
      <c r="BL46" s="118">
        <f t="shared" si="129"/>
        <v>100.45772412254546</v>
      </c>
      <c r="BM46" s="118">
        <f t="shared" si="129"/>
        <v>99.006144336611243</v>
      </c>
      <c r="BN46" s="118">
        <f t="shared" si="129"/>
        <v>99.816537361267336</v>
      </c>
      <c r="BO46" s="119">
        <f t="shared" si="129"/>
        <v>97.923125344929502</v>
      </c>
    </row>
    <row r="47" spans="2:67" x14ac:dyDescent="0.25">
      <c r="B47" s="2" t="s">
        <v>643</v>
      </c>
      <c r="C47" s="4">
        <f>'2_Production_1'!C156</f>
        <v>134042.90400000001</v>
      </c>
      <c r="D47" s="4">
        <f>'2_Production_1'!D156</f>
        <v>144285.66800000001</v>
      </c>
      <c r="E47" s="4">
        <f>'2_Production_1'!E156</f>
        <v>154720.20400000003</v>
      </c>
      <c r="F47" s="4">
        <f>'2_Production_1'!F156</f>
        <v>168166.01800000001</v>
      </c>
      <c r="G47" s="4">
        <f>'2_Production_1'!G156</f>
        <v>178343.86200000002</v>
      </c>
      <c r="H47" s="4">
        <f>'2_Production_1'!H156</f>
        <v>188814.321</v>
      </c>
      <c r="I47" s="4">
        <f>'2_Production_1'!I156</f>
        <v>196716.14599999998</v>
      </c>
      <c r="J47" s="4">
        <f>'2_Production_1'!J156</f>
        <v>207050.63399999999</v>
      </c>
      <c r="K47" s="4">
        <f>'2_Production_1'!K156</f>
        <v>216594.557</v>
      </c>
      <c r="M47" s="20"/>
      <c r="N47" s="111">
        <f>D46/C32*100</f>
        <v>104.73979613343209</v>
      </c>
      <c r="O47" s="111">
        <f t="shared" ref="O47:S47" si="143">E46/D32*100</f>
        <v>101.74598030707995</v>
      </c>
      <c r="P47" s="111">
        <f t="shared" si="143"/>
        <v>102.03853624050029</v>
      </c>
      <c r="Q47" s="111">
        <f t="shared" si="143"/>
        <v>98.918808750497689</v>
      </c>
      <c r="R47" s="111">
        <f t="shared" si="143"/>
        <v>93.619010822392283</v>
      </c>
      <c r="S47" s="112">
        <f t="shared" si="143"/>
        <v>86.559008782835448</v>
      </c>
      <c r="AA47" t="s">
        <v>725</v>
      </c>
      <c r="AY47" s="4">
        <f>AY46-AX46</f>
        <v>20921.266000000003</v>
      </c>
      <c r="AZ47" s="4">
        <f t="shared" ref="AZ47:BF47" si="144">AZ46-AY46</f>
        <v>20426.189000000013</v>
      </c>
      <c r="BA47" s="4">
        <f t="shared" si="144"/>
        <v>29009.511999999988</v>
      </c>
      <c r="BB47" s="4">
        <f t="shared" si="144"/>
        <v>20093.436999999976</v>
      </c>
      <c r="BC47" s="4">
        <f t="shared" si="144"/>
        <v>21523.341000000073</v>
      </c>
      <c r="BD47" s="4">
        <f t="shared" si="144"/>
        <v>17893.949999999895</v>
      </c>
      <c r="BE47" s="4">
        <f t="shared" si="144"/>
        <v>23011.100000000093</v>
      </c>
      <c r="BF47" s="4">
        <f t="shared" si="144"/>
        <v>21221.806000000099</v>
      </c>
    </row>
    <row r="48" spans="2:67" x14ac:dyDescent="0.25">
      <c r="B48" s="25" t="s">
        <v>670</v>
      </c>
      <c r="C48" s="121"/>
      <c r="D48" s="121">
        <f>D62/C18*100</f>
        <v>109.84937690425194</v>
      </c>
      <c r="E48" s="121">
        <f t="shared" ref="E48:J48" si="145">E62/D18*100</f>
        <v>106.19496124909737</v>
      </c>
      <c r="F48" s="121">
        <f t="shared" si="145"/>
        <v>100.91456595480304</v>
      </c>
      <c r="G48" s="121">
        <f t="shared" si="145"/>
        <v>94.095783061553178</v>
      </c>
      <c r="H48" s="121">
        <f t="shared" si="145"/>
        <v>87.516675469520607</v>
      </c>
      <c r="I48" s="121">
        <f t="shared" si="145"/>
        <v>79.449920095362955</v>
      </c>
      <c r="J48" s="121">
        <f t="shared" si="145"/>
        <v>74.531485830525895</v>
      </c>
      <c r="K48" s="121">
        <f>K62/J18*100</f>
        <v>68.881118601354956</v>
      </c>
    </row>
    <row r="49" spans="2:30" x14ac:dyDescent="0.25">
      <c r="B49" s="18"/>
      <c r="C49" s="6">
        <v>2024</v>
      </c>
      <c r="D49" s="6">
        <f t="shared" ref="D49" si="146">C49+1</f>
        <v>2025</v>
      </c>
      <c r="E49" s="6">
        <f t="shared" ref="E49" si="147">D49+1</f>
        <v>2026</v>
      </c>
      <c r="F49" s="6">
        <f t="shared" ref="F49" si="148">E49+1</f>
        <v>2027</v>
      </c>
      <c r="G49" s="6">
        <f t="shared" ref="G49" si="149">F49+1</f>
        <v>2028</v>
      </c>
      <c r="H49" s="6">
        <f t="shared" ref="H49" si="150">G49+1</f>
        <v>2029</v>
      </c>
      <c r="I49" s="19">
        <f t="shared" ref="I49" si="151">H49+1</f>
        <v>2030</v>
      </c>
      <c r="J49" s="27">
        <f t="shared" ref="J49" si="152">I49+1</f>
        <v>2031</v>
      </c>
      <c r="K49" s="27">
        <f t="shared" ref="K49" si="153">J49+1</f>
        <v>2032</v>
      </c>
      <c r="M49" s="106"/>
      <c r="N49" s="107">
        <v>2023</v>
      </c>
      <c r="O49" s="107">
        <v>2024</v>
      </c>
      <c r="P49" s="107">
        <v>2025</v>
      </c>
      <c r="Q49" s="107">
        <v>2026</v>
      </c>
      <c r="R49" s="107">
        <v>2027</v>
      </c>
      <c r="S49" s="107">
        <v>2028</v>
      </c>
      <c r="T49" s="108">
        <v>2029</v>
      </c>
      <c r="U49" s="108">
        <v>2030</v>
      </c>
      <c r="AD49" t="s">
        <v>725</v>
      </c>
    </row>
    <row r="50" spans="2:30" x14ac:dyDescent="0.25">
      <c r="B50" s="12" t="s">
        <v>243</v>
      </c>
      <c r="C50" s="339">
        <v>35764.629999999997</v>
      </c>
      <c r="D50" s="339">
        <v>37198.76</v>
      </c>
      <c r="E50" s="339">
        <v>38722.26</v>
      </c>
      <c r="F50" s="339">
        <v>39698.61</v>
      </c>
      <c r="G50" s="339">
        <v>42643.57</v>
      </c>
      <c r="H50" s="339">
        <v>47509.86</v>
      </c>
      <c r="I50" s="340">
        <v>49333.46</v>
      </c>
      <c r="J50" s="341">
        <v>53956.4</v>
      </c>
      <c r="K50" s="341">
        <v>55435.45</v>
      </c>
      <c r="L50" s="4"/>
      <c r="M50" s="12" t="s">
        <v>243</v>
      </c>
      <c r="N50">
        <f>D50/GDP!C7*100</f>
        <v>94.137040769277107</v>
      </c>
      <c r="O50">
        <f>E50/GDP!D7*100</f>
        <v>87.660332415202305</v>
      </c>
      <c r="P50">
        <f>F50/GDP!E7*100</f>
        <v>87.128650505528469</v>
      </c>
      <c r="Q50">
        <f>G50/GDP!F7*100</f>
        <v>89.673425957274105</v>
      </c>
      <c r="R50">
        <f>H50/GDP!G7*100</f>
        <v>99.063863539595005</v>
      </c>
      <c r="S50">
        <f>I50/GDP!H7*100</f>
        <v>96.671466262006163</v>
      </c>
      <c r="T50" s="26">
        <f>J50/GDP!I7*100</f>
        <v>105.14963581032204</v>
      </c>
      <c r="U50" s="26">
        <f>K50/GDP!J7*100</f>
        <v>103.30227302288677</v>
      </c>
    </row>
    <row r="51" spans="2:30" x14ac:dyDescent="0.25">
      <c r="B51" s="12" t="s">
        <v>244</v>
      </c>
      <c r="C51" s="339">
        <v>6297.357</v>
      </c>
      <c r="D51" s="339">
        <v>6551.1409999999996</v>
      </c>
      <c r="E51" s="339">
        <v>6869.049</v>
      </c>
      <c r="F51" s="339">
        <v>7166.0330000000004</v>
      </c>
      <c r="G51" s="339">
        <v>10614.05</v>
      </c>
      <c r="H51" s="339">
        <v>11428.92</v>
      </c>
      <c r="I51" s="340">
        <v>12523.64</v>
      </c>
      <c r="J51" s="341">
        <v>13479.83</v>
      </c>
      <c r="K51" s="341">
        <v>13979.64</v>
      </c>
      <c r="L51" s="4"/>
      <c r="M51" s="12" t="s">
        <v>244</v>
      </c>
      <c r="N51">
        <f>D51/GDP!C8*100</f>
        <v>86.070525598302751</v>
      </c>
      <c r="O51">
        <f>E51/GDP!D8*100</f>
        <v>72.176689039634482</v>
      </c>
      <c r="P51">
        <f>F51/GDP!E8*100</f>
        <v>70.346745226387668</v>
      </c>
      <c r="Q51">
        <f>G51/GDP!F8*100</f>
        <v>97.086148687275937</v>
      </c>
      <c r="R51">
        <f>H51/GDP!G8*100</f>
        <v>98.888673537901383</v>
      </c>
      <c r="S51">
        <f>I51/GDP!H8*100</f>
        <v>101.79983775286085</v>
      </c>
      <c r="T51" s="26">
        <f>J51/GDP!I8*100</f>
        <v>103.06452624126273</v>
      </c>
      <c r="U51" s="26">
        <f>K51/GDP!J8*100</f>
        <v>100.12913983415952</v>
      </c>
    </row>
    <row r="52" spans="2:30" x14ac:dyDescent="0.25">
      <c r="B52" s="12" t="s">
        <v>245</v>
      </c>
      <c r="C52" s="339">
        <v>18999.43</v>
      </c>
      <c r="D52" s="339">
        <v>20377.21</v>
      </c>
      <c r="E52" s="339">
        <v>20766.310000000001</v>
      </c>
      <c r="F52" s="339">
        <v>24176.2</v>
      </c>
      <c r="G52" s="339">
        <v>25274.54</v>
      </c>
      <c r="H52" s="339">
        <v>26369.82</v>
      </c>
      <c r="I52" s="340">
        <v>26895.599999999999</v>
      </c>
      <c r="J52" s="341">
        <v>28112.41</v>
      </c>
      <c r="K52" s="341">
        <v>28896.13</v>
      </c>
      <c r="L52" s="4"/>
      <c r="M52" s="12" t="s">
        <v>245</v>
      </c>
      <c r="N52">
        <f>D52/GDP!C9*100</f>
        <v>77.487811490985194</v>
      </c>
      <c r="O52">
        <f>E52/GDP!D9*100</f>
        <v>74.456517841904713</v>
      </c>
      <c r="P52">
        <f>F52/GDP!E9*100</f>
        <v>80.033263053215933</v>
      </c>
      <c r="Q52">
        <f>G52/GDP!F9*100</f>
        <v>77.000933472419902</v>
      </c>
      <c r="R52">
        <f>H52/GDP!G9*100</f>
        <v>72.297284515197745</v>
      </c>
      <c r="S52">
        <f>I52/GDP!H9*100</f>
        <v>70.287785407907023</v>
      </c>
      <c r="T52" s="26">
        <f>J52/GDP!I9*100</f>
        <v>69.447189952043303</v>
      </c>
      <c r="U52" s="26">
        <f>K52/GDP!J9*100</f>
        <v>69.44115215656872</v>
      </c>
    </row>
    <row r="53" spans="2:30" x14ac:dyDescent="0.25">
      <c r="B53" s="12" t="s">
        <v>246</v>
      </c>
      <c r="C53" s="339">
        <v>4935.9049999999997</v>
      </c>
      <c r="D53" s="339">
        <v>5526.1379999999999</v>
      </c>
      <c r="E53" s="339">
        <v>7290.3919999999998</v>
      </c>
      <c r="F53" s="339">
        <v>10097.459999999999</v>
      </c>
      <c r="G53" s="339">
        <v>13952.93</v>
      </c>
      <c r="H53" s="339">
        <v>15187.98</v>
      </c>
      <c r="I53" s="340">
        <v>16244.29</v>
      </c>
      <c r="J53" s="341">
        <v>18521.52</v>
      </c>
      <c r="K53" s="341">
        <v>20360.2</v>
      </c>
      <c r="L53" s="4"/>
      <c r="M53" s="12" t="s">
        <v>246</v>
      </c>
      <c r="N53">
        <f>D53/GDP!C10*100</f>
        <v>86.345703877256526</v>
      </c>
      <c r="O53">
        <f>E53/GDP!D10*100</f>
        <v>99.021034794310822</v>
      </c>
      <c r="P53">
        <f>F53/GDP!E10*100</f>
        <v>125.88688424893573</v>
      </c>
      <c r="Q53">
        <f>G53/GDP!F10*100</f>
        <v>128.327703122169</v>
      </c>
      <c r="R53">
        <f>H53/GDP!G10*100</f>
        <v>135.68389220674223</v>
      </c>
      <c r="S53">
        <f>I53/GDP!H10*100</f>
        <v>140.74385664553179</v>
      </c>
      <c r="T53" s="26">
        <f>J53/GDP!I10*100</f>
        <v>153.06522671545841</v>
      </c>
      <c r="U53" s="26">
        <f>K53/GDP!J10*100</f>
        <v>151.96186361929898</v>
      </c>
    </row>
    <row r="54" spans="2:30" x14ac:dyDescent="0.25">
      <c r="B54" s="12" t="s">
        <v>247</v>
      </c>
      <c r="C54" s="339">
        <v>17239.47</v>
      </c>
      <c r="D54" s="339">
        <v>18199.37</v>
      </c>
      <c r="E54" s="339">
        <v>18580.7</v>
      </c>
      <c r="F54" s="339">
        <v>19011.36</v>
      </c>
      <c r="G54" s="339">
        <v>19589.96</v>
      </c>
      <c r="H54" s="339">
        <v>19784.71</v>
      </c>
      <c r="I54" s="340">
        <v>20534.689999999999</v>
      </c>
      <c r="J54" s="341">
        <v>20817.97</v>
      </c>
      <c r="K54" s="341">
        <v>21286.66</v>
      </c>
      <c r="L54" s="4"/>
      <c r="M54" s="12" t="s">
        <v>247</v>
      </c>
      <c r="N54">
        <f>D54/GDP!C11*100</f>
        <v>96.700075396789543</v>
      </c>
      <c r="O54">
        <f>E54/GDP!D11*100</f>
        <v>82.208066174557686</v>
      </c>
      <c r="P54">
        <f>F54/GDP!E11*100</f>
        <v>76.653856993730642</v>
      </c>
      <c r="Q54">
        <f>G54/GDP!F11*100</f>
        <v>74.678119113939829</v>
      </c>
      <c r="R54">
        <f>H54/GDP!G11*100</f>
        <v>72.437926176305183</v>
      </c>
      <c r="S54">
        <f>I54/GDP!H11*100</f>
        <v>74.881021795866175</v>
      </c>
      <c r="T54" s="26">
        <f>J54/GDP!I11*100</f>
        <v>71.311781738635688</v>
      </c>
      <c r="U54" s="26">
        <f>K54/GDP!J11*100</f>
        <v>69.474295046740139</v>
      </c>
    </row>
    <row r="55" spans="2:30" x14ac:dyDescent="0.25">
      <c r="B55" s="12" t="s">
        <v>248</v>
      </c>
      <c r="C55" s="339">
        <v>8324.4580000000005</v>
      </c>
      <c r="D55" s="339">
        <v>8552.57</v>
      </c>
      <c r="E55" s="339">
        <v>9348.06</v>
      </c>
      <c r="F55" s="339">
        <v>9987.8639999999996</v>
      </c>
      <c r="G55" s="339">
        <v>10652.15</v>
      </c>
      <c r="H55" s="339">
        <v>11652.76</v>
      </c>
      <c r="I55" s="340">
        <v>12210.75</v>
      </c>
      <c r="J55" s="341">
        <v>12591.75</v>
      </c>
      <c r="K55" s="341">
        <v>13469.96</v>
      </c>
      <c r="L55" s="4"/>
      <c r="M55" s="12" t="s">
        <v>248</v>
      </c>
      <c r="N55">
        <f>D55/GDP!C12*100</f>
        <v>88.376760816984145</v>
      </c>
      <c r="O55">
        <f>E55/GDP!D12*100</f>
        <v>87.612654830099274</v>
      </c>
      <c r="P55">
        <f>F55/GDP!E12*100</f>
        <v>81.18571118529664</v>
      </c>
      <c r="Q55">
        <f>G55/GDP!F12*100</f>
        <v>65.767328199783663</v>
      </c>
      <c r="R55">
        <f>H55/GDP!G12*100</f>
        <v>67.699089851724722</v>
      </c>
      <c r="S55">
        <f>I55/GDP!H12*100</f>
        <v>64.464604453961314</v>
      </c>
      <c r="T55" s="26">
        <f>J55/GDP!I12*100</f>
        <v>64.032706554329209</v>
      </c>
      <c r="U55" s="26">
        <f>K55/GDP!J12*100</f>
        <v>60.37882333112794</v>
      </c>
    </row>
    <row r="56" spans="2:30" x14ac:dyDescent="0.25">
      <c r="B56" s="12" t="s">
        <v>249</v>
      </c>
      <c r="C56" s="339">
        <v>19936.82</v>
      </c>
      <c r="D56" s="339">
        <v>20925.47</v>
      </c>
      <c r="E56" s="339">
        <v>22628.18</v>
      </c>
      <c r="F56" s="339">
        <v>23747.71</v>
      </c>
      <c r="G56" s="339">
        <v>28171.13</v>
      </c>
      <c r="H56" s="339">
        <v>29860.61</v>
      </c>
      <c r="I56" s="340">
        <v>32080.82</v>
      </c>
      <c r="J56" s="341">
        <v>33636.949999999997</v>
      </c>
      <c r="K56" s="341">
        <v>35765.160000000003</v>
      </c>
      <c r="L56" s="4"/>
      <c r="M56" s="12" t="s">
        <v>249</v>
      </c>
      <c r="N56">
        <f>D56/GDP!C13*100</f>
        <v>95.274968538339508</v>
      </c>
      <c r="O56">
        <f>E56/GDP!D13*100</f>
        <v>99.372580535372762</v>
      </c>
      <c r="P56">
        <f>F56/GDP!E13*100</f>
        <v>102.27811476581867</v>
      </c>
      <c r="Q56">
        <f>G56/GDP!F13*100</f>
        <v>107.53480712838996</v>
      </c>
      <c r="R56">
        <f>H56/GDP!G13*100</f>
        <v>106.53697678069388</v>
      </c>
      <c r="S56">
        <f>I56/GDP!H13*100</f>
        <v>112.36399680569372</v>
      </c>
      <c r="T56" s="26">
        <f>J56/GDP!I13*100</f>
        <v>111.72304918651336</v>
      </c>
      <c r="U56" s="26">
        <f>K56/GDP!J13*100</f>
        <v>108.24524543247362</v>
      </c>
    </row>
    <row r="57" spans="2:30" x14ac:dyDescent="0.25">
      <c r="B57" s="12" t="s">
        <v>250</v>
      </c>
      <c r="C57" s="339">
        <v>6904.1170000000002</v>
      </c>
      <c r="D57" s="339">
        <v>7521.1440000000002</v>
      </c>
      <c r="E57" s="339">
        <v>7809.6490000000003</v>
      </c>
      <c r="F57" s="339">
        <v>8439.1470000000008</v>
      </c>
      <c r="G57" s="339">
        <v>8924.0580000000009</v>
      </c>
      <c r="H57" s="339">
        <v>9557.0429999999997</v>
      </c>
      <c r="I57" s="340">
        <v>12432.1</v>
      </c>
      <c r="J57" s="341">
        <v>13798.77</v>
      </c>
      <c r="K57" s="341">
        <v>14754.18</v>
      </c>
      <c r="L57" s="4"/>
      <c r="M57" s="12" t="s">
        <v>250</v>
      </c>
      <c r="N57">
        <f>D57/GDP!C14*100</f>
        <v>67.391106443831958</v>
      </c>
      <c r="O57">
        <f>E57/GDP!D14*100</f>
        <v>61.172073575844642</v>
      </c>
      <c r="P57">
        <f>F57/GDP!E14*100</f>
        <v>66.763079449765996</v>
      </c>
      <c r="Q57">
        <f>G57/GDP!F14*100</f>
        <v>66.248014205667431</v>
      </c>
      <c r="R57">
        <f>H57/GDP!G14*100</f>
        <v>67.176950052260992</v>
      </c>
      <c r="S57">
        <f>I57/GDP!H14*100</f>
        <v>83.010384227085538</v>
      </c>
      <c r="T57" s="26">
        <f>J57/GDP!I14*100</f>
        <v>85.668760150790462</v>
      </c>
      <c r="U57" s="26">
        <f>K57/GDP!J14*100</f>
        <v>85.44712090035172</v>
      </c>
    </row>
    <row r="58" spans="2:30" x14ac:dyDescent="0.25">
      <c r="B58" s="12" t="s">
        <v>251</v>
      </c>
      <c r="C58" s="339">
        <v>15652.7</v>
      </c>
      <c r="D58" s="339">
        <v>17240.79</v>
      </c>
      <c r="E58" s="339">
        <v>18754.97</v>
      </c>
      <c r="F58" s="339">
        <v>20866.66</v>
      </c>
      <c r="G58" s="339">
        <v>21746.25</v>
      </c>
      <c r="H58" s="339">
        <v>24359.040000000001</v>
      </c>
      <c r="I58" s="340">
        <v>26856.2</v>
      </c>
      <c r="J58" s="341">
        <v>28706.85</v>
      </c>
      <c r="K58" s="341">
        <v>31394.18</v>
      </c>
      <c r="L58" s="4"/>
      <c r="M58" s="12" t="s">
        <v>251</v>
      </c>
      <c r="N58">
        <f>D58/GDP!C15*100</f>
        <v>101.28979951531174</v>
      </c>
      <c r="O58">
        <f>E58/GDP!D15*100</f>
        <v>109.33541103009804</v>
      </c>
      <c r="P58">
        <f>F58/GDP!E15*100</f>
        <v>111.00456324655468</v>
      </c>
      <c r="Q58">
        <f>G58/GDP!F15*100</f>
        <v>104.19651353446649</v>
      </c>
      <c r="R58">
        <f>H58/GDP!G15*100</f>
        <v>111.16164388812757</v>
      </c>
      <c r="S58">
        <f>I58/GDP!H15*100</f>
        <v>107.12899541785224</v>
      </c>
      <c r="T58" s="26">
        <f>J58/GDP!I15*100</f>
        <v>102.40399330216523</v>
      </c>
      <c r="U58" s="26">
        <f>K58/GDP!J15*100</f>
        <v>102.75042531506699</v>
      </c>
    </row>
    <row r="59" spans="2:30" x14ac:dyDescent="0.25">
      <c r="B59" s="20" t="s">
        <v>252</v>
      </c>
      <c r="C59" s="342">
        <v>1223.318</v>
      </c>
      <c r="D59" s="342">
        <v>1299.7809999999999</v>
      </c>
      <c r="E59" s="342">
        <v>1423.1780000000001</v>
      </c>
      <c r="F59" s="342">
        <v>1706.5709999999999</v>
      </c>
      <c r="G59" s="342">
        <v>1836.5840000000001</v>
      </c>
      <c r="H59" s="342">
        <v>2172.8330000000001</v>
      </c>
      <c r="I59" s="343">
        <v>2171.223</v>
      </c>
      <c r="J59" s="344">
        <v>2342.4369999999999</v>
      </c>
      <c r="K59" s="344">
        <v>2565.3049999999998</v>
      </c>
      <c r="M59" s="20" t="s">
        <v>252</v>
      </c>
      <c r="N59">
        <f>D59/GDP!C16*100</f>
        <v>185.01736039938598</v>
      </c>
      <c r="O59">
        <f>E59/GDP!D16*100</f>
        <v>213.1908004770203</v>
      </c>
      <c r="P59">
        <f>F59/GDP!E16*100</f>
        <v>241.3822416256647</v>
      </c>
      <c r="Q59">
        <f>G59/GDP!F16*100</f>
        <v>221.74886836579824</v>
      </c>
      <c r="R59">
        <f>H59/GDP!G16*100</f>
        <v>253.8797335471711</v>
      </c>
      <c r="S59">
        <f>I59/GDP!H16*100</f>
        <v>232.29519493620668</v>
      </c>
      <c r="T59" s="26">
        <f>J59/GDP!I16*100</f>
        <v>262.19150534879464</v>
      </c>
      <c r="U59" s="26">
        <f>K59/GDP!J16*100</f>
        <v>262.06569435678745</v>
      </c>
    </row>
    <row r="60" spans="2:30" x14ac:dyDescent="0.25">
      <c r="C60" s="33">
        <f>SUM(C50:C59)</f>
        <v>135278.20500000002</v>
      </c>
      <c r="D60" s="33">
        <f t="shared" ref="D60:K60" si="154">SUM(D50:D59)</f>
        <v>143392.37399999998</v>
      </c>
      <c r="E60" s="33">
        <f t="shared" si="154"/>
        <v>152192.74800000002</v>
      </c>
      <c r="F60" s="33">
        <f t="shared" si="154"/>
        <v>164897.61500000002</v>
      </c>
      <c r="G60" s="33">
        <f t="shared" si="154"/>
        <v>183405.22199999998</v>
      </c>
      <c r="H60" s="33">
        <f t="shared" si="154"/>
        <v>197883.57600000006</v>
      </c>
      <c r="I60" s="33">
        <f t="shared" si="154"/>
        <v>211282.77300000002</v>
      </c>
      <c r="J60" s="33">
        <f t="shared" si="154"/>
        <v>225964.88700000002</v>
      </c>
      <c r="K60" s="33">
        <f t="shared" si="154"/>
        <v>237906.86499999996</v>
      </c>
      <c r="M60" s="109" t="s">
        <v>716</v>
      </c>
      <c r="N60" s="41">
        <f>D61/GDP!C20*100</f>
        <v>80.514871123692458</v>
      </c>
      <c r="O60" s="41">
        <f>E61/GDP!D20*100</f>
        <v>78.01154206482876</v>
      </c>
      <c r="P60" s="41">
        <f>F61/GDP!E20*100</f>
        <v>85.591828712297342</v>
      </c>
      <c r="Q60" s="41">
        <f>G61/GDP!F20*100</f>
        <v>91.236075665056646</v>
      </c>
      <c r="R60" s="41">
        <f>H61/GDP!G20*100</f>
        <v>89.466571301791333</v>
      </c>
      <c r="S60" s="41">
        <f>I61/GDP!H20*100</f>
        <v>89.622426275899457</v>
      </c>
      <c r="T60" s="110">
        <f>J61/GDP!I20*100</f>
        <v>91.553509991669159</v>
      </c>
      <c r="U60" s="110">
        <f>K61/GDP!J20*100</f>
        <v>91.683219219790445</v>
      </c>
    </row>
    <row r="61" spans="2:30" x14ac:dyDescent="0.25">
      <c r="B61" s="2" t="s">
        <v>253</v>
      </c>
      <c r="D61" s="4">
        <f>D51+D52+D53</f>
        <v>32454.488999999998</v>
      </c>
      <c r="E61" s="4">
        <f t="shared" ref="E61:K61" si="155">E51+E52+E53</f>
        <v>34925.751000000004</v>
      </c>
      <c r="F61" s="4">
        <f t="shared" si="155"/>
        <v>41439.692999999999</v>
      </c>
      <c r="G61" s="4">
        <f t="shared" si="155"/>
        <v>49841.52</v>
      </c>
      <c r="H61" s="4">
        <f t="shared" si="155"/>
        <v>52986.720000000001</v>
      </c>
      <c r="I61" s="4">
        <f t="shared" si="155"/>
        <v>55663.53</v>
      </c>
      <c r="J61" s="4">
        <f t="shared" si="155"/>
        <v>60113.759999999995</v>
      </c>
      <c r="K61" s="4">
        <f t="shared" si="155"/>
        <v>63235.97</v>
      </c>
      <c r="M61" s="20"/>
      <c r="N61" s="111">
        <f>D60/GDP!C18*100</f>
        <v>90.087843485174517</v>
      </c>
      <c r="O61" s="111">
        <f>E60/GDP!D18*100</f>
        <v>86.683083087159062</v>
      </c>
      <c r="P61" s="111">
        <f>F60/GDP!E18*100</f>
        <v>88.442100882355263</v>
      </c>
      <c r="Q61" s="111">
        <f>G60/GDP!F18*100</f>
        <v>89.04061839191715</v>
      </c>
      <c r="R61" s="111">
        <f>H60/GDP!G18*100</f>
        <v>91.302805772506645</v>
      </c>
      <c r="S61" s="111">
        <f>I60/GDP!H18*100</f>
        <v>92.248329924259863</v>
      </c>
      <c r="T61" s="112">
        <f>J60/GDP!I18*100</f>
        <v>93.772267591833838</v>
      </c>
      <c r="U61" s="112">
        <f>K60/GDP!J18*100</f>
        <v>92.417980552481851</v>
      </c>
    </row>
    <row r="62" spans="2:30" x14ac:dyDescent="0.25">
      <c r="B62" s="25" t="s">
        <v>671</v>
      </c>
      <c r="C62" s="120">
        <f>C46-C47</f>
        <v>146711.96899999995</v>
      </c>
      <c r="D62" s="120">
        <f t="shared" ref="D62:K62" si="156">D46-D47</f>
        <v>157390.47099999996</v>
      </c>
      <c r="E62" s="120">
        <f t="shared" si="156"/>
        <v>167382.12399999995</v>
      </c>
      <c r="F62" s="120">
        <f t="shared" si="156"/>
        <v>182945.82199999996</v>
      </c>
      <c r="G62" s="120">
        <f t="shared" si="156"/>
        <v>192861.41499999992</v>
      </c>
      <c r="H62" s="120">
        <f t="shared" si="156"/>
        <v>203914.29700000002</v>
      </c>
      <c r="I62" s="120">
        <f t="shared" si="156"/>
        <v>213906.42199999993</v>
      </c>
      <c r="J62" s="120">
        <f t="shared" si="156"/>
        <v>226583.03400000001</v>
      </c>
      <c r="K62" s="120">
        <f t="shared" si="156"/>
        <v>238260.9170000001</v>
      </c>
    </row>
    <row r="63" spans="2:30" x14ac:dyDescent="0.25">
      <c r="B63" s="18"/>
      <c r="C63" s="6">
        <v>2022</v>
      </c>
      <c r="D63" s="6">
        <f t="shared" ref="D63" si="157">C63+1</f>
        <v>2023</v>
      </c>
      <c r="E63" s="6">
        <f t="shared" ref="E63" si="158">D63+1</f>
        <v>2024</v>
      </c>
      <c r="F63" s="6">
        <f t="shared" ref="F63" si="159">E63+1</f>
        <v>2025</v>
      </c>
      <c r="G63" s="6">
        <f t="shared" ref="G63" si="160">F63+1</f>
        <v>2026</v>
      </c>
      <c r="H63" s="6">
        <f t="shared" ref="H63" si="161">G63+1</f>
        <v>2027</v>
      </c>
      <c r="I63" s="19">
        <f t="shared" ref="I63" si="162">H63+1</f>
        <v>2028</v>
      </c>
      <c r="J63" s="27">
        <f t="shared" ref="J63" si="163">I63+1</f>
        <v>2029</v>
      </c>
      <c r="K63" s="27">
        <f t="shared" ref="K63" si="164">J63+1</f>
        <v>2030</v>
      </c>
    </row>
    <row r="64" spans="2:30" x14ac:dyDescent="0.25">
      <c r="B64" s="12" t="s">
        <v>254</v>
      </c>
      <c r="C64" s="339">
        <v>550.66079999999999</v>
      </c>
      <c r="D64" s="339">
        <v>615.62070000000006</v>
      </c>
      <c r="E64" s="339">
        <v>634.74850000000004</v>
      </c>
      <c r="F64" s="339">
        <v>661.99260000000004</v>
      </c>
      <c r="G64" s="339">
        <v>666.74929999999995</v>
      </c>
      <c r="H64" s="339">
        <v>710.07370000000003</v>
      </c>
      <c r="I64" s="340">
        <v>713.65020000000004</v>
      </c>
      <c r="J64" s="341">
        <v>746.5018</v>
      </c>
      <c r="K64" s="341">
        <v>798.02800000000002</v>
      </c>
      <c r="L64" s="4"/>
    </row>
    <row r="65" spans="2:12" x14ac:dyDescent="0.25">
      <c r="B65" s="12" t="s">
        <v>255</v>
      </c>
      <c r="C65" s="339">
        <v>721.1644</v>
      </c>
      <c r="D65" s="339">
        <v>900.01070000000004</v>
      </c>
      <c r="E65" s="339">
        <v>962.21849999999995</v>
      </c>
      <c r="F65" s="339">
        <v>1031.655</v>
      </c>
      <c r="G65" s="339">
        <v>1090.126</v>
      </c>
      <c r="H65" s="339">
        <v>1164.124</v>
      </c>
      <c r="I65" s="340">
        <v>1239.6099999999999</v>
      </c>
      <c r="J65" s="341">
        <v>1317.248</v>
      </c>
      <c r="K65" s="341">
        <v>1371.088</v>
      </c>
      <c r="L65" s="4"/>
    </row>
    <row r="66" spans="2:12" x14ac:dyDescent="0.25">
      <c r="B66" s="12" t="s">
        <v>256</v>
      </c>
      <c r="C66" s="339">
        <v>2326.538</v>
      </c>
      <c r="D66" s="339">
        <v>2464.2199999999998</v>
      </c>
      <c r="E66" s="339">
        <v>2671.299</v>
      </c>
      <c r="F66" s="339">
        <v>2903.366</v>
      </c>
      <c r="G66" s="339">
        <v>3238.8380000000002</v>
      </c>
      <c r="H66" s="339">
        <v>3363.4360000000001</v>
      </c>
      <c r="I66" s="340">
        <v>3569.9969999999998</v>
      </c>
      <c r="J66" s="341">
        <v>3654.8719999999998</v>
      </c>
      <c r="K66" s="341">
        <v>3747.1390000000001</v>
      </c>
      <c r="L66" s="4"/>
    </row>
    <row r="67" spans="2:12" x14ac:dyDescent="0.25">
      <c r="B67" s="12" t="s">
        <v>257</v>
      </c>
      <c r="C67" s="339">
        <v>942.98770000000002</v>
      </c>
      <c r="D67" s="339">
        <v>1080.222</v>
      </c>
      <c r="E67" s="339">
        <v>1178.191</v>
      </c>
      <c r="F67" s="339">
        <v>1597.6379999999999</v>
      </c>
      <c r="G67" s="339">
        <v>1646.952</v>
      </c>
      <c r="H67" s="339">
        <v>1700.982</v>
      </c>
      <c r="I67" s="340">
        <v>1786.702</v>
      </c>
      <c r="J67" s="341">
        <v>1965.6</v>
      </c>
      <c r="K67" s="341">
        <v>2299.357</v>
      </c>
      <c r="L67" s="4"/>
    </row>
    <row r="68" spans="2:12" x14ac:dyDescent="0.25">
      <c r="B68" s="12" t="s">
        <v>258</v>
      </c>
      <c r="C68" s="339">
        <v>1983.085</v>
      </c>
      <c r="D68" s="339">
        <v>2386.4679999999998</v>
      </c>
      <c r="E68" s="339">
        <v>2615.4540000000002</v>
      </c>
      <c r="F68" s="339">
        <v>2771.8330000000001</v>
      </c>
      <c r="G68" s="339">
        <v>2866.116</v>
      </c>
      <c r="H68" s="339">
        <v>2870.5819999999999</v>
      </c>
      <c r="I68" s="340">
        <v>3059.453</v>
      </c>
      <c r="J68" s="341">
        <v>3207.9189999999999</v>
      </c>
      <c r="K68" s="341">
        <v>3359.6179999999999</v>
      </c>
      <c r="L68" s="4"/>
    </row>
    <row r="69" spans="2:12" x14ac:dyDescent="0.25">
      <c r="B69" s="12" t="s">
        <v>259</v>
      </c>
      <c r="C69" s="339">
        <v>1721.596</v>
      </c>
      <c r="D69" s="339">
        <v>1895.4349999999999</v>
      </c>
      <c r="E69" s="339">
        <v>2187.0630000000001</v>
      </c>
      <c r="F69" s="339">
        <v>2887.3240000000001</v>
      </c>
      <c r="G69" s="339">
        <v>3073.7289999999998</v>
      </c>
      <c r="H69" s="339">
        <v>3395.375</v>
      </c>
      <c r="I69" s="340">
        <v>3495.1590000000001</v>
      </c>
      <c r="J69" s="341">
        <v>3923.348</v>
      </c>
      <c r="K69" s="341">
        <v>4433.63</v>
      </c>
      <c r="L69" s="4"/>
    </row>
    <row r="70" spans="2:12" x14ac:dyDescent="0.25">
      <c r="B70" s="12" t="s">
        <v>260</v>
      </c>
      <c r="C70" s="339">
        <v>1408.874</v>
      </c>
      <c r="D70" s="339">
        <v>1458.4880000000001</v>
      </c>
      <c r="E70" s="339">
        <v>1486.626</v>
      </c>
      <c r="F70" s="339">
        <v>1677.78</v>
      </c>
      <c r="G70" s="339">
        <v>1794.462</v>
      </c>
      <c r="H70" s="339">
        <v>1826.48</v>
      </c>
      <c r="I70" s="340">
        <v>1927.098</v>
      </c>
      <c r="J70" s="341">
        <v>2113.4670000000001</v>
      </c>
      <c r="K70" s="341">
        <v>2186.1869999999999</v>
      </c>
      <c r="L70" s="4"/>
    </row>
    <row r="71" spans="2:12" x14ac:dyDescent="0.25">
      <c r="B71" s="12" t="s">
        <v>261</v>
      </c>
      <c r="C71" s="339">
        <v>3640.9479999999999</v>
      </c>
      <c r="D71" s="339">
        <v>4161.5439999999999</v>
      </c>
      <c r="E71" s="339">
        <v>4160.79</v>
      </c>
      <c r="F71" s="339">
        <v>4421.9279999999999</v>
      </c>
      <c r="G71" s="339">
        <v>4693.8339999999998</v>
      </c>
      <c r="H71" s="339">
        <v>4969.5</v>
      </c>
      <c r="I71" s="340">
        <v>5343.7960000000003</v>
      </c>
      <c r="J71" s="341">
        <v>5752.6610000000001</v>
      </c>
      <c r="K71" s="341">
        <v>5914.4840000000004</v>
      </c>
    </row>
    <row r="72" spans="2:12" x14ac:dyDescent="0.25">
      <c r="B72" s="12" t="s">
        <v>262</v>
      </c>
      <c r="C72" s="339">
        <v>10192.73</v>
      </c>
      <c r="D72" s="339">
        <v>10268.280000000001</v>
      </c>
      <c r="E72" s="339">
        <v>11255.42</v>
      </c>
      <c r="F72" s="339">
        <v>12496.1</v>
      </c>
      <c r="G72" s="339">
        <v>13125.51</v>
      </c>
      <c r="H72" s="339">
        <v>15021.2</v>
      </c>
      <c r="I72" s="340">
        <v>16801.259999999998</v>
      </c>
      <c r="J72" s="341">
        <v>18313.810000000001</v>
      </c>
      <c r="K72" s="341">
        <v>20347.53</v>
      </c>
    </row>
    <row r="73" spans="2:12" x14ac:dyDescent="0.25">
      <c r="B73" s="20" t="s">
        <v>263</v>
      </c>
      <c r="C73" s="342">
        <v>192.0916</v>
      </c>
      <c r="D73" s="342">
        <v>171.18899999999999</v>
      </c>
      <c r="E73" s="342">
        <v>166.1208</v>
      </c>
      <c r="F73" s="342">
        <v>203.0992</v>
      </c>
      <c r="G73" s="342">
        <v>195.2363</v>
      </c>
      <c r="H73" s="342">
        <v>218.92930000000001</v>
      </c>
      <c r="I73" s="343">
        <v>203.46360000000001</v>
      </c>
      <c r="J73" s="344">
        <v>217.44820000000001</v>
      </c>
      <c r="K73" s="344">
        <v>241.8202</v>
      </c>
    </row>
    <row r="74" spans="2:12" x14ac:dyDescent="0.25">
      <c r="C74" s="33">
        <f>SUM(C64:C73)</f>
        <v>23680.675499999998</v>
      </c>
      <c r="D74" s="33">
        <f t="shared" ref="D74:K74" si="165">SUM(D64:D73)</f>
        <v>25401.477399999996</v>
      </c>
      <c r="E74" s="33">
        <f t="shared" si="165"/>
        <v>27317.930799999998</v>
      </c>
      <c r="F74" s="33">
        <f t="shared" si="165"/>
        <v>30652.715800000002</v>
      </c>
      <c r="G74" s="33">
        <f t="shared" si="165"/>
        <v>32391.552599999999</v>
      </c>
      <c r="H74" s="33">
        <f t="shared" si="165"/>
        <v>35240.682000000001</v>
      </c>
      <c r="I74" s="33">
        <f t="shared" si="165"/>
        <v>38140.188800000004</v>
      </c>
      <c r="J74" s="33">
        <f t="shared" si="165"/>
        <v>41212.875</v>
      </c>
      <c r="K74" s="33">
        <f t="shared" si="165"/>
        <v>44698.881200000003</v>
      </c>
    </row>
    <row r="75" spans="2:12" x14ac:dyDescent="0.25">
      <c r="B75" s="2" t="s">
        <v>264</v>
      </c>
      <c r="I75" s="4"/>
    </row>
    <row r="76" spans="2:12" x14ac:dyDescent="0.25">
      <c r="B76" s="25" t="s">
        <v>672</v>
      </c>
      <c r="I76" s="4"/>
    </row>
    <row r="77" spans="2:12" x14ac:dyDescent="0.25">
      <c r="B77" s="18"/>
      <c r="C77" s="6">
        <v>2022</v>
      </c>
      <c r="D77" s="6">
        <f t="shared" ref="D77" si="166">C77+1</f>
        <v>2023</v>
      </c>
      <c r="E77" s="6">
        <f t="shared" ref="E77" si="167">D77+1</f>
        <v>2024</v>
      </c>
      <c r="F77" s="6">
        <f t="shared" ref="F77" si="168">E77+1</f>
        <v>2025</v>
      </c>
      <c r="G77" s="6">
        <f t="shared" ref="G77" si="169">F77+1</f>
        <v>2026</v>
      </c>
      <c r="H77" s="6">
        <f t="shared" ref="H77" si="170">G77+1</f>
        <v>2027</v>
      </c>
      <c r="I77" s="19">
        <f t="shared" ref="I77" si="171">H77+1</f>
        <v>2028</v>
      </c>
      <c r="J77" s="27">
        <f t="shared" ref="J77" si="172">I77+1</f>
        <v>2029</v>
      </c>
      <c r="K77" s="27">
        <f t="shared" ref="K77" si="173">J77+1</f>
        <v>2030</v>
      </c>
    </row>
    <row r="78" spans="2:12" x14ac:dyDescent="0.25">
      <c r="B78" s="12" t="s">
        <v>265</v>
      </c>
      <c r="C78" s="345">
        <v>1.0067189999999999</v>
      </c>
      <c r="D78" s="345">
        <v>1.083302</v>
      </c>
      <c r="E78" s="345">
        <v>1.072856</v>
      </c>
      <c r="F78" s="345">
        <v>1.0916760000000001</v>
      </c>
      <c r="G78" s="345">
        <v>1.022564</v>
      </c>
      <c r="H78" s="345">
        <v>0.97678039999999999</v>
      </c>
      <c r="I78" s="346">
        <v>0.94493269999999996</v>
      </c>
      <c r="J78" s="347">
        <v>0.90311759999999996</v>
      </c>
      <c r="K78" s="347">
        <v>0.94027470000000002</v>
      </c>
    </row>
    <row r="79" spans="2:12" x14ac:dyDescent="0.25">
      <c r="B79" s="12" t="s">
        <v>266</v>
      </c>
      <c r="C79" s="345">
        <v>0.95157510000000001</v>
      </c>
      <c r="D79" s="345">
        <v>1.170148</v>
      </c>
      <c r="E79" s="345">
        <v>1.196285</v>
      </c>
      <c r="F79" s="345">
        <v>1.234035</v>
      </c>
      <c r="G79" s="345">
        <v>0.8408871</v>
      </c>
      <c r="H79" s="345">
        <v>0.8330031</v>
      </c>
      <c r="I79" s="346">
        <v>0.80633730000000003</v>
      </c>
      <c r="J79" s="347">
        <v>0.79467279999999996</v>
      </c>
      <c r="K79" s="347">
        <v>0.79797689999999999</v>
      </c>
    </row>
    <row r="80" spans="2:12" x14ac:dyDescent="0.25">
      <c r="B80" s="12" t="s">
        <v>267</v>
      </c>
      <c r="C80" s="345">
        <v>1.010599</v>
      </c>
      <c r="D80" s="345">
        <v>0.99630790000000002</v>
      </c>
      <c r="E80" s="345">
        <v>1.0688740000000001</v>
      </c>
      <c r="F80" s="345">
        <v>0.98845170000000004</v>
      </c>
      <c r="G80" s="345">
        <v>1.0642419999999999</v>
      </c>
      <c r="H80" s="345">
        <v>1.0585960000000001</v>
      </c>
      <c r="I80" s="346">
        <v>1.1077220000000001</v>
      </c>
      <c r="J80" s="347">
        <v>1.0818669999999999</v>
      </c>
      <c r="K80" s="347">
        <v>1.078714</v>
      </c>
      <c r="L80" s="1"/>
    </row>
    <row r="81" spans="2:12" x14ac:dyDescent="0.25">
      <c r="B81" s="12" t="s">
        <v>268</v>
      </c>
      <c r="C81" s="345">
        <v>0.98556180000000004</v>
      </c>
      <c r="D81" s="345">
        <v>1.01396</v>
      </c>
      <c r="E81" s="345">
        <v>0.80093119999999995</v>
      </c>
      <c r="F81" s="345">
        <v>0.78017579999999997</v>
      </c>
      <c r="G81" s="345">
        <v>0.54256269999999995</v>
      </c>
      <c r="H81" s="345">
        <v>0.50835490000000005</v>
      </c>
      <c r="I81" s="346">
        <v>0.49709340000000002</v>
      </c>
      <c r="J81" s="347">
        <v>0.47553580000000001</v>
      </c>
      <c r="K81" s="347">
        <v>0.51364169999999998</v>
      </c>
      <c r="L81" s="1"/>
    </row>
    <row r="82" spans="2:12" x14ac:dyDescent="0.25">
      <c r="B82" s="12" t="s">
        <v>269</v>
      </c>
      <c r="C82" s="345">
        <v>0.9584125</v>
      </c>
      <c r="D82" s="345">
        <v>1.1121110000000001</v>
      </c>
      <c r="E82" s="345">
        <v>1.205338</v>
      </c>
      <c r="F82" s="345">
        <v>1.254435</v>
      </c>
      <c r="G82" s="345">
        <v>1.2593859999999999</v>
      </c>
      <c r="H82" s="345">
        <v>1.247522</v>
      </c>
      <c r="I82" s="346">
        <v>1.2856559999999999</v>
      </c>
      <c r="J82" s="347">
        <v>1.3357889999999999</v>
      </c>
      <c r="K82" s="347">
        <v>1.3726050000000001</v>
      </c>
      <c r="L82" s="1"/>
    </row>
    <row r="83" spans="2:12" x14ac:dyDescent="0.25">
      <c r="B83" s="12" t="s">
        <v>270</v>
      </c>
      <c r="C83" s="345">
        <v>0.98602290000000004</v>
      </c>
      <c r="D83" s="345">
        <v>1.0761339999999999</v>
      </c>
      <c r="E83" s="345">
        <v>1.152433</v>
      </c>
      <c r="F83" s="345">
        <v>1.5058959999999999</v>
      </c>
      <c r="G83" s="345">
        <v>1.502416</v>
      </c>
      <c r="H83" s="345">
        <v>1.5210360000000001</v>
      </c>
      <c r="I83" s="346">
        <v>1.487168</v>
      </c>
      <c r="J83" s="347">
        <v>1.6555759999999999</v>
      </c>
      <c r="K83" s="347">
        <v>1.774478</v>
      </c>
      <c r="L83" s="1"/>
    </row>
    <row r="84" spans="2:12" x14ac:dyDescent="0.25">
      <c r="B84" s="12" t="s">
        <v>271</v>
      </c>
      <c r="C84" s="345">
        <v>1.0093859999999999</v>
      </c>
      <c r="D84" s="345">
        <v>0.99452870000000004</v>
      </c>
      <c r="E84" s="345">
        <v>0.93327070000000001</v>
      </c>
      <c r="F84" s="345">
        <v>1.009128</v>
      </c>
      <c r="G84" s="345">
        <v>0.9027636</v>
      </c>
      <c r="H84" s="345">
        <v>0.86423839999999996</v>
      </c>
      <c r="I84" s="346">
        <v>0.8475859</v>
      </c>
      <c r="J84" s="347">
        <v>0.88955899999999999</v>
      </c>
      <c r="K84" s="347">
        <v>0.8636201</v>
      </c>
      <c r="L84" s="1"/>
    </row>
    <row r="85" spans="2:12" x14ac:dyDescent="0.25">
      <c r="B85" s="12" t="s">
        <v>272</v>
      </c>
      <c r="C85" s="345">
        <v>1.3341689999999999</v>
      </c>
      <c r="D85" s="345">
        <v>1.455956</v>
      </c>
      <c r="E85" s="345">
        <v>1.359191</v>
      </c>
      <c r="F85" s="345">
        <v>1.318657</v>
      </c>
      <c r="G85" s="345">
        <v>1.3278110000000001</v>
      </c>
      <c r="H85" s="345">
        <v>1.300433</v>
      </c>
      <c r="I85" s="346">
        <v>0.91990930000000004</v>
      </c>
      <c r="J85" s="347">
        <v>0.87016870000000002</v>
      </c>
      <c r="K85" s="347">
        <v>0.81029700000000005</v>
      </c>
      <c r="L85" s="1"/>
    </row>
    <row r="86" spans="2:12" x14ac:dyDescent="0.25">
      <c r="B86" s="12" t="s">
        <v>273</v>
      </c>
      <c r="C86" s="345">
        <v>1.003617</v>
      </c>
      <c r="D86" s="345">
        <v>0.77751570000000003</v>
      </c>
      <c r="E86" s="345">
        <v>0.79462410000000006</v>
      </c>
      <c r="F86" s="345">
        <v>0.78980329999999999</v>
      </c>
      <c r="G86" s="345">
        <v>0.80774369999999995</v>
      </c>
      <c r="H86" s="345">
        <v>0.85883200000000004</v>
      </c>
      <c r="I86" s="346">
        <v>0.89493489999999998</v>
      </c>
      <c r="J86" s="347">
        <v>0.94643330000000003</v>
      </c>
      <c r="K86" s="347">
        <v>0.99023289999999997</v>
      </c>
      <c r="L86" s="1"/>
    </row>
    <row r="87" spans="2:12" x14ac:dyDescent="0.25">
      <c r="B87" s="20" t="s">
        <v>274</v>
      </c>
      <c r="C87" s="348">
        <v>0.494533</v>
      </c>
      <c r="D87" s="348">
        <v>0.49890859999999998</v>
      </c>
      <c r="E87" s="348">
        <v>0.49246129999999999</v>
      </c>
      <c r="F87" s="348">
        <v>0.51699949999999995</v>
      </c>
      <c r="G87" s="348">
        <v>0.47965469999999999</v>
      </c>
      <c r="H87" s="348">
        <v>0.45828920000000001</v>
      </c>
      <c r="I87" s="349">
        <v>0.44747880000000001</v>
      </c>
      <c r="J87" s="350">
        <v>0.45978730000000001</v>
      </c>
      <c r="K87" s="350">
        <v>0.47597679999999998</v>
      </c>
    </row>
    <row r="88" spans="2:12" x14ac:dyDescent="0.25">
      <c r="I88" s="4"/>
    </row>
    <row r="89" spans="2:12" x14ac:dyDescent="0.25">
      <c r="I89" s="4"/>
    </row>
    <row r="90" spans="2:12" x14ac:dyDescent="0.25">
      <c r="I90" s="4"/>
    </row>
    <row r="91" spans="2:12" x14ac:dyDescent="0.25">
      <c r="I91" s="4"/>
    </row>
    <row r="92" spans="2:12" x14ac:dyDescent="0.25">
      <c r="I92" s="4"/>
    </row>
    <row r="93" spans="2:12" x14ac:dyDescent="0.25">
      <c r="I93" s="4"/>
    </row>
    <row r="94" spans="2:12" x14ac:dyDescent="0.25">
      <c r="I94" s="4"/>
    </row>
    <row r="95" spans="2:12" x14ac:dyDescent="0.25">
      <c r="I95" s="4"/>
    </row>
    <row r="96" spans="2:12" x14ac:dyDescent="0.25">
      <c r="I96" s="4"/>
    </row>
    <row r="97" spans="9:9" x14ac:dyDescent="0.25">
      <c r="I97" s="4"/>
    </row>
    <row r="98" spans="9:9" x14ac:dyDescent="0.25">
      <c r="I98" s="4"/>
    </row>
    <row r="99" spans="9:9" x14ac:dyDescent="0.25">
      <c r="I99" s="4"/>
    </row>
    <row r="100" spans="9:9" x14ac:dyDescent="0.25">
      <c r="I100" s="4"/>
    </row>
    <row r="101" spans="9:9" x14ac:dyDescent="0.25">
      <c r="I101" s="4"/>
    </row>
    <row r="102" spans="9:9" x14ac:dyDescent="0.25">
      <c r="I102" s="4"/>
    </row>
    <row r="103" spans="9:9" x14ac:dyDescent="0.25">
      <c r="I103" s="4"/>
    </row>
    <row r="104" spans="9:9" x14ac:dyDescent="0.25">
      <c r="I104" s="4"/>
    </row>
    <row r="105" spans="9:9" x14ac:dyDescent="0.25">
      <c r="I105" s="4"/>
    </row>
    <row r="106" spans="9:9" x14ac:dyDescent="0.25">
      <c r="I106" s="4"/>
    </row>
    <row r="107" spans="9:9" x14ac:dyDescent="0.25">
      <c r="I107" s="4"/>
    </row>
    <row r="108" spans="9:9" x14ac:dyDescent="0.25">
      <c r="I108" s="4"/>
    </row>
  </sheetData>
  <mergeCells count="19">
    <mergeCell ref="BH34:BI34"/>
    <mergeCell ref="U25:W25"/>
    <mergeCell ref="U26:W26"/>
    <mergeCell ref="U27:W27"/>
    <mergeCell ref="U28:W28"/>
    <mergeCell ref="U29:W29"/>
    <mergeCell ref="U30:W30"/>
    <mergeCell ref="U31:W31"/>
    <mergeCell ref="AE4:AG4"/>
    <mergeCell ref="U21:W21"/>
    <mergeCell ref="U22:W22"/>
    <mergeCell ref="U23:W23"/>
    <mergeCell ref="U24:W24"/>
    <mergeCell ref="U20:W20"/>
    <mergeCell ref="U37:W38"/>
    <mergeCell ref="U39:W40"/>
    <mergeCell ref="U41:W42"/>
    <mergeCell ref="U43:W44"/>
    <mergeCell ref="U34:W34"/>
  </mergeCells>
  <pageMargins left="0.11811023622047245" right="0.11811023622047245" top="0.74803149606299213" bottom="0.74803149606299213" header="0.31496062992125984" footer="0.31496062992125984"/>
  <pageSetup paperSize="9" scale="73" orientation="landscape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E0BC-7BF7-4AA7-9D11-7256B2BF0177}">
  <dimension ref="A1:V114"/>
  <sheetViews>
    <sheetView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B100" sqref="B100"/>
    </sheetView>
  </sheetViews>
  <sheetFormatPr defaultRowHeight="15" x14ac:dyDescent="0.25"/>
  <cols>
    <col min="2" max="2" width="30.140625" customWidth="1"/>
    <col min="3" max="3" width="11.42578125" bestFit="1" customWidth="1"/>
    <col min="10" max="10" width="8.85546875" customWidth="1"/>
    <col min="11" max="11" width="9.42578125" customWidth="1"/>
    <col min="13" max="13" width="39.140625" customWidth="1"/>
  </cols>
  <sheetData>
    <row r="1" spans="1:22" x14ac:dyDescent="0.25">
      <c r="B1" t="s">
        <v>904</v>
      </c>
    </row>
    <row r="2" spans="1:22" ht="21" x14ac:dyDescent="0.35">
      <c r="B2" s="3" t="s">
        <v>277</v>
      </c>
      <c r="M2" s="250" t="s">
        <v>820</v>
      </c>
      <c r="N2" s="250"/>
      <c r="O2" s="250"/>
    </row>
    <row r="3" spans="1:22" x14ac:dyDescent="0.25">
      <c r="B3" t="s">
        <v>905</v>
      </c>
    </row>
    <row r="4" spans="1:22" x14ac:dyDescent="0.25">
      <c r="B4" s="2" t="s">
        <v>278</v>
      </c>
    </row>
    <row r="5" spans="1:22" x14ac:dyDescent="0.25">
      <c r="B5" s="25" t="s">
        <v>673</v>
      </c>
    </row>
    <row r="6" spans="1:22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27">
        <f t="shared" si="0"/>
        <v>2031</v>
      </c>
      <c r="K6" s="27">
        <f t="shared" si="0"/>
        <v>2032</v>
      </c>
      <c r="M6" s="242"/>
      <c r="N6" s="242">
        <v>2022</v>
      </c>
      <c r="O6" s="242">
        <f t="shared" ref="O6" si="1">N6+1</f>
        <v>2023</v>
      </c>
      <c r="P6" s="242">
        <f t="shared" ref="P6" si="2">O6+1</f>
        <v>2024</v>
      </c>
      <c r="Q6" s="242">
        <f t="shared" ref="Q6" si="3">P6+1</f>
        <v>2025</v>
      </c>
      <c r="R6" s="242">
        <f t="shared" ref="R6" si="4">Q6+1</f>
        <v>2026</v>
      </c>
      <c r="S6" s="242">
        <f t="shared" ref="S6" si="5">R6+1</f>
        <v>2027</v>
      </c>
      <c r="T6" s="242">
        <f t="shared" ref="T6" si="6">S6+1</f>
        <v>2028</v>
      </c>
      <c r="U6" s="242">
        <f t="shared" ref="U6" si="7">T6+1</f>
        <v>2029</v>
      </c>
      <c r="V6" s="242">
        <f t="shared" ref="V6" si="8">U6+1</f>
        <v>2030</v>
      </c>
    </row>
    <row r="7" spans="1:22" x14ac:dyDescent="0.25">
      <c r="B7" s="20" t="s">
        <v>279</v>
      </c>
      <c r="C7" s="351">
        <v>23680.68</v>
      </c>
      <c r="D7" s="351">
        <v>25401.47</v>
      </c>
      <c r="E7" s="351">
        <v>27317.93</v>
      </c>
      <c r="F7" s="351">
        <v>30652.71</v>
      </c>
      <c r="G7" s="351">
        <v>32391.55</v>
      </c>
      <c r="H7" s="351">
        <v>35240.68</v>
      </c>
      <c r="I7" s="351">
        <v>38140.19</v>
      </c>
      <c r="J7" s="351">
        <v>41212.870000000003</v>
      </c>
      <c r="K7" s="352">
        <v>44698.879999999997</v>
      </c>
      <c r="M7" s="242" t="s">
        <v>282</v>
      </c>
      <c r="N7" s="242">
        <f>C12</f>
        <v>178198.9</v>
      </c>
      <c r="O7" s="242">
        <f t="shared" ref="O7:V7" si="9">D12</f>
        <v>181254.7</v>
      </c>
      <c r="P7" s="242">
        <f t="shared" si="9"/>
        <v>184455.1</v>
      </c>
      <c r="Q7" s="242">
        <f t="shared" si="9"/>
        <v>190405.9</v>
      </c>
      <c r="R7" s="242">
        <f t="shared" si="9"/>
        <v>188270.8</v>
      </c>
      <c r="S7" s="242">
        <f t="shared" si="9"/>
        <v>197807.9</v>
      </c>
      <c r="T7" s="242">
        <f t="shared" si="9"/>
        <v>210908.4</v>
      </c>
      <c r="U7" s="242">
        <f t="shared" si="9"/>
        <v>217576.1</v>
      </c>
      <c r="V7" s="242">
        <f t="shared" si="9"/>
        <v>225813.1</v>
      </c>
    </row>
    <row r="8" spans="1:22" x14ac:dyDescent="0.25">
      <c r="B8" t="s">
        <v>906</v>
      </c>
      <c r="I8" s="4"/>
      <c r="K8" s="4"/>
      <c r="M8" s="242" t="s">
        <v>821</v>
      </c>
      <c r="N8" s="44">
        <f>'4_Demand'!C45</f>
        <v>75206.33</v>
      </c>
      <c r="O8" s="44">
        <f>'4_Demand'!D45</f>
        <v>77968.460000000006</v>
      </c>
      <c r="P8" s="44">
        <f>'4_Demand'!E45</f>
        <v>82697.53</v>
      </c>
      <c r="Q8" s="44">
        <f>'4_Demand'!F45</f>
        <v>88077.81</v>
      </c>
      <c r="R8" s="44">
        <f>'4_Demand'!G45</f>
        <v>105031.3</v>
      </c>
      <c r="S8" s="44">
        <f>'4_Demand'!H45</f>
        <v>105712.3</v>
      </c>
      <c r="T8" s="44">
        <f>'4_Demand'!I45</f>
        <v>105665.1</v>
      </c>
      <c r="U8" s="44">
        <f>'4_Demand'!J45</f>
        <v>114942.5</v>
      </c>
      <c r="V8" s="44">
        <f>'4_Demand'!K45</f>
        <v>120227.9</v>
      </c>
    </row>
    <row r="9" spans="1:22" x14ac:dyDescent="0.25">
      <c r="B9" s="2" t="s">
        <v>280</v>
      </c>
      <c r="I9" s="4"/>
      <c r="K9" s="4"/>
      <c r="M9" s="209" t="s">
        <v>826</v>
      </c>
      <c r="N9" s="251">
        <f>N10-N11</f>
        <v>-52160.383975986551</v>
      </c>
      <c r="O9" s="251">
        <f t="shared" ref="O9:V9" si="10">O10-O11</f>
        <v>-52505.95967074277</v>
      </c>
      <c r="P9" s="251">
        <f t="shared" si="10"/>
        <v>-53379.374554237598</v>
      </c>
      <c r="Q9" s="251">
        <f t="shared" si="10"/>
        <v>-54582.933302841207</v>
      </c>
      <c r="R9" s="251">
        <f t="shared" si="10"/>
        <v>-56534.52493687543</v>
      </c>
      <c r="S9" s="251">
        <f t="shared" si="10"/>
        <v>-57766.388107407329</v>
      </c>
      <c r="T9" s="251">
        <f t="shared" si="10"/>
        <v>-58487.934039526757</v>
      </c>
      <c r="U9" s="251">
        <f t="shared" si="10"/>
        <v>-60478.71802548079</v>
      </c>
      <c r="V9" s="251">
        <f t="shared" si="10"/>
        <v>-61602.984574675444</v>
      </c>
    </row>
    <row r="10" spans="1:22" x14ac:dyDescent="0.25">
      <c r="B10" s="25" t="s">
        <v>674</v>
      </c>
      <c r="I10" s="4"/>
      <c r="K10" s="4"/>
      <c r="M10" s="242" t="s">
        <v>822</v>
      </c>
      <c r="N10" s="44">
        <f>'5_IntTrade'!C31</f>
        <v>15708.052297690112</v>
      </c>
      <c r="O10" s="44">
        <f>'5_IntTrade'!D31</f>
        <v>17506.423548080118</v>
      </c>
      <c r="P10" s="44">
        <f>'5_IntTrade'!E31</f>
        <v>19566.129799225109</v>
      </c>
      <c r="Q10" s="44">
        <f>'5_IntTrade'!F31</f>
        <v>22519.253750002896</v>
      </c>
      <c r="R10" s="44">
        <f>'5_IntTrade'!G31</f>
        <v>24521.238591850601</v>
      </c>
      <c r="S10" s="44">
        <f>'5_IntTrade'!H31</f>
        <v>26472.616983205298</v>
      </c>
      <c r="T10" s="44">
        <f>'5_IntTrade'!I31</f>
        <v>28444.478623736497</v>
      </c>
      <c r="U10" s="44">
        <f>'5_IntTrade'!J31</f>
        <v>31427.918224771998</v>
      </c>
      <c r="V10" s="44">
        <f>'5_IntTrade'!K31</f>
        <v>33548.777525579499</v>
      </c>
    </row>
    <row r="11" spans="1:22" x14ac:dyDescent="0.25">
      <c r="B11" s="18"/>
      <c r="C11" s="6">
        <v>2024</v>
      </c>
      <c r="D11" s="6">
        <f t="shared" ref="D11:K11" si="11">C11+1</f>
        <v>2025</v>
      </c>
      <c r="E11" s="6">
        <f t="shared" si="11"/>
        <v>2026</v>
      </c>
      <c r="F11" s="6">
        <f t="shared" si="11"/>
        <v>2027</v>
      </c>
      <c r="G11" s="6">
        <f t="shared" si="11"/>
        <v>2028</v>
      </c>
      <c r="H11" s="6">
        <f t="shared" si="11"/>
        <v>2029</v>
      </c>
      <c r="I11" s="19">
        <f t="shared" si="11"/>
        <v>2030</v>
      </c>
      <c r="J11" s="27">
        <f t="shared" si="11"/>
        <v>2031</v>
      </c>
      <c r="K11" s="27">
        <f t="shared" si="11"/>
        <v>2032</v>
      </c>
      <c r="M11" s="242" t="s">
        <v>823</v>
      </c>
      <c r="N11" s="44">
        <f>'5_IntTrade'!C60</f>
        <v>67868.436273676663</v>
      </c>
      <c r="O11" s="44">
        <f>'5_IntTrade'!D60</f>
        <v>70012.383218822884</v>
      </c>
      <c r="P11" s="44">
        <f>'5_IntTrade'!E60</f>
        <v>72945.504353462704</v>
      </c>
      <c r="Q11" s="44">
        <f>'5_IntTrade'!F60</f>
        <v>77102.187052844107</v>
      </c>
      <c r="R11" s="44">
        <f>'5_IntTrade'!G60</f>
        <v>81055.763528726035</v>
      </c>
      <c r="S11" s="44">
        <f>'5_IntTrade'!H60</f>
        <v>84239.005090612627</v>
      </c>
      <c r="T11" s="44">
        <f>'5_IntTrade'!I60</f>
        <v>86932.412663263254</v>
      </c>
      <c r="U11" s="44">
        <f>'5_IntTrade'!J60</f>
        <v>91906.636250252792</v>
      </c>
      <c r="V11" s="44">
        <f>'5_IntTrade'!K60</f>
        <v>95151.762100254942</v>
      </c>
    </row>
    <row r="12" spans="1:22" x14ac:dyDescent="0.25">
      <c r="A12" s="42">
        <v>1</v>
      </c>
      <c r="B12" s="20" t="s">
        <v>282</v>
      </c>
      <c r="C12" s="351">
        <v>178198.9</v>
      </c>
      <c r="D12" s="351">
        <v>181254.7</v>
      </c>
      <c r="E12" s="351">
        <v>184455.1</v>
      </c>
      <c r="F12" s="351">
        <v>190405.9</v>
      </c>
      <c r="G12" s="351">
        <v>188270.8</v>
      </c>
      <c r="H12" s="351">
        <v>197807.9</v>
      </c>
      <c r="I12" s="351">
        <v>210908.4</v>
      </c>
      <c r="J12" s="351">
        <v>217576.1</v>
      </c>
      <c r="K12" s="352">
        <v>225813.1</v>
      </c>
      <c r="M12" s="242" t="s">
        <v>824</v>
      </c>
      <c r="N12" s="252">
        <f>N14-N13</f>
        <v>-46150.347370983916</v>
      </c>
      <c r="O12" s="252">
        <f t="shared" ref="O12:V12" si="12">O14-O13</f>
        <v>-33678.145965665404</v>
      </c>
      <c r="P12" s="252">
        <f t="shared" si="12"/>
        <v>-16088.674675883638</v>
      </c>
      <c r="Q12" s="252">
        <f t="shared" si="12"/>
        <v>-913.02046670817072</v>
      </c>
      <c r="R12" s="252">
        <f t="shared" si="12"/>
        <v>15273.894104393112</v>
      </c>
      <c r="S12" s="252">
        <f t="shared" si="12"/>
        <v>43557.047010209004</v>
      </c>
      <c r="T12" s="252">
        <f t="shared" si="12"/>
        <v>66955.637067852193</v>
      </c>
      <c r="U12" s="252">
        <f t="shared" si="12"/>
        <v>96290.972378092643</v>
      </c>
      <c r="V12" s="252">
        <f t="shared" si="12"/>
        <v>129532.32242300198</v>
      </c>
    </row>
    <row r="13" spans="1:22" ht="21" x14ac:dyDescent="0.35">
      <c r="B13" t="s">
        <v>907</v>
      </c>
      <c r="I13" s="4"/>
      <c r="K13" s="4"/>
      <c r="M13" s="253" t="s">
        <v>820</v>
      </c>
      <c r="N13" s="44">
        <f t="shared" ref="N13:V13" si="13">N7+N8+N10-N11</f>
        <v>201244.84602401344</v>
      </c>
      <c r="O13" s="44">
        <f t="shared" si="13"/>
        <v>206717.20032925729</v>
      </c>
      <c r="P13" s="44">
        <f t="shared" si="13"/>
        <v>213773.25544576242</v>
      </c>
      <c r="Q13" s="44">
        <f t="shared" si="13"/>
        <v>223900.77669715876</v>
      </c>
      <c r="R13" s="44">
        <f t="shared" si="13"/>
        <v>236767.57506312456</v>
      </c>
      <c r="S13" s="44">
        <f t="shared" si="13"/>
        <v>245753.8118925927</v>
      </c>
      <c r="T13" s="44">
        <f t="shared" si="13"/>
        <v>258085.56596047321</v>
      </c>
      <c r="U13" s="44">
        <f t="shared" si="13"/>
        <v>272039.88197451917</v>
      </c>
      <c r="V13" s="44">
        <f t="shared" si="13"/>
        <v>284438.01542532456</v>
      </c>
    </row>
    <row r="14" spans="1:22" ht="21" x14ac:dyDescent="0.35">
      <c r="B14" s="2" t="s">
        <v>281</v>
      </c>
      <c r="I14" s="4"/>
      <c r="K14" s="4"/>
      <c r="M14" s="253" t="s">
        <v>825</v>
      </c>
      <c r="N14" s="44">
        <f>'GDP-total'!B20</f>
        <v>155094.49865302953</v>
      </c>
      <c r="O14" s="44">
        <f>'GDP-total'!C20</f>
        <v>173039.05436359189</v>
      </c>
      <c r="P14" s="44">
        <f>'GDP-total'!D20</f>
        <v>197684.58076987878</v>
      </c>
      <c r="Q14" s="44">
        <f>'GDP-total'!E20</f>
        <v>222987.75623045058</v>
      </c>
      <c r="R14" s="44">
        <f>'GDP-total'!F20</f>
        <v>252041.46916751767</v>
      </c>
      <c r="S14" s="44">
        <f>'GDP-total'!G20</f>
        <v>289310.8589028017</v>
      </c>
      <c r="T14" s="44">
        <f>'GDP-total'!H20</f>
        <v>325041.2030283254</v>
      </c>
      <c r="U14" s="44">
        <f>'GDP-total'!I20</f>
        <v>368330.85435261182</v>
      </c>
      <c r="V14" s="44">
        <f>'GDP-total'!J20</f>
        <v>413970.33784832654</v>
      </c>
    </row>
    <row r="15" spans="1:22" x14ac:dyDescent="0.25">
      <c r="B15" s="25" t="s">
        <v>885</v>
      </c>
      <c r="I15" s="4"/>
      <c r="K15" s="4"/>
    </row>
    <row r="16" spans="1:22" x14ac:dyDescent="0.25">
      <c r="B16" s="18"/>
      <c r="C16" s="6">
        <v>2024</v>
      </c>
      <c r="D16" s="6">
        <f t="shared" ref="D16:K16" si="14">C16+1</f>
        <v>2025</v>
      </c>
      <c r="E16" s="6">
        <f t="shared" si="14"/>
        <v>2026</v>
      </c>
      <c r="F16" s="6">
        <f t="shared" si="14"/>
        <v>2027</v>
      </c>
      <c r="G16" s="6">
        <f t="shared" si="14"/>
        <v>2028</v>
      </c>
      <c r="H16" s="6">
        <f t="shared" si="14"/>
        <v>2029</v>
      </c>
      <c r="I16" s="19">
        <f t="shared" si="14"/>
        <v>2030</v>
      </c>
      <c r="J16" s="27">
        <f t="shared" si="14"/>
        <v>2031</v>
      </c>
      <c r="K16" s="27">
        <f t="shared" si="14"/>
        <v>2032</v>
      </c>
    </row>
    <row r="17" spans="2:11" x14ac:dyDescent="0.25">
      <c r="B17" s="20" t="s">
        <v>283</v>
      </c>
      <c r="C17" s="351">
        <v>165220</v>
      </c>
      <c r="D17" s="351">
        <v>168053.2</v>
      </c>
      <c r="E17" s="351">
        <v>171020.6</v>
      </c>
      <c r="F17" s="351">
        <v>176537.9</v>
      </c>
      <c r="G17" s="351">
        <v>174558.3</v>
      </c>
      <c r="H17" s="351">
        <v>183400.8</v>
      </c>
      <c r="I17" s="351">
        <v>195547.1</v>
      </c>
      <c r="J17" s="351">
        <v>201729.2</v>
      </c>
      <c r="K17" s="352">
        <v>209366.3</v>
      </c>
    </row>
    <row r="18" spans="2:11" x14ac:dyDescent="0.25">
      <c r="B18" t="s">
        <v>908</v>
      </c>
      <c r="C18" s="353">
        <f>[6]IEA2024!$P$23</f>
        <v>212972.59999999998</v>
      </c>
      <c r="D18" s="31"/>
      <c r="E18" s="31"/>
      <c r="I18" s="4"/>
    </row>
    <row r="19" spans="2:11" x14ac:dyDescent="0.25">
      <c r="B19" s="2" t="s">
        <v>284</v>
      </c>
      <c r="I19" s="4"/>
    </row>
    <row r="20" spans="2:11" x14ac:dyDescent="0.25">
      <c r="B20" s="25" t="s">
        <v>675</v>
      </c>
      <c r="I20" s="4"/>
    </row>
    <row r="21" spans="2:11" x14ac:dyDescent="0.25">
      <c r="B21" s="18"/>
      <c r="C21" s="6">
        <v>2024</v>
      </c>
      <c r="D21" s="6">
        <f t="shared" ref="D21:K21" si="15">C21+1</f>
        <v>2025</v>
      </c>
      <c r="E21" s="6">
        <f t="shared" si="15"/>
        <v>2026</v>
      </c>
      <c r="F21" s="6">
        <f t="shared" si="15"/>
        <v>2027</v>
      </c>
      <c r="G21" s="6">
        <f t="shared" si="15"/>
        <v>2028</v>
      </c>
      <c r="H21" s="6">
        <f t="shared" si="15"/>
        <v>2029</v>
      </c>
      <c r="I21" s="19">
        <f t="shared" si="15"/>
        <v>2030</v>
      </c>
      <c r="J21" s="27">
        <f t="shared" si="15"/>
        <v>2031</v>
      </c>
      <c r="K21" s="27">
        <f t="shared" si="15"/>
        <v>2032</v>
      </c>
    </row>
    <row r="22" spans="2:11" x14ac:dyDescent="0.25">
      <c r="B22" s="20" t="s">
        <v>285</v>
      </c>
      <c r="C22" s="351">
        <v>15568.47</v>
      </c>
      <c r="D22" s="351">
        <v>15835.44</v>
      </c>
      <c r="E22" s="351">
        <v>16115.05</v>
      </c>
      <c r="F22" s="351">
        <v>16634.939999999999</v>
      </c>
      <c r="G22" s="351">
        <v>16448.400000000001</v>
      </c>
      <c r="H22" s="351">
        <v>17281.62</v>
      </c>
      <c r="I22" s="351">
        <v>18426.150000000001</v>
      </c>
      <c r="J22" s="351">
        <v>19008.68</v>
      </c>
      <c r="K22" s="352">
        <v>19728.310000000001</v>
      </c>
    </row>
    <row r="23" spans="2:11" x14ac:dyDescent="0.25">
      <c r="B23" t="s">
        <v>909</v>
      </c>
      <c r="C23" s="32">
        <f>'[6]MacroSAM 2024'!$G$17</f>
        <v>15565.063387119968</v>
      </c>
      <c r="D23" s="31"/>
      <c r="E23" s="31"/>
      <c r="I23" s="4"/>
    </row>
    <row r="24" spans="2:11" x14ac:dyDescent="0.25">
      <c r="B24" s="2" t="s">
        <v>286</v>
      </c>
      <c r="I24" s="4"/>
    </row>
    <row r="25" spans="2:11" x14ac:dyDescent="0.25">
      <c r="B25" s="25" t="s">
        <v>676</v>
      </c>
      <c r="I25" s="4"/>
    </row>
    <row r="26" spans="2:11" x14ac:dyDescent="0.25">
      <c r="B26" s="18"/>
      <c r="C26" s="6">
        <v>2024</v>
      </c>
      <c r="D26" s="6">
        <f t="shared" ref="D26:K26" si="16">C26+1</f>
        <v>2025</v>
      </c>
      <c r="E26" s="6">
        <f t="shared" si="16"/>
        <v>2026</v>
      </c>
      <c r="F26" s="6">
        <f t="shared" si="16"/>
        <v>2027</v>
      </c>
      <c r="G26" s="6">
        <f t="shared" si="16"/>
        <v>2028</v>
      </c>
      <c r="H26" s="6">
        <f t="shared" si="16"/>
        <v>2029</v>
      </c>
      <c r="I26" s="19">
        <f t="shared" si="16"/>
        <v>2030</v>
      </c>
      <c r="J26" s="27">
        <f t="shared" si="16"/>
        <v>2031</v>
      </c>
      <c r="K26" s="27">
        <f t="shared" si="16"/>
        <v>2032</v>
      </c>
    </row>
    <row r="27" spans="2:11" x14ac:dyDescent="0.25">
      <c r="B27" s="20" t="s">
        <v>287</v>
      </c>
      <c r="C27" s="351">
        <v>30478.01</v>
      </c>
      <c r="D27" s="351">
        <v>32299.64</v>
      </c>
      <c r="E27" s="351">
        <v>34204.160000000003</v>
      </c>
      <c r="F27" s="351">
        <v>36798.699999999997</v>
      </c>
      <c r="G27" s="351">
        <v>41452.82</v>
      </c>
      <c r="H27" s="351">
        <v>44682.92</v>
      </c>
      <c r="I27" s="351">
        <v>47543.05</v>
      </c>
      <c r="J27" s="351">
        <v>50773.95</v>
      </c>
      <c r="K27" s="352">
        <v>53106.65</v>
      </c>
    </row>
    <row r="28" spans="2:11" x14ac:dyDescent="0.25">
      <c r="B28" t="s">
        <v>910</v>
      </c>
      <c r="C28" s="32">
        <f>'[6]MacroSAM 2024'!$L$15</f>
        <v>44182.985969288027</v>
      </c>
      <c r="I28" s="4"/>
    </row>
    <row r="29" spans="2:11" x14ac:dyDescent="0.25">
      <c r="B29" s="2" t="s">
        <v>290</v>
      </c>
      <c r="I29" s="4"/>
    </row>
    <row r="30" spans="2:11" x14ac:dyDescent="0.25">
      <c r="B30" s="25" t="s">
        <v>677</v>
      </c>
      <c r="I30" s="4"/>
    </row>
    <row r="31" spans="2:11" x14ac:dyDescent="0.25">
      <c r="B31" s="18"/>
      <c r="C31" s="6">
        <v>2024</v>
      </c>
      <c r="D31" s="6">
        <f t="shared" ref="D31:K31" si="17">C31+1</f>
        <v>2025</v>
      </c>
      <c r="E31" s="6">
        <f t="shared" si="17"/>
        <v>2026</v>
      </c>
      <c r="F31" s="6">
        <f t="shared" si="17"/>
        <v>2027</v>
      </c>
      <c r="G31" s="6">
        <f t="shared" si="17"/>
        <v>2028</v>
      </c>
      <c r="H31" s="6">
        <f t="shared" si="17"/>
        <v>2029</v>
      </c>
      <c r="I31" s="19">
        <f t="shared" si="17"/>
        <v>2030</v>
      </c>
      <c r="J31" s="27">
        <f t="shared" si="17"/>
        <v>2031</v>
      </c>
      <c r="K31" s="27">
        <f t="shared" si="17"/>
        <v>2032</v>
      </c>
    </row>
    <row r="32" spans="2:11" x14ac:dyDescent="0.25">
      <c r="B32" s="20" t="s">
        <v>701</v>
      </c>
      <c r="C32" s="351">
        <v>15805.01</v>
      </c>
      <c r="D32" s="351">
        <v>15691.87</v>
      </c>
      <c r="E32" s="351">
        <v>16221.05</v>
      </c>
      <c r="F32" s="351">
        <v>15666.08</v>
      </c>
      <c r="G32" s="351">
        <v>24673.69</v>
      </c>
      <c r="H32" s="351">
        <v>18994.419999999998</v>
      </c>
      <c r="I32" s="351">
        <v>13420.02</v>
      </c>
      <c r="J32" s="351">
        <v>15218.02</v>
      </c>
      <c r="K32" s="352">
        <v>15398.33</v>
      </c>
    </row>
    <row r="33" spans="2:11" x14ac:dyDescent="0.25">
      <c r="B33" t="s">
        <v>911</v>
      </c>
      <c r="C33" s="32">
        <f>'[6]MacroSAM 2024'!$I$17</f>
        <v>16354.199999999993</v>
      </c>
      <c r="K33" s="4"/>
    </row>
    <row r="34" spans="2:11" x14ac:dyDescent="0.25">
      <c r="B34" s="2" t="s">
        <v>288</v>
      </c>
      <c r="K34" s="4"/>
    </row>
    <row r="35" spans="2:11" x14ac:dyDescent="0.25">
      <c r="B35" s="25" t="s">
        <v>678</v>
      </c>
      <c r="K35" s="4"/>
    </row>
    <row r="36" spans="2:11" x14ac:dyDescent="0.25">
      <c r="B36" s="18"/>
      <c r="C36" s="6">
        <v>2024</v>
      </c>
      <c r="D36" s="6">
        <f t="shared" ref="D36:K36" si="18">C36+1</f>
        <v>2025</v>
      </c>
      <c r="E36" s="6">
        <f t="shared" si="18"/>
        <v>2026</v>
      </c>
      <c r="F36" s="6">
        <f t="shared" si="18"/>
        <v>2027</v>
      </c>
      <c r="G36" s="6">
        <f t="shared" si="18"/>
        <v>2028</v>
      </c>
      <c r="H36" s="6">
        <f t="shared" si="18"/>
        <v>2029</v>
      </c>
      <c r="I36" s="19">
        <f t="shared" si="18"/>
        <v>2030</v>
      </c>
      <c r="J36" s="27">
        <f t="shared" si="18"/>
        <v>2031</v>
      </c>
      <c r="K36" s="27">
        <f t="shared" si="18"/>
        <v>2032</v>
      </c>
    </row>
    <row r="37" spans="2:11" x14ac:dyDescent="0.25">
      <c r="B37" s="20" t="s">
        <v>289</v>
      </c>
      <c r="C37" s="351">
        <v>59317.95</v>
      </c>
      <c r="D37" s="351">
        <v>63914.720000000001</v>
      </c>
      <c r="E37" s="351">
        <v>67197.62</v>
      </c>
      <c r="F37" s="351">
        <v>72636.77</v>
      </c>
      <c r="G37" s="351">
        <v>77828.42</v>
      </c>
      <c r="H37" s="351">
        <v>82925.37</v>
      </c>
      <c r="I37" s="351">
        <v>88058.96</v>
      </c>
      <c r="J37" s="351">
        <v>93957.179999999906</v>
      </c>
      <c r="K37" s="352">
        <v>98974.21</v>
      </c>
    </row>
    <row r="38" spans="2:11" x14ac:dyDescent="0.25">
      <c r="C38" s="32">
        <f>'[6]MacroSAM 2024'!$L$16</f>
        <v>93530.106107111947</v>
      </c>
      <c r="I38" s="4"/>
      <c r="K38" s="4"/>
    </row>
    <row r="39" spans="2:11" x14ac:dyDescent="0.25">
      <c r="B39" s="2" t="s">
        <v>291</v>
      </c>
      <c r="I39" s="4"/>
    </row>
    <row r="40" spans="2:11" x14ac:dyDescent="0.25">
      <c r="B40" s="25" t="s">
        <v>679</v>
      </c>
      <c r="I40" s="4"/>
    </row>
    <row r="41" spans="2:11" x14ac:dyDescent="0.25">
      <c r="B41" s="18"/>
      <c r="C41" s="6">
        <v>2024</v>
      </c>
      <c r="D41" s="6">
        <f t="shared" ref="D41:K41" si="19">C41+1</f>
        <v>2025</v>
      </c>
      <c r="E41" s="6">
        <f t="shared" si="19"/>
        <v>2026</v>
      </c>
      <c r="F41" s="6">
        <f t="shared" si="19"/>
        <v>2027</v>
      </c>
      <c r="G41" s="6">
        <f t="shared" si="19"/>
        <v>2028</v>
      </c>
      <c r="H41" s="6">
        <f t="shared" si="19"/>
        <v>2029</v>
      </c>
      <c r="I41" s="19">
        <f t="shared" si="19"/>
        <v>2030</v>
      </c>
      <c r="J41" s="27">
        <f t="shared" si="19"/>
        <v>2031</v>
      </c>
      <c r="K41" s="27">
        <f t="shared" si="19"/>
        <v>2032</v>
      </c>
    </row>
    <row r="42" spans="2:11" x14ac:dyDescent="0.25">
      <c r="B42" s="12" t="s">
        <v>292</v>
      </c>
      <c r="C42" s="339">
        <v>154.30000000000001</v>
      </c>
      <c r="D42" s="339">
        <v>172.19560000000001</v>
      </c>
      <c r="E42" s="339">
        <v>180.07040000000001</v>
      </c>
      <c r="F42" s="339">
        <v>188.92840000000001</v>
      </c>
      <c r="G42" s="339">
        <v>192.8</v>
      </c>
      <c r="H42" s="339">
        <v>203.25479999999999</v>
      </c>
      <c r="I42" s="340">
        <v>205.2955</v>
      </c>
      <c r="J42" s="341">
        <v>214.12010000000001</v>
      </c>
      <c r="K42" s="341">
        <v>227.6379</v>
      </c>
    </row>
    <row r="43" spans="2:11" x14ac:dyDescent="0.25">
      <c r="B43" s="12" t="s">
        <v>293</v>
      </c>
      <c r="C43" s="339">
        <v>114.5565</v>
      </c>
      <c r="D43" s="339">
        <v>145.49789999999999</v>
      </c>
      <c r="E43" s="339">
        <v>156.26660000000001</v>
      </c>
      <c r="F43" s="339">
        <v>168.19220000000001</v>
      </c>
      <c r="G43" s="339">
        <v>177.67599999999999</v>
      </c>
      <c r="H43" s="339">
        <v>186.96</v>
      </c>
      <c r="I43" s="340">
        <v>197.31909999999999</v>
      </c>
      <c r="J43" s="341">
        <v>210.27860000000001</v>
      </c>
      <c r="K43" s="341">
        <v>220.2655</v>
      </c>
    </row>
    <row r="44" spans="2:11" x14ac:dyDescent="0.25">
      <c r="B44" s="12" t="s">
        <v>294</v>
      </c>
      <c r="C44" s="339">
        <v>1618.2729999999999</v>
      </c>
      <c r="D44" s="339">
        <v>1735.143</v>
      </c>
      <c r="E44" s="339">
        <v>1895.258</v>
      </c>
      <c r="F44" s="339">
        <v>2078.1239999999998</v>
      </c>
      <c r="G44" s="339">
        <v>2309.0770000000002</v>
      </c>
      <c r="H44" s="339">
        <v>2521.12</v>
      </c>
      <c r="I44" s="340">
        <v>2629.12</v>
      </c>
      <c r="J44" s="341">
        <v>2729.41</v>
      </c>
      <c r="K44" s="341">
        <v>2807.3710000000001</v>
      </c>
    </row>
    <row r="45" spans="2:11" x14ac:dyDescent="0.25">
      <c r="B45" s="12" t="s">
        <v>295</v>
      </c>
      <c r="C45" s="339">
        <v>624.93349999999998</v>
      </c>
      <c r="D45" s="339">
        <v>730.1422</v>
      </c>
      <c r="E45" s="339">
        <v>793.63340000000005</v>
      </c>
      <c r="F45" s="339">
        <v>1076.3789999999999</v>
      </c>
      <c r="G45" s="339">
        <v>1106.1610000000001</v>
      </c>
      <c r="H45" s="339">
        <v>1135.615</v>
      </c>
      <c r="I45" s="340">
        <v>1183.6379999999999</v>
      </c>
      <c r="J45" s="341">
        <v>1346.645</v>
      </c>
      <c r="K45" s="341">
        <v>1559.578</v>
      </c>
    </row>
    <row r="46" spans="2:11" x14ac:dyDescent="0.25">
      <c r="B46" s="12" t="s">
        <v>296</v>
      </c>
      <c r="C46" s="339">
        <v>513.46069999999997</v>
      </c>
      <c r="D46" s="339">
        <v>608.10640000000001</v>
      </c>
      <c r="E46" s="339">
        <v>674.36369999999999</v>
      </c>
      <c r="F46" s="339">
        <v>720.50019999999995</v>
      </c>
      <c r="G46" s="339">
        <v>770.24199999999996</v>
      </c>
      <c r="H46" s="339">
        <v>786.55930000000001</v>
      </c>
      <c r="I46" s="340">
        <v>829.94389999999999</v>
      </c>
      <c r="J46" s="341">
        <v>876.6807</v>
      </c>
      <c r="K46" s="354">
        <v>917.78560000000004</v>
      </c>
    </row>
    <row r="47" spans="2:11" x14ac:dyDescent="0.25">
      <c r="B47" s="12" t="s">
        <v>297</v>
      </c>
      <c r="C47" s="339">
        <v>406.70429999999999</v>
      </c>
      <c r="D47" s="339">
        <v>456.41430000000003</v>
      </c>
      <c r="E47" s="339">
        <v>522.89099999999996</v>
      </c>
      <c r="F47" s="339">
        <v>676.79489999999998</v>
      </c>
      <c r="G47" s="339">
        <v>717.27499999999998</v>
      </c>
      <c r="H47" s="339">
        <v>771.76009999999997</v>
      </c>
      <c r="I47" s="340">
        <v>843.16070000000002</v>
      </c>
      <c r="J47" s="341">
        <v>950.35950000000003</v>
      </c>
      <c r="K47" s="354">
        <v>1067.133</v>
      </c>
    </row>
    <row r="48" spans="2:11" x14ac:dyDescent="0.25">
      <c r="B48" s="12" t="s">
        <v>298</v>
      </c>
      <c r="C48" s="339">
        <v>1036.5039999999999</v>
      </c>
      <c r="D48" s="339">
        <v>1092.0129999999999</v>
      </c>
      <c r="E48" s="339">
        <v>1117.694</v>
      </c>
      <c r="F48" s="339">
        <v>1257.383</v>
      </c>
      <c r="G48" s="339">
        <v>1349.95</v>
      </c>
      <c r="H48" s="339">
        <v>1386.3820000000001</v>
      </c>
      <c r="I48" s="340">
        <v>1453.6880000000001</v>
      </c>
      <c r="J48" s="341">
        <v>1606.1769999999999</v>
      </c>
      <c r="K48" s="354">
        <v>1660.462</v>
      </c>
    </row>
    <row r="49" spans="1:11" x14ac:dyDescent="0.25">
      <c r="B49" s="12" t="s">
        <v>299</v>
      </c>
      <c r="C49" s="339">
        <v>559.60820000000001</v>
      </c>
      <c r="D49" s="339">
        <v>629.92520000000002</v>
      </c>
      <c r="E49" s="339">
        <v>637.47979999999995</v>
      </c>
      <c r="F49" s="339">
        <v>674.54280000000006</v>
      </c>
      <c r="G49" s="339">
        <v>707.4529</v>
      </c>
      <c r="H49" s="339">
        <v>738.38</v>
      </c>
      <c r="I49" s="340">
        <v>789.09630000000004</v>
      </c>
      <c r="J49" s="341">
        <v>836.56560000000002</v>
      </c>
      <c r="K49" s="354">
        <v>864.64610000000005</v>
      </c>
    </row>
    <row r="50" spans="1:11" x14ac:dyDescent="0.25">
      <c r="B50" s="12" t="s">
        <v>300</v>
      </c>
      <c r="C50" s="339">
        <v>394.73910000000001</v>
      </c>
      <c r="D50" s="339">
        <v>400.53660000000002</v>
      </c>
      <c r="E50" s="339">
        <v>437.67430000000002</v>
      </c>
      <c r="F50" s="339">
        <v>489.21910000000003</v>
      </c>
      <c r="G50" s="339">
        <v>514.55539999999996</v>
      </c>
      <c r="H50" s="339">
        <v>588.00699999999995</v>
      </c>
      <c r="I50" s="340">
        <v>656.8075</v>
      </c>
      <c r="J50" s="341">
        <v>717.81939999999997</v>
      </c>
      <c r="K50" s="354">
        <v>795.59109999999998</v>
      </c>
    </row>
    <row r="51" spans="1:11" x14ac:dyDescent="0.25">
      <c r="B51" s="20" t="s">
        <v>301</v>
      </c>
      <c r="C51" s="342">
        <v>52.950659999999999</v>
      </c>
      <c r="D51" s="342">
        <v>57.355499999999999</v>
      </c>
      <c r="E51" s="342">
        <v>71.125900000000001</v>
      </c>
      <c r="F51" s="342">
        <v>78.771879999999996</v>
      </c>
      <c r="G51" s="342">
        <v>91.754769999999894</v>
      </c>
      <c r="H51" s="342">
        <v>97.134119999999996</v>
      </c>
      <c r="I51" s="343">
        <v>97.901470000000003</v>
      </c>
      <c r="J51" s="341">
        <v>112.4224</v>
      </c>
      <c r="K51" s="354">
        <v>119.8403</v>
      </c>
    </row>
    <row r="52" spans="1:11" x14ac:dyDescent="0.25">
      <c r="B52" s="22" t="s">
        <v>302</v>
      </c>
      <c r="C52" s="89">
        <v>5476.03</v>
      </c>
      <c r="D52" s="89">
        <v>6027.33</v>
      </c>
      <c r="E52" s="89">
        <v>6486.4570000000003</v>
      </c>
      <c r="F52" s="89">
        <v>7408.8360000000002</v>
      </c>
      <c r="G52" s="89">
        <v>7936.9449999999997</v>
      </c>
      <c r="H52" s="89">
        <v>8415.1720000000005</v>
      </c>
      <c r="I52" s="90">
        <v>8885.9699999999903</v>
      </c>
      <c r="J52" s="91">
        <v>9600.4789999999903</v>
      </c>
      <c r="K52" s="91">
        <v>10240.31</v>
      </c>
    </row>
    <row r="53" spans="1:11" x14ac:dyDescent="0.25">
      <c r="B53" t="s">
        <v>912</v>
      </c>
      <c r="C53" s="33">
        <f>SUM(C42:C51)</f>
        <v>5476.0299599999998</v>
      </c>
      <c r="D53" s="33">
        <f t="shared" ref="D53:K53" si="20">SUM(D42:D51)</f>
        <v>6027.3296999999993</v>
      </c>
      <c r="E53" s="33">
        <f t="shared" si="20"/>
        <v>6486.4571000000005</v>
      </c>
      <c r="F53" s="33">
        <f t="shared" si="20"/>
        <v>7408.8354799999997</v>
      </c>
      <c r="G53" s="33">
        <f t="shared" si="20"/>
        <v>7936.9440699999996</v>
      </c>
      <c r="H53" s="33">
        <f t="shared" si="20"/>
        <v>8415.1723199999997</v>
      </c>
      <c r="I53" s="33">
        <f t="shared" si="20"/>
        <v>8885.970470000002</v>
      </c>
      <c r="J53" s="33">
        <f t="shared" si="20"/>
        <v>9600.4782999999989</v>
      </c>
      <c r="K53" s="33">
        <f t="shared" si="20"/>
        <v>10240.3105</v>
      </c>
    </row>
    <row r="54" spans="1:11" x14ac:dyDescent="0.25">
      <c r="A54" s="43">
        <v>3</v>
      </c>
      <c r="B54" s="2" t="s">
        <v>303</v>
      </c>
      <c r="I54" s="4"/>
    </row>
    <row r="55" spans="1:11" x14ac:dyDescent="0.25">
      <c r="B55" s="25" t="s">
        <v>680</v>
      </c>
      <c r="I55" s="4"/>
    </row>
    <row r="56" spans="1:11" x14ac:dyDescent="0.25">
      <c r="B56" s="18"/>
      <c r="C56" s="6">
        <v>2024</v>
      </c>
      <c r="D56" s="6">
        <f t="shared" ref="D56:K56" si="21">C56+1</f>
        <v>2025</v>
      </c>
      <c r="E56" s="6">
        <f t="shared" si="21"/>
        <v>2026</v>
      </c>
      <c r="F56" s="6">
        <f t="shared" si="21"/>
        <v>2027</v>
      </c>
      <c r="G56" s="6">
        <f t="shared" si="21"/>
        <v>2028</v>
      </c>
      <c r="H56" s="6">
        <f t="shared" si="21"/>
        <v>2029</v>
      </c>
      <c r="I56" s="19">
        <f t="shared" si="21"/>
        <v>2030</v>
      </c>
      <c r="J56" s="27">
        <f t="shared" si="21"/>
        <v>2031</v>
      </c>
      <c r="K56" s="27">
        <f t="shared" si="21"/>
        <v>2032</v>
      </c>
    </row>
    <row r="57" spans="1:11" x14ac:dyDescent="0.25">
      <c r="B57" s="12" t="s">
        <v>304</v>
      </c>
      <c r="C57" s="339">
        <v>3027.7539999999999</v>
      </c>
      <c r="D57" s="339">
        <v>3388.0520000000001</v>
      </c>
      <c r="E57" s="339">
        <v>3515.1869999999999</v>
      </c>
      <c r="F57" s="339">
        <v>3684.0479999999998</v>
      </c>
      <c r="G57" s="339">
        <v>3746.837</v>
      </c>
      <c r="H57" s="339">
        <v>3944.7979999999998</v>
      </c>
      <c r="I57" s="340">
        <v>3981.9740000000002</v>
      </c>
      <c r="J57" s="341">
        <v>4150.13</v>
      </c>
      <c r="K57" s="341">
        <v>4409.2520000000004</v>
      </c>
    </row>
    <row r="58" spans="1:11" x14ac:dyDescent="0.25">
      <c r="B58" s="12" t="s">
        <v>305</v>
      </c>
      <c r="C58" s="339">
        <v>955.21609999999998</v>
      </c>
      <c r="D58" s="339">
        <v>1192.1869999999999</v>
      </c>
      <c r="E58" s="339">
        <v>1264.2670000000001</v>
      </c>
      <c r="F58" s="339">
        <v>1340.48</v>
      </c>
      <c r="G58" s="339">
        <v>1384.0920000000001</v>
      </c>
      <c r="H58" s="339">
        <v>1437.0730000000001</v>
      </c>
      <c r="I58" s="340">
        <v>1506.07</v>
      </c>
      <c r="J58" s="341">
        <v>1592.127</v>
      </c>
      <c r="K58" s="341">
        <v>1642.896</v>
      </c>
    </row>
    <row r="59" spans="1:11" x14ac:dyDescent="0.25">
      <c r="B59" s="12" t="s">
        <v>306</v>
      </c>
      <c r="C59" s="339">
        <v>3496.8719999999998</v>
      </c>
      <c r="D59" s="339">
        <v>3721.0940000000001</v>
      </c>
      <c r="E59" s="339">
        <v>4005.2280000000001</v>
      </c>
      <c r="F59" s="339">
        <v>4329.7740000000003</v>
      </c>
      <c r="G59" s="339">
        <v>4744.8190000000004</v>
      </c>
      <c r="H59" s="339">
        <v>5096.2629999999999</v>
      </c>
      <c r="I59" s="340">
        <v>5340.4</v>
      </c>
      <c r="J59" s="341">
        <v>5528.4970000000003</v>
      </c>
      <c r="K59" s="341">
        <v>5656.67</v>
      </c>
    </row>
    <row r="60" spans="1:11" x14ac:dyDescent="0.25">
      <c r="B60" s="12" t="s">
        <v>307</v>
      </c>
      <c r="C60" s="339">
        <v>778.82380000000001</v>
      </c>
      <c r="D60" s="339">
        <v>899.64499999999998</v>
      </c>
      <c r="E60" s="339">
        <v>967.92359999999996</v>
      </c>
      <c r="F60" s="339">
        <v>1301.704</v>
      </c>
      <c r="G60" s="339">
        <v>1316.17</v>
      </c>
      <c r="H60" s="339">
        <v>1342.251</v>
      </c>
      <c r="I60" s="340">
        <v>1399.7</v>
      </c>
      <c r="J60" s="341">
        <v>1524.8720000000001</v>
      </c>
      <c r="K60" s="341">
        <v>1799.87</v>
      </c>
    </row>
    <row r="61" spans="1:11" x14ac:dyDescent="0.25">
      <c r="B61" s="12" t="s">
        <v>308</v>
      </c>
      <c r="C61" s="339">
        <v>1648.9659999999999</v>
      </c>
      <c r="D61" s="339">
        <v>1950.165</v>
      </c>
      <c r="E61" s="339">
        <v>2160.9059999999999</v>
      </c>
      <c r="F61" s="339">
        <v>2267.5210000000002</v>
      </c>
      <c r="G61" s="339">
        <v>2467.761</v>
      </c>
      <c r="H61" s="339">
        <v>2521.509</v>
      </c>
      <c r="I61" s="340">
        <v>2661.29</v>
      </c>
      <c r="J61" s="341">
        <v>2812.2249999999999</v>
      </c>
      <c r="K61" s="341">
        <v>2943.8530000000001</v>
      </c>
    </row>
    <row r="62" spans="1:11" x14ac:dyDescent="0.25">
      <c r="B62" s="12" t="s">
        <v>309</v>
      </c>
      <c r="C62" s="339">
        <v>752.03219999999999</v>
      </c>
      <c r="D62" s="339">
        <v>834.47630000000004</v>
      </c>
      <c r="E62" s="339">
        <v>952.0027</v>
      </c>
      <c r="F62" s="339">
        <v>1232.5150000000001</v>
      </c>
      <c r="G62" s="339">
        <v>1288.4960000000001</v>
      </c>
      <c r="H62" s="339">
        <v>1390.595</v>
      </c>
      <c r="I62" s="340">
        <v>1482.961</v>
      </c>
      <c r="J62" s="341">
        <v>1777.742</v>
      </c>
      <c r="K62" s="341">
        <v>1989.9639999999999</v>
      </c>
    </row>
    <row r="63" spans="1:11" x14ac:dyDescent="0.25">
      <c r="B63" s="12" t="s">
        <v>310</v>
      </c>
      <c r="C63" s="339">
        <v>809.10379999999998</v>
      </c>
      <c r="D63" s="339">
        <v>852.38599999999997</v>
      </c>
      <c r="E63" s="339">
        <v>872.08640000000003</v>
      </c>
      <c r="F63" s="339">
        <v>981.15290000000005</v>
      </c>
      <c r="G63" s="339">
        <v>1053.1990000000001</v>
      </c>
      <c r="H63" s="339">
        <v>1081.268</v>
      </c>
      <c r="I63" s="340">
        <v>1133.81</v>
      </c>
      <c r="J63" s="341">
        <v>1252.223</v>
      </c>
      <c r="K63" s="341">
        <v>1294.7370000000001</v>
      </c>
    </row>
    <row r="64" spans="1:11" x14ac:dyDescent="0.25">
      <c r="B64" s="12" t="s">
        <v>311</v>
      </c>
      <c r="C64" s="339">
        <v>1401.933</v>
      </c>
      <c r="D64" s="339">
        <v>1597.2629999999999</v>
      </c>
      <c r="E64" s="339">
        <v>1561.7739999999999</v>
      </c>
      <c r="F64" s="339">
        <v>1670.133</v>
      </c>
      <c r="G64" s="339">
        <v>1743.847</v>
      </c>
      <c r="H64" s="339">
        <v>1810.4960000000001</v>
      </c>
      <c r="I64" s="340">
        <v>1944.5809999999999</v>
      </c>
      <c r="J64" s="341">
        <v>2060.0149999999999</v>
      </c>
      <c r="K64" s="341">
        <v>2122.1869999999999</v>
      </c>
    </row>
    <row r="65" spans="2:11" x14ac:dyDescent="0.25">
      <c r="B65" s="12" t="s">
        <v>312</v>
      </c>
      <c r="C65" s="339">
        <v>784.80139999999994</v>
      </c>
      <c r="D65" s="339">
        <v>794.48360000000002</v>
      </c>
      <c r="E65" s="339">
        <v>868.22749999999996</v>
      </c>
      <c r="F65" s="339">
        <v>965.20540000000005</v>
      </c>
      <c r="G65" s="339">
        <v>1010</v>
      </c>
      <c r="H65" s="339">
        <v>1151.1669999999999</v>
      </c>
      <c r="I65" s="340">
        <v>1283.894</v>
      </c>
      <c r="J65" s="341">
        <v>1398.454</v>
      </c>
      <c r="K65" s="341">
        <v>1551.769</v>
      </c>
    </row>
    <row r="66" spans="2:11" x14ac:dyDescent="0.25">
      <c r="B66" s="20" t="s">
        <v>313</v>
      </c>
      <c r="C66" s="342">
        <v>180.15870000000001</v>
      </c>
      <c r="D66" s="342">
        <v>191.53790000000001</v>
      </c>
      <c r="E66" s="342">
        <v>229.1533</v>
      </c>
      <c r="F66" s="342">
        <v>252.35560000000001</v>
      </c>
      <c r="G66" s="342">
        <v>285.74180000000001</v>
      </c>
      <c r="H66" s="342">
        <v>301.15679999999998</v>
      </c>
      <c r="I66" s="343">
        <v>296.7056</v>
      </c>
      <c r="J66" s="341">
        <v>332.93209999999999</v>
      </c>
      <c r="K66" s="341">
        <v>353.1474</v>
      </c>
    </row>
    <row r="67" spans="2:11" x14ac:dyDescent="0.25">
      <c r="B67" s="22" t="s">
        <v>314</v>
      </c>
      <c r="C67" s="82">
        <v>13835.66</v>
      </c>
      <c r="D67" s="82">
        <v>15421.29</v>
      </c>
      <c r="E67" s="82">
        <v>16396.759999999998</v>
      </c>
      <c r="F67" s="82">
        <v>18024.89</v>
      </c>
      <c r="G67" s="82">
        <v>19040.96</v>
      </c>
      <c r="H67" s="82">
        <v>20076.580000000002</v>
      </c>
      <c r="I67" s="83">
        <v>21031.39</v>
      </c>
      <c r="J67" s="84">
        <v>22429.22</v>
      </c>
      <c r="K67" s="84">
        <v>23764.35</v>
      </c>
    </row>
    <row r="68" spans="2:11" x14ac:dyDescent="0.25">
      <c r="B68" s="355">
        <f>'[6]MacroSAM 2024'!$D$16</f>
        <v>14524.8</v>
      </c>
      <c r="C68" s="33">
        <f>SUM(C57:C66)</f>
        <v>13835.661</v>
      </c>
      <c r="D68" s="33">
        <f t="shared" ref="D68:K68" si="22">SUM(D57:D66)</f>
        <v>15421.289799999999</v>
      </c>
      <c r="E68" s="33">
        <f t="shared" si="22"/>
        <v>16396.755500000003</v>
      </c>
      <c r="F68" s="33">
        <f>SUM(F57:F66)</f>
        <v>18024.888899999998</v>
      </c>
      <c r="G68" s="33">
        <f>SUM(G57:G66)</f>
        <v>19040.962800000001</v>
      </c>
      <c r="H68" s="33">
        <f>SUM(H57:H66)</f>
        <v>20076.576799999999</v>
      </c>
      <c r="I68" s="33">
        <f>SUM(I57:I66)</f>
        <v>21031.385600000001</v>
      </c>
      <c r="J68" s="33">
        <f t="shared" si="22"/>
        <v>22429.217100000002</v>
      </c>
      <c r="K68" s="33">
        <f t="shared" si="22"/>
        <v>23764.345399999998</v>
      </c>
    </row>
    <row r="69" spans="2:11" x14ac:dyDescent="0.25">
      <c r="B69" t="s">
        <v>913</v>
      </c>
      <c r="C69" s="32">
        <f>14824.4-299.5</f>
        <v>14524.9</v>
      </c>
      <c r="D69" s="32"/>
      <c r="E69" s="32"/>
      <c r="I69" s="4"/>
      <c r="K69" s="4"/>
    </row>
    <row r="70" spans="2:11" x14ac:dyDescent="0.25">
      <c r="B70" s="2" t="s">
        <v>315</v>
      </c>
      <c r="I70" s="4"/>
      <c r="K70" s="4"/>
    </row>
    <row r="71" spans="2:11" x14ac:dyDescent="0.25">
      <c r="B71" s="25" t="s">
        <v>681</v>
      </c>
      <c r="I71" s="4"/>
      <c r="K71" s="4"/>
    </row>
    <row r="72" spans="2:11" x14ac:dyDescent="0.25">
      <c r="B72" s="18"/>
      <c r="C72" s="6">
        <v>2024</v>
      </c>
      <c r="D72" s="6">
        <f t="shared" ref="D72:K72" si="23">C72+1</f>
        <v>2025</v>
      </c>
      <c r="E72" s="6">
        <f t="shared" si="23"/>
        <v>2026</v>
      </c>
      <c r="F72" s="6">
        <f t="shared" si="23"/>
        <v>2027</v>
      </c>
      <c r="G72" s="6">
        <f t="shared" si="23"/>
        <v>2028</v>
      </c>
      <c r="H72" s="6">
        <f t="shared" si="23"/>
        <v>2029</v>
      </c>
      <c r="I72" s="19">
        <f t="shared" si="23"/>
        <v>2030</v>
      </c>
      <c r="J72" s="27">
        <f t="shared" si="23"/>
        <v>2031</v>
      </c>
      <c r="K72" s="27">
        <f t="shared" si="23"/>
        <v>2032</v>
      </c>
    </row>
    <row r="73" spans="2:11" x14ac:dyDescent="0.25">
      <c r="B73" s="20" t="s">
        <v>316</v>
      </c>
      <c r="C73" s="351">
        <v>11818.91</v>
      </c>
      <c r="D73" s="351">
        <v>12525.3</v>
      </c>
      <c r="E73" s="351">
        <v>13263.85</v>
      </c>
      <c r="F73" s="351">
        <v>14269.97</v>
      </c>
      <c r="G73" s="351">
        <v>16074.77</v>
      </c>
      <c r="H73" s="351">
        <v>17327.349999999999</v>
      </c>
      <c r="I73" s="351">
        <v>18436.47</v>
      </c>
      <c r="J73" s="351">
        <v>19689.36</v>
      </c>
      <c r="K73" s="352">
        <v>20593.95</v>
      </c>
    </row>
    <row r="74" spans="2:11" x14ac:dyDescent="0.25">
      <c r="B74" t="s">
        <v>914</v>
      </c>
      <c r="C74" s="32">
        <f>'[6]MacroSAM 2024'!$F$16</f>
        <v>11818.5</v>
      </c>
      <c r="D74" s="4"/>
      <c r="E74" s="4"/>
      <c r="F74" s="4"/>
      <c r="G74" s="4"/>
      <c r="H74" s="4"/>
      <c r="I74" s="4"/>
    </row>
    <row r="75" spans="2:11" x14ac:dyDescent="0.25">
      <c r="B75" s="2" t="s">
        <v>317</v>
      </c>
      <c r="C75" s="4"/>
      <c r="D75" s="4"/>
      <c r="E75" s="4"/>
      <c r="F75" s="4"/>
      <c r="G75" s="4"/>
      <c r="H75" s="4"/>
      <c r="I75" s="4"/>
    </row>
    <row r="76" spans="2:11" x14ac:dyDescent="0.25">
      <c r="B76" s="25" t="s">
        <v>682</v>
      </c>
      <c r="C76" s="4"/>
      <c r="D76" s="4"/>
      <c r="E76" s="4"/>
      <c r="F76" s="4"/>
      <c r="G76" s="4"/>
      <c r="H76" s="4"/>
      <c r="I76" s="4"/>
    </row>
    <row r="77" spans="2:11" x14ac:dyDescent="0.25">
      <c r="B77" s="18"/>
      <c r="C77" s="6">
        <v>2024</v>
      </c>
      <c r="D77" s="6">
        <f t="shared" ref="D77:K77" si="24">C77+1</f>
        <v>2025</v>
      </c>
      <c r="E77" s="6">
        <f t="shared" si="24"/>
        <v>2026</v>
      </c>
      <c r="F77" s="6">
        <f t="shared" si="24"/>
        <v>2027</v>
      </c>
      <c r="G77" s="6">
        <f t="shared" si="24"/>
        <v>2028</v>
      </c>
      <c r="H77" s="6">
        <f t="shared" si="24"/>
        <v>2029</v>
      </c>
      <c r="I77" s="19">
        <f t="shared" si="24"/>
        <v>2030</v>
      </c>
      <c r="J77" s="27">
        <f t="shared" si="24"/>
        <v>2031</v>
      </c>
      <c r="K77" s="27">
        <f t="shared" si="24"/>
        <v>2032</v>
      </c>
    </row>
    <row r="78" spans="2:11" x14ac:dyDescent="0.25">
      <c r="B78" s="20" t="s">
        <v>318</v>
      </c>
      <c r="C78" s="351">
        <v>12978.88</v>
      </c>
      <c r="D78" s="351">
        <v>13201.47</v>
      </c>
      <c r="E78" s="351">
        <v>13434.57</v>
      </c>
      <c r="F78" s="351">
        <v>13867.99</v>
      </c>
      <c r="G78" s="351">
        <v>13712.48</v>
      </c>
      <c r="H78" s="351">
        <v>14407.11</v>
      </c>
      <c r="I78" s="351">
        <v>15361.27</v>
      </c>
      <c r="J78" s="351">
        <v>15846.9</v>
      </c>
      <c r="K78" s="352">
        <v>16446.830000000002</v>
      </c>
    </row>
    <row r="79" spans="2:11" x14ac:dyDescent="0.25">
      <c r="B79" t="s">
        <v>915</v>
      </c>
      <c r="C79" s="32">
        <f>'[6]MacroSAM 2024'!$G$16</f>
        <v>12976</v>
      </c>
      <c r="D79" s="4"/>
      <c r="E79" s="4"/>
      <c r="F79" s="4"/>
      <c r="G79" s="4"/>
      <c r="H79" s="4"/>
      <c r="I79" s="4"/>
    </row>
    <row r="80" spans="2:11" x14ac:dyDescent="0.25">
      <c r="B80" s="2" t="s">
        <v>319</v>
      </c>
      <c r="C80" s="4"/>
      <c r="D80" s="4"/>
      <c r="E80" s="4"/>
      <c r="F80" s="4"/>
      <c r="G80" s="4"/>
      <c r="H80" s="4"/>
      <c r="I80" s="4"/>
    </row>
    <row r="81" spans="2:11" x14ac:dyDescent="0.25">
      <c r="B81" s="25" t="s">
        <v>683</v>
      </c>
      <c r="C81" s="4"/>
      <c r="D81" s="4"/>
      <c r="E81" s="4"/>
      <c r="F81" s="4"/>
      <c r="G81" s="4"/>
      <c r="H81" s="4"/>
      <c r="I81" s="4"/>
    </row>
    <row r="82" spans="2:11" x14ac:dyDescent="0.25">
      <c r="B82" s="18"/>
      <c r="C82" s="6">
        <v>2024</v>
      </c>
      <c r="D82" s="6">
        <f t="shared" ref="D82:K82" si="25">C82+1</f>
        <v>2025</v>
      </c>
      <c r="E82" s="6">
        <f t="shared" si="25"/>
        <v>2026</v>
      </c>
      <c r="F82" s="6">
        <f t="shared" si="25"/>
        <v>2027</v>
      </c>
      <c r="G82" s="6">
        <f t="shared" si="25"/>
        <v>2028</v>
      </c>
      <c r="H82" s="6">
        <f t="shared" si="25"/>
        <v>2029</v>
      </c>
      <c r="I82" s="19">
        <f t="shared" si="25"/>
        <v>2030</v>
      </c>
      <c r="J82" s="27">
        <f t="shared" si="25"/>
        <v>2031</v>
      </c>
      <c r="K82" s="27">
        <f t="shared" si="25"/>
        <v>2032</v>
      </c>
    </row>
    <row r="83" spans="2:11" x14ac:dyDescent="0.25">
      <c r="B83" s="20" t="s">
        <v>320</v>
      </c>
      <c r="C83" s="351">
        <v>9229.6740000000009</v>
      </c>
      <c r="D83" s="351">
        <v>9781.3179999999902</v>
      </c>
      <c r="E83" s="351">
        <v>10358.07</v>
      </c>
      <c r="F83" s="351">
        <v>11143.77</v>
      </c>
      <c r="G83" s="351">
        <v>12553.18</v>
      </c>
      <c r="H83" s="351">
        <v>13531.35</v>
      </c>
      <c r="I83" s="351">
        <v>14397.49</v>
      </c>
      <c r="J83" s="351">
        <v>15375.91</v>
      </c>
      <c r="K83" s="352">
        <v>16082.32</v>
      </c>
    </row>
    <row r="84" spans="2:11" x14ac:dyDescent="0.25">
      <c r="B84" t="s">
        <v>916</v>
      </c>
      <c r="C84" s="32">
        <f>'[6]MacroSAM 2024'!$H$16</f>
        <v>15577.699999999999</v>
      </c>
      <c r="I84" s="4"/>
    </row>
    <row r="85" spans="2:11" x14ac:dyDescent="0.25">
      <c r="B85" s="2" t="s">
        <v>321</v>
      </c>
      <c r="I85" s="4"/>
    </row>
    <row r="86" spans="2:11" x14ac:dyDescent="0.25">
      <c r="B86" s="25" t="s">
        <v>684</v>
      </c>
      <c r="I86" s="4"/>
    </row>
    <row r="87" spans="2:11" x14ac:dyDescent="0.25">
      <c r="B87" s="18"/>
      <c r="C87" s="6">
        <v>2024</v>
      </c>
      <c r="D87" s="6">
        <f t="shared" ref="D87:K87" si="26">C87+1</f>
        <v>2025</v>
      </c>
      <c r="E87" s="6">
        <f t="shared" si="26"/>
        <v>2026</v>
      </c>
      <c r="F87" s="6">
        <f t="shared" si="26"/>
        <v>2027</v>
      </c>
      <c r="G87" s="6">
        <f t="shared" si="26"/>
        <v>2028</v>
      </c>
      <c r="H87" s="6">
        <f t="shared" si="26"/>
        <v>2029</v>
      </c>
      <c r="I87" s="19">
        <f t="shared" si="26"/>
        <v>2030</v>
      </c>
      <c r="J87" s="27">
        <f t="shared" si="26"/>
        <v>2031</v>
      </c>
      <c r="K87" s="27">
        <f t="shared" si="26"/>
        <v>2032</v>
      </c>
    </row>
    <row r="88" spans="2:11" x14ac:dyDescent="0.25">
      <c r="B88" s="12" t="s">
        <v>322</v>
      </c>
      <c r="C88" s="339">
        <v>223.00149999999999</v>
      </c>
      <c r="D88" s="339">
        <v>252.37690000000001</v>
      </c>
      <c r="E88" s="339">
        <v>238.77860000000001</v>
      </c>
      <c r="F88" s="339">
        <v>253.87219999999999</v>
      </c>
      <c r="G88" s="339">
        <v>258.66899999999998</v>
      </c>
      <c r="H88" s="339">
        <v>273.29169999999999</v>
      </c>
      <c r="I88" s="340">
        <v>276.24160000000001</v>
      </c>
      <c r="J88" s="341">
        <v>288.07859999999999</v>
      </c>
      <c r="K88" s="354">
        <v>305.70440000000002</v>
      </c>
    </row>
    <row r="89" spans="2:11" x14ac:dyDescent="0.25">
      <c r="B89" s="12" t="s">
        <v>323</v>
      </c>
      <c r="C89" s="339">
        <v>12.86548</v>
      </c>
      <c r="D89" s="339">
        <v>15.47927</v>
      </c>
      <c r="E89" s="339">
        <v>16.329920000000001</v>
      </c>
      <c r="F89" s="339">
        <v>17.195419999999999</v>
      </c>
      <c r="G89" s="339">
        <v>17.642659999999999</v>
      </c>
      <c r="H89" s="339">
        <v>18.131</v>
      </c>
      <c r="I89" s="340">
        <v>19.008209999999998</v>
      </c>
      <c r="J89" s="341">
        <v>21.44519</v>
      </c>
      <c r="K89" s="354">
        <v>22.092960000000001</v>
      </c>
    </row>
    <row r="90" spans="2:11" x14ac:dyDescent="0.25">
      <c r="B90" s="12" t="s">
        <v>324</v>
      </c>
      <c r="C90" s="339">
        <v>1768.13</v>
      </c>
      <c r="D90" s="339">
        <v>1866.2090000000001</v>
      </c>
      <c r="E90" s="339">
        <v>1989.4459999999999</v>
      </c>
      <c r="F90" s="339">
        <v>2133.0880000000002</v>
      </c>
      <c r="G90" s="339">
        <v>2314.212</v>
      </c>
      <c r="H90" s="339">
        <v>2454.2249999999999</v>
      </c>
      <c r="I90" s="340">
        <v>2590.7750000000001</v>
      </c>
      <c r="J90" s="341">
        <v>2692.7240000000002</v>
      </c>
      <c r="K90" s="354">
        <v>2752.17</v>
      </c>
    </row>
    <row r="91" spans="2:11" x14ac:dyDescent="0.25">
      <c r="B91" s="12" t="s">
        <v>325</v>
      </c>
      <c r="C91" s="339">
        <v>24.658850000000001</v>
      </c>
      <c r="D91" s="339">
        <v>27.635840000000002</v>
      </c>
      <c r="E91" s="339">
        <v>29.33033</v>
      </c>
      <c r="F91" s="339">
        <v>38.50929</v>
      </c>
      <c r="G91" s="339">
        <v>37.880510000000001</v>
      </c>
      <c r="H91" s="339">
        <v>38.26773</v>
      </c>
      <c r="I91" s="340">
        <v>39.585120000000003</v>
      </c>
      <c r="J91" s="341">
        <v>40.230460000000001</v>
      </c>
      <c r="K91" s="354">
        <v>47.950650000000003</v>
      </c>
    </row>
    <row r="92" spans="2:11" x14ac:dyDescent="0.25">
      <c r="B92" s="12" t="s">
        <v>326</v>
      </c>
      <c r="C92" s="339">
        <v>51.461910000000003</v>
      </c>
      <c r="D92" s="339">
        <v>58.544370000000001</v>
      </c>
      <c r="E92" s="339">
        <v>63.402479999999997</v>
      </c>
      <c r="F92" s="339">
        <v>31.754999999999999</v>
      </c>
      <c r="G92" s="339">
        <v>72.090450000000004</v>
      </c>
      <c r="H92" s="339">
        <v>74.90025</v>
      </c>
      <c r="I92" s="340">
        <v>79.643590000000003</v>
      </c>
      <c r="J92" s="341">
        <v>85.061719999999994</v>
      </c>
      <c r="K92" s="354">
        <v>88.850650000000002</v>
      </c>
    </row>
    <row r="93" spans="2:11" x14ac:dyDescent="0.25">
      <c r="B93" s="12" t="s">
        <v>327</v>
      </c>
      <c r="C93" s="339">
        <v>146.88079999999999</v>
      </c>
      <c r="D93" s="339">
        <v>158.03469999999999</v>
      </c>
      <c r="E93" s="339">
        <v>181.59180000000001</v>
      </c>
      <c r="F93" s="339">
        <v>236.03710000000001</v>
      </c>
      <c r="G93" s="339">
        <v>240.78809999999999</v>
      </c>
      <c r="H93" s="339">
        <v>259.98790000000002</v>
      </c>
      <c r="I93" s="340">
        <v>275.61070000000001</v>
      </c>
      <c r="J93" s="341">
        <v>402.74619999999999</v>
      </c>
      <c r="K93" s="354">
        <v>450.74439999999998</v>
      </c>
    </row>
    <row r="94" spans="2:11" x14ac:dyDescent="0.25">
      <c r="B94" s="12" t="s">
        <v>328</v>
      </c>
      <c r="C94" s="339">
        <v>2.659408</v>
      </c>
      <c r="D94" s="339">
        <v>2.7403369999999998</v>
      </c>
      <c r="E94" s="339">
        <v>2.697873</v>
      </c>
      <c r="F94" s="339">
        <v>3.0604870000000002</v>
      </c>
      <c r="G94" s="339">
        <v>3.221679</v>
      </c>
      <c r="H94" s="339">
        <v>3.2100879999999998</v>
      </c>
      <c r="I94" s="340">
        <v>3.3536190000000001</v>
      </c>
      <c r="J94" s="341">
        <v>3.6014889999999999</v>
      </c>
      <c r="K94" s="354">
        <v>3.6855310000000001</v>
      </c>
    </row>
    <row r="95" spans="2:11" x14ac:dyDescent="0.25">
      <c r="B95" s="12" t="s">
        <v>329</v>
      </c>
      <c r="C95" s="339">
        <v>1096.731</v>
      </c>
      <c r="D95" s="339">
        <v>1277.8710000000001</v>
      </c>
      <c r="E95" s="339">
        <v>1179.4739999999999</v>
      </c>
      <c r="F95" s="339">
        <v>1283.8699999999999</v>
      </c>
      <c r="G95" s="339">
        <v>1328.7439999999999</v>
      </c>
      <c r="H95" s="339">
        <v>1367.297</v>
      </c>
      <c r="I95" s="340">
        <v>1480.7190000000001</v>
      </c>
      <c r="J95" s="341">
        <v>1567.56</v>
      </c>
      <c r="K95" s="341">
        <v>1608.058</v>
      </c>
    </row>
    <row r="96" spans="2:11" x14ac:dyDescent="0.25">
      <c r="B96" s="12" t="s">
        <v>330</v>
      </c>
      <c r="C96" s="339">
        <v>165.8664</v>
      </c>
      <c r="D96" s="339">
        <v>166.20849999999999</v>
      </c>
      <c r="E96" s="339">
        <v>181.63849999999999</v>
      </c>
      <c r="F96" s="339">
        <v>196.91640000000001</v>
      </c>
      <c r="G96" s="339">
        <v>201.0874</v>
      </c>
      <c r="H96" s="339">
        <v>226.3768</v>
      </c>
      <c r="I96" s="340">
        <v>250.6687</v>
      </c>
      <c r="J96" s="341">
        <v>268.80529999999999</v>
      </c>
      <c r="K96" s="341">
        <v>300.16809999999998</v>
      </c>
    </row>
    <row r="97" spans="1:11" x14ac:dyDescent="0.25">
      <c r="B97" s="20" t="s">
        <v>331</v>
      </c>
      <c r="C97" s="342">
        <v>0</v>
      </c>
      <c r="D97" s="342">
        <v>0</v>
      </c>
      <c r="E97" s="342">
        <v>0</v>
      </c>
      <c r="F97" s="342">
        <v>0</v>
      </c>
      <c r="G97" s="342">
        <v>0</v>
      </c>
      <c r="H97" s="342">
        <v>0</v>
      </c>
      <c r="I97" s="343">
        <v>0</v>
      </c>
      <c r="J97" s="341">
        <v>0</v>
      </c>
      <c r="K97" s="344">
        <v>0</v>
      </c>
    </row>
    <row r="98" spans="1:11" x14ac:dyDescent="0.25">
      <c r="B98" s="22" t="s">
        <v>344</v>
      </c>
      <c r="C98" s="113">
        <v>3492.2550000000001</v>
      </c>
      <c r="D98" s="113">
        <v>3825.1</v>
      </c>
      <c r="E98" s="113">
        <v>3882.69</v>
      </c>
      <c r="F98" s="113">
        <v>4194.3040000000001</v>
      </c>
      <c r="G98" s="113">
        <v>4474.3360000000002</v>
      </c>
      <c r="H98" s="113">
        <v>4715.6880000000001</v>
      </c>
      <c r="I98" s="114">
        <v>5015.6059999999998</v>
      </c>
      <c r="J98" s="115">
        <v>5370.2520000000004</v>
      </c>
      <c r="K98" s="116">
        <v>5579.4250000000002</v>
      </c>
    </row>
    <row r="99" spans="1:11" x14ac:dyDescent="0.25">
      <c r="A99">
        <f>'[5]D-SAM24'!$O$55</f>
        <v>2487.1354464423202</v>
      </c>
      <c r="B99" s="33">
        <f>SUM('[5]D-SAM24'!$M$31:$V$31)</f>
        <v>2487.1354713136743</v>
      </c>
      <c r="C99" s="33">
        <f>SUM(C88:C97)</f>
        <v>3492.2553479999997</v>
      </c>
      <c r="D99" s="33">
        <f t="shared" ref="D99:K99" si="27">SUM(D88:D97)</f>
        <v>3825.0999170000005</v>
      </c>
      <c r="E99" s="33">
        <f t="shared" si="27"/>
        <v>3882.6895029999996</v>
      </c>
      <c r="F99" s="33">
        <f t="shared" si="27"/>
        <v>4194.3038969999998</v>
      </c>
      <c r="G99" s="33">
        <f t="shared" si="27"/>
        <v>4474.3357990000004</v>
      </c>
      <c r="H99" s="33">
        <f t="shared" si="27"/>
        <v>4715.6874680000001</v>
      </c>
      <c r="I99" s="33">
        <f t="shared" si="27"/>
        <v>5015.6055390000001</v>
      </c>
      <c r="J99" s="33">
        <f t="shared" si="27"/>
        <v>5370.2529590000013</v>
      </c>
      <c r="K99" s="33">
        <f t="shared" si="27"/>
        <v>5579.4246910000002</v>
      </c>
    </row>
    <row r="100" spans="1:11" x14ac:dyDescent="0.25">
      <c r="B100" s="2" t="s">
        <v>332</v>
      </c>
      <c r="I100" s="4"/>
    </row>
    <row r="101" spans="1:11" x14ac:dyDescent="0.25">
      <c r="B101" s="25" t="s">
        <v>685</v>
      </c>
      <c r="I101" s="4"/>
    </row>
    <row r="102" spans="1:11" x14ac:dyDescent="0.25">
      <c r="B102" s="18"/>
      <c r="C102" s="6">
        <v>2024</v>
      </c>
      <c r="D102" s="6">
        <f t="shared" ref="D102:K102" si="28">C102+1</f>
        <v>2025</v>
      </c>
      <c r="E102" s="6">
        <f t="shared" si="28"/>
        <v>2026</v>
      </c>
      <c r="F102" s="6">
        <f t="shared" si="28"/>
        <v>2027</v>
      </c>
      <c r="G102" s="6">
        <f t="shared" si="28"/>
        <v>2028</v>
      </c>
      <c r="H102" s="6">
        <f t="shared" si="28"/>
        <v>2029</v>
      </c>
      <c r="I102" s="19">
        <f t="shared" si="28"/>
        <v>2030</v>
      </c>
      <c r="J102" s="27">
        <f t="shared" si="28"/>
        <v>2031</v>
      </c>
      <c r="K102" s="27">
        <f t="shared" si="28"/>
        <v>2032</v>
      </c>
    </row>
    <row r="103" spans="1:11" x14ac:dyDescent="0.25">
      <c r="B103" s="12" t="s">
        <v>333</v>
      </c>
      <c r="C103" s="339">
        <v>109.2274</v>
      </c>
      <c r="D103" s="339">
        <v>111.6147</v>
      </c>
      <c r="E103" s="339">
        <v>129.75389999999999</v>
      </c>
      <c r="F103" s="339">
        <v>146.68790000000001</v>
      </c>
      <c r="G103" s="339">
        <v>168.7723</v>
      </c>
      <c r="H103" s="339">
        <v>186.5017</v>
      </c>
      <c r="I103" s="340">
        <v>192.25569999999999</v>
      </c>
      <c r="J103" s="341">
        <v>204.96019999999999</v>
      </c>
      <c r="K103" s="341">
        <v>221.5249</v>
      </c>
    </row>
    <row r="104" spans="1:11" x14ac:dyDescent="0.25">
      <c r="B104" s="12" t="s">
        <v>334</v>
      </c>
      <c r="C104" s="339">
        <v>500.62759999999997</v>
      </c>
      <c r="D104" s="339">
        <v>641.31089999999995</v>
      </c>
      <c r="E104" s="339">
        <v>707.46249999999998</v>
      </c>
      <c r="F104" s="339">
        <v>784.25</v>
      </c>
      <c r="G104" s="339">
        <v>866.9778</v>
      </c>
      <c r="H104" s="339">
        <v>930.81560000000002</v>
      </c>
      <c r="I104" s="340">
        <v>996.72170000000006</v>
      </c>
      <c r="J104" s="341">
        <v>1129.5450000000001</v>
      </c>
      <c r="K104" s="341">
        <v>1213.0329999999999</v>
      </c>
    </row>
    <row r="105" spans="1:11" x14ac:dyDescent="0.25">
      <c r="B105" s="12" t="s">
        <v>335</v>
      </c>
      <c r="C105" s="339">
        <v>237.77940000000001</v>
      </c>
      <c r="D105" s="339">
        <v>256.45330000000001</v>
      </c>
      <c r="E105" s="339">
        <v>299.3433</v>
      </c>
      <c r="F105" s="339">
        <v>351.43380000000002</v>
      </c>
      <c r="G105" s="339">
        <v>409.72340000000003</v>
      </c>
      <c r="H105" s="339">
        <v>470.07799999999997</v>
      </c>
      <c r="I105" s="340">
        <v>494.1198</v>
      </c>
      <c r="J105" s="341">
        <v>536.45889999999997</v>
      </c>
      <c r="K105" s="341">
        <v>569.00379999999996</v>
      </c>
    </row>
    <row r="106" spans="1:11" x14ac:dyDescent="0.25">
      <c r="B106" s="12" t="s">
        <v>336</v>
      </c>
      <c r="C106" s="339">
        <v>93.263329999999996</v>
      </c>
      <c r="D106" s="339">
        <v>116.8826</v>
      </c>
      <c r="E106" s="339">
        <v>135.23609999999999</v>
      </c>
      <c r="F106" s="339">
        <v>191.62350000000001</v>
      </c>
      <c r="G106" s="339">
        <v>213.8614</v>
      </c>
      <c r="H106" s="339">
        <v>226.61949999999999</v>
      </c>
      <c r="I106" s="340">
        <v>235.1301</v>
      </c>
      <c r="J106" s="341">
        <v>319.09899999999999</v>
      </c>
      <c r="K106" s="341">
        <v>342.4778</v>
      </c>
    </row>
    <row r="107" spans="1:11" x14ac:dyDescent="0.25">
      <c r="B107" s="12" t="s">
        <v>337</v>
      </c>
      <c r="C107" s="339">
        <v>0</v>
      </c>
      <c r="D107" s="339">
        <v>0</v>
      </c>
      <c r="E107" s="339">
        <v>0</v>
      </c>
      <c r="F107" s="339">
        <v>0</v>
      </c>
      <c r="G107" s="339">
        <v>0</v>
      </c>
      <c r="H107" s="339">
        <v>0</v>
      </c>
      <c r="I107" s="340">
        <v>0</v>
      </c>
      <c r="J107" s="341">
        <v>0</v>
      </c>
      <c r="K107" s="341">
        <v>0</v>
      </c>
    </row>
    <row r="108" spans="1:11" x14ac:dyDescent="0.25">
      <c r="B108" s="12" t="s">
        <v>338</v>
      </c>
      <c r="C108" s="339">
        <v>139.47489999999999</v>
      </c>
      <c r="D108" s="339">
        <v>157.36539999999999</v>
      </c>
      <c r="E108" s="339">
        <v>188.0882</v>
      </c>
      <c r="F108" s="339">
        <v>245.10040000000001</v>
      </c>
      <c r="G108" s="339">
        <v>268.53210000000001</v>
      </c>
      <c r="H108" s="339">
        <v>284.0138</v>
      </c>
      <c r="I108" s="340">
        <v>350.57429999999999</v>
      </c>
      <c r="J108" s="341">
        <v>418.91340000000002</v>
      </c>
      <c r="K108" s="341">
        <v>476.95429999999999</v>
      </c>
    </row>
    <row r="109" spans="1:11" x14ac:dyDescent="0.25">
      <c r="B109" s="12" t="s">
        <v>339</v>
      </c>
      <c r="C109" s="339">
        <v>4.2010420000000002</v>
      </c>
      <c r="D109" s="339">
        <v>4.4523060000000001</v>
      </c>
      <c r="E109" s="339">
        <v>5.1462409999999998</v>
      </c>
      <c r="F109" s="339">
        <v>5.6697550000000003</v>
      </c>
      <c r="G109" s="339">
        <v>6.3913950000000002</v>
      </c>
      <c r="H109" s="339">
        <v>7.1590150000000001</v>
      </c>
      <c r="I109" s="340">
        <v>7.3961290000000002</v>
      </c>
      <c r="J109" s="341">
        <v>9.0854700000000008</v>
      </c>
      <c r="K109" s="341">
        <v>8.9723670000000002</v>
      </c>
    </row>
    <row r="110" spans="1:11" x14ac:dyDescent="0.25">
      <c r="B110" s="12" t="s">
        <v>340</v>
      </c>
      <c r="C110" s="339">
        <v>11.76295</v>
      </c>
      <c r="D110" s="339">
        <v>14.28762</v>
      </c>
      <c r="E110" s="339">
        <v>16.044979999999999</v>
      </c>
      <c r="F110" s="339">
        <v>16.143090000000001</v>
      </c>
      <c r="G110" s="339">
        <v>16.421220000000002</v>
      </c>
      <c r="H110" s="339">
        <v>17.609500000000001</v>
      </c>
      <c r="I110" s="340">
        <v>18.193059999999999</v>
      </c>
      <c r="J110" s="341">
        <v>19.78659</v>
      </c>
      <c r="K110" s="341">
        <v>21.749890000000001</v>
      </c>
    </row>
    <row r="111" spans="1:11" x14ac:dyDescent="0.25">
      <c r="B111" s="12" t="s">
        <v>341</v>
      </c>
      <c r="C111" s="339">
        <v>3.360846</v>
      </c>
      <c r="D111" s="339">
        <v>3.6039110000000001</v>
      </c>
      <c r="E111" s="339">
        <v>3.8424339999999999</v>
      </c>
      <c r="F111" s="339">
        <v>4.6880309999999996</v>
      </c>
      <c r="G111" s="339">
        <v>5.302416</v>
      </c>
      <c r="H111" s="339">
        <v>6.361491</v>
      </c>
      <c r="I111" s="340">
        <v>7.3447769999999997</v>
      </c>
      <c r="J111" s="341">
        <v>8.7082449999999998</v>
      </c>
      <c r="K111" s="341">
        <v>9.7001360000000005</v>
      </c>
    </row>
    <row r="112" spans="1:11" x14ac:dyDescent="0.25">
      <c r="B112" s="20" t="s">
        <v>342</v>
      </c>
      <c r="C112" s="342">
        <v>0.84020950000000005</v>
      </c>
      <c r="D112" s="342">
        <v>0.93844130000000003</v>
      </c>
      <c r="E112" s="342">
        <v>1.309526</v>
      </c>
      <c r="F112" s="342">
        <v>1.4065620000000001</v>
      </c>
      <c r="G112" s="342">
        <v>1.7612300000000001</v>
      </c>
      <c r="H112" s="342">
        <v>2802508</v>
      </c>
      <c r="I112" s="343">
        <v>2.0382760000000002</v>
      </c>
      <c r="J112" s="341">
        <v>2.5093549999999998</v>
      </c>
      <c r="K112" s="341">
        <v>2.621597</v>
      </c>
    </row>
    <row r="113" spans="2:11" x14ac:dyDescent="0.25">
      <c r="B113" s="22" t="s">
        <v>343</v>
      </c>
      <c r="C113" s="356">
        <v>1100.538</v>
      </c>
      <c r="D113" s="356">
        <v>1306.9090000000001</v>
      </c>
      <c r="E113" s="356">
        <v>1486.2270000000001</v>
      </c>
      <c r="F113" s="356">
        <v>1747.0029999999999</v>
      </c>
      <c r="G113" s="356">
        <v>1957.7429999999999</v>
      </c>
      <c r="H113" s="356">
        <v>2131.116</v>
      </c>
      <c r="I113" s="357">
        <v>2303.7739999999999</v>
      </c>
      <c r="J113" s="358">
        <v>2649.0659999999998</v>
      </c>
      <c r="K113" s="359">
        <v>2866.038</v>
      </c>
    </row>
    <row r="114" spans="2:11" x14ac:dyDescent="0.25">
      <c r="B114" s="33">
        <f>SUM('[5]D-SAM24'!$M$32:$V$32)</f>
        <v>1315.5896628904927</v>
      </c>
      <c r="C114" s="33">
        <f>SUM(C103:C112)</f>
        <v>1100.5376775</v>
      </c>
      <c r="D114" s="33">
        <f t="shared" ref="D114:K114" si="29">SUM(D103:D112)</f>
        <v>1306.9091782999997</v>
      </c>
      <c r="E114" s="33">
        <f t="shared" si="29"/>
        <v>1486.2271809999997</v>
      </c>
      <c r="F114" s="33">
        <f t="shared" si="29"/>
        <v>1747.0030379999998</v>
      </c>
      <c r="G114" s="33">
        <f t="shared" si="29"/>
        <v>1957.7432610000003</v>
      </c>
      <c r="H114" s="33">
        <f t="shared" si="29"/>
        <v>2804637.1586059998</v>
      </c>
      <c r="I114" s="33">
        <f t="shared" si="29"/>
        <v>2303.7738420000001</v>
      </c>
      <c r="J114" s="33">
        <f t="shared" si="29"/>
        <v>2649.0661600000003</v>
      </c>
      <c r="K114" s="33">
        <f t="shared" si="29"/>
        <v>2866.0377899999994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1726F-D8D0-449E-A5F3-2C29CF98B40E}">
  <dimension ref="A1:K68"/>
  <sheetViews>
    <sheetView workbookViewId="0">
      <selection activeCell="A18" sqref="A18"/>
    </sheetView>
  </sheetViews>
  <sheetFormatPr defaultRowHeight="15" x14ac:dyDescent="0.25"/>
  <cols>
    <col min="2" max="2" width="26.42578125" customWidth="1"/>
    <col min="3" max="11" width="10" bestFit="1" customWidth="1"/>
  </cols>
  <sheetData>
    <row r="1" spans="2:11" x14ac:dyDescent="0.25">
      <c r="B1" t="s">
        <v>917</v>
      </c>
    </row>
    <row r="2" spans="2:11" ht="18.75" x14ac:dyDescent="0.3">
      <c r="B2" s="3" t="s">
        <v>345</v>
      </c>
    </row>
    <row r="3" spans="2:11" x14ac:dyDescent="0.25">
      <c r="B3" t="s">
        <v>918</v>
      </c>
      <c r="G3" t="s">
        <v>919</v>
      </c>
    </row>
    <row r="4" spans="2:11" x14ac:dyDescent="0.25">
      <c r="B4" s="2" t="s">
        <v>356</v>
      </c>
    </row>
    <row r="5" spans="2:11" x14ac:dyDescent="0.25">
      <c r="B5" s="25" t="s">
        <v>686</v>
      </c>
    </row>
    <row r="6" spans="2:11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27">
        <f t="shared" si="0"/>
        <v>2031</v>
      </c>
      <c r="K6" s="27">
        <f t="shared" si="0"/>
        <v>2032</v>
      </c>
    </row>
    <row r="7" spans="2:11" x14ac:dyDescent="0.25">
      <c r="B7" s="12" t="s">
        <v>346</v>
      </c>
      <c r="C7" s="87">
        <v>37782.839999999997</v>
      </c>
      <c r="D7" s="87">
        <v>39456.019999999997</v>
      </c>
      <c r="E7" s="87">
        <v>39116.14</v>
      </c>
      <c r="F7" s="87">
        <v>43366.77</v>
      </c>
      <c r="G7" s="87">
        <v>45793.73</v>
      </c>
      <c r="H7" s="87">
        <v>48770.47</v>
      </c>
      <c r="I7" s="360">
        <v>51415.1</v>
      </c>
      <c r="J7" s="361">
        <v>52097.89</v>
      </c>
      <c r="K7" s="361">
        <v>53279.83</v>
      </c>
    </row>
    <row r="8" spans="2:11" x14ac:dyDescent="0.25">
      <c r="B8" s="12" t="s">
        <v>347</v>
      </c>
      <c r="C8" s="87">
        <v>111.72</v>
      </c>
      <c r="D8" s="87">
        <v>117.2033</v>
      </c>
      <c r="E8" s="87">
        <v>115.9396</v>
      </c>
      <c r="F8" s="87">
        <v>128.1679</v>
      </c>
      <c r="G8" s="87">
        <v>132.08269999999999</v>
      </c>
      <c r="H8" s="87">
        <v>141.19810000000001</v>
      </c>
      <c r="I8" s="360">
        <v>146.8844</v>
      </c>
      <c r="J8" s="361">
        <v>149.79400000000001</v>
      </c>
      <c r="K8" s="361">
        <v>156.31460000000001</v>
      </c>
    </row>
    <row r="9" spans="2:11" x14ac:dyDescent="0.25">
      <c r="B9" s="12" t="s">
        <v>348</v>
      </c>
      <c r="C9" s="87">
        <v>50064.83</v>
      </c>
      <c r="D9" s="87">
        <v>52399.95</v>
      </c>
      <c r="E9" s="87">
        <v>51203.33</v>
      </c>
      <c r="F9" s="87">
        <v>56418.04</v>
      </c>
      <c r="G9" s="87">
        <v>57823.66</v>
      </c>
      <c r="H9" s="87">
        <v>63083.71</v>
      </c>
      <c r="I9" s="360">
        <v>66054.73</v>
      </c>
      <c r="J9" s="361">
        <v>66980.14</v>
      </c>
      <c r="K9" s="361">
        <v>69093.19</v>
      </c>
    </row>
    <row r="10" spans="2:11" x14ac:dyDescent="0.25">
      <c r="B10" s="12" t="s">
        <v>349</v>
      </c>
      <c r="C10" s="87">
        <v>4661.1310000000003</v>
      </c>
      <c r="D10" s="87">
        <v>5000.1509999999998</v>
      </c>
      <c r="E10" s="87">
        <v>4912.1030000000001</v>
      </c>
      <c r="F10" s="87">
        <v>5426.9160000000002</v>
      </c>
      <c r="G10" s="87">
        <v>5621.1840000000002</v>
      </c>
      <c r="H10" s="87">
        <v>6037.3090000000002</v>
      </c>
      <c r="I10" s="360">
        <v>6246.942</v>
      </c>
      <c r="J10" s="361">
        <v>6728.7259999999997</v>
      </c>
      <c r="K10" s="361">
        <v>6823.7449999999999</v>
      </c>
    </row>
    <row r="11" spans="2:11" x14ac:dyDescent="0.25">
      <c r="B11" s="12" t="s">
        <v>350</v>
      </c>
      <c r="C11" s="87">
        <v>337.53919999999999</v>
      </c>
      <c r="D11" s="87">
        <v>345.108</v>
      </c>
      <c r="E11" s="87">
        <v>342.62950000000001</v>
      </c>
      <c r="F11" s="87">
        <v>378.16669999999999</v>
      </c>
      <c r="G11" s="87">
        <v>408.02550000000002</v>
      </c>
      <c r="H11" s="87">
        <v>451.81509999999997</v>
      </c>
      <c r="I11" s="360">
        <v>468.00290000000001</v>
      </c>
      <c r="J11" s="361">
        <v>478.35599999999999</v>
      </c>
      <c r="K11" s="361">
        <v>493.09550000000002</v>
      </c>
    </row>
    <row r="12" spans="2:11" x14ac:dyDescent="0.25">
      <c r="B12" s="12" t="s">
        <v>351</v>
      </c>
      <c r="C12" s="87">
        <v>4623.4269999999997</v>
      </c>
      <c r="D12" s="87">
        <v>4868.1260000000002</v>
      </c>
      <c r="E12" s="87">
        <v>4751.8220000000001</v>
      </c>
      <c r="F12" s="87">
        <v>5161.8739999999998</v>
      </c>
      <c r="G12" s="87">
        <v>5305.5039999999999</v>
      </c>
      <c r="H12" s="87">
        <v>5577.2309999999998</v>
      </c>
      <c r="I12" s="360">
        <v>6104.9380000000001</v>
      </c>
      <c r="J12" s="361">
        <v>6158.7650000000003</v>
      </c>
      <c r="K12" s="361">
        <v>6320.8339999999998</v>
      </c>
    </row>
    <row r="13" spans="2:11" x14ac:dyDescent="0.25">
      <c r="B13" s="12" t="s">
        <v>352</v>
      </c>
      <c r="C13" s="87">
        <v>7746.7849999999999</v>
      </c>
      <c r="D13" s="87">
        <v>8323.9860000000008</v>
      </c>
      <c r="E13" s="87">
        <v>8182.9480000000003</v>
      </c>
      <c r="F13" s="87">
        <v>8965.73</v>
      </c>
      <c r="G13" s="87">
        <v>9300.5679999999902</v>
      </c>
      <c r="H13" s="87">
        <v>10146.73</v>
      </c>
      <c r="I13" s="360">
        <v>10552.03</v>
      </c>
      <c r="J13" s="361">
        <v>10800.97</v>
      </c>
      <c r="K13" s="361">
        <v>11122.77</v>
      </c>
    </row>
    <row r="14" spans="2:11" x14ac:dyDescent="0.25">
      <c r="B14" s="12" t="s">
        <v>353</v>
      </c>
      <c r="C14" s="87">
        <v>10254.33</v>
      </c>
      <c r="D14" s="87">
        <v>10538.2</v>
      </c>
      <c r="E14" s="87">
        <v>10172.85</v>
      </c>
      <c r="F14" s="87">
        <v>11266.67</v>
      </c>
      <c r="G14" s="87">
        <v>11530.41</v>
      </c>
      <c r="H14" s="87">
        <v>12227.4</v>
      </c>
      <c r="I14" s="360">
        <v>12670.9</v>
      </c>
      <c r="J14" s="361">
        <v>12563.66</v>
      </c>
      <c r="K14" s="361">
        <v>13041.08</v>
      </c>
    </row>
    <row r="15" spans="2:11" x14ac:dyDescent="0.25">
      <c r="B15" s="12" t="s">
        <v>354</v>
      </c>
      <c r="C15" s="87">
        <v>2736.163</v>
      </c>
      <c r="D15" s="87">
        <v>2933.9180000000001</v>
      </c>
      <c r="E15" s="87">
        <v>2828.9479999999999</v>
      </c>
      <c r="F15" s="87">
        <v>3189.9450000000002</v>
      </c>
      <c r="G15" s="87">
        <v>3292.8040000000001</v>
      </c>
      <c r="H15" s="87">
        <v>3529.6619999999998</v>
      </c>
      <c r="I15" s="360">
        <v>3665.6640000000002</v>
      </c>
      <c r="J15" s="361">
        <v>3741.3159999999998</v>
      </c>
      <c r="K15" s="361">
        <v>3825.6120000000001</v>
      </c>
    </row>
    <row r="16" spans="2:11" x14ac:dyDescent="0.25">
      <c r="B16" s="20" t="s">
        <v>355</v>
      </c>
      <c r="C16" s="88">
        <v>22493.1</v>
      </c>
      <c r="D16" s="88">
        <v>23726.76</v>
      </c>
      <c r="E16" s="88">
        <v>22934.63</v>
      </c>
      <c r="F16" s="88">
        <v>24886.21</v>
      </c>
      <c r="G16" s="88">
        <v>25346.67</v>
      </c>
      <c r="H16" s="88">
        <v>27120.36</v>
      </c>
      <c r="I16" s="362">
        <v>27972.51</v>
      </c>
      <c r="J16" s="363">
        <v>27987.5</v>
      </c>
      <c r="K16" s="363">
        <v>28560.44</v>
      </c>
    </row>
    <row r="17" spans="1:11" x14ac:dyDescent="0.25">
      <c r="B17" s="32">
        <f>'[5]2024-Final'!$Y$48</f>
        <v>138104.43787640979</v>
      </c>
      <c r="C17" s="33">
        <f>SUM(C7:C16)</f>
        <v>140811.8652</v>
      </c>
      <c r="D17" s="33">
        <f t="shared" ref="D17:K17" si="1">SUM(D7:D16)</f>
        <v>147709.42230000001</v>
      </c>
      <c r="E17" s="33">
        <f t="shared" si="1"/>
        <v>144561.3401</v>
      </c>
      <c r="F17" s="33">
        <f t="shared" si="1"/>
        <v>159188.4896</v>
      </c>
      <c r="G17" s="33">
        <f t="shared" si="1"/>
        <v>164554.63819999999</v>
      </c>
      <c r="H17" s="33">
        <f t="shared" si="1"/>
        <v>177085.88520000002</v>
      </c>
      <c r="I17" s="33">
        <f t="shared" si="1"/>
        <v>185297.70129999999</v>
      </c>
      <c r="J17" s="33">
        <f t="shared" si="1"/>
        <v>187687.117</v>
      </c>
      <c r="K17" s="33">
        <f t="shared" si="1"/>
        <v>192716.91109999997</v>
      </c>
    </row>
    <row r="18" spans="1:11" x14ac:dyDescent="0.25">
      <c r="A18" t="s">
        <v>920</v>
      </c>
      <c r="B18" s="2" t="s">
        <v>357</v>
      </c>
      <c r="I18" s="4"/>
      <c r="K18" s="40"/>
    </row>
    <row r="19" spans="1:11" x14ac:dyDescent="0.25">
      <c r="B19" s="25" t="s">
        <v>702</v>
      </c>
      <c r="I19" s="4"/>
      <c r="K19" s="40"/>
    </row>
    <row r="20" spans="1:11" x14ac:dyDescent="0.25">
      <c r="B20" s="18"/>
      <c r="C20" s="6">
        <v>2024</v>
      </c>
      <c r="D20" s="6">
        <f t="shared" ref="D20:K20" si="2">C20+1</f>
        <v>2025</v>
      </c>
      <c r="E20" s="6">
        <f t="shared" si="2"/>
        <v>2026</v>
      </c>
      <c r="F20" s="6">
        <f t="shared" si="2"/>
        <v>2027</v>
      </c>
      <c r="G20" s="6">
        <f t="shared" si="2"/>
        <v>2028</v>
      </c>
      <c r="H20" s="6">
        <f t="shared" si="2"/>
        <v>2029</v>
      </c>
      <c r="I20" s="19">
        <f t="shared" si="2"/>
        <v>2030</v>
      </c>
      <c r="J20" s="27">
        <f t="shared" si="2"/>
        <v>2031</v>
      </c>
      <c r="K20" s="30">
        <f t="shared" si="2"/>
        <v>2032</v>
      </c>
    </row>
    <row r="21" spans="1:11" x14ac:dyDescent="0.25">
      <c r="B21" s="12" t="s">
        <v>358</v>
      </c>
      <c r="C21" s="327">
        <v>4.63253</v>
      </c>
      <c r="D21" s="327">
        <v>4.5317299999999996</v>
      </c>
      <c r="E21" s="327">
        <v>4.7943150000000001</v>
      </c>
      <c r="F21" s="327">
        <v>4.9846110000000001</v>
      </c>
      <c r="G21" s="327">
        <v>5.0984340000000001</v>
      </c>
      <c r="H21" s="327">
        <v>5.3343579999999999</v>
      </c>
      <c r="I21" s="364">
        <v>5.4474010000000002</v>
      </c>
      <c r="J21" s="365">
        <v>5.3796340000000002</v>
      </c>
      <c r="K21" s="365">
        <v>5.8136200000000002</v>
      </c>
    </row>
    <row r="22" spans="1:11" x14ac:dyDescent="0.25">
      <c r="B22" s="12" t="s">
        <v>359</v>
      </c>
      <c r="C22" s="327">
        <v>1.9877900000000001E-3</v>
      </c>
      <c r="D22" s="327">
        <v>2.3158200000000001E-3</v>
      </c>
      <c r="E22" s="327">
        <v>2.4659399999999998E-3</v>
      </c>
      <c r="F22" s="327">
        <v>2.82088E-3</v>
      </c>
      <c r="G22" s="327">
        <v>3.2121300000000001E-3</v>
      </c>
      <c r="H22" s="327">
        <v>3.54572E-3</v>
      </c>
      <c r="I22" s="364">
        <v>3.8644E-3</v>
      </c>
      <c r="J22" s="365">
        <v>4.0863399999999999E-3</v>
      </c>
      <c r="K22" s="365">
        <v>4.2224200000000002E-3</v>
      </c>
    </row>
    <row r="23" spans="1:11" x14ac:dyDescent="0.25">
      <c r="B23" s="12" t="s">
        <v>360</v>
      </c>
      <c r="C23" s="327">
        <v>16.936160000000001</v>
      </c>
      <c r="D23" s="327">
        <v>19.976980000000001</v>
      </c>
      <c r="E23" s="327">
        <v>24.027159999999999</v>
      </c>
      <c r="F23" s="327">
        <v>30.635100000000001</v>
      </c>
      <c r="G23" s="327">
        <v>37.37377</v>
      </c>
      <c r="H23" s="327">
        <v>54.609879999999997</v>
      </c>
      <c r="I23" s="364">
        <v>63.611879999999999</v>
      </c>
      <c r="J23" s="365">
        <v>67.329269999999994</v>
      </c>
      <c r="K23" s="365">
        <v>69.719589999999997</v>
      </c>
    </row>
    <row r="24" spans="1:11" x14ac:dyDescent="0.25">
      <c r="B24" s="12" t="s">
        <v>361</v>
      </c>
      <c r="C24" s="327">
        <v>1.9397800000000001E-3</v>
      </c>
      <c r="D24" s="327">
        <v>2.3068400000000001E-3</v>
      </c>
      <c r="E24" s="327">
        <v>2.63496E-3</v>
      </c>
      <c r="F24" s="327">
        <v>3.2009199999999999E-3</v>
      </c>
      <c r="G24" s="327">
        <v>3.5526500000000001E-3</v>
      </c>
      <c r="H24" s="327">
        <v>3.8333099999999999E-3</v>
      </c>
      <c r="I24" s="364">
        <v>4.0036899999999999E-3</v>
      </c>
      <c r="J24" s="365">
        <v>4.4095999999999996E-3</v>
      </c>
      <c r="K24" s="365">
        <v>4.5597399999999996E-3</v>
      </c>
    </row>
    <row r="25" spans="1:11" x14ac:dyDescent="0.25">
      <c r="B25" s="12" t="s">
        <v>362</v>
      </c>
      <c r="C25" s="327">
        <v>2.0075800000000001E-3</v>
      </c>
      <c r="D25" s="327">
        <v>2.6326499999999998E-3</v>
      </c>
      <c r="E25" s="327">
        <v>3.6705900000000001E-3</v>
      </c>
      <c r="F25" s="327">
        <v>4.6729099999999997E-3</v>
      </c>
      <c r="G25" s="327">
        <v>5.7360900000000001E-3</v>
      </c>
      <c r="H25" s="327">
        <v>4.5446200000000001E-3</v>
      </c>
      <c r="I25" s="364">
        <v>4.8035500000000002E-3</v>
      </c>
      <c r="J25" s="365">
        <v>4.6504099999999998E-3</v>
      </c>
      <c r="K25" s="365">
        <v>4.7803100000000003E-3</v>
      </c>
    </row>
    <row r="26" spans="1:11" x14ac:dyDescent="0.25">
      <c r="B26" s="12" t="s">
        <v>363</v>
      </c>
      <c r="C26" s="327">
        <v>2.0509199999999999E-3</v>
      </c>
      <c r="D26" s="327">
        <v>2.1679199999999998E-3</v>
      </c>
      <c r="E26" s="327">
        <v>2.5184600000000001E-3</v>
      </c>
      <c r="F26" s="327">
        <v>2.22623E-3</v>
      </c>
      <c r="G26" s="327">
        <v>2.5757200000000001E-3</v>
      </c>
      <c r="H26" s="327">
        <v>2.8378399999999999E-3</v>
      </c>
      <c r="I26" s="364">
        <v>2.6108400000000001E-3</v>
      </c>
      <c r="J26" s="365">
        <v>3.9224400000000001E-3</v>
      </c>
      <c r="K26" s="365">
        <v>4.1592E-3</v>
      </c>
    </row>
    <row r="27" spans="1:11" x14ac:dyDescent="0.25">
      <c r="B27" s="12" t="s">
        <v>364</v>
      </c>
      <c r="C27" s="327">
        <v>2.0505100000000002E-3</v>
      </c>
      <c r="D27" s="327">
        <v>2.1935000000000001E-3</v>
      </c>
      <c r="E27" s="327">
        <v>2.3182900000000002E-3</v>
      </c>
      <c r="F27" s="327">
        <v>2.4272999999999999E-3</v>
      </c>
      <c r="G27" s="327">
        <v>2.6605399999999999E-3</v>
      </c>
      <c r="H27" s="327">
        <v>2.76962E-3</v>
      </c>
      <c r="I27" s="364">
        <v>2.85776E-3</v>
      </c>
      <c r="J27" s="365">
        <v>2.9660400000000001E-3</v>
      </c>
      <c r="K27" s="365">
        <v>3.0795000000000002E-3</v>
      </c>
    </row>
    <row r="28" spans="1:11" x14ac:dyDescent="0.25">
      <c r="B28" s="12" t="s">
        <v>365</v>
      </c>
      <c r="C28" s="327">
        <v>52.58455</v>
      </c>
      <c r="D28" s="327">
        <v>71.453000000000003</v>
      </c>
      <c r="E28" s="327">
        <v>71.368639999999999</v>
      </c>
      <c r="F28" s="327">
        <v>73.457830000000001</v>
      </c>
      <c r="G28" s="327">
        <v>75.210459999999998</v>
      </c>
      <c r="H28" s="327">
        <v>82.235110000000006</v>
      </c>
      <c r="I28" s="364">
        <v>90.792379999999994</v>
      </c>
      <c r="J28" s="365">
        <v>110.30159999999999</v>
      </c>
      <c r="K28" s="365">
        <v>139.3246</v>
      </c>
    </row>
    <row r="29" spans="1:11" x14ac:dyDescent="0.25">
      <c r="B29" s="12" t="s">
        <v>366</v>
      </c>
      <c r="C29" s="327">
        <v>20259.7</v>
      </c>
      <c r="D29" s="327">
        <v>23217.72</v>
      </c>
      <c r="E29" s="327">
        <v>23898.400000000001</v>
      </c>
      <c r="F29" s="327">
        <v>27132.98</v>
      </c>
      <c r="G29" s="327">
        <v>26772.28</v>
      </c>
      <c r="H29" s="327">
        <v>30142.23</v>
      </c>
      <c r="I29" s="364">
        <v>30246.13</v>
      </c>
      <c r="J29" s="365">
        <v>30287.73</v>
      </c>
      <c r="K29" s="365">
        <v>29797.14</v>
      </c>
    </row>
    <row r="30" spans="1:11" x14ac:dyDescent="0.25">
      <c r="B30" s="20" t="s">
        <v>367</v>
      </c>
      <c r="C30" s="366">
        <v>73.396990000000002</v>
      </c>
      <c r="D30" s="366">
        <v>88.876459999999994</v>
      </c>
      <c r="E30" s="366">
        <v>102.9374</v>
      </c>
      <c r="F30" s="366">
        <v>132.6763</v>
      </c>
      <c r="G30" s="366">
        <v>141.6491</v>
      </c>
      <c r="H30" s="366">
        <v>159.0753</v>
      </c>
      <c r="I30" s="367">
        <v>164.88470000000001</v>
      </c>
      <c r="J30" s="368">
        <v>165.79900000000001</v>
      </c>
      <c r="K30" s="368">
        <v>170.36580000000001</v>
      </c>
    </row>
    <row r="31" spans="1:11" x14ac:dyDescent="0.25">
      <c r="B31" s="32">
        <f>'[5]2024-Final'!$AF$48</f>
        <v>20393.051572125998</v>
      </c>
      <c r="C31" s="33">
        <f>SUM(C21:C30)</f>
        <v>20407.26026658</v>
      </c>
      <c r="D31" s="33">
        <f t="shared" ref="D31:K31" si="3">SUM(D21:D30)</f>
        <v>23402.56978673</v>
      </c>
      <c r="E31" s="33">
        <f t="shared" si="3"/>
        <v>24101.54112324</v>
      </c>
      <c r="F31" s="33">
        <f t="shared" si="3"/>
        <v>27374.749189239999</v>
      </c>
      <c r="G31" s="33">
        <f t="shared" si="3"/>
        <v>27031.629501129999</v>
      </c>
      <c r="H31" s="33">
        <f t="shared" si="3"/>
        <v>30443.502179110001</v>
      </c>
      <c r="I31" s="33">
        <f t="shared" si="3"/>
        <v>30570.884501240002</v>
      </c>
      <c r="J31" s="33">
        <f t="shared" si="3"/>
        <v>30636.559538829999</v>
      </c>
      <c r="K31" s="33">
        <f t="shared" si="3"/>
        <v>30182.384411169998</v>
      </c>
    </row>
    <row r="32" spans="1:11" x14ac:dyDescent="0.25">
      <c r="A32" s="41" t="s">
        <v>886</v>
      </c>
      <c r="B32" s="2" t="s">
        <v>368</v>
      </c>
      <c r="I32" s="4"/>
      <c r="K32" s="40"/>
    </row>
    <row r="33" spans="1:11" x14ac:dyDescent="0.25">
      <c r="B33" s="25" t="s">
        <v>687</v>
      </c>
      <c r="I33" s="4"/>
      <c r="K33" s="40"/>
    </row>
    <row r="34" spans="1:11" x14ac:dyDescent="0.25">
      <c r="B34" s="18"/>
      <c r="C34" s="6">
        <v>2024</v>
      </c>
      <c r="D34" s="6">
        <f t="shared" ref="D34:K34" si="4">C34+1</f>
        <v>2025</v>
      </c>
      <c r="E34" s="6">
        <f t="shared" si="4"/>
        <v>2026</v>
      </c>
      <c r="F34" s="6">
        <f t="shared" si="4"/>
        <v>2027</v>
      </c>
      <c r="G34" s="6">
        <f t="shared" si="4"/>
        <v>2028</v>
      </c>
      <c r="H34" s="6">
        <f t="shared" si="4"/>
        <v>2029</v>
      </c>
      <c r="I34" s="19">
        <f t="shared" si="4"/>
        <v>2030</v>
      </c>
      <c r="J34" s="27">
        <f t="shared" si="4"/>
        <v>2031</v>
      </c>
      <c r="K34" s="30">
        <f t="shared" si="4"/>
        <v>2032</v>
      </c>
    </row>
    <row r="35" spans="1:11" x14ac:dyDescent="0.25">
      <c r="B35" s="12" t="s">
        <v>369</v>
      </c>
      <c r="C35" s="87">
        <v>10967.88</v>
      </c>
      <c r="D35" s="87">
        <v>10940.99</v>
      </c>
      <c r="E35" s="87">
        <v>11587.37</v>
      </c>
      <c r="F35" s="87">
        <v>12189.18</v>
      </c>
      <c r="G35" s="87">
        <v>14655.49</v>
      </c>
      <c r="H35" s="87">
        <v>14480.92</v>
      </c>
      <c r="I35" s="360">
        <v>14534.58</v>
      </c>
      <c r="J35" s="361">
        <v>15504.29</v>
      </c>
      <c r="K35" s="361">
        <v>15941.01</v>
      </c>
    </row>
    <row r="36" spans="1:11" x14ac:dyDescent="0.25">
      <c r="B36" s="12" t="s">
        <v>370</v>
      </c>
      <c r="C36" s="87">
        <v>5552.6549999999997</v>
      </c>
      <c r="D36" s="87">
        <v>5564.4840000000004</v>
      </c>
      <c r="E36" s="87">
        <v>5880.34</v>
      </c>
      <c r="F36" s="87">
        <v>6167.9170000000004</v>
      </c>
      <c r="G36" s="87">
        <v>7237.393</v>
      </c>
      <c r="H36" s="87">
        <v>7178.1040000000003</v>
      </c>
      <c r="I36" s="360">
        <v>7109.3419999999996</v>
      </c>
      <c r="J36" s="361">
        <v>7632.5190000000002</v>
      </c>
      <c r="K36" s="361">
        <v>8007.4489999999996</v>
      </c>
    </row>
    <row r="37" spans="1:11" x14ac:dyDescent="0.25">
      <c r="B37" s="12" t="s">
        <v>371</v>
      </c>
      <c r="C37" s="87">
        <v>5972.0770000000002</v>
      </c>
      <c r="D37" s="87">
        <v>5970.884</v>
      </c>
      <c r="E37" s="87">
        <v>6232.9229999999998</v>
      </c>
      <c r="F37" s="87">
        <v>6516.2830000000004</v>
      </c>
      <c r="G37" s="87">
        <v>7604.3940000000002</v>
      </c>
      <c r="H37" s="87">
        <v>7696.9920000000002</v>
      </c>
      <c r="I37" s="360">
        <v>7673.268</v>
      </c>
      <c r="J37" s="361">
        <v>8191.1040000000003</v>
      </c>
      <c r="K37" s="361">
        <v>8494.7909999999902</v>
      </c>
    </row>
    <row r="38" spans="1:11" x14ac:dyDescent="0.25">
      <c r="B38" s="12" t="s">
        <v>372</v>
      </c>
      <c r="C38" s="87">
        <v>9.1082800000000006</v>
      </c>
      <c r="D38" s="87">
        <v>9.3334729999999997</v>
      </c>
      <c r="E38" s="87">
        <v>9.795204</v>
      </c>
      <c r="F38" s="87">
        <v>10.268039999999999</v>
      </c>
      <c r="G38" s="87">
        <v>12.109859999999999</v>
      </c>
      <c r="H38" s="87">
        <v>12.06701</v>
      </c>
      <c r="I38" s="360">
        <v>11.88766</v>
      </c>
      <c r="J38" s="361">
        <v>13.47974</v>
      </c>
      <c r="K38" s="361">
        <v>13.74335</v>
      </c>
    </row>
    <row r="39" spans="1:11" x14ac:dyDescent="0.25">
      <c r="B39" s="12" t="s">
        <v>373</v>
      </c>
      <c r="C39" s="87">
        <v>24028.51</v>
      </c>
      <c r="D39" s="87">
        <v>23467.82</v>
      </c>
      <c r="E39" s="87">
        <v>24890.2</v>
      </c>
      <c r="F39" s="87">
        <v>26066.05</v>
      </c>
      <c r="G39" s="87">
        <v>32022.59</v>
      </c>
      <c r="H39" s="87">
        <v>32898.39</v>
      </c>
      <c r="I39" s="360">
        <v>32444.05</v>
      </c>
      <c r="J39" s="361">
        <v>34910.629999999997</v>
      </c>
      <c r="K39" s="361">
        <v>36179.17</v>
      </c>
    </row>
    <row r="40" spans="1:11" x14ac:dyDescent="0.25">
      <c r="B40" s="12" t="s">
        <v>374</v>
      </c>
      <c r="C40" s="87">
        <v>7711.857</v>
      </c>
      <c r="D40" s="87">
        <v>7756.6090000000004</v>
      </c>
      <c r="E40" s="87">
        <v>8088.2759999999998</v>
      </c>
      <c r="F40" s="87">
        <v>8336.652</v>
      </c>
      <c r="G40" s="87">
        <v>9756.3629999999903</v>
      </c>
      <c r="H40" s="87">
        <v>9515.348</v>
      </c>
      <c r="I40" s="360">
        <v>9916.5360000000001</v>
      </c>
      <c r="J40" s="361">
        <v>10531.55</v>
      </c>
      <c r="K40" s="361">
        <v>10866.61</v>
      </c>
    </row>
    <row r="41" spans="1:11" x14ac:dyDescent="0.25">
      <c r="B41" s="12" t="s">
        <v>375</v>
      </c>
      <c r="C41" s="87">
        <v>23412.99</v>
      </c>
      <c r="D41" s="87">
        <v>24031.56</v>
      </c>
      <c r="E41" s="87">
        <v>25237.49</v>
      </c>
      <c r="F41" s="87">
        <v>26236.77</v>
      </c>
      <c r="G41" s="87">
        <v>30989.27</v>
      </c>
      <c r="H41" s="87">
        <v>31366.959999999999</v>
      </c>
      <c r="I41" s="360">
        <v>31056.69</v>
      </c>
      <c r="J41" s="361">
        <v>33465.85</v>
      </c>
      <c r="K41" s="361">
        <v>34647.589999999997</v>
      </c>
    </row>
    <row r="42" spans="1:11" x14ac:dyDescent="0.25">
      <c r="B42" s="12" t="s">
        <v>376</v>
      </c>
      <c r="C42" s="87">
        <v>111.1083</v>
      </c>
      <c r="D42" s="87">
        <v>109.074</v>
      </c>
      <c r="E42" s="87">
        <v>112.4819</v>
      </c>
      <c r="F42" s="87">
        <v>118.20180000000001</v>
      </c>
      <c r="G42" s="87">
        <v>137.73689999999999</v>
      </c>
      <c r="H42" s="87">
        <v>135.51410000000001</v>
      </c>
      <c r="I42" s="360">
        <v>133.69980000000001</v>
      </c>
      <c r="J42" s="361">
        <v>139.55950000000001</v>
      </c>
      <c r="K42" s="361">
        <v>145.63900000000001</v>
      </c>
    </row>
    <row r="43" spans="1:11" x14ac:dyDescent="0.25">
      <c r="B43" s="12" t="s">
        <v>377</v>
      </c>
      <c r="C43" s="87">
        <v>9.5970840000000006</v>
      </c>
      <c r="D43" s="87">
        <v>9.8301540000000003</v>
      </c>
      <c r="E43" s="87">
        <v>10.12566</v>
      </c>
      <c r="F43" s="87">
        <v>10.83352</v>
      </c>
      <c r="G43" s="87">
        <v>12.73296</v>
      </c>
      <c r="H43" s="87">
        <v>12.66314</v>
      </c>
      <c r="I43" s="360">
        <v>12.520849999999999</v>
      </c>
      <c r="J43" s="361">
        <v>13.453189999999999</v>
      </c>
      <c r="K43" s="361">
        <v>13.830030000000001</v>
      </c>
    </row>
    <row r="44" spans="1:11" x14ac:dyDescent="0.25">
      <c r="B44" s="12" t="s">
        <v>378</v>
      </c>
      <c r="C44" s="87">
        <v>10.36875</v>
      </c>
      <c r="D44" s="87">
        <v>10.447939999999999</v>
      </c>
      <c r="E44" s="87">
        <v>10.78872</v>
      </c>
      <c r="F44" s="87">
        <v>11.10773</v>
      </c>
      <c r="G44" s="87">
        <v>12.88144</v>
      </c>
      <c r="H44" s="87">
        <v>12.78744</v>
      </c>
      <c r="I44" s="360">
        <v>12.557180000000001</v>
      </c>
      <c r="J44" s="361">
        <v>13.2265</v>
      </c>
      <c r="K44" s="361">
        <v>13.56959</v>
      </c>
    </row>
    <row r="45" spans="1:11" x14ac:dyDescent="0.25">
      <c r="A45" s="42">
        <v>2</v>
      </c>
      <c r="B45" s="20" t="s">
        <v>642</v>
      </c>
      <c r="C45" s="60">
        <v>75206.33</v>
      </c>
      <c r="D45" s="60">
        <v>77968.460000000006</v>
      </c>
      <c r="E45" s="60">
        <v>82697.53</v>
      </c>
      <c r="F45" s="60">
        <v>88077.81</v>
      </c>
      <c r="G45" s="60">
        <v>105031.3</v>
      </c>
      <c r="H45" s="60">
        <v>105712.3</v>
      </c>
      <c r="I45" s="61">
        <v>105665.1</v>
      </c>
      <c r="J45" s="62">
        <v>114942.5</v>
      </c>
      <c r="K45" s="62">
        <v>120227.9</v>
      </c>
    </row>
    <row r="46" spans="1:11" x14ac:dyDescent="0.25">
      <c r="B46" s="32">
        <f>'[5]2024-Final'!$AG$48</f>
        <v>78369.343771421394</v>
      </c>
      <c r="C46" s="33">
        <f>SUM(C35:C44)</f>
        <v>77786.151414000007</v>
      </c>
      <c r="D46" s="33">
        <f t="shared" ref="D46:K46" si="5">SUM(D35:D44)</f>
        <v>77871.032566999987</v>
      </c>
      <c r="E46" s="33">
        <f t="shared" si="5"/>
        <v>82059.790483999997</v>
      </c>
      <c r="F46" s="33">
        <f t="shared" si="5"/>
        <v>85663.263090000008</v>
      </c>
      <c r="G46" s="33">
        <f t="shared" si="5"/>
        <v>102440.96115999999</v>
      </c>
      <c r="H46" s="33">
        <f t="shared" si="5"/>
        <v>103309.74569000001</v>
      </c>
      <c r="I46" s="33">
        <f t="shared" si="5"/>
        <v>102905.13149</v>
      </c>
      <c r="J46" s="33">
        <f t="shared" si="5"/>
        <v>110415.66193000002</v>
      </c>
      <c r="K46" s="33">
        <f t="shared" si="5"/>
        <v>114323.40196999998</v>
      </c>
    </row>
    <row r="47" spans="1:11" x14ac:dyDescent="0.25">
      <c r="I47" s="4"/>
    </row>
    <row r="48" spans="1:11" x14ac:dyDescent="0.25">
      <c r="I48" s="4"/>
    </row>
    <row r="49" spans="9:9" x14ac:dyDescent="0.25">
      <c r="I49" s="4"/>
    </row>
    <row r="50" spans="9:9" x14ac:dyDescent="0.25">
      <c r="I50" s="4"/>
    </row>
    <row r="51" spans="9:9" x14ac:dyDescent="0.25">
      <c r="I51" s="4"/>
    </row>
    <row r="52" spans="9:9" x14ac:dyDescent="0.25">
      <c r="I52" s="4"/>
    </row>
    <row r="53" spans="9:9" x14ac:dyDescent="0.25">
      <c r="I53" s="4"/>
    </row>
    <row r="54" spans="9:9" x14ac:dyDescent="0.25">
      <c r="I54" s="4"/>
    </row>
    <row r="55" spans="9:9" x14ac:dyDescent="0.25">
      <c r="I55" s="4"/>
    </row>
    <row r="56" spans="9:9" x14ac:dyDescent="0.25">
      <c r="I56" s="4"/>
    </row>
    <row r="57" spans="9:9" x14ac:dyDescent="0.25">
      <c r="I57" s="4"/>
    </row>
    <row r="58" spans="9:9" x14ac:dyDescent="0.25">
      <c r="I58" s="4"/>
    </row>
    <row r="59" spans="9:9" x14ac:dyDescent="0.25">
      <c r="I59" s="4"/>
    </row>
    <row r="60" spans="9:9" x14ac:dyDescent="0.25">
      <c r="I60" s="4"/>
    </row>
    <row r="61" spans="9:9" x14ac:dyDescent="0.25">
      <c r="I61" s="4"/>
    </row>
    <row r="62" spans="9:9" x14ac:dyDescent="0.25">
      <c r="I62" s="4"/>
    </row>
    <row r="63" spans="9:9" x14ac:dyDescent="0.25">
      <c r="I63" s="4"/>
    </row>
    <row r="64" spans="9:9" x14ac:dyDescent="0.25">
      <c r="I64" s="4"/>
    </row>
    <row r="65" spans="9:9" x14ac:dyDescent="0.25">
      <c r="I65" s="4"/>
    </row>
    <row r="66" spans="9:9" x14ac:dyDescent="0.25">
      <c r="I66" s="4"/>
    </row>
    <row r="67" spans="9:9" x14ac:dyDescent="0.25">
      <c r="I67" s="4"/>
    </row>
    <row r="68" spans="9:9" x14ac:dyDescent="0.25">
      <c r="I68" s="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41C6-B6A1-4790-A6A6-523FDA231AE6}">
  <dimension ref="B2:AD105"/>
  <sheetViews>
    <sheetView workbookViewId="0">
      <pane xSplit="2" ySplit="6" topLeftCell="C55" activePane="bottomRight" state="frozen"/>
      <selection pane="topRight" activeCell="C1" sqref="C1"/>
      <selection pane="bottomLeft" activeCell="A7" sqref="A7"/>
      <selection pane="bottomRight" activeCell="G75" sqref="G75"/>
    </sheetView>
  </sheetViews>
  <sheetFormatPr defaultRowHeight="15" x14ac:dyDescent="0.25"/>
  <cols>
    <col min="1" max="1" width="6" customWidth="1"/>
    <col min="2" max="2" width="37.7109375" customWidth="1"/>
    <col min="10" max="10" width="9.7109375" customWidth="1"/>
    <col min="11" max="11" width="9.5703125" bestFit="1" customWidth="1"/>
    <col min="12" max="12" width="23.140625" customWidth="1"/>
    <col min="14" max="14" width="9" customWidth="1"/>
  </cols>
  <sheetData>
    <row r="2" spans="2:11" ht="18.75" x14ac:dyDescent="0.3">
      <c r="B2" s="3" t="s">
        <v>379</v>
      </c>
    </row>
    <row r="4" spans="2:11" x14ac:dyDescent="0.25">
      <c r="B4" s="2" t="s">
        <v>380</v>
      </c>
    </row>
    <row r="5" spans="2:11" x14ac:dyDescent="0.25">
      <c r="B5" s="25" t="s">
        <v>668</v>
      </c>
    </row>
    <row r="6" spans="2:11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27">
        <f t="shared" si="0"/>
        <v>2031</v>
      </c>
      <c r="K6" s="27">
        <f t="shared" si="0"/>
        <v>2032</v>
      </c>
    </row>
    <row r="7" spans="2:11" x14ac:dyDescent="0.25">
      <c r="B7" s="12" t="s">
        <v>231</v>
      </c>
      <c r="C7" s="369">
        <v>77989.179999999906</v>
      </c>
      <c r="D7" s="369">
        <v>87034.32</v>
      </c>
      <c r="E7" s="369">
        <v>91014.56</v>
      </c>
      <c r="F7" s="369">
        <v>95491.75</v>
      </c>
      <c r="G7" s="369">
        <v>97448.59</v>
      </c>
      <c r="H7" s="369">
        <v>102732.8</v>
      </c>
      <c r="I7" s="370">
        <v>103764.3</v>
      </c>
      <c r="J7" s="361">
        <v>108224.6</v>
      </c>
      <c r="K7" s="361">
        <v>115057</v>
      </c>
    </row>
    <row r="8" spans="2:11" x14ac:dyDescent="0.25">
      <c r="B8" s="12" t="s">
        <v>233</v>
      </c>
      <c r="C8" s="369">
        <v>12664.64</v>
      </c>
      <c r="D8" s="369">
        <v>16085.33</v>
      </c>
      <c r="E8" s="369">
        <v>17275.849999999999</v>
      </c>
      <c r="F8" s="369">
        <v>18594.27</v>
      </c>
      <c r="G8" s="369">
        <v>19642.75</v>
      </c>
      <c r="H8" s="369">
        <v>20669.12</v>
      </c>
      <c r="I8" s="370">
        <v>21814.36</v>
      </c>
      <c r="J8" s="361">
        <v>23247.08</v>
      </c>
      <c r="K8" s="361">
        <v>24351.17</v>
      </c>
    </row>
    <row r="9" spans="2:11" x14ac:dyDescent="0.25">
      <c r="B9" s="12" t="s">
        <v>234</v>
      </c>
      <c r="C9" s="369">
        <v>57016.34</v>
      </c>
      <c r="D9" s="369">
        <v>61134</v>
      </c>
      <c r="E9" s="369">
        <v>66775.3</v>
      </c>
      <c r="F9" s="369">
        <v>73218.19</v>
      </c>
      <c r="G9" s="369">
        <v>81355.31</v>
      </c>
      <c r="H9" s="369">
        <v>88826.2</v>
      </c>
      <c r="I9" s="370">
        <v>92631.33</v>
      </c>
      <c r="J9" s="361">
        <v>96164.84</v>
      </c>
      <c r="K9" s="361">
        <v>98911.63</v>
      </c>
    </row>
    <row r="10" spans="2:11" x14ac:dyDescent="0.25">
      <c r="B10" s="12" t="s">
        <v>235</v>
      </c>
      <c r="C10" s="369">
        <v>9997.9570000000003</v>
      </c>
      <c r="D10" s="369">
        <v>11681.13</v>
      </c>
      <c r="E10" s="369">
        <v>12696.89</v>
      </c>
      <c r="F10" s="369">
        <v>17220.38</v>
      </c>
      <c r="G10" s="369">
        <v>17696.849999999999</v>
      </c>
      <c r="H10" s="369">
        <v>18168.07</v>
      </c>
      <c r="I10" s="370">
        <v>18936.36</v>
      </c>
      <c r="J10" s="361">
        <v>21544.21</v>
      </c>
      <c r="K10" s="361">
        <v>24950.81</v>
      </c>
    </row>
    <row r="11" spans="2:11" x14ac:dyDescent="0.25">
      <c r="B11" s="12" t="s">
        <v>236</v>
      </c>
      <c r="C11" s="369">
        <v>31675.93</v>
      </c>
      <c r="D11" s="369">
        <v>37514.720000000001</v>
      </c>
      <c r="E11" s="369">
        <v>41602.199999999997</v>
      </c>
      <c r="F11" s="369">
        <v>44448.41</v>
      </c>
      <c r="G11" s="369">
        <v>47517.03</v>
      </c>
      <c r="H11" s="369">
        <v>48523.66</v>
      </c>
      <c r="I11" s="370">
        <v>51200.11</v>
      </c>
      <c r="J11" s="361">
        <v>54083.35</v>
      </c>
      <c r="K11" s="361">
        <v>56619.15</v>
      </c>
    </row>
    <row r="12" spans="2:11" x14ac:dyDescent="0.25">
      <c r="B12" s="12" t="s">
        <v>237</v>
      </c>
      <c r="C12" s="369">
        <v>18362.16</v>
      </c>
      <c r="D12" s="369">
        <v>20606.509999999998</v>
      </c>
      <c r="E12" s="369">
        <v>23607.84</v>
      </c>
      <c r="F12" s="369">
        <v>30556.400000000001</v>
      </c>
      <c r="G12" s="369">
        <v>32384.02</v>
      </c>
      <c r="H12" s="369">
        <v>34843.949999999997</v>
      </c>
      <c r="I12" s="370">
        <v>38067.599999999999</v>
      </c>
      <c r="J12" s="361">
        <v>42907.48</v>
      </c>
      <c r="K12" s="361">
        <v>48179.63</v>
      </c>
    </row>
    <row r="13" spans="2:11" x14ac:dyDescent="0.25">
      <c r="B13" s="12" t="s">
        <v>238</v>
      </c>
      <c r="C13" s="369">
        <v>33468</v>
      </c>
      <c r="D13" s="369">
        <v>35260.33</v>
      </c>
      <c r="E13" s="369">
        <v>36089.550000000003</v>
      </c>
      <c r="F13" s="369">
        <v>40600.019999999997</v>
      </c>
      <c r="G13" s="369">
        <v>43588.95</v>
      </c>
      <c r="H13" s="369">
        <v>44765.279999999999</v>
      </c>
      <c r="I13" s="370">
        <v>46938.55</v>
      </c>
      <c r="J13" s="361">
        <v>51862.34</v>
      </c>
      <c r="K13" s="361">
        <v>53615.16</v>
      </c>
    </row>
    <row r="14" spans="2:11" x14ac:dyDescent="0.25">
      <c r="B14" s="12" t="s">
        <v>239</v>
      </c>
      <c r="C14" s="369">
        <v>14788.22</v>
      </c>
      <c r="D14" s="369">
        <v>16646.419999999998</v>
      </c>
      <c r="E14" s="369">
        <v>16846.060000000001</v>
      </c>
      <c r="F14" s="369">
        <v>17825.490000000002</v>
      </c>
      <c r="G14" s="369">
        <v>18695.169999999998</v>
      </c>
      <c r="H14" s="369">
        <v>19512.45</v>
      </c>
      <c r="I14" s="370">
        <v>20852.68</v>
      </c>
      <c r="J14" s="361">
        <v>22107.1</v>
      </c>
      <c r="K14" s="361">
        <v>22849.16</v>
      </c>
    </row>
    <row r="15" spans="2:11" x14ac:dyDescent="0.25">
      <c r="B15" s="12" t="s">
        <v>240</v>
      </c>
      <c r="C15" s="369">
        <v>19870.87</v>
      </c>
      <c r="D15" s="369">
        <v>20162.71</v>
      </c>
      <c r="E15" s="369">
        <v>22032.19</v>
      </c>
      <c r="F15" s="369">
        <v>24626.92</v>
      </c>
      <c r="G15" s="369">
        <v>25902.33</v>
      </c>
      <c r="H15" s="369">
        <v>29599.82</v>
      </c>
      <c r="I15" s="370">
        <v>33063.19</v>
      </c>
      <c r="J15" s="361">
        <v>36134.480000000003</v>
      </c>
      <c r="K15" s="361">
        <v>40049.449999999997</v>
      </c>
    </row>
    <row r="16" spans="2:11" x14ac:dyDescent="0.25">
      <c r="B16" s="20" t="s">
        <v>242</v>
      </c>
      <c r="C16" s="371">
        <v>3864.3989999999999</v>
      </c>
      <c r="D16" s="371">
        <v>4185.8689999999997</v>
      </c>
      <c r="E16" s="371">
        <v>5190.8490000000002</v>
      </c>
      <c r="F16" s="371">
        <v>5748.8609999999999</v>
      </c>
      <c r="G16" s="371">
        <v>6696.3670000000002</v>
      </c>
      <c r="H16" s="371">
        <v>7088.9579999999996</v>
      </c>
      <c r="I16" s="372">
        <v>7144.96</v>
      </c>
      <c r="J16" s="363">
        <v>8204.7139999999999</v>
      </c>
      <c r="K16" s="363">
        <v>8746.0820000000003</v>
      </c>
    </row>
    <row r="17" spans="2:30" x14ac:dyDescent="0.25">
      <c r="B17" s="33">
        <f>SUM('[5]2024-Final'!$AF$6:$AF$15)</f>
        <v>284532.8</v>
      </c>
      <c r="C17" s="33">
        <f>SUM(C7:C16)</f>
        <v>279697.69599999988</v>
      </c>
      <c r="D17" s="33">
        <f t="shared" ref="D17:K17" si="1">SUM(D7:D16)</f>
        <v>310311.33900000004</v>
      </c>
      <c r="E17" s="33">
        <f t="shared" si="1"/>
        <v>333131.28900000005</v>
      </c>
      <c r="F17" s="33">
        <f>SUM(F7:F16)</f>
        <v>368330.69099999999</v>
      </c>
      <c r="G17" s="33">
        <f t="shared" si="1"/>
        <v>390927.36700000009</v>
      </c>
      <c r="H17" s="33">
        <f t="shared" si="1"/>
        <v>414730.30799999996</v>
      </c>
      <c r="I17" s="33">
        <f t="shared" si="1"/>
        <v>434413.43999999994</v>
      </c>
      <c r="J17" s="33">
        <f t="shared" si="1"/>
        <v>464480.19399999984</v>
      </c>
      <c r="K17" s="33">
        <f t="shared" si="1"/>
        <v>493329.24200000003</v>
      </c>
    </row>
    <row r="18" spans="2:30" x14ac:dyDescent="0.25">
      <c r="B18" s="2" t="s">
        <v>422</v>
      </c>
      <c r="I18" s="4"/>
      <c r="K18" s="4"/>
    </row>
    <row r="19" spans="2:30" x14ac:dyDescent="0.25">
      <c r="B19" s="25" t="s">
        <v>688</v>
      </c>
      <c r="I19" s="4"/>
      <c r="K19" s="4"/>
      <c r="L19" s="25" t="s">
        <v>649</v>
      </c>
      <c r="V19" s="41" t="s">
        <v>742</v>
      </c>
    </row>
    <row r="20" spans="2:30" x14ac:dyDescent="0.25">
      <c r="B20" s="18"/>
      <c r="C20" s="6">
        <v>2024</v>
      </c>
      <c r="D20" s="6">
        <f t="shared" ref="D20:K20" si="2">C20+1</f>
        <v>2025</v>
      </c>
      <c r="E20" s="6">
        <f t="shared" si="2"/>
        <v>2026</v>
      </c>
      <c r="F20" s="6">
        <f t="shared" si="2"/>
        <v>2027</v>
      </c>
      <c r="G20" s="6">
        <f t="shared" si="2"/>
        <v>2028</v>
      </c>
      <c r="H20" s="6">
        <f t="shared" si="2"/>
        <v>2029</v>
      </c>
      <c r="I20" s="19">
        <f t="shared" si="2"/>
        <v>2030</v>
      </c>
      <c r="J20" s="27">
        <f t="shared" si="2"/>
        <v>2031</v>
      </c>
      <c r="K20" s="27">
        <f t="shared" si="2"/>
        <v>2032</v>
      </c>
      <c r="L20" s="18" t="s">
        <v>11</v>
      </c>
      <c r="M20" s="6">
        <v>2024</v>
      </c>
      <c r="N20" s="6">
        <f t="shared" ref="N20" si="3">M20+1</f>
        <v>2025</v>
      </c>
      <c r="O20" s="6">
        <f t="shared" ref="O20" si="4">N20+1</f>
        <v>2026</v>
      </c>
      <c r="P20" s="6">
        <f t="shared" ref="P20" si="5">O20+1</f>
        <v>2027</v>
      </c>
      <c r="Q20" s="6">
        <f t="shared" ref="Q20" si="6">P20+1</f>
        <v>2028</v>
      </c>
      <c r="R20" s="6">
        <f t="shared" ref="R20" si="7">Q20+1</f>
        <v>2029</v>
      </c>
      <c r="S20" s="19">
        <f t="shared" ref="S20" si="8">R20+1</f>
        <v>2030</v>
      </c>
      <c r="T20" s="27">
        <f t="shared" ref="T20" si="9">S20+1</f>
        <v>2031</v>
      </c>
      <c r="U20" s="27">
        <f t="shared" ref="U20" si="10">T20+1</f>
        <v>2032</v>
      </c>
      <c r="V20" s="6">
        <v>2024</v>
      </c>
      <c r="W20" s="6">
        <f t="shared" ref="W20" si="11">V20+1</f>
        <v>2025</v>
      </c>
      <c r="X20" s="6">
        <f t="shared" ref="X20" si="12">W20+1</f>
        <v>2026</v>
      </c>
      <c r="Y20" s="6">
        <f t="shared" ref="Y20" si="13">X20+1</f>
        <v>2027</v>
      </c>
      <c r="Z20" s="6">
        <f t="shared" ref="Z20" si="14">Y20+1</f>
        <v>2028</v>
      </c>
      <c r="AA20" s="6">
        <f t="shared" ref="AA20" si="15">Z20+1</f>
        <v>2029</v>
      </c>
      <c r="AB20" s="19">
        <f t="shared" ref="AB20" si="16">AA20+1</f>
        <v>2030</v>
      </c>
      <c r="AC20" s="27">
        <f t="shared" ref="AC20" si="17">AB20+1</f>
        <v>2031</v>
      </c>
      <c r="AD20" s="27">
        <f t="shared" ref="AD20" si="18">AC20+1</f>
        <v>2032</v>
      </c>
    </row>
    <row r="21" spans="2:30" x14ac:dyDescent="0.25">
      <c r="B21" s="12" t="s">
        <v>389</v>
      </c>
      <c r="C21" s="87">
        <v>2035.83</v>
      </c>
      <c r="D21" s="87">
        <v>2037.5239999999999</v>
      </c>
      <c r="E21" s="87">
        <v>2319.6930000000002</v>
      </c>
      <c r="F21" s="87">
        <v>2519</v>
      </c>
      <c r="G21" s="87">
        <v>2785.2620000000002</v>
      </c>
      <c r="H21" s="87">
        <v>2961.366</v>
      </c>
      <c r="I21" s="360">
        <v>3044.4079999999999</v>
      </c>
      <c r="J21" s="373">
        <v>3156.1239999999998</v>
      </c>
      <c r="K21" s="373">
        <v>3325.7440000000001</v>
      </c>
      <c r="L21" s="12" t="s">
        <v>574</v>
      </c>
      <c r="M21" s="289">
        <v>0.93272849999999996</v>
      </c>
      <c r="N21" s="289">
        <v>0.95232150000000004</v>
      </c>
      <c r="O21" s="293">
        <v>0.97242260000000003</v>
      </c>
      <c r="P21" s="293">
        <v>1.012351</v>
      </c>
      <c r="Q21" s="377">
        <v>1.053417</v>
      </c>
      <c r="R21" s="378">
        <v>1.0948530000000001</v>
      </c>
      <c r="S21" s="378">
        <v>1.0978460000000001</v>
      </c>
      <c r="T21" s="379">
        <v>1.128965</v>
      </c>
      <c r="U21" s="377">
        <v>1.1579740000000001</v>
      </c>
      <c r="V21">
        <f>C21/M21</f>
        <v>2182.6608707678602</v>
      </c>
      <c r="W21">
        <f t="shared" ref="W21:AD30" si="19">D21/N21</f>
        <v>2139.5337603949924</v>
      </c>
      <c r="X21">
        <f t="shared" si="19"/>
        <v>2385.4782889661346</v>
      </c>
      <c r="Y21">
        <f t="shared" si="19"/>
        <v>2488.2674092286175</v>
      </c>
      <c r="Z21">
        <f t="shared" si="19"/>
        <v>2644.0260599553644</v>
      </c>
      <c r="AA21">
        <f t="shared" si="19"/>
        <v>2704.8069466859934</v>
      </c>
      <c r="AB21">
        <f t="shared" si="19"/>
        <v>2773.0738190966672</v>
      </c>
      <c r="AC21">
        <f t="shared" si="19"/>
        <v>2795.5906516145319</v>
      </c>
      <c r="AD21">
        <f t="shared" si="19"/>
        <v>2872.03685056832</v>
      </c>
    </row>
    <row r="22" spans="2:30" x14ac:dyDescent="0.25">
      <c r="B22" s="12" t="s">
        <v>390</v>
      </c>
      <c r="C22" s="87">
        <v>3903.85</v>
      </c>
      <c r="D22" s="87">
        <v>4893.1450000000004</v>
      </c>
      <c r="E22" s="87">
        <v>5291.5370000000003</v>
      </c>
      <c r="F22" s="87">
        <v>5712.5439999999999</v>
      </c>
      <c r="G22" s="87">
        <v>6091.9059999999999</v>
      </c>
      <c r="H22" s="87">
        <v>6401.8419999999996</v>
      </c>
      <c r="I22" s="360">
        <v>6732.22</v>
      </c>
      <c r="J22" s="373">
        <v>7347.3810000000003</v>
      </c>
      <c r="K22" s="373">
        <v>7804.0959999999995</v>
      </c>
      <c r="L22" s="12" t="s">
        <v>575</v>
      </c>
      <c r="M22" s="289">
        <v>0.93272849999999996</v>
      </c>
      <c r="N22" s="289">
        <v>0.95326580000000005</v>
      </c>
      <c r="O22" s="293">
        <v>0.97242260000000003</v>
      </c>
      <c r="P22" s="293">
        <v>0.99852390000000002</v>
      </c>
      <c r="Q22" s="377">
        <v>1.0351140000000001</v>
      </c>
      <c r="R22" s="378">
        <v>1.0575289999999999</v>
      </c>
      <c r="S22" s="378">
        <v>1.076835</v>
      </c>
      <c r="T22" s="379">
        <v>1.1181620000000001</v>
      </c>
      <c r="U22" s="377">
        <v>1.1305339999999999</v>
      </c>
      <c r="V22">
        <f t="shared" ref="V22:V30" si="20">C22/M22</f>
        <v>4185.4087229027527</v>
      </c>
      <c r="W22">
        <f t="shared" si="19"/>
        <v>5133.0332001840416</v>
      </c>
      <c r="X22">
        <f t="shared" si="19"/>
        <v>5441.6022416591304</v>
      </c>
      <c r="Y22">
        <f t="shared" si="19"/>
        <v>5720.9887514960828</v>
      </c>
      <c r="Z22">
        <f t="shared" si="19"/>
        <v>5885.2512863317461</v>
      </c>
      <c r="AA22">
        <f t="shared" si="19"/>
        <v>6053.5852917508646</v>
      </c>
      <c r="AB22">
        <f t="shared" si="19"/>
        <v>6251.8584555665448</v>
      </c>
      <c r="AC22">
        <f t="shared" si="19"/>
        <v>6570.9449972365364</v>
      </c>
      <c r="AD22">
        <f t="shared" si="19"/>
        <v>6903.0175120783633</v>
      </c>
    </row>
    <row r="23" spans="2:30" x14ac:dyDescent="0.25">
      <c r="B23" s="12" t="s">
        <v>394</v>
      </c>
      <c r="C23" s="87">
        <v>5409.357</v>
      </c>
      <c r="D23" s="87">
        <v>5649.7209999999995</v>
      </c>
      <c r="E23" s="87">
        <v>6374.1480000000001</v>
      </c>
      <c r="F23" s="87">
        <v>7190.7380000000003</v>
      </c>
      <c r="G23" s="87">
        <v>8104.4660000000003</v>
      </c>
      <c r="H23" s="87">
        <v>9295.3140000000003</v>
      </c>
      <c r="I23" s="360">
        <v>9642.5789999999997</v>
      </c>
      <c r="J23" s="373">
        <v>10180.25</v>
      </c>
      <c r="K23" s="373">
        <v>10576.99</v>
      </c>
      <c r="L23" s="12" t="s">
        <v>576</v>
      </c>
      <c r="M23" s="289">
        <v>0.93272849999999996</v>
      </c>
      <c r="N23" s="289">
        <v>0.96318090000000001</v>
      </c>
      <c r="O23" s="293">
        <v>0.99649239999999994</v>
      </c>
      <c r="P23" s="293">
        <v>1.0370429999999999</v>
      </c>
      <c r="Q23" s="377">
        <v>1.0727359999999999</v>
      </c>
      <c r="R23" s="378">
        <v>1.073081</v>
      </c>
      <c r="S23" s="378">
        <v>1.0873409999999999</v>
      </c>
      <c r="T23" s="379">
        <v>1.1181620000000001</v>
      </c>
      <c r="U23" s="377">
        <v>1.14151</v>
      </c>
      <c r="V23">
        <f t="shared" si="20"/>
        <v>5799.4979246372341</v>
      </c>
      <c r="W23">
        <f t="shared" si="19"/>
        <v>5865.690442989473</v>
      </c>
      <c r="X23">
        <f t="shared" si="19"/>
        <v>6396.5846603546606</v>
      </c>
      <c r="Y23">
        <f t="shared" si="19"/>
        <v>6933.8860587265917</v>
      </c>
      <c r="Z23">
        <f t="shared" si="19"/>
        <v>7554.9492139724971</v>
      </c>
      <c r="AA23">
        <f t="shared" si="19"/>
        <v>8662.2668745416249</v>
      </c>
      <c r="AB23">
        <f t="shared" si="19"/>
        <v>8868.0358783491101</v>
      </c>
      <c r="AC23">
        <f t="shared" si="19"/>
        <v>9104.4499813086113</v>
      </c>
      <c r="AD23">
        <f t="shared" si="19"/>
        <v>9265.7882979562146</v>
      </c>
    </row>
    <row r="24" spans="2:30" x14ac:dyDescent="0.25">
      <c r="B24" s="12" t="s">
        <v>392</v>
      </c>
      <c r="C24" s="87">
        <v>1291.76</v>
      </c>
      <c r="D24" s="87">
        <v>1552.499</v>
      </c>
      <c r="E24" s="87">
        <v>1728.2070000000001</v>
      </c>
      <c r="F24" s="87">
        <v>2364.6219999999998</v>
      </c>
      <c r="G24" s="87">
        <v>2527.607</v>
      </c>
      <c r="H24" s="87">
        <v>2614.6149999999998</v>
      </c>
      <c r="I24" s="360">
        <v>2677.2280000000001</v>
      </c>
      <c r="J24" s="373">
        <v>3468.924</v>
      </c>
      <c r="K24" s="373">
        <v>3767.2849999999999</v>
      </c>
      <c r="L24" s="12" t="s">
        <v>577</v>
      </c>
      <c r="M24" s="289">
        <v>0.93272849999999996</v>
      </c>
      <c r="N24" s="289">
        <v>0.97262389999999999</v>
      </c>
      <c r="O24" s="293">
        <v>1.010934</v>
      </c>
      <c r="P24" s="293">
        <v>1.0469189999999999</v>
      </c>
      <c r="Q24" s="377">
        <v>1.093072</v>
      </c>
      <c r="R24" s="378">
        <v>1.1197360000000001</v>
      </c>
      <c r="S24" s="378">
        <v>1.1346160000000001</v>
      </c>
      <c r="T24" s="379">
        <v>1.1883840000000001</v>
      </c>
      <c r="U24" s="377">
        <v>1.1744380000000001</v>
      </c>
      <c r="V24">
        <f t="shared" si="20"/>
        <v>1384.9260529725425</v>
      </c>
      <c r="W24">
        <f t="shared" si="19"/>
        <v>1596.1966388035498</v>
      </c>
      <c r="X24">
        <f t="shared" si="19"/>
        <v>1709.5151612271425</v>
      </c>
      <c r="Y24">
        <f t="shared" si="19"/>
        <v>2258.6484723268945</v>
      </c>
      <c r="Z24">
        <f t="shared" si="19"/>
        <v>2312.3883879561454</v>
      </c>
      <c r="AA24">
        <f t="shared" si="19"/>
        <v>2335.0280780469679</v>
      </c>
      <c r="AB24">
        <f t="shared" si="19"/>
        <v>2359.5894998836611</v>
      </c>
      <c r="AC24">
        <f t="shared" si="19"/>
        <v>2919.026173358106</v>
      </c>
      <c r="AD24">
        <f t="shared" si="19"/>
        <v>3207.7342524679884</v>
      </c>
    </row>
    <row r="25" spans="2:30" x14ac:dyDescent="0.25">
      <c r="B25" s="12" t="s">
        <v>391</v>
      </c>
      <c r="C25" s="87">
        <v>7.6901100000000001E-6</v>
      </c>
      <c r="D25" s="87">
        <v>8.0801200000000005E-6</v>
      </c>
      <c r="E25" s="87">
        <v>9.2251099999999998E-6</v>
      </c>
      <c r="F25" s="87">
        <v>1.00029E-5</v>
      </c>
      <c r="G25" s="87">
        <v>1.18506E-5</v>
      </c>
      <c r="H25" s="87">
        <v>1.32053E-5</v>
      </c>
      <c r="I25" s="360">
        <v>1.37365E-5</v>
      </c>
      <c r="J25" s="373">
        <v>1.4772E-5</v>
      </c>
      <c r="K25" s="373">
        <v>1.5579499999999999E-5</v>
      </c>
      <c r="L25" s="12" t="s">
        <v>578</v>
      </c>
      <c r="M25" s="289">
        <v>0.93272849999999996</v>
      </c>
      <c r="N25" s="289">
        <v>0.94901650000000004</v>
      </c>
      <c r="O25" s="293">
        <v>0.96760860000000004</v>
      </c>
      <c r="P25" s="293">
        <v>0.99259790000000003</v>
      </c>
      <c r="Q25" s="377">
        <v>1.0218959999999999</v>
      </c>
      <c r="R25" s="378">
        <v>1.0419769999999999</v>
      </c>
      <c r="S25" s="378">
        <v>1.0558240000000001</v>
      </c>
      <c r="T25" s="379">
        <v>1.0857509999999999</v>
      </c>
      <c r="U25" s="377">
        <v>1.108582</v>
      </c>
      <c r="V25">
        <f t="shared" si="20"/>
        <v>8.2447464615909129E-6</v>
      </c>
      <c r="W25">
        <f t="shared" si="19"/>
        <v>8.5142039153165409E-6</v>
      </c>
      <c r="X25">
        <f t="shared" si="19"/>
        <v>9.5339272511633318E-6</v>
      </c>
      <c r="Y25">
        <f t="shared" si="19"/>
        <v>1.0077494622948528E-5</v>
      </c>
      <c r="Z25">
        <f t="shared" si="19"/>
        <v>1.1596679114117289E-5</v>
      </c>
      <c r="AA25">
        <f t="shared" si="19"/>
        <v>1.267331236677969E-5</v>
      </c>
      <c r="AB25">
        <f t="shared" si="19"/>
        <v>1.3010217612026246E-5</v>
      </c>
      <c r="AC25">
        <f t="shared" si="19"/>
        <v>1.3605329398729545E-5</v>
      </c>
      <c r="AD25">
        <f t="shared" si="19"/>
        <v>1.405353866470861E-5</v>
      </c>
    </row>
    <row r="26" spans="2:30" x14ac:dyDescent="0.25">
      <c r="B26" s="12" t="s">
        <v>397</v>
      </c>
      <c r="C26" s="87">
        <v>2667.2959999999998</v>
      </c>
      <c r="D26" s="87">
        <v>2943.1379999999999</v>
      </c>
      <c r="E26" s="87">
        <v>3383.1480000000001</v>
      </c>
      <c r="F26" s="87">
        <v>4235.95</v>
      </c>
      <c r="G26" s="87">
        <v>4486.3860000000004</v>
      </c>
      <c r="H26" s="87">
        <v>4631.5389999999998</v>
      </c>
      <c r="I26" s="360">
        <v>5751.0190000000002</v>
      </c>
      <c r="J26" s="373">
        <v>6618.7209999999995</v>
      </c>
      <c r="K26" s="373">
        <v>7381.9539999999997</v>
      </c>
      <c r="L26" s="12" t="s">
        <v>579</v>
      </c>
      <c r="M26" s="289">
        <v>0.93272849999999996</v>
      </c>
      <c r="N26" s="289">
        <v>0.95373799999999997</v>
      </c>
      <c r="O26" s="293">
        <v>0.99167850000000002</v>
      </c>
      <c r="P26" s="293">
        <v>1.0321039999999999</v>
      </c>
      <c r="Q26" s="377">
        <v>1.067652</v>
      </c>
      <c r="R26" s="378">
        <v>1.093817</v>
      </c>
      <c r="S26" s="378">
        <v>1.0873409999999999</v>
      </c>
      <c r="T26" s="379">
        <v>1.128965</v>
      </c>
      <c r="U26" s="377">
        <v>1.1524859999999999</v>
      </c>
      <c r="V26">
        <f t="shared" si="20"/>
        <v>2859.6703113499802</v>
      </c>
      <c r="W26">
        <f t="shared" si="19"/>
        <v>3085.8978042187687</v>
      </c>
      <c r="X26">
        <f t="shared" si="19"/>
        <v>3411.5371060278103</v>
      </c>
      <c r="Y26">
        <f t="shared" si="19"/>
        <v>4104.1891127250747</v>
      </c>
      <c r="Z26">
        <f t="shared" si="19"/>
        <v>4202.1051803396613</v>
      </c>
      <c r="AA26">
        <f t="shared" si="19"/>
        <v>4234.2905623152683</v>
      </c>
      <c r="AB26">
        <f t="shared" si="19"/>
        <v>5289.0666313511592</v>
      </c>
      <c r="AC26">
        <f t="shared" si="19"/>
        <v>5862.6449889943442</v>
      </c>
      <c r="AD26">
        <f t="shared" si="19"/>
        <v>6405.2439682564473</v>
      </c>
    </row>
    <row r="27" spans="2:30" x14ac:dyDescent="0.25">
      <c r="B27" s="12" t="s">
        <v>398</v>
      </c>
      <c r="C27" s="87">
        <v>91.882329999999996</v>
      </c>
      <c r="D27" s="87">
        <v>96.185029999999998</v>
      </c>
      <c r="E27" s="87">
        <v>104.8463</v>
      </c>
      <c r="F27" s="87">
        <v>113.6972</v>
      </c>
      <c r="G27" s="87">
        <v>124.4939</v>
      </c>
      <c r="H27" s="87">
        <v>135.4435</v>
      </c>
      <c r="I27" s="360">
        <v>139.43510000000001</v>
      </c>
      <c r="J27" s="373">
        <v>162.61510000000001</v>
      </c>
      <c r="K27" s="373">
        <v>161.9025</v>
      </c>
      <c r="L27" s="12" t="s">
        <v>580</v>
      </c>
      <c r="M27" s="289">
        <v>0.93272849999999996</v>
      </c>
      <c r="N27" s="289">
        <v>0.944295</v>
      </c>
      <c r="O27" s="293">
        <v>1.001306</v>
      </c>
      <c r="P27" s="293">
        <v>1.0172890000000001</v>
      </c>
      <c r="Q27" s="377">
        <v>1.0473159999999999</v>
      </c>
      <c r="R27" s="378">
        <v>1.078265</v>
      </c>
      <c r="S27" s="378">
        <v>1.0820879999999999</v>
      </c>
      <c r="T27" s="379">
        <v>1.139769</v>
      </c>
      <c r="U27" s="377">
        <v>1.1305339999999999</v>
      </c>
      <c r="V27">
        <f t="shared" si="20"/>
        <v>98.509191045411399</v>
      </c>
      <c r="W27">
        <f t="shared" si="19"/>
        <v>101.85909064434313</v>
      </c>
      <c r="X27">
        <f t="shared" si="19"/>
        <v>104.70954932857687</v>
      </c>
      <c r="Y27">
        <f t="shared" si="19"/>
        <v>111.76489670093747</v>
      </c>
      <c r="Z27">
        <f t="shared" si="19"/>
        <v>118.86947206000863</v>
      </c>
      <c r="AA27">
        <f t="shared" si="19"/>
        <v>125.61244221040282</v>
      </c>
      <c r="AB27">
        <f t="shared" si="19"/>
        <v>128.85744967137609</v>
      </c>
      <c r="AC27">
        <f t="shared" si="19"/>
        <v>142.67373476555338</v>
      </c>
      <c r="AD27">
        <f t="shared" si="19"/>
        <v>143.20887297507196</v>
      </c>
    </row>
    <row r="28" spans="2:30" x14ac:dyDescent="0.25">
      <c r="B28" s="12" t="s">
        <v>393</v>
      </c>
      <c r="C28" s="87">
        <v>211.69030000000001</v>
      </c>
      <c r="D28" s="87">
        <v>233.0052</v>
      </c>
      <c r="E28" s="87">
        <v>252.0127</v>
      </c>
      <c r="F28" s="87">
        <v>252.86539999999999</v>
      </c>
      <c r="G28" s="87">
        <v>255.74019999999999</v>
      </c>
      <c r="H28" s="87">
        <v>266.44709999999998</v>
      </c>
      <c r="I28" s="360">
        <v>274.22969999999998</v>
      </c>
      <c r="J28" s="373">
        <v>283.34589999999997</v>
      </c>
      <c r="K28" s="373">
        <v>303.76400000000001</v>
      </c>
      <c r="L28" s="12" t="s">
        <v>581</v>
      </c>
      <c r="M28" s="289">
        <v>0.93272849999999996</v>
      </c>
      <c r="N28" s="289">
        <v>1.029282</v>
      </c>
      <c r="O28" s="293">
        <v>1.068702</v>
      </c>
      <c r="P28" s="293">
        <v>1.0716110000000001</v>
      </c>
      <c r="Q28" s="377">
        <v>1.07782</v>
      </c>
      <c r="R28" s="378">
        <v>1.1093679999999999</v>
      </c>
      <c r="S28" s="378">
        <v>1.113605</v>
      </c>
      <c r="T28" s="379">
        <v>1.1721790000000001</v>
      </c>
      <c r="U28" s="377">
        <v>1.201878</v>
      </c>
      <c r="V28">
        <f t="shared" si="20"/>
        <v>226.95811267694728</v>
      </c>
      <c r="W28">
        <f t="shared" si="19"/>
        <v>226.37644493928778</v>
      </c>
      <c r="X28">
        <f t="shared" si="19"/>
        <v>235.81194757752863</v>
      </c>
      <c r="Y28">
        <f t="shared" si="19"/>
        <v>235.96752926201762</v>
      </c>
      <c r="Z28">
        <f t="shared" si="19"/>
        <v>237.27542632350483</v>
      </c>
      <c r="AA28">
        <f t="shared" si="19"/>
        <v>240.17918310245113</v>
      </c>
      <c r="AB28">
        <f t="shared" si="19"/>
        <v>246.25401286811751</v>
      </c>
      <c r="AC28">
        <f t="shared" si="19"/>
        <v>241.72579443924516</v>
      </c>
      <c r="AD28">
        <f t="shared" si="19"/>
        <v>252.74112680321963</v>
      </c>
    </row>
    <row r="29" spans="2:30" x14ac:dyDescent="0.25">
      <c r="B29" s="12" t="s">
        <v>396</v>
      </c>
      <c r="C29" s="87">
        <v>75.66807</v>
      </c>
      <c r="D29" s="87">
        <v>78.575199999999995</v>
      </c>
      <c r="E29" s="87">
        <v>82.165949999999995</v>
      </c>
      <c r="F29" s="87">
        <v>97.724249999999998</v>
      </c>
      <c r="G29" s="87">
        <v>106.3201</v>
      </c>
      <c r="H29" s="87">
        <v>123.8947</v>
      </c>
      <c r="I29" s="360">
        <v>139.8245</v>
      </c>
      <c r="J29" s="373">
        <v>158.94110000000001</v>
      </c>
      <c r="K29" s="373">
        <v>173.44710000000001</v>
      </c>
      <c r="L29" s="12" t="s">
        <v>582</v>
      </c>
      <c r="M29" s="289">
        <v>0.93272849999999996</v>
      </c>
      <c r="N29" s="289">
        <v>0.96318090000000001</v>
      </c>
      <c r="O29" s="293">
        <v>0.98205050000000005</v>
      </c>
      <c r="P29" s="293">
        <v>1.0074129999999999</v>
      </c>
      <c r="Q29" s="377">
        <v>1.0473159999999999</v>
      </c>
      <c r="R29" s="378">
        <v>1.078265</v>
      </c>
      <c r="S29" s="378">
        <v>1.1030990000000001</v>
      </c>
      <c r="T29" s="379">
        <v>1.1505719999999999</v>
      </c>
      <c r="U29" s="377">
        <v>1.1744380000000001</v>
      </c>
      <c r="V29">
        <f t="shared" si="20"/>
        <v>81.125504367026423</v>
      </c>
      <c r="W29">
        <f t="shared" si="19"/>
        <v>81.578860212032851</v>
      </c>
      <c r="X29">
        <f t="shared" si="19"/>
        <v>83.667744174052146</v>
      </c>
      <c r="Y29">
        <f t="shared" si="19"/>
        <v>97.005150816993634</v>
      </c>
      <c r="Z29">
        <f t="shared" si="19"/>
        <v>101.51673420438532</v>
      </c>
      <c r="AA29">
        <f t="shared" si="19"/>
        <v>114.90190259351829</v>
      </c>
      <c r="AB29">
        <f t="shared" si="19"/>
        <v>126.75607538398638</v>
      </c>
      <c r="AC29">
        <f t="shared" si="19"/>
        <v>138.14094207055274</v>
      </c>
      <c r="AD29">
        <f t="shared" si="19"/>
        <v>147.68519070397926</v>
      </c>
    </row>
    <row r="30" spans="2:30" x14ac:dyDescent="0.25">
      <c r="B30" s="20" t="s">
        <v>395</v>
      </c>
      <c r="C30" s="88">
        <v>20.718589999999999</v>
      </c>
      <c r="D30" s="88">
        <v>22.63111</v>
      </c>
      <c r="E30" s="88">
        <v>30.371839999999999</v>
      </c>
      <c r="F30" s="88">
        <v>32.11289</v>
      </c>
      <c r="G30" s="88">
        <v>39.057380000000002</v>
      </c>
      <c r="H30" s="88">
        <v>42.155670000000001</v>
      </c>
      <c r="I30" s="362">
        <v>43.535310000000003</v>
      </c>
      <c r="J30" s="374">
        <v>51.616109999999999</v>
      </c>
      <c r="K30" s="374">
        <v>53.594909999999999</v>
      </c>
      <c r="L30" s="20" t="s">
        <v>8</v>
      </c>
      <c r="M30" s="380">
        <v>0.93272849999999996</v>
      </c>
      <c r="N30" s="380">
        <v>0.95373799999999997</v>
      </c>
      <c r="O30" s="381">
        <v>0.99167850000000002</v>
      </c>
      <c r="P30" s="381">
        <v>1.0074129999999999</v>
      </c>
      <c r="Q30" s="382">
        <v>1.037148</v>
      </c>
      <c r="R30" s="383">
        <v>1.0678970000000001</v>
      </c>
      <c r="S30" s="383">
        <v>1.076835</v>
      </c>
      <c r="T30" s="384">
        <v>1.1181620000000001</v>
      </c>
      <c r="U30" s="382">
        <v>1.125046</v>
      </c>
      <c r="V30">
        <f t="shared" si="20"/>
        <v>22.212884027881639</v>
      </c>
      <c r="W30">
        <f t="shared" si="19"/>
        <v>23.728854255571235</v>
      </c>
      <c r="X30">
        <f t="shared" si="19"/>
        <v>30.626700084755289</v>
      </c>
      <c r="Y30">
        <f t="shared" si="19"/>
        <v>31.876588846878096</v>
      </c>
      <c r="Z30">
        <f t="shared" si="19"/>
        <v>37.658444117907962</v>
      </c>
      <c r="AA30">
        <f t="shared" si="19"/>
        <v>39.475408208844108</v>
      </c>
      <c r="AB30">
        <f t="shared" si="19"/>
        <v>40.428951510677123</v>
      </c>
      <c r="AC30">
        <f t="shared" si="19"/>
        <v>46.161566928584584</v>
      </c>
      <c r="AD30">
        <f t="shared" si="19"/>
        <v>47.637972136250426</v>
      </c>
    </row>
    <row r="31" spans="2:30" x14ac:dyDescent="0.25">
      <c r="B31" s="22" t="s">
        <v>399</v>
      </c>
      <c r="C31" s="33">
        <f>SUM(C21:C30)</f>
        <v>15708.052297690112</v>
      </c>
      <c r="D31" s="33">
        <f t="shared" ref="D31:K31" si="21">SUM(D21:D30)</f>
        <v>17506.423548080118</v>
      </c>
      <c r="E31" s="33">
        <f t="shared" si="21"/>
        <v>19566.129799225109</v>
      </c>
      <c r="F31" s="33">
        <f t="shared" si="21"/>
        <v>22519.253750002896</v>
      </c>
      <c r="G31" s="33">
        <f t="shared" si="21"/>
        <v>24521.238591850601</v>
      </c>
      <c r="H31" s="33">
        <f t="shared" si="21"/>
        <v>26472.616983205298</v>
      </c>
      <c r="I31" s="33">
        <f t="shared" si="21"/>
        <v>28444.478623736497</v>
      </c>
      <c r="J31" s="33">
        <f t="shared" si="21"/>
        <v>31427.918224771998</v>
      </c>
      <c r="K31" s="33">
        <f t="shared" si="21"/>
        <v>33548.777525579499</v>
      </c>
      <c r="V31" s="41">
        <f>SUM(V21:V30)</f>
        <v>16840.969582992384</v>
      </c>
      <c r="W31" s="41">
        <f t="shared" ref="W31:AD31" si="22">SUM(W21:W30)</f>
        <v>18253.895105156265</v>
      </c>
      <c r="X31" s="41">
        <f t="shared" si="22"/>
        <v>19799.533408933719</v>
      </c>
      <c r="Y31" s="41">
        <f t="shared" si="22"/>
        <v>21982.593980207581</v>
      </c>
      <c r="Z31" s="41">
        <f t="shared" si="22"/>
        <v>23094.040216857898</v>
      </c>
      <c r="AA31" s="41">
        <f t="shared" si="22"/>
        <v>24510.146702129252</v>
      </c>
      <c r="AB31" s="41">
        <f t="shared" si="22"/>
        <v>26083.920786691509</v>
      </c>
      <c r="AC31" s="41">
        <f t="shared" si="22"/>
        <v>27821.358844321396</v>
      </c>
      <c r="AD31" s="41">
        <f t="shared" si="22"/>
        <v>29245.094057999388</v>
      </c>
    </row>
    <row r="32" spans="2:30" x14ac:dyDescent="0.25">
      <c r="B32" s="33">
        <f>SUM('[5]2024-Final'!$AE$6:$AE$15)</f>
        <v>17467.5</v>
      </c>
      <c r="C32" s="63">
        <f>C31/C63</f>
        <v>1680.5998246749186</v>
      </c>
      <c r="D32" s="63">
        <f t="shared" ref="D32:E32" si="23">D31/D63</f>
        <v>1945.091390537827</v>
      </c>
      <c r="E32" s="63">
        <f t="shared" si="23"/>
        <v>2132.1582602359053</v>
      </c>
      <c r="F32" s="63">
        <f>F31/F63</f>
        <v>2392.0964881758214</v>
      </c>
      <c r="G32" s="63">
        <f>G31/G63</f>
        <v>2530.0358058180664</v>
      </c>
      <c r="H32" s="63">
        <f t="shared" ref="H32:K32" si="24">H31/H63</f>
        <v>2678.691048258856</v>
      </c>
      <c r="I32" s="63">
        <f t="shared" si="24"/>
        <v>2840.4116374368518</v>
      </c>
      <c r="J32" s="63">
        <f t="shared" si="24"/>
        <v>3051.7401047129829</v>
      </c>
      <c r="K32" s="63">
        <f t="shared" si="24"/>
        <v>3206.4143550886356</v>
      </c>
      <c r="V32" s="70"/>
      <c r="W32" s="70">
        <f>W31/C31*100</f>
        <v>116.2072468261423</v>
      </c>
      <c r="X32" s="70">
        <f t="shared" ref="X32:AD32" si="25">X31/D31*100</f>
        <v>113.09867692025011</v>
      </c>
      <c r="Y32" s="70">
        <f t="shared" si="25"/>
        <v>112.35024098162822</v>
      </c>
      <c r="Z32" s="70">
        <f t="shared" si="25"/>
        <v>102.55242235482571</v>
      </c>
      <c r="AA32" s="70">
        <f t="shared" si="25"/>
        <v>99.95476619307054</v>
      </c>
      <c r="AB32" s="70">
        <f t="shared" si="25"/>
        <v>98.531704678988163</v>
      </c>
      <c r="AC32" s="70">
        <f t="shared" si="25"/>
        <v>97.809347157816717</v>
      </c>
      <c r="AD32" s="70">
        <f t="shared" si="25"/>
        <v>93.05450602498999</v>
      </c>
    </row>
    <row r="33" spans="2:22" x14ac:dyDescent="0.25">
      <c r="B33" s="2" t="s">
        <v>400</v>
      </c>
      <c r="I33" s="4"/>
    </row>
    <row r="34" spans="2:22" x14ac:dyDescent="0.25">
      <c r="B34" s="25" t="s">
        <v>689</v>
      </c>
      <c r="I34" s="4"/>
      <c r="M34" s="389" t="s">
        <v>890</v>
      </c>
      <c r="N34" s="389"/>
    </row>
    <row r="35" spans="2:22" x14ac:dyDescent="0.25">
      <c r="B35" s="18"/>
      <c r="C35" s="6">
        <v>2024</v>
      </c>
      <c r="D35" s="6">
        <f t="shared" ref="D35:K35" si="26">C35+1</f>
        <v>2025</v>
      </c>
      <c r="E35" s="6">
        <f t="shared" si="26"/>
        <v>2026</v>
      </c>
      <c r="F35" s="6">
        <f t="shared" si="26"/>
        <v>2027</v>
      </c>
      <c r="G35" s="6">
        <f t="shared" si="26"/>
        <v>2028</v>
      </c>
      <c r="H35" s="6">
        <f t="shared" si="26"/>
        <v>2029</v>
      </c>
      <c r="I35" s="6">
        <f t="shared" si="26"/>
        <v>2030</v>
      </c>
      <c r="J35" s="6">
        <f t="shared" si="26"/>
        <v>2031</v>
      </c>
      <c r="K35" s="19">
        <f t="shared" si="26"/>
        <v>2032</v>
      </c>
      <c r="M35" s="6">
        <v>2024</v>
      </c>
      <c r="N35" s="6">
        <f t="shared" ref="N35" si="27">M35+1</f>
        <v>2025</v>
      </c>
      <c r="O35" s="6">
        <f t="shared" ref="O35" si="28">N35+1</f>
        <v>2026</v>
      </c>
      <c r="P35" s="6">
        <f t="shared" ref="P35" si="29">O35+1</f>
        <v>2027</v>
      </c>
      <c r="Q35" s="6">
        <f t="shared" ref="Q35" si="30">P35+1</f>
        <v>2028</v>
      </c>
      <c r="R35" s="6">
        <f t="shared" ref="R35" si="31">Q35+1</f>
        <v>2029</v>
      </c>
      <c r="S35" s="6">
        <f t="shared" ref="S35" si="32">R35+1</f>
        <v>2030</v>
      </c>
      <c r="T35" s="6">
        <f t="shared" ref="T35" si="33">S35+1</f>
        <v>2031</v>
      </c>
      <c r="U35" s="19">
        <f t="shared" ref="U35" si="34">T35+1</f>
        <v>2032</v>
      </c>
    </row>
    <row r="36" spans="2:22" x14ac:dyDescent="0.25">
      <c r="B36" s="12" t="s">
        <v>401</v>
      </c>
      <c r="C36" s="294">
        <v>80847.490000000005</v>
      </c>
      <c r="D36" s="294">
        <v>87049.31</v>
      </c>
      <c r="E36" s="294">
        <v>90181.73</v>
      </c>
      <c r="F36" s="294">
        <v>93349.28</v>
      </c>
      <c r="G36" s="294">
        <v>95724.77</v>
      </c>
      <c r="H36" s="294">
        <v>98940.23</v>
      </c>
      <c r="I36" s="294">
        <v>100287.6</v>
      </c>
      <c r="J36" s="385">
        <v>102496.9</v>
      </c>
      <c r="K36" s="386">
        <v>107041.7</v>
      </c>
      <c r="M36" s="390">
        <f>C36-C50+C21</f>
        <v>79512.255409666541</v>
      </c>
      <c r="N36" s="390">
        <f t="shared" ref="N36:U36" si="35">D36-D50+D21</f>
        <v>85374.130229858914</v>
      </c>
      <c r="O36" s="390">
        <f t="shared" si="35"/>
        <v>89351.113203221626</v>
      </c>
      <c r="P36" s="390">
        <f t="shared" si="35"/>
        <v>92716.727501785499</v>
      </c>
      <c r="Q36" s="390">
        <f t="shared" si="35"/>
        <v>95349.774403668722</v>
      </c>
      <c r="R36" s="390">
        <f t="shared" si="35"/>
        <v>98583.179233474788</v>
      </c>
      <c r="S36" s="390">
        <f t="shared" si="35"/>
        <v>100053.95759297562</v>
      </c>
      <c r="T36" s="390">
        <f t="shared" si="35"/>
        <v>102340.45229382065</v>
      </c>
      <c r="U36" s="390">
        <f t="shared" si="35"/>
        <v>106829.53404230118</v>
      </c>
    </row>
    <row r="37" spans="2:22" x14ac:dyDescent="0.25">
      <c r="B37" s="12" t="s">
        <v>402</v>
      </c>
      <c r="C37" s="294">
        <v>12810.96</v>
      </c>
      <c r="D37" s="294">
        <v>15455.53</v>
      </c>
      <c r="E37" s="294">
        <v>16329.85</v>
      </c>
      <c r="F37" s="294">
        <v>17051.63</v>
      </c>
      <c r="G37" s="294">
        <v>17324.560000000001</v>
      </c>
      <c r="H37" s="294">
        <v>17725.419999999998</v>
      </c>
      <c r="I37" s="294">
        <v>18406.72</v>
      </c>
      <c r="J37" s="385">
        <v>19204.3</v>
      </c>
      <c r="K37" s="386">
        <v>19876.16</v>
      </c>
      <c r="M37" s="390">
        <f t="shared" ref="M37:M45" si="36">C37-C51+C22</f>
        <v>14015.024850242435</v>
      </c>
      <c r="N37" s="390">
        <f t="shared" ref="N37:N45" si="37">D37-D51+D22</f>
        <v>17321.791896521219</v>
      </c>
      <c r="O37" s="390">
        <f t="shared" ref="O37:O45" si="38">E37-E51+E22</f>
        <v>18429.292687709873</v>
      </c>
      <c r="P37" s="390">
        <f t="shared" ref="P37:P45" si="39">F37-F51+F22</f>
        <v>19503.196916946334</v>
      </c>
      <c r="Q37" s="390">
        <f t="shared" ref="Q37:Q45" si="40">G37-G51+G22</f>
        <v>20182.072713077094</v>
      </c>
      <c r="R37" s="390">
        <f t="shared" ref="R37:R45" si="41">H37-H51+H22</f>
        <v>20898.155065596839</v>
      </c>
      <c r="S37" s="390">
        <f t="shared" ref="S37:S45" si="42">I37-I51+I22</f>
        <v>21782.167655877987</v>
      </c>
      <c r="T37" s="390">
        <f t="shared" ref="T37:T45" si="43">J37-J51+J22</f>
        <v>22937.451608096126</v>
      </c>
      <c r="U37" s="390">
        <f t="shared" ref="U37:U45" si="44">K37-K51+K22</f>
        <v>23963.532904864594</v>
      </c>
    </row>
    <row r="38" spans="2:22" x14ac:dyDescent="0.25">
      <c r="B38" s="12" t="s">
        <v>406</v>
      </c>
      <c r="C38" s="294">
        <v>98444.56</v>
      </c>
      <c r="D38" s="294">
        <v>101025.60000000001</v>
      </c>
      <c r="E38" s="294">
        <v>107020.6</v>
      </c>
      <c r="F38" s="294">
        <v>113563.7</v>
      </c>
      <c r="G38" s="294">
        <v>121788.6</v>
      </c>
      <c r="H38" s="294">
        <v>131549.20000000001</v>
      </c>
      <c r="I38" s="294">
        <v>137487.6</v>
      </c>
      <c r="J38" s="385">
        <v>139672.1</v>
      </c>
      <c r="K38" s="386">
        <v>141693.29999999999</v>
      </c>
      <c r="M38" s="390">
        <f t="shared" si="36"/>
        <v>70920.582388772629</v>
      </c>
      <c r="N38" s="390">
        <f t="shared" si="37"/>
        <v>73405.561652340693</v>
      </c>
      <c r="O38" s="390">
        <f t="shared" si="38"/>
        <v>78943.288804708689</v>
      </c>
      <c r="P38" s="390">
        <f t="shared" si="39"/>
        <v>84883.177666968098</v>
      </c>
      <c r="Q38" s="390">
        <f t="shared" si="40"/>
        <v>92235.683135206127</v>
      </c>
      <c r="R38" s="390">
        <f t="shared" si="41"/>
        <v>101491.05627909607</v>
      </c>
      <c r="S38" s="390">
        <f t="shared" si="42"/>
        <v>105332.00059755595</v>
      </c>
      <c r="T38" s="390">
        <f t="shared" si="43"/>
        <v>107811.92452378615</v>
      </c>
      <c r="U38" s="390">
        <f t="shared" si="44"/>
        <v>109770.98349876599</v>
      </c>
    </row>
    <row r="39" spans="2:22" x14ac:dyDescent="0.25">
      <c r="B39" s="12" t="s">
        <v>404</v>
      </c>
      <c r="C39" s="294">
        <v>9300.3209999999999</v>
      </c>
      <c r="D39" s="294">
        <v>10618.72</v>
      </c>
      <c r="E39" s="294">
        <v>11304.17</v>
      </c>
      <c r="F39" s="294">
        <v>14962.7</v>
      </c>
      <c r="G39" s="294">
        <v>14962.67</v>
      </c>
      <c r="H39" s="294">
        <v>15107.21</v>
      </c>
      <c r="I39" s="294">
        <v>15526.6</v>
      </c>
      <c r="J39" s="385">
        <v>17632.38</v>
      </c>
      <c r="K39" s="386">
        <v>20286.41</v>
      </c>
      <c r="M39" s="390">
        <f t="shared" si="36"/>
        <v>10230.371460290153</v>
      </c>
      <c r="N39" s="390">
        <f t="shared" si="37"/>
        <v>11782.469165453043</v>
      </c>
      <c r="O39" s="390">
        <f t="shared" si="38"/>
        <v>12629.673522511368</v>
      </c>
      <c r="P39" s="390">
        <f t="shared" si="39"/>
        <v>16819.266203349089</v>
      </c>
      <c r="Q39" s="390">
        <f t="shared" si="40"/>
        <v>17009.424456964174</v>
      </c>
      <c r="R39" s="390">
        <f t="shared" si="41"/>
        <v>17245.4189328662</v>
      </c>
      <c r="S39" s="390">
        <f t="shared" si="42"/>
        <v>17722.029659255812</v>
      </c>
      <c r="T39" s="390">
        <f t="shared" si="43"/>
        <v>20625.147805865825</v>
      </c>
      <c r="U39" s="390">
        <f t="shared" si="44"/>
        <v>23495.087456181063</v>
      </c>
    </row>
    <row r="40" spans="2:22" x14ac:dyDescent="0.25">
      <c r="B40" s="12" t="s">
        <v>403</v>
      </c>
      <c r="C40" s="294">
        <v>35032.31</v>
      </c>
      <c r="D40" s="294">
        <v>39031.01</v>
      </c>
      <c r="E40" s="294">
        <v>43247.05</v>
      </c>
      <c r="F40" s="294">
        <v>44621.56</v>
      </c>
      <c r="G40" s="294">
        <v>50029.42</v>
      </c>
      <c r="H40" s="294">
        <v>52178.8</v>
      </c>
      <c r="I40" s="294">
        <v>54335.08</v>
      </c>
      <c r="J40" s="385">
        <v>56795.22</v>
      </c>
      <c r="K40" s="386">
        <v>58905.25</v>
      </c>
      <c r="M40" s="390">
        <f t="shared" si="36"/>
        <v>34120.704413725245</v>
      </c>
      <c r="N40" s="390">
        <f t="shared" si="37"/>
        <v>38091.227728989732</v>
      </c>
      <c r="O40" s="390">
        <f t="shared" si="38"/>
        <v>42230.180775337423</v>
      </c>
      <c r="P40" s="390">
        <f t="shared" si="39"/>
        <v>44105.804739153944</v>
      </c>
      <c r="Q40" s="390">
        <f t="shared" si="40"/>
        <v>48903.052499335463</v>
      </c>
      <c r="R40" s="390">
        <f t="shared" si="41"/>
        <v>51073.592612546861</v>
      </c>
      <c r="S40" s="390">
        <f t="shared" si="42"/>
        <v>53169.89923947541</v>
      </c>
      <c r="T40" s="390">
        <f t="shared" si="43"/>
        <v>55607.177409608979</v>
      </c>
      <c r="U40" s="390">
        <f t="shared" si="44"/>
        <v>57666.833474465064</v>
      </c>
    </row>
    <row r="41" spans="2:22" x14ac:dyDescent="0.25">
      <c r="B41" s="12" t="s">
        <v>409</v>
      </c>
      <c r="C41" s="294">
        <v>21606.36</v>
      </c>
      <c r="D41" s="294">
        <v>23259.89</v>
      </c>
      <c r="E41" s="294">
        <v>26088.09</v>
      </c>
      <c r="F41" s="294">
        <v>32685.73</v>
      </c>
      <c r="G41" s="294">
        <v>33534.589999999997</v>
      </c>
      <c r="H41" s="294">
        <v>35070.370000000003</v>
      </c>
      <c r="I41" s="294">
        <v>38994.089999999997</v>
      </c>
      <c r="J41" s="385">
        <v>45637.42</v>
      </c>
      <c r="K41" s="386">
        <v>50393.52</v>
      </c>
      <c r="M41" s="390">
        <f t="shared" si="36"/>
        <v>20201.982155367125</v>
      </c>
      <c r="N41" s="390">
        <f t="shared" si="37"/>
        <v>22081.876296111292</v>
      </c>
      <c r="O41" s="390">
        <f t="shared" si="38"/>
        <v>24782.107604517409</v>
      </c>
      <c r="P41" s="390">
        <f t="shared" si="39"/>
        <v>30951.387532782381</v>
      </c>
      <c r="Q41" s="390">
        <f t="shared" si="40"/>
        <v>32047.40991423426</v>
      </c>
      <c r="R41" s="390">
        <f t="shared" si="41"/>
        <v>33437.447826700409</v>
      </c>
      <c r="S41" s="390">
        <f t="shared" si="42"/>
        <v>38272.602005465022</v>
      </c>
      <c r="T41" s="390">
        <f t="shared" si="43"/>
        <v>43145.593403860003</v>
      </c>
      <c r="U41" s="390">
        <f t="shared" si="44"/>
        <v>47710.917482305478</v>
      </c>
    </row>
    <row r="42" spans="2:22" x14ac:dyDescent="0.25">
      <c r="B42" s="12" t="s">
        <v>410</v>
      </c>
      <c r="C42" s="294">
        <v>33447.589999999997</v>
      </c>
      <c r="D42" s="294">
        <v>34886.49</v>
      </c>
      <c r="E42" s="294">
        <v>35340.370000000003</v>
      </c>
      <c r="F42" s="294">
        <v>38809.550000000003</v>
      </c>
      <c r="G42" s="294">
        <v>41263</v>
      </c>
      <c r="H42" s="294">
        <v>42602.82</v>
      </c>
      <c r="I42" s="294">
        <v>44250.879999999997</v>
      </c>
      <c r="J42" s="385">
        <v>48412.86</v>
      </c>
      <c r="K42" s="386">
        <v>49545.84</v>
      </c>
      <c r="M42" s="390">
        <f t="shared" si="36"/>
        <v>33493.036749190105</v>
      </c>
      <c r="N42" s="390">
        <f t="shared" si="37"/>
        <v>34936.339169371458</v>
      </c>
      <c r="O42" s="390">
        <f t="shared" si="38"/>
        <v>35401.753295198745</v>
      </c>
      <c r="P42" s="390">
        <f t="shared" si="39"/>
        <v>38874.72157500394</v>
      </c>
      <c r="Q42" s="390">
        <f t="shared" si="40"/>
        <v>41337.876993341961</v>
      </c>
      <c r="R42" s="390">
        <f t="shared" si="41"/>
        <v>42690.009889287008</v>
      </c>
      <c r="S42" s="390">
        <f t="shared" si="42"/>
        <v>44340.565079626816</v>
      </c>
      <c r="T42" s="390">
        <f t="shared" si="43"/>
        <v>48524.0131103233</v>
      </c>
      <c r="U42" s="390">
        <f t="shared" si="44"/>
        <v>49656.152085163711</v>
      </c>
    </row>
    <row r="43" spans="2:22" x14ac:dyDescent="0.25">
      <c r="B43" s="12" t="s">
        <v>405</v>
      </c>
      <c r="C43" s="294">
        <v>22473.63</v>
      </c>
      <c r="D43" s="294">
        <v>24245.57</v>
      </c>
      <c r="E43" s="294">
        <v>23049.53</v>
      </c>
      <c r="F43" s="294">
        <v>24319.95</v>
      </c>
      <c r="G43" s="294">
        <v>24813.82</v>
      </c>
      <c r="H43" s="294">
        <v>25183.15</v>
      </c>
      <c r="I43" s="294">
        <v>26698</v>
      </c>
      <c r="J43" s="385">
        <v>27139.57</v>
      </c>
      <c r="K43" s="386">
        <v>27893.919999999998</v>
      </c>
      <c r="M43" s="390">
        <f t="shared" si="36"/>
        <v>17150.515199803784</v>
      </c>
      <c r="N43" s="390">
        <f t="shared" si="37"/>
        <v>18233.517770812585</v>
      </c>
      <c r="O43" s="390">
        <f t="shared" si="38"/>
        <v>18011.178372308099</v>
      </c>
      <c r="P43" s="390">
        <f t="shared" si="39"/>
        <v>18789.388057428743</v>
      </c>
      <c r="Q43" s="390">
        <f t="shared" si="40"/>
        <v>19272.033245763465</v>
      </c>
      <c r="R43" s="390">
        <f t="shared" si="41"/>
        <v>19669.648782495296</v>
      </c>
      <c r="S43" s="390">
        <f t="shared" si="42"/>
        <v>20742.703765712486</v>
      </c>
      <c r="T43" s="390">
        <f t="shared" si="43"/>
        <v>21098.893656788819</v>
      </c>
      <c r="U43" s="390">
        <f t="shared" si="44"/>
        <v>21752.597186718645</v>
      </c>
    </row>
    <row r="44" spans="2:22" x14ac:dyDescent="0.25">
      <c r="B44" s="12" t="s">
        <v>408</v>
      </c>
      <c r="C44" s="294">
        <v>24070.53</v>
      </c>
      <c r="D44" s="294">
        <v>24075.05</v>
      </c>
      <c r="E44" s="294">
        <v>25550.84</v>
      </c>
      <c r="F44" s="294">
        <v>28534.080000000002</v>
      </c>
      <c r="G44" s="294">
        <v>29428.83</v>
      </c>
      <c r="H44" s="294">
        <v>33143.24</v>
      </c>
      <c r="I44" s="294">
        <v>36565.550000000003</v>
      </c>
      <c r="J44" s="385">
        <v>39339.96</v>
      </c>
      <c r="K44" s="386">
        <v>42902.79</v>
      </c>
      <c r="M44" s="390">
        <f t="shared" si="36"/>
        <v>21121.362493791163</v>
      </c>
      <c r="N44" s="390">
        <f t="shared" si="37"/>
        <v>21189.321059178197</v>
      </c>
      <c r="O44" s="390">
        <f t="shared" si="38"/>
        <v>22486.905364118309</v>
      </c>
      <c r="P44" s="390">
        <f t="shared" si="39"/>
        <v>25290.568674580922</v>
      </c>
      <c r="Q44" s="390">
        <f t="shared" si="40"/>
        <v>26253.29670347329</v>
      </c>
      <c r="R44" s="390">
        <f t="shared" si="41"/>
        <v>29661.338466289057</v>
      </c>
      <c r="S44" s="390">
        <f t="shared" si="42"/>
        <v>32784.047797802756</v>
      </c>
      <c r="T44" s="390">
        <f t="shared" si="43"/>
        <v>35409.763818647683</v>
      </c>
      <c r="U44" s="390">
        <f t="shared" si="44"/>
        <v>38559.970930715121</v>
      </c>
    </row>
    <row r="45" spans="2:22" x14ac:dyDescent="0.25">
      <c r="B45" s="20" t="s">
        <v>407</v>
      </c>
      <c r="C45" s="298">
        <v>24870.28</v>
      </c>
      <c r="D45" s="298">
        <v>25699.23</v>
      </c>
      <c r="E45" s="298">
        <v>29933.46</v>
      </c>
      <c r="F45" s="298">
        <v>31865.84</v>
      </c>
      <c r="G45" s="298">
        <v>35089.160000000003</v>
      </c>
      <c r="H45" s="298">
        <v>36475.75</v>
      </c>
      <c r="I45" s="298">
        <v>35305.300000000003</v>
      </c>
      <c r="J45" s="387">
        <v>38359.550000000003</v>
      </c>
      <c r="K45" s="388">
        <v>39909.019999999997</v>
      </c>
      <c r="M45" s="390">
        <f t="shared" si="36"/>
        <v>9977.812796177448</v>
      </c>
      <c r="N45" s="390">
        <f t="shared" si="37"/>
        <v>10424.204907026122</v>
      </c>
      <c r="O45" s="390">
        <f t="shared" si="38"/>
        <v>12400.833815110567</v>
      </c>
      <c r="P45" s="390">
        <f t="shared" si="39"/>
        <v>13246.834930081241</v>
      </c>
      <c r="Q45" s="390">
        <f t="shared" si="40"/>
        <v>14834.279049353931</v>
      </c>
      <c r="R45" s="390">
        <f t="shared" si="41"/>
        <v>15459.972317222677</v>
      </c>
      <c r="S45" s="390">
        <f t="shared" si="42"/>
        <v>15169.482750011241</v>
      </c>
      <c r="T45" s="390">
        <f t="shared" si="43"/>
        <v>16711.090480099407</v>
      </c>
      <c r="U45" s="390">
        <f t="shared" si="44"/>
        <v>17439.319290942538</v>
      </c>
    </row>
    <row r="46" spans="2:22" x14ac:dyDescent="0.25">
      <c r="B46" s="33">
        <f>'[5]2024-Final'!$N$43</f>
        <v>372301.39999999991</v>
      </c>
      <c r="C46" s="33">
        <f>SUM(C36:C45)</f>
        <v>362904.03100000008</v>
      </c>
      <c r="D46" s="33">
        <f t="shared" ref="D46:K46" si="45">SUM(D36:D45)</f>
        <v>385346.39999999997</v>
      </c>
      <c r="E46" s="33">
        <f t="shared" si="45"/>
        <v>408045.69000000006</v>
      </c>
      <c r="F46" s="33">
        <f t="shared" si="45"/>
        <v>439764.02</v>
      </c>
      <c r="G46" s="33">
        <f t="shared" si="45"/>
        <v>463959.42000000004</v>
      </c>
      <c r="H46" s="33">
        <f t="shared" si="45"/>
        <v>487976.19</v>
      </c>
      <c r="I46" s="33">
        <f t="shared" si="45"/>
        <v>507857.42000000004</v>
      </c>
      <c r="J46" s="33">
        <f t="shared" si="45"/>
        <v>534690.26</v>
      </c>
      <c r="K46" s="33">
        <f t="shared" si="45"/>
        <v>558447.90999999992</v>
      </c>
      <c r="M46" s="33">
        <f>SUM(M36:M45)</f>
        <v>310743.64791702665</v>
      </c>
      <c r="N46" s="33">
        <f t="shared" ref="N46:U46" si="46">SUM(N36:N45)</f>
        <v>332840.43987566326</v>
      </c>
      <c r="O46" s="33">
        <f t="shared" si="46"/>
        <v>354666.32744474203</v>
      </c>
      <c r="P46" s="33">
        <f t="shared" si="46"/>
        <v>385181.07379808021</v>
      </c>
      <c r="Q46" s="33">
        <f t="shared" si="46"/>
        <v>407424.9031144185</v>
      </c>
      <c r="R46" s="33">
        <f t="shared" si="46"/>
        <v>430209.81940557517</v>
      </c>
      <c r="S46" s="33">
        <f t="shared" si="46"/>
        <v>449369.45614375913</v>
      </c>
      <c r="T46" s="33">
        <f t="shared" si="46"/>
        <v>474211.50811089692</v>
      </c>
      <c r="U46" s="33">
        <f t="shared" si="46"/>
        <v>496844.92835242336</v>
      </c>
    </row>
    <row r="47" spans="2:22" x14ac:dyDescent="0.25">
      <c r="B47" s="2" t="s">
        <v>421</v>
      </c>
      <c r="I47" s="4"/>
      <c r="K47" s="4"/>
    </row>
    <row r="48" spans="2:22" x14ac:dyDescent="0.25">
      <c r="B48" s="25" t="s">
        <v>690</v>
      </c>
      <c r="I48" s="4"/>
      <c r="K48" s="4"/>
      <c r="L48" s="25" t="s">
        <v>650</v>
      </c>
      <c r="V48" s="41" t="s">
        <v>741</v>
      </c>
    </row>
    <row r="49" spans="2:30" x14ac:dyDescent="0.25">
      <c r="B49" s="18"/>
      <c r="C49" s="6">
        <v>2024</v>
      </c>
      <c r="D49" s="6">
        <f t="shared" ref="D49:K49" si="47">C49+1</f>
        <v>2025</v>
      </c>
      <c r="E49" s="6">
        <f t="shared" si="47"/>
        <v>2026</v>
      </c>
      <c r="F49" s="6">
        <f t="shared" si="47"/>
        <v>2027</v>
      </c>
      <c r="G49" s="6">
        <f t="shared" si="47"/>
        <v>2028</v>
      </c>
      <c r="H49" s="6">
        <f t="shared" si="47"/>
        <v>2029</v>
      </c>
      <c r="I49" s="19">
        <f t="shared" si="47"/>
        <v>2030</v>
      </c>
      <c r="J49" s="27">
        <f t="shared" si="47"/>
        <v>2031</v>
      </c>
      <c r="K49" s="27">
        <f t="shared" si="47"/>
        <v>2032</v>
      </c>
      <c r="L49" s="18" t="s">
        <v>12</v>
      </c>
      <c r="M49" s="6">
        <v>2024</v>
      </c>
      <c r="N49" s="6">
        <f t="shared" ref="N49" si="48">M49+1</f>
        <v>2025</v>
      </c>
      <c r="O49" s="6">
        <f t="shared" ref="O49" si="49">N49+1</f>
        <v>2026</v>
      </c>
      <c r="P49" s="6">
        <f t="shared" ref="P49" si="50">O49+1</f>
        <v>2027</v>
      </c>
      <c r="Q49" s="6">
        <f t="shared" ref="Q49" si="51">P49+1</f>
        <v>2028</v>
      </c>
      <c r="R49" s="6">
        <f t="shared" ref="R49" si="52">Q49+1</f>
        <v>2029</v>
      </c>
      <c r="S49" s="19">
        <f t="shared" ref="S49" si="53">R49+1</f>
        <v>2030</v>
      </c>
      <c r="T49" s="27">
        <f t="shared" ref="T49" si="54">S49+1</f>
        <v>2031</v>
      </c>
      <c r="U49" s="27">
        <f t="shared" ref="U49" si="55">T49+1</f>
        <v>2032</v>
      </c>
      <c r="V49" s="117">
        <v>2022</v>
      </c>
      <c r="W49" s="117">
        <v>2023</v>
      </c>
      <c r="X49" s="6">
        <v>2024</v>
      </c>
      <c r="Y49" s="6">
        <v>2025</v>
      </c>
      <c r="Z49" s="6">
        <v>2026</v>
      </c>
      <c r="AA49" s="6">
        <v>2027</v>
      </c>
      <c r="AB49" s="19">
        <v>2028</v>
      </c>
      <c r="AC49" s="6">
        <v>2029</v>
      </c>
      <c r="AD49" s="19">
        <v>2030</v>
      </c>
    </row>
    <row r="50" spans="2:30" x14ac:dyDescent="0.25">
      <c r="B50" s="12" t="s">
        <v>411</v>
      </c>
      <c r="C50" s="294">
        <f>U91</f>
        <v>3371.0645903334594</v>
      </c>
      <c r="D50" s="294">
        <f t="shared" ref="D50:K50" si="56">V91</f>
        <v>3712.70377014109</v>
      </c>
      <c r="E50" s="294">
        <f t="shared" si="56"/>
        <v>3150.3097967783633</v>
      </c>
      <c r="F50" s="294">
        <f t="shared" si="56"/>
        <v>3151.5524982144984</v>
      </c>
      <c r="G50" s="294">
        <f t="shared" si="56"/>
        <v>3160.2575963312902</v>
      </c>
      <c r="H50" s="294">
        <f t="shared" si="56"/>
        <v>3318.4167665251962</v>
      </c>
      <c r="I50" s="294">
        <f t="shared" si="56"/>
        <v>3278.0504070243824</v>
      </c>
      <c r="J50" s="294">
        <f t="shared" si="56"/>
        <v>3312.5717061793457</v>
      </c>
      <c r="K50" s="294">
        <f t="shared" si="56"/>
        <v>3537.909957698816</v>
      </c>
      <c r="L50" s="12" t="s">
        <v>583</v>
      </c>
      <c r="M50" s="289">
        <v>1.0163469999999999</v>
      </c>
      <c r="N50" s="289">
        <v>1.0443849999999999</v>
      </c>
      <c r="O50" s="293">
        <v>1.1645110000000001</v>
      </c>
      <c r="P50" s="293">
        <v>1.237633</v>
      </c>
      <c r="Q50" s="377">
        <v>1.257544</v>
      </c>
      <c r="R50" s="378">
        <v>1.2653099999999999</v>
      </c>
      <c r="S50" s="397">
        <v>1.2947169999999999</v>
      </c>
      <c r="T50" s="289">
        <v>1.336125</v>
      </c>
      <c r="U50" s="289">
        <v>1.327566</v>
      </c>
      <c r="V50">
        <f>C50/M50</f>
        <v>3316.8441391901188</v>
      </c>
      <c r="W50">
        <f t="shared" ref="W50:AD50" si="57">D50/N50</f>
        <v>3554.9187034868273</v>
      </c>
      <c r="X50">
        <f t="shared" si="57"/>
        <v>2705.2640952110914</v>
      </c>
      <c r="Y50">
        <f t="shared" si="57"/>
        <v>2546.4354119633999</v>
      </c>
      <c r="Z50">
        <f t="shared" si="57"/>
        <v>2513.0393817880649</v>
      </c>
      <c r="AA50">
        <f t="shared" si="57"/>
        <v>2622.6116655406158</v>
      </c>
      <c r="AB50">
        <f t="shared" si="57"/>
        <v>2531.8663515072271</v>
      </c>
      <c r="AC50">
        <f t="shared" si="57"/>
        <v>2479.2378753330308</v>
      </c>
      <c r="AD50">
        <f t="shared" si="57"/>
        <v>2664.959751680004</v>
      </c>
    </row>
    <row r="51" spans="2:30" x14ac:dyDescent="0.25">
      <c r="B51" s="12" t="s">
        <v>412</v>
      </c>
      <c r="C51" s="294">
        <f t="shared" ref="C51:C59" si="58">U92</f>
        <v>2699.7851497575648</v>
      </c>
      <c r="D51" s="294">
        <f t="shared" ref="D51:D59" si="59">V92</f>
        <v>3026.8831034787827</v>
      </c>
      <c r="E51" s="294">
        <f t="shared" ref="E51:E59" si="60">W92</f>
        <v>3192.094312290129</v>
      </c>
      <c r="F51" s="294">
        <f t="shared" ref="F51:F59" si="61">X92</f>
        <v>3260.977083053669</v>
      </c>
      <c r="G51" s="294">
        <f t="shared" ref="G51:G59" si="62">Y92</f>
        <v>3234.3932869229075</v>
      </c>
      <c r="H51" s="294">
        <f t="shared" ref="H51:H59" si="63">Z92</f>
        <v>3229.1069344031612</v>
      </c>
      <c r="I51" s="294">
        <f t="shared" ref="I51:I59" si="64">AA92</f>
        <v>3356.7723441220155</v>
      </c>
      <c r="J51" s="294">
        <f t="shared" ref="J51:J59" si="65">AB92</f>
        <v>3614.229391903873</v>
      </c>
      <c r="K51" s="294">
        <f t="shared" ref="K51:K59" si="66">AC92</f>
        <v>3716.723095135404</v>
      </c>
      <c r="L51" s="12" t="s">
        <v>584</v>
      </c>
      <c r="M51" s="289">
        <v>1.0071920000000001</v>
      </c>
      <c r="N51" s="289">
        <v>1.0808629999999999</v>
      </c>
      <c r="O51" s="293">
        <v>1.081245</v>
      </c>
      <c r="P51" s="293">
        <v>1.114501</v>
      </c>
      <c r="Q51" s="377">
        <v>1.152887</v>
      </c>
      <c r="R51" s="378">
        <v>1.1867380000000001</v>
      </c>
      <c r="S51" s="397">
        <v>1.196836</v>
      </c>
      <c r="T51" s="289">
        <v>1.2540929999999999</v>
      </c>
      <c r="U51" s="289">
        <v>1.256346</v>
      </c>
      <c r="V51">
        <f t="shared" ref="V51:V59" si="67">C51/M51</f>
        <v>2680.5069438176283</v>
      </c>
      <c r="W51">
        <f t="shared" ref="W51:W59" si="68">D51/N51</f>
        <v>2800.4317878202723</v>
      </c>
      <c r="X51">
        <f t="shared" ref="X51:X59" si="69">E51/O51</f>
        <v>2952.2396055381796</v>
      </c>
      <c r="Y51">
        <f t="shared" ref="Y51:Y59" si="70">F51/P51</f>
        <v>2925.9525860036638</v>
      </c>
      <c r="Z51">
        <f t="shared" ref="Z51:Z59" si="71">G51/Q51</f>
        <v>2805.4729448097755</v>
      </c>
      <c r="AA51">
        <f t="shared" ref="AA51:AA59" si="72">H51/R51</f>
        <v>2720.9939636239515</v>
      </c>
      <c r="AB51">
        <f t="shared" ref="AB51:AB59" si="73">I51/S51</f>
        <v>2804.7053599006176</v>
      </c>
      <c r="AC51">
        <f t="shared" ref="AC51:AC59" si="74">J51/T51</f>
        <v>2881.9468667027672</v>
      </c>
      <c r="AD51">
        <f t="shared" ref="AD51:AD59" si="75">K51/U51</f>
        <v>2958.359476716927</v>
      </c>
    </row>
    <row r="52" spans="2:30" x14ac:dyDescent="0.25">
      <c r="B52" s="12" t="s">
        <v>416</v>
      </c>
      <c r="C52" s="294">
        <f t="shared" si="58"/>
        <v>32933.334611227365</v>
      </c>
      <c r="D52" s="294">
        <f t="shared" si="59"/>
        <v>33269.759347659317</v>
      </c>
      <c r="E52" s="294">
        <f t="shared" si="60"/>
        <v>34451.459195291318</v>
      </c>
      <c r="F52" s="294">
        <f t="shared" si="61"/>
        <v>35871.260333031903</v>
      </c>
      <c r="G52" s="294">
        <f t="shared" si="62"/>
        <v>37657.382864793872</v>
      </c>
      <c r="H52" s="294">
        <f t="shared" si="63"/>
        <v>39353.457720903942</v>
      </c>
      <c r="I52" s="294">
        <f t="shared" si="64"/>
        <v>41798.178402444057</v>
      </c>
      <c r="J52" s="294">
        <f t="shared" si="65"/>
        <v>42040.425476213852</v>
      </c>
      <c r="K52" s="294">
        <f t="shared" si="66"/>
        <v>42499.306501234008</v>
      </c>
      <c r="L52" s="12" t="s">
        <v>585</v>
      </c>
      <c r="M52" s="289">
        <v>1.005754</v>
      </c>
      <c r="N52" s="289">
        <v>1.0508090000000001</v>
      </c>
      <c r="O52" s="293">
        <v>1.081777</v>
      </c>
      <c r="P52" s="293">
        <v>1.1139749999999999</v>
      </c>
      <c r="Q52" s="377">
        <v>1.151241</v>
      </c>
      <c r="R52" s="378">
        <v>1.168274</v>
      </c>
      <c r="S52" s="397">
        <v>1.161143</v>
      </c>
      <c r="T52" s="289">
        <v>1.1998800000000001</v>
      </c>
      <c r="U52" s="289">
        <v>1.213128</v>
      </c>
      <c r="V52">
        <f t="shared" si="67"/>
        <v>32744.920339593344</v>
      </c>
      <c r="W52">
        <f t="shared" si="68"/>
        <v>31661.090976247171</v>
      </c>
      <c r="X52">
        <f t="shared" si="69"/>
        <v>31847.098981852378</v>
      </c>
      <c r="Y52">
        <f t="shared" si="70"/>
        <v>32201.135872018585</v>
      </c>
      <c r="Z52">
        <f t="shared" si="71"/>
        <v>32710.251689084973</v>
      </c>
      <c r="AA52">
        <f t="shared" si="72"/>
        <v>33685.126709063064</v>
      </c>
      <c r="AB52">
        <f t="shared" si="73"/>
        <v>35997.44252210456</v>
      </c>
      <c r="AC52">
        <f t="shared" si="74"/>
        <v>35037.191616006472</v>
      </c>
      <c r="AD52">
        <f t="shared" si="75"/>
        <v>35032.82959525624</v>
      </c>
    </row>
    <row r="53" spans="2:30" x14ac:dyDescent="0.25">
      <c r="B53" s="12" t="s">
        <v>414</v>
      </c>
      <c r="C53" s="294">
        <f t="shared" si="58"/>
        <v>361.70953970984658</v>
      </c>
      <c r="D53" s="294">
        <f t="shared" si="59"/>
        <v>388.74983454695627</v>
      </c>
      <c r="E53" s="294">
        <f t="shared" si="60"/>
        <v>402.70347748863196</v>
      </c>
      <c r="F53" s="294">
        <f t="shared" si="61"/>
        <v>508.05579665091091</v>
      </c>
      <c r="G53" s="294">
        <f t="shared" si="62"/>
        <v>480.85254303582826</v>
      </c>
      <c r="H53" s="294">
        <f t="shared" si="63"/>
        <v>476.40606713379907</v>
      </c>
      <c r="I53" s="294">
        <f t="shared" si="64"/>
        <v>481.79834074418801</v>
      </c>
      <c r="J53" s="294">
        <f t="shared" si="65"/>
        <v>476.15619413417443</v>
      </c>
      <c r="K53" s="294">
        <f t="shared" si="66"/>
        <v>558.60754381893707</v>
      </c>
      <c r="L53" s="12" t="s">
        <v>586</v>
      </c>
      <c r="M53" s="289">
        <v>1.063294</v>
      </c>
      <c r="N53" s="289">
        <v>1.1087739999999999</v>
      </c>
      <c r="O53" s="293">
        <v>1.1359840000000001</v>
      </c>
      <c r="P53" s="293">
        <v>1.18221</v>
      </c>
      <c r="Q53" s="377">
        <v>1.228696</v>
      </c>
      <c r="R53" s="378">
        <v>1.2528410000000001</v>
      </c>
      <c r="S53" s="397">
        <v>1.281466</v>
      </c>
      <c r="T53" s="289">
        <v>1.31779</v>
      </c>
      <c r="U53" s="289">
        <v>1.3388389999999999</v>
      </c>
      <c r="V53">
        <f t="shared" si="67"/>
        <v>340.17829472361041</v>
      </c>
      <c r="W53">
        <f t="shared" si="68"/>
        <v>350.61232906521644</v>
      </c>
      <c r="X53">
        <f t="shared" si="69"/>
        <v>354.49749071169305</v>
      </c>
      <c r="Y53">
        <f t="shared" si="70"/>
        <v>429.75088744885505</v>
      </c>
      <c r="Z53">
        <f t="shared" si="71"/>
        <v>391.3519235317998</v>
      </c>
      <c r="AA53">
        <f t="shared" si="72"/>
        <v>380.26059742122027</v>
      </c>
      <c r="AB53">
        <f t="shared" si="73"/>
        <v>375.97434558871481</v>
      </c>
      <c r="AC53">
        <f t="shared" si="74"/>
        <v>361.32934240977272</v>
      </c>
      <c r="AD53">
        <f t="shared" si="75"/>
        <v>417.23279932757941</v>
      </c>
    </row>
    <row r="54" spans="2:30" x14ac:dyDescent="0.25">
      <c r="B54" s="12" t="s">
        <v>413</v>
      </c>
      <c r="C54" s="294">
        <f t="shared" si="58"/>
        <v>911.60559396486144</v>
      </c>
      <c r="D54" s="294">
        <f t="shared" si="59"/>
        <v>939.78227909039038</v>
      </c>
      <c r="E54" s="294">
        <f t="shared" si="60"/>
        <v>1016.8692338876884</v>
      </c>
      <c r="F54" s="294">
        <f t="shared" si="61"/>
        <v>515.75527084895612</v>
      </c>
      <c r="G54" s="294">
        <f t="shared" si="62"/>
        <v>1126.3675125151372</v>
      </c>
      <c r="H54" s="294">
        <f t="shared" si="63"/>
        <v>1105.2074006584446</v>
      </c>
      <c r="I54" s="294">
        <f t="shared" si="64"/>
        <v>1165.1807742610927</v>
      </c>
      <c r="J54" s="294">
        <f t="shared" si="65"/>
        <v>1188.0426051630216</v>
      </c>
      <c r="K54" s="294">
        <f t="shared" si="66"/>
        <v>1238.4165411144359</v>
      </c>
      <c r="L54" s="12" t="s">
        <v>587</v>
      </c>
      <c r="M54" s="289">
        <v>1.018572</v>
      </c>
      <c r="N54" s="289">
        <v>1.124012</v>
      </c>
      <c r="O54" s="293">
        <v>1.1250039999999999</v>
      </c>
      <c r="P54" s="293">
        <v>1.110916</v>
      </c>
      <c r="Q54" s="377">
        <v>1.1548099999999999</v>
      </c>
      <c r="R54" s="378">
        <v>1.222791</v>
      </c>
      <c r="S54" s="397">
        <v>1.2333050000000001</v>
      </c>
      <c r="T54" s="289">
        <v>1.291858</v>
      </c>
      <c r="U54" s="289">
        <v>1.2945139999999999</v>
      </c>
      <c r="V54">
        <f t="shared" si="67"/>
        <v>894.98395200816572</v>
      </c>
      <c r="W54">
        <f t="shared" si="68"/>
        <v>836.09630421240195</v>
      </c>
      <c r="X54">
        <f t="shared" si="69"/>
        <v>903.88054965821323</v>
      </c>
      <c r="Y54">
        <f t="shared" si="70"/>
        <v>464.26126804272877</v>
      </c>
      <c r="Z54">
        <f t="shared" si="71"/>
        <v>975.37041809054062</v>
      </c>
      <c r="AA54">
        <f t="shared" si="72"/>
        <v>903.83998627602318</v>
      </c>
      <c r="AB54">
        <f t="shared" si="73"/>
        <v>944.76287233173673</v>
      </c>
      <c r="AC54">
        <f t="shared" si="74"/>
        <v>919.63869493630227</v>
      </c>
      <c r="AD54">
        <f t="shared" si="75"/>
        <v>956.66523584483127</v>
      </c>
    </row>
    <row r="55" spans="2:30" x14ac:dyDescent="0.25">
      <c r="B55" s="12" t="s">
        <v>420</v>
      </c>
      <c r="C55" s="294">
        <f t="shared" si="58"/>
        <v>4071.6738446328764</v>
      </c>
      <c r="D55" s="294">
        <f t="shared" si="59"/>
        <v>4121.1517038887077</v>
      </c>
      <c r="E55" s="294">
        <f t="shared" si="60"/>
        <v>4689.1303954825926</v>
      </c>
      <c r="F55" s="294">
        <f t="shared" si="61"/>
        <v>5970.2924672176187</v>
      </c>
      <c r="G55" s="294">
        <f t="shared" si="62"/>
        <v>5973.5660857657376</v>
      </c>
      <c r="H55" s="294">
        <f t="shared" si="63"/>
        <v>6264.4611732995927</v>
      </c>
      <c r="I55" s="294">
        <f t="shared" si="64"/>
        <v>6472.5069945349742</v>
      </c>
      <c r="J55" s="294">
        <f t="shared" si="65"/>
        <v>9110.5475961399916</v>
      </c>
      <c r="K55" s="294">
        <f t="shared" si="66"/>
        <v>10064.556517694518</v>
      </c>
      <c r="L55" s="12" t="s">
        <v>588</v>
      </c>
      <c r="M55" s="289">
        <v>0.99201669999999997</v>
      </c>
      <c r="N55" s="289">
        <v>1.0545340000000001</v>
      </c>
      <c r="O55" s="293">
        <v>1.064954</v>
      </c>
      <c r="P55" s="293">
        <v>1.087205</v>
      </c>
      <c r="Q55" s="377">
        <v>1.108481</v>
      </c>
      <c r="R55" s="378">
        <v>1.1412899999999999</v>
      </c>
      <c r="S55" s="397">
        <v>1.170982</v>
      </c>
      <c r="T55" s="289">
        <v>1.2156640000000001</v>
      </c>
      <c r="U55" s="289">
        <v>1.2315799999999999</v>
      </c>
      <c r="V55">
        <f t="shared" si="67"/>
        <v>4104.4408270877666</v>
      </c>
      <c r="W55">
        <f t="shared" si="68"/>
        <v>3908.0311340257472</v>
      </c>
      <c r="X55">
        <f t="shared" si="69"/>
        <v>4403.1295206014465</v>
      </c>
      <c r="Y55">
        <f t="shared" si="70"/>
        <v>5491.4137326609234</v>
      </c>
      <c r="Z55">
        <f t="shared" si="71"/>
        <v>5388.965697892645</v>
      </c>
      <c r="AA55">
        <f t="shared" si="72"/>
        <v>5488.9302222043416</v>
      </c>
      <c r="AB55">
        <f t="shared" si="73"/>
        <v>5527.4180085902044</v>
      </c>
      <c r="AC55">
        <f t="shared" si="74"/>
        <v>7494.2974342745947</v>
      </c>
      <c r="AD55">
        <f t="shared" si="75"/>
        <v>8172.0688202914298</v>
      </c>
    </row>
    <row r="56" spans="2:30" x14ac:dyDescent="0.25">
      <c r="B56" s="12" t="s">
        <v>423</v>
      </c>
      <c r="C56" s="294">
        <f t="shared" si="58"/>
        <v>46.435580809893025</v>
      </c>
      <c r="D56" s="294">
        <f t="shared" si="59"/>
        <v>46.335860628541404</v>
      </c>
      <c r="E56" s="294">
        <f t="shared" si="60"/>
        <v>43.463004801253</v>
      </c>
      <c r="F56" s="294">
        <f t="shared" si="61"/>
        <v>48.525624996064799</v>
      </c>
      <c r="G56" s="294">
        <f t="shared" si="62"/>
        <v>49.616906658037216</v>
      </c>
      <c r="H56" s="294">
        <f t="shared" si="63"/>
        <v>48.253610712990984</v>
      </c>
      <c r="I56" s="294">
        <f t="shared" si="64"/>
        <v>49.75002037318017</v>
      </c>
      <c r="J56" s="294">
        <f t="shared" si="65"/>
        <v>51.461989676703894</v>
      </c>
      <c r="K56" s="294">
        <f t="shared" si="66"/>
        <v>51.590414836279578</v>
      </c>
      <c r="L56" s="12" t="s">
        <v>589</v>
      </c>
      <c r="M56" s="289">
        <v>0.99686470000000005</v>
      </c>
      <c r="N56" s="289">
        <v>1.0294110000000001</v>
      </c>
      <c r="O56" s="293">
        <v>1.0804480000000001</v>
      </c>
      <c r="P56" s="293">
        <v>1.097796</v>
      </c>
      <c r="Q56" s="377">
        <v>1.130199</v>
      </c>
      <c r="R56" s="378">
        <v>1.1579489999999999</v>
      </c>
      <c r="S56" s="397">
        <v>1.1733359999999999</v>
      </c>
      <c r="T56" s="289">
        <v>1.2181409999999999</v>
      </c>
      <c r="U56" s="289">
        <v>1.2434639999999999</v>
      </c>
      <c r="V56">
        <f t="shared" si="67"/>
        <v>46.581628188753221</v>
      </c>
      <c r="W56">
        <f t="shared" si="68"/>
        <v>45.012012333792235</v>
      </c>
      <c r="X56">
        <f t="shared" si="69"/>
        <v>40.22683627648253</v>
      </c>
      <c r="Y56">
        <f t="shared" si="70"/>
        <v>44.202770820867265</v>
      </c>
      <c r="Z56">
        <f t="shared" si="71"/>
        <v>43.901035709673444</v>
      </c>
      <c r="AA56">
        <f t="shared" si="72"/>
        <v>41.671620004845629</v>
      </c>
      <c r="AB56">
        <f t="shared" si="73"/>
        <v>42.400489180575875</v>
      </c>
      <c r="AC56">
        <f t="shared" si="74"/>
        <v>42.24633246619554</v>
      </c>
      <c r="AD56">
        <f t="shared" si="75"/>
        <v>41.489270969066723</v>
      </c>
    </row>
    <row r="57" spans="2:30" x14ac:dyDescent="0.25">
      <c r="B57" s="12" t="s">
        <v>415</v>
      </c>
      <c r="C57" s="294">
        <f t="shared" si="58"/>
        <v>5534.8051001962149</v>
      </c>
      <c r="D57" s="294">
        <f t="shared" si="59"/>
        <v>6245.0574291874145</v>
      </c>
      <c r="E57" s="294">
        <f t="shared" si="60"/>
        <v>5290.3643276919001</v>
      </c>
      <c r="F57" s="294">
        <f t="shared" si="61"/>
        <v>5783.4273425712545</v>
      </c>
      <c r="G57" s="294">
        <f t="shared" si="62"/>
        <v>5797.5269542365349</v>
      </c>
      <c r="H57" s="294">
        <f t="shared" si="63"/>
        <v>5779.948317504708</v>
      </c>
      <c r="I57" s="294">
        <f t="shared" si="64"/>
        <v>6229.5259342875133</v>
      </c>
      <c r="J57" s="294">
        <f t="shared" si="65"/>
        <v>6324.0222432111805</v>
      </c>
      <c r="K57" s="294">
        <f t="shared" si="66"/>
        <v>6445.0868132813521</v>
      </c>
      <c r="L57" s="12" t="s">
        <v>590</v>
      </c>
      <c r="M57" s="289">
        <v>1.138663</v>
      </c>
      <c r="N57" s="289">
        <v>1.1758390000000001</v>
      </c>
      <c r="O57" s="293">
        <v>1.2811509999999999</v>
      </c>
      <c r="P57" s="293">
        <v>1.275655</v>
      </c>
      <c r="Q57" s="377">
        <v>1.3170310000000001</v>
      </c>
      <c r="R57" s="378">
        <v>1.3593660000000001</v>
      </c>
      <c r="S57" s="397">
        <v>1.365888</v>
      </c>
      <c r="T57" s="289">
        <v>1.4243870000000001</v>
      </c>
      <c r="U57" s="289">
        <v>1.43374</v>
      </c>
      <c r="V57">
        <f t="shared" si="67"/>
        <v>4860.7929652550538</v>
      </c>
      <c r="W57">
        <f t="shared" si="68"/>
        <v>5311.1501057435707</v>
      </c>
      <c r="X57">
        <f t="shared" si="69"/>
        <v>4129.3839115700648</v>
      </c>
      <c r="Y57">
        <f t="shared" si="70"/>
        <v>4533.692371817815</v>
      </c>
      <c r="Z57">
        <f t="shared" si="71"/>
        <v>4401.9669652700159</v>
      </c>
      <c r="AA57">
        <f t="shared" si="72"/>
        <v>4251.9441544843021</v>
      </c>
      <c r="AB57">
        <f t="shared" si="73"/>
        <v>4560.7882449274857</v>
      </c>
      <c r="AC57">
        <f t="shared" si="74"/>
        <v>4439.820247735468</v>
      </c>
      <c r="AD57">
        <f t="shared" si="75"/>
        <v>4495.2967855269098</v>
      </c>
    </row>
    <row r="58" spans="2:30" x14ac:dyDescent="0.25">
      <c r="B58" s="12" t="s">
        <v>419</v>
      </c>
      <c r="C58" s="294">
        <f t="shared" si="58"/>
        <v>3024.8355762088363</v>
      </c>
      <c r="D58" s="294">
        <f t="shared" si="59"/>
        <v>2964.3041408218032</v>
      </c>
      <c r="E58" s="294">
        <f t="shared" si="60"/>
        <v>3146.1005858816889</v>
      </c>
      <c r="F58" s="294">
        <f t="shared" si="61"/>
        <v>3341.2355754190776</v>
      </c>
      <c r="G58" s="294">
        <f t="shared" si="62"/>
        <v>3281.8533965267106</v>
      </c>
      <c r="H58" s="294">
        <f t="shared" si="63"/>
        <v>3605.7962337109429</v>
      </c>
      <c r="I58" s="294">
        <f t="shared" si="64"/>
        <v>3921.3267021972515</v>
      </c>
      <c r="J58" s="294">
        <f t="shared" si="65"/>
        <v>4089.1372813523112</v>
      </c>
      <c r="K58" s="294">
        <f t="shared" si="66"/>
        <v>4516.2661692848787</v>
      </c>
      <c r="L58" s="12" t="s">
        <v>591</v>
      </c>
      <c r="M58" s="289">
        <v>1.0034339999999999</v>
      </c>
      <c r="N58" s="289">
        <v>1.0260359999999999</v>
      </c>
      <c r="O58" s="293">
        <v>1.056495</v>
      </c>
      <c r="P58" s="293">
        <v>1.0784670000000001</v>
      </c>
      <c r="Q58" s="377">
        <v>1.121238</v>
      </c>
      <c r="R58" s="378">
        <v>1.148849</v>
      </c>
      <c r="S58" s="397">
        <v>1.169767</v>
      </c>
      <c r="T58" s="289">
        <v>1.2029240000000001</v>
      </c>
      <c r="U58" s="289">
        <v>1.216234</v>
      </c>
      <c r="V58">
        <f t="shared" si="67"/>
        <v>3014.4838387067175</v>
      </c>
      <c r="W58">
        <f t="shared" si="68"/>
        <v>2889.0839510717005</v>
      </c>
      <c r="X58">
        <f t="shared" si="69"/>
        <v>2977.8660437405656</v>
      </c>
      <c r="Y58">
        <f t="shared" si="70"/>
        <v>3098.1342733890583</v>
      </c>
      <c r="Z58">
        <f t="shared" si="71"/>
        <v>2926.9908766262924</v>
      </c>
      <c r="AA58">
        <f t="shared" si="72"/>
        <v>3138.6163313985935</v>
      </c>
      <c r="AB58">
        <f t="shared" si="73"/>
        <v>3352.228864549309</v>
      </c>
      <c r="AC58">
        <f t="shared" si="74"/>
        <v>3399.3313637040337</v>
      </c>
      <c r="AD58">
        <f t="shared" si="75"/>
        <v>3713.3201088646415</v>
      </c>
    </row>
    <row r="59" spans="2:30" x14ac:dyDescent="0.25">
      <c r="B59" s="20" t="s">
        <v>417</v>
      </c>
      <c r="C59" s="294">
        <f t="shared" si="58"/>
        <v>14913.185793822551</v>
      </c>
      <c r="D59" s="294">
        <f t="shared" si="59"/>
        <v>15297.656202973878</v>
      </c>
      <c r="E59" s="294">
        <f t="shared" si="60"/>
        <v>17562.998024889432</v>
      </c>
      <c r="F59" s="294">
        <f t="shared" si="61"/>
        <v>18651.11795991876</v>
      </c>
      <c r="G59" s="294">
        <f t="shared" si="62"/>
        <v>20293.938330646073</v>
      </c>
      <c r="H59" s="294">
        <f t="shared" si="63"/>
        <v>21057.933352777323</v>
      </c>
      <c r="I59" s="294">
        <f t="shared" si="64"/>
        <v>20179.352559988762</v>
      </c>
      <c r="J59" s="294">
        <f t="shared" si="65"/>
        <v>21700.075629900595</v>
      </c>
      <c r="K59" s="294">
        <f t="shared" si="66"/>
        <v>22523.295619057459</v>
      </c>
      <c r="L59" s="20" t="s">
        <v>592</v>
      </c>
      <c r="M59" s="289">
        <v>0.93988780000000005</v>
      </c>
      <c r="N59" s="289">
        <v>0.97057400000000005</v>
      </c>
      <c r="O59" s="381">
        <v>1.004141</v>
      </c>
      <c r="P59" s="381">
        <v>1.0400259999999999</v>
      </c>
      <c r="Q59" s="382">
        <v>1.075847</v>
      </c>
      <c r="R59" s="383">
        <v>1.0917650000000001</v>
      </c>
      <c r="S59" s="398">
        <v>1.116859</v>
      </c>
      <c r="T59" s="289">
        <v>1.1594040000000001</v>
      </c>
      <c r="U59" s="289">
        <v>1.1834530000000001</v>
      </c>
      <c r="V59">
        <f t="shared" si="67"/>
        <v>15866.985180382755</v>
      </c>
      <c r="W59">
        <f t="shared" si="68"/>
        <v>15761.45271043102</v>
      </c>
      <c r="X59">
        <f t="shared" si="69"/>
        <v>17490.569576274083</v>
      </c>
      <c r="Y59">
        <f t="shared" si="70"/>
        <v>17933.31893617925</v>
      </c>
      <c r="Z59">
        <f t="shared" si="71"/>
        <v>18863.219705632931</v>
      </c>
      <c r="AA59">
        <f t="shared" si="72"/>
        <v>19287.97255158145</v>
      </c>
      <c r="AB59">
        <f t="shared" si="73"/>
        <v>18067.949991886853</v>
      </c>
      <c r="AC59">
        <f t="shared" si="74"/>
        <v>18716.578198712952</v>
      </c>
      <c r="AD59">
        <f t="shared" si="75"/>
        <v>19031.846316716808</v>
      </c>
    </row>
    <row r="60" spans="2:30" x14ac:dyDescent="0.25">
      <c r="B60" s="22" t="s">
        <v>418</v>
      </c>
      <c r="C60" s="396">
        <f>C104</f>
        <v>67868.436273676663</v>
      </c>
      <c r="D60" s="396">
        <f t="shared" ref="D60:K60" si="76">D104</f>
        <v>70012.383218822884</v>
      </c>
      <c r="E60" s="396">
        <f t="shared" si="76"/>
        <v>72945.504353462704</v>
      </c>
      <c r="F60" s="396">
        <f t="shared" si="76"/>
        <v>77102.187052844107</v>
      </c>
      <c r="G60" s="396">
        <f t="shared" si="76"/>
        <v>81055.763528726035</v>
      </c>
      <c r="H60" s="396">
        <f t="shared" si="76"/>
        <v>84239.005090612627</v>
      </c>
      <c r="I60" s="396">
        <f t="shared" si="76"/>
        <v>86932.412663263254</v>
      </c>
      <c r="J60" s="396">
        <f t="shared" si="76"/>
        <v>91906.636250252792</v>
      </c>
      <c r="K60" s="396">
        <f t="shared" si="76"/>
        <v>95151.762100254942</v>
      </c>
      <c r="V60" s="41">
        <f>SUM(V50:V59)</f>
        <v>67870.718108953908</v>
      </c>
      <c r="W60" s="41">
        <f t="shared" ref="W60:AD60" si="77">SUM(W50:W59)</f>
        <v>67117.880014437716</v>
      </c>
      <c r="X60" s="41">
        <f t="shared" si="77"/>
        <v>67804.156611434184</v>
      </c>
      <c r="Y60" s="41">
        <f t="shared" si="77"/>
        <v>69668.298110345146</v>
      </c>
      <c r="Z60" s="41">
        <f t="shared" si="77"/>
        <v>71020.530638436714</v>
      </c>
      <c r="AA60" s="41">
        <f t="shared" si="77"/>
        <v>72521.967801598395</v>
      </c>
      <c r="AB60" s="41">
        <f t="shared" si="77"/>
        <v>74205.537050567276</v>
      </c>
      <c r="AC60" s="41">
        <f t="shared" si="77"/>
        <v>75771.617972281587</v>
      </c>
      <c r="AD60" s="41">
        <f t="shared" si="77"/>
        <v>77484.068161194446</v>
      </c>
    </row>
    <row r="61" spans="2:30" x14ac:dyDescent="0.25">
      <c r="B61" s="33">
        <f>'[5]D-SAM24'!$N$42</f>
        <v>74585.100000000006</v>
      </c>
      <c r="C61" s="33">
        <f>SUM(C50:C59)</f>
        <v>67868.435380663461</v>
      </c>
      <c r="D61" s="33">
        <f t="shared" ref="D61:K61" si="78">SUM(D50:D59)</f>
        <v>70012.38367241688</v>
      </c>
      <c r="E61" s="33">
        <f t="shared" si="78"/>
        <v>72945.492354482994</v>
      </c>
      <c r="F61" s="33">
        <f t="shared" si="78"/>
        <v>77102.199951922696</v>
      </c>
      <c r="G61" s="33">
        <f t="shared" si="78"/>
        <v>81055.755477432132</v>
      </c>
      <c r="H61" s="33">
        <f t="shared" si="78"/>
        <v>84238.987577630105</v>
      </c>
      <c r="I61" s="33">
        <f t="shared" si="78"/>
        <v>86932.442479977428</v>
      </c>
      <c r="J61" s="33">
        <f t="shared" si="78"/>
        <v>91906.670113875036</v>
      </c>
      <c r="K61" s="33">
        <f t="shared" si="78"/>
        <v>95151.759173156097</v>
      </c>
      <c r="V61" s="70">
        <f>V60/C60*100</f>
        <v>100.00336214505967</v>
      </c>
      <c r="W61" s="70">
        <f t="shared" ref="W61:AD61" si="79">W60/D60*100</f>
        <v>95.865726788161993</v>
      </c>
      <c r="X61" s="70">
        <f t="shared" si="79"/>
        <v>92.951796292865779</v>
      </c>
      <c r="Y61" s="70">
        <f t="shared" si="79"/>
        <v>90.358394195220498</v>
      </c>
      <c r="Z61" s="70">
        <f t="shared" si="79"/>
        <v>87.619346912039333</v>
      </c>
      <c r="AA61" s="70">
        <f t="shared" si="79"/>
        <v>86.090722134703896</v>
      </c>
      <c r="AB61" s="70">
        <f t="shared" si="79"/>
        <v>85.360034050827366</v>
      </c>
      <c r="AC61" s="70">
        <f t="shared" si="79"/>
        <v>82.44412053767573</v>
      </c>
      <c r="AD61" s="70">
        <f t="shared" si="79"/>
        <v>81.43208959131492</v>
      </c>
    </row>
    <row r="62" spans="2:30" x14ac:dyDescent="0.25">
      <c r="C62" s="63">
        <f>C60/C63</f>
        <v>7261.2237304095615</v>
      </c>
      <c r="D62" s="63">
        <f t="shared" ref="D62:E62" si="80">D60/D63</f>
        <v>7778.8866158731762</v>
      </c>
      <c r="E62" s="63">
        <f t="shared" si="80"/>
        <v>7949.0099089738897</v>
      </c>
      <c r="F62" s="63">
        <f>F60/F63</f>
        <v>8190.1413309381951</v>
      </c>
      <c r="G62" s="63">
        <f>G60/G63</f>
        <v>8363.116864078529</v>
      </c>
      <c r="H62" s="63">
        <f t="shared" ref="H62:K62" si="81">H60/H63</f>
        <v>8523.9124259461314</v>
      </c>
      <c r="I62" s="63">
        <f t="shared" si="81"/>
        <v>8680.9056993275808</v>
      </c>
      <c r="J62" s="63">
        <f t="shared" si="81"/>
        <v>8924.3953649175965</v>
      </c>
      <c r="K62" s="63">
        <f t="shared" si="81"/>
        <v>9094.1011390836429</v>
      </c>
    </row>
    <row r="63" spans="2:30" x14ac:dyDescent="0.25">
      <c r="B63" s="399" t="s">
        <v>645</v>
      </c>
      <c r="C63" s="400">
        <f>'1_Prices'!C90</f>
        <v>9.3466939999999994</v>
      </c>
      <c r="D63" s="400">
        <f>'1_Prices'!D90</f>
        <v>9.0003089999999997</v>
      </c>
      <c r="E63" s="400">
        <f>'1_Prices'!E90</f>
        <v>9.1766780000000008</v>
      </c>
      <c r="F63" s="400">
        <f>'1_Prices'!F90</f>
        <v>9.4140239999999995</v>
      </c>
      <c r="G63" s="400">
        <f>'1_Prices'!G90</f>
        <v>9.6920520000000003</v>
      </c>
      <c r="H63" s="400">
        <f>'1_Prices'!H90</f>
        <v>9.8826689999999999</v>
      </c>
      <c r="I63" s="400">
        <f>'1_Prices'!I90</f>
        <v>10.01421</v>
      </c>
      <c r="J63" s="400">
        <f>'1_Prices'!J90</f>
        <v>10.298360000000001</v>
      </c>
      <c r="K63" s="400">
        <f>'1_Prices'!K90</f>
        <v>10.46302</v>
      </c>
      <c r="V63">
        <f>V31+V60</f>
        <v>84711.687691946296</v>
      </c>
      <c r="W63">
        <f t="shared" ref="W63:AD63" si="82">W31+W60</f>
        <v>85371.775119593978</v>
      </c>
      <c r="X63">
        <f t="shared" si="82"/>
        <v>87603.690020367911</v>
      </c>
      <c r="Y63">
        <f t="shared" si="82"/>
        <v>91650.892090552719</v>
      </c>
      <c r="Z63">
        <f t="shared" si="82"/>
        <v>94114.570855294616</v>
      </c>
      <c r="AA63">
        <f t="shared" si="82"/>
        <v>97032.114503727644</v>
      </c>
      <c r="AB63">
        <f t="shared" si="82"/>
        <v>100289.45783725879</v>
      </c>
      <c r="AC63">
        <f t="shared" si="82"/>
        <v>103592.97681660298</v>
      </c>
      <c r="AD63">
        <f t="shared" si="82"/>
        <v>106729.16221919384</v>
      </c>
    </row>
    <row r="64" spans="2:30" x14ac:dyDescent="0.25">
      <c r="B64" s="41" t="s">
        <v>811</v>
      </c>
      <c r="C64" s="215">
        <f>C32+C62</f>
        <v>8941.8235550844802</v>
      </c>
      <c r="D64" s="215">
        <f t="shared" ref="D64:K64" si="83">D32+D62</f>
        <v>9723.9780064110037</v>
      </c>
      <c r="E64" s="215">
        <f t="shared" si="83"/>
        <v>10081.168169209795</v>
      </c>
      <c r="F64" s="215">
        <f t="shared" si="83"/>
        <v>10582.237819114016</v>
      </c>
      <c r="G64" s="215">
        <f t="shared" si="83"/>
        <v>10893.152669896595</v>
      </c>
      <c r="H64" s="215">
        <f t="shared" si="83"/>
        <v>11202.603474204987</v>
      </c>
      <c r="I64" s="215">
        <f t="shared" si="83"/>
        <v>11521.317336764432</v>
      </c>
      <c r="J64" s="215">
        <f t="shared" si="83"/>
        <v>11976.135469630579</v>
      </c>
      <c r="K64" s="215">
        <f t="shared" si="83"/>
        <v>12300.515494172279</v>
      </c>
    </row>
    <row r="65" spans="2:30" x14ac:dyDescent="0.25">
      <c r="B65" s="41" t="s">
        <v>717</v>
      </c>
      <c r="C65" s="70">
        <f>C32</f>
        <v>1680.5998246749186</v>
      </c>
      <c r="D65" s="70">
        <f>D32</f>
        <v>1945.091390537827</v>
      </c>
      <c r="E65" s="70">
        <f t="shared" ref="E65" si="84">E32</f>
        <v>2132.1582602359053</v>
      </c>
      <c r="F65" s="70">
        <f>F32</f>
        <v>2392.0964881758214</v>
      </c>
      <c r="G65" s="70">
        <f>G32</f>
        <v>2530.0358058180664</v>
      </c>
      <c r="H65" s="70">
        <f t="shared" ref="H65:J65" si="85">H32</f>
        <v>2678.691048258856</v>
      </c>
      <c r="I65" s="70">
        <f t="shared" si="85"/>
        <v>2840.4116374368518</v>
      </c>
      <c r="J65" s="70">
        <f t="shared" si="85"/>
        <v>3051.7401047129829</v>
      </c>
      <c r="K65" s="70">
        <f>K32</f>
        <v>3206.4143550886356</v>
      </c>
      <c r="V65" s="70">
        <f>V63/C63</f>
        <v>9063.278170008165</v>
      </c>
      <c r="W65" s="70">
        <f t="shared" ref="W65:AC65" si="86">W63/D63</f>
        <v>9485.4271247347151</v>
      </c>
      <c r="X65" s="70">
        <f t="shared" si="86"/>
        <v>9546.340191991907</v>
      </c>
      <c r="Y65" s="70">
        <f t="shared" si="86"/>
        <v>9735.5702609800792</v>
      </c>
      <c r="Z65" s="70">
        <f t="shared" si="86"/>
        <v>9710.4896729087523</v>
      </c>
      <c r="AA65" s="70">
        <f t="shared" si="86"/>
        <v>9818.411858550322</v>
      </c>
      <c r="AB65" s="70">
        <f t="shared" si="86"/>
        <v>10014.71487389008</v>
      </c>
      <c r="AC65" s="70">
        <f t="shared" si="86"/>
        <v>10059.172219324531</v>
      </c>
      <c r="AD65" s="70">
        <f>AD63/K63</f>
        <v>10200.607684893446</v>
      </c>
    </row>
    <row r="66" spans="2:30" x14ac:dyDescent="0.25">
      <c r="B66" s="41" t="s">
        <v>718</v>
      </c>
      <c r="C66" s="70">
        <f>C62</f>
        <v>7261.2237304095615</v>
      </c>
      <c r="D66" s="70">
        <f t="shared" ref="D66:E66" si="87">D62</f>
        <v>7778.8866158731762</v>
      </c>
      <c r="E66" s="70">
        <f t="shared" si="87"/>
        <v>7949.0099089738897</v>
      </c>
      <c r="F66" s="70">
        <f>F62</f>
        <v>8190.1413309381951</v>
      </c>
      <c r="G66" s="70">
        <f>G62</f>
        <v>8363.116864078529</v>
      </c>
      <c r="H66" s="70">
        <f t="shared" ref="H66:K66" si="88">H62</f>
        <v>8523.9124259461314</v>
      </c>
      <c r="I66" s="70">
        <f t="shared" si="88"/>
        <v>8680.9056993275808</v>
      </c>
      <c r="J66" s="70">
        <f t="shared" si="88"/>
        <v>8924.3953649175965</v>
      </c>
      <c r="K66" s="70">
        <f t="shared" si="88"/>
        <v>9094.1011390836429</v>
      </c>
    </row>
    <row r="67" spans="2:30" x14ac:dyDescent="0.25">
      <c r="C67" s="41">
        <f>C65+C66</f>
        <v>8941.8235550844802</v>
      </c>
      <c r="D67" s="41">
        <f t="shared" ref="D67:E67" si="89">D65+D66</f>
        <v>9723.9780064110037</v>
      </c>
      <c r="E67" s="41">
        <f t="shared" si="89"/>
        <v>10081.168169209795</v>
      </c>
      <c r="F67" s="41">
        <f>F65+F66</f>
        <v>10582.237819114016</v>
      </c>
      <c r="G67" s="41">
        <f>G65+G66</f>
        <v>10893.152669896595</v>
      </c>
      <c r="H67" s="41">
        <f t="shared" ref="H67:K67" si="90">H65+H66</f>
        <v>11202.603474204987</v>
      </c>
      <c r="I67" s="41">
        <f t="shared" si="90"/>
        <v>11521.317336764432</v>
      </c>
      <c r="J67" s="41">
        <f t="shared" si="90"/>
        <v>11976.135469630579</v>
      </c>
      <c r="K67" s="41">
        <f t="shared" si="90"/>
        <v>12300.515494172279</v>
      </c>
      <c r="V67" s="70"/>
      <c r="W67" s="70">
        <f>W65/C67*100</f>
        <v>106.07933679636446</v>
      </c>
      <c r="X67" s="70">
        <f t="shared" ref="X67:AD67" si="91">X65/D67*100</f>
        <v>98.173198105734301</v>
      </c>
      <c r="Y67" s="70">
        <f t="shared" si="91"/>
        <v>96.571846611137275</v>
      </c>
      <c r="Z67" s="70">
        <f t="shared" si="91"/>
        <v>91.762156917030524</v>
      </c>
      <c r="AA67" s="70">
        <f t="shared" si="91"/>
        <v>90.133794651420445</v>
      </c>
      <c r="AB67" s="70">
        <f t="shared" si="91"/>
        <v>89.396316641483125</v>
      </c>
      <c r="AC67" s="70">
        <f t="shared" si="91"/>
        <v>87.309219295833401</v>
      </c>
      <c r="AD67" s="70">
        <f t="shared" si="91"/>
        <v>85.174451397618483</v>
      </c>
    </row>
    <row r="68" spans="2:30" x14ac:dyDescent="0.25">
      <c r="B68" s="41" t="s">
        <v>717</v>
      </c>
      <c r="C68" s="70"/>
      <c r="D68" s="70">
        <f t="shared" ref="D68:F69" si="92">D65/C65*100</f>
        <v>115.73792654144002</v>
      </c>
      <c r="E68" s="70">
        <f t="shared" ref="E68:K68" si="93">E65/D65*100</f>
        <v>109.61738202164133</v>
      </c>
      <c r="F68" s="70">
        <f>F65/E65*100</f>
        <v>112.19131960266195</v>
      </c>
      <c r="G68" s="70">
        <f t="shared" si="93"/>
        <v>105.76646127462172</v>
      </c>
      <c r="H68" s="70">
        <f t="shared" si="93"/>
        <v>105.87561812757519</v>
      </c>
      <c r="I68" s="70">
        <f t="shared" si="93"/>
        <v>106.03729904884381</v>
      </c>
      <c r="J68" s="70">
        <f t="shared" si="93"/>
        <v>107.44006483042124</v>
      </c>
      <c r="K68" s="70">
        <f t="shared" si="93"/>
        <v>105.0683952456102</v>
      </c>
    </row>
    <row r="69" spans="2:30" x14ac:dyDescent="0.25">
      <c r="B69" s="41" t="s">
        <v>718</v>
      </c>
      <c r="C69" s="70"/>
      <c r="D69" s="70">
        <f t="shared" si="92"/>
        <v>107.12914110187342</v>
      </c>
      <c r="E69" s="70">
        <f t="shared" si="92"/>
        <v>102.18698769504584</v>
      </c>
      <c r="F69" s="70">
        <f t="shared" si="92"/>
        <v>103.03347743587645</v>
      </c>
      <c r="G69" s="70">
        <f t="shared" ref="G69:K70" si="94">G66/F66*100</f>
        <v>102.1119969259495</v>
      </c>
      <c r="H69" s="70">
        <f t="shared" si="94"/>
        <v>101.92267505621327</v>
      </c>
      <c r="I69" s="70">
        <f t="shared" si="94"/>
        <v>101.84179829093006</v>
      </c>
      <c r="J69" s="70">
        <f t="shared" si="94"/>
        <v>102.80488780806449</v>
      </c>
      <c r="K69" s="70">
        <f t="shared" si="94"/>
        <v>101.90159408258816</v>
      </c>
    </row>
    <row r="70" spans="2:30" x14ac:dyDescent="0.25">
      <c r="B70" s="41" t="s">
        <v>816</v>
      </c>
      <c r="C70" s="70"/>
      <c r="D70" s="70">
        <f>D67/C67*100</f>
        <v>108.74714700539776</v>
      </c>
      <c r="E70" s="70">
        <f>E67/D67*100</f>
        <v>103.67329258214382</v>
      </c>
      <c r="F70" s="70">
        <f>F67/E67*100</f>
        <v>104.97035305327613</v>
      </c>
      <c r="G70" s="70">
        <f>G67/F67*100</f>
        <v>102.93808224779255</v>
      </c>
      <c r="H70" s="70">
        <f>H67/G67*100</f>
        <v>102.84078277139696</v>
      </c>
      <c r="I70" s="70">
        <f t="shared" si="94"/>
        <v>102.84499815862726</v>
      </c>
      <c r="J70" s="70">
        <f t="shared" si="94"/>
        <v>103.94762265088234</v>
      </c>
      <c r="K70" s="70">
        <f t="shared" si="94"/>
        <v>102.70855340075495</v>
      </c>
    </row>
    <row r="72" spans="2:30" x14ac:dyDescent="0.25">
      <c r="C72" s="244">
        <f>C76</f>
        <v>8941.8235550844802</v>
      </c>
      <c r="D72" s="244">
        <f t="shared" ref="D72:K72" si="95">D76</f>
        <v>10266.786615873176</v>
      </c>
      <c r="E72" s="244">
        <f t="shared" si="95"/>
        <v>11021.795039843477</v>
      </c>
      <c r="F72" s="244">
        <f t="shared" si="95"/>
        <v>11200.599971220476</v>
      </c>
      <c r="G72" s="244">
        <f t="shared" si="95"/>
        <v>11336.583686236969</v>
      </c>
      <c r="H72" s="244">
        <f t="shared" si="95"/>
        <v>11664.551983752193</v>
      </c>
      <c r="I72" s="244">
        <f t="shared" si="95"/>
        <v>11979.380979436051</v>
      </c>
      <c r="J72" s="244">
        <f t="shared" si="95"/>
        <v>11976.135469630579</v>
      </c>
      <c r="K72" s="244">
        <f t="shared" si="95"/>
        <v>12300.515494172279</v>
      </c>
    </row>
    <row r="73" spans="2:30" x14ac:dyDescent="0.25">
      <c r="C73" s="41">
        <f>'1_Prices'!C90</f>
        <v>9.3466939999999994</v>
      </c>
      <c r="D73" s="41">
        <f>'1_Prices'!D90</f>
        <v>9.0003089999999997</v>
      </c>
      <c r="E73" s="41">
        <f>'1_Prices'!E90</f>
        <v>9.1766780000000008</v>
      </c>
      <c r="F73" s="41">
        <f>'1_Prices'!F90</f>
        <v>9.4140239999999995</v>
      </c>
      <c r="G73" s="41">
        <f>'1_Prices'!G90</f>
        <v>9.6920520000000003</v>
      </c>
      <c r="H73" s="41">
        <f>'1_Prices'!H90</f>
        <v>9.8826689999999999</v>
      </c>
      <c r="I73" s="41">
        <f>'1_Prices'!I90</f>
        <v>10.01421</v>
      </c>
      <c r="J73" s="41">
        <f>'1_Prices'!J90</f>
        <v>10.298360000000001</v>
      </c>
      <c r="K73" s="41">
        <f>'1_Prices'!K90</f>
        <v>10.46302</v>
      </c>
    </row>
    <row r="74" spans="2:30" x14ac:dyDescent="0.25">
      <c r="C74" s="249">
        <f>C31/C73</f>
        <v>1680.5998246749186</v>
      </c>
      <c r="D74" s="442">
        <f>D31/D73+542.808609462173</f>
        <v>2487.9</v>
      </c>
      <c r="E74" s="442">
        <f>E31/E73+540.62687063368</f>
        <v>2672.7851308695854</v>
      </c>
      <c r="F74" s="442">
        <f>F31/F73+448.362152106459</f>
        <v>2840.4586402822806</v>
      </c>
      <c r="G74" s="442">
        <f>G31/G73+443.431016340374</f>
        <v>2973.4668221584402</v>
      </c>
      <c r="H74" s="442">
        <f>H31/H73+461.948509547205</f>
        <v>3140.639557806061</v>
      </c>
      <c r="I74" s="442">
        <f>I31/I73+458.063642671619</f>
        <v>3298.475280108471</v>
      </c>
      <c r="J74" s="249">
        <f t="shared" ref="J74:K74" si="96">J31/J73</f>
        <v>3051.7401047129829</v>
      </c>
      <c r="K74" s="249">
        <f t="shared" si="96"/>
        <v>3206.4143550886356</v>
      </c>
    </row>
    <row r="75" spans="2:30" x14ac:dyDescent="0.25">
      <c r="C75" s="249">
        <f t="shared" ref="C75:D75" si="97">C60/C73</f>
        <v>7261.2237304095615</v>
      </c>
      <c r="D75" s="249">
        <f t="shared" si="97"/>
        <v>7778.8866158731762</v>
      </c>
      <c r="E75" s="442">
        <f>E60/E73+400</f>
        <v>8349.0099089738906</v>
      </c>
      <c r="F75" s="442">
        <f>F60/F73+170</f>
        <v>8360.1413309381951</v>
      </c>
      <c r="G75" s="249">
        <f>G60/G73</f>
        <v>8363.116864078529</v>
      </c>
      <c r="H75" s="249">
        <f t="shared" ref="H75:I75" si="98">H60/H73</f>
        <v>8523.9124259461314</v>
      </c>
      <c r="I75" s="249">
        <f t="shared" si="98"/>
        <v>8680.9056993275808</v>
      </c>
      <c r="J75" s="249">
        <f>J60/J73</f>
        <v>8924.3953649175965</v>
      </c>
      <c r="K75" s="249">
        <f>K60/K73</f>
        <v>9094.1011390836429</v>
      </c>
    </row>
    <row r="76" spans="2:30" x14ac:dyDescent="0.25">
      <c r="C76" s="41">
        <f>C74+C75</f>
        <v>8941.8235550844802</v>
      </c>
      <c r="D76" s="41">
        <f>D74+D75</f>
        <v>10266.786615873176</v>
      </c>
      <c r="E76" s="41">
        <f>E74+E75</f>
        <v>11021.795039843477</v>
      </c>
      <c r="F76" s="41">
        <f>F74+F75</f>
        <v>11200.599971220476</v>
      </c>
      <c r="G76" s="41">
        <f t="shared" ref="G76:K76" si="99">G74+G75</f>
        <v>11336.583686236969</v>
      </c>
      <c r="H76" s="41">
        <f t="shared" si="99"/>
        <v>11664.551983752193</v>
      </c>
      <c r="I76" s="41">
        <f t="shared" si="99"/>
        <v>11979.380979436051</v>
      </c>
      <c r="J76" s="41">
        <f t="shared" si="99"/>
        <v>11976.135469630579</v>
      </c>
      <c r="K76" s="41">
        <f t="shared" si="99"/>
        <v>12300.515494172279</v>
      </c>
    </row>
    <row r="77" spans="2:30" x14ac:dyDescent="0.25">
      <c r="D77" s="106">
        <f>D74/C74*100</f>
        <v>148.0364310094605</v>
      </c>
      <c r="E77" s="106">
        <f t="shared" ref="E77" si="100">E74/D74*100</f>
        <v>107.431373080493</v>
      </c>
      <c r="F77" s="106">
        <f>F74/E74*100</f>
        <v>106.27336284821905</v>
      </c>
      <c r="G77" s="241">
        <f t="shared" ref="G77:K77" si="101">G74/F74*100</f>
        <v>104.68263047346964</v>
      </c>
      <c r="H77" s="108">
        <f t="shared" si="101"/>
        <v>105.6221490148079</v>
      </c>
      <c r="I77" s="241">
        <f t="shared" si="101"/>
        <v>105.02559174325208</v>
      </c>
      <c r="J77" s="241">
        <f t="shared" si="101"/>
        <v>92.519720342200827</v>
      </c>
      <c r="K77" s="241">
        <f t="shared" si="101"/>
        <v>105.0683952456102</v>
      </c>
    </row>
    <row r="78" spans="2:30" x14ac:dyDescent="0.25">
      <c r="D78" s="12">
        <f>D75/C75*100</f>
        <v>107.12914110187342</v>
      </c>
      <c r="E78" s="12">
        <f>E75/D75*100</f>
        <v>107.32911175151148</v>
      </c>
      <c r="F78" s="12">
        <f>F75/E75*100</f>
        <v>100.13332625168331</v>
      </c>
      <c r="G78" s="241">
        <f>G75/F75*100</f>
        <v>100.03559189997569</v>
      </c>
      <c r="H78" s="108">
        <f t="shared" ref="H78:I78" si="102">H75/G75*100</f>
        <v>101.92267505621327</v>
      </c>
      <c r="I78" s="241">
        <f t="shared" si="102"/>
        <v>101.84179829093006</v>
      </c>
      <c r="J78" s="241">
        <f t="shared" ref="J78" si="103">J75/I75*100</f>
        <v>102.80488780806449</v>
      </c>
      <c r="K78" s="241">
        <f>K75/J75*100</f>
        <v>101.90159408258816</v>
      </c>
    </row>
    <row r="79" spans="2:30" x14ac:dyDescent="0.25">
      <c r="D79" s="243">
        <f>D76/C76*100</f>
        <v>114.81759344306563</v>
      </c>
      <c r="E79" s="243">
        <f>E76/D76*100</f>
        <v>107.35389223735308</v>
      </c>
      <c r="F79" s="243">
        <f>F76/E76*100</f>
        <v>101.62228503370481</v>
      </c>
      <c r="G79" s="242">
        <f>G76/F76*100</f>
        <v>101.21407527602003</v>
      </c>
      <c r="H79" s="242">
        <f>H76/G76*100</f>
        <v>102.89300821651757</v>
      </c>
      <c r="I79" s="242">
        <f>I76/H76*100</f>
        <v>102.69902346976025</v>
      </c>
      <c r="J79" s="242">
        <f>J76/I76*100</f>
        <v>99.972907533277024</v>
      </c>
      <c r="K79" s="242">
        <f>K76/J76*100</f>
        <v>102.70855340075495</v>
      </c>
    </row>
    <row r="80" spans="2:30" x14ac:dyDescent="0.25">
      <c r="E80" s="223">
        <v>7.5101100000000001</v>
      </c>
    </row>
    <row r="81" spans="2:29" x14ac:dyDescent="0.25">
      <c r="E81" s="447">
        <v>8163.4800887389038</v>
      </c>
      <c r="F81">
        <f>E81-E75</f>
        <v>-185.5298202349868</v>
      </c>
    </row>
    <row r="82" spans="2:29" ht="18" x14ac:dyDescent="0.25">
      <c r="B82" s="444" t="s">
        <v>783</v>
      </c>
      <c r="C82">
        <f>C83-C74</f>
        <v>266.90017532508136</v>
      </c>
      <c r="D82">
        <v>542.80860946217297</v>
      </c>
      <c r="E82">
        <v>540.62687063368003</v>
      </c>
      <c r="F82">
        <v>448.36215210645901</v>
      </c>
      <c r="G82">
        <v>443.43101634037401</v>
      </c>
      <c r="H82">
        <v>461.94850954720499</v>
      </c>
      <c r="I82">
        <v>458.06364267161899</v>
      </c>
    </row>
    <row r="83" spans="2:29" ht="18" x14ac:dyDescent="0.25">
      <c r="B83" s="444" t="s">
        <v>784</v>
      </c>
      <c r="C83" s="223">
        <v>1947.5</v>
      </c>
      <c r="D83" s="223">
        <v>2487.9</v>
      </c>
      <c r="E83" s="223">
        <v>2672.7851308695854</v>
      </c>
      <c r="F83" s="223">
        <v>2840.4586402822802</v>
      </c>
      <c r="G83" s="223">
        <v>2973.4668221584402</v>
      </c>
      <c r="H83" s="223">
        <v>3140.6395578060606</v>
      </c>
      <c r="I83" s="223">
        <v>3298.4752801084705</v>
      </c>
    </row>
    <row r="84" spans="2:29" ht="18" x14ac:dyDescent="0.25">
      <c r="B84" s="444" t="s">
        <v>785</v>
      </c>
    </row>
    <row r="86" spans="2:29" x14ac:dyDescent="0.25">
      <c r="D86" s="4">
        <f>D102-D87</f>
        <v>90479.010640000008</v>
      </c>
    </row>
    <row r="87" spans="2:29" x14ac:dyDescent="0.25">
      <c r="D87" s="41">
        <v>8305.2000000000007</v>
      </c>
    </row>
    <row r="88" spans="2:29" x14ac:dyDescent="0.25">
      <c r="B88" s="395" t="s">
        <v>421</v>
      </c>
      <c r="D88" s="41">
        <v>10.040900000000001</v>
      </c>
      <c r="I88" s="4"/>
      <c r="K88" s="4"/>
    </row>
    <row r="89" spans="2:29" x14ac:dyDescent="0.25">
      <c r="B89" s="25" t="s">
        <v>690</v>
      </c>
      <c r="D89" s="41">
        <f>D87*D88</f>
        <v>83391.682680000013</v>
      </c>
      <c r="I89" s="4"/>
      <c r="K89" s="4"/>
    </row>
    <row r="90" spans="2:29" x14ac:dyDescent="0.25">
      <c r="B90" s="18"/>
      <c r="C90" s="6">
        <v>2024</v>
      </c>
      <c r="D90" s="6">
        <f t="shared" ref="D90" si="104">C90+1</f>
        <v>2025</v>
      </c>
      <c r="E90" s="6">
        <f t="shared" ref="E90" si="105">D90+1</f>
        <v>2026</v>
      </c>
      <c r="F90" s="6">
        <f t="shared" ref="F90" si="106">E90+1</f>
        <v>2027</v>
      </c>
      <c r="G90" s="6">
        <f t="shared" ref="G90" si="107">F90+1</f>
        <v>2028</v>
      </c>
      <c r="H90" s="6">
        <f t="shared" ref="H90" si="108">G90+1</f>
        <v>2029</v>
      </c>
      <c r="I90" s="19">
        <f t="shared" ref="I90" si="109">H90+1</f>
        <v>2030</v>
      </c>
      <c r="J90" s="27">
        <f t="shared" ref="J90" si="110">I90+1</f>
        <v>2031</v>
      </c>
      <c r="K90" s="27">
        <f t="shared" ref="K90" si="111">J90+1</f>
        <v>2032</v>
      </c>
      <c r="L90" s="6">
        <v>2024</v>
      </c>
      <c r="M90" s="6">
        <f t="shared" ref="M90" si="112">L90+1</f>
        <v>2025</v>
      </c>
      <c r="N90" s="6">
        <f t="shared" ref="N90" si="113">M90+1</f>
        <v>2026</v>
      </c>
      <c r="O90" s="6">
        <f t="shared" ref="O90" si="114">N90+1</f>
        <v>2027</v>
      </c>
      <c r="P90" s="6">
        <f t="shared" ref="P90" si="115">O90+1</f>
        <v>2028</v>
      </c>
      <c r="Q90" s="6">
        <f t="shared" ref="Q90" si="116">P90+1</f>
        <v>2029</v>
      </c>
      <c r="R90" s="19">
        <f t="shared" ref="R90" si="117">Q90+1</f>
        <v>2030</v>
      </c>
      <c r="S90" s="27">
        <f t="shared" ref="S90" si="118">R90+1</f>
        <v>2031</v>
      </c>
      <c r="T90" s="27">
        <f t="shared" ref="T90" si="119">S90+1</f>
        <v>2032</v>
      </c>
      <c r="U90" s="6">
        <v>2024</v>
      </c>
      <c r="V90" s="6">
        <f t="shared" ref="V90" si="120">U90+1</f>
        <v>2025</v>
      </c>
      <c r="W90" s="6">
        <f t="shared" ref="W90" si="121">V90+1</f>
        <v>2026</v>
      </c>
      <c r="X90" s="6">
        <f t="shared" ref="X90" si="122">W90+1</f>
        <v>2027</v>
      </c>
      <c r="Y90" s="6">
        <f t="shared" ref="Y90" si="123">X90+1</f>
        <v>2028</v>
      </c>
      <c r="Z90" s="6">
        <f t="shared" ref="Z90" si="124">Y90+1</f>
        <v>2029</v>
      </c>
      <c r="AA90" s="19">
        <f t="shared" ref="AA90" si="125">Z90+1</f>
        <v>2030</v>
      </c>
      <c r="AB90" s="27">
        <f t="shared" ref="AB90" si="126">AA90+1</f>
        <v>2031</v>
      </c>
      <c r="AC90" s="27">
        <f t="shared" ref="AC90" si="127">AB90+1</f>
        <v>2032</v>
      </c>
    </row>
    <row r="91" spans="2:29" x14ac:dyDescent="0.25">
      <c r="B91" s="12" t="s">
        <v>411</v>
      </c>
      <c r="C91" s="294">
        <v>4756.415</v>
      </c>
      <c r="D91" s="294">
        <v>5238.4520000000002</v>
      </c>
      <c r="E91" s="294">
        <v>4444.9399999999996</v>
      </c>
      <c r="F91" s="294">
        <v>4446.6940000000004</v>
      </c>
      <c r="G91" s="294">
        <v>4458.9759999999997</v>
      </c>
      <c r="H91" s="294">
        <v>4682.1310000000003</v>
      </c>
      <c r="I91" s="308">
        <v>4625.1769999999997</v>
      </c>
      <c r="J91" s="309">
        <v>4673.8850000000002</v>
      </c>
      <c r="K91" s="391">
        <v>4991.826</v>
      </c>
      <c r="L91">
        <f>C91/C$101*100</f>
        <v>4.9670579954719756</v>
      </c>
      <c r="M91">
        <f t="shared" ref="M91:T91" si="128">D91/D$101*100</f>
        <v>5.3029244248650667</v>
      </c>
      <c r="N91">
        <f t="shared" si="128"/>
        <v>4.3187168622665357</v>
      </c>
      <c r="O91">
        <f t="shared" si="128"/>
        <v>4.0875007813390498</v>
      </c>
      <c r="P91">
        <f t="shared" si="128"/>
        <v>3.8988684564192648</v>
      </c>
      <c r="Q91">
        <f t="shared" si="128"/>
        <v>3.939287700460973</v>
      </c>
      <c r="R91">
        <f t="shared" si="128"/>
        <v>3.7708034398194643</v>
      </c>
      <c r="S91">
        <f t="shared" si="128"/>
        <v>3.6042791264381999</v>
      </c>
      <c r="T91">
        <f t="shared" si="128"/>
        <v>3.7181759744724019</v>
      </c>
      <c r="U91" s="394">
        <f>L91*C$104/100</f>
        <v>3371.0645903334594</v>
      </c>
      <c r="V91" s="394">
        <f t="shared" ref="V91:AC91" si="129">M91*D$104/100</f>
        <v>3712.70377014109</v>
      </c>
      <c r="W91" s="394">
        <f t="shared" si="129"/>
        <v>3150.3097967783633</v>
      </c>
      <c r="X91" s="394">
        <f t="shared" si="129"/>
        <v>3151.5524982144984</v>
      </c>
      <c r="Y91" s="394">
        <f t="shared" si="129"/>
        <v>3160.2575963312902</v>
      </c>
      <c r="Z91" s="394">
        <f t="shared" si="129"/>
        <v>3318.4167665251962</v>
      </c>
      <c r="AA91" s="394">
        <f t="shared" si="129"/>
        <v>3278.0504070243824</v>
      </c>
      <c r="AB91" s="394">
        <f t="shared" si="129"/>
        <v>3312.5717061793457</v>
      </c>
      <c r="AC91" s="394">
        <f t="shared" si="129"/>
        <v>3537.909957698816</v>
      </c>
    </row>
    <row r="92" spans="2:29" x14ac:dyDescent="0.25">
      <c r="B92" s="12" t="s">
        <v>412</v>
      </c>
      <c r="C92" s="294">
        <v>3809.2710000000002</v>
      </c>
      <c r="D92" s="294">
        <v>4270.7910000000002</v>
      </c>
      <c r="E92" s="294">
        <v>4503.8959999999997</v>
      </c>
      <c r="F92" s="294">
        <v>4601.0870000000004</v>
      </c>
      <c r="G92" s="294">
        <v>4563.5780000000004</v>
      </c>
      <c r="H92" s="294">
        <v>4556.1189999999997</v>
      </c>
      <c r="I92" s="308">
        <v>4736.25</v>
      </c>
      <c r="J92" s="309">
        <v>5099.51</v>
      </c>
      <c r="K92" s="391">
        <v>5244.1229999999996</v>
      </c>
      <c r="L92">
        <f t="shared" ref="L92:L100" si="130">C92/C$101*100</f>
        <v>3.9779686964803385</v>
      </c>
      <c r="M92">
        <f t="shared" ref="M92:M100" si="131">D92/D$101*100</f>
        <v>4.3233539044347271</v>
      </c>
      <c r="N92">
        <f t="shared" ref="N92:N100" si="132">E92/E$101*100</f>
        <v>4.3759986863927978</v>
      </c>
      <c r="O92">
        <f t="shared" ref="O92:O100" si="133">F92/F$101*100</f>
        <v>4.2294222870988971</v>
      </c>
      <c r="P92">
        <f t="shared" ref="P92:P100" si="134">G92/G$101*100</f>
        <v>3.9903310339882787</v>
      </c>
      <c r="Q92">
        <f t="shared" ref="Q92:Q100" si="135">H92/H$101*100</f>
        <v>3.8332681290926174</v>
      </c>
      <c r="R92">
        <f t="shared" ref="R92:R100" si="136">I92/I$101*100</f>
        <v>3.8613587743441902</v>
      </c>
      <c r="S92">
        <f t="shared" ref="S92:S100" si="137">J92/J$101*100</f>
        <v>3.932501002498535</v>
      </c>
      <c r="T92">
        <f t="shared" ref="T92:T100" si="138">K92/K$101*100</f>
        <v>3.9061001216344744</v>
      </c>
      <c r="U92" s="394">
        <f t="shared" ref="U92:U100" si="139">L92*C$104/100</f>
        <v>2699.7851497575648</v>
      </c>
      <c r="V92" s="394">
        <f t="shared" ref="V92:V100" si="140">M92*D$104/100</f>
        <v>3026.8831034787827</v>
      </c>
      <c r="W92" s="394">
        <f t="shared" ref="W92:W100" si="141">N92*E$104/100</f>
        <v>3192.094312290129</v>
      </c>
      <c r="X92" s="394">
        <f t="shared" ref="X92:X100" si="142">O92*F$104/100</f>
        <v>3260.977083053669</v>
      </c>
      <c r="Y92" s="394">
        <f t="shared" ref="Y92:Y100" si="143">P92*G$104/100</f>
        <v>3234.3932869229075</v>
      </c>
      <c r="Z92" s="394">
        <f t="shared" ref="Z92:Z100" si="144">Q92*H$104/100</f>
        <v>3229.1069344031612</v>
      </c>
      <c r="AA92" s="394">
        <f t="shared" ref="AA92:AA100" si="145">R92*I$104/100</f>
        <v>3356.7723441220155</v>
      </c>
      <c r="AB92" s="394">
        <f t="shared" ref="AB92:AB100" si="146">S92*J$104/100</f>
        <v>3614.229391903873</v>
      </c>
      <c r="AC92" s="394">
        <f t="shared" ref="AC92:AC100" si="147">T92*K$104/100</f>
        <v>3716.723095135404</v>
      </c>
    </row>
    <row r="93" spans="2:29" x14ac:dyDescent="0.25">
      <c r="B93" s="12" t="s">
        <v>416</v>
      </c>
      <c r="C93" s="294">
        <v>46467.4</v>
      </c>
      <c r="D93" s="294">
        <v>46942.080000000002</v>
      </c>
      <c r="E93" s="294">
        <v>48609.4</v>
      </c>
      <c r="F93" s="294">
        <v>50612.68</v>
      </c>
      <c r="G93" s="294">
        <v>53132.81</v>
      </c>
      <c r="H93" s="294">
        <v>55525.89</v>
      </c>
      <c r="I93" s="308">
        <v>58975.29</v>
      </c>
      <c r="J93" s="309">
        <v>59317.09</v>
      </c>
      <c r="K93" s="391">
        <v>59964.54</v>
      </c>
      <c r="L93">
        <f t="shared" si="130"/>
        <v>48.525259191806121</v>
      </c>
      <c r="M93">
        <f t="shared" si="131"/>
        <v>47.519821234587994</v>
      </c>
      <c r="N93">
        <f t="shared" si="132"/>
        <v>47.22903693742974</v>
      </c>
      <c r="O93">
        <f t="shared" si="133"/>
        <v>46.524309755891295</v>
      </c>
      <c r="P93">
        <f t="shared" si="134"/>
        <v>46.458612226196792</v>
      </c>
      <c r="Q93">
        <f t="shared" si="135"/>
        <v>46.716432225870854</v>
      </c>
      <c r="R93">
        <f t="shared" si="136"/>
        <v>48.081235895696636</v>
      </c>
      <c r="S93">
        <f t="shared" si="137"/>
        <v>45.742535241679263</v>
      </c>
      <c r="T93">
        <f t="shared" si="138"/>
        <v>44.664760339861473</v>
      </c>
      <c r="U93" s="394">
        <f t="shared" si="139"/>
        <v>32933.334611227365</v>
      </c>
      <c r="V93" s="394">
        <f t="shared" si="140"/>
        <v>33269.759347659317</v>
      </c>
      <c r="W93" s="394">
        <f t="shared" si="141"/>
        <v>34451.459195291318</v>
      </c>
      <c r="X93" s="394">
        <f t="shared" si="142"/>
        <v>35871.260333031903</v>
      </c>
      <c r="Y93" s="394">
        <f t="shared" si="143"/>
        <v>37657.382864793872</v>
      </c>
      <c r="Z93" s="394">
        <f t="shared" si="144"/>
        <v>39353.457720903942</v>
      </c>
      <c r="AA93" s="394">
        <f t="shared" si="145"/>
        <v>41798.178402444057</v>
      </c>
      <c r="AB93" s="394">
        <f t="shared" si="146"/>
        <v>42040.425476213852</v>
      </c>
      <c r="AC93" s="394">
        <f t="shared" si="147"/>
        <v>42499.306501234008</v>
      </c>
    </row>
    <row r="94" spans="2:29" x14ac:dyDescent="0.25">
      <c r="B94" s="12" t="s">
        <v>414</v>
      </c>
      <c r="C94" s="294">
        <v>510.3553</v>
      </c>
      <c r="D94" s="294">
        <v>548.50789999999995</v>
      </c>
      <c r="E94" s="294">
        <v>568.19579999999996</v>
      </c>
      <c r="F94" s="294">
        <v>716.84310000000005</v>
      </c>
      <c r="G94" s="294">
        <v>678.46050000000002</v>
      </c>
      <c r="H94" s="294">
        <v>672.18669999999997</v>
      </c>
      <c r="I94" s="308">
        <v>679.79510000000005</v>
      </c>
      <c r="J94" s="309">
        <v>671.83429999999998</v>
      </c>
      <c r="K94" s="391">
        <v>788.16920000000005</v>
      </c>
      <c r="L94">
        <f t="shared" si="130"/>
        <v>0.53295693781902942</v>
      </c>
      <c r="M94">
        <f t="shared" si="131"/>
        <v>0.55525867949948682</v>
      </c>
      <c r="N94">
        <f t="shared" si="132"/>
        <v>0.55206072129860562</v>
      </c>
      <c r="O94">
        <f t="shared" si="133"/>
        <v>0.65893824296151404</v>
      </c>
      <c r="P94">
        <f t="shared" si="134"/>
        <v>0.59323670779489346</v>
      </c>
      <c r="Q94">
        <f t="shared" si="135"/>
        <v>0.56554094700115176</v>
      </c>
      <c r="R94">
        <f t="shared" si="136"/>
        <v>0.55422175225994974</v>
      </c>
      <c r="S94">
        <f t="shared" si="137"/>
        <v>0.51808684721922327</v>
      </c>
      <c r="T94">
        <f t="shared" si="138"/>
        <v>0.58707009884942574</v>
      </c>
      <c r="U94" s="394">
        <f t="shared" si="139"/>
        <v>361.70953970984658</v>
      </c>
      <c r="V94" s="394">
        <f t="shared" si="140"/>
        <v>388.74983454695627</v>
      </c>
      <c r="W94" s="394">
        <f t="shared" si="141"/>
        <v>402.70347748863196</v>
      </c>
      <c r="X94" s="394">
        <f t="shared" si="142"/>
        <v>508.05579665091091</v>
      </c>
      <c r="Y94" s="394">
        <f t="shared" si="143"/>
        <v>480.85254303582826</v>
      </c>
      <c r="Z94" s="394">
        <f t="shared" si="144"/>
        <v>476.40606713379907</v>
      </c>
      <c r="AA94" s="394">
        <f t="shared" si="145"/>
        <v>481.79834074418801</v>
      </c>
      <c r="AB94" s="394">
        <f t="shared" si="146"/>
        <v>476.15619413417443</v>
      </c>
      <c r="AC94" s="394">
        <f t="shared" si="147"/>
        <v>558.60754381893707</v>
      </c>
    </row>
    <row r="95" spans="2:29" x14ac:dyDescent="0.25">
      <c r="B95" s="12" t="s">
        <v>413</v>
      </c>
      <c r="C95" s="294">
        <v>1286.2329999999999</v>
      </c>
      <c r="D95" s="294">
        <v>1325.989</v>
      </c>
      <c r="E95" s="294">
        <v>1434.7550000000001</v>
      </c>
      <c r="F95" s="294">
        <v>727.70669999999996</v>
      </c>
      <c r="G95" s="294">
        <v>1589.252</v>
      </c>
      <c r="H95" s="294">
        <v>1559.396</v>
      </c>
      <c r="I95" s="308">
        <v>1644.0160000000001</v>
      </c>
      <c r="J95" s="309">
        <v>1676.2729999999999</v>
      </c>
      <c r="K95" s="309">
        <v>1747.348</v>
      </c>
      <c r="L95">
        <f t="shared" si="130"/>
        <v>1.3431952230177362</v>
      </c>
      <c r="M95">
        <f t="shared" si="131"/>
        <v>1.3423086543891984</v>
      </c>
      <c r="N95">
        <f t="shared" si="132"/>
        <v>1.3940122052763873</v>
      </c>
      <c r="O95">
        <f t="shared" si="133"/>
        <v>0.6689243075497574</v>
      </c>
      <c r="P95">
        <f t="shared" si="134"/>
        <v>1.3896205075114174</v>
      </c>
      <c r="Q95">
        <f t="shared" si="135"/>
        <v>1.3119900923207912</v>
      </c>
      <c r="R95">
        <f t="shared" si="136"/>
        <v>1.3403295026154107</v>
      </c>
      <c r="S95">
        <f t="shared" si="137"/>
        <v>1.2926624818779109</v>
      </c>
      <c r="T95">
        <f t="shared" si="138"/>
        <v>1.3015171908320526</v>
      </c>
      <c r="U95" s="394">
        <f t="shared" si="139"/>
        <v>911.60559396486144</v>
      </c>
      <c r="V95" s="394">
        <f t="shared" si="140"/>
        <v>939.78227909039038</v>
      </c>
      <c r="W95" s="394">
        <f t="shared" si="141"/>
        <v>1016.8692338876884</v>
      </c>
      <c r="X95" s="394">
        <f t="shared" si="142"/>
        <v>515.75527084895612</v>
      </c>
      <c r="Y95" s="394">
        <f t="shared" si="143"/>
        <v>1126.3675125151372</v>
      </c>
      <c r="Z95" s="394">
        <f t="shared" si="144"/>
        <v>1105.2074006584446</v>
      </c>
      <c r="AA95" s="394">
        <f t="shared" si="145"/>
        <v>1165.1807742610927</v>
      </c>
      <c r="AB95" s="394">
        <f t="shared" si="146"/>
        <v>1188.0426051630216</v>
      </c>
      <c r="AC95" s="394">
        <f t="shared" si="147"/>
        <v>1238.4165411144359</v>
      </c>
    </row>
    <row r="96" spans="2:29" x14ac:dyDescent="0.25">
      <c r="B96" s="12" t="s">
        <v>420</v>
      </c>
      <c r="C96" s="294">
        <v>5744.942</v>
      </c>
      <c r="D96" s="294">
        <v>5814.7529999999997</v>
      </c>
      <c r="E96" s="294">
        <v>6616.1440000000002</v>
      </c>
      <c r="F96" s="294">
        <v>8423.8050000000003</v>
      </c>
      <c r="G96" s="294">
        <v>8428.4230000000007</v>
      </c>
      <c r="H96" s="294">
        <v>8838.8619999999901</v>
      </c>
      <c r="I96" s="308">
        <v>9132.4069999999901</v>
      </c>
      <c r="J96" s="309">
        <v>12854.56</v>
      </c>
      <c r="K96" s="309">
        <v>14200.62</v>
      </c>
      <c r="L96">
        <f t="shared" si="130"/>
        <v>5.9993629854886006</v>
      </c>
      <c r="M96">
        <f t="shared" si="131"/>
        <v>5.8863182688812303</v>
      </c>
      <c r="N96">
        <f t="shared" si="132"/>
        <v>6.4282650960380954</v>
      </c>
      <c r="O96">
        <f t="shared" si="133"/>
        <v>7.7433503450760925</v>
      </c>
      <c r="P96">
        <f t="shared" si="134"/>
        <v>7.369699359686761</v>
      </c>
      <c r="Q96">
        <f t="shared" si="135"/>
        <v>7.4365327161226027</v>
      </c>
      <c r="R96">
        <f t="shared" si="136"/>
        <v>7.445447326541518</v>
      </c>
      <c r="S96">
        <f t="shared" si="137"/>
        <v>9.9128288966346894</v>
      </c>
      <c r="T96">
        <f t="shared" si="138"/>
        <v>10.577372710229138</v>
      </c>
      <c r="U96" s="394">
        <f t="shared" si="139"/>
        <v>4071.6738446328764</v>
      </c>
      <c r="V96" s="394">
        <f t="shared" si="140"/>
        <v>4121.1517038887077</v>
      </c>
      <c r="W96" s="394">
        <f t="shared" si="141"/>
        <v>4689.1303954825926</v>
      </c>
      <c r="X96" s="394">
        <f t="shared" si="142"/>
        <v>5970.2924672176187</v>
      </c>
      <c r="Y96" s="394">
        <f t="shared" si="143"/>
        <v>5973.5660857657376</v>
      </c>
      <c r="Z96" s="394">
        <f t="shared" si="144"/>
        <v>6264.4611732995927</v>
      </c>
      <c r="AA96" s="394">
        <f t="shared" si="145"/>
        <v>6472.5069945349742</v>
      </c>
      <c r="AB96" s="394">
        <f t="shared" si="146"/>
        <v>9110.5475961399916</v>
      </c>
      <c r="AC96" s="394">
        <f t="shared" si="147"/>
        <v>10064.556517694518</v>
      </c>
    </row>
    <row r="97" spans="2:29" x14ac:dyDescent="0.25">
      <c r="B97" s="12" t="s">
        <v>423</v>
      </c>
      <c r="C97" s="294">
        <v>65.518439999999998</v>
      </c>
      <c r="D97" s="294">
        <v>65.377740000000003</v>
      </c>
      <c r="E97" s="294">
        <v>61.324269999999999</v>
      </c>
      <c r="F97" s="294">
        <v>68.467399999999998</v>
      </c>
      <c r="G97" s="294">
        <v>70.007140000000007</v>
      </c>
      <c r="H97" s="294">
        <v>68.083590000000001</v>
      </c>
      <c r="I97" s="308">
        <v>70.194969999999998</v>
      </c>
      <c r="J97" s="309">
        <v>72.610479999999995</v>
      </c>
      <c r="K97" s="309">
        <v>72.791669999999996</v>
      </c>
      <c r="L97">
        <f t="shared" si="130"/>
        <v>6.8419995154512567E-2</v>
      </c>
      <c r="M97">
        <f t="shared" si="131"/>
        <v>6.6182378742513606E-2</v>
      </c>
      <c r="N97">
        <f t="shared" si="132"/>
        <v>5.9582842269003823E-2</v>
      </c>
      <c r="O97">
        <f t="shared" si="133"/>
        <v>6.2936768528766146E-2</v>
      </c>
      <c r="P97">
        <f t="shared" si="134"/>
        <v>6.1213298719286088E-2</v>
      </c>
      <c r="Q97">
        <f t="shared" si="135"/>
        <v>5.7281790853401515E-2</v>
      </c>
      <c r="R97">
        <f t="shared" si="136"/>
        <v>5.7228390250583738E-2</v>
      </c>
      <c r="S97">
        <f t="shared" si="137"/>
        <v>5.5993769086029793E-2</v>
      </c>
      <c r="T97">
        <f t="shared" si="138"/>
        <v>5.4219085067412902E-2</v>
      </c>
      <c r="U97" s="394">
        <f t="shared" si="139"/>
        <v>46.435580809893025</v>
      </c>
      <c r="V97" s="394">
        <f t="shared" si="140"/>
        <v>46.335860628541404</v>
      </c>
      <c r="W97" s="394">
        <f t="shared" si="141"/>
        <v>43.463004801253</v>
      </c>
      <c r="X97" s="394">
        <f t="shared" si="142"/>
        <v>48.525624996064799</v>
      </c>
      <c r="Y97" s="394">
        <f t="shared" si="143"/>
        <v>49.616906658037216</v>
      </c>
      <c r="Z97" s="394">
        <f t="shared" si="144"/>
        <v>48.253610712990984</v>
      </c>
      <c r="AA97" s="394">
        <f t="shared" si="145"/>
        <v>49.75002037318017</v>
      </c>
      <c r="AB97" s="394">
        <f t="shared" si="146"/>
        <v>51.461989676703894</v>
      </c>
      <c r="AC97" s="394">
        <f t="shared" si="147"/>
        <v>51.590414836279578</v>
      </c>
    </row>
    <row r="98" spans="2:29" x14ac:dyDescent="0.25">
      <c r="B98" s="12" t="s">
        <v>415</v>
      </c>
      <c r="C98" s="294">
        <v>7809.3519999999999</v>
      </c>
      <c r="D98" s="294">
        <v>8811.4850000000006</v>
      </c>
      <c r="E98" s="294">
        <v>7464.4570000000003</v>
      </c>
      <c r="F98" s="294">
        <v>8160.1469999999999</v>
      </c>
      <c r="G98" s="294">
        <v>8180.04</v>
      </c>
      <c r="H98" s="294">
        <v>8155.2370000000001</v>
      </c>
      <c r="I98" s="308">
        <v>8789.5720000000001</v>
      </c>
      <c r="J98" s="309">
        <v>8922.902</v>
      </c>
      <c r="K98" s="309">
        <v>9093.7170000000006</v>
      </c>
      <c r="L98">
        <f t="shared" si="130"/>
        <v>8.1551976206985852</v>
      </c>
      <c r="M98">
        <f t="shared" si="131"/>
        <v>8.9199326491551645</v>
      </c>
      <c r="N98">
        <f t="shared" si="132"/>
        <v>7.2524885180820178</v>
      </c>
      <c r="O98">
        <f t="shared" si="133"/>
        <v>7.5009900025370531</v>
      </c>
      <c r="P98">
        <f t="shared" si="134"/>
        <v>7.1525166155296294</v>
      </c>
      <c r="Q98">
        <f t="shared" si="135"/>
        <v>6.8613682121333728</v>
      </c>
      <c r="R98">
        <f t="shared" si="136"/>
        <v>7.1659416130757494</v>
      </c>
      <c r="S98">
        <f t="shared" si="137"/>
        <v>6.8809201394244113</v>
      </c>
      <c r="T98">
        <f t="shared" si="138"/>
        <v>6.7734813008408636</v>
      </c>
      <c r="U98" s="394">
        <f t="shared" si="139"/>
        <v>5534.8051001962149</v>
      </c>
      <c r="V98" s="394">
        <f t="shared" si="140"/>
        <v>6245.0574291874145</v>
      </c>
      <c r="W98" s="394">
        <f t="shared" si="141"/>
        <v>5290.3643276919001</v>
      </c>
      <c r="X98" s="394">
        <f t="shared" si="142"/>
        <v>5783.4273425712545</v>
      </c>
      <c r="Y98" s="394">
        <f t="shared" si="143"/>
        <v>5797.5269542365349</v>
      </c>
      <c r="Z98" s="394">
        <f t="shared" si="144"/>
        <v>5779.948317504708</v>
      </c>
      <c r="AA98" s="394">
        <f t="shared" si="145"/>
        <v>6229.5259342875133</v>
      </c>
      <c r="AB98" s="394">
        <f t="shared" si="146"/>
        <v>6324.0222432111805</v>
      </c>
      <c r="AC98" s="394">
        <f t="shared" si="147"/>
        <v>6445.0868132813521</v>
      </c>
    </row>
    <row r="99" spans="2:29" x14ac:dyDescent="0.25">
      <c r="B99" s="12" t="s">
        <v>419</v>
      </c>
      <c r="C99" s="294">
        <v>4267.902</v>
      </c>
      <c r="D99" s="294">
        <v>4182.4949999999999</v>
      </c>
      <c r="E99" s="294">
        <v>4439.0010000000002</v>
      </c>
      <c r="F99" s="294">
        <v>4714.3280000000004</v>
      </c>
      <c r="G99" s="294">
        <v>4630.5420000000004</v>
      </c>
      <c r="H99" s="294">
        <v>5087.6099999999997</v>
      </c>
      <c r="I99" s="308">
        <v>5532.81</v>
      </c>
      <c r="J99" s="309">
        <v>5769.5829999999996</v>
      </c>
      <c r="K99" s="309">
        <v>6372.241</v>
      </c>
      <c r="L99">
        <f t="shared" si="130"/>
        <v>4.4569106675912078</v>
      </c>
      <c r="M99">
        <f t="shared" si="131"/>
        <v>4.2339711984334327</v>
      </c>
      <c r="N99">
        <f t="shared" si="132"/>
        <v>4.3129465122854338</v>
      </c>
      <c r="O99">
        <f t="shared" si="133"/>
        <v>4.3335159521857269</v>
      </c>
      <c r="P99">
        <f t="shared" si="134"/>
        <v>4.0488834521478871</v>
      </c>
      <c r="Q99">
        <f t="shared" si="135"/>
        <v>4.2804354465396734</v>
      </c>
      <c r="R99">
        <f t="shared" si="136"/>
        <v>4.5107763399903478</v>
      </c>
      <c r="S99">
        <f t="shared" si="137"/>
        <v>4.4492296184336348</v>
      </c>
      <c r="T99">
        <f t="shared" si="138"/>
        <v>4.7463820633467577</v>
      </c>
      <c r="U99" s="394">
        <f t="shared" si="139"/>
        <v>3024.8355762088363</v>
      </c>
      <c r="V99" s="394">
        <f t="shared" si="140"/>
        <v>2964.3041408218032</v>
      </c>
      <c r="W99" s="394">
        <f t="shared" si="141"/>
        <v>3146.1005858816889</v>
      </c>
      <c r="X99" s="394">
        <f t="shared" si="142"/>
        <v>3341.2355754190776</v>
      </c>
      <c r="Y99" s="394">
        <f t="shared" si="143"/>
        <v>3281.8533965267106</v>
      </c>
      <c r="Z99" s="394">
        <f t="shared" si="144"/>
        <v>3605.7962337109429</v>
      </c>
      <c r="AA99" s="394">
        <f t="shared" si="145"/>
        <v>3921.3267021972515</v>
      </c>
      <c r="AB99" s="394">
        <f t="shared" si="146"/>
        <v>4089.1372813523112</v>
      </c>
      <c r="AC99" s="394">
        <f t="shared" si="147"/>
        <v>4516.2661692848787</v>
      </c>
    </row>
    <row r="100" spans="2:29" x14ac:dyDescent="0.25">
      <c r="B100" s="20" t="s">
        <v>417</v>
      </c>
      <c r="C100" s="298">
        <v>21041.81</v>
      </c>
      <c r="D100" s="298">
        <v>21584.28</v>
      </c>
      <c r="E100" s="298">
        <v>24780.57</v>
      </c>
      <c r="F100" s="298">
        <v>26315.86</v>
      </c>
      <c r="G100" s="298">
        <v>28633.8</v>
      </c>
      <c r="H100" s="298">
        <v>29711.759999999998</v>
      </c>
      <c r="I100" s="310">
        <v>28472.13</v>
      </c>
      <c r="J100" s="309">
        <v>30617.8</v>
      </c>
      <c r="K100" s="309">
        <v>31779.32</v>
      </c>
      <c r="L100">
        <f t="shared" si="130"/>
        <v>21.973669370671438</v>
      </c>
      <c r="M100">
        <f t="shared" si="131"/>
        <v>21.849929254888</v>
      </c>
      <c r="N100">
        <f t="shared" si="132"/>
        <v>24.076875169423268</v>
      </c>
      <c r="O100">
        <f t="shared" si="133"/>
        <v>24.190128286679734</v>
      </c>
      <c r="P100">
        <f t="shared" si="134"/>
        <v>25.037008408975055</v>
      </c>
      <c r="Q100">
        <f t="shared" si="135"/>
        <v>24.997841949968574</v>
      </c>
      <c r="R100">
        <f t="shared" si="136"/>
        <v>23.212691264136915</v>
      </c>
      <c r="S100">
        <f t="shared" si="137"/>
        <v>23.610999722385021</v>
      </c>
      <c r="T100">
        <f t="shared" si="138"/>
        <v>23.670918038623597</v>
      </c>
      <c r="U100" s="394">
        <f t="shared" si="139"/>
        <v>14913.185793822551</v>
      </c>
      <c r="V100" s="394">
        <f t="shared" si="140"/>
        <v>15297.656202973878</v>
      </c>
      <c r="W100" s="394">
        <f t="shared" si="141"/>
        <v>17562.998024889432</v>
      </c>
      <c r="X100" s="394">
        <f t="shared" si="142"/>
        <v>18651.11795991876</v>
      </c>
      <c r="Y100" s="394">
        <f t="shared" si="143"/>
        <v>20293.938330646073</v>
      </c>
      <c r="Z100" s="394">
        <f t="shared" si="144"/>
        <v>21057.933352777323</v>
      </c>
      <c r="AA100" s="394">
        <f t="shared" si="145"/>
        <v>20179.352559988762</v>
      </c>
      <c r="AB100" s="394">
        <f t="shared" si="146"/>
        <v>21700.075629900595</v>
      </c>
      <c r="AC100" s="394">
        <f t="shared" si="147"/>
        <v>22523.295619057459</v>
      </c>
    </row>
    <row r="101" spans="2:29" x14ac:dyDescent="0.25">
      <c r="B101" s="22" t="s">
        <v>418</v>
      </c>
      <c r="C101" s="113">
        <v>95759.2</v>
      </c>
      <c r="D101" s="113">
        <v>98784.21</v>
      </c>
      <c r="E101" s="113">
        <v>102922.7</v>
      </c>
      <c r="F101" s="113">
        <v>108787.6</v>
      </c>
      <c r="G101" s="113">
        <v>114365.9</v>
      </c>
      <c r="H101" s="113">
        <v>118857.3</v>
      </c>
      <c r="I101" s="114">
        <v>122657.60000000001</v>
      </c>
      <c r="J101" s="115">
        <v>129676</v>
      </c>
      <c r="K101" s="392">
        <v>134254.70000000001</v>
      </c>
    </row>
    <row r="102" spans="2:29" x14ac:dyDescent="0.25">
      <c r="B102" s="33">
        <f>'[5]D-SAM24'!$N$42</f>
        <v>74585.100000000006</v>
      </c>
      <c r="C102" s="33">
        <f>SUM(C91:C100)</f>
        <v>95759.198740000007</v>
      </c>
      <c r="D102" s="33">
        <f t="shared" ref="D102:K102" si="148">SUM(D91:D100)</f>
        <v>98784.210640000005</v>
      </c>
      <c r="E102" s="33">
        <f t="shared" si="148"/>
        <v>102922.68307</v>
      </c>
      <c r="F102" s="33">
        <f t="shared" si="148"/>
        <v>108787.6182</v>
      </c>
      <c r="G102" s="33">
        <f t="shared" si="148"/>
        <v>114365.88864</v>
      </c>
      <c r="H102" s="33">
        <f t="shared" si="148"/>
        <v>118857.27528999998</v>
      </c>
      <c r="I102" s="33">
        <f t="shared" si="148"/>
        <v>122657.64207</v>
      </c>
      <c r="J102" s="33">
        <f t="shared" si="148"/>
        <v>129676.04778000001</v>
      </c>
      <c r="K102" s="33">
        <f t="shared" si="148"/>
        <v>134254.69587</v>
      </c>
      <c r="L102" s="33">
        <f>SUM(L91:L100)</f>
        <v>99.999998684199539</v>
      </c>
      <c r="M102" s="33">
        <f t="shared" ref="M102:AC102" si="149">SUM(M91:M100)</f>
        <v>100.00000064787682</v>
      </c>
      <c r="N102" s="33">
        <f t="shared" si="149"/>
        <v>99.999983550761897</v>
      </c>
      <c r="O102" s="33">
        <f t="shared" si="149"/>
        <v>100.00001672984789</v>
      </c>
      <c r="P102" s="33">
        <f t="shared" si="149"/>
        <v>99.999990066969275</v>
      </c>
      <c r="Q102" s="33">
        <f t="shared" si="149"/>
        <v>99.999979210364017</v>
      </c>
      <c r="R102" s="33">
        <f t="shared" si="149"/>
        <v>100.00003429873075</v>
      </c>
      <c r="S102" s="33">
        <f t="shared" si="149"/>
        <v>100.00003684567692</v>
      </c>
      <c r="T102" s="33">
        <f t="shared" si="149"/>
        <v>99.999996923757593</v>
      </c>
      <c r="U102" s="33">
        <f t="shared" si="149"/>
        <v>67868.435380663461</v>
      </c>
      <c r="V102" s="33">
        <f t="shared" si="149"/>
        <v>70012.38367241688</v>
      </c>
      <c r="W102" s="33">
        <f t="shared" si="149"/>
        <v>72945.492354482994</v>
      </c>
      <c r="X102" s="33">
        <f t="shared" si="149"/>
        <v>77102.199951922696</v>
      </c>
      <c r="Y102" s="33">
        <f t="shared" si="149"/>
        <v>81055.755477432132</v>
      </c>
      <c r="Z102" s="33">
        <f t="shared" si="149"/>
        <v>84238.987577630105</v>
      </c>
      <c r="AA102" s="33">
        <f t="shared" si="149"/>
        <v>86932.442479977428</v>
      </c>
      <c r="AB102" s="33">
        <f t="shared" si="149"/>
        <v>91906.670113875036</v>
      </c>
      <c r="AC102" s="33">
        <f t="shared" si="149"/>
        <v>95151.759173156097</v>
      </c>
    </row>
    <row r="103" spans="2:29" x14ac:dyDescent="0.25">
      <c r="B103" s="393">
        <f>'[5]D-SAM24'!$N$40</f>
        <v>105236.09999999992</v>
      </c>
      <c r="C103">
        <f>$B$105*C102/100</f>
        <v>27890.763726323326</v>
      </c>
      <c r="D103">
        <f>$B$105*D102/100</f>
        <v>28771.826781177126</v>
      </c>
      <c r="E103">
        <f t="shared" ref="E103:K103" si="150">$B$105*E102/100</f>
        <v>29977.195646537297</v>
      </c>
      <c r="F103">
        <f t="shared" si="150"/>
        <v>31685.412947155903</v>
      </c>
      <c r="G103">
        <f t="shared" si="150"/>
        <v>33310.136471273952</v>
      </c>
      <c r="H103">
        <f t="shared" si="150"/>
        <v>34618.294909387383</v>
      </c>
      <c r="I103">
        <f t="shared" si="150"/>
        <v>35725.187336736752</v>
      </c>
      <c r="J103">
        <f t="shared" si="150"/>
        <v>37769.363749747208</v>
      </c>
      <c r="K103">
        <f t="shared" si="150"/>
        <v>39102.937899745062</v>
      </c>
    </row>
    <row r="104" spans="2:29" x14ac:dyDescent="0.25">
      <c r="B104" s="393">
        <f>B103-B102</f>
        <v>30650.999999999913</v>
      </c>
      <c r="C104" s="394">
        <f>C101-C103</f>
        <v>67868.436273676663</v>
      </c>
      <c r="D104" s="394">
        <f t="shared" ref="D104:K104" si="151">D101-D103</f>
        <v>70012.383218822884</v>
      </c>
      <c r="E104" s="394">
        <f t="shared" si="151"/>
        <v>72945.504353462704</v>
      </c>
      <c r="F104" s="394">
        <f t="shared" si="151"/>
        <v>77102.187052844107</v>
      </c>
      <c r="G104" s="394">
        <f t="shared" si="151"/>
        <v>81055.763528726035</v>
      </c>
      <c r="H104" s="394">
        <f t="shared" si="151"/>
        <v>84239.005090612627</v>
      </c>
      <c r="I104" s="394">
        <f t="shared" si="151"/>
        <v>86932.412663263254</v>
      </c>
      <c r="J104" s="394">
        <f t="shared" si="151"/>
        <v>91906.636250252792</v>
      </c>
      <c r="K104" s="394">
        <f t="shared" si="151"/>
        <v>95151.762100254942</v>
      </c>
    </row>
    <row r="105" spans="2:29" x14ac:dyDescent="0.25">
      <c r="B105">
        <f>B104/B103*100</f>
        <v>29.125936822060051</v>
      </c>
    </row>
  </sheetData>
  <pageMargins left="0.70866141732283472" right="0.70866141732283472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FA96-6A48-4074-9A05-877131B887D5}">
  <dimension ref="A2:K53"/>
  <sheetViews>
    <sheetView topLeftCell="C1" workbookViewId="0">
      <selection activeCell="F19" sqref="F19"/>
    </sheetView>
  </sheetViews>
  <sheetFormatPr defaultRowHeight="15" x14ac:dyDescent="0.25"/>
  <cols>
    <col min="2" max="2" width="40.28515625" customWidth="1"/>
    <col min="3" max="5" width="9" bestFit="1" customWidth="1"/>
    <col min="6" max="6" width="11" bestFit="1" customWidth="1"/>
    <col min="7" max="8" width="10" bestFit="1" customWidth="1"/>
  </cols>
  <sheetData>
    <row r="2" spans="2:11" ht="18.75" x14ac:dyDescent="0.3">
      <c r="B2" s="3" t="s">
        <v>424</v>
      </c>
    </row>
    <row r="4" spans="2:11" ht="15.75" x14ac:dyDescent="0.25">
      <c r="B4" s="17" t="s">
        <v>425</v>
      </c>
    </row>
    <row r="5" spans="2:11" x14ac:dyDescent="0.25">
      <c r="B5" s="25" t="s">
        <v>691</v>
      </c>
    </row>
    <row r="6" spans="2:11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27">
        <f t="shared" si="0"/>
        <v>2031</v>
      </c>
      <c r="K6" s="27">
        <f t="shared" si="0"/>
        <v>2032</v>
      </c>
    </row>
    <row r="7" spans="2:11" x14ac:dyDescent="0.25">
      <c r="B7" s="12" t="s">
        <v>426</v>
      </c>
      <c r="C7" s="297">
        <v>1.049153</v>
      </c>
      <c r="D7" s="297">
        <v>1.122593</v>
      </c>
      <c r="E7" s="297">
        <v>1.133316</v>
      </c>
      <c r="F7" s="297">
        <v>1.1023769999999999</v>
      </c>
      <c r="G7" s="297">
        <v>1.045955</v>
      </c>
      <c r="H7" s="297">
        <v>1.0486219999999999</v>
      </c>
      <c r="I7" s="401">
        <v>1.023468</v>
      </c>
      <c r="J7" s="378">
        <v>1.0398160000000001</v>
      </c>
      <c r="K7" s="378">
        <v>1.0739069999999999</v>
      </c>
    </row>
    <row r="8" spans="2:11" x14ac:dyDescent="0.25">
      <c r="B8" s="12" t="s">
        <v>427</v>
      </c>
      <c r="C8" s="297">
        <v>1.119678</v>
      </c>
      <c r="D8" s="297">
        <v>1.322435</v>
      </c>
      <c r="E8" s="297">
        <v>1.3145979999999999</v>
      </c>
      <c r="F8" s="297">
        <v>1.2725759999999999</v>
      </c>
      <c r="G8" s="297">
        <v>1.1926730000000001</v>
      </c>
      <c r="H8" s="297">
        <v>1.194113</v>
      </c>
      <c r="I8" s="401">
        <v>1.229455</v>
      </c>
      <c r="J8" s="378">
        <v>1.2225539999999999</v>
      </c>
      <c r="K8" s="378">
        <v>1.20034</v>
      </c>
    </row>
    <row r="9" spans="2:11" x14ac:dyDescent="0.25">
      <c r="B9" s="12" t="s">
        <v>428</v>
      </c>
      <c r="C9" s="297">
        <v>0.93273249999999996</v>
      </c>
      <c r="D9" s="297">
        <v>0.93487370000000003</v>
      </c>
      <c r="E9" s="297">
        <v>0.97416179999999997</v>
      </c>
      <c r="F9" s="297">
        <v>0.96437189999999995</v>
      </c>
      <c r="G9" s="297">
        <v>1.0012700000000001</v>
      </c>
      <c r="H9" s="297">
        <v>1.0024150000000001</v>
      </c>
      <c r="I9" s="401">
        <v>1.0069459999999999</v>
      </c>
      <c r="J9" s="378">
        <v>1.0048919999999999</v>
      </c>
      <c r="K9" s="378">
        <v>0.9901915</v>
      </c>
    </row>
    <row r="10" spans="2:11" x14ac:dyDescent="0.25">
      <c r="B10" s="12" t="s">
        <v>429</v>
      </c>
      <c r="C10" s="297">
        <v>0.84297960000000005</v>
      </c>
      <c r="D10" s="297">
        <v>0.90454909999999999</v>
      </c>
      <c r="E10" s="297">
        <v>0.93596120000000005</v>
      </c>
      <c r="F10" s="297">
        <v>1.1376219999999999</v>
      </c>
      <c r="G10" s="297">
        <v>1.0980049999999999</v>
      </c>
      <c r="H10" s="297">
        <v>1.057072</v>
      </c>
      <c r="I10" s="401">
        <v>1.0590710000000001</v>
      </c>
      <c r="J10" s="378">
        <v>1.080633</v>
      </c>
      <c r="K10" s="378">
        <v>1.222564</v>
      </c>
    </row>
    <row r="11" spans="2:11" x14ac:dyDescent="0.25">
      <c r="B11" s="12" t="s">
        <v>430</v>
      </c>
      <c r="C11" s="297">
        <v>1.089342</v>
      </c>
      <c r="D11" s="297">
        <v>1.2795730000000001</v>
      </c>
      <c r="E11" s="297">
        <v>1.335747</v>
      </c>
      <c r="F11" s="297">
        <v>1.32104</v>
      </c>
      <c r="G11" s="297">
        <v>1.2267920000000001</v>
      </c>
      <c r="H11" s="297">
        <v>1.2139009999999999</v>
      </c>
      <c r="I11" s="401">
        <v>1.276268</v>
      </c>
      <c r="J11" s="378">
        <v>1.2610330000000001</v>
      </c>
      <c r="K11" s="378">
        <v>1.2686310000000001</v>
      </c>
    </row>
    <row r="12" spans="2:11" x14ac:dyDescent="0.25">
      <c r="B12" s="12" t="s">
        <v>431</v>
      </c>
      <c r="C12" s="297">
        <v>1.0684750000000001</v>
      </c>
      <c r="D12" s="297">
        <v>1.1337250000000001</v>
      </c>
      <c r="E12" s="297">
        <v>1.2406219999999999</v>
      </c>
      <c r="F12" s="297">
        <v>1.4831289999999999</v>
      </c>
      <c r="G12" s="297">
        <v>1.4241079999999999</v>
      </c>
      <c r="H12" s="297">
        <v>1.501673</v>
      </c>
      <c r="I12" s="401">
        <v>1.5077910000000001</v>
      </c>
      <c r="J12" s="378">
        <v>1.7148399999999999</v>
      </c>
      <c r="K12" s="378">
        <v>1.8388169999999999</v>
      </c>
    </row>
    <row r="13" spans="2:11" x14ac:dyDescent="0.25">
      <c r="B13" s="12" t="s">
        <v>432</v>
      </c>
      <c r="C13" s="297">
        <v>1.034146</v>
      </c>
      <c r="D13" s="297">
        <v>1.047488</v>
      </c>
      <c r="E13" s="297">
        <v>1.0356449999999999</v>
      </c>
      <c r="F13" s="297">
        <v>1.101907</v>
      </c>
      <c r="G13" s="297">
        <v>1.038365</v>
      </c>
      <c r="H13" s="297">
        <v>1.0334099999999999</v>
      </c>
      <c r="I13" s="401">
        <v>1.077372</v>
      </c>
      <c r="J13" s="378">
        <v>1.1170899999999999</v>
      </c>
      <c r="K13" s="378">
        <v>1.1158110000000001</v>
      </c>
    </row>
    <row r="14" spans="2:11" x14ac:dyDescent="0.25">
      <c r="B14" s="12" t="s">
        <v>433</v>
      </c>
      <c r="C14" s="297">
        <v>1.236232</v>
      </c>
      <c r="D14" s="297">
        <v>1.346228</v>
      </c>
      <c r="E14" s="297">
        <v>1.29091</v>
      </c>
      <c r="F14" s="297">
        <v>1.253063</v>
      </c>
      <c r="G14" s="297">
        <v>1.2545980000000001</v>
      </c>
      <c r="H14" s="297">
        <v>1.2336830000000001</v>
      </c>
      <c r="I14" s="401">
        <v>1.2667120000000001</v>
      </c>
      <c r="J14" s="378">
        <v>1.297633</v>
      </c>
      <c r="K14" s="378">
        <v>1.2775319999999999</v>
      </c>
    </row>
    <row r="15" spans="2:11" x14ac:dyDescent="0.25">
      <c r="B15" s="12" t="s">
        <v>434</v>
      </c>
      <c r="C15" s="297">
        <v>1.062317</v>
      </c>
      <c r="D15" s="297">
        <v>0.94713959999999997</v>
      </c>
      <c r="E15" s="297">
        <v>1.0114019999999999</v>
      </c>
      <c r="F15" s="297">
        <v>0.99149419999999999</v>
      </c>
      <c r="G15" s="297">
        <v>1.044387</v>
      </c>
      <c r="H15" s="297">
        <v>1.0638799999999999</v>
      </c>
      <c r="I15" s="401">
        <v>1.1766479999999999</v>
      </c>
      <c r="J15" s="378">
        <v>1.2750189999999999</v>
      </c>
      <c r="K15" s="378">
        <v>1.429254</v>
      </c>
    </row>
    <row r="16" spans="2:11" x14ac:dyDescent="0.25">
      <c r="B16" s="20" t="s">
        <v>435</v>
      </c>
      <c r="C16" s="402">
        <v>1.014113</v>
      </c>
      <c r="D16" s="402">
        <v>1.021109</v>
      </c>
      <c r="E16" s="402">
        <v>1.2565770000000001</v>
      </c>
      <c r="F16" s="402">
        <v>1.2746120000000001</v>
      </c>
      <c r="G16" s="402">
        <v>1.413028</v>
      </c>
      <c r="H16" s="402">
        <v>1.39192</v>
      </c>
      <c r="I16" s="403">
        <v>1.3293699999999999</v>
      </c>
      <c r="J16" s="378">
        <v>1.4869490000000001</v>
      </c>
      <c r="K16" s="383">
        <v>1.5439449999999999</v>
      </c>
    </row>
    <row r="17" spans="2:11" x14ac:dyDescent="0.25">
      <c r="B17" s="22" t="s">
        <v>436</v>
      </c>
      <c r="C17" s="404">
        <v>1.0390820000000001</v>
      </c>
      <c r="D17" s="404">
        <v>1.085286</v>
      </c>
      <c r="E17" s="404">
        <v>1.128077</v>
      </c>
      <c r="F17" s="404">
        <v>1.168917</v>
      </c>
      <c r="G17" s="404">
        <v>1.163462</v>
      </c>
      <c r="H17" s="404">
        <v>1.1645479999999999</v>
      </c>
      <c r="I17" s="405">
        <v>1.179926</v>
      </c>
      <c r="J17" s="406">
        <v>1.2381329999999999</v>
      </c>
      <c r="K17" s="407">
        <v>1.2844739999999999</v>
      </c>
    </row>
    <row r="18" spans="2:11" x14ac:dyDescent="0.25">
      <c r="C18" s="71">
        <f>C17*100</f>
        <v>103.90820000000001</v>
      </c>
      <c r="D18" s="71">
        <f t="shared" ref="D18:K18" si="1">D17*100</f>
        <v>108.5286</v>
      </c>
      <c r="E18" s="71">
        <f t="shared" si="1"/>
        <v>112.8077</v>
      </c>
      <c r="F18" s="71">
        <f t="shared" si="1"/>
        <v>116.8917</v>
      </c>
      <c r="G18" s="71">
        <f t="shared" si="1"/>
        <v>116.3462</v>
      </c>
      <c r="H18" s="71">
        <f t="shared" si="1"/>
        <v>116.45479999999999</v>
      </c>
      <c r="I18" s="71">
        <f t="shared" si="1"/>
        <v>117.99260000000001</v>
      </c>
      <c r="J18" s="71">
        <f t="shared" si="1"/>
        <v>123.8133</v>
      </c>
      <c r="K18" s="71">
        <f t="shared" si="1"/>
        <v>128.44739999999999</v>
      </c>
    </row>
    <row r="19" spans="2:11" ht="15.75" x14ac:dyDescent="0.25">
      <c r="B19" s="17" t="s">
        <v>437</v>
      </c>
      <c r="E19" s="72">
        <f>SUMPRODUCT(E7:E16)-7.6</f>
        <v>3.9289400000000008</v>
      </c>
      <c r="F19" s="72">
        <f>SUMPRODUCT(F7:F16)-7.9</f>
        <v>4.0021921000000003</v>
      </c>
      <c r="G19" s="72">
        <f>SUMPRODUCT(G7:G16)-7.9</f>
        <v>3.8391810000000017</v>
      </c>
      <c r="H19" s="72">
        <f>SUMPRODUCT(H7:H16)-7.8</f>
        <v>3.9406889999999999</v>
      </c>
      <c r="I19" s="72">
        <f>SUMPRODUCT(I7:I16)-7.9</f>
        <v>4.0531009999999998</v>
      </c>
      <c r="J19" s="72">
        <f>SUMPRODUCT(J7:J16)-8.1</f>
        <v>4.4004589999999997</v>
      </c>
      <c r="K19" s="72">
        <f>SUMPRODUCT(K7:K16)-8.6</f>
        <v>4.3609925</v>
      </c>
    </row>
    <row r="20" spans="2:11" x14ac:dyDescent="0.25">
      <c r="B20" s="25" t="s">
        <v>653</v>
      </c>
      <c r="E20" s="171">
        <f>E19+100</f>
        <v>103.92894</v>
      </c>
      <c r="F20" s="171">
        <f>F19+100</f>
        <v>104.0021921</v>
      </c>
      <c r="G20" s="171">
        <f t="shared" ref="G20:K20" si="2">G19+100</f>
        <v>103.839181</v>
      </c>
      <c r="H20" s="171">
        <f t="shared" si="2"/>
        <v>103.94068900000001</v>
      </c>
      <c r="I20" s="171">
        <f t="shared" si="2"/>
        <v>104.053101</v>
      </c>
      <c r="J20" s="171">
        <f t="shared" si="2"/>
        <v>104.400459</v>
      </c>
      <c r="K20" s="171">
        <f t="shared" si="2"/>
        <v>104.36099249999999</v>
      </c>
    </row>
    <row r="21" spans="2:11" x14ac:dyDescent="0.25">
      <c r="B21" s="18"/>
      <c r="C21" s="6">
        <v>2024</v>
      </c>
      <c r="D21" s="6">
        <f t="shared" ref="D21:K21" si="3">C21+1</f>
        <v>2025</v>
      </c>
      <c r="E21" s="6">
        <f t="shared" si="3"/>
        <v>2026</v>
      </c>
      <c r="F21" s="6">
        <f t="shared" si="3"/>
        <v>2027</v>
      </c>
      <c r="G21" s="6">
        <f t="shared" si="3"/>
        <v>2028</v>
      </c>
      <c r="H21" s="6">
        <f t="shared" si="3"/>
        <v>2029</v>
      </c>
      <c r="I21" s="19">
        <f t="shared" si="3"/>
        <v>2030</v>
      </c>
      <c r="J21" s="27">
        <f t="shared" si="3"/>
        <v>2031</v>
      </c>
      <c r="K21" s="27">
        <f t="shared" si="3"/>
        <v>2032</v>
      </c>
    </row>
    <row r="22" spans="2:11" x14ac:dyDescent="0.25">
      <c r="B22" s="20" t="s">
        <v>438</v>
      </c>
      <c r="C22" s="380">
        <v>1.0077739999999999</v>
      </c>
      <c r="D22" s="380">
        <v>1.007349</v>
      </c>
      <c r="E22" s="380">
        <v>1.006114</v>
      </c>
      <c r="F22" s="380">
        <v>1.004354</v>
      </c>
      <c r="G22" s="380">
        <v>1.003255</v>
      </c>
      <c r="H22" s="380">
        <v>1.0025329999999999</v>
      </c>
      <c r="I22" s="380">
        <v>1.0017799999999999</v>
      </c>
      <c r="J22" s="380">
        <v>1.000102</v>
      </c>
      <c r="K22" s="408">
        <v>0.99953250000000005</v>
      </c>
    </row>
    <row r="23" spans="2:11" x14ac:dyDescent="0.25">
      <c r="I23" s="23"/>
    </row>
    <row r="24" spans="2:11" ht="15.75" x14ac:dyDescent="0.25">
      <c r="B24" s="17" t="s">
        <v>440</v>
      </c>
      <c r="I24" s="23"/>
    </row>
    <row r="25" spans="2:11" x14ac:dyDescent="0.25">
      <c r="B25" s="25" t="s">
        <v>672</v>
      </c>
      <c r="I25" s="23"/>
    </row>
    <row r="26" spans="2:11" x14ac:dyDescent="0.25">
      <c r="B26" s="18"/>
      <c r="C26" s="6">
        <v>2024</v>
      </c>
      <c r="D26" s="6">
        <f t="shared" ref="D26:K26" si="4">C26+1</f>
        <v>2025</v>
      </c>
      <c r="E26" s="6">
        <f t="shared" si="4"/>
        <v>2026</v>
      </c>
      <c r="F26" s="6">
        <f t="shared" si="4"/>
        <v>2027</v>
      </c>
      <c r="G26" s="6">
        <f t="shared" si="4"/>
        <v>2028</v>
      </c>
      <c r="H26" s="6">
        <f t="shared" si="4"/>
        <v>2029</v>
      </c>
      <c r="I26" s="19">
        <f t="shared" si="4"/>
        <v>2030</v>
      </c>
      <c r="J26" s="27">
        <f t="shared" si="4"/>
        <v>2031</v>
      </c>
      <c r="K26" s="27">
        <f t="shared" si="4"/>
        <v>2032</v>
      </c>
    </row>
    <row r="27" spans="2:11" x14ac:dyDescent="0.25">
      <c r="B27" s="12" t="s">
        <v>265</v>
      </c>
      <c r="C27" s="297">
        <v>1.0067189999999999</v>
      </c>
      <c r="D27" s="297">
        <v>1.083318</v>
      </c>
      <c r="E27" s="297">
        <v>1.072873</v>
      </c>
      <c r="F27" s="297">
        <v>1.0916969999999999</v>
      </c>
      <c r="G27" s="297">
        <v>1.022583</v>
      </c>
      <c r="H27" s="297">
        <v>0.97679800000000006</v>
      </c>
      <c r="I27" s="401">
        <v>0.94495150000000006</v>
      </c>
      <c r="J27" s="378">
        <v>0.90313699999999997</v>
      </c>
      <c r="K27" s="378">
        <v>0.94029479999999999</v>
      </c>
    </row>
    <row r="28" spans="2:11" x14ac:dyDescent="0.25">
      <c r="B28" s="12" t="s">
        <v>266</v>
      </c>
      <c r="C28" s="297">
        <v>0.95157510000000001</v>
      </c>
      <c r="D28" s="297">
        <v>1.1700649999999999</v>
      </c>
      <c r="E28" s="297">
        <v>1.196191</v>
      </c>
      <c r="F28" s="297">
        <v>1.2339</v>
      </c>
      <c r="G28" s="297">
        <v>0.84077489999999999</v>
      </c>
      <c r="H28" s="297">
        <v>0.8328757</v>
      </c>
      <c r="I28" s="401">
        <v>0.80619669999999999</v>
      </c>
      <c r="J28" s="378">
        <v>0.79449539999999996</v>
      </c>
      <c r="K28" s="378">
        <v>0.7977784</v>
      </c>
    </row>
    <row r="29" spans="2:11" x14ac:dyDescent="0.25">
      <c r="B29" s="12" t="s">
        <v>267</v>
      </c>
      <c r="C29" s="297">
        <v>1.010599</v>
      </c>
      <c r="D29" s="297">
        <v>0.99633450000000001</v>
      </c>
      <c r="E29" s="297">
        <v>1.0688979999999999</v>
      </c>
      <c r="F29" s="297">
        <v>0.98847490000000005</v>
      </c>
      <c r="G29" s="297">
        <v>1.064263</v>
      </c>
      <c r="H29" s="297">
        <v>1.0586150000000001</v>
      </c>
      <c r="I29" s="401">
        <v>1.107742</v>
      </c>
      <c r="J29" s="378">
        <v>1.0818810000000001</v>
      </c>
      <c r="K29" s="378">
        <v>1.078722</v>
      </c>
    </row>
    <row r="30" spans="2:11" x14ac:dyDescent="0.25">
      <c r="B30" s="12" t="s">
        <v>268</v>
      </c>
      <c r="C30" s="297">
        <v>0.98556180000000004</v>
      </c>
      <c r="D30" s="297">
        <v>1.0139370000000001</v>
      </c>
      <c r="E30" s="297">
        <v>0.80090839999999996</v>
      </c>
      <c r="F30" s="297">
        <v>0.78014329999999998</v>
      </c>
      <c r="G30" s="297">
        <v>0.54252730000000005</v>
      </c>
      <c r="H30" s="297">
        <v>0.50831669999999995</v>
      </c>
      <c r="I30" s="401">
        <v>0.49705319999999997</v>
      </c>
      <c r="J30" s="378">
        <v>0.47547929999999999</v>
      </c>
      <c r="K30" s="378">
        <v>0.51358579999999998</v>
      </c>
    </row>
    <row r="31" spans="2:11" x14ac:dyDescent="0.25">
      <c r="B31" s="12" t="s">
        <v>269</v>
      </c>
      <c r="C31" s="297">
        <v>0.9584125</v>
      </c>
      <c r="D31" s="297">
        <v>1.1121509999999999</v>
      </c>
      <c r="E31" s="297">
        <v>1.205384</v>
      </c>
      <c r="F31" s="297">
        <v>1.2544979999999999</v>
      </c>
      <c r="G31" s="297">
        <v>1.25946</v>
      </c>
      <c r="H31" s="297">
        <v>1.2476039999999999</v>
      </c>
      <c r="I31" s="401">
        <v>1.2857499999999999</v>
      </c>
      <c r="J31" s="378">
        <v>1.335901</v>
      </c>
      <c r="K31" s="409">
        <v>1.3727259999999999</v>
      </c>
    </row>
    <row r="32" spans="2:11" x14ac:dyDescent="0.25">
      <c r="B32" s="12" t="s">
        <v>270</v>
      </c>
      <c r="C32" s="297">
        <v>0.98602290000000004</v>
      </c>
      <c r="D32" s="297">
        <v>1.0761229999999999</v>
      </c>
      <c r="E32" s="297">
        <v>1.152415</v>
      </c>
      <c r="F32" s="297">
        <v>1.505862</v>
      </c>
      <c r="G32" s="297">
        <v>1.502372</v>
      </c>
      <c r="H32" s="297">
        <v>1.5209870000000001</v>
      </c>
      <c r="I32" s="401">
        <v>1.4870920000000001</v>
      </c>
      <c r="J32" s="378">
        <v>1.6554610000000001</v>
      </c>
      <c r="K32" s="409">
        <v>1.77434</v>
      </c>
    </row>
    <row r="33" spans="1:11" x14ac:dyDescent="0.25">
      <c r="B33" s="12" t="s">
        <v>271</v>
      </c>
      <c r="C33" s="297">
        <v>1.0093859999999999</v>
      </c>
      <c r="D33" s="297">
        <v>0.99455159999999998</v>
      </c>
      <c r="E33" s="297">
        <v>0.93329260000000003</v>
      </c>
      <c r="F33" s="297">
        <v>1.009158</v>
      </c>
      <c r="G33" s="297">
        <v>0.90279379999999998</v>
      </c>
      <c r="H33" s="297">
        <v>0.86426999999999998</v>
      </c>
      <c r="I33" s="401">
        <v>0.84762000000000004</v>
      </c>
      <c r="J33" s="378">
        <v>0.88960019999999995</v>
      </c>
      <c r="K33" s="409">
        <v>0.86366259999999995</v>
      </c>
    </row>
    <row r="34" spans="1:11" x14ac:dyDescent="0.25">
      <c r="B34" s="12" t="s">
        <v>272</v>
      </c>
      <c r="C34" s="297">
        <v>1.3341689999999999</v>
      </c>
      <c r="D34" s="297">
        <v>1.4559789999999999</v>
      </c>
      <c r="E34" s="297">
        <v>1.3592120000000001</v>
      </c>
      <c r="F34" s="297">
        <v>1.3186850000000001</v>
      </c>
      <c r="G34" s="297">
        <v>1.327841</v>
      </c>
      <c r="H34" s="297">
        <v>1.3004629999999999</v>
      </c>
      <c r="I34" s="401">
        <v>0.91993270000000005</v>
      </c>
      <c r="J34" s="378">
        <v>0.87019250000000004</v>
      </c>
      <c r="K34" s="409">
        <v>0.81032000000000004</v>
      </c>
    </row>
    <row r="35" spans="1:11" x14ac:dyDescent="0.25">
      <c r="B35" s="12" t="s">
        <v>273</v>
      </c>
      <c r="C35" s="297">
        <v>1.003617</v>
      </c>
      <c r="D35" s="297">
        <v>0.77752270000000001</v>
      </c>
      <c r="E35" s="297">
        <v>0.79463130000000004</v>
      </c>
      <c r="F35" s="297">
        <v>0.78981270000000003</v>
      </c>
      <c r="G35" s="297">
        <v>0.80775419999999998</v>
      </c>
      <c r="H35" s="297">
        <v>0.85884369999999999</v>
      </c>
      <c r="I35" s="401">
        <v>0.89494839999999998</v>
      </c>
      <c r="J35" s="378">
        <v>0.94644930000000005</v>
      </c>
      <c r="K35" s="409">
        <v>0.99025039999999998</v>
      </c>
    </row>
    <row r="36" spans="1:11" x14ac:dyDescent="0.25">
      <c r="B36" s="12" t="s">
        <v>274</v>
      </c>
      <c r="C36" s="297">
        <v>0.494533</v>
      </c>
      <c r="D36" s="297">
        <v>0.49899690000000002</v>
      </c>
      <c r="E36" s="297">
        <v>0.4925736</v>
      </c>
      <c r="F36" s="297">
        <v>0.51713929999999997</v>
      </c>
      <c r="G36" s="297">
        <v>0.47982570000000002</v>
      </c>
      <c r="H36" s="297">
        <v>0.4584568</v>
      </c>
      <c r="I36" s="401">
        <v>0.44767479999999998</v>
      </c>
      <c r="J36" s="378">
        <v>0.460032</v>
      </c>
      <c r="K36" s="409">
        <v>0.47623490000000002</v>
      </c>
    </row>
    <row r="37" spans="1:11" x14ac:dyDescent="0.25">
      <c r="B37" s="22" t="s">
        <v>439</v>
      </c>
      <c r="C37" s="118">
        <v>1.0018549999999999</v>
      </c>
      <c r="D37" s="118">
        <v>1.045604</v>
      </c>
      <c r="E37" s="118">
        <v>1.0611440000000001</v>
      </c>
      <c r="F37" s="118">
        <v>1.0940380000000001</v>
      </c>
      <c r="G37" s="118">
        <v>1.023652</v>
      </c>
      <c r="H37" s="118">
        <v>1.0024820000000001</v>
      </c>
      <c r="I37" s="118">
        <v>0.97883419999999999</v>
      </c>
      <c r="J37" s="118">
        <v>1.002793</v>
      </c>
      <c r="K37" s="119">
        <v>1.021601</v>
      </c>
    </row>
    <row r="38" spans="1:11" x14ac:dyDescent="0.25">
      <c r="I38" s="23"/>
    </row>
    <row r="39" spans="1:11" ht="15.75" x14ac:dyDescent="0.25">
      <c r="B39" s="17" t="s">
        <v>441</v>
      </c>
      <c r="I39" s="23"/>
    </row>
    <row r="40" spans="1:11" x14ac:dyDescent="0.25">
      <c r="I40" s="23"/>
    </row>
    <row r="41" spans="1:11" x14ac:dyDescent="0.25">
      <c r="B41" s="18"/>
      <c r="C41" s="6">
        <v>2024</v>
      </c>
      <c r="D41" s="6">
        <f t="shared" ref="D41:K41" si="5">C41+1</f>
        <v>2025</v>
      </c>
      <c r="E41" s="6">
        <f t="shared" si="5"/>
        <v>2026</v>
      </c>
      <c r="F41" s="6">
        <f t="shared" si="5"/>
        <v>2027</v>
      </c>
      <c r="G41" s="6">
        <f t="shared" si="5"/>
        <v>2028</v>
      </c>
      <c r="H41" s="6">
        <f t="shared" si="5"/>
        <v>2029</v>
      </c>
      <c r="I41" s="19">
        <f t="shared" si="5"/>
        <v>2030</v>
      </c>
      <c r="J41" s="27">
        <f t="shared" si="5"/>
        <v>2031</v>
      </c>
      <c r="K41" s="27">
        <f t="shared" si="5"/>
        <v>2032</v>
      </c>
    </row>
    <row r="42" spans="1:11" x14ac:dyDescent="0.25">
      <c r="B42" s="12" t="s">
        <v>442</v>
      </c>
      <c r="C42" s="289">
        <v>0.93272849999999996</v>
      </c>
      <c r="D42" s="289">
        <v>0.944295</v>
      </c>
      <c r="E42" s="289">
        <v>0.96279459999999994</v>
      </c>
      <c r="F42" s="289">
        <v>0.98765959999999997</v>
      </c>
      <c r="G42" s="289">
        <v>1.016812</v>
      </c>
      <c r="H42" s="289">
        <v>1.0367930000000001</v>
      </c>
      <c r="I42" s="289">
        <v>1.0505709999999999</v>
      </c>
      <c r="J42" s="289">
        <v>1.080349</v>
      </c>
      <c r="K42" s="410">
        <v>1.0976060000000001</v>
      </c>
    </row>
    <row r="43" spans="1:11" x14ac:dyDescent="0.25">
      <c r="B43" s="20" t="s">
        <v>443</v>
      </c>
      <c r="C43" s="380">
        <v>9.3466939999999994</v>
      </c>
      <c r="D43" s="380">
        <v>9.0003089999999997</v>
      </c>
      <c r="E43" s="380">
        <v>9.1755289999999903</v>
      </c>
      <c r="F43" s="380">
        <v>9.4124949999999998</v>
      </c>
      <c r="G43" s="380">
        <v>9.6903159999999904</v>
      </c>
      <c r="H43" s="380">
        <v>9.8807399999999994</v>
      </c>
      <c r="I43" s="380">
        <v>10.012040000000001</v>
      </c>
      <c r="J43" s="380">
        <v>10.29584</v>
      </c>
      <c r="K43" s="408">
        <v>10.460290000000001</v>
      </c>
    </row>
    <row r="45" spans="1:11" ht="15.75" x14ac:dyDescent="0.25">
      <c r="B45" s="17" t="s">
        <v>444</v>
      </c>
    </row>
    <row r="47" spans="1:11" x14ac:dyDescent="0.25">
      <c r="B47" s="18"/>
      <c r="C47" s="6">
        <v>2024</v>
      </c>
      <c r="D47" s="6">
        <f t="shared" ref="D47:K47" si="6">C47+1</f>
        <v>2025</v>
      </c>
      <c r="E47" s="6">
        <f t="shared" si="6"/>
        <v>2026</v>
      </c>
      <c r="F47" s="6">
        <f t="shared" si="6"/>
        <v>2027</v>
      </c>
      <c r="G47" s="6">
        <f t="shared" si="6"/>
        <v>2028</v>
      </c>
      <c r="H47" s="6">
        <f t="shared" si="6"/>
        <v>2029</v>
      </c>
      <c r="I47" s="19">
        <f t="shared" si="6"/>
        <v>2030</v>
      </c>
      <c r="J47" s="27">
        <f t="shared" si="6"/>
        <v>2031</v>
      </c>
      <c r="K47" s="27">
        <f t="shared" si="6"/>
        <v>2032</v>
      </c>
    </row>
    <row r="48" spans="1:11" x14ac:dyDescent="0.25">
      <c r="A48" s="32">
        <f>'[5]2024-Final'!$AG$48</f>
        <v>78369.343771421394</v>
      </c>
      <c r="B48" s="12" t="s">
        <v>445</v>
      </c>
      <c r="C48" s="289">
        <v>75206.33</v>
      </c>
      <c r="D48" s="289">
        <v>77968.460000000006</v>
      </c>
      <c r="E48" s="289">
        <v>82697.53</v>
      </c>
      <c r="F48" s="289">
        <v>88077.81</v>
      </c>
      <c r="G48" s="289">
        <v>105031.3</v>
      </c>
      <c r="H48" s="289">
        <v>105712.3</v>
      </c>
      <c r="I48" s="289">
        <v>105665.1</v>
      </c>
      <c r="J48" s="289">
        <v>114942.5</v>
      </c>
      <c r="K48" s="289">
        <v>120227.9</v>
      </c>
    </row>
    <row r="49" spans="1:11" x14ac:dyDescent="0.25">
      <c r="A49" s="32">
        <f>'[5]2024-Final'!$AF$33</f>
        <v>101049.73240951996</v>
      </c>
      <c r="B49" s="411" t="s">
        <v>446</v>
      </c>
      <c r="C49" s="33">
        <f>C50+C51+C52+C53</f>
        <v>48496.649999999994</v>
      </c>
      <c r="D49" s="33">
        <f t="shared" ref="D49:K49" si="7">D50+D51+D52+D53</f>
        <v>49685.48</v>
      </c>
      <c r="E49" s="33">
        <f t="shared" si="7"/>
        <v>50383.03</v>
      </c>
      <c r="F49" s="33">
        <f t="shared" si="7"/>
        <v>50121.69</v>
      </c>
      <c r="G49" s="33">
        <f t="shared" si="7"/>
        <v>60118.58</v>
      </c>
      <c r="H49" s="33">
        <f t="shared" si="7"/>
        <v>56205.639999999992</v>
      </c>
      <c r="I49" s="412">
        <f t="shared" si="7"/>
        <v>53113.400000000009</v>
      </c>
      <c r="J49" s="412">
        <f t="shared" si="7"/>
        <v>55058.850000000006</v>
      </c>
      <c r="K49" s="413">
        <f t="shared" si="7"/>
        <v>56238.700000000012</v>
      </c>
    </row>
    <row r="50" spans="1:11" x14ac:dyDescent="0.25">
      <c r="A50" s="4">
        <f>'[5]2024-Final'!$Y$33</f>
        <v>15565.063387119968</v>
      </c>
      <c r="B50" s="12" t="s">
        <v>692</v>
      </c>
      <c r="C50" s="289">
        <v>15568.47</v>
      </c>
      <c r="D50" s="289">
        <v>15835.46</v>
      </c>
      <c r="E50" s="289">
        <v>16115.07</v>
      </c>
      <c r="F50" s="289">
        <v>16634.97</v>
      </c>
      <c r="G50" s="289">
        <v>16448.43</v>
      </c>
      <c r="H50" s="289">
        <v>17281.650000000001</v>
      </c>
      <c r="I50" s="289">
        <v>18426.189999999999</v>
      </c>
      <c r="J50" s="289">
        <v>19008.71</v>
      </c>
      <c r="K50" s="289">
        <v>19728.34</v>
      </c>
    </row>
    <row r="51" spans="1:11" x14ac:dyDescent="0.25">
      <c r="A51" s="4">
        <f>'[5]2024-Final'!$Z$33</f>
        <v>28605.099999999988</v>
      </c>
      <c r="B51" s="12" t="s">
        <v>693</v>
      </c>
      <c r="C51" s="289">
        <v>30478.01</v>
      </c>
      <c r="D51" s="289">
        <v>32299.64</v>
      </c>
      <c r="E51" s="289">
        <v>34204.160000000003</v>
      </c>
      <c r="F51" s="289">
        <v>36798.699999999997</v>
      </c>
      <c r="G51" s="289">
        <v>41452.82</v>
      </c>
      <c r="H51" s="289">
        <v>44682.92</v>
      </c>
      <c r="I51" s="289">
        <v>47543.05</v>
      </c>
      <c r="J51" s="289">
        <v>50773.95</v>
      </c>
      <c r="K51" s="289">
        <v>53106.65</v>
      </c>
    </row>
    <row r="52" spans="1:11" x14ac:dyDescent="0.25">
      <c r="A52" s="4">
        <f>'[5]2024-Final'!$AA$33</f>
        <v>16354.199999999993</v>
      </c>
      <c r="B52" s="12" t="s">
        <v>694</v>
      </c>
      <c r="C52" s="289">
        <v>15805.01</v>
      </c>
      <c r="D52" s="289">
        <v>15691.87</v>
      </c>
      <c r="E52" s="289">
        <v>16221.05</v>
      </c>
      <c r="F52" s="289">
        <v>15666.08</v>
      </c>
      <c r="G52" s="289">
        <v>24673.69</v>
      </c>
      <c r="H52" s="289">
        <v>18994.419999999998</v>
      </c>
      <c r="I52" s="289">
        <v>13420.02</v>
      </c>
      <c r="J52" s="289">
        <v>15218.02</v>
      </c>
      <c r="K52" s="289">
        <v>15398.33</v>
      </c>
    </row>
    <row r="53" spans="1:11" x14ac:dyDescent="0.25">
      <c r="A53" s="4">
        <f>'[5]2024-Final'!$AE$33</f>
        <v>21072.569022399999</v>
      </c>
      <c r="B53" s="20" t="s">
        <v>447</v>
      </c>
      <c r="C53" s="14">
        <v>-13354.84</v>
      </c>
      <c r="D53" s="14">
        <v>-14141.49</v>
      </c>
      <c r="E53" s="14">
        <v>-16157.25</v>
      </c>
      <c r="F53" s="14">
        <v>-18978.060000000001</v>
      </c>
      <c r="G53" s="14">
        <v>-22456.36</v>
      </c>
      <c r="H53" s="14">
        <v>-24753.35</v>
      </c>
      <c r="I53" s="21">
        <v>-26275.86</v>
      </c>
      <c r="J53" s="28">
        <v>-29941.83</v>
      </c>
      <c r="K53" s="28">
        <v>-31994.62</v>
      </c>
    </row>
  </sheetData>
  <phoneticPr fontId="9" type="noConversion"/>
  <pageMargins left="0.11811023622047245" right="0.11811023622047245" top="0.74803149606299213" bottom="0.74803149606299213" header="0.31496062992125984" footer="0.31496062992125984"/>
  <pageSetup paperSize="9" orientation="landscape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9406-1F1F-478D-839C-124152363DEE}">
  <dimension ref="B2:K72"/>
  <sheetViews>
    <sheetView workbookViewId="0">
      <selection activeCell="B2" sqref="B2"/>
    </sheetView>
  </sheetViews>
  <sheetFormatPr defaultRowHeight="15" x14ac:dyDescent="0.25"/>
  <cols>
    <col min="2" max="2" width="24" customWidth="1"/>
    <col min="3" max="5" width="10" bestFit="1" customWidth="1"/>
    <col min="6" max="6" width="11" bestFit="1" customWidth="1"/>
    <col min="7" max="8" width="10" bestFit="1" customWidth="1"/>
    <col min="11" max="11" width="10.5703125" bestFit="1" customWidth="1"/>
  </cols>
  <sheetData>
    <row r="2" spans="2:11" ht="18.75" x14ac:dyDescent="0.3">
      <c r="B2" s="3" t="s">
        <v>448</v>
      </c>
    </row>
    <row r="4" spans="2:11" x14ac:dyDescent="0.25">
      <c r="B4" s="2" t="s">
        <v>449</v>
      </c>
    </row>
    <row r="5" spans="2:11" x14ac:dyDescent="0.25">
      <c r="B5" s="25" t="s">
        <v>695</v>
      </c>
    </row>
    <row r="6" spans="2:11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27">
        <f t="shared" si="0"/>
        <v>2031</v>
      </c>
      <c r="K6" s="27">
        <f t="shared" si="0"/>
        <v>2032</v>
      </c>
    </row>
    <row r="7" spans="2:11" x14ac:dyDescent="0.25">
      <c r="B7" s="12" t="s">
        <v>450</v>
      </c>
      <c r="C7" s="297">
        <v>1.3376650000000001</v>
      </c>
      <c r="D7" s="297">
        <v>1.3454740000000001</v>
      </c>
      <c r="E7" s="297">
        <v>1.345777</v>
      </c>
      <c r="F7" s="297">
        <v>1.3483000000000001</v>
      </c>
      <c r="G7" s="297">
        <v>1.346625</v>
      </c>
      <c r="H7" s="297">
        <v>1.350384</v>
      </c>
      <c r="I7" s="377">
        <v>1.3495379999999999</v>
      </c>
      <c r="J7" s="378">
        <v>1.3535349999999999</v>
      </c>
      <c r="K7" s="378">
        <v>1.3570530000000001</v>
      </c>
    </row>
    <row r="8" spans="2:11" x14ac:dyDescent="0.25">
      <c r="B8" s="12" t="s">
        <v>451</v>
      </c>
      <c r="C8" s="297">
        <v>1.2253970000000001</v>
      </c>
      <c r="D8" s="297">
        <v>1.228645</v>
      </c>
      <c r="E8" s="297">
        <v>1.2289969999999999</v>
      </c>
      <c r="F8" s="297">
        <v>1.2304630000000001</v>
      </c>
      <c r="G8" s="297">
        <v>1.232013</v>
      </c>
      <c r="H8" s="297">
        <v>1.2334259999999999</v>
      </c>
      <c r="I8" s="377">
        <v>1.2343090000000001</v>
      </c>
      <c r="J8" s="378">
        <v>1.2355750000000001</v>
      </c>
      <c r="K8" s="378">
        <v>1.235287</v>
      </c>
    </row>
    <row r="9" spans="2:11" x14ac:dyDescent="0.25">
      <c r="B9" s="12" t="s">
        <v>452</v>
      </c>
      <c r="C9" s="297">
        <v>1.22811</v>
      </c>
      <c r="D9" s="297">
        <v>1.2317279999999999</v>
      </c>
      <c r="E9" s="297">
        <v>1.2333209999999999</v>
      </c>
      <c r="F9" s="297">
        <v>1.2351810000000001</v>
      </c>
      <c r="G9" s="297">
        <v>1.2373479999999999</v>
      </c>
      <c r="H9" s="297">
        <v>1.236782</v>
      </c>
      <c r="I9" s="377">
        <v>1.237047</v>
      </c>
      <c r="J9" s="378">
        <v>1.2389399999999999</v>
      </c>
      <c r="K9" s="378">
        <v>1.2398</v>
      </c>
    </row>
    <row r="10" spans="2:11" x14ac:dyDescent="0.25">
      <c r="B10" s="12" t="s">
        <v>453</v>
      </c>
      <c r="C10" s="297">
        <v>1.0011829999999999</v>
      </c>
      <c r="D10" s="297">
        <v>1.001185</v>
      </c>
      <c r="E10" s="297">
        <v>1.0011859999999999</v>
      </c>
      <c r="F10" s="297">
        <v>1.001188</v>
      </c>
      <c r="G10" s="297">
        <v>1.00119</v>
      </c>
      <c r="H10" s="297">
        <v>1.0011909999999999</v>
      </c>
      <c r="I10" s="377">
        <v>1.001193</v>
      </c>
      <c r="J10" s="378">
        <v>1.001187</v>
      </c>
      <c r="K10" s="378">
        <v>1.0011909999999999</v>
      </c>
    </row>
    <row r="11" spans="2:11" x14ac:dyDescent="0.25">
      <c r="B11" s="12" t="s">
        <v>454</v>
      </c>
      <c r="C11" s="297">
        <v>1.464234</v>
      </c>
      <c r="D11" s="297">
        <v>1.4937320000000001</v>
      </c>
      <c r="E11" s="297">
        <v>1.4937530000000001</v>
      </c>
      <c r="F11" s="297">
        <v>1.5021990000000001</v>
      </c>
      <c r="G11" s="297">
        <v>1.4873270000000001</v>
      </c>
      <c r="H11" s="297">
        <v>1.477163</v>
      </c>
      <c r="I11" s="377">
        <v>1.4838229999999999</v>
      </c>
      <c r="J11" s="378">
        <v>1.4892289999999999</v>
      </c>
      <c r="K11" s="378">
        <v>1.4938480000000001</v>
      </c>
    </row>
    <row r="12" spans="2:11" x14ac:dyDescent="0.25">
      <c r="B12" s="12" t="s">
        <v>455</v>
      </c>
      <c r="C12" s="297">
        <v>1.27014</v>
      </c>
      <c r="D12" s="297">
        <v>1.2741849999999999</v>
      </c>
      <c r="E12" s="297">
        <v>1.2764629999999999</v>
      </c>
      <c r="F12" s="297">
        <v>1.280864</v>
      </c>
      <c r="G12" s="297">
        <v>1.283393</v>
      </c>
      <c r="H12" s="297">
        <v>1.287641</v>
      </c>
      <c r="I12" s="377">
        <v>1.2820100000000001</v>
      </c>
      <c r="J12" s="378">
        <v>1.285242</v>
      </c>
      <c r="K12" s="378">
        <v>1.2870839999999999</v>
      </c>
    </row>
    <row r="13" spans="2:11" x14ac:dyDescent="0.25">
      <c r="B13" s="12" t="s">
        <v>456</v>
      </c>
      <c r="C13" s="297">
        <v>1.450717</v>
      </c>
      <c r="D13" s="297">
        <v>1.455346</v>
      </c>
      <c r="E13" s="297">
        <v>1.4599569999999999</v>
      </c>
      <c r="F13" s="297">
        <v>1.471265</v>
      </c>
      <c r="G13" s="297">
        <v>1.4757560000000001</v>
      </c>
      <c r="H13" s="297">
        <v>1.4730989999999999</v>
      </c>
      <c r="I13" s="377">
        <v>1.477565</v>
      </c>
      <c r="J13" s="378">
        <v>1.482022</v>
      </c>
      <c r="K13" s="378">
        <v>1.4868749999999999</v>
      </c>
    </row>
    <row r="14" spans="2:11" x14ac:dyDescent="0.25">
      <c r="B14" s="12" t="s">
        <v>457</v>
      </c>
      <c r="C14" s="297">
        <v>1.010497</v>
      </c>
      <c r="D14" s="297">
        <v>1.0105850000000001</v>
      </c>
      <c r="E14" s="297">
        <v>1.0106310000000001</v>
      </c>
      <c r="F14" s="297">
        <v>1.010653</v>
      </c>
      <c r="G14" s="297">
        <v>1.0106900000000001</v>
      </c>
      <c r="H14" s="297">
        <v>1.0107269999999999</v>
      </c>
      <c r="I14" s="377">
        <v>1.010748</v>
      </c>
      <c r="J14" s="378">
        <v>1.010815</v>
      </c>
      <c r="K14" s="378">
        <v>1.0108189999999999</v>
      </c>
    </row>
    <row r="15" spans="2:11" x14ac:dyDescent="0.25">
      <c r="B15" s="12" t="s">
        <v>458</v>
      </c>
      <c r="C15" s="297">
        <v>1.0011760000000001</v>
      </c>
      <c r="D15" s="297">
        <v>1.0011779999999999</v>
      </c>
      <c r="E15" s="297">
        <v>1.001182</v>
      </c>
      <c r="F15" s="297">
        <v>1.0011810000000001</v>
      </c>
      <c r="G15" s="297">
        <v>1.0011829999999999</v>
      </c>
      <c r="H15" s="297">
        <v>1.001185</v>
      </c>
      <c r="I15" s="377">
        <v>1.0011859999999999</v>
      </c>
      <c r="J15" s="378">
        <v>1.001188</v>
      </c>
      <c r="K15" s="378">
        <v>1.00119</v>
      </c>
    </row>
    <row r="16" spans="2:11" x14ac:dyDescent="0.25">
      <c r="B16" s="20" t="s">
        <v>459</v>
      </c>
      <c r="C16" s="402">
        <v>1.001166</v>
      </c>
      <c r="D16" s="402">
        <v>1.0011699999999999</v>
      </c>
      <c r="E16" s="402">
        <v>1.0011730000000001</v>
      </c>
      <c r="F16" s="402">
        <v>1.0011779999999999</v>
      </c>
      <c r="G16" s="402">
        <v>1.001182</v>
      </c>
      <c r="H16" s="402">
        <v>1.0011829999999999</v>
      </c>
      <c r="I16" s="382">
        <v>1.0011859999999999</v>
      </c>
      <c r="J16" s="383">
        <v>1.00119</v>
      </c>
      <c r="K16" s="383">
        <v>1.0011920000000001</v>
      </c>
    </row>
    <row r="17" spans="2:11" x14ac:dyDescent="0.25">
      <c r="I17" s="1"/>
      <c r="K17" s="1"/>
    </row>
    <row r="18" spans="2:11" x14ac:dyDescent="0.25">
      <c r="B18" s="2" t="s">
        <v>461</v>
      </c>
      <c r="I18" s="1"/>
      <c r="K18" s="1"/>
    </row>
    <row r="19" spans="2:11" x14ac:dyDescent="0.25">
      <c r="B19" s="25" t="s">
        <v>696</v>
      </c>
      <c r="I19" s="1"/>
      <c r="K19" s="1"/>
    </row>
    <row r="20" spans="2:11" x14ac:dyDescent="0.25">
      <c r="B20" s="18"/>
      <c r="C20" s="6">
        <v>2024</v>
      </c>
      <c r="D20" s="6">
        <f t="shared" ref="D20:K20" si="1">C20+1</f>
        <v>2025</v>
      </c>
      <c r="E20" s="6">
        <f t="shared" si="1"/>
        <v>2026</v>
      </c>
      <c r="F20" s="6">
        <f t="shared" si="1"/>
        <v>2027</v>
      </c>
      <c r="G20" s="6">
        <f t="shared" si="1"/>
        <v>2028</v>
      </c>
      <c r="H20" s="6">
        <f t="shared" si="1"/>
        <v>2029</v>
      </c>
      <c r="I20" s="19">
        <f t="shared" si="1"/>
        <v>2030</v>
      </c>
      <c r="J20" s="27">
        <f t="shared" si="1"/>
        <v>2031</v>
      </c>
      <c r="K20" s="27">
        <f t="shared" si="1"/>
        <v>2032</v>
      </c>
    </row>
    <row r="21" spans="2:11" x14ac:dyDescent="0.25">
      <c r="B21" s="12" t="s">
        <v>460</v>
      </c>
      <c r="C21" s="297">
        <v>1.1647590000000001</v>
      </c>
      <c r="D21" s="297">
        <v>1.171559</v>
      </c>
      <c r="E21" s="297">
        <v>1.1718219999999999</v>
      </c>
      <c r="F21" s="297">
        <v>1.1740200000000001</v>
      </c>
      <c r="G21" s="297">
        <v>1.172561</v>
      </c>
      <c r="H21" s="297">
        <v>1.175834</v>
      </c>
      <c r="I21" s="377">
        <v>1.1750970000000001</v>
      </c>
      <c r="J21" s="378">
        <v>1.1785779999999999</v>
      </c>
      <c r="K21" s="378">
        <v>1.1816409999999999</v>
      </c>
    </row>
    <row r="22" spans="2:11" x14ac:dyDescent="0.25">
      <c r="B22" s="12" t="s">
        <v>462</v>
      </c>
      <c r="C22" s="297">
        <v>0.9693503</v>
      </c>
      <c r="D22" s="297">
        <v>0.97191989999999995</v>
      </c>
      <c r="E22" s="297">
        <v>0.97219860000000002</v>
      </c>
      <c r="F22" s="297">
        <v>0.97335830000000001</v>
      </c>
      <c r="G22" s="297">
        <v>0.97458429999999996</v>
      </c>
      <c r="H22" s="297">
        <v>0.97570159999999995</v>
      </c>
      <c r="I22" s="377">
        <v>0.97640039999999995</v>
      </c>
      <c r="J22" s="378">
        <v>0.97740229999999995</v>
      </c>
      <c r="K22" s="378">
        <v>0.97717379999999998</v>
      </c>
    </row>
    <row r="23" spans="2:11" x14ac:dyDescent="0.25">
      <c r="B23" s="12" t="s">
        <v>463</v>
      </c>
      <c r="C23" s="297">
        <v>0.82590010000000003</v>
      </c>
      <c r="D23" s="297">
        <v>0.87971650000000001</v>
      </c>
      <c r="E23" s="297">
        <v>0.96092080000000002</v>
      </c>
      <c r="F23" s="297">
        <v>0.95063050000000004</v>
      </c>
      <c r="G23" s="297">
        <v>1.0925560000000001</v>
      </c>
      <c r="H23" s="297">
        <v>1.0731820000000001</v>
      </c>
      <c r="I23" s="377">
        <v>1.058141</v>
      </c>
      <c r="J23" s="378">
        <v>1.059761</v>
      </c>
      <c r="K23" s="378">
        <v>1.075801</v>
      </c>
    </row>
    <row r="24" spans="2:11" x14ac:dyDescent="0.25">
      <c r="B24" s="12" t="s">
        <v>464</v>
      </c>
      <c r="C24" s="297">
        <v>0.84507920000000003</v>
      </c>
      <c r="D24" s="297">
        <v>0.84508050000000001</v>
      </c>
      <c r="E24" s="297">
        <v>0.84508159999999999</v>
      </c>
      <c r="F24" s="297">
        <v>0.84508340000000004</v>
      </c>
      <c r="G24" s="297">
        <v>0.84508459999999996</v>
      </c>
      <c r="H24" s="297">
        <v>0.84508570000000005</v>
      </c>
      <c r="I24" s="377">
        <v>0.84508729999999999</v>
      </c>
      <c r="J24" s="378">
        <v>0.84508269999999996</v>
      </c>
      <c r="K24" s="378">
        <v>0.84508559999999999</v>
      </c>
    </row>
    <row r="25" spans="2:11" x14ac:dyDescent="0.25">
      <c r="B25" s="12" t="s">
        <v>465</v>
      </c>
      <c r="C25" s="297">
        <v>1.0846340000000001</v>
      </c>
      <c r="D25" s="297">
        <v>1.1064849999999999</v>
      </c>
      <c r="E25" s="297">
        <v>1.106501</v>
      </c>
      <c r="F25" s="297">
        <v>1.112757</v>
      </c>
      <c r="G25" s="297">
        <v>1.1017410000000001</v>
      </c>
      <c r="H25" s="297">
        <v>1.094211</v>
      </c>
      <c r="I25" s="377">
        <v>1.099145</v>
      </c>
      <c r="J25" s="378">
        <v>1.1031500000000001</v>
      </c>
      <c r="K25" s="378">
        <v>1.106571</v>
      </c>
    </row>
    <row r="26" spans="2:11" x14ac:dyDescent="0.25">
      <c r="B26" s="12" t="s">
        <v>466</v>
      </c>
      <c r="C26" s="297">
        <v>1.1305970000000001</v>
      </c>
      <c r="D26" s="297">
        <v>1.134198</v>
      </c>
      <c r="E26" s="297">
        <v>1.136226</v>
      </c>
      <c r="F26" s="297">
        <v>1.140144</v>
      </c>
      <c r="G26" s="297">
        <v>1.1423939999999999</v>
      </c>
      <c r="H26" s="297">
        <v>1.1461760000000001</v>
      </c>
      <c r="I26" s="377">
        <v>1.1411629999999999</v>
      </c>
      <c r="J26" s="378">
        <v>1.1440410000000001</v>
      </c>
      <c r="K26" s="378">
        <v>1.14568</v>
      </c>
    </row>
    <row r="27" spans="2:11" x14ac:dyDescent="0.25">
      <c r="B27" s="12" t="s">
        <v>467</v>
      </c>
      <c r="C27" s="297">
        <v>1.343332</v>
      </c>
      <c r="D27" s="297">
        <v>1.347618</v>
      </c>
      <c r="E27" s="297">
        <v>1.351888</v>
      </c>
      <c r="F27" s="297">
        <v>1.3623590000000001</v>
      </c>
      <c r="G27" s="297">
        <v>1.3665179999999999</v>
      </c>
      <c r="H27" s="297">
        <v>1.364058</v>
      </c>
      <c r="I27" s="377">
        <v>1.368193</v>
      </c>
      <c r="J27" s="378">
        <v>1.37232</v>
      </c>
      <c r="K27" s="378">
        <v>1.376814</v>
      </c>
    </row>
    <row r="28" spans="2:11" x14ac:dyDescent="0.25">
      <c r="B28" s="12" t="s">
        <v>468</v>
      </c>
      <c r="C28" s="297">
        <v>1.0069969999999999</v>
      </c>
      <c r="D28" s="297">
        <v>1.007085</v>
      </c>
      <c r="E28" s="297">
        <v>1.007131</v>
      </c>
      <c r="F28" s="297">
        <v>1.007152</v>
      </c>
      <c r="G28" s="297">
        <v>1.00719</v>
      </c>
      <c r="H28" s="297">
        <v>1.007226</v>
      </c>
      <c r="I28" s="377">
        <v>1.007247</v>
      </c>
      <c r="J28" s="378">
        <v>1.007314</v>
      </c>
      <c r="K28" s="378">
        <v>1.0073179999999999</v>
      </c>
    </row>
    <row r="29" spans="2:11" x14ac:dyDescent="0.25">
      <c r="B29" s="12" t="s">
        <v>469</v>
      </c>
      <c r="C29" s="297">
        <v>0.72559130000000005</v>
      </c>
      <c r="D29" s="297">
        <v>0.72559249999999997</v>
      </c>
      <c r="E29" s="297">
        <v>0.72559530000000005</v>
      </c>
      <c r="F29" s="297">
        <v>0.72559479999999998</v>
      </c>
      <c r="G29" s="297">
        <v>0.72559620000000002</v>
      </c>
      <c r="H29" s="297">
        <v>0.7255973</v>
      </c>
      <c r="I29" s="377">
        <v>0.72559839999999998</v>
      </c>
      <c r="J29" s="378">
        <v>0.72559960000000001</v>
      </c>
      <c r="K29" s="378">
        <v>0.72560119999999995</v>
      </c>
    </row>
    <row r="30" spans="2:11" x14ac:dyDescent="0.25">
      <c r="B30" s="20" t="s">
        <v>470</v>
      </c>
      <c r="C30" s="402">
        <v>0.97693779999999997</v>
      </c>
      <c r="D30" s="402">
        <v>0.97694139999999996</v>
      </c>
      <c r="E30" s="402">
        <v>0.9769449</v>
      </c>
      <c r="F30" s="402">
        <v>0.97694919999999996</v>
      </c>
      <c r="G30" s="402">
        <v>0.97695279999999995</v>
      </c>
      <c r="H30" s="402">
        <v>0.97695449999999995</v>
      </c>
      <c r="I30" s="382">
        <v>0.97695679999999996</v>
      </c>
      <c r="J30" s="383">
        <v>0.97696090000000002</v>
      </c>
      <c r="K30" s="383">
        <v>0.97696340000000004</v>
      </c>
    </row>
    <row r="31" spans="2:11" x14ac:dyDescent="0.25">
      <c r="I31" s="1"/>
      <c r="K31" s="1"/>
    </row>
    <row r="32" spans="2:11" x14ac:dyDescent="0.25">
      <c r="B32" s="2" t="s">
        <v>471</v>
      </c>
      <c r="I32" s="1"/>
      <c r="K32" s="1"/>
    </row>
    <row r="33" spans="2:11" x14ac:dyDescent="0.25">
      <c r="B33" s="25" t="s">
        <v>697</v>
      </c>
      <c r="I33" s="1"/>
      <c r="K33" s="1"/>
    </row>
    <row r="34" spans="2:11" x14ac:dyDescent="0.25">
      <c r="B34" s="18"/>
      <c r="C34" s="6">
        <v>2024</v>
      </c>
      <c r="D34" s="6">
        <f t="shared" ref="D34:K34" si="2">C34+1</f>
        <v>2025</v>
      </c>
      <c r="E34" s="6">
        <f t="shared" si="2"/>
        <v>2026</v>
      </c>
      <c r="F34" s="6">
        <f t="shared" si="2"/>
        <v>2027</v>
      </c>
      <c r="G34" s="6">
        <f t="shared" si="2"/>
        <v>2028</v>
      </c>
      <c r="H34" s="6">
        <f t="shared" si="2"/>
        <v>2029</v>
      </c>
      <c r="I34" s="19">
        <f t="shared" si="2"/>
        <v>2030</v>
      </c>
      <c r="J34" s="27">
        <f t="shared" si="2"/>
        <v>2031</v>
      </c>
      <c r="K34" s="27">
        <f t="shared" si="2"/>
        <v>2032</v>
      </c>
    </row>
    <row r="35" spans="2:11" x14ac:dyDescent="0.25">
      <c r="B35" s="12" t="s">
        <v>472</v>
      </c>
      <c r="C35" s="297">
        <v>0.74704079999999995</v>
      </c>
      <c r="D35" s="297">
        <v>0.85503470000000004</v>
      </c>
      <c r="E35" s="297">
        <v>0.83824929999999997</v>
      </c>
      <c r="F35" s="297">
        <v>0.86467629999999995</v>
      </c>
      <c r="G35" s="297">
        <v>0.76054849999999996</v>
      </c>
      <c r="H35" s="297">
        <v>0.69010910000000003</v>
      </c>
      <c r="I35" s="377">
        <v>0.64665309999999998</v>
      </c>
      <c r="J35" s="378">
        <v>0.58720660000000002</v>
      </c>
      <c r="K35" s="378">
        <v>0.63322319999999999</v>
      </c>
    </row>
    <row r="36" spans="2:11" x14ac:dyDescent="0.25">
      <c r="B36" s="12" t="s">
        <v>473</v>
      </c>
      <c r="C36" s="297">
        <v>0.96366180000000001</v>
      </c>
      <c r="D36" s="297">
        <v>1.449303</v>
      </c>
      <c r="E36" s="297">
        <v>1.5138799999999999</v>
      </c>
      <c r="F36" s="297">
        <v>1.606995</v>
      </c>
      <c r="G36" s="297">
        <v>0.7442531</v>
      </c>
      <c r="H36" s="297">
        <v>0.72866249999999999</v>
      </c>
      <c r="I36" s="377">
        <v>0.68175149999999995</v>
      </c>
      <c r="J36" s="378">
        <v>0.66074840000000001</v>
      </c>
      <c r="K36" s="378">
        <v>0.66653180000000001</v>
      </c>
    </row>
    <row r="37" spans="2:11" x14ac:dyDescent="0.25">
      <c r="B37" s="12" t="s">
        <v>474</v>
      </c>
      <c r="C37" s="297">
        <v>1.497279</v>
      </c>
      <c r="D37" s="297">
        <v>1.282699</v>
      </c>
      <c r="E37" s="297">
        <v>1.2373639999999999</v>
      </c>
      <c r="F37" s="297">
        <v>1.081205</v>
      </c>
      <c r="G37" s="297">
        <v>0.948878</v>
      </c>
      <c r="H37" s="297">
        <v>0.97303600000000001</v>
      </c>
      <c r="I37" s="377">
        <v>1.095947</v>
      </c>
      <c r="J37" s="414">
        <v>1.0421819999999999</v>
      </c>
      <c r="K37" s="378">
        <v>1.0054369999999999</v>
      </c>
    </row>
    <row r="38" spans="2:11" x14ac:dyDescent="0.25">
      <c r="B38" s="12" t="s">
        <v>475</v>
      </c>
      <c r="C38" s="297">
        <v>1.360106</v>
      </c>
      <c r="D38" s="297">
        <v>1.4395469999999999</v>
      </c>
      <c r="E38" s="297">
        <v>0.89819040000000006</v>
      </c>
      <c r="F38" s="297">
        <v>0.85221599999999997</v>
      </c>
      <c r="G38" s="297">
        <v>0.41213820000000001</v>
      </c>
      <c r="H38" s="297">
        <v>0.36179889999999998</v>
      </c>
      <c r="I38" s="377">
        <v>0.34594130000000001</v>
      </c>
      <c r="J38" s="414">
        <v>0.31656630000000002</v>
      </c>
      <c r="K38" s="378">
        <v>0.36933850000000001</v>
      </c>
    </row>
    <row r="39" spans="2:11" x14ac:dyDescent="0.25">
      <c r="B39" s="12" t="s">
        <v>476</v>
      </c>
      <c r="C39" s="297">
        <v>0.78079710000000002</v>
      </c>
      <c r="D39" s="297">
        <v>1.010267</v>
      </c>
      <c r="E39" s="297">
        <v>1.1867179999999999</v>
      </c>
      <c r="F39" s="297">
        <v>1.27098</v>
      </c>
      <c r="G39" s="297">
        <v>1.3068029999999999</v>
      </c>
      <c r="H39" s="297">
        <v>1.3000240000000001</v>
      </c>
      <c r="I39" s="377">
        <v>1.368368</v>
      </c>
      <c r="J39" s="414">
        <v>1.466491</v>
      </c>
      <c r="K39" s="378">
        <v>1.5388949999999999</v>
      </c>
    </row>
    <row r="40" spans="2:11" x14ac:dyDescent="0.25">
      <c r="B40" s="12" t="s">
        <v>477</v>
      </c>
      <c r="C40" s="297">
        <v>0.76060349999999999</v>
      </c>
      <c r="D40" s="297">
        <v>0.90021600000000002</v>
      </c>
      <c r="E40" s="297">
        <v>1.0286999999999999</v>
      </c>
      <c r="F40" s="297">
        <v>1.744421</v>
      </c>
      <c r="G40" s="297">
        <v>1.729509</v>
      </c>
      <c r="H40" s="297">
        <v>1.760956</v>
      </c>
      <c r="I40" s="377">
        <v>1.6981660000000001</v>
      </c>
      <c r="J40" s="414">
        <v>2.093896</v>
      </c>
      <c r="K40" s="378">
        <v>2.398542</v>
      </c>
    </row>
    <row r="41" spans="2:11" x14ac:dyDescent="0.25">
      <c r="B41" s="12" t="s">
        <v>478</v>
      </c>
      <c r="C41" s="297">
        <v>0.56460900000000003</v>
      </c>
      <c r="D41" s="297">
        <v>0.54465419999999998</v>
      </c>
      <c r="E41" s="297">
        <v>0.47659990000000002</v>
      </c>
      <c r="F41" s="297">
        <v>0.54870039999999998</v>
      </c>
      <c r="G41" s="297">
        <v>0.43646220000000002</v>
      </c>
      <c r="H41" s="297">
        <v>0.40145180000000003</v>
      </c>
      <c r="I41" s="377">
        <v>0.38380239999999999</v>
      </c>
      <c r="J41" s="414">
        <v>0.42022229999999999</v>
      </c>
      <c r="K41" s="378">
        <v>0.3934936</v>
      </c>
    </row>
    <row r="42" spans="2:11" x14ac:dyDescent="0.25">
      <c r="B42" s="12" t="s">
        <v>479</v>
      </c>
      <c r="C42" s="297">
        <v>1.7553559999999999</v>
      </c>
      <c r="D42" s="297">
        <v>2.09015</v>
      </c>
      <c r="E42" s="297">
        <v>1.8213889999999999</v>
      </c>
      <c r="F42" s="297">
        <v>1.7143189999999999</v>
      </c>
      <c r="G42" s="297">
        <v>1.7380789999999999</v>
      </c>
      <c r="H42" s="297">
        <v>1.667025</v>
      </c>
      <c r="I42" s="377">
        <v>0.83414189999999999</v>
      </c>
      <c r="J42" s="414">
        <v>0.74627869999999996</v>
      </c>
      <c r="K42" s="378">
        <v>0.64711320000000006</v>
      </c>
    </row>
    <row r="43" spans="2:11" x14ac:dyDescent="0.25">
      <c r="B43" s="12" t="s">
        <v>480</v>
      </c>
      <c r="C43" s="297">
        <v>1.9131609999999999</v>
      </c>
      <c r="D43" s="297">
        <v>1.148261</v>
      </c>
      <c r="E43" s="297">
        <v>1.1993400000000001</v>
      </c>
      <c r="F43" s="297">
        <v>1.1848399999999999</v>
      </c>
      <c r="G43" s="297">
        <v>1.239277</v>
      </c>
      <c r="H43" s="297">
        <v>1.4009959999999999</v>
      </c>
      <c r="I43" s="377">
        <v>1.5212600000000001</v>
      </c>
      <c r="J43" s="414">
        <v>1.7013780000000001</v>
      </c>
      <c r="K43" s="378">
        <v>1.86249</v>
      </c>
    </row>
    <row r="44" spans="2:11" x14ac:dyDescent="0.25">
      <c r="B44" s="20" t="s">
        <v>481</v>
      </c>
      <c r="C44" s="402">
        <v>0.25624580000000002</v>
      </c>
      <c r="D44" s="402">
        <v>0.26089069999999998</v>
      </c>
      <c r="E44" s="402">
        <v>0.25421559999999999</v>
      </c>
      <c r="F44" s="402">
        <v>0.2802019</v>
      </c>
      <c r="G44" s="402">
        <v>0.24122360000000001</v>
      </c>
      <c r="H44" s="402">
        <v>0.22021560000000001</v>
      </c>
      <c r="I44" s="382">
        <v>0.20997840000000001</v>
      </c>
      <c r="J44" s="415">
        <v>0.2217286</v>
      </c>
      <c r="K44" s="383">
        <v>0.23762150000000001</v>
      </c>
    </row>
    <row r="46" spans="2:11" x14ac:dyDescent="0.25">
      <c r="B46" s="2" t="s">
        <v>482</v>
      </c>
    </row>
    <row r="48" spans="2:11" x14ac:dyDescent="0.25">
      <c r="B48" s="18"/>
      <c r="C48" s="6">
        <v>2024</v>
      </c>
      <c r="D48" s="6">
        <f t="shared" ref="D48:K48" si="3">C48+1</f>
        <v>2025</v>
      </c>
      <c r="E48" s="6">
        <f t="shared" si="3"/>
        <v>2026</v>
      </c>
      <c r="F48" s="6">
        <f t="shared" si="3"/>
        <v>2027</v>
      </c>
      <c r="G48" s="6">
        <f t="shared" si="3"/>
        <v>2028</v>
      </c>
      <c r="H48" s="6">
        <f t="shared" si="3"/>
        <v>2029</v>
      </c>
      <c r="I48" s="19">
        <f t="shared" si="3"/>
        <v>2030</v>
      </c>
      <c r="J48" s="27">
        <f t="shared" si="3"/>
        <v>2031</v>
      </c>
      <c r="K48" s="27">
        <f t="shared" si="3"/>
        <v>2032</v>
      </c>
    </row>
    <row r="49" spans="2:11" x14ac:dyDescent="0.25">
      <c r="B49" s="12" t="s">
        <v>483</v>
      </c>
      <c r="C49" s="294">
        <v>35214</v>
      </c>
      <c r="D49" s="294">
        <v>36585</v>
      </c>
      <c r="E49" s="294">
        <v>38089</v>
      </c>
      <c r="F49" s="294">
        <v>39039</v>
      </c>
      <c r="G49" s="294">
        <v>41977</v>
      </c>
      <c r="H49" s="294">
        <v>46800</v>
      </c>
      <c r="I49" s="410">
        <v>48621</v>
      </c>
      <c r="J49" s="397">
        <v>53214</v>
      </c>
      <c r="K49" s="391">
        <v>54639</v>
      </c>
    </row>
    <row r="50" spans="2:11" x14ac:dyDescent="0.25">
      <c r="B50" s="12" t="s">
        <v>484</v>
      </c>
      <c r="C50" s="294">
        <v>5577</v>
      </c>
      <c r="D50" s="294">
        <v>5660</v>
      </c>
      <c r="E50" s="294">
        <v>5919</v>
      </c>
      <c r="F50" s="294">
        <v>6152</v>
      </c>
      <c r="G50" s="294">
        <v>9540</v>
      </c>
      <c r="H50" s="294">
        <v>10284</v>
      </c>
      <c r="I50" s="410">
        <v>11313</v>
      </c>
      <c r="J50" s="397">
        <v>12198</v>
      </c>
      <c r="K50" s="391">
        <v>12644</v>
      </c>
    </row>
    <row r="51" spans="2:11" x14ac:dyDescent="0.25">
      <c r="B51" s="12" t="s">
        <v>485</v>
      </c>
      <c r="C51" s="294">
        <v>16673</v>
      </c>
      <c r="D51" s="294">
        <v>17913</v>
      </c>
      <c r="E51" s="294">
        <v>18100</v>
      </c>
      <c r="F51" s="294">
        <v>21273</v>
      </c>
      <c r="G51" s="294">
        <v>22041</v>
      </c>
      <c r="H51" s="294">
        <v>23011</v>
      </c>
      <c r="I51" s="410">
        <v>23341</v>
      </c>
      <c r="J51" s="397">
        <v>24467</v>
      </c>
      <c r="K51" s="391">
        <v>25158</v>
      </c>
    </row>
    <row r="52" spans="2:11" x14ac:dyDescent="0.25">
      <c r="B52" s="12" t="s">
        <v>486</v>
      </c>
      <c r="C52" s="294">
        <v>3993</v>
      </c>
      <c r="D52" s="294">
        <v>4446</v>
      </c>
      <c r="E52" s="294">
        <v>6139</v>
      </c>
      <c r="F52" s="294">
        <v>8546</v>
      </c>
      <c r="G52" s="294">
        <v>12668</v>
      </c>
      <c r="H52" s="294">
        <v>13964</v>
      </c>
      <c r="I52" s="410">
        <v>15000</v>
      </c>
      <c r="J52" s="397">
        <v>17250</v>
      </c>
      <c r="K52" s="391">
        <v>18682</v>
      </c>
    </row>
    <row r="53" spans="2:11" x14ac:dyDescent="0.25">
      <c r="B53" s="12" t="s">
        <v>487</v>
      </c>
      <c r="C53" s="294">
        <v>15258</v>
      </c>
      <c r="D53" s="294">
        <v>15824</v>
      </c>
      <c r="E53" s="294">
        <v>16001</v>
      </c>
      <c r="F53" s="294">
        <v>16294</v>
      </c>
      <c r="G53" s="294">
        <v>16782</v>
      </c>
      <c r="H53" s="294">
        <v>16968</v>
      </c>
      <c r="I53" s="410">
        <v>17548</v>
      </c>
      <c r="J53" s="397">
        <v>17709</v>
      </c>
      <c r="K53" s="391">
        <v>18049</v>
      </c>
    </row>
    <row r="54" spans="2:11" x14ac:dyDescent="0.25">
      <c r="B54" s="12" t="s">
        <v>488</v>
      </c>
      <c r="C54" s="294">
        <v>6603</v>
      </c>
      <c r="D54" s="294">
        <v>6661</v>
      </c>
      <c r="E54" s="294">
        <v>7177</v>
      </c>
      <c r="F54" s="294">
        <v>7251</v>
      </c>
      <c r="G54" s="294">
        <v>7737</v>
      </c>
      <c r="H54" s="294">
        <v>8442</v>
      </c>
      <c r="I54" s="410">
        <v>8888</v>
      </c>
      <c r="J54" s="397">
        <v>8962</v>
      </c>
      <c r="K54" s="391">
        <v>9449</v>
      </c>
    </row>
    <row r="55" spans="2:11" x14ac:dyDescent="0.25">
      <c r="B55" s="12" t="s">
        <v>489</v>
      </c>
      <c r="C55" s="294">
        <v>18528</v>
      </c>
      <c r="D55" s="294">
        <v>19467</v>
      </c>
      <c r="E55" s="294">
        <v>21145</v>
      </c>
      <c r="F55" s="294">
        <v>22070</v>
      </c>
      <c r="G55" s="294">
        <v>26386</v>
      </c>
      <c r="H55" s="294">
        <v>28054</v>
      </c>
      <c r="I55" s="410">
        <v>30181</v>
      </c>
      <c r="J55" s="397">
        <v>31538</v>
      </c>
      <c r="K55" s="391">
        <v>33603</v>
      </c>
    </row>
    <row r="56" spans="2:11" x14ac:dyDescent="0.25">
      <c r="B56" s="12" t="s">
        <v>490</v>
      </c>
      <c r="C56" s="294">
        <v>3335</v>
      </c>
      <c r="D56" s="294">
        <v>3493</v>
      </c>
      <c r="E56" s="294">
        <v>3741</v>
      </c>
      <c r="F56" s="294">
        <v>4098</v>
      </c>
      <c r="G56" s="294">
        <v>4320</v>
      </c>
      <c r="H56" s="294">
        <v>4670</v>
      </c>
      <c r="I56" s="410">
        <v>7099</v>
      </c>
      <c r="J56" s="397">
        <v>8079</v>
      </c>
      <c r="K56" s="397">
        <v>8920</v>
      </c>
    </row>
    <row r="57" spans="2:11" x14ac:dyDescent="0.25">
      <c r="B57" s="12" t="s">
        <v>491</v>
      </c>
      <c r="C57" s="294">
        <v>5460</v>
      </c>
      <c r="D57" s="294">
        <v>7100</v>
      </c>
      <c r="E57" s="294">
        <v>7615</v>
      </c>
      <c r="F57" s="294">
        <v>8506</v>
      </c>
      <c r="G57" s="294">
        <v>8736</v>
      </c>
      <c r="H57" s="294">
        <v>9403</v>
      </c>
      <c r="I57" s="410">
        <v>10093</v>
      </c>
      <c r="J57" s="397">
        <v>10403</v>
      </c>
      <c r="K57" s="397">
        <v>11047</v>
      </c>
    </row>
    <row r="58" spans="2:11" x14ac:dyDescent="0.25">
      <c r="B58" s="20" t="s">
        <v>492</v>
      </c>
      <c r="C58" s="298">
        <v>1406</v>
      </c>
      <c r="D58" s="298">
        <v>1688</v>
      </c>
      <c r="E58" s="298">
        <v>2010</v>
      </c>
      <c r="F58" s="298">
        <v>2378</v>
      </c>
      <c r="G58" s="298">
        <v>2768</v>
      </c>
      <c r="H58" s="298">
        <v>3399</v>
      </c>
      <c r="I58" s="408">
        <v>3572</v>
      </c>
      <c r="J58" s="398">
        <v>3879</v>
      </c>
      <c r="K58" s="398">
        <v>4203</v>
      </c>
    </row>
    <row r="59" spans="2:11" x14ac:dyDescent="0.25">
      <c r="B59" s="32">
        <f>'[5]2024-Final'!$B$47</f>
        <v>112047.30500148803</v>
      </c>
      <c r="C59" s="33">
        <f>SUM(C49:C58)</f>
        <v>112047</v>
      </c>
      <c r="D59" s="33">
        <f t="shared" ref="D59:K59" si="4">SUM(D49:D58)</f>
        <v>118837</v>
      </c>
      <c r="E59" s="33">
        <f t="shared" si="4"/>
        <v>125936</v>
      </c>
      <c r="F59" s="33">
        <f t="shared" si="4"/>
        <v>135607</v>
      </c>
      <c r="G59" s="33">
        <f t="shared" si="4"/>
        <v>152955</v>
      </c>
      <c r="H59" s="33">
        <f t="shared" si="4"/>
        <v>164995</v>
      </c>
      <c r="I59" s="33">
        <f t="shared" si="4"/>
        <v>175656</v>
      </c>
      <c r="J59" s="33">
        <f t="shared" si="4"/>
        <v>187699</v>
      </c>
      <c r="K59" s="33">
        <f t="shared" si="4"/>
        <v>196394</v>
      </c>
    </row>
    <row r="60" spans="2:11" x14ac:dyDescent="0.25">
      <c r="B60" s="2" t="s">
        <v>493</v>
      </c>
    </row>
    <row r="62" spans="2:11" x14ac:dyDescent="0.25">
      <c r="B62" s="18"/>
      <c r="C62" s="6">
        <v>2024</v>
      </c>
      <c r="D62" s="6">
        <f t="shared" ref="D62:K62" si="5">C62+1</f>
        <v>2025</v>
      </c>
      <c r="E62" s="6">
        <f t="shared" si="5"/>
        <v>2026</v>
      </c>
      <c r="F62" s="6">
        <f t="shared" si="5"/>
        <v>2027</v>
      </c>
      <c r="G62" s="6">
        <f t="shared" si="5"/>
        <v>2028</v>
      </c>
      <c r="H62" s="6">
        <f t="shared" si="5"/>
        <v>2029</v>
      </c>
      <c r="I62" s="19">
        <f t="shared" si="5"/>
        <v>2030</v>
      </c>
      <c r="J62" s="27">
        <f>I62+1</f>
        <v>2031</v>
      </c>
      <c r="K62" s="27">
        <f t="shared" si="5"/>
        <v>2032</v>
      </c>
    </row>
    <row r="63" spans="2:11" x14ac:dyDescent="0.25">
      <c r="B63" s="20" t="s">
        <v>494</v>
      </c>
      <c r="C63" s="298">
        <v>23498</v>
      </c>
      <c r="D63" s="298">
        <v>25216.46</v>
      </c>
      <c r="E63" s="380">
        <v>27152.240000000002</v>
      </c>
      <c r="F63" s="380">
        <v>30520.21</v>
      </c>
      <c r="G63" s="380">
        <v>32286.86</v>
      </c>
      <c r="H63" s="380">
        <v>35152.050000000003</v>
      </c>
      <c r="I63" s="380">
        <v>38072.82</v>
      </c>
      <c r="J63" s="380">
        <v>41208.99</v>
      </c>
      <c r="K63" s="408">
        <v>44720.1</v>
      </c>
    </row>
    <row r="64" spans="2:11" x14ac:dyDescent="0.25">
      <c r="B64" s="32">
        <f>'[5]2024-Final'!$B$39</f>
        <v>23641.3</v>
      </c>
      <c r="C64" s="4"/>
      <c r="D64" s="4"/>
      <c r="E64" s="4"/>
      <c r="F64" s="4"/>
      <c r="G64" s="4"/>
      <c r="H64" s="4"/>
    </row>
    <row r="65" spans="2:11" x14ac:dyDescent="0.25">
      <c r="B65" s="2" t="s">
        <v>495</v>
      </c>
      <c r="C65" s="4"/>
      <c r="D65" s="4"/>
      <c r="E65" s="4"/>
      <c r="F65" s="4"/>
      <c r="G65" s="4"/>
      <c r="H65" s="4"/>
    </row>
    <row r="66" spans="2:11" x14ac:dyDescent="0.25">
      <c r="C66" s="4"/>
      <c r="D66" s="4"/>
      <c r="E66" s="4"/>
      <c r="F66" s="4"/>
      <c r="G66" s="4"/>
      <c r="H66" s="4"/>
      <c r="K66" s="4"/>
    </row>
    <row r="67" spans="2:11" x14ac:dyDescent="0.25">
      <c r="B67" s="18"/>
      <c r="C67" s="6">
        <v>2024</v>
      </c>
      <c r="D67" s="6">
        <f t="shared" ref="D67:K67" si="6">C67+1</f>
        <v>2025</v>
      </c>
      <c r="E67" s="6">
        <f t="shared" si="6"/>
        <v>2026</v>
      </c>
      <c r="F67" s="6">
        <f t="shared" si="6"/>
        <v>2027</v>
      </c>
      <c r="G67" s="6">
        <f t="shared" si="6"/>
        <v>2028</v>
      </c>
      <c r="H67" s="6">
        <f t="shared" si="6"/>
        <v>2029</v>
      </c>
      <c r="I67" s="19">
        <f t="shared" si="6"/>
        <v>2030</v>
      </c>
      <c r="J67" s="27">
        <f t="shared" si="6"/>
        <v>2031</v>
      </c>
      <c r="K67" s="27">
        <f t="shared" si="6"/>
        <v>2032</v>
      </c>
    </row>
    <row r="68" spans="2:11" x14ac:dyDescent="0.25">
      <c r="B68" s="20" t="s">
        <v>496</v>
      </c>
      <c r="C68" s="298">
        <v>149651.5</v>
      </c>
      <c r="D68" s="298">
        <v>162416.70000000001</v>
      </c>
      <c r="E68" s="380">
        <v>161256.9</v>
      </c>
      <c r="F68" s="380">
        <v>181010.6</v>
      </c>
      <c r="G68" s="380">
        <v>189574.2</v>
      </c>
      <c r="H68" s="380">
        <v>205656</v>
      </c>
      <c r="I68" s="380">
        <v>215910.9</v>
      </c>
      <c r="J68" s="380">
        <v>223102.1</v>
      </c>
      <c r="K68" s="408">
        <v>232117.2</v>
      </c>
    </row>
    <row r="69" spans="2:11" x14ac:dyDescent="0.25">
      <c r="B69" s="31">
        <f>'[5]working file for the base'!$O$265</f>
        <v>149617.34166920002</v>
      </c>
      <c r="C69" s="4"/>
      <c r="D69" s="4"/>
      <c r="E69" s="4"/>
      <c r="F69" s="4"/>
      <c r="G69" s="4"/>
      <c r="H69" s="4"/>
      <c r="K69" s="4"/>
    </row>
    <row r="70" spans="2:11" x14ac:dyDescent="0.25">
      <c r="C70" s="4"/>
      <c r="D70" s="4"/>
      <c r="E70" s="4"/>
      <c r="F70" s="4"/>
      <c r="G70" s="4"/>
      <c r="H70" s="4"/>
      <c r="K70" s="4"/>
    </row>
    <row r="71" spans="2:11" x14ac:dyDescent="0.25">
      <c r="C71" s="4"/>
      <c r="D71" s="4"/>
      <c r="E71" s="4"/>
      <c r="F71" s="4"/>
      <c r="G71" s="4"/>
      <c r="H71" s="4"/>
      <c r="K71" s="4"/>
    </row>
    <row r="72" spans="2:11" x14ac:dyDescent="0.25">
      <c r="C72" s="4"/>
      <c r="D72" s="4"/>
      <c r="E72" s="4"/>
      <c r="F72" s="4"/>
      <c r="G72" s="4"/>
      <c r="H72" s="4"/>
      <c r="K72" s="4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7F96-38B6-4CDD-AF22-92EFAE3E9C93}">
  <dimension ref="B1:AU69"/>
  <sheetViews>
    <sheetView zoomScaleNormal="100" workbookViewId="0">
      <pane xSplit="2" ySplit="6" topLeftCell="AD10" activePane="bottomRight" state="frozen"/>
      <selection pane="topRight" activeCell="C1" sqref="C1"/>
      <selection pane="bottomLeft" activeCell="A7" sqref="A7"/>
      <selection pane="bottomRight" activeCell="AJ25" sqref="AJ25"/>
    </sheetView>
  </sheetViews>
  <sheetFormatPr defaultRowHeight="15" x14ac:dyDescent="0.25"/>
  <cols>
    <col min="2" max="2" width="32.7109375" customWidth="1"/>
    <col min="3" max="3" width="10" customWidth="1"/>
    <col min="4" max="6" width="9.5703125" bestFit="1" customWidth="1"/>
    <col min="7" max="8" width="11" bestFit="1" customWidth="1"/>
    <col min="9" max="10" width="9.5703125" bestFit="1" customWidth="1"/>
    <col min="11" max="11" width="10.85546875" bestFit="1" customWidth="1"/>
    <col min="12" max="12" width="9.140625" style="48"/>
    <col min="13" max="13" width="31.85546875" customWidth="1"/>
    <col min="14" max="14" width="14.7109375" customWidth="1"/>
    <col min="15" max="15" width="10" customWidth="1"/>
    <col min="16" max="16" width="11.140625" customWidth="1"/>
    <col min="17" max="17" width="9.85546875" customWidth="1"/>
    <col min="18" max="18" width="9.42578125" customWidth="1"/>
    <col min="19" max="19" width="9.85546875" customWidth="1"/>
    <col min="20" max="21" width="9.5703125" bestFit="1" customWidth="1"/>
    <col min="22" max="22" width="9.85546875" customWidth="1"/>
    <col min="32" max="32" width="9.5703125" bestFit="1" customWidth="1"/>
    <col min="36" max="36" width="10.140625" customWidth="1"/>
  </cols>
  <sheetData>
    <row r="1" spans="2:22" x14ac:dyDescent="0.25">
      <c r="Q1" s="269">
        <v>173423.84277369303</v>
      </c>
      <c r="R1" s="269">
        <v>195459.65593619589</v>
      </c>
      <c r="S1" s="269">
        <v>221947.31715478675</v>
      </c>
      <c r="T1" s="269">
        <v>250924.59826628535</v>
      </c>
      <c r="U1" s="269">
        <v>283354.66821163206</v>
      </c>
      <c r="V1" s="269">
        <v>318411.17615977518</v>
      </c>
    </row>
    <row r="2" spans="2:22" ht="18.75" x14ac:dyDescent="0.3">
      <c r="B2" s="3" t="s">
        <v>497</v>
      </c>
      <c r="M2" s="3" t="s">
        <v>497</v>
      </c>
    </row>
    <row r="4" spans="2:22" x14ac:dyDescent="0.25">
      <c r="B4" s="2" t="s">
        <v>498</v>
      </c>
      <c r="M4" s="2" t="s">
        <v>498</v>
      </c>
    </row>
    <row r="5" spans="2:22" x14ac:dyDescent="0.25">
      <c r="B5" s="25" t="s">
        <v>698</v>
      </c>
      <c r="D5" s="4">
        <f>D18-C18</f>
        <v>16404.255300000019</v>
      </c>
      <c r="E5" s="4">
        <f t="shared" ref="E5:K5" si="0">E18-D18</f>
        <v>10873.20769999997</v>
      </c>
      <c r="F5" s="4">
        <f t="shared" si="0"/>
        <v>19532.309600000008</v>
      </c>
      <c r="G5" s="4">
        <f t="shared" si="0"/>
        <v>10754.01430000001</v>
      </c>
      <c r="H5" s="4">
        <f t="shared" si="0"/>
        <v>12303.671399999992</v>
      </c>
      <c r="I5" s="4">
        <f t="shared" si="0"/>
        <v>11935.014200000005</v>
      </c>
      <c r="J5" s="4">
        <f t="shared" si="0"/>
        <v>16452.891700000007</v>
      </c>
      <c r="K5" s="4">
        <f t="shared" si="0"/>
        <v>17001.141399999993</v>
      </c>
      <c r="L5" s="46"/>
      <c r="M5" s="25" t="s">
        <v>698</v>
      </c>
    </row>
    <row r="6" spans="2:22" x14ac:dyDescent="0.25">
      <c r="B6" s="18"/>
      <c r="C6" s="6">
        <v>2024</v>
      </c>
      <c r="D6" s="6">
        <f t="shared" ref="D6:I6" si="1">C6+1</f>
        <v>2025</v>
      </c>
      <c r="E6" s="6">
        <f t="shared" si="1"/>
        <v>2026</v>
      </c>
      <c r="F6" s="6">
        <f t="shared" si="1"/>
        <v>2027</v>
      </c>
      <c r="G6" s="6">
        <f t="shared" si="1"/>
        <v>2028</v>
      </c>
      <c r="H6" s="6">
        <f t="shared" si="1"/>
        <v>2029</v>
      </c>
      <c r="I6" s="19">
        <f t="shared" si="1"/>
        <v>2030</v>
      </c>
      <c r="J6" s="19">
        <f t="shared" ref="J6" si="2">I6+1</f>
        <v>2031</v>
      </c>
      <c r="K6" s="19">
        <f t="shared" ref="K6" si="3">J6+1</f>
        <v>2032</v>
      </c>
      <c r="L6" s="49"/>
      <c r="M6" s="18"/>
      <c r="N6" s="6">
        <v>2024</v>
      </c>
      <c r="O6" s="6">
        <f t="shared" ref="O6" si="4">N6+1</f>
        <v>2025</v>
      </c>
      <c r="P6" s="6">
        <f t="shared" ref="P6" si="5">O6+1</f>
        <v>2026</v>
      </c>
      <c r="Q6" s="6">
        <f t="shared" ref="Q6" si="6">P6+1</f>
        <v>2027</v>
      </c>
      <c r="R6" s="6">
        <f t="shared" ref="R6" si="7">Q6+1</f>
        <v>2028</v>
      </c>
      <c r="S6" s="6">
        <f t="shared" ref="S6" si="8">R6+1</f>
        <v>2029</v>
      </c>
      <c r="T6" s="19">
        <f t="shared" ref="T6" si="9">S6+1</f>
        <v>2030</v>
      </c>
      <c r="U6" s="19">
        <f t="shared" ref="U6" si="10">T6+1</f>
        <v>2031</v>
      </c>
      <c r="V6" s="19">
        <f t="shared" ref="V6" si="11">U6+1</f>
        <v>2032</v>
      </c>
    </row>
    <row r="7" spans="2:22" x14ac:dyDescent="0.25">
      <c r="B7" s="12" t="s">
        <v>499</v>
      </c>
      <c r="C7" s="416">
        <v>39515.54</v>
      </c>
      <c r="D7" s="416">
        <v>44173.07</v>
      </c>
      <c r="E7" s="416">
        <v>45563.21</v>
      </c>
      <c r="F7" s="416">
        <v>47554.3</v>
      </c>
      <c r="G7" s="416">
        <v>47958.82</v>
      </c>
      <c r="H7" s="416">
        <v>51032.08</v>
      </c>
      <c r="I7" s="417">
        <v>51313.919999999998</v>
      </c>
      <c r="J7" s="418">
        <v>53663.34</v>
      </c>
      <c r="K7" s="414">
        <v>57338.93</v>
      </c>
      <c r="L7" s="46"/>
      <c r="M7" s="12" t="s">
        <v>499</v>
      </c>
      <c r="N7" s="86">
        <f>'2_Production_2'!C21-'2_Production_2'!C7-405.6</f>
        <v>35915.753245129155</v>
      </c>
      <c r="O7" s="86">
        <f>'2_Production_2'!D21-'2_Production_2'!D7</f>
        <v>38771.31917098321</v>
      </c>
      <c r="P7" s="86">
        <f>'2_Production_2'!E21-'2_Production_2'!E7</f>
        <v>44884.82568122416</v>
      </c>
      <c r="Q7" s="86">
        <f>'2_Production_2'!F21-'2_Production_2'!F7</f>
        <v>51040.391372110782</v>
      </c>
      <c r="R7" s="86">
        <f>'2_Production_2'!G21-'2_Production_2'!G7</f>
        <v>64274.183447008843</v>
      </c>
      <c r="S7" s="86">
        <f>'2_Production_2'!H21-'2_Production_2'!H7</f>
        <v>67157.097127318979</v>
      </c>
      <c r="T7" s="86">
        <f>'2_Production_2'!I21-'2_Production_2'!I7</f>
        <v>69302.968335518279</v>
      </c>
      <c r="U7" s="86">
        <f>'2_Production_2'!J21-'2_Production_2'!J7</f>
        <v>87150.445916019307</v>
      </c>
      <c r="V7" s="86">
        <f>'2_Production_2'!K21-'2_Production_2'!K7</f>
        <v>87774.052382678812</v>
      </c>
    </row>
    <row r="8" spans="2:22" x14ac:dyDescent="0.25">
      <c r="B8" s="12" t="s">
        <v>500</v>
      </c>
      <c r="C8" s="416">
        <v>7611.3639999999996</v>
      </c>
      <c r="D8" s="416">
        <v>9516.991</v>
      </c>
      <c r="E8" s="416">
        <v>10186.73</v>
      </c>
      <c r="F8" s="416">
        <v>10932.61</v>
      </c>
      <c r="G8" s="416">
        <v>11557.36</v>
      </c>
      <c r="H8" s="416">
        <v>12302.22</v>
      </c>
      <c r="I8" s="417">
        <v>13079.02</v>
      </c>
      <c r="J8" s="418">
        <v>13961.61</v>
      </c>
      <c r="K8" s="414">
        <v>14556.14</v>
      </c>
      <c r="L8" s="46"/>
      <c r="M8" s="12" t="s">
        <v>500</v>
      </c>
      <c r="N8" s="86">
        <f>'2_Production_2'!C23-'2_Production_2'!C8-83.8</f>
        <v>6456.5766147479699</v>
      </c>
      <c r="O8" s="86">
        <f>'2_Production_2'!D23-'2_Production_2'!D8</f>
        <v>7267.4055813578652</v>
      </c>
      <c r="P8" s="86">
        <f>'2_Production_2'!E23-'2_Production_2'!E8</f>
        <v>10332.600158532001</v>
      </c>
      <c r="Q8" s="86">
        <f>'2_Production_2'!F23-'2_Production_2'!F8</f>
        <v>15639.194367323415</v>
      </c>
      <c r="R8" s="86">
        <f>'2_Production_2'!G23-'2_Production_2'!G8</f>
        <v>16012.494864829026</v>
      </c>
      <c r="S8" s="86">
        <f>'2_Production_2'!H23-'2_Production_2'!H8</f>
        <v>20529.957677977141</v>
      </c>
      <c r="T8" s="86">
        <f>'2_Production_2'!I23-'2_Production_2'!I8</f>
        <v>26660.053050417231</v>
      </c>
      <c r="U8" s="86">
        <f>'2_Production_2'!J23-'2_Production_2'!J8</f>
        <v>28033.366575770109</v>
      </c>
      <c r="V8" s="86">
        <f>'2_Production_2'!K23-'2_Production_2'!K8</f>
        <v>38997.934654348435</v>
      </c>
    </row>
    <row r="9" spans="2:22" x14ac:dyDescent="0.25">
      <c r="B9" s="12" t="s">
        <v>501</v>
      </c>
      <c r="C9" s="416">
        <v>26297.31</v>
      </c>
      <c r="D9" s="416">
        <v>27890.52</v>
      </c>
      <c r="E9" s="416">
        <v>30207.69</v>
      </c>
      <c r="F9" s="416">
        <v>32823.68</v>
      </c>
      <c r="G9" s="416">
        <v>36474.15</v>
      </c>
      <c r="H9" s="416">
        <v>38264.97</v>
      </c>
      <c r="I9" s="417">
        <v>40480.269999999997</v>
      </c>
      <c r="J9" s="418">
        <v>41612.400000000001</v>
      </c>
      <c r="K9" s="414">
        <v>42670.86</v>
      </c>
      <c r="L9" s="46"/>
      <c r="M9" s="12" t="s">
        <v>501</v>
      </c>
      <c r="N9" s="86">
        <f>'2_Production_2'!C24-'2_Production_2'!C9-266</f>
        <v>20620.313210104505</v>
      </c>
      <c r="O9" s="86">
        <f>'2_Production_2'!D24-'2_Production_2'!D9</f>
        <v>23208.038028701667</v>
      </c>
      <c r="P9" s="86">
        <f>'2_Production_2'!E24-'2_Production_2'!E9</f>
        <v>27329.804349502112</v>
      </c>
      <c r="Q9" s="86">
        <f>'2_Production_2'!F24-'2_Production_2'!F9</f>
        <v>27092.557400062862</v>
      </c>
      <c r="R9" s="86">
        <f>'2_Production_2'!G24-'2_Production_2'!G9</f>
        <v>33007.049984082558</v>
      </c>
      <c r="S9" s="86">
        <f>'2_Production_2'!H24-'2_Production_2'!H9</f>
        <v>37119.087759819275</v>
      </c>
      <c r="T9" s="86">
        <f>'2_Production_2'!I24-'2_Production_2'!I9</f>
        <v>45964.244344040912</v>
      </c>
      <c r="U9" s="86">
        <f>'2_Production_2'!J24-'2_Production_2'!J9</f>
        <v>53049.581715165536</v>
      </c>
      <c r="V9" s="86">
        <f>'2_Production_2'!K24-'2_Production_2'!K9</f>
        <v>68102.227529031137</v>
      </c>
    </row>
    <row r="10" spans="2:22" x14ac:dyDescent="0.25">
      <c r="B10" s="12" t="s">
        <v>502</v>
      </c>
      <c r="C10" s="416">
        <v>6400.0150000000003</v>
      </c>
      <c r="D10" s="416">
        <v>7362.4679999999998</v>
      </c>
      <c r="E10" s="416">
        <v>8021.058</v>
      </c>
      <c r="F10" s="416">
        <v>10872.89</v>
      </c>
      <c r="G10" s="416">
        <v>11193.65</v>
      </c>
      <c r="H10" s="416">
        <v>11541.74</v>
      </c>
      <c r="I10" s="417">
        <v>12100.41</v>
      </c>
      <c r="J10" s="418">
        <v>13398.23</v>
      </c>
      <c r="K10" s="414">
        <v>15643.79</v>
      </c>
      <c r="L10" s="46"/>
      <c r="M10" s="12" t="s">
        <v>502</v>
      </c>
      <c r="N10" s="86">
        <f>'2_Production_2'!C25-'2_Production_2'!C10-70.6</f>
        <v>5589.7246989573177</v>
      </c>
      <c r="O10" s="86">
        <f>'2_Production_2'!D25-'2_Production_2'!D10</f>
        <v>6289.5270001336685</v>
      </c>
      <c r="P10" s="86">
        <f>'2_Production_2'!E25-'2_Production_2'!E10</f>
        <v>7640.3966275775547</v>
      </c>
      <c r="Q10" s="86">
        <f>'2_Production_2'!F25-'2_Production_2'!F10</f>
        <v>8703.5175052255618</v>
      </c>
      <c r="R10" s="86">
        <f>'2_Production_2'!G25-'2_Production_2'!G10</f>
        <v>10535.32396489671</v>
      </c>
      <c r="S10" s="86">
        <f>'2_Production_2'!H25-'2_Production_2'!H10</f>
        <v>12961.685235133016</v>
      </c>
      <c r="T10" s="86">
        <f>'2_Production_2'!I25-'2_Production_2'!I10</f>
        <v>13528.499689096747</v>
      </c>
      <c r="U10" s="86">
        <f>'2_Production_2'!J25-'2_Production_2'!J10</f>
        <v>15322.582570646693</v>
      </c>
      <c r="V10" s="86">
        <f>'2_Production_2'!K25-'2_Production_2'!K10</f>
        <v>19712.446459986786</v>
      </c>
    </row>
    <row r="11" spans="2:22" x14ac:dyDescent="0.25">
      <c r="B11" s="12" t="s">
        <v>503</v>
      </c>
      <c r="C11" s="416">
        <v>18820.43</v>
      </c>
      <c r="D11" s="416">
        <v>22602.04</v>
      </c>
      <c r="E11" s="416">
        <v>24801.57</v>
      </c>
      <c r="F11" s="416">
        <v>26232.53</v>
      </c>
      <c r="G11" s="385">
        <v>27312.639999999999</v>
      </c>
      <c r="H11" s="416">
        <v>27423.09</v>
      </c>
      <c r="I11" s="417">
        <v>29192.89</v>
      </c>
      <c r="J11" s="418">
        <v>30639.62</v>
      </c>
      <c r="K11" s="414">
        <v>32086.74</v>
      </c>
      <c r="L11" s="46"/>
      <c r="M11" s="12" t="s">
        <v>503</v>
      </c>
      <c r="N11" s="86">
        <f>'2_Production_2'!C26-'2_Production_2'!C11-231.1</f>
        <v>17873.272982555973</v>
      </c>
      <c r="O11" s="86">
        <f>'2_Production_2'!D26-'2_Production_2'!D11</f>
        <v>20116.857026815396</v>
      </c>
      <c r="P11" s="86">
        <f>'2_Production_2'!E26-'2_Production_2'!E11</f>
        <v>24902.383261513063</v>
      </c>
      <c r="Q11" s="86">
        <f>'2_Production_2'!F26-'2_Production_2'!F11</f>
        <v>27462.81579829011</v>
      </c>
      <c r="R11" s="86">
        <f>'2_Production_2'!G26-'2_Production_2'!G11</f>
        <v>29230.19254840845</v>
      </c>
      <c r="S11" s="86">
        <f>'2_Production_2'!H26-'2_Production_2'!H11</f>
        <v>35086.560390164894</v>
      </c>
      <c r="T11" s="86">
        <f>'2_Production_2'!I26-'2_Production_2'!I11</f>
        <v>38920.759875133634</v>
      </c>
      <c r="U11" s="86">
        <f>'2_Production_2'!J26-'2_Production_2'!J11</f>
        <v>43544.137978310122</v>
      </c>
      <c r="V11" s="86">
        <f>'2_Production_2'!K26-'2_Production_2'!K11</f>
        <v>47937.117665234102</v>
      </c>
    </row>
    <row r="12" spans="2:22" x14ac:dyDescent="0.25">
      <c r="B12" s="12" t="s">
        <v>504</v>
      </c>
      <c r="C12" s="416">
        <v>9677.3970000000008</v>
      </c>
      <c r="D12" s="416">
        <v>10669.76</v>
      </c>
      <c r="E12" s="416">
        <v>12302.49</v>
      </c>
      <c r="F12" s="416">
        <v>16196.72</v>
      </c>
      <c r="G12" s="416">
        <v>17212.580000000002</v>
      </c>
      <c r="H12" s="416">
        <v>18941.79</v>
      </c>
      <c r="I12" s="417">
        <v>19664.560000000001</v>
      </c>
      <c r="J12" s="418">
        <v>22309.08</v>
      </c>
      <c r="K12" s="414">
        <v>25183.82</v>
      </c>
      <c r="M12" s="12" t="s">
        <v>504</v>
      </c>
      <c r="N12" s="86">
        <f>'2_Production_2'!C27-'2_Production_2'!C12-115.3</f>
        <v>8765.5536110774065</v>
      </c>
      <c r="O12" s="86">
        <f>'2_Production_2'!D27-'2_Production_2'!D12</f>
        <v>9868.050251851304</v>
      </c>
      <c r="P12" s="86">
        <f>'2_Production_2'!E27-'2_Production_2'!E12</f>
        <v>11619.869144307808</v>
      </c>
      <c r="Q12" s="86">
        <f>'2_Production_2'!F27-'2_Production_2'!F12</f>
        <v>13048.294790480548</v>
      </c>
      <c r="R12" s="86">
        <f>'2_Production_2'!G27-'2_Production_2'!G12</f>
        <v>12873.923264902807</v>
      </c>
      <c r="S12" s="86">
        <f>'2_Production_2'!H27-'2_Production_2'!H12</f>
        <v>16838.973198083262</v>
      </c>
      <c r="T12" s="86">
        <f>'2_Production_2'!I27-'2_Production_2'!I12</f>
        <v>19384.192993227014</v>
      </c>
      <c r="U12" s="86">
        <f>'2_Production_2'!J27-'2_Production_2'!J12</f>
        <v>20733.76423000927</v>
      </c>
      <c r="V12" s="86">
        <f>'2_Production_2'!K27-'2_Production_2'!K12</f>
        <v>22913.833099932213</v>
      </c>
    </row>
    <row r="13" spans="2:22" x14ac:dyDescent="0.25">
      <c r="B13" s="12" t="s">
        <v>505</v>
      </c>
      <c r="C13" s="416">
        <v>21963.24</v>
      </c>
      <c r="D13" s="416">
        <v>22771.05</v>
      </c>
      <c r="E13" s="416">
        <v>23218.76</v>
      </c>
      <c r="F13" s="416">
        <v>26197.22</v>
      </c>
      <c r="G13" s="416">
        <v>28028.400000000001</v>
      </c>
      <c r="H13" s="416">
        <v>28550.799999999999</v>
      </c>
      <c r="I13" s="417">
        <v>30107.439999999999</v>
      </c>
      <c r="J13" s="418">
        <v>33040.86</v>
      </c>
      <c r="K13" s="414">
        <v>34175.81</v>
      </c>
      <c r="M13" s="12" t="s">
        <v>505</v>
      </c>
      <c r="N13" s="86">
        <f>'2_Production_2'!C28-'2_Production_2'!C13-255.2</f>
        <v>20962.62110950764</v>
      </c>
      <c r="O13" s="86">
        <f>'2_Production_2'!D28-'2_Production_2'!D13</f>
        <v>23576.396381790095</v>
      </c>
      <c r="P13" s="86">
        <f>'2_Production_2'!E28-'2_Production_2'!E13</f>
        <v>24355.060087519603</v>
      </c>
      <c r="Q13" s="86">
        <f>'2_Production_2'!F28-'2_Production_2'!F13</f>
        <v>27976.161976334985</v>
      </c>
      <c r="R13" s="86">
        <f>'2_Production_2'!G28-'2_Production_2'!G13</f>
        <v>31383.817546703453</v>
      </c>
      <c r="S13" s="86">
        <f>'2_Production_2'!H28-'2_Production_2'!H13</f>
        <v>37043.389250634529</v>
      </c>
      <c r="T13" s="86">
        <f>'2_Production_2'!I28-'2_Production_2'!I13</f>
        <v>43686.671427836001</v>
      </c>
      <c r="U13" s="86">
        <f>'2_Production_2'!J28-'2_Production_2'!J13</f>
        <v>47704.087062545412</v>
      </c>
      <c r="V13" s="86">
        <f>'2_Production_2'!K28-'2_Production_2'!K13</f>
        <v>50808.324960602498</v>
      </c>
    </row>
    <row r="14" spans="2:22" x14ac:dyDescent="0.25">
      <c r="B14" s="12" t="s">
        <v>506</v>
      </c>
      <c r="C14" s="416">
        <v>11160.44</v>
      </c>
      <c r="D14" s="416">
        <v>12766.69</v>
      </c>
      <c r="E14" s="416">
        <v>12640.44</v>
      </c>
      <c r="F14" s="416">
        <v>13470.68</v>
      </c>
      <c r="G14" s="416">
        <v>14226.67</v>
      </c>
      <c r="H14" s="416">
        <v>14976.56</v>
      </c>
      <c r="I14" s="417">
        <v>16107.12</v>
      </c>
      <c r="J14" s="418">
        <v>17267.03</v>
      </c>
      <c r="K14" s="414">
        <v>17759.349999999999</v>
      </c>
      <c r="L14" s="46"/>
      <c r="M14" s="12" t="s">
        <v>506</v>
      </c>
      <c r="N14" s="86">
        <f>'2_Production_2'!C29-'2_Production_2'!C14-369.4</f>
        <v>6623.7309218605797</v>
      </c>
      <c r="O14" s="86">
        <f>'2_Production_2'!D29-'2_Production_2'!D14</f>
        <v>7770.4881058526389</v>
      </c>
      <c r="P14" s="86">
        <f>'2_Production_2'!E29-'2_Production_2'!E14</f>
        <v>8108.5730840015949</v>
      </c>
      <c r="Q14" s="86">
        <f>'2_Production_2'!F29-'2_Production_2'!F14</f>
        <v>9509.3650471320616</v>
      </c>
      <c r="R14" s="86">
        <f>'2_Production_2'!G29-'2_Production_2'!G14</f>
        <v>9136.9545016171087</v>
      </c>
      <c r="S14" s="86">
        <f>'2_Production_2'!H29-'2_Production_2'!H14</f>
        <v>14238.893573613916</v>
      </c>
      <c r="T14" s="86">
        <f>'2_Production_2'!I29-'2_Production_2'!I14</f>
        <v>14451.427389129132</v>
      </c>
      <c r="U14" s="86">
        <f>'2_Production_2'!J29-'2_Production_2'!J14</f>
        <v>17091.025455980835</v>
      </c>
      <c r="V14" s="86">
        <f>'2_Production_2'!K29-'2_Production_2'!K14</f>
        <v>18457.9894701628</v>
      </c>
    </row>
    <row r="15" spans="2:22" x14ac:dyDescent="0.25">
      <c r="B15" s="12" t="s">
        <v>507</v>
      </c>
      <c r="C15" s="416">
        <v>17021.25</v>
      </c>
      <c r="D15" s="416">
        <v>17153.61</v>
      </c>
      <c r="E15" s="416">
        <v>18798.02</v>
      </c>
      <c r="F15" s="416">
        <v>20870.419999999998</v>
      </c>
      <c r="G15" s="416">
        <v>21913.17</v>
      </c>
      <c r="H15" s="416">
        <v>25069.03</v>
      </c>
      <c r="I15" s="417">
        <v>28032.94</v>
      </c>
      <c r="J15" s="418">
        <v>30553.82</v>
      </c>
      <c r="K15" s="414">
        <v>33944.42</v>
      </c>
      <c r="L15" s="46"/>
      <c r="M15" s="12" t="s">
        <v>507</v>
      </c>
      <c r="N15" s="86">
        <f>'2_Production_2'!C30-'2_Production_2'!C15-191.8</f>
        <v>16011.241116300191</v>
      </c>
      <c r="O15" s="86">
        <f>'2_Production_2'!D30-'2_Production_2'!D15</f>
        <v>18004.172906197175</v>
      </c>
      <c r="P15" s="86">
        <f>'2_Production_2'!E30-'2_Production_2'!E15</f>
        <v>18731.12106428494</v>
      </c>
      <c r="Q15" s="86">
        <f>'2_Production_2'!F30-'2_Production_2'!F15</f>
        <v>20337.837699754098</v>
      </c>
      <c r="R15" s="86">
        <f>'2_Production_2'!G30-'2_Production_2'!G15</f>
        <v>22581.196143649217</v>
      </c>
      <c r="S15" s="86">
        <f>'2_Production_2'!H30-'2_Production_2'!H15</f>
        <v>23058.588255095096</v>
      </c>
      <c r="T15" s="86">
        <f>'2_Production_2'!I30-'2_Production_2'!I15</f>
        <v>26175.339077938235</v>
      </c>
      <c r="U15" s="86">
        <f>'2_Production_2'!J30-'2_Production_2'!J15</f>
        <v>27225.513483142466</v>
      </c>
      <c r="V15" s="86">
        <f>'2_Production_2'!K30-'2_Production_2'!K15</f>
        <v>28926.56486521809</v>
      </c>
    </row>
    <row r="16" spans="2:22" x14ac:dyDescent="0.25">
      <c r="B16" s="12" t="s">
        <v>508</v>
      </c>
      <c r="C16" s="416">
        <v>702.51840000000004</v>
      </c>
      <c r="D16" s="416">
        <v>667.5607</v>
      </c>
      <c r="E16" s="416">
        <v>706.99940000000004</v>
      </c>
      <c r="F16" s="416">
        <v>828.22699999999998</v>
      </c>
      <c r="G16" s="416">
        <v>855.85130000000004</v>
      </c>
      <c r="H16" s="416">
        <v>934.68269999999995</v>
      </c>
      <c r="I16" s="417">
        <v>893.40689999999995</v>
      </c>
      <c r="J16" s="418">
        <v>978.87860000000001</v>
      </c>
      <c r="K16" s="414">
        <v>1066.1500000000001</v>
      </c>
      <c r="L16" s="46"/>
      <c r="M16" s="12" t="s">
        <v>508</v>
      </c>
      <c r="N16" s="86">
        <f>'2_Production_2'!C31-'2_Production_2'!C16-30.8</f>
        <v>2440.0501427887984</v>
      </c>
      <c r="O16" s="86">
        <f>'2_Production_2'!D31-'2_Production_2'!D16</f>
        <v>2745.5101099088843</v>
      </c>
      <c r="P16" s="86">
        <f>'2_Production_2'!E31-'2_Production_2'!E16</f>
        <v>3383.1918114159553</v>
      </c>
      <c r="Q16" s="86">
        <f>'2_Production_2'!F31-'2_Production_2'!F16</f>
        <v>4152.7313737361719</v>
      </c>
      <c r="R16" s="86">
        <f>'2_Production_2'!G31-'2_Production_2'!G16</f>
        <v>3965.3701014194744</v>
      </c>
      <c r="S16" s="86">
        <f>'2_Production_2'!H31-'2_Production_2'!H16</f>
        <v>5200.0496349615914</v>
      </c>
      <c r="T16" s="86">
        <f>'2_Production_2'!I31-'2_Production_2'!I16</f>
        <v>5935.6612459882344</v>
      </c>
      <c r="U16" s="86">
        <f>'2_Production_2'!J31-'2_Production_2'!J16</f>
        <v>6047.1322650221036</v>
      </c>
      <c r="V16" s="86">
        <f>'2_Production_2'!K31-'2_Production_2'!K16</f>
        <v>6575.5013611317127</v>
      </c>
    </row>
    <row r="17" spans="2:47" x14ac:dyDescent="0.25">
      <c r="B17" s="22" t="s">
        <v>509</v>
      </c>
      <c r="C17" s="419">
        <v>158568.1</v>
      </c>
      <c r="D17" s="419">
        <v>174972.4</v>
      </c>
      <c r="E17" s="419">
        <v>185845.6</v>
      </c>
      <c r="F17" s="419">
        <v>205377.9</v>
      </c>
      <c r="G17" s="419">
        <v>216131.9</v>
      </c>
      <c r="H17" s="419">
        <v>228435.6</v>
      </c>
      <c r="I17" s="420">
        <v>240370.6</v>
      </c>
      <c r="J17" s="421">
        <v>256823.5</v>
      </c>
      <c r="K17" s="422">
        <v>273824.59999999998</v>
      </c>
      <c r="L17" s="46"/>
      <c r="M17" s="22" t="s">
        <v>509</v>
      </c>
      <c r="N17" s="51">
        <f>SUM(N7:N16)</f>
        <v>141258.83765302954</v>
      </c>
      <c r="O17" s="51">
        <f t="shared" ref="O17:V17" si="12">SUM(O7:O16)</f>
        <v>157617.76456359192</v>
      </c>
      <c r="P17" s="51">
        <f t="shared" si="12"/>
        <v>181287.82526987881</v>
      </c>
      <c r="Q17" s="51">
        <f t="shared" si="12"/>
        <v>204962.86733045062</v>
      </c>
      <c r="R17" s="51">
        <f t="shared" si="12"/>
        <v>233000.50636751766</v>
      </c>
      <c r="S17" s="51">
        <f t="shared" si="12"/>
        <v>269234.28210280172</v>
      </c>
      <c r="T17" s="51">
        <f t="shared" si="12"/>
        <v>304009.81742832542</v>
      </c>
      <c r="U17" s="51">
        <f t="shared" si="12"/>
        <v>345901.63725261186</v>
      </c>
      <c r="V17" s="51">
        <f t="shared" si="12"/>
        <v>390205.99244832661</v>
      </c>
    </row>
    <row r="18" spans="2:47" x14ac:dyDescent="0.25">
      <c r="C18" s="33">
        <f t="shared" ref="C18:H18" si="13">SUM(C7:C16)</f>
        <v>159169.50440000001</v>
      </c>
      <c r="D18" s="33">
        <f t="shared" si="13"/>
        <v>175573.75970000002</v>
      </c>
      <c r="E18" s="33">
        <f t="shared" si="13"/>
        <v>186446.96739999999</v>
      </c>
      <c r="F18" s="33">
        <f t="shared" si="13"/>
        <v>205979.277</v>
      </c>
      <c r="G18" s="33">
        <f t="shared" si="13"/>
        <v>216733.29130000001</v>
      </c>
      <c r="H18" s="33">
        <f t="shared" si="13"/>
        <v>229036.9627</v>
      </c>
      <c r="I18" s="33">
        <f t="shared" ref="I18:K18" si="14">SUM(I7:I16)</f>
        <v>240971.97690000001</v>
      </c>
      <c r="J18" s="33">
        <f t="shared" si="14"/>
        <v>257424.86860000002</v>
      </c>
      <c r="K18" s="33">
        <f t="shared" si="14"/>
        <v>274426.01</v>
      </c>
      <c r="L18" s="46"/>
      <c r="M18" s="2" t="s">
        <v>291</v>
      </c>
      <c r="N18" s="4">
        <f>'3_In &amp; SA'!C68+689.2</f>
        <v>14524.861000000001</v>
      </c>
      <c r="O18" s="435">
        <f>'3_In &amp; SA'!D68+3879.8</f>
        <v>19301.089799999998</v>
      </c>
      <c r="P18" s="435">
        <f>'3_In &amp; SA'!E68+(16396.7555*13.5/100)</f>
        <v>18610.317492500002</v>
      </c>
      <c r="Q18" s="435">
        <f>'3_In &amp; SA'!F68+(18024.8889*13.7/100)</f>
        <v>20494.298679299998</v>
      </c>
      <c r="R18" s="435">
        <f>'3_In &amp; SA'!G68+(19040.9628*13.5/100)</f>
        <v>21611.492778</v>
      </c>
      <c r="S18" s="435">
        <f>'3_In &amp; SA'!H68+(20076.5768*8.2/100)</f>
        <v>21722.856097599997</v>
      </c>
      <c r="T18" s="435">
        <f>'3_In &amp; SA'!I68+(21031.3856*4.5/100)</f>
        <v>21977.797952000001</v>
      </c>
      <c r="U18" s="4">
        <f>'3_In &amp; SA'!J68</f>
        <v>22429.217100000002</v>
      </c>
      <c r="V18" s="4">
        <f>'3_In &amp; SA'!K68</f>
        <v>23764.345399999998</v>
      </c>
      <c r="AA18">
        <f>AD22/AC22*100</f>
        <v>39.655424971798446</v>
      </c>
      <c r="AD18">
        <f>AG24/AF24*100</f>
        <v>74.5</v>
      </c>
    </row>
    <row r="19" spans="2:47" x14ac:dyDescent="0.25">
      <c r="B19" s="2" t="s">
        <v>510</v>
      </c>
      <c r="C19" s="47">
        <f>'2_Production_2'!C32-'2_Production_2'!C17</f>
        <v>143278.43765302945</v>
      </c>
      <c r="D19" s="47">
        <f>'2_Production_2'!D32-'2_Production_2'!D17</f>
        <v>157617.76456359189</v>
      </c>
      <c r="E19" s="47">
        <f>'2_Production_2'!E32-'2_Production_2'!E17</f>
        <v>181287.82526987884</v>
      </c>
      <c r="F19" s="47">
        <f>'2_Production_2'!F32-'2_Production_2'!F17</f>
        <v>204962.86733045068</v>
      </c>
      <c r="G19" s="47">
        <f>'2_Production_2'!G32-'2_Production_2'!G17</f>
        <v>233000.50636751752</v>
      </c>
      <c r="H19" s="47">
        <f>'2_Production_2'!H32-'2_Production_2'!H17</f>
        <v>269234.28210280155</v>
      </c>
      <c r="I19" s="47">
        <f>'2_Production_2'!I32-'2_Production_2'!I17</f>
        <v>304009.81742832542</v>
      </c>
      <c r="J19" s="47">
        <f>'2_Production_2'!J32-'2_Production_2'!J17</f>
        <v>345901.63725261181</v>
      </c>
      <c r="K19" s="47">
        <f>'2_Production_2'!K32-'2_Production_2'!K17</f>
        <v>390205.99244832667</v>
      </c>
      <c r="L19" s="46"/>
      <c r="M19" s="2" t="s">
        <v>510</v>
      </c>
      <c r="N19" s="94">
        <f t="shared" ref="N19:O19" si="15">N17+N18</f>
        <v>155783.69865302954</v>
      </c>
      <c r="O19" s="94">
        <f t="shared" si="15"/>
        <v>176918.8543635919</v>
      </c>
      <c r="P19" s="94">
        <f>P17+P18</f>
        <v>199898.14276237882</v>
      </c>
      <c r="Q19" s="94">
        <f t="shared" ref="Q19:U19" si="16">Q17+Q18</f>
        <v>225457.16600975062</v>
      </c>
      <c r="R19" s="94">
        <f>R17+R18</f>
        <v>254611.99914551765</v>
      </c>
      <c r="S19" s="94">
        <f t="shared" si="16"/>
        <v>290957.13820040174</v>
      </c>
      <c r="T19" s="94">
        <f t="shared" si="16"/>
        <v>325987.61538032541</v>
      </c>
      <c r="U19" s="94">
        <f t="shared" si="16"/>
        <v>368330.85435261187</v>
      </c>
      <c r="V19" s="94">
        <f>V17+V18</f>
        <v>413970.3378483266</v>
      </c>
      <c r="W19" s="94"/>
      <c r="AM19">
        <f>AP24/AO24*100</f>
        <v>55.8</v>
      </c>
    </row>
    <row r="20" spans="2:47" x14ac:dyDescent="0.25">
      <c r="B20" s="25" t="s">
        <v>699</v>
      </c>
      <c r="C20" s="37">
        <f>C8+C9+C10</f>
        <v>40308.688999999998</v>
      </c>
      <c r="D20" s="37">
        <f t="shared" ref="D20:K20" si="17">D8+D9+D10</f>
        <v>44769.978999999999</v>
      </c>
      <c r="E20" s="37">
        <f t="shared" si="17"/>
        <v>48415.477999999996</v>
      </c>
      <c r="F20" s="37">
        <f t="shared" si="17"/>
        <v>54629.18</v>
      </c>
      <c r="G20" s="37">
        <f t="shared" si="17"/>
        <v>59225.16</v>
      </c>
      <c r="H20" s="37">
        <f t="shared" si="17"/>
        <v>62108.93</v>
      </c>
      <c r="I20" s="37">
        <f t="shared" si="17"/>
        <v>65659.7</v>
      </c>
      <c r="J20" s="37">
        <f t="shared" si="17"/>
        <v>68972.240000000005</v>
      </c>
      <c r="K20" s="37">
        <f t="shared" si="17"/>
        <v>72870.790000000008</v>
      </c>
      <c r="L20" s="46"/>
      <c r="M20" s="25" t="s">
        <v>699</v>
      </c>
      <c r="O20" s="437"/>
      <c r="P20" s="121"/>
      <c r="W20" s="484">
        <v>2026</v>
      </c>
      <c r="X20" s="484"/>
      <c r="Y20" s="485"/>
      <c r="Z20" s="484">
        <v>2027</v>
      </c>
      <c r="AA20" s="484"/>
      <c r="AB20" s="485"/>
      <c r="AC20" s="484">
        <v>2028</v>
      </c>
      <c r="AD20" s="484"/>
      <c r="AE20" s="485"/>
      <c r="AF20" s="484">
        <v>2029</v>
      </c>
      <c r="AG20" s="484"/>
      <c r="AH20" s="485"/>
      <c r="AI20" s="484">
        <v>2030</v>
      </c>
      <c r="AJ20" s="484"/>
      <c r="AK20" s="485"/>
      <c r="AL20" s="484">
        <v>2031</v>
      </c>
      <c r="AM20" s="484"/>
      <c r="AN20" s="485"/>
      <c r="AO20" s="484">
        <v>2032</v>
      </c>
      <c r="AP20" s="484"/>
      <c r="AQ20" s="485"/>
      <c r="AS20" s="484">
        <v>2025</v>
      </c>
      <c r="AT20" s="484"/>
      <c r="AU20" s="485"/>
    </row>
    <row r="21" spans="2:47" x14ac:dyDescent="0.25">
      <c r="B21" s="18"/>
      <c r="C21" s="6">
        <v>2024</v>
      </c>
      <c r="D21" s="6">
        <f t="shared" ref="D21:K21" si="18">C21+1</f>
        <v>2025</v>
      </c>
      <c r="E21" s="6">
        <f t="shared" si="18"/>
        <v>2026</v>
      </c>
      <c r="F21" s="6">
        <f t="shared" si="18"/>
        <v>2027</v>
      </c>
      <c r="G21" s="6">
        <f t="shared" si="18"/>
        <v>2028</v>
      </c>
      <c r="H21" s="6">
        <f t="shared" si="18"/>
        <v>2029</v>
      </c>
      <c r="I21" s="19">
        <f t="shared" si="18"/>
        <v>2030</v>
      </c>
      <c r="J21" s="19">
        <f t="shared" si="18"/>
        <v>2031</v>
      </c>
      <c r="K21" s="19">
        <f t="shared" si="18"/>
        <v>2032</v>
      </c>
      <c r="L21" s="46"/>
      <c r="M21" s="18"/>
      <c r="N21" s="438">
        <v>2024</v>
      </c>
      <c r="O21" s="6">
        <v>2025</v>
      </c>
      <c r="P21" s="27">
        <v>2026</v>
      </c>
      <c r="Q21" s="6">
        <v>2027</v>
      </c>
      <c r="R21" s="27">
        <v>2028</v>
      </c>
      <c r="S21" s="27">
        <v>2029</v>
      </c>
      <c r="T21" s="19">
        <v>2030</v>
      </c>
      <c r="U21" s="27">
        <v>2031</v>
      </c>
      <c r="V21" s="19">
        <v>2032</v>
      </c>
      <c r="W21" s="73" t="s">
        <v>719</v>
      </c>
      <c r="X21" s="74" t="s">
        <v>720</v>
      </c>
      <c r="Y21" s="75" t="s">
        <v>744</v>
      </c>
      <c r="Z21" s="73" t="s">
        <v>719</v>
      </c>
      <c r="AA21" s="74" t="s">
        <v>720</v>
      </c>
      <c r="AB21" s="75" t="s">
        <v>744</v>
      </c>
      <c r="AC21" s="73" t="s">
        <v>719</v>
      </c>
      <c r="AD21" s="74" t="s">
        <v>720</v>
      </c>
      <c r="AE21" s="75" t="s">
        <v>744</v>
      </c>
      <c r="AF21" s="73" t="s">
        <v>719</v>
      </c>
      <c r="AG21" s="74" t="s">
        <v>720</v>
      </c>
      <c r="AH21" s="75" t="s">
        <v>744</v>
      </c>
      <c r="AI21" s="73" t="s">
        <v>719</v>
      </c>
      <c r="AJ21" s="74" t="s">
        <v>720</v>
      </c>
      <c r="AK21" s="75" t="s">
        <v>744</v>
      </c>
      <c r="AL21" s="73" t="s">
        <v>719</v>
      </c>
      <c r="AM21" s="74" t="s">
        <v>720</v>
      </c>
      <c r="AN21" s="75" t="s">
        <v>744</v>
      </c>
      <c r="AO21" s="73" t="s">
        <v>719</v>
      </c>
      <c r="AP21" s="74" t="s">
        <v>720</v>
      </c>
      <c r="AQ21" s="75" t="s">
        <v>744</v>
      </c>
      <c r="AS21" s="73" t="s">
        <v>719</v>
      </c>
      <c r="AT21" s="74" t="s">
        <v>720</v>
      </c>
      <c r="AU21" s="75" t="s">
        <v>744</v>
      </c>
    </row>
    <row r="22" spans="2:47" x14ac:dyDescent="0.25">
      <c r="B22" s="12" t="s">
        <v>511</v>
      </c>
      <c r="C22" s="294">
        <v>46034.76</v>
      </c>
      <c r="D22" s="294">
        <v>47200.61</v>
      </c>
      <c r="E22" s="294">
        <v>48583.05</v>
      </c>
      <c r="F22" s="294">
        <v>53633.24</v>
      </c>
      <c r="G22" s="294">
        <v>58780.61</v>
      </c>
      <c r="H22" s="294">
        <v>61535.96</v>
      </c>
      <c r="I22" s="308">
        <v>64374.36</v>
      </c>
      <c r="J22" s="391">
        <v>66089.8</v>
      </c>
      <c r="K22" s="397">
        <v>67560.570000000007</v>
      </c>
      <c r="L22" s="46"/>
      <c r="M22" s="12" t="s">
        <v>511</v>
      </c>
      <c r="N22" s="323">
        <v>29809.8</v>
      </c>
      <c r="O22" s="37">
        <f t="shared" ref="O22:O31" si="19">AU22</f>
        <v>39502.510155027208</v>
      </c>
      <c r="P22" s="440">
        <f t="shared" ref="P22:P31" si="20">Y22</f>
        <v>46658.686074335012</v>
      </c>
      <c r="Q22" s="37">
        <f t="shared" ref="Q22:Q31" si="21">AB22</f>
        <v>55528.649109241313</v>
      </c>
      <c r="R22" s="440">
        <f t="shared" ref="R22:R31" si="22">AE22</f>
        <v>68336.48018916478</v>
      </c>
      <c r="S22" s="39">
        <f t="shared" ref="S22:S31" si="23">AH22</f>
        <v>72753.275696719211</v>
      </c>
      <c r="T22" s="38">
        <f t="shared" ref="T22:T31" si="24">AK22</f>
        <v>76222.844814524477</v>
      </c>
      <c r="U22" s="38">
        <f t="shared" ref="U22:U31" si="25">AN22</f>
        <v>94515.67646602873</v>
      </c>
      <c r="V22" s="38">
        <f t="shared" ref="V22:V31" si="26">AQ22</f>
        <v>97849.871423299512</v>
      </c>
      <c r="W22">
        <f>'2_Production_2'!E21/'1_Prices'!E3</f>
        <v>92204.893238755743</v>
      </c>
      <c r="X22">
        <f>'2_Production_2'!E7/'1_Prices'!E77</f>
        <v>45546.207164420732</v>
      </c>
      <c r="Y22">
        <f>W22-X22</f>
        <v>46658.686074335012</v>
      </c>
      <c r="Z22">
        <f>'2_Production_2'!F21/'1_Prices'!F3</f>
        <v>103350.75684432463</v>
      </c>
      <c r="AA22">
        <f>'2_Production_2'!F7/'1_Prices'!F77</f>
        <v>47822.107735083315</v>
      </c>
      <c r="AB22">
        <f>Z22-AA22</f>
        <v>55528.649109241313</v>
      </c>
      <c r="AC22">
        <f>'2_Production_2'!G21/'1_Prices'!G3</f>
        <v>113243.78398095981</v>
      </c>
      <c r="AD22">
        <f>'2_Production_2'!G7/'1_Prices'!G77</f>
        <v>44907.303791795028</v>
      </c>
      <c r="AE22">
        <f>AC22-AD22</f>
        <v>68336.48018916478</v>
      </c>
      <c r="AF22">
        <f>'2_Production_2'!H21/'1_Prices'!H3</f>
        <v>124069.91069045452</v>
      </c>
      <c r="AG22">
        <f>'2_Production_2'!H7/'1_Prices'!H77</f>
        <v>51316.634993735308</v>
      </c>
      <c r="AH22">
        <f>AF22-AG22</f>
        <v>72753.275696719211</v>
      </c>
      <c r="AI22" s="12">
        <f>'2_Production_2'!I21/'1_Prices'!I3</f>
        <v>135862.76527140738</v>
      </c>
      <c r="AJ22">
        <f>'2_Production_2'!I7/'1_Prices'!I77</f>
        <v>59639.920456882901</v>
      </c>
      <c r="AK22">
        <f>AI22-AJ22</f>
        <v>76222.844814524477</v>
      </c>
      <c r="AL22" s="134">
        <f>'2_Production_2'!J21/'1_Prices'!J3</f>
        <v>147358.8752655295</v>
      </c>
      <c r="AM22">
        <f>'2_Production_2'!J7/'1_Prices'!J77</f>
        <v>52843.198799500758</v>
      </c>
      <c r="AN22">
        <f>AL22-AM22</f>
        <v>94515.67646602873</v>
      </c>
      <c r="AO22" s="69">
        <f>'2_Production_2'!K21/'1_Prices'!K3</f>
        <v>159270.6448606039</v>
      </c>
      <c r="AP22">
        <f>'2_Production_2'!K7/'1_Prices'!K77</f>
        <v>61420.7734373044</v>
      </c>
      <c r="AQ22">
        <f>AO22-AP22</f>
        <v>97849.871423299512</v>
      </c>
      <c r="AS22">
        <f>'2_Production_2'!D21/'1_Prices'!D5</f>
        <v>81366.648187635845</v>
      </c>
      <c r="AT22">
        <f>'2_Production_2'!D7/'1_Prices'!D77</f>
        <v>41864.138032608636</v>
      </c>
      <c r="AU22">
        <f>AS22-AT22</f>
        <v>39502.510155027208</v>
      </c>
    </row>
    <row r="23" spans="2:47" x14ac:dyDescent="0.25">
      <c r="B23" s="12" t="s">
        <v>512</v>
      </c>
      <c r="C23" s="294">
        <v>5758.9549999999999</v>
      </c>
      <c r="D23" s="294">
        <v>6304.0439999999999</v>
      </c>
      <c r="E23" s="294">
        <v>6783.924</v>
      </c>
      <c r="F23" s="294">
        <v>7407.5450000000001</v>
      </c>
      <c r="G23" s="294">
        <v>8897.8070000000007</v>
      </c>
      <c r="H23" s="294">
        <v>9165.0290000000005</v>
      </c>
      <c r="I23" s="308">
        <v>9252.1990000000005</v>
      </c>
      <c r="J23" s="391">
        <v>10030.19</v>
      </c>
      <c r="K23" s="397">
        <v>10723.74</v>
      </c>
      <c r="L23" s="46"/>
      <c r="M23" s="12" t="s">
        <v>512</v>
      </c>
      <c r="N23" s="323">
        <v>6469.8</v>
      </c>
      <c r="O23" s="37">
        <f t="shared" si="19"/>
        <v>7591.3827082920598</v>
      </c>
      <c r="P23" s="440">
        <f t="shared" si="20"/>
        <v>11099.395271927226</v>
      </c>
      <c r="Q23" s="37">
        <f t="shared" si="21"/>
        <v>20542.105586620753</v>
      </c>
      <c r="R23" s="440">
        <f t="shared" si="22"/>
        <v>22339.945834147813</v>
      </c>
      <c r="S23" s="39">
        <f t="shared" si="23"/>
        <v>17985.633241865769</v>
      </c>
      <c r="T23" s="38">
        <f t="shared" si="24"/>
        <v>33315.206119055787</v>
      </c>
      <c r="U23" s="38">
        <f t="shared" si="25"/>
        <v>36999.982054111526</v>
      </c>
      <c r="V23" s="38">
        <f t="shared" si="26"/>
        <v>46459.40720554872</v>
      </c>
      <c r="W23">
        <f>'2_Production_2'!E23/'1_Prices'!E6</f>
        <v>25685.945055221284</v>
      </c>
      <c r="X23">
        <f>'2_Production_2'!E8/'1_Prices'!E78</f>
        <v>14586.549783294058</v>
      </c>
      <c r="Y23">
        <f>W23-X23</f>
        <v>11099.395271927226</v>
      </c>
      <c r="Z23">
        <f>'2_Production_2'!F23/'1_Prices'!F6</f>
        <v>32915.957626568619</v>
      </c>
      <c r="AA23">
        <f>'2_Production_2'!F8/'1_Prices'!F78</f>
        <v>12373.852039947866</v>
      </c>
      <c r="AB23">
        <f>Z23-AA23</f>
        <v>20542.105586620753</v>
      </c>
      <c r="AC23">
        <f>'2_Production_2'!G23/'1_Prices'!G6</f>
        <v>43576.750526810152</v>
      </c>
      <c r="AD23">
        <f>'2_Production_2'!G8/'1_Prices'!G78</f>
        <v>21236.804692662339</v>
      </c>
      <c r="AE23">
        <f t="shared" ref="AE23:AE31" si="27">AC23-AD23</f>
        <v>22339.945834147813</v>
      </c>
      <c r="AF23">
        <f>'2_Production_2'!H23/'1_Prices'!H6</f>
        <v>51387.523548187914</v>
      </c>
      <c r="AG23">
        <f>AF23*65/100</f>
        <v>33401.890306322144</v>
      </c>
      <c r="AH23">
        <f t="shared" ref="AH23:AH31" si="28">AF23-AG23</f>
        <v>17985.633241865769</v>
      </c>
      <c r="AI23" s="12">
        <f>'2_Production_2'!I23/'1_Prices'!I6</f>
        <v>52510.91293254395</v>
      </c>
      <c r="AJ23">
        <f>'2_Production_2'!I8/'1_Prices'!I78</f>
        <v>19195.706813488163</v>
      </c>
      <c r="AK23">
        <f t="shared" ref="AK23:AK31" si="29">AI23-AJ23</f>
        <v>33315.206119055787</v>
      </c>
      <c r="AL23">
        <f>'2_Production_2'!J23/'1_Prices'!J6</f>
        <v>56320.173934244311</v>
      </c>
      <c r="AM23">
        <f>'2_Production_2'!J8/'1_Prices'!J78</f>
        <v>19320.191880132785</v>
      </c>
      <c r="AN23">
        <f t="shared" ref="AN23:AN31" si="30">AL23-AM23</f>
        <v>36999.982054111526</v>
      </c>
      <c r="AO23">
        <f>'2_Production_2'!K23/'1_Prices'!K6</f>
        <v>56211.618626271586</v>
      </c>
      <c r="AP23">
        <f>'2_Production_2'!K8/'1_Prices'!K78</f>
        <v>9752.2114207228642</v>
      </c>
      <c r="AQ23">
        <f t="shared" ref="AQ23:AQ31" si="31">AO23-AP23</f>
        <v>46459.40720554872</v>
      </c>
      <c r="AS23">
        <f>'2_Production_2'!D23/'1_Prices'!D6</f>
        <v>14585.317316200812</v>
      </c>
      <c r="AT23">
        <f>'2_Production_2'!D8/'1_Prices'!D78</f>
        <v>6993.9346079087518</v>
      </c>
      <c r="AU23">
        <f>AS23-AT23</f>
        <v>7591.3827082920598</v>
      </c>
    </row>
    <row r="24" spans="2:47" x14ac:dyDescent="0.25">
      <c r="B24" s="12" t="s">
        <v>513</v>
      </c>
      <c r="C24" s="294">
        <v>14995.81</v>
      </c>
      <c r="D24" s="294">
        <v>17098.45</v>
      </c>
      <c r="E24" s="294">
        <v>15225.02</v>
      </c>
      <c r="F24" s="294">
        <v>19543.02</v>
      </c>
      <c r="G24" s="294">
        <v>20437.080000000002</v>
      </c>
      <c r="H24" s="294">
        <v>24604.74</v>
      </c>
      <c r="I24" s="308">
        <v>24458.9</v>
      </c>
      <c r="J24" s="391">
        <v>26101.73</v>
      </c>
      <c r="K24" s="397">
        <v>28270.14</v>
      </c>
      <c r="L24" s="46"/>
      <c r="M24" s="12" t="s">
        <v>513</v>
      </c>
      <c r="N24" s="323">
        <v>20560.900000000001</v>
      </c>
      <c r="O24" s="37">
        <f t="shared" si="19"/>
        <v>25057.481336219673</v>
      </c>
      <c r="P24" s="440">
        <f t="shared" si="20"/>
        <v>15616.756755152972</v>
      </c>
      <c r="Q24" s="37">
        <f t="shared" si="21"/>
        <v>12629.743580333743</v>
      </c>
      <c r="R24" s="440">
        <f t="shared" si="22"/>
        <v>14838.628256985889</v>
      </c>
      <c r="S24" s="39">
        <f t="shared" si="23"/>
        <v>24053.689559995721</v>
      </c>
      <c r="T24" s="38">
        <f t="shared" si="24"/>
        <v>24947.974569142418</v>
      </c>
      <c r="U24" s="38">
        <f t="shared" si="25"/>
        <v>31554.847476507377</v>
      </c>
      <c r="V24" s="38">
        <f t="shared" si="26"/>
        <v>47751.9922074223</v>
      </c>
      <c r="W24">
        <f>'2_Production_2'!E24/'1_Prices'!E7</f>
        <v>57626.408690601398</v>
      </c>
      <c r="X24">
        <f>W24*72.9/100</f>
        <v>42009.651935448426</v>
      </c>
      <c r="Y24">
        <f>W24-X24</f>
        <v>15616.756755152972</v>
      </c>
      <c r="Z24">
        <f>'2_Production_2'!F24/'1_Prices'!F7</f>
        <v>57148.160996985273</v>
      </c>
      <c r="AA24">
        <f>Z24*77.9/100</f>
        <v>44518.417416651529</v>
      </c>
      <c r="AB24">
        <f>Z24-AA24</f>
        <v>12629.743580333743</v>
      </c>
      <c r="AC24">
        <f>'2_Production_2'!G24/'1_Prices'!G7</f>
        <v>72383.552473101881</v>
      </c>
      <c r="AD24">
        <f>AC24*79.5/100</f>
        <v>57544.924216115993</v>
      </c>
      <c r="AE24">
        <f t="shared" si="27"/>
        <v>14838.628256985889</v>
      </c>
      <c r="AF24">
        <f>'2_Production_2'!H24/'1_Prices'!H7</f>
        <v>94328.194352924402</v>
      </c>
      <c r="AG24">
        <f>AF24*74.5/100</f>
        <v>70274.504792928681</v>
      </c>
      <c r="AH24">
        <f t="shared" si="28"/>
        <v>24053.689559995721</v>
      </c>
      <c r="AI24" s="12">
        <f>'2_Production_2'!I24/'1_Prices'!I7</f>
        <v>95586.109460315769</v>
      </c>
      <c r="AJ24">
        <f>AI24*73.9/100</f>
        <v>70638.134891173351</v>
      </c>
      <c r="AK24">
        <f t="shared" si="29"/>
        <v>24947.974569142418</v>
      </c>
      <c r="AL24">
        <f>'2_Production_2'!J24/'1_Prices'!J7</f>
        <v>106965.5846661267</v>
      </c>
      <c r="AM24">
        <f>AL24*70.5/100</f>
        <v>75410.737189619322</v>
      </c>
      <c r="AN24">
        <f t="shared" si="30"/>
        <v>31554.847476507377</v>
      </c>
      <c r="AO24">
        <f>'2_Production_2'!K24/'1_Prices'!K7</f>
        <v>108036.18146475633</v>
      </c>
      <c r="AP24">
        <f>AO24*55.8/100</f>
        <v>60284.18925733403</v>
      </c>
      <c r="AQ24">
        <f t="shared" si="31"/>
        <v>47751.9922074223</v>
      </c>
      <c r="AS24">
        <f>'2_Production_2'!D24/'1_Prices'!D7</f>
        <v>63057.443347598099</v>
      </c>
      <c r="AT24">
        <f>'2_Production_2'!D9/'1_Prices'!D79</f>
        <v>37999.962011378426</v>
      </c>
      <c r="AU24">
        <f>AS24-AT24</f>
        <v>25057.481336219673</v>
      </c>
    </row>
    <row r="25" spans="2:47" x14ac:dyDescent="0.25">
      <c r="B25" s="12" t="s">
        <v>514</v>
      </c>
      <c r="C25" s="294">
        <v>5451.6459999999997</v>
      </c>
      <c r="D25" s="294">
        <v>6013.4769999999999</v>
      </c>
      <c r="E25" s="294">
        <v>6081.9129999999996</v>
      </c>
      <c r="F25" s="294">
        <v>7084.9660000000003</v>
      </c>
      <c r="G25" s="294">
        <v>7482.4430000000002</v>
      </c>
      <c r="H25" s="294">
        <v>7991.808</v>
      </c>
      <c r="I25" s="308">
        <v>8256.2669999999998</v>
      </c>
      <c r="J25" s="391">
        <v>9539.2990000000009</v>
      </c>
      <c r="K25" s="397">
        <v>9816.6080000000002</v>
      </c>
      <c r="L25" s="46"/>
      <c r="M25" s="12" t="s">
        <v>514</v>
      </c>
      <c r="N25" s="323">
        <v>4684.7</v>
      </c>
      <c r="O25" s="37">
        <f t="shared" si="19"/>
        <v>6592.6033978845589</v>
      </c>
      <c r="P25" s="440">
        <f t="shared" si="20"/>
        <v>7797.3686828143245</v>
      </c>
      <c r="Q25" s="37">
        <f t="shared" si="21"/>
        <v>8708.2549973622226</v>
      </c>
      <c r="R25" s="440">
        <f t="shared" si="22"/>
        <v>10633.640413883819</v>
      </c>
      <c r="S25" s="39">
        <f t="shared" si="23"/>
        <v>12455.999038983198</v>
      </c>
      <c r="T25" s="38">
        <f t="shared" si="24"/>
        <v>14357.38849884658</v>
      </c>
      <c r="U25" s="38">
        <f t="shared" si="25"/>
        <v>14894.474225888265</v>
      </c>
      <c r="V25" s="38">
        <f t="shared" si="26"/>
        <v>20405.093497475602</v>
      </c>
      <c r="W25">
        <f>'2_Production_2'!E25/'1_Prices'!E8</f>
        <v>12670.15431544917</v>
      </c>
      <c r="X25">
        <f>'2_Production_2'!E10/'1_Prices'!E80</f>
        <v>4872.7856326348456</v>
      </c>
      <c r="Y25">
        <f t="shared" ref="Y25:Y31" si="32">W25-X25</f>
        <v>7797.3686828143245</v>
      </c>
      <c r="Z25">
        <f>'2_Production_2'!F25/'1_Prices'!F8</f>
        <v>14009.995700007899</v>
      </c>
      <c r="AA25">
        <f>'2_Production_2'!F10/'1_Prices'!F80</f>
        <v>5301.7407026456758</v>
      </c>
      <c r="AB25">
        <f t="shared" ref="AB25:AB31" si="33">Z25-AA25</f>
        <v>8708.2549973622226</v>
      </c>
      <c r="AC25">
        <f>'2_Production_2'!G25/'1_Prices'!G8</f>
        <v>16941.481472696159</v>
      </c>
      <c r="AD25">
        <f>'2_Production_2'!G10/'1_Prices'!G80</f>
        <v>6307.8410588123406</v>
      </c>
      <c r="AE25">
        <f t="shared" si="27"/>
        <v>10633.640413883819</v>
      </c>
      <c r="AF25">
        <f>'2_Production_2'!H25/'1_Prices'!H8</f>
        <v>19873.602662203306</v>
      </c>
      <c r="AG25">
        <f>'2_Production_2'!H10/'1_Prices'!H80</f>
        <v>7417.6036232201077</v>
      </c>
      <c r="AH25">
        <f t="shared" si="28"/>
        <v>12455.999038983198</v>
      </c>
      <c r="AI25" s="12">
        <f>'2_Production_2'!I25/'1_Prices'!I8</f>
        <v>21886.526385000881</v>
      </c>
      <c r="AJ25">
        <f>'2_Production_2'!I10/'1_Prices'!I80</f>
        <v>7529.1378861543026</v>
      </c>
      <c r="AK25">
        <f t="shared" si="29"/>
        <v>14357.38849884658</v>
      </c>
      <c r="AL25">
        <f>'2_Production_2'!J25/'1_Prices'!J8</f>
        <v>21899.87807117846</v>
      </c>
      <c r="AM25">
        <f>'2_Production_2'!J10/'1_Prices'!J80</f>
        <v>7005.4038452901941</v>
      </c>
      <c r="AN25">
        <f t="shared" si="30"/>
        <v>14894.474225888265</v>
      </c>
      <c r="AO25">
        <f>'2_Production_2'!K25/'1_Prices'!K8</f>
        <v>24127.841444292273</v>
      </c>
      <c r="AP25">
        <f>'2_Production_2'!K10/'1_Prices'!K80</f>
        <v>3722.7479468166698</v>
      </c>
      <c r="AQ25">
        <f t="shared" si="31"/>
        <v>20405.093497475602</v>
      </c>
      <c r="AS25">
        <f>'2_Production_2'!D25/'1_Prices'!D8</f>
        <v>11272.611166930765</v>
      </c>
      <c r="AT25">
        <f>'2_Production_2'!D10/'1_Prices'!D80</f>
        <v>4680.0077690462058</v>
      </c>
      <c r="AU25">
        <f t="shared" ref="AU25:AU31" si="34">AS25-AT25</f>
        <v>6592.6033978845589</v>
      </c>
    </row>
    <row r="26" spans="2:47" x14ac:dyDescent="0.25">
      <c r="B26" s="12" t="s">
        <v>515</v>
      </c>
      <c r="C26" s="294">
        <v>23079.82</v>
      </c>
      <c r="D26" s="294">
        <v>22486.95</v>
      </c>
      <c r="E26" s="294">
        <v>23798.080000000002</v>
      </c>
      <c r="F26" s="294">
        <v>25716.52</v>
      </c>
      <c r="G26" s="294">
        <v>30841.37</v>
      </c>
      <c r="H26" s="294">
        <v>31790.81</v>
      </c>
      <c r="I26" s="308">
        <v>31268.04</v>
      </c>
      <c r="J26" s="391">
        <v>33712.720000000001</v>
      </c>
      <c r="K26" s="397">
        <v>34924.92</v>
      </c>
      <c r="L26" s="46"/>
      <c r="M26" s="12" t="s">
        <v>515</v>
      </c>
      <c r="N26" s="323">
        <v>17070.900000000001</v>
      </c>
      <c r="O26" s="37">
        <f t="shared" si="19"/>
        <v>19752.071279449592</v>
      </c>
      <c r="P26" s="440">
        <f t="shared" si="20"/>
        <v>24482.847305438154</v>
      </c>
      <c r="Q26" s="37">
        <f t="shared" si="21"/>
        <v>26852.266699658456</v>
      </c>
      <c r="R26" s="440">
        <f t="shared" si="22"/>
        <v>29892.837294560788</v>
      </c>
      <c r="S26" s="39">
        <f t="shared" si="23"/>
        <v>36420.379239578033</v>
      </c>
      <c r="T26" s="38">
        <f t="shared" si="24"/>
        <v>39331.030360430916</v>
      </c>
      <c r="U26" s="38">
        <f t="shared" si="25"/>
        <v>43427.977070168505</v>
      </c>
      <c r="V26" s="38">
        <f t="shared" si="26"/>
        <v>46636.373846246162</v>
      </c>
      <c r="W26">
        <f>'2_Production_2'!E26/'1_Prices'!E9</f>
        <v>40538.581252553973</v>
      </c>
      <c r="X26">
        <f>'2_Production_2'!E11/'1_Prices'!E81</f>
        <v>16055.733947115819</v>
      </c>
      <c r="Y26">
        <f t="shared" si="32"/>
        <v>24482.847305438154</v>
      </c>
      <c r="Z26">
        <f>'2_Production_2'!F26/'1_Prices'!F9</f>
        <v>43990.584485298612</v>
      </c>
      <c r="AA26">
        <f>'2_Production_2'!F11/'1_Prices'!F81</f>
        <v>17138.317785640156</v>
      </c>
      <c r="AB26">
        <f t="shared" si="33"/>
        <v>26852.266699658456</v>
      </c>
      <c r="AC26">
        <f>'2_Production_2'!G26/'1_Prices'!G9</f>
        <v>47409.281564201527</v>
      </c>
      <c r="AD26">
        <f>'2_Production_2'!G11/'1_Prices'!G81</f>
        <v>17516.444269640739</v>
      </c>
      <c r="AE26">
        <f t="shared" si="27"/>
        <v>29892.837294560788</v>
      </c>
      <c r="AF26">
        <f>'2_Production_2'!H26/'1_Prices'!H9</f>
        <v>52068.026578465702</v>
      </c>
      <c r="AG26">
        <f>'2_Production_2'!H11/'1_Prices'!H81</f>
        <v>15647.647338887668</v>
      </c>
      <c r="AH26">
        <f t="shared" si="28"/>
        <v>36420.379239578033</v>
      </c>
      <c r="AI26" s="12">
        <f>'2_Production_2'!I26/'1_Prices'!I9</f>
        <v>53720.855590246567</v>
      </c>
      <c r="AJ26">
        <f>'2_Production_2'!I11/'1_Prices'!I81</f>
        <v>14389.825229815651</v>
      </c>
      <c r="AK26">
        <f t="shared" si="29"/>
        <v>39331.030360430916</v>
      </c>
      <c r="AL26">
        <f>'2_Production_2'!J26/'1_Prices'!J9</f>
        <v>57159.165374748292</v>
      </c>
      <c r="AM26">
        <f>'2_Production_2'!J11/'1_Prices'!J81</f>
        <v>13731.188304579788</v>
      </c>
      <c r="AN26">
        <f t="shared" si="30"/>
        <v>43427.977070168505</v>
      </c>
      <c r="AO26">
        <f>'2_Production_2'!K26/'1_Prices'!K9</f>
        <v>56096.328670334216</v>
      </c>
      <c r="AP26">
        <f>'2_Production_2'!K11/'1_Prices'!K81</f>
        <v>9459.9548240880504</v>
      </c>
      <c r="AQ26">
        <f t="shared" si="31"/>
        <v>46636.373846246162</v>
      </c>
      <c r="AS26">
        <f>'2_Production_2'!D26/'1_Prices'!D9</f>
        <v>35807.8622762823</v>
      </c>
      <c r="AT26">
        <f>'2_Production_2'!D11/'1_Prices'!D81</f>
        <v>16055.790996832706</v>
      </c>
      <c r="AU26">
        <f t="shared" si="34"/>
        <v>19752.071279449592</v>
      </c>
    </row>
    <row r="27" spans="2:47" x14ac:dyDescent="0.25">
      <c r="B27" s="12" t="s">
        <v>516</v>
      </c>
      <c r="C27" s="294">
        <v>9257.6409999999996</v>
      </c>
      <c r="D27" s="294">
        <v>9753.1219999999994</v>
      </c>
      <c r="E27" s="294">
        <v>9607.1039999999903</v>
      </c>
      <c r="F27" s="294">
        <v>9310.6720000000005</v>
      </c>
      <c r="G27" s="294">
        <v>11119.83</v>
      </c>
      <c r="H27" s="294">
        <v>10885.26</v>
      </c>
      <c r="I27" s="308">
        <v>12640.09</v>
      </c>
      <c r="J27" s="391">
        <v>10454.48</v>
      </c>
      <c r="K27" s="397">
        <v>10368.790000000001</v>
      </c>
      <c r="L27" s="46"/>
      <c r="M27" s="12" t="s">
        <v>516</v>
      </c>
      <c r="N27" s="323">
        <v>8768.7000000000007</v>
      </c>
      <c r="O27" s="37">
        <f t="shared" si="19"/>
        <v>10461.931100693431</v>
      </c>
      <c r="P27" s="440">
        <f t="shared" si="20"/>
        <v>11842.721846701716</v>
      </c>
      <c r="Q27" s="37">
        <f t="shared" si="21"/>
        <v>12557.254294502187</v>
      </c>
      <c r="R27" s="440">
        <f t="shared" si="22"/>
        <v>12408.098271925925</v>
      </c>
      <c r="S27" s="39">
        <f t="shared" si="23"/>
        <v>14870.679936939083</v>
      </c>
      <c r="T27" s="38">
        <f t="shared" si="24"/>
        <v>18364.776331411013</v>
      </c>
      <c r="U27" s="38">
        <f t="shared" si="25"/>
        <v>19269.045863511477</v>
      </c>
      <c r="V27" s="38">
        <f t="shared" si="26"/>
        <v>20662.688540362164</v>
      </c>
      <c r="W27">
        <f>'2_Production_2'!E27/'1_Prices'!E10</f>
        <v>22149.918022092614</v>
      </c>
      <c r="X27">
        <f>'2_Production_2'!E12/'1_Prices'!E82</f>
        <v>10307.196175390898</v>
      </c>
      <c r="Y27">
        <f t="shared" si="32"/>
        <v>11842.721846701716</v>
      </c>
      <c r="Z27">
        <f>'2_Production_2'!F27/'1_Prices'!F10</f>
        <v>22688.227352126982</v>
      </c>
      <c r="AA27">
        <f>'2_Production_2'!F12/'1_Prices'!F82</f>
        <v>10130.973057624795</v>
      </c>
      <c r="AB27">
        <f t="shared" si="33"/>
        <v>12557.254294502187</v>
      </c>
      <c r="AC27">
        <f>'2_Production_2'!G27/'1_Prices'!G10</f>
        <v>21861.7978508005</v>
      </c>
      <c r="AD27">
        <f>'2_Production_2'!G12/'1_Prices'!G82</f>
        <v>9453.6995788745753</v>
      </c>
      <c r="AE27">
        <f t="shared" si="27"/>
        <v>12408.098271925925</v>
      </c>
      <c r="AF27">
        <f>'2_Production_2'!H27/'1_Prices'!H10</f>
        <v>21603.622832967103</v>
      </c>
      <c r="AG27">
        <f>'2_Production_2'!H12/'1_Prices'!H82</f>
        <v>6732.9428960280202</v>
      </c>
      <c r="AH27">
        <f t="shared" si="28"/>
        <v>14870.679936939083</v>
      </c>
      <c r="AI27" s="12">
        <f>'2_Production_2'!I27/'1_Prices'!I10</f>
        <v>25514.82517315161</v>
      </c>
      <c r="AJ27">
        <f>'2_Production_2'!I12/'1_Prices'!I82</f>
        <v>7150.0488417405968</v>
      </c>
      <c r="AK27">
        <f t="shared" si="29"/>
        <v>18364.776331411013</v>
      </c>
      <c r="AL27">
        <f>'2_Production_2'!J27/'1_Prices'!J10</f>
        <v>25757.841522014882</v>
      </c>
      <c r="AM27">
        <f>'2_Production_2'!J12/'1_Prices'!J82</f>
        <v>6488.7956585034053</v>
      </c>
      <c r="AN27">
        <f t="shared" si="30"/>
        <v>19269.045863511477</v>
      </c>
      <c r="AO27">
        <f>'2_Production_2'!K27/'1_Prices'!K10</f>
        <v>24018.96992515869</v>
      </c>
      <c r="AP27">
        <f>'2_Production_2'!K12/'1_Prices'!K82</f>
        <v>3356.2813847965253</v>
      </c>
      <c r="AQ27">
        <f t="shared" si="31"/>
        <v>20662.688540362164</v>
      </c>
      <c r="AS27">
        <f>'2_Production_2'!D27/'1_Prices'!D10</f>
        <v>20644.780086305753</v>
      </c>
      <c r="AT27">
        <f>'2_Production_2'!D12/'1_Prices'!D82</f>
        <v>10182.848985612321</v>
      </c>
      <c r="AU27">
        <f t="shared" si="34"/>
        <v>10461.931100693431</v>
      </c>
    </row>
    <row r="28" spans="2:47" x14ac:dyDescent="0.25">
      <c r="B28" s="12" t="s">
        <v>517</v>
      </c>
      <c r="C28" s="294">
        <v>31186.14</v>
      </c>
      <c r="D28" s="294">
        <v>32386.35</v>
      </c>
      <c r="E28" s="294">
        <v>33463.96</v>
      </c>
      <c r="F28" s="294">
        <v>35247.74</v>
      </c>
      <c r="G28" s="294">
        <v>40344.32</v>
      </c>
      <c r="H28" s="294">
        <v>41581.050000000003</v>
      </c>
      <c r="I28" s="308">
        <v>41677.96</v>
      </c>
      <c r="J28" s="391">
        <v>44356.82</v>
      </c>
      <c r="K28" s="397">
        <v>45859.47</v>
      </c>
      <c r="L28" s="46"/>
      <c r="M28" s="12" t="s">
        <v>517</v>
      </c>
      <c r="N28" s="323">
        <v>19991.5</v>
      </c>
      <c r="O28" s="37">
        <f t="shared" si="19"/>
        <v>24649.381472433051</v>
      </c>
      <c r="P28" s="440">
        <f t="shared" si="20"/>
        <v>25119.298665676873</v>
      </c>
      <c r="Q28" s="37">
        <f t="shared" si="21"/>
        <v>28033.142782796665</v>
      </c>
      <c r="R28" s="440">
        <f t="shared" si="22"/>
        <v>31229.368545729398</v>
      </c>
      <c r="S28" s="39">
        <f t="shared" si="23"/>
        <v>36522.91805909697</v>
      </c>
      <c r="T28" s="38">
        <f t="shared" si="24"/>
        <v>42039.659292587428</v>
      </c>
      <c r="U28" s="38">
        <f t="shared" si="25"/>
        <v>45413.231722603232</v>
      </c>
      <c r="V28" s="38">
        <f t="shared" si="26"/>
        <v>47469.751872773981</v>
      </c>
      <c r="W28">
        <f>'2_Production_2'!E28/'1_Prices'!E11</f>
        <v>36535.46240913339</v>
      </c>
      <c r="X28">
        <f>'2_Production_2'!E13/'1_Prices'!E83</f>
        <v>11416.163743456516</v>
      </c>
      <c r="Y28">
        <f t="shared" si="32"/>
        <v>25119.298665676873</v>
      </c>
      <c r="Z28">
        <f>'2_Production_2'!F28/'1_Prices'!F11</f>
        <v>40452.926847894996</v>
      </c>
      <c r="AA28">
        <f>'2_Production_2'!F13/'1_Prices'!F83</f>
        <v>12419.784065098331</v>
      </c>
      <c r="AB28">
        <f t="shared" si="33"/>
        <v>28033.142782796665</v>
      </c>
      <c r="AC28">
        <f>'2_Production_2'!G28/'1_Prices'!G11</f>
        <v>44743.367296471166</v>
      </c>
      <c r="AD28">
        <f>'2_Production_2'!G13/'1_Prices'!G83</f>
        <v>13513.998750741768</v>
      </c>
      <c r="AE28">
        <f t="shared" si="27"/>
        <v>31229.368545729398</v>
      </c>
      <c r="AF28">
        <f>'2_Production_2'!H28/'1_Prices'!H11</f>
        <v>46442.62397207394</v>
      </c>
      <c r="AG28">
        <f>'2_Production_2'!H13/'1_Prices'!H83</f>
        <v>9919.7059129769677</v>
      </c>
      <c r="AH28">
        <f t="shared" si="28"/>
        <v>36522.91805909697</v>
      </c>
      <c r="AI28" s="12">
        <f>'2_Production_2'!I28/'1_Prices'!I11</f>
        <v>49147.242000819235</v>
      </c>
      <c r="AJ28">
        <f>'2_Production_2'!I13/'1_Prices'!I83</f>
        <v>7107.5827082318046</v>
      </c>
      <c r="AK28">
        <f t="shared" si="29"/>
        <v>42039.659292587428</v>
      </c>
      <c r="AL28">
        <f>'2_Production_2'!J28/'1_Prices'!J11</f>
        <v>51915.953564330463</v>
      </c>
      <c r="AM28">
        <f>'2_Production_2'!J13/'1_Prices'!J83</f>
        <v>6502.7218417272306</v>
      </c>
      <c r="AN28">
        <f t="shared" si="30"/>
        <v>45413.231722603232</v>
      </c>
      <c r="AO28">
        <f>'2_Production_2'!K28/'1_Prices'!K11</f>
        <v>51107.767414192946</v>
      </c>
      <c r="AP28">
        <f>'2_Production_2'!K13/'1_Prices'!K83</f>
        <v>3638.0155414189662</v>
      </c>
      <c r="AQ28">
        <f t="shared" si="31"/>
        <v>47469.751872773981</v>
      </c>
      <c r="AS28">
        <f>'2_Production_2'!D28/'1_Prices'!D11</f>
        <v>37284.986551758069</v>
      </c>
      <c r="AT28">
        <f>'2_Production_2'!D13/'1_Prices'!D83</f>
        <v>12635.605079325016</v>
      </c>
      <c r="AU28">
        <f t="shared" si="34"/>
        <v>24649.381472433051</v>
      </c>
    </row>
    <row r="29" spans="2:47" x14ac:dyDescent="0.25">
      <c r="B29" s="12" t="s">
        <v>518</v>
      </c>
      <c r="C29" s="294">
        <v>2820.36</v>
      </c>
      <c r="D29" s="294">
        <v>2140.2489999999998</v>
      </c>
      <c r="E29" s="294">
        <v>3144.252</v>
      </c>
      <c r="F29" s="294">
        <v>3551.0459999999998</v>
      </c>
      <c r="G29" s="294">
        <v>3819.0529999999999</v>
      </c>
      <c r="H29" s="294">
        <v>4556.3540000000003</v>
      </c>
      <c r="I29" s="308">
        <v>4380.049</v>
      </c>
      <c r="J29" s="391">
        <v>4173.9690000000001</v>
      </c>
      <c r="K29" s="397">
        <v>4536.0870000000004</v>
      </c>
      <c r="L29" s="46"/>
      <c r="M29" s="12" t="s">
        <v>518</v>
      </c>
      <c r="N29" s="323">
        <v>6273.7000000000007</v>
      </c>
      <c r="O29" s="37">
        <f t="shared" si="19"/>
        <v>7654.2742271671086</v>
      </c>
      <c r="P29" s="440">
        <f t="shared" si="20"/>
        <v>8142.7028371982788</v>
      </c>
      <c r="Q29" s="37">
        <f t="shared" si="21"/>
        <v>9273.0911309791391</v>
      </c>
      <c r="R29" s="440">
        <f t="shared" si="22"/>
        <v>8616.6329904898957</v>
      </c>
      <c r="S29" s="39">
        <f t="shared" si="23"/>
        <v>12741.62079863434</v>
      </c>
      <c r="T29" s="38">
        <f t="shared" si="24"/>
        <v>12631.958783656712</v>
      </c>
      <c r="U29" s="38">
        <f t="shared" si="25"/>
        <v>14191.585282609671</v>
      </c>
      <c r="V29" s="38">
        <f t="shared" si="26"/>
        <v>15367.396899024485</v>
      </c>
      <c r="W29">
        <f>'2_Production_2'!E29/'1_Prices'!E12</f>
        <v>16305.948756272621</v>
      </c>
      <c r="X29">
        <f>'2_Production_2'!E14/'1_Prices'!E84</f>
        <v>8163.2459190743421</v>
      </c>
      <c r="Y29">
        <f t="shared" si="32"/>
        <v>8142.7028371982788</v>
      </c>
      <c r="Z29">
        <f>'2_Production_2'!F29/'1_Prices'!F12</f>
        <v>18695.174724388005</v>
      </c>
      <c r="AA29">
        <f>'2_Production_2'!F14/'1_Prices'!F84</f>
        <v>9422.0835934088664</v>
      </c>
      <c r="AB29">
        <f t="shared" si="33"/>
        <v>9273.0911309791391</v>
      </c>
      <c r="AC29">
        <f>'2_Production_2'!G29/'1_Prices'!G12</f>
        <v>17156.481298416758</v>
      </c>
      <c r="AD29">
        <f>'2_Production_2'!G14/'1_Prices'!G84</f>
        <v>8539.8483079268626</v>
      </c>
      <c r="AE29">
        <f t="shared" si="27"/>
        <v>8616.6329904898957</v>
      </c>
      <c r="AF29">
        <f>'2_Production_2'!H29/'1_Prices'!H12</f>
        <v>19973.486746139428</v>
      </c>
      <c r="AG29">
        <f>'2_Production_2'!H14/'1_Prices'!H84</f>
        <v>7231.8659475050881</v>
      </c>
      <c r="AH29">
        <f t="shared" si="28"/>
        <v>12741.62079863434</v>
      </c>
      <c r="AI29" s="12">
        <f>'2_Production_2'!I29/'1_Prices'!I12</f>
        <v>18735.266980327324</v>
      </c>
      <c r="AJ29">
        <f>'2_Production_2'!I14/'1_Prices'!I84</f>
        <v>6103.3081966706113</v>
      </c>
      <c r="AK29">
        <f t="shared" si="29"/>
        <v>12631.958783656712</v>
      </c>
      <c r="AL29">
        <f>'2_Production_2'!J29/'1_Prices'!J12</f>
        <v>19927.066132466982</v>
      </c>
      <c r="AM29">
        <f>'2_Production_2'!J14/'1_Prices'!J84</f>
        <v>5735.480849857312</v>
      </c>
      <c r="AN29">
        <f t="shared" si="30"/>
        <v>14191.585282609671</v>
      </c>
      <c r="AO29">
        <f>'2_Production_2'!K29/'1_Prices'!K12</f>
        <v>19973.848797903018</v>
      </c>
      <c r="AP29">
        <f>'2_Production_2'!K14/'1_Prices'!K84</f>
        <v>4606.451898878533</v>
      </c>
      <c r="AQ29">
        <f t="shared" si="31"/>
        <v>15367.396899024485</v>
      </c>
      <c r="AS29">
        <f>'2_Production_2'!D29/'1_Prices'!D12</f>
        <v>15566.675547700484</v>
      </c>
      <c r="AT29">
        <f>'2_Production_2'!D14/'1_Prices'!D84</f>
        <v>7912.4013205333758</v>
      </c>
      <c r="AU29">
        <f t="shared" si="34"/>
        <v>7654.2742271671086</v>
      </c>
    </row>
    <row r="30" spans="2:47" x14ac:dyDescent="0.25">
      <c r="B30" s="12" t="s">
        <v>519</v>
      </c>
      <c r="C30" s="294">
        <v>18813.23</v>
      </c>
      <c r="D30" s="294">
        <v>22057.55</v>
      </c>
      <c r="E30" s="294">
        <v>22380.639999999999</v>
      </c>
      <c r="F30" s="294">
        <v>25717.16</v>
      </c>
      <c r="G30" s="294">
        <v>25553.59</v>
      </c>
      <c r="H30" s="294">
        <v>28720.84</v>
      </c>
      <c r="I30" s="308">
        <v>28531.33</v>
      </c>
      <c r="J30" s="391">
        <v>28431.85</v>
      </c>
      <c r="K30" s="397">
        <v>27437.78</v>
      </c>
      <c r="L30" s="46"/>
      <c r="M30" s="12" t="s">
        <v>519</v>
      </c>
      <c r="N30" s="323">
        <v>14892.9</v>
      </c>
      <c r="O30" s="37">
        <f t="shared" si="19"/>
        <v>18237.973690328105</v>
      </c>
      <c r="P30" s="440">
        <f t="shared" si="20"/>
        <v>18332.506930533717</v>
      </c>
      <c r="Q30" s="37">
        <f t="shared" si="21"/>
        <v>20196.275055545124</v>
      </c>
      <c r="R30" s="440">
        <f t="shared" si="22"/>
        <v>22229.067467691842</v>
      </c>
      <c r="S30" s="39">
        <f t="shared" si="23"/>
        <v>22389.71126438972</v>
      </c>
      <c r="T30" s="38">
        <f t="shared" si="24"/>
        <v>24956.835374729078</v>
      </c>
      <c r="U30" s="38">
        <f t="shared" si="25"/>
        <v>25731.35273187784</v>
      </c>
      <c r="V30" s="38">
        <f t="shared" si="26"/>
        <v>26813.554336783018</v>
      </c>
      <c r="W30">
        <f>'2_Production_2'!E30/'1_Prices'!E13</f>
        <v>21877.613255641409</v>
      </c>
      <c r="X30">
        <f>'2_Production_2'!E15/'1_Prices'!E85</f>
        <v>3545.1063251076939</v>
      </c>
      <c r="Y30">
        <f t="shared" si="32"/>
        <v>18332.506930533717</v>
      </c>
      <c r="Z30">
        <f>'2_Production_2'!F30/'1_Prices'!F13</f>
        <v>24030.638290593666</v>
      </c>
      <c r="AA30">
        <f>'2_Production_2'!F15/'1_Prices'!F85</f>
        <v>3834.3632350485423</v>
      </c>
      <c r="AB30">
        <f t="shared" si="33"/>
        <v>20196.275055545124</v>
      </c>
      <c r="AC30">
        <f>'2_Production_2'!G30/'1_Prices'!G13</f>
        <v>26317.625956136817</v>
      </c>
      <c r="AD30">
        <f>'2_Production_2'!G15/'1_Prices'!G85</f>
        <v>4088.5584884449763</v>
      </c>
      <c r="AE30">
        <f t="shared" si="27"/>
        <v>22229.067467691842</v>
      </c>
      <c r="AF30">
        <f>'2_Production_2'!H30/'1_Prices'!H13</f>
        <v>26126.604012339281</v>
      </c>
      <c r="AG30">
        <f>'2_Production_2'!H15/'1_Prices'!H85</f>
        <v>3736.8927479495615</v>
      </c>
      <c r="AH30">
        <f t="shared" si="28"/>
        <v>22389.71126438972</v>
      </c>
      <c r="AI30" s="12">
        <f>'2_Production_2'!I30/'1_Prices'!I13</f>
        <v>27447.7590245133</v>
      </c>
      <c r="AJ30">
        <f>'2_Production_2'!I15/'1_Prices'!I85</f>
        <v>2490.9236497842203</v>
      </c>
      <c r="AK30">
        <f t="shared" si="29"/>
        <v>24956.835374729078</v>
      </c>
      <c r="AL30">
        <f>'2_Production_2'!J30/'1_Prices'!J13</f>
        <v>28244.109031245298</v>
      </c>
      <c r="AM30">
        <f>'2_Production_2'!J15/'1_Prices'!J85</f>
        <v>2512.7562993674587</v>
      </c>
      <c r="AN30">
        <f t="shared" si="30"/>
        <v>25731.35273187784</v>
      </c>
      <c r="AO30">
        <f>'2_Production_2'!K30/'1_Prices'!K13</f>
        <v>29491.015740168081</v>
      </c>
      <c r="AP30">
        <f>'2_Production_2'!K15/'1_Prices'!K85</f>
        <v>2677.4614033850621</v>
      </c>
      <c r="AQ30">
        <f t="shared" si="31"/>
        <v>26813.554336783018</v>
      </c>
      <c r="AS30">
        <f>'2_Production_2'!D30/'1_Prices'!D13</f>
        <v>22138.446687722178</v>
      </c>
      <c r="AT30">
        <f>'2_Production_2'!D15/'1_Prices'!D85</f>
        <v>3900.4729973940748</v>
      </c>
      <c r="AU30">
        <f t="shared" si="34"/>
        <v>18237.973690328105</v>
      </c>
    </row>
    <row r="31" spans="2:47" x14ac:dyDescent="0.25">
      <c r="B31" s="12" t="s">
        <v>520</v>
      </c>
      <c r="C31" s="294">
        <v>1555.771</v>
      </c>
      <c r="D31" s="294">
        <v>2264.4380000000001</v>
      </c>
      <c r="E31" s="294">
        <v>-1701.8389999999999</v>
      </c>
      <c r="F31" s="294">
        <v>-1253.7470000000001</v>
      </c>
      <c r="G31" s="294">
        <v>-3093.55</v>
      </c>
      <c r="H31" s="294">
        <v>-2377.375</v>
      </c>
      <c r="I31" s="308">
        <v>-278.64260000000002</v>
      </c>
      <c r="J31" s="391">
        <v>-2399.652</v>
      </c>
      <c r="K31" s="397">
        <v>-2981.3440000000001</v>
      </c>
      <c r="L31" s="46"/>
      <c r="M31" s="12" t="s">
        <v>520</v>
      </c>
      <c r="N31" s="323">
        <v>2319.3000000000002</v>
      </c>
      <c r="O31" s="37">
        <f t="shared" si="19"/>
        <v>2858.4173315910984</v>
      </c>
      <c r="P31" s="440">
        <f t="shared" si="20"/>
        <v>3591.8890742064691</v>
      </c>
      <c r="Q31" s="37">
        <f t="shared" si="21"/>
        <v>4264.6005252256209</v>
      </c>
      <c r="R31" s="440">
        <f t="shared" si="22"/>
        <v>4089.253265999499</v>
      </c>
      <c r="S31" s="39">
        <f t="shared" si="23"/>
        <v>5231.275710629272</v>
      </c>
      <c r="T31" s="38">
        <f t="shared" si="24"/>
        <v>6000.2862840004154</v>
      </c>
      <c r="U31" s="38">
        <f t="shared" si="25"/>
        <v>5954.089909484509</v>
      </c>
      <c r="V31" s="38">
        <f t="shared" si="26"/>
        <v>6354.9063036004745</v>
      </c>
      <c r="W31">
        <f>'2_Production_2'!E31/'1_Prices'!E14</f>
        <v>5350.217835481325</v>
      </c>
      <c r="X31">
        <f>'2_Production_2'!E16/'1_Prices'!E86</f>
        <v>1758.3287612748559</v>
      </c>
      <c r="Y31">
        <f t="shared" si="32"/>
        <v>3591.8890742064691</v>
      </c>
      <c r="Z31">
        <f>'2_Production_2'!F31/'1_Prices'!F14</f>
        <v>6386.3930071153072</v>
      </c>
      <c r="AA31">
        <f>'2_Production_2'!F16/'1_Prices'!F86</f>
        <v>2121.7924818896863</v>
      </c>
      <c r="AB31">
        <f t="shared" si="33"/>
        <v>4264.6005252256209</v>
      </c>
      <c r="AC31">
        <f>'2_Production_2'!G31/'1_Prices'!G14</f>
        <v>5922.6356441422258</v>
      </c>
      <c r="AD31">
        <f>'2_Production_2'!G16/'1_Prices'!G86</f>
        <v>1833.3823781427268</v>
      </c>
      <c r="AE31">
        <f t="shared" si="27"/>
        <v>4089.253265999499</v>
      </c>
      <c r="AF31">
        <f>'2_Production_2'!H31/'1_Prices'!H14</f>
        <v>7136.4270569581504</v>
      </c>
      <c r="AG31">
        <f>'2_Production_2'!H16/'1_Prices'!H86</f>
        <v>1905.1513463288786</v>
      </c>
      <c r="AH31">
        <f t="shared" si="28"/>
        <v>5231.275710629272</v>
      </c>
      <c r="AI31" s="12">
        <f>'2_Production_2'!I31/'1_Prices'!I14</f>
        <v>8069.0283406786402</v>
      </c>
      <c r="AJ31">
        <f>'2_Production_2'!I16/'1_Prices'!I86</f>
        <v>2068.7420566782248</v>
      </c>
      <c r="AK31">
        <f t="shared" si="29"/>
        <v>6000.2862840004154</v>
      </c>
      <c r="AL31">
        <f>'2_Production_2'!J31/'1_Prices'!J14</f>
        <v>7232.9616695278983</v>
      </c>
      <c r="AM31">
        <f>'2_Production_2'!J16/'1_Prices'!J86</f>
        <v>1278.871760043389</v>
      </c>
      <c r="AN31">
        <f t="shared" si="30"/>
        <v>5954.089909484509</v>
      </c>
      <c r="AO31">
        <f>'2_Production_2'!K31/'1_Prices'!K14</f>
        <v>7555.9153837988397</v>
      </c>
      <c r="AP31">
        <f>'2_Production_2'!K16/'1_Prices'!K86</f>
        <v>1201.0090801983654</v>
      </c>
      <c r="AQ31">
        <f t="shared" si="31"/>
        <v>6354.9063036004745</v>
      </c>
      <c r="AS31">
        <f>'2_Production_2'!D31/'1_Prices'!D14</f>
        <v>4306.7511969173338</v>
      </c>
      <c r="AT31">
        <f>'2_Production_2'!D16/'1_Prices'!D86</f>
        <v>1448.3338653262354</v>
      </c>
      <c r="AU31">
        <f t="shared" si="34"/>
        <v>2858.4173315910984</v>
      </c>
    </row>
    <row r="32" spans="2:47" x14ac:dyDescent="0.25">
      <c r="B32" s="22" t="s">
        <v>532</v>
      </c>
      <c r="C32" s="113">
        <v>158169.60000000001</v>
      </c>
      <c r="D32" s="113">
        <v>166920.70000000001</v>
      </c>
      <c r="E32" s="113">
        <v>166581.6</v>
      </c>
      <c r="F32" s="113">
        <v>185173.6</v>
      </c>
      <c r="G32" s="113">
        <v>203398</v>
      </c>
      <c r="H32" s="113">
        <v>217669.9</v>
      </c>
      <c r="I32" s="114">
        <v>223776</v>
      </c>
      <c r="J32" s="423">
        <v>229706.7</v>
      </c>
      <c r="K32" s="407">
        <v>235732.2</v>
      </c>
      <c r="L32" s="46"/>
      <c r="M32" s="22" t="s">
        <v>532</v>
      </c>
      <c r="N32" s="439">
        <f t="shared" ref="N32:V32" si="35">SUM(N22:N31)</f>
        <v>130842.2</v>
      </c>
      <c r="O32" s="51">
        <f t="shared" si="35"/>
        <v>162358.02669908589</v>
      </c>
      <c r="P32" s="439">
        <f t="shared" si="35"/>
        <v>172684.17344398474</v>
      </c>
      <c r="Q32" s="51">
        <f t="shared" si="35"/>
        <v>198585.38376226524</v>
      </c>
      <c r="R32" s="439">
        <f t="shared" si="35"/>
        <v>224613.95253057967</v>
      </c>
      <c r="S32" s="52">
        <f t="shared" si="35"/>
        <v>255425.18254683129</v>
      </c>
      <c r="T32" s="52">
        <f t="shared" si="35"/>
        <v>292167.96042838483</v>
      </c>
      <c r="U32" s="52">
        <f t="shared" si="35"/>
        <v>331952.26280279108</v>
      </c>
      <c r="V32" s="52">
        <f t="shared" si="35"/>
        <v>375771.03613253642</v>
      </c>
      <c r="W32" s="52">
        <f t="shared" ref="W32:AA32" si="36">SUM(W22:W31)</f>
        <v>330945.14283120295</v>
      </c>
      <c r="X32" s="52">
        <f t="shared" si="36"/>
        <v>158260.96938721815</v>
      </c>
      <c r="Y32" s="52">
        <f>SUM(Y22:Y31)</f>
        <v>172684.17344398474</v>
      </c>
      <c r="Z32" s="52">
        <f t="shared" si="36"/>
        <v>363668.81587530399</v>
      </c>
      <c r="AA32" s="52">
        <f t="shared" si="36"/>
        <v>165083.43211303875</v>
      </c>
      <c r="AB32" s="52">
        <f t="shared" ref="AB32:AD32" si="37">SUM(AB22:AB31)</f>
        <v>198585.38376226524</v>
      </c>
      <c r="AC32" s="52">
        <f t="shared" si="37"/>
        <v>409556.75806373695</v>
      </c>
      <c r="AD32" s="52">
        <f t="shared" si="37"/>
        <v>184942.80553315734</v>
      </c>
      <c r="AE32" s="52">
        <f t="shared" ref="AE32:AN32" si="38">SUM(AE22:AE31)</f>
        <v>224613.95253057967</v>
      </c>
      <c r="AF32" s="52">
        <f t="shared" si="38"/>
        <v>463010.02245271369</v>
      </c>
      <c r="AG32" s="52">
        <f t="shared" si="38"/>
        <v>207584.8399058824</v>
      </c>
      <c r="AH32" s="51">
        <f t="shared" ref="AH32" si="39">SUM(AH22:AH31)</f>
        <v>255425.18254683129</v>
      </c>
      <c r="AI32" s="52">
        <f t="shared" si="38"/>
        <v>488481.29115900473</v>
      </c>
      <c r="AJ32" s="52">
        <f t="shared" si="38"/>
        <v>196313.33073061978</v>
      </c>
      <c r="AK32" s="52">
        <f t="shared" si="38"/>
        <v>292167.96042838483</v>
      </c>
      <c r="AL32" s="52">
        <f t="shared" si="38"/>
        <v>522781.60923141282</v>
      </c>
      <c r="AM32" s="52">
        <f t="shared" si="38"/>
        <v>190829.34642862168</v>
      </c>
      <c r="AN32" s="52">
        <f t="shared" si="38"/>
        <v>331952.26280279108</v>
      </c>
      <c r="AO32" s="52">
        <f t="shared" ref="AO32:AQ32" si="40">SUM(AO22:AO31)</f>
        <v>535890.13232748001</v>
      </c>
      <c r="AP32" s="52">
        <f t="shared" si="40"/>
        <v>160119.09619494347</v>
      </c>
      <c r="AQ32" s="52">
        <f t="shared" si="40"/>
        <v>375771.03613253642</v>
      </c>
      <c r="AS32" s="52">
        <f t="shared" ref="AS32:AT32" si="41">SUM(AS22:AS31)</f>
        <v>306031.52236505161</v>
      </c>
      <c r="AT32" s="52">
        <f t="shared" si="41"/>
        <v>143673.49566596575</v>
      </c>
      <c r="AU32" s="52">
        <f>SUM(AU22:AU31)</f>
        <v>162358.02669908589</v>
      </c>
    </row>
    <row r="33" spans="2:47" x14ac:dyDescent="0.25">
      <c r="B33" s="2"/>
      <c r="C33" s="33"/>
      <c r="D33" s="33"/>
      <c r="E33" s="33"/>
      <c r="F33" s="33"/>
      <c r="G33" s="33"/>
      <c r="H33" s="33"/>
      <c r="I33" s="33"/>
      <c r="J33" s="33"/>
      <c r="K33" s="33"/>
      <c r="L33" s="46"/>
      <c r="M33" s="2" t="s">
        <v>291</v>
      </c>
      <c r="N33" s="33">
        <v>13155.9</v>
      </c>
      <c r="O33" s="33">
        <f>AU33</f>
        <v>14524.861000000001</v>
      </c>
      <c r="P33" s="131">
        <f>Y33</f>
        <v>19301.089799999998</v>
      </c>
      <c r="Q33" s="131">
        <f>AB33</f>
        <v>18052.007967725003</v>
      </c>
      <c r="R33" s="131">
        <f>AE33</f>
        <v>20289.355692506997</v>
      </c>
      <c r="S33" s="131">
        <f>AH33</f>
        <v>21503.43531411</v>
      </c>
      <c r="T33" s="131">
        <f>AK33</f>
        <v>21722.856097600001</v>
      </c>
      <c r="U33" s="131">
        <f>AN33</f>
        <v>21867.908962239999</v>
      </c>
      <c r="V33" s="131">
        <f>AQ33</f>
        <v>22429.217099999998</v>
      </c>
      <c r="W33" s="33"/>
      <c r="X33" s="33"/>
      <c r="Y33" s="127">
        <f>O18*P66/100</f>
        <v>19301.089799999998</v>
      </c>
      <c r="Z33" s="33"/>
      <c r="AA33" s="33"/>
      <c r="AB33" s="127">
        <f>P18*S66/100</f>
        <v>18052.007967725003</v>
      </c>
      <c r="AC33" s="33"/>
      <c r="AD33" s="33"/>
      <c r="AE33" s="127">
        <f>Q18*V66/100</f>
        <v>20289.355692506997</v>
      </c>
      <c r="AF33" s="33"/>
      <c r="AG33" s="33"/>
      <c r="AH33" s="127">
        <f>R18*Y66/100</f>
        <v>21503.43531411</v>
      </c>
      <c r="AI33" s="126"/>
      <c r="AJ33" s="67"/>
      <c r="AK33" s="127">
        <f>S18*AB66/100</f>
        <v>21722.856097600001</v>
      </c>
      <c r="AN33">
        <f>T18*AE66/100</f>
        <v>21867.908962239999</v>
      </c>
      <c r="AQ33">
        <f>U18*AH66/100</f>
        <v>22429.217099999998</v>
      </c>
      <c r="AS33" s="33"/>
      <c r="AT33" s="33"/>
      <c r="AU33" s="127">
        <f>N18*100/100</f>
        <v>14524.861000000001</v>
      </c>
    </row>
    <row r="34" spans="2:47" x14ac:dyDescent="0.25">
      <c r="B34" s="2"/>
      <c r="C34" s="124"/>
      <c r="D34" s="124"/>
      <c r="E34" s="124"/>
      <c r="F34" s="124"/>
      <c r="G34" s="124"/>
      <c r="H34" s="124"/>
      <c r="I34" s="124"/>
      <c r="J34" s="124"/>
      <c r="K34" s="125"/>
      <c r="L34" s="46"/>
      <c r="M34" s="2"/>
      <c r="N34" s="33">
        <f>N32+N33</f>
        <v>143998.1</v>
      </c>
      <c r="O34" s="33">
        <f>AU34</f>
        <v>166287.98480000003</v>
      </c>
      <c r="P34" s="131">
        <f>Y34</f>
        <v>191985.26324398472</v>
      </c>
      <c r="Q34" s="131">
        <f>AB34</f>
        <v>216637.39172999025</v>
      </c>
      <c r="R34" s="131">
        <f>AE34</f>
        <v>244903.30822308667</v>
      </c>
      <c r="S34" s="131">
        <f>AH34</f>
        <v>276928.61786094127</v>
      </c>
      <c r="T34" s="131">
        <f>AK34</f>
        <v>313890.81652598485</v>
      </c>
      <c r="U34" s="131">
        <f>AN34</f>
        <v>353820.17176503106</v>
      </c>
      <c r="V34" s="131">
        <f>AQ34</f>
        <v>398200.25323253643</v>
      </c>
      <c r="W34" s="33"/>
      <c r="X34" s="33" t="s">
        <v>725</v>
      </c>
      <c r="Y34" s="214">
        <f>Y32+Y33</f>
        <v>191985.26324398472</v>
      </c>
      <c r="Z34" s="33"/>
      <c r="AA34" s="33"/>
      <c r="AB34" s="127">
        <f>AB32+AB33</f>
        <v>216637.39172999025</v>
      </c>
      <c r="AC34" s="33"/>
      <c r="AD34" s="33"/>
      <c r="AE34" s="127">
        <f>AE32+AE33</f>
        <v>244903.30822308667</v>
      </c>
      <c r="AF34" s="33"/>
      <c r="AG34" s="33"/>
      <c r="AH34" s="127">
        <f>AH32+AH33</f>
        <v>276928.61786094127</v>
      </c>
      <c r="AI34" s="126"/>
      <c r="AJ34" s="67"/>
      <c r="AK34" s="127">
        <f>AK32+AK33</f>
        <v>313890.81652598485</v>
      </c>
      <c r="AN34" s="127">
        <f>AN32+AN33</f>
        <v>353820.17176503106</v>
      </c>
      <c r="AQ34" s="214">
        <f>AQ32+AQ33</f>
        <v>398200.25323253643</v>
      </c>
      <c r="AS34" s="33"/>
      <c r="AT34" s="33" t="s">
        <v>725</v>
      </c>
      <c r="AU34" s="214">
        <f>153402.2*108.4/100</f>
        <v>166287.98480000003</v>
      </c>
    </row>
    <row r="35" spans="2:47" x14ac:dyDescent="0.25">
      <c r="C35" s="33">
        <f>SUM(C22:C31)</f>
        <v>158954.133</v>
      </c>
      <c r="D35" s="33">
        <f t="shared" ref="D35:J35" si="42">SUM(D22:D31)</f>
        <v>167705.24</v>
      </c>
      <c r="E35" s="33">
        <f t="shared" si="42"/>
        <v>167366.10400000002</v>
      </c>
      <c r="F35" s="33">
        <f t="shared" si="42"/>
        <v>185958.16200000001</v>
      </c>
      <c r="G35" s="33">
        <f t="shared" si="42"/>
        <v>204182.55299999999</v>
      </c>
      <c r="H35" s="33">
        <f t="shared" si="42"/>
        <v>218454.476</v>
      </c>
      <c r="I35" s="33">
        <f t="shared" si="42"/>
        <v>224560.55240000002</v>
      </c>
      <c r="J35" s="33">
        <f t="shared" si="42"/>
        <v>230491.20600000003</v>
      </c>
      <c r="K35" s="33">
        <f>SUM(K22:K31)</f>
        <v>236516.761</v>
      </c>
      <c r="L35" s="46"/>
      <c r="N35" s="63" t="s">
        <v>721</v>
      </c>
      <c r="O35" s="64">
        <f>AU35</f>
        <v>106.39304732472282</v>
      </c>
      <c r="P35" s="64">
        <f t="shared" ref="P35:V35" si="43">P19/P34*100</f>
        <v>104.12160776545542</v>
      </c>
      <c r="Q35" s="64">
        <f t="shared" si="43"/>
        <v>104.07121513480601</v>
      </c>
      <c r="R35" s="268">
        <f t="shared" si="43"/>
        <v>103.96429553886924</v>
      </c>
      <c r="S35" s="64">
        <f t="shared" si="43"/>
        <v>105.06575320666383</v>
      </c>
      <c r="T35" s="64">
        <f t="shared" si="43"/>
        <v>103.85382375573234</v>
      </c>
      <c r="U35" s="64">
        <f t="shared" si="43"/>
        <v>104.10114621650719</v>
      </c>
      <c r="V35" s="64">
        <f t="shared" si="43"/>
        <v>103.96034017752895</v>
      </c>
      <c r="Y35" s="64">
        <f>P19/Y34*100</f>
        <v>104.12160776545542</v>
      </c>
      <c r="AB35" s="64">
        <f>Q19/AB34*100</f>
        <v>104.07121513480601</v>
      </c>
      <c r="AE35" s="64">
        <f>R19/AE34*100</f>
        <v>103.96429553886924</v>
      </c>
      <c r="AH35" s="104">
        <f>S19/AH34*100</f>
        <v>105.06575320666383</v>
      </c>
      <c r="AI35" s="12"/>
      <c r="AK35" s="451">
        <f>T19/AK34*100</f>
        <v>103.85382375573234</v>
      </c>
      <c r="AN35" s="123">
        <f>U19/AN34*100</f>
        <v>104.10114621650719</v>
      </c>
      <c r="AQ35" s="123">
        <f>V19/AQ34*100</f>
        <v>103.96034017752895</v>
      </c>
      <c r="AU35" s="64">
        <f>O19/AU34*100</f>
        <v>106.39304732472282</v>
      </c>
    </row>
    <row r="36" spans="2:47" x14ac:dyDescent="0.25">
      <c r="B36" s="2" t="s">
        <v>521</v>
      </c>
      <c r="C36" s="4"/>
      <c r="D36" s="4">
        <f>D35/C18*100</f>
        <v>105.36267021259884</v>
      </c>
      <c r="E36" s="4">
        <f t="shared" ref="E36:K36" si="44">E35/D18*100</f>
        <v>95.3252378293748</v>
      </c>
      <c r="F36" s="4">
        <f t="shared" si="44"/>
        <v>99.73783140223928</v>
      </c>
      <c r="G36" s="4">
        <f t="shared" si="44"/>
        <v>99.12771613427887</v>
      </c>
      <c r="H36" s="4">
        <f t="shared" si="44"/>
        <v>100.79414873906821</v>
      </c>
      <c r="I36" s="4">
        <f t="shared" si="44"/>
        <v>98.045551142824337</v>
      </c>
      <c r="J36" s="4">
        <f t="shared" si="44"/>
        <v>95.650626668365945</v>
      </c>
      <c r="K36" s="4">
        <f t="shared" si="44"/>
        <v>91.877976780678438</v>
      </c>
      <c r="L36" s="50"/>
      <c r="M36" s="2" t="s">
        <v>521</v>
      </c>
      <c r="N36" s="63" t="s">
        <v>722</v>
      </c>
      <c r="O36" s="64">
        <f>AU36</f>
        <v>108.4</v>
      </c>
      <c r="P36" s="64">
        <f t="shared" ref="P36:V36" si="45">P34/O19*100</f>
        <v>108.51599957200115</v>
      </c>
      <c r="Q36" s="64">
        <f t="shared" si="45"/>
        <v>108.37388918991087</v>
      </c>
      <c r="R36" s="64">
        <f t="shared" si="45"/>
        <v>108.62520475951297</v>
      </c>
      <c r="S36" s="64">
        <f t="shared" si="45"/>
        <v>108.76495168739831</v>
      </c>
      <c r="T36" s="64">
        <f t="shared" si="45"/>
        <v>107.88215008830171</v>
      </c>
      <c r="U36" s="64">
        <f t="shared" si="45"/>
        <v>108.53791833540478</v>
      </c>
      <c r="V36" s="64">
        <f t="shared" si="45"/>
        <v>108.10939364078631</v>
      </c>
      <c r="Y36" s="64">
        <f>Y34/O19*100</f>
        <v>108.51599957200115</v>
      </c>
      <c r="AB36" s="64">
        <f>AB34/P19*100</f>
        <v>108.37388918991087</v>
      </c>
      <c r="AE36" s="64">
        <f>AE34/Q19*100</f>
        <v>108.62520475951297</v>
      </c>
      <c r="AH36" s="104">
        <f>AH34/R19*100</f>
        <v>108.76495168739831</v>
      </c>
      <c r="AI36" s="12"/>
      <c r="AK36" s="451">
        <f>AK34/S19*100</f>
        <v>107.88215008830171</v>
      </c>
      <c r="AN36" s="123">
        <f>AN34/T19*100</f>
        <v>108.53791833540478</v>
      </c>
      <c r="AQ36" s="123">
        <f>AQ34/U19*100</f>
        <v>108.10939364078631</v>
      </c>
      <c r="AU36" s="64">
        <f>AU34/153402.2*100</f>
        <v>108.4</v>
      </c>
    </row>
    <row r="37" spans="2:47" x14ac:dyDescent="0.25">
      <c r="B37" s="25" t="s">
        <v>700</v>
      </c>
      <c r="D37" s="4">
        <f>D35/C19*100</f>
        <v>117.04848457806594</v>
      </c>
      <c r="E37" s="4">
        <f t="shared" ref="E37:J37" si="46">E35/D19*100</f>
        <v>106.18479742013795</v>
      </c>
      <c r="F37" s="4">
        <f t="shared" si="46"/>
        <v>102.57619987617402</v>
      </c>
      <c r="G37" s="4">
        <f t="shared" si="46"/>
        <v>99.61928990328154</v>
      </c>
      <c r="H37" s="4">
        <f t="shared" si="46"/>
        <v>93.757082079223593</v>
      </c>
      <c r="I37" s="4">
        <f t="shared" si="46"/>
        <v>83.407116896895104</v>
      </c>
      <c r="J37" s="4">
        <f t="shared" si="46"/>
        <v>75.81702720976817</v>
      </c>
      <c r="K37" s="4">
        <f>K35/J19*100</f>
        <v>68.376883925320058</v>
      </c>
      <c r="L37" s="50"/>
      <c r="M37" s="25" t="s">
        <v>700</v>
      </c>
      <c r="Y37" s="171"/>
      <c r="AB37" s="171"/>
      <c r="AE37" s="171"/>
      <c r="AH37" s="171"/>
      <c r="AI37" s="20"/>
      <c r="AJ37" s="29"/>
      <c r="AK37" s="213"/>
      <c r="AN37" s="171"/>
      <c r="AQ37" s="171"/>
    </row>
    <row r="38" spans="2:47" x14ac:dyDescent="0.25">
      <c r="B38" s="18"/>
      <c r="C38" s="6">
        <v>2024</v>
      </c>
      <c r="D38" s="6">
        <f t="shared" ref="D38:K38" si="47">C38+1</f>
        <v>2025</v>
      </c>
      <c r="E38" s="6">
        <f t="shared" si="47"/>
        <v>2026</v>
      </c>
      <c r="F38" s="6">
        <f t="shared" si="47"/>
        <v>2027</v>
      </c>
      <c r="G38" s="6">
        <f t="shared" si="47"/>
        <v>2028</v>
      </c>
      <c r="H38" s="6">
        <f t="shared" si="47"/>
        <v>2029</v>
      </c>
      <c r="I38" s="19">
        <f t="shared" si="47"/>
        <v>2030</v>
      </c>
      <c r="J38" s="19">
        <f t="shared" si="47"/>
        <v>2031</v>
      </c>
      <c r="K38" s="19">
        <f t="shared" si="47"/>
        <v>2032</v>
      </c>
      <c r="L38" s="50"/>
      <c r="M38" s="18"/>
      <c r="N38" s="27">
        <v>2024</v>
      </c>
      <c r="O38" s="27">
        <v>2025</v>
      </c>
      <c r="P38" s="27">
        <v>2026</v>
      </c>
      <c r="Q38" s="27">
        <v>2027</v>
      </c>
      <c r="R38" s="19">
        <v>2028</v>
      </c>
      <c r="S38" s="27">
        <v>2029</v>
      </c>
      <c r="T38" s="19">
        <v>2030</v>
      </c>
      <c r="U38" s="27">
        <v>2031</v>
      </c>
      <c r="V38" s="19">
        <v>2032</v>
      </c>
    </row>
    <row r="39" spans="2:47" x14ac:dyDescent="0.25">
      <c r="B39" s="12" t="s">
        <v>522</v>
      </c>
      <c r="C39" s="297">
        <v>0.85838479999999995</v>
      </c>
      <c r="D39" s="297">
        <v>0.93585799999999997</v>
      </c>
      <c r="E39" s="297">
        <v>0.93784149999999999</v>
      </c>
      <c r="F39" s="297">
        <v>0.88665729999999998</v>
      </c>
      <c r="G39" s="297">
        <v>0.81589529999999999</v>
      </c>
      <c r="H39" s="297">
        <v>0.82930499999999996</v>
      </c>
      <c r="I39" s="401">
        <v>0.79711730000000003</v>
      </c>
      <c r="J39" s="378">
        <v>0.81197620000000004</v>
      </c>
      <c r="K39" s="397">
        <v>0.84870409999999996</v>
      </c>
      <c r="L39" s="50"/>
      <c r="M39" s="12" t="s">
        <v>522</v>
      </c>
      <c r="N39" s="441">
        <v>120.48319680105199</v>
      </c>
      <c r="O39" s="37">
        <f>O7/O22*100</f>
        <v>98.149001212392719</v>
      </c>
      <c r="P39" s="37">
        <f t="shared" ref="P39:V39" si="48">P7/P22*100</f>
        <v>96.198220433629871</v>
      </c>
      <c r="Q39" s="37">
        <f t="shared" si="48"/>
        <v>91.917221453918685</v>
      </c>
      <c r="R39" s="37">
        <f t="shared" si="48"/>
        <v>94.055449255052437</v>
      </c>
      <c r="S39" s="37">
        <f t="shared" si="48"/>
        <v>92.308004669468659</v>
      </c>
      <c r="T39" s="37">
        <f t="shared" si="48"/>
        <v>90.921519006743239</v>
      </c>
      <c r="U39" s="37">
        <f t="shared" si="48"/>
        <v>92.207397941381004</v>
      </c>
      <c r="V39" s="37">
        <f t="shared" si="48"/>
        <v>89.70277743438966</v>
      </c>
      <c r="AE39" t="s">
        <v>725</v>
      </c>
      <c r="AJ39" s="171"/>
      <c r="AM39" s="35"/>
      <c r="AP39" s="35"/>
    </row>
    <row r="40" spans="2:47" x14ac:dyDescent="0.25">
      <c r="B40" s="12" t="s">
        <v>523</v>
      </c>
      <c r="C40" s="297">
        <v>1.3216570000000001</v>
      </c>
      <c r="D40" s="297">
        <v>1.5096639999999999</v>
      </c>
      <c r="E40" s="297">
        <v>1.501598</v>
      </c>
      <c r="F40" s="297">
        <v>1.475875</v>
      </c>
      <c r="G40" s="297">
        <v>1.2988999999999999</v>
      </c>
      <c r="H40" s="297">
        <v>1.3423</v>
      </c>
      <c r="I40" s="401">
        <v>1.4136120000000001</v>
      </c>
      <c r="J40" s="378">
        <v>1.3919589999999999</v>
      </c>
      <c r="K40" s="397">
        <v>1.3573759999999999</v>
      </c>
      <c r="L40" s="50"/>
      <c r="M40" s="12" t="s">
        <v>523</v>
      </c>
      <c r="N40" s="441">
        <v>99.795975146063256</v>
      </c>
      <c r="O40" s="37">
        <f t="shared" ref="O40:V51" si="49">O8/O23*100</f>
        <v>95.732304121878684</v>
      </c>
      <c r="P40" s="37">
        <f t="shared" si="49"/>
        <v>93.091559543476976</v>
      </c>
      <c r="Q40" s="37">
        <f t="shared" si="49"/>
        <v>76.132382346965215</v>
      </c>
      <c r="R40" s="37">
        <f t="shared" si="49"/>
        <v>71.676516065464511</v>
      </c>
      <c r="S40" s="37">
        <f t="shared" si="49"/>
        <v>114.14642677239111</v>
      </c>
      <c r="T40" s="37">
        <f t="shared" si="49"/>
        <v>80.023677341645168</v>
      </c>
      <c r="U40" s="37">
        <f t="shared" si="49"/>
        <v>75.76589235846663</v>
      </c>
      <c r="V40" s="37">
        <f t="shared" si="49"/>
        <v>83.939802507189228</v>
      </c>
    </row>
    <row r="41" spans="2:47" x14ac:dyDescent="0.25">
      <c r="B41" s="12" t="s">
        <v>524</v>
      </c>
      <c r="C41" s="297">
        <v>1.753644</v>
      </c>
      <c r="D41" s="297">
        <v>1.631173</v>
      </c>
      <c r="E41" s="297">
        <v>1.9840819999999999</v>
      </c>
      <c r="F41" s="297">
        <v>1.6795610000000001</v>
      </c>
      <c r="G41" s="297">
        <v>1.784705</v>
      </c>
      <c r="H41" s="297">
        <v>1.5551870000000001</v>
      </c>
      <c r="I41" s="401">
        <v>1.6550320000000001</v>
      </c>
      <c r="J41" s="378">
        <v>1.594239</v>
      </c>
      <c r="K41" s="397">
        <v>1.5093970000000001</v>
      </c>
      <c r="L41" s="50"/>
      <c r="M41" s="12" t="s">
        <v>524</v>
      </c>
      <c r="N41" s="441">
        <v>100.28889785952946</v>
      </c>
      <c r="O41" s="37">
        <f t="shared" si="49"/>
        <v>92.61919710643582</v>
      </c>
      <c r="P41" s="37">
        <f t="shared" si="49"/>
        <v>175.00307380073812</v>
      </c>
      <c r="Q41" s="37">
        <f t="shared" si="49"/>
        <v>214.51391493212674</v>
      </c>
      <c r="R41" s="37">
        <f t="shared" si="49"/>
        <v>222.44003564509507</v>
      </c>
      <c r="S41" s="37">
        <f t="shared" si="49"/>
        <v>154.31764705882352</v>
      </c>
      <c r="T41" s="37">
        <f t="shared" si="49"/>
        <v>184.24038479217083</v>
      </c>
      <c r="U41" s="37">
        <f t="shared" si="49"/>
        <v>168.11864406779659</v>
      </c>
      <c r="V41" s="37">
        <f t="shared" si="49"/>
        <v>142.61651583710409</v>
      </c>
    </row>
    <row r="42" spans="2:47" x14ac:dyDescent="0.25">
      <c r="B42" s="12" t="s">
        <v>525</v>
      </c>
      <c r="C42" s="297">
        <v>1.1739599999999999</v>
      </c>
      <c r="D42" s="297">
        <v>1.2243280000000001</v>
      </c>
      <c r="E42" s="297">
        <v>1.318838</v>
      </c>
      <c r="F42" s="297">
        <v>1.534643</v>
      </c>
      <c r="G42" s="297">
        <v>1.495989</v>
      </c>
      <c r="H42" s="297">
        <v>1.444197</v>
      </c>
      <c r="I42" s="401">
        <v>1.465603</v>
      </c>
      <c r="J42" s="378">
        <v>1.4045300000000001</v>
      </c>
      <c r="K42" s="397">
        <v>1.5936049999999999</v>
      </c>
      <c r="L42" s="50"/>
      <c r="M42" s="12" t="s">
        <v>525</v>
      </c>
      <c r="N42" s="441">
        <v>119.31820607509553</v>
      </c>
      <c r="O42" s="37">
        <f t="shared" si="49"/>
        <v>95.402781276845175</v>
      </c>
      <c r="P42" s="37">
        <f t="shared" si="49"/>
        <v>97.986858623438678</v>
      </c>
      <c r="Q42" s="37">
        <f t="shared" si="49"/>
        <v>99.945597687044113</v>
      </c>
      <c r="R42" s="37">
        <f t="shared" si="49"/>
        <v>99.075420597646485</v>
      </c>
      <c r="S42" s="37">
        <f t="shared" si="49"/>
        <v>104.05978030800409</v>
      </c>
      <c r="T42" s="37">
        <f t="shared" si="49"/>
        <v>94.226743883008922</v>
      </c>
      <c r="U42" s="37">
        <f t="shared" si="49"/>
        <v>102.87427631392538</v>
      </c>
      <c r="V42" s="37">
        <f t="shared" si="49"/>
        <v>96.605518923133062</v>
      </c>
    </row>
    <row r="43" spans="2:47" x14ac:dyDescent="0.25">
      <c r="B43" s="12" t="s">
        <v>526</v>
      </c>
      <c r="C43" s="297">
        <v>0.81544970000000006</v>
      </c>
      <c r="D43" s="297">
        <v>1.005118</v>
      </c>
      <c r="E43" s="297">
        <v>1.0421670000000001</v>
      </c>
      <c r="F43" s="297">
        <v>1.0200659999999999</v>
      </c>
      <c r="G43" s="297">
        <v>0.8855847</v>
      </c>
      <c r="H43" s="297">
        <v>0.86261080000000001</v>
      </c>
      <c r="I43" s="401">
        <v>0.93363350000000001</v>
      </c>
      <c r="J43" s="378">
        <v>0.9088446</v>
      </c>
      <c r="K43" s="397">
        <v>0.91873470000000002</v>
      </c>
      <c r="L43" s="50"/>
      <c r="M43" s="12" t="s">
        <v>526</v>
      </c>
      <c r="N43" s="441">
        <v>104.70039658131674</v>
      </c>
      <c r="O43" s="37">
        <f t="shared" si="49"/>
        <v>101.84682275699022</v>
      </c>
      <c r="P43" s="37">
        <f t="shared" si="49"/>
        <v>101.71359135986494</v>
      </c>
      <c r="Q43" s="37">
        <f t="shared" si="49"/>
        <v>102.27373392891043</v>
      </c>
      <c r="R43" s="37">
        <f t="shared" si="49"/>
        <v>97.783265805039818</v>
      </c>
      <c r="S43" s="37">
        <f t="shared" si="49"/>
        <v>96.33771290342942</v>
      </c>
      <c r="T43" s="37">
        <f t="shared" si="49"/>
        <v>98.956878369222608</v>
      </c>
      <c r="U43" s="37">
        <f t="shared" si="49"/>
        <v>100.2674794360187</v>
      </c>
      <c r="V43" s="37">
        <f t="shared" si="49"/>
        <v>102.78911868936534</v>
      </c>
    </row>
    <row r="44" spans="2:47" x14ac:dyDescent="0.25">
      <c r="B44" s="12" t="s">
        <v>527</v>
      </c>
      <c r="C44" s="297">
        <v>1.045342</v>
      </c>
      <c r="D44" s="297">
        <v>1.0939840000000001</v>
      </c>
      <c r="E44" s="297">
        <v>1.2805610000000001</v>
      </c>
      <c r="F44" s="297">
        <v>1.7395860000000001</v>
      </c>
      <c r="G44" s="297">
        <v>1.547917</v>
      </c>
      <c r="H44" s="297">
        <v>1.7401329999999999</v>
      </c>
      <c r="I44" s="401">
        <v>1.5557289999999999</v>
      </c>
      <c r="J44" s="378">
        <v>2.1339250000000001</v>
      </c>
      <c r="K44" s="397">
        <v>2.4288099999999999</v>
      </c>
      <c r="L44" s="50"/>
      <c r="M44" s="12" t="s">
        <v>527</v>
      </c>
      <c r="N44" s="441">
        <v>99.964646983019122</v>
      </c>
      <c r="O44" s="37">
        <f t="shared" si="49"/>
        <v>94.323410820371734</v>
      </c>
      <c r="P44" s="37">
        <f t="shared" si="49"/>
        <v>98.118230713524909</v>
      </c>
      <c r="Q44" s="37">
        <f t="shared" si="49"/>
        <v>103.91041293313098</v>
      </c>
      <c r="R44" s="37">
        <f t="shared" si="49"/>
        <v>103.75420135115176</v>
      </c>
      <c r="S44" s="37">
        <f t="shared" si="49"/>
        <v>113.23606768144406</v>
      </c>
      <c r="T44" s="37">
        <f t="shared" si="49"/>
        <v>105.55093426361199</v>
      </c>
      <c r="U44" s="37">
        <f t="shared" si="49"/>
        <v>107.60140578248057</v>
      </c>
      <c r="V44" s="37">
        <f t="shared" si="49"/>
        <v>110.89473209245109</v>
      </c>
    </row>
    <row r="45" spans="2:47" x14ac:dyDescent="0.25">
      <c r="B45" s="12" t="s">
        <v>528</v>
      </c>
      <c r="C45" s="297">
        <v>0.70426290000000003</v>
      </c>
      <c r="D45" s="297">
        <v>0.70310629999999996</v>
      </c>
      <c r="E45" s="297">
        <v>0.69384369999999995</v>
      </c>
      <c r="F45" s="297">
        <v>0.74323130000000004</v>
      </c>
      <c r="G45" s="297">
        <v>0.69472970000000001</v>
      </c>
      <c r="H45" s="297">
        <v>0.68662999999999996</v>
      </c>
      <c r="I45" s="401">
        <v>0.72238279999999999</v>
      </c>
      <c r="J45" s="378">
        <v>0.74488799999999999</v>
      </c>
      <c r="K45" s="397">
        <v>0.74522900000000003</v>
      </c>
      <c r="L45" s="50"/>
      <c r="M45" s="12" t="s">
        <v>528</v>
      </c>
      <c r="N45" s="441">
        <v>104.85756446489761</v>
      </c>
      <c r="O45" s="37">
        <f t="shared" si="49"/>
        <v>95.647010080788661</v>
      </c>
      <c r="P45" s="37">
        <f t="shared" si="49"/>
        <v>96.957564029438728</v>
      </c>
      <c r="Q45" s="37">
        <f t="shared" si="49"/>
        <v>99.796737715413599</v>
      </c>
      <c r="R45" s="37">
        <f t="shared" si="49"/>
        <v>100.49456331705169</v>
      </c>
      <c r="S45" s="37">
        <f t="shared" si="49"/>
        <v>101.4250536901115</v>
      </c>
      <c r="T45" s="37">
        <f t="shared" si="49"/>
        <v>103.91775804790831</v>
      </c>
      <c r="U45" s="37">
        <f t="shared" si="49"/>
        <v>105.04446667424017</v>
      </c>
      <c r="V45" s="37">
        <f t="shared" si="49"/>
        <v>107.03305358910742</v>
      </c>
    </row>
    <row r="46" spans="2:47" x14ac:dyDescent="0.25">
      <c r="B46" s="12" t="s">
        <v>529</v>
      </c>
      <c r="C46" s="297">
        <v>3.9570970000000001</v>
      </c>
      <c r="D46" s="297">
        <v>5.9650480000000003</v>
      </c>
      <c r="E46" s="297">
        <v>4.0201739999999999</v>
      </c>
      <c r="F46" s="297">
        <v>3.7934389999999998</v>
      </c>
      <c r="G46" s="297">
        <v>3.7251840000000001</v>
      </c>
      <c r="H46" s="297">
        <v>3.2869609999999998</v>
      </c>
      <c r="I46" s="401">
        <v>3.677384</v>
      </c>
      <c r="J46" s="378">
        <v>4.136838</v>
      </c>
      <c r="K46" s="397">
        <v>3.9151250000000002</v>
      </c>
      <c r="L46" s="50"/>
      <c r="M46" s="12" t="s">
        <v>529</v>
      </c>
      <c r="N46" s="441">
        <v>105.57884501968535</v>
      </c>
      <c r="O46" s="37">
        <f t="shared" si="49"/>
        <v>101.51828736776972</v>
      </c>
      <c r="P46" s="37">
        <f t="shared" si="49"/>
        <v>99.580854737314382</v>
      </c>
      <c r="Q46" s="37">
        <f t="shared" si="49"/>
        <v>102.54795205628456</v>
      </c>
      <c r="R46" s="37">
        <f t="shared" si="49"/>
        <v>106.03857111822551</v>
      </c>
      <c r="S46" s="37">
        <f t="shared" si="49"/>
        <v>111.75103857383712</v>
      </c>
      <c r="T46" s="37">
        <f t="shared" si="49"/>
        <v>114.40369333556137</v>
      </c>
      <c r="U46" s="37">
        <f t="shared" si="49"/>
        <v>120.43069971135733</v>
      </c>
      <c r="V46" s="37">
        <f t="shared" si="49"/>
        <v>120.1113603783768</v>
      </c>
    </row>
    <row r="47" spans="2:47" x14ac:dyDescent="0.25">
      <c r="B47" s="12" t="s">
        <v>530</v>
      </c>
      <c r="C47" s="297">
        <v>0.90474869999999996</v>
      </c>
      <c r="D47" s="297">
        <v>0.77767549999999996</v>
      </c>
      <c r="E47" s="297">
        <v>0.83992330000000004</v>
      </c>
      <c r="F47" s="297">
        <v>0.81153690000000001</v>
      </c>
      <c r="G47" s="297">
        <v>0.85753769999999996</v>
      </c>
      <c r="H47" s="297">
        <v>0.87285140000000006</v>
      </c>
      <c r="I47" s="401">
        <v>0.98253190000000001</v>
      </c>
      <c r="J47" s="378">
        <v>1.0746329999999999</v>
      </c>
      <c r="K47" s="397">
        <v>1.237141</v>
      </c>
      <c r="L47" s="50"/>
      <c r="M47" s="12" t="s">
        <v>530</v>
      </c>
      <c r="N47" s="441">
        <v>107.50894721645885</v>
      </c>
      <c r="O47" s="37">
        <f t="shared" si="49"/>
        <v>98.718055042184218</v>
      </c>
      <c r="P47" s="37">
        <f t="shared" si="49"/>
        <v>102.17435692380572</v>
      </c>
      <c r="Q47" s="37">
        <f t="shared" si="49"/>
        <v>100.70093442389569</v>
      </c>
      <c r="R47" s="37">
        <f t="shared" si="49"/>
        <v>101.58409108465376</v>
      </c>
      <c r="S47" s="37">
        <f t="shared" si="49"/>
        <v>102.98743017632927</v>
      </c>
      <c r="T47" s="37">
        <f t="shared" si="49"/>
        <v>104.88244476879065</v>
      </c>
      <c r="U47" s="37">
        <f t="shared" si="49"/>
        <v>105.8067710890829</v>
      </c>
      <c r="V47" s="37">
        <f t="shared" si="49"/>
        <v>107.88038207055762</v>
      </c>
    </row>
    <row r="48" spans="2:47" x14ac:dyDescent="0.25">
      <c r="B48" s="12" t="s">
        <v>531</v>
      </c>
      <c r="C48" s="297">
        <v>0.45155640000000002</v>
      </c>
      <c r="D48" s="297">
        <v>0.29480190000000001</v>
      </c>
      <c r="E48" s="297">
        <v>-0.41543249999999998</v>
      </c>
      <c r="F48" s="297">
        <v>-0.66060129999999995</v>
      </c>
      <c r="G48" s="297">
        <v>-0.27665669999999998</v>
      </c>
      <c r="H48" s="297">
        <v>-0.39315749999999999</v>
      </c>
      <c r="I48" s="401">
        <v>-3.2062819999999999</v>
      </c>
      <c r="J48" s="378">
        <v>-0.40792519999999999</v>
      </c>
      <c r="K48" s="397">
        <v>-0.35760700000000001</v>
      </c>
      <c r="L48" s="50"/>
      <c r="M48" s="12" t="s">
        <v>531</v>
      </c>
      <c r="N48" s="441">
        <v>105.20846807226319</v>
      </c>
      <c r="O48" s="37">
        <f t="shared" si="49"/>
        <v>96.050009197944306</v>
      </c>
      <c r="P48" s="37">
        <f t="shared" si="49"/>
        <v>94.189763144714604</v>
      </c>
      <c r="Q48" s="37">
        <f t="shared" si="49"/>
        <v>97.376796470672232</v>
      </c>
      <c r="R48" s="37">
        <f t="shared" si="49"/>
        <v>96.970518661437197</v>
      </c>
      <c r="S48" s="37">
        <f t="shared" si="49"/>
        <v>99.403088703502419</v>
      </c>
      <c r="T48" s="37">
        <f t="shared" si="49"/>
        <v>98.922967422662794</v>
      </c>
      <c r="U48" s="37">
        <f t="shared" si="49"/>
        <v>101.56266292501535</v>
      </c>
      <c r="V48" s="37">
        <f t="shared" si="49"/>
        <v>103.47125586110147</v>
      </c>
    </row>
    <row r="49" spans="2:34" x14ac:dyDescent="0.25">
      <c r="B49" s="22" t="s">
        <v>533</v>
      </c>
      <c r="C49" s="424">
        <v>1.0025200000000001</v>
      </c>
      <c r="D49" s="424">
        <v>1.0482370000000001</v>
      </c>
      <c r="E49" s="424">
        <v>1.1156429999999999</v>
      </c>
      <c r="F49" s="424">
        <v>1.10911</v>
      </c>
      <c r="G49" s="424">
        <v>1.0626059999999999</v>
      </c>
      <c r="H49" s="424">
        <v>1.0494589999999999</v>
      </c>
      <c r="I49" s="405">
        <v>1.074157</v>
      </c>
      <c r="J49" s="425">
        <v>1.11805</v>
      </c>
      <c r="K49" s="407">
        <v>1.161592</v>
      </c>
      <c r="M49" s="22" t="s">
        <v>533</v>
      </c>
      <c r="N49" s="51">
        <v>107.96126937639386</v>
      </c>
      <c r="O49" s="65">
        <f t="shared" si="49"/>
        <v>97.080364776618296</v>
      </c>
      <c r="P49" s="65">
        <f t="shared" si="49"/>
        <v>104.98230477889447</v>
      </c>
      <c r="Q49" s="65">
        <f t="shared" si="49"/>
        <v>103.21145667790945</v>
      </c>
      <c r="R49" s="65">
        <f t="shared" si="49"/>
        <v>103.73376352735532</v>
      </c>
      <c r="S49" s="65">
        <f t="shared" si="49"/>
        <v>105.40631875772021</v>
      </c>
      <c r="T49" s="65">
        <f t="shared" si="49"/>
        <v>104.05309910866944</v>
      </c>
      <c r="U49" s="65">
        <f t="shared" si="49"/>
        <v>104.20222303413185</v>
      </c>
      <c r="V49" s="65">
        <f t="shared" si="49"/>
        <v>103.84142334767358</v>
      </c>
    </row>
    <row r="50" spans="2:34" x14ac:dyDescent="0.25">
      <c r="C50">
        <f>C18/C35*100</f>
        <v>100.13549279652891</v>
      </c>
      <c r="D50">
        <f>D18/D35*100</f>
        <v>104.69187468441656</v>
      </c>
      <c r="E50">
        <f>E18/E35*100</f>
        <v>111.40067369913803</v>
      </c>
      <c r="F50">
        <f t="shared" ref="F50:J50" si="50">F18/F35*100</f>
        <v>110.76646208193861</v>
      </c>
      <c r="G50">
        <f t="shared" si="50"/>
        <v>106.14682210384549</v>
      </c>
      <c r="H50">
        <f t="shared" si="50"/>
        <v>104.84425263046569</v>
      </c>
      <c r="I50">
        <f t="shared" si="50"/>
        <v>107.30824017157164</v>
      </c>
      <c r="J50">
        <f t="shared" si="50"/>
        <v>111.68533197748116</v>
      </c>
      <c r="K50">
        <f>K18/K35*100</f>
        <v>116.02814482987107</v>
      </c>
      <c r="M50" s="2" t="s">
        <v>291</v>
      </c>
      <c r="N50" s="65">
        <v>110.40597754619601</v>
      </c>
      <c r="O50" s="65">
        <f>O18/O33*100</f>
        <v>132.8831291397556</v>
      </c>
      <c r="P50" s="65">
        <f t="shared" ref="P50:V50" si="51">P18/P33*100</f>
        <v>96.421070962013772</v>
      </c>
      <c r="Q50" s="65">
        <f t="shared" si="51"/>
        <v>113.52919141151246</v>
      </c>
      <c r="R50" s="65">
        <f t="shared" si="51"/>
        <v>106.51640744797666</v>
      </c>
      <c r="S50" s="65">
        <f t="shared" si="51"/>
        <v>101.02039874226989</v>
      </c>
      <c r="T50" s="65">
        <f t="shared" si="51"/>
        <v>101.17361111842087</v>
      </c>
      <c r="U50" s="65">
        <f t="shared" si="51"/>
        <v>102.56681212057921</v>
      </c>
      <c r="V50" s="65">
        <f t="shared" si="51"/>
        <v>105.95262997387458</v>
      </c>
    </row>
    <row r="51" spans="2:34" x14ac:dyDescent="0.25">
      <c r="M51" s="2" t="s">
        <v>721</v>
      </c>
      <c r="N51" s="65">
        <v>108.18462188042757</v>
      </c>
      <c r="O51" s="65">
        <f t="shared" si="49"/>
        <v>106.39304732472282</v>
      </c>
      <c r="P51" s="65">
        <f t="shared" si="49"/>
        <v>104.12160776545542</v>
      </c>
      <c r="Q51" s="65">
        <f t="shared" si="49"/>
        <v>104.07121513480601</v>
      </c>
      <c r="R51" s="65">
        <f t="shared" si="49"/>
        <v>103.96429553886924</v>
      </c>
      <c r="S51" s="65">
        <f t="shared" si="49"/>
        <v>105.06575320666383</v>
      </c>
      <c r="T51" s="65">
        <f t="shared" si="49"/>
        <v>103.85382375573234</v>
      </c>
      <c r="U51" s="65">
        <f t="shared" si="49"/>
        <v>104.10114621650719</v>
      </c>
      <c r="V51" s="65">
        <f t="shared" si="49"/>
        <v>103.96034017752895</v>
      </c>
    </row>
    <row r="52" spans="2:34" x14ac:dyDescent="0.25">
      <c r="M52" s="2" t="s">
        <v>703</v>
      </c>
      <c r="N52" s="265">
        <v>46042</v>
      </c>
    </row>
    <row r="53" spans="2:34" x14ac:dyDescent="0.25">
      <c r="M53" s="18"/>
      <c r="N53" s="486">
        <v>2026</v>
      </c>
      <c r="O53" s="487"/>
      <c r="P53" s="488"/>
      <c r="Q53" s="486">
        <v>2027</v>
      </c>
      <c r="R53" s="487"/>
      <c r="S53" s="488"/>
      <c r="T53" s="486">
        <v>2028</v>
      </c>
      <c r="U53" s="487"/>
      <c r="V53" s="488"/>
      <c r="W53" s="486">
        <v>2029</v>
      </c>
      <c r="X53" s="487"/>
      <c r="Y53" s="488"/>
      <c r="Z53" s="486">
        <v>2030</v>
      </c>
      <c r="AA53" s="487"/>
      <c r="AB53" s="488"/>
      <c r="AC53" s="486">
        <v>2031</v>
      </c>
      <c r="AD53" s="487"/>
      <c r="AE53" s="488"/>
      <c r="AF53" s="486">
        <v>2032</v>
      </c>
      <c r="AG53" s="487"/>
      <c r="AH53" s="488"/>
    </row>
    <row r="54" spans="2:34" x14ac:dyDescent="0.25">
      <c r="M54" s="128"/>
      <c r="N54" s="73" t="s">
        <v>719</v>
      </c>
      <c r="O54" s="74" t="s">
        <v>720</v>
      </c>
      <c r="P54" s="75" t="s">
        <v>744</v>
      </c>
      <c r="Q54" s="73" t="s">
        <v>719</v>
      </c>
      <c r="R54" s="74" t="s">
        <v>720</v>
      </c>
      <c r="S54" s="75" t="s">
        <v>744</v>
      </c>
      <c r="T54" s="73" t="s">
        <v>719</v>
      </c>
      <c r="U54" s="74" t="s">
        <v>720</v>
      </c>
      <c r="V54" s="75" t="s">
        <v>744</v>
      </c>
      <c r="W54" s="73" t="s">
        <v>719</v>
      </c>
      <c r="X54" s="74" t="s">
        <v>720</v>
      </c>
      <c r="Y54" s="75" t="s">
        <v>744</v>
      </c>
      <c r="Z54" s="73" t="s">
        <v>719</v>
      </c>
      <c r="AA54" s="74" t="s">
        <v>720</v>
      </c>
      <c r="AB54" s="75" t="s">
        <v>744</v>
      </c>
      <c r="AC54" s="73" t="s">
        <v>719</v>
      </c>
      <c r="AD54" s="74" t="s">
        <v>720</v>
      </c>
      <c r="AE54" s="75" t="s">
        <v>744</v>
      </c>
      <c r="AF54" s="73" t="s">
        <v>719</v>
      </c>
      <c r="AG54" s="74" t="s">
        <v>720</v>
      </c>
      <c r="AH54" s="75" t="s">
        <v>744</v>
      </c>
    </row>
    <row r="55" spans="2:34" x14ac:dyDescent="0.25">
      <c r="M55" s="12" t="s">
        <v>704</v>
      </c>
      <c r="N55" s="37">
        <f>W22/'2_Production_2'!D21*100</f>
        <v>108.92031018370743</v>
      </c>
      <c r="O55" s="37">
        <f>X22/'2_Production_2'!D7*100</f>
        <v>99.267670568881144</v>
      </c>
      <c r="P55" s="1">
        <f>Y22/O7*100</f>
        <v>120.34330291566341</v>
      </c>
      <c r="Q55" s="37">
        <f>Z22/'2_Production_2'!E21*100</f>
        <v>108.61254614131397</v>
      </c>
      <c r="R55" s="1">
        <f>AA22/'2_Production_2'!E7*100</f>
        <v>95.129329607660253</v>
      </c>
      <c r="S55" s="1">
        <f>AB22/P7*100</f>
        <v>123.71363432178725</v>
      </c>
      <c r="T55" s="37">
        <f>AC22/'2_Production_2'!F21*100</f>
        <v>108.27300711668303</v>
      </c>
      <c r="U55" s="39">
        <f>AD22/'2_Production_2'!F7*100</f>
        <v>83.859611527082492</v>
      </c>
      <c r="V55" s="38">
        <f>AE22/Q7*100</f>
        <v>133.88706150577215</v>
      </c>
      <c r="W55" s="37">
        <f>AF22/'2_Production_2'!G21*100</f>
        <v>108.15401629768029</v>
      </c>
      <c r="X55" s="39">
        <f>AG22/'2_Production_2'!G7*100</f>
        <v>101.73440637152362</v>
      </c>
      <c r="Y55" s="38">
        <f>AH22/R7*100</f>
        <v>113.19206529741604</v>
      </c>
      <c r="Z55" s="37">
        <f>AI22/'2_Production_2'!H21*100</f>
        <v>108.31355856899332</v>
      </c>
      <c r="AA55" s="39">
        <f>AJ22/'2_Production_2'!H7*100</f>
        <v>102.33767053440346</v>
      </c>
      <c r="AB55" s="38">
        <f>AK22/S7*100</f>
        <v>113.49931440606838</v>
      </c>
      <c r="AC55" s="37">
        <f>AL22/'2_Production_2'!I21*100</f>
        <v>107.60075440127643</v>
      </c>
      <c r="AD55" s="39">
        <f>AA22/'2_Production_2'!I7*100</f>
        <v>70.693926534446533</v>
      </c>
      <c r="AE55" s="38">
        <f>AN22/T7*100</f>
        <v>136.38041592742104</v>
      </c>
      <c r="AF55" s="37">
        <f>AO22/'2_Production_2'!J21*100</f>
        <v>107.54578121411076</v>
      </c>
      <c r="AG55" s="39">
        <f>AD22/'2_Production_2'!J7*100</f>
        <v>73.684697579929477</v>
      </c>
      <c r="AH55" s="38">
        <f>AO22/U7*100</f>
        <v>182.7536774901665</v>
      </c>
    </row>
    <row r="56" spans="2:34" x14ac:dyDescent="0.25">
      <c r="M56" s="12" t="s">
        <v>705</v>
      </c>
      <c r="N56" s="37">
        <f>W23/'2_Production_2'!D23*100</f>
        <v>170.7116979062815</v>
      </c>
      <c r="O56" s="37">
        <f>X23/'2_Production_2'!D8*100</f>
        <v>187.5123031489511</v>
      </c>
      <c r="P56" s="1">
        <f t="shared" ref="P56:P65" si="52">Y23/O8*100</f>
        <v>152.72844136288563</v>
      </c>
      <c r="Q56" s="37">
        <f>Z23/'2_Production_2'!E23*100</f>
        <v>123.02946635251269</v>
      </c>
      <c r="R56" s="1">
        <f>AA23/'2_Production_2'!E8*100</f>
        <v>75.349552989553757</v>
      </c>
      <c r="S56" s="1">
        <f t="shared" ref="S56:S65" si="53">AB23/P8*100</f>
        <v>198.80867614584307</v>
      </c>
      <c r="T56" s="37">
        <f>AC23/'2_Production_2'!F23*100</f>
        <v>146.28499070499609</v>
      </c>
      <c r="U56" s="39">
        <f>AD23/'2_Production_2'!F8*100</f>
        <v>150.08610588822117</v>
      </c>
      <c r="V56" s="38">
        <f t="shared" ref="V56:V65" si="54">AE23/Q8*100</f>
        <v>142.84588649160196</v>
      </c>
      <c r="W56" s="37">
        <f>AF23/'2_Production_2'!G23*100</f>
        <v>126.12211229367027</v>
      </c>
      <c r="X56" s="39">
        <f>AG23/'2_Production_2'!G8*100</f>
        <v>135.05662766208513</v>
      </c>
      <c r="Y56" s="38">
        <f t="shared" ref="Y56:Y65" si="55">AH23/R8*100</f>
        <v>112.32249186459184</v>
      </c>
      <c r="Z56" s="37">
        <f>AI23/'2_Production_2'!H23*100</f>
        <v>109.28996053539105</v>
      </c>
      <c r="AA56" s="39">
        <f>AJ23/'2_Production_2'!H8*100</f>
        <v>69.758490881582702</v>
      </c>
      <c r="AB56" s="38">
        <f t="shared" ref="AB56:AB65" si="56">AK23/S8*100</f>
        <v>162.27605843919306</v>
      </c>
      <c r="AC56" s="37">
        <f>AL23/'2_Production_2'!I23*100</f>
        <v>114.71040357069377</v>
      </c>
      <c r="AD56" s="39">
        <f>AA23/'2_Production_2'!I8*100</f>
        <v>55.147717079626027</v>
      </c>
      <c r="AE56" s="38">
        <f t="shared" ref="AE56:AE65" si="57">AN23/T8*100</f>
        <v>138.78435269479883</v>
      </c>
      <c r="AF56" s="37">
        <f>AO23/'2_Production_2'!J23*100</f>
        <v>110.28425772868511</v>
      </c>
      <c r="AG56" s="39">
        <f>AD23/'2_Production_2'!J8*100</f>
        <v>92.590001825893935</v>
      </c>
      <c r="AH56" s="38">
        <f t="shared" ref="AH56:AH65" si="58">AO23/U8*100</f>
        <v>200.51683223397291</v>
      </c>
    </row>
    <row r="57" spans="2:34" x14ac:dyDescent="0.25">
      <c r="M57" s="12" t="s">
        <v>706</v>
      </c>
      <c r="N57" s="37">
        <f>W24/'2_Production_2'!D24*100</f>
        <v>88.396104265612365</v>
      </c>
      <c r="O57" s="37">
        <f>X24/'2_Production_2'!D9*100</f>
        <v>100.06329194042145</v>
      </c>
      <c r="P57" s="1">
        <f t="shared" si="52"/>
        <v>67.290292853879052</v>
      </c>
      <c r="Q57" s="37">
        <f>Z24/'2_Production_2'!E24*100</f>
        <v>95.143064037712406</v>
      </c>
      <c r="R57" s="1">
        <f>AA24/'2_Production_2'!E9*100</f>
        <v>135.9934805236293</v>
      </c>
      <c r="S57" s="1">
        <f t="shared" si="53"/>
        <v>46.212345389746005</v>
      </c>
      <c r="T57" s="37">
        <f>AC24/'2_Production_2'!F24*100</f>
        <v>119.95993800255762</v>
      </c>
      <c r="U57" s="39">
        <f>AD24/'2_Production_2'!F9*100</f>
        <v>173.08194321603142</v>
      </c>
      <c r="V57" s="38">
        <f t="shared" si="54"/>
        <v>54.77012759582253</v>
      </c>
      <c r="W57" s="37">
        <f>AF24/'2_Production_2'!G24*100</f>
        <v>129.15477320672287</v>
      </c>
      <c r="X57" s="39">
        <f>AG24/'2_Production_2'!G9*100</f>
        <v>175.56356735868616</v>
      </c>
      <c r="Y57" s="38">
        <f t="shared" si="55"/>
        <v>72.874399777003589</v>
      </c>
      <c r="Z57" s="37">
        <f>AI24/'2_Production_2'!H24*100</f>
        <v>100.42968440047852</v>
      </c>
      <c r="AA57" s="39">
        <f>AJ24/'2_Production_2'!H9*100</f>
        <v>121.66809306877644</v>
      </c>
      <c r="AB57" s="38">
        <f t="shared" si="56"/>
        <v>67.210634944935634</v>
      </c>
      <c r="AC57" s="37">
        <f>AL24/'2_Production_2'!I24*100</f>
        <v>110.90678544473256</v>
      </c>
      <c r="AD57" s="39">
        <f>AA24/'2_Production_2'!I9*100</f>
        <v>88.186470159971122</v>
      </c>
      <c r="AE57" s="38">
        <f t="shared" si="57"/>
        <v>68.650856610021364</v>
      </c>
      <c r="AF57" s="37">
        <f>AO24/'2_Production_2'!J24*100</f>
        <v>110.98997766736392</v>
      </c>
      <c r="AG57" s="39">
        <f>AD24/'2_Production_2'!J9*100</f>
        <v>129.93021710993065</v>
      </c>
      <c r="AH57" s="38">
        <f t="shared" si="58"/>
        <v>203.65133516947509</v>
      </c>
    </row>
    <row r="58" spans="2:34" x14ac:dyDescent="0.25">
      <c r="M58" s="12" t="s">
        <v>707</v>
      </c>
      <c r="N58" s="37">
        <f>W25/'2_Production_2'!D25*100</f>
        <v>110.19229920474791</v>
      </c>
      <c r="O58" s="37">
        <f>X25/'2_Production_2'!D10*100</f>
        <v>93.551002214228021</v>
      </c>
      <c r="P58" s="1">
        <f t="shared" si="52"/>
        <v>123.97384863199746</v>
      </c>
      <c r="Q58" s="37">
        <f>Z25/'2_Production_2'!E25*100</f>
        <v>106.82274150057343</v>
      </c>
      <c r="R58" s="1">
        <f>AA25/'2_Production_2'!E10*100</f>
        <v>96.83926380551101</v>
      </c>
      <c r="S58" s="1">
        <f t="shared" si="53"/>
        <v>113.97647820965599</v>
      </c>
      <c r="T58" s="37">
        <f>AC25/'2_Production_2'!F25*100</f>
        <v>114.80382320559403</v>
      </c>
      <c r="U58" s="39">
        <f>AD25/'2_Production_2'!F10*100</f>
        <v>104.20363518747699</v>
      </c>
      <c r="V58" s="38">
        <f t="shared" si="54"/>
        <v>122.17635464626133</v>
      </c>
      <c r="W58" s="37">
        <f>AF25/'2_Production_2'!G25*100</f>
        <v>111.48493594024286</v>
      </c>
      <c r="X58" s="39">
        <f>AG25/'2_Production_2'!G10*100</f>
        <v>101.73722793447332</v>
      </c>
      <c r="Y58" s="38">
        <f t="shared" si="55"/>
        <v>118.23081170058086</v>
      </c>
      <c r="Z58" s="37">
        <f>AI25/'2_Production_2'!H25*100</f>
        <v>101.42663097735036</v>
      </c>
      <c r="AA58" s="39">
        <f>AJ25/'2_Production_2'!H10*100</f>
        <v>87.375466711686528</v>
      </c>
      <c r="AB58" s="38">
        <f t="shared" si="56"/>
        <v>110.76791511593316</v>
      </c>
      <c r="AC58" s="37">
        <f>AL25/'2_Production_2'!I25*100</f>
        <v>98.099023662100038</v>
      </c>
      <c r="AD58" s="39">
        <f>AA25/'2_Production_2'!I10*100</f>
        <v>60.276114584177122</v>
      </c>
      <c r="AE58" s="38">
        <f t="shared" si="57"/>
        <v>110.09701421579233</v>
      </c>
      <c r="AF58" s="37">
        <f>AO25/'2_Production_2'!J25*100</f>
        <v>102.35283031748132</v>
      </c>
      <c r="AG58" s="39">
        <f>AD25/'2_Production_2'!J10*100</f>
        <v>76.452921120537724</v>
      </c>
      <c r="AH58" s="38">
        <f t="shared" si="58"/>
        <v>157.4658927961251</v>
      </c>
    </row>
    <row r="59" spans="2:34" x14ac:dyDescent="0.25">
      <c r="M59" s="12" t="s">
        <v>708</v>
      </c>
      <c r="N59" s="37">
        <f>W26/'2_Production_2'!D26*100</f>
        <v>106.80320506933019</v>
      </c>
      <c r="O59" s="37">
        <f>X26/'2_Production_2'!D11*100</f>
        <v>90.001147229128534</v>
      </c>
      <c r="P59" s="1">
        <f t="shared" si="52"/>
        <v>121.70314315403729</v>
      </c>
      <c r="Q59" s="37">
        <f>Z26/'2_Production_2'!E26*100</f>
        <v>102.37297438378046</v>
      </c>
      <c r="R59" s="1">
        <f>AA26/'2_Production_2'!E11*100</f>
        <v>94.851844822855497</v>
      </c>
      <c r="S59" s="1">
        <f t="shared" si="53"/>
        <v>107.83010773574817</v>
      </c>
      <c r="T59" s="37">
        <f>AC26/'2_Production_2'!F26*100</f>
        <v>100.72096176497718</v>
      </c>
      <c r="U59" s="39">
        <f>AD26/'2_Production_2'!F11*100</f>
        <v>89.337207911388248</v>
      </c>
      <c r="V59" s="38">
        <f t="shared" si="54"/>
        <v>108.84840620174853</v>
      </c>
      <c r="W59" s="37">
        <f>AF26/'2_Production_2'!G26*100</f>
        <v>105.09727443778827</v>
      </c>
      <c r="X59" s="39">
        <f>AG26/'2_Production_2'!G11*100</f>
        <v>77.034546157378955</v>
      </c>
      <c r="Y59" s="38">
        <f t="shared" si="55"/>
        <v>124.59849239536085</v>
      </c>
      <c r="Z59" s="37">
        <f>AI26/'2_Production_2'!H26*100</f>
        <v>101.0522670084849</v>
      </c>
      <c r="AA59" s="39">
        <f>AJ26/'2_Production_2'!H11*100</f>
        <v>79.612221435718254</v>
      </c>
      <c r="AB59" s="38">
        <f t="shared" si="56"/>
        <v>112.09713897021318</v>
      </c>
      <c r="AC59" s="37">
        <f>AL26/'2_Production_2'!I26*100</f>
        <v>102.80224715727348</v>
      </c>
      <c r="AD59" s="39">
        <f>AA26/'2_Production_2'!I11*100</f>
        <v>102.74570253712547</v>
      </c>
      <c r="AE59" s="38">
        <f t="shared" si="57"/>
        <v>111.5804963970257</v>
      </c>
      <c r="AF59" s="37">
        <f>AO26/'2_Production_2'!J26*100</f>
        <v>93.914417644560018</v>
      </c>
      <c r="AG59" s="39">
        <f>AD26/'2_Production_2'!J11*100</f>
        <v>108.21176772878538</v>
      </c>
      <c r="AH59" s="38">
        <f t="shared" si="58"/>
        <v>128.82636165234572</v>
      </c>
    </row>
    <row r="60" spans="2:34" x14ac:dyDescent="0.25">
      <c r="M60" s="12" t="s">
        <v>709</v>
      </c>
      <c r="N60" s="37">
        <f>W27/'2_Production_2'!D27*100</f>
        <v>104.59879646801269</v>
      </c>
      <c r="O60" s="37">
        <f>X27/'2_Production_2'!D12*100</f>
        <v>91.149407350336006</v>
      </c>
      <c r="P60" s="1">
        <f t="shared" si="52"/>
        <v>120.01075738826879</v>
      </c>
      <c r="Q60" s="37">
        <f>Z27/'2_Production_2'!E27*100</f>
        <v>97.626862533306578</v>
      </c>
      <c r="R60" s="1">
        <f>AA27/'2_Production_2'!E12*100</f>
        <v>87.186636370923551</v>
      </c>
      <c r="S60" s="1">
        <f t="shared" si="53"/>
        <v>108.06708869568959</v>
      </c>
      <c r="T60" s="37">
        <f>AC27/'2_Production_2'!F27*100</f>
        <v>88.561799875882954</v>
      </c>
      <c r="U60" s="39">
        <f>AD27/'2_Production_2'!F12*100</f>
        <v>81.237842828863364</v>
      </c>
      <c r="V60" s="38">
        <f t="shared" si="54"/>
        <v>95.093638449817348</v>
      </c>
      <c r="W60" s="37">
        <f>AF27/'2_Production_2'!G27*100</f>
        <v>90.307817720541479</v>
      </c>
      <c r="X60" s="39">
        <f>AG27/'2_Production_2'!G12*100</f>
        <v>60.941076754164328</v>
      </c>
      <c r="Y60" s="38">
        <f t="shared" si="55"/>
        <v>115.51008679288839</v>
      </c>
      <c r="Z60" s="37">
        <f>AI27/'2_Production_2'!H27*100</f>
        <v>103.03526773068332</v>
      </c>
      <c r="AA60" s="39">
        <f>AJ27/'2_Production_2'!H12*100</f>
        <v>90.230286668715934</v>
      </c>
      <c r="AB60" s="38">
        <f t="shared" si="56"/>
        <v>109.06114117160914</v>
      </c>
      <c r="AC60" s="37">
        <f>AL27/'2_Production_2'!I27*100</f>
        <v>92.750693251188636</v>
      </c>
      <c r="AD60" s="39">
        <f>AA27/'2_Production_2'!I12*100</f>
        <v>120.7958224172025</v>
      </c>
      <c r="AE60" s="38">
        <f t="shared" si="57"/>
        <v>99.405974085401596</v>
      </c>
      <c r="AF60" s="37">
        <f>AO27/'2_Production_2'!J27*100</f>
        <v>84.334951972721015</v>
      </c>
      <c r="AG60" s="39">
        <f>AD27/'2_Production_2'!J12*100</f>
        <v>122.03548083298948</v>
      </c>
      <c r="AH60" s="38">
        <f t="shared" si="58"/>
        <v>115.84471424824314</v>
      </c>
    </row>
    <row r="61" spans="2:34" x14ac:dyDescent="0.25">
      <c r="M61" s="12" t="s">
        <v>710</v>
      </c>
      <c r="N61" s="37">
        <f>W28/'2_Production_2'!D28*100</f>
        <v>97.008885911770349</v>
      </c>
      <c r="O61" s="37">
        <f>X28/'2_Production_2'!D13*100</f>
        <v>81.048595955716152</v>
      </c>
      <c r="P61" s="1">
        <f t="shared" si="52"/>
        <v>106.54426681203275</v>
      </c>
      <c r="Q61" s="37">
        <f>Z28/'2_Production_2'!E28*100</f>
        <v>108.52005571796271</v>
      </c>
      <c r="R61" s="1">
        <f>AA28/'2_Production_2'!E13*100</f>
        <v>96.11457481514654</v>
      </c>
      <c r="S61" s="1">
        <f t="shared" si="53"/>
        <v>115.10192412607449</v>
      </c>
      <c r="T61" s="37">
        <f>AC28/'2_Production_2'!F28*100</f>
        <v>105.81866524848324</v>
      </c>
      <c r="U61" s="39">
        <f>AD28/'2_Production_2'!F13*100</f>
        <v>94.457938332496568</v>
      </c>
      <c r="V61" s="38">
        <f t="shared" si="54"/>
        <v>111.6284949027186</v>
      </c>
      <c r="W61" s="37">
        <f>AF28/'2_Production_2'!G28*100</f>
        <v>98.388670574878546</v>
      </c>
      <c r="X61" s="39">
        <f>AG28/'2_Production_2'!G13*100</f>
        <v>62.705932225029613</v>
      </c>
      <c r="Y61" s="38">
        <f t="shared" si="55"/>
        <v>116.37500123987729</v>
      </c>
      <c r="Z61" s="37">
        <f>AI28/'2_Production_2'!H28*100</f>
        <v>100.83284676761268</v>
      </c>
      <c r="AA61" s="39">
        <f>AJ28/'2_Production_2'!H13*100</f>
        <v>60.759411322894849</v>
      </c>
      <c r="AB61" s="38">
        <f t="shared" si="56"/>
        <v>113.48761585541828</v>
      </c>
      <c r="AC61" s="37">
        <f>AL28/'2_Production_2'!I28*100</f>
        <v>99.704288783877388</v>
      </c>
      <c r="AD61" s="39">
        <f>AA28/'2_Production_2'!I13*100</f>
        <v>148.14983552615192</v>
      </c>
      <c r="AE61" s="38">
        <f t="shared" si="57"/>
        <v>103.95214430016546</v>
      </c>
      <c r="AF61" s="37">
        <f>AO28/'2_Production_2'!J28*100</f>
        <v>92.028953727239028</v>
      </c>
      <c r="AG61" s="39">
        <f>AD28/'2_Production_2'!J13*100</f>
        <v>172.58471776754186</v>
      </c>
      <c r="AH61" s="38">
        <f t="shared" si="58"/>
        <v>107.13498687687897</v>
      </c>
    </row>
    <row r="62" spans="2:34" x14ac:dyDescent="0.25">
      <c r="M62" s="12" t="s">
        <v>711</v>
      </c>
      <c r="N62" s="37">
        <f>W29/'2_Production_2'!D29*100</f>
        <v>97.787578037728267</v>
      </c>
      <c r="O62" s="37">
        <f>X29/'2_Production_2'!D14*100</f>
        <v>91.676756471757045</v>
      </c>
      <c r="P62" s="1">
        <f t="shared" si="52"/>
        <v>104.79010747169528</v>
      </c>
      <c r="Q62" s="37">
        <f>Z29/'2_Production_2'!E29*100</f>
        <v>107.44123943032216</v>
      </c>
      <c r="R62" s="1">
        <f>AA29/'2_Production_2'!E14*100</f>
        <v>101.40215325101202</v>
      </c>
      <c r="S62" s="1">
        <f t="shared" si="53"/>
        <v>114.36156565296507</v>
      </c>
      <c r="T62" s="37">
        <f>AC29/'2_Production_2'!F29*100</f>
        <v>84.074175777628881</v>
      </c>
      <c r="U62" s="39">
        <f>AD29/'2_Production_2'!F14*100</f>
        <v>78.368818011291907</v>
      </c>
      <c r="V62" s="38">
        <f t="shared" si="54"/>
        <v>90.612075020598709</v>
      </c>
      <c r="W62" s="37">
        <f>AF29/'2_Production_2'!G29*100</f>
        <v>104.92854743284666</v>
      </c>
      <c r="X62" s="39">
        <f>AG29/'2_Production_2'!G14*100</f>
        <v>73.061199612478035</v>
      </c>
      <c r="Y62" s="38">
        <f t="shared" si="55"/>
        <v>139.45150757157933</v>
      </c>
      <c r="Z62" s="37">
        <f>AI29/'2_Production_2'!H29*100</f>
        <v>82.894208995836223</v>
      </c>
      <c r="AA62" s="39">
        <f>AJ29/'2_Production_2'!H14*100</f>
        <v>72.984037054369438</v>
      </c>
      <c r="AB62" s="38">
        <f t="shared" si="56"/>
        <v>88.714468707491335</v>
      </c>
      <c r="AC62" s="37">
        <f>AL29/'2_Production_2'!I29*100</f>
        <v>92.386267108784466</v>
      </c>
      <c r="AD62" s="39">
        <f>AA29/'2_Production_2'!I14*100</f>
        <v>132.37228653175467</v>
      </c>
      <c r="AE62" s="38">
        <f t="shared" si="57"/>
        <v>98.201962342384789</v>
      </c>
      <c r="AF62" s="37">
        <f>AO29/'2_Production_2'!J29*100</f>
        <v>83.560240005979608</v>
      </c>
      <c r="AG62" s="39">
        <f>AD29/'2_Production_2'!J14*100</f>
        <v>125.35544912192138</v>
      </c>
      <c r="AH62" s="38">
        <f t="shared" si="58"/>
        <v>116.86746853983163</v>
      </c>
    </row>
    <row r="63" spans="2:34" x14ac:dyDescent="0.25">
      <c r="M63" s="12" t="s">
        <v>712</v>
      </c>
      <c r="N63" s="37">
        <f>W30/'2_Production_2'!D30*100</f>
        <v>97.818871005895133</v>
      </c>
      <c r="O63" s="37">
        <f>X30/'2_Production_2'!D15*100</f>
        <v>81.28630061259058</v>
      </c>
      <c r="P63" s="1">
        <f t="shared" si="52"/>
        <v>101.82365513843475</v>
      </c>
      <c r="Q63" s="37">
        <f>Z30/'2_Production_2'!E30*100</f>
        <v>105.59635655912727</v>
      </c>
      <c r="R63" s="1">
        <f>AA30/'2_Production_2'!E15*100</f>
        <v>95.24119489500049</v>
      </c>
      <c r="S63" s="1">
        <f t="shared" si="53"/>
        <v>107.82203043924493</v>
      </c>
      <c r="T63" s="37">
        <f>AC30/'2_Production_2'!F30*100</f>
        <v>106.2904141459251</v>
      </c>
      <c r="U63" s="39">
        <f>AD30/'2_Production_2'!F15*100</f>
        <v>92.453744170182262</v>
      </c>
      <c r="V63" s="38">
        <f t="shared" si="54"/>
        <v>109.29907001844454</v>
      </c>
      <c r="W63" s="37">
        <f>AF30/'2_Production_2'!G30*100</f>
        <v>95.453084828023719</v>
      </c>
      <c r="X63" s="39">
        <f>AG30/'2_Production_2'!G15*100</f>
        <v>78.015265380133926</v>
      </c>
      <c r="Y63" s="38">
        <f t="shared" si="55"/>
        <v>99.152016226060951</v>
      </c>
      <c r="Z63" s="37">
        <f>AI30/'2_Production_2'!H30*100</f>
        <v>99.989285230836373</v>
      </c>
      <c r="AA63" s="39">
        <f>AJ30/'2_Production_2'!H15*100</f>
        <v>56.7135724732738</v>
      </c>
      <c r="AB63" s="38">
        <f t="shared" si="56"/>
        <v>108.23227813703878</v>
      </c>
      <c r="AC63" s="37">
        <f>AL30/'2_Production_2'!I30*100</f>
        <v>97.005253469631626</v>
      </c>
      <c r="AD63" s="39">
        <f>AA30/'2_Production_2'!I15*100</f>
        <v>130.38848929349939</v>
      </c>
      <c r="AE63" s="38">
        <f t="shared" si="57"/>
        <v>98.303799065454683</v>
      </c>
      <c r="AF63" s="37">
        <f>AO30/'2_Production_2'!J30*100</f>
        <v>97.489122409336872</v>
      </c>
      <c r="AG63" s="39">
        <f>AD30/'2_Production_2'!J15*100</f>
        <v>135.15640914831167</v>
      </c>
      <c r="AH63" s="38">
        <f t="shared" si="58"/>
        <v>108.32124712148541</v>
      </c>
    </row>
    <row r="64" spans="2:34" x14ac:dyDescent="0.25">
      <c r="M64" s="12" t="s">
        <v>713</v>
      </c>
      <c r="N64" s="37">
        <f>W31/'2_Production_2'!D31*100</f>
        <v>122.96394181920371</v>
      </c>
      <c r="O64" s="37">
        <f>X31/'2_Production_2'!D16*100</f>
        <v>109.51661850065936</v>
      </c>
      <c r="P64" s="1">
        <f t="shared" si="52"/>
        <v>130.82774895794043</v>
      </c>
      <c r="Q64" s="37">
        <f>Z31/'2_Production_2'!E31*100</f>
        <v>119.11278497104117</v>
      </c>
      <c r="R64" s="1">
        <f>AA31/'2_Production_2'!E16*100</f>
        <v>107.24554939331348</v>
      </c>
      <c r="S64" s="1">
        <f t="shared" si="53"/>
        <v>126.05257883503722</v>
      </c>
      <c r="T64" s="37">
        <f>AC31/'2_Production_2'!F31*100</f>
        <v>89.993374362942177</v>
      </c>
      <c r="U64" s="39">
        <f>AD31/'2_Production_2'!F16*100</f>
        <v>75.495698364007424</v>
      </c>
      <c r="V64" s="38">
        <f t="shared" si="54"/>
        <v>98.471413100829537</v>
      </c>
      <c r="W64" s="37">
        <f>AF31/'2_Production_2'!G31*100</f>
        <v>116.97968836155547</v>
      </c>
      <c r="X64" s="39">
        <f>AG31/'2_Production_2'!G16*100</f>
        <v>89.225926562169704</v>
      </c>
      <c r="Y64" s="38">
        <f t="shared" si="55"/>
        <v>131.92402163814782</v>
      </c>
      <c r="Z64" s="37">
        <f>AI31/'2_Production_2'!H31*100</f>
        <v>108.62049855254445</v>
      </c>
      <c r="AA64" s="39">
        <f>AJ31/'2_Production_2'!H16*100</f>
        <v>92.827283156336861</v>
      </c>
      <c r="AB64" s="38">
        <f t="shared" si="56"/>
        <v>115.3890194366334</v>
      </c>
      <c r="AC64" s="37">
        <f>AL31/'2_Production_2'!I31*100</f>
        <v>86.517787531013482</v>
      </c>
      <c r="AD64" s="39">
        <f>AA31/'2_Production_2'!I16*100</f>
        <v>87.517348151242842</v>
      </c>
      <c r="AE64" s="38">
        <f t="shared" si="57"/>
        <v>100.31047363945727</v>
      </c>
      <c r="AF64" s="37">
        <f>AO31/'2_Production_2'!J31*100</f>
        <v>99.835362070308648</v>
      </c>
      <c r="AG64" s="39">
        <f>AD31/'2_Production_2'!J16*100</f>
        <v>120.51866349784225</v>
      </c>
      <c r="AH64" s="38">
        <f t="shared" si="58"/>
        <v>124.95039057610593</v>
      </c>
    </row>
    <row r="65" spans="13:34" x14ac:dyDescent="0.25">
      <c r="M65" s="22" t="s">
        <v>743</v>
      </c>
      <c r="N65" s="65">
        <f>W32/'2_Production_2'!D32*100</f>
        <v>104.53925680794005</v>
      </c>
      <c r="O65" s="65">
        <f>X32/'2_Production_2'!D17*100</f>
        <v>99.561984651595338</v>
      </c>
      <c r="P65" s="65">
        <f t="shared" si="52"/>
        <v>109.55882664755987</v>
      </c>
      <c r="Q65" s="65">
        <f>Z32/'2_Production_2'!E32*100</f>
        <v>105.68778782348109</v>
      </c>
      <c r="R65" s="65">
        <f>AG32/'2_Production_2'!E17*100</f>
        <v>127.50170126776641</v>
      </c>
      <c r="S65" s="65">
        <f t="shared" si="53"/>
        <v>109.54148932319971</v>
      </c>
      <c r="T65" s="56">
        <f>AC32/'2_Production_2'!F32*100</f>
        <v>109.13871416591057</v>
      </c>
      <c r="U65" s="57">
        <f>AD32/'2_Production_2'!F17*100</f>
        <v>108.59842283084889</v>
      </c>
      <c r="V65" s="57">
        <f t="shared" si="54"/>
        <v>109.58763187501989</v>
      </c>
      <c r="W65" s="57">
        <f>AF32/'2_Production_2'!G32*100</f>
        <v>110.37275695268201</v>
      </c>
      <c r="X65" s="57">
        <f>AG32/'2_Production_2'!G17*100</f>
        <v>111.30784331555057</v>
      </c>
      <c r="Y65" s="57">
        <f t="shared" si="55"/>
        <v>109.62430362444904</v>
      </c>
      <c r="Z65" s="57">
        <f>AI32/'2_Production_2'!H32*100</f>
        <v>102.97158428876978</v>
      </c>
      <c r="AA65" s="57">
        <f>AJ32/'2_Production_2'!H17*100</f>
        <v>95.692454438996975</v>
      </c>
      <c r="AB65" s="57">
        <f t="shared" si="56"/>
        <v>108.51811223536025</v>
      </c>
      <c r="AC65" s="57">
        <f>AL32/'2_Production_2'!I32*100</f>
        <v>104.70174831550172</v>
      </c>
      <c r="AD65" s="57">
        <f>AA32/'2_Production_2'!I17*100</f>
        <v>84.529986913233373</v>
      </c>
      <c r="AE65" s="57">
        <f t="shared" si="57"/>
        <v>109.1912970478506</v>
      </c>
      <c r="AF65" s="57">
        <f>AO32/'2_Production_2'!J32*100</f>
        <v>101.98766835521963</v>
      </c>
      <c r="AG65" s="57">
        <f>AD32/'2_Production_2'!J17*100</f>
        <v>103.00674115126711</v>
      </c>
      <c r="AH65" s="57">
        <f t="shared" si="58"/>
        <v>154.92558421633592</v>
      </c>
    </row>
    <row r="66" spans="13:34" x14ac:dyDescent="0.25">
      <c r="M66" s="2" t="s">
        <v>291</v>
      </c>
      <c r="P66" s="129">
        <v>100</v>
      </c>
      <c r="R66" s="129"/>
      <c r="S66" s="129">
        <v>97</v>
      </c>
      <c r="V66" s="129">
        <v>99</v>
      </c>
      <c r="Y66" s="38">
        <v>99.5</v>
      </c>
      <c r="AB66" s="36">
        <v>100</v>
      </c>
      <c r="AE66" s="36">
        <v>99.5</v>
      </c>
      <c r="AH66" s="36">
        <v>100</v>
      </c>
    </row>
    <row r="67" spans="13:34" x14ac:dyDescent="0.25">
      <c r="M67" t="s">
        <v>722</v>
      </c>
      <c r="P67" s="130">
        <f>Y34/O19*100</f>
        <v>108.51599957200115</v>
      </c>
      <c r="S67" s="130">
        <f>AB34/P19*100</f>
        <v>108.37388918991087</v>
      </c>
      <c r="V67" s="136">
        <f>AE34/Q19*100</f>
        <v>108.62520475951297</v>
      </c>
      <c r="Y67" s="139">
        <f>AH34/R19*100</f>
        <v>108.76495168739831</v>
      </c>
      <c r="AB67" s="36">
        <f>AK34/S19*100</f>
        <v>107.88215008830171</v>
      </c>
      <c r="AE67" s="36">
        <f>AN34/T19*100</f>
        <v>108.53791833540478</v>
      </c>
      <c r="AH67" s="36">
        <f>AQ34/U19*100</f>
        <v>108.10939364078631</v>
      </c>
    </row>
    <row r="69" spans="13:34" x14ac:dyDescent="0.25">
      <c r="M69" s="137" t="s">
        <v>716</v>
      </c>
      <c r="N69" s="138">
        <f>'2_Production_2'!X34</f>
        <v>118.02617891216681</v>
      </c>
      <c r="O69" s="138"/>
      <c r="P69" s="138"/>
      <c r="Q69" s="138">
        <f>'2_Production_2'!Y34</f>
        <v>112.37002379458517</v>
      </c>
      <c r="R69" s="31"/>
      <c r="S69" s="31"/>
      <c r="T69" s="138">
        <f>'2_Production_2'!Z34</f>
        <v>139.24680945511042</v>
      </c>
      <c r="U69" s="31"/>
      <c r="V69" s="31"/>
      <c r="W69" s="138">
        <f>'2_Production_2'!AA34</f>
        <v>139.13745402828857</v>
      </c>
      <c r="X69" s="31"/>
      <c r="Y69" s="31"/>
      <c r="Z69" s="138">
        <f>'2_Production_2'!AB34</f>
        <v>119.97633228164398</v>
      </c>
      <c r="AA69" s="31"/>
      <c r="AB69" s="31"/>
      <c r="AC69" s="138">
        <f>'2_Production_2'!AC34</f>
        <v>120.03603946404067</v>
      </c>
      <c r="AD69" s="31"/>
      <c r="AE69" s="31"/>
      <c r="AF69" s="138">
        <f>'2_Production_2'!AD34</f>
        <v>120.08716771193215</v>
      </c>
      <c r="AG69" s="31"/>
      <c r="AH69" s="31"/>
    </row>
  </sheetData>
  <mergeCells count="15">
    <mergeCell ref="N53:P53"/>
    <mergeCell ref="Q53:S53"/>
    <mergeCell ref="T53:V53"/>
    <mergeCell ref="W53:Y53"/>
    <mergeCell ref="W20:Y20"/>
    <mergeCell ref="AS20:AU20"/>
    <mergeCell ref="AI20:AK20"/>
    <mergeCell ref="AL20:AN20"/>
    <mergeCell ref="AO20:AQ20"/>
    <mergeCell ref="Z53:AB53"/>
    <mergeCell ref="Z20:AB20"/>
    <mergeCell ref="AC20:AE20"/>
    <mergeCell ref="AF20:AH20"/>
    <mergeCell ref="AC53:AE53"/>
    <mergeCell ref="AF53:AH53"/>
  </mergeCells>
  <pageMargins left="0" right="0" top="0.74803149606299213" bottom="0.74803149606299213" header="0.31496062992125984" footer="0.31496062992125984"/>
  <pageSetup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ABE02-0A08-405E-BCE5-0D3CCF55EAB1}">
  <dimension ref="B2:M33"/>
  <sheetViews>
    <sheetView workbookViewId="0">
      <selection activeCell="B25" sqref="B25"/>
    </sheetView>
  </sheetViews>
  <sheetFormatPr defaultRowHeight="15" x14ac:dyDescent="0.25"/>
  <cols>
    <col min="2" max="2" width="22.42578125" customWidth="1"/>
  </cols>
  <sheetData>
    <row r="2" spans="2:12" ht="18.75" x14ac:dyDescent="0.3">
      <c r="B2" s="3" t="s">
        <v>534</v>
      </c>
    </row>
    <row r="4" spans="2:12" x14ac:dyDescent="0.25">
      <c r="B4" s="2" t="s">
        <v>535</v>
      </c>
      <c r="D4" t="s">
        <v>921</v>
      </c>
    </row>
    <row r="6" spans="2:12" x14ac:dyDescent="0.25">
      <c r="B6" s="18"/>
      <c r="C6" s="6">
        <v>2024</v>
      </c>
      <c r="D6" s="6">
        <f t="shared" ref="D6:K6" si="0">C6+1</f>
        <v>2025</v>
      </c>
      <c r="E6" s="6">
        <f t="shared" si="0"/>
        <v>2026</v>
      </c>
      <c r="F6" s="6">
        <f t="shared" si="0"/>
        <v>2027</v>
      </c>
      <c r="G6" s="6">
        <f t="shared" si="0"/>
        <v>2028</v>
      </c>
      <c r="H6" s="6">
        <f t="shared" si="0"/>
        <v>2029</v>
      </c>
      <c r="I6" s="19">
        <f t="shared" si="0"/>
        <v>2030</v>
      </c>
      <c r="J6" s="19">
        <f t="shared" si="0"/>
        <v>2031</v>
      </c>
      <c r="K6" s="19">
        <f t="shared" si="0"/>
        <v>2032</v>
      </c>
    </row>
    <row r="7" spans="2:12" x14ac:dyDescent="0.25">
      <c r="B7" s="20" t="s">
        <v>536</v>
      </c>
      <c r="C7" s="380">
        <v>65075.15</v>
      </c>
      <c r="D7" s="380">
        <v>79648.52</v>
      </c>
      <c r="E7" s="380">
        <v>88630.23</v>
      </c>
      <c r="F7" s="380">
        <v>95674.34</v>
      </c>
      <c r="G7" s="380">
        <v>97697.02</v>
      </c>
      <c r="H7" s="380">
        <v>104014.1</v>
      </c>
      <c r="I7" s="380">
        <v>105729.4</v>
      </c>
      <c r="J7" s="380">
        <v>112441.9</v>
      </c>
      <c r="K7" s="408">
        <v>120353.5</v>
      </c>
    </row>
    <row r="8" spans="2:12" x14ac:dyDescent="0.25">
      <c r="B8" s="31">
        <f>'[5]working file for the base'!$F$1008</f>
        <v>66551.66235230201</v>
      </c>
    </row>
    <row r="9" spans="2:12" x14ac:dyDescent="0.25">
      <c r="B9" s="2" t="s">
        <v>541</v>
      </c>
      <c r="L9" s="4"/>
    </row>
    <row r="10" spans="2:12" x14ac:dyDescent="0.25">
      <c r="B10" t="s">
        <v>922</v>
      </c>
      <c r="L10" s="4"/>
    </row>
    <row r="11" spans="2:12" x14ac:dyDescent="0.25">
      <c r="B11" s="18"/>
      <c r="C11" s="6">
        <v>2024</v>
      </c>
      <c r="D11" s="6">
        <f t="shared" ref="D11:K11" si="1">C11+1</f>
        <v>2025</v>
      </c>
      <c r="E11" s="6">
        <f t="shared" si="1"/>
        <v>2026</v>
      </c>
      <c r="F11" s="6">
        <f t="shared" si="1"/>
        <v>2027</v>
      </c>
      <c r="G11" s="6">
        <f t="shared" si="1"/>
        <v>2028</v>
      </c>
      <c r="H11" s="6">
        <f t="shared" si="1"/>
        <v>2029</v>
      </c>
      <c r="I11" s="19">
        <f t="shared" si="1"/>
        <v>2030</v>
      </c>
      <c r="J11" s="19">
        <f t="shared" si="1"/>
        <v>2031</v>
      </c>
      <c r="K11" s="19">
        <f t="shared" si="1"/>
        <v>2032</v>
      </c>
      <c r="L11" s="4"/>
    </row>
    <row r="12" spans="2:12" x14ac:dyDescent="0.25">
      <c r="B12" s="20" t="s">
        <v>537</v>
      </c>
      <c r="C12" s="380">
        <v>65075.15</v>
      </c>
      <c r="D12" s="380">
        <v>79648.52</v>
      </c>
      <c r="E12" s="380">
        <v>88630.23</v>
      </c>
      <c r="F12" s="380">
        <v>95674.34</v>
      </c>
      <c r="G12" s="380">
        <v>97697.02</v>
      </c>
      <c r="H12" s="380">
        <v>104014.1</v>
      </c>
      <c r="I12" s="380">
        <v>105729.4</v>
      </c>
      <c r="J12" s="380">
        <v>112441.9</v>
      </c>
      <c r="K12" s="408">
        <v>120353.5</v>
      </c>
      <c r="L12" s="4"/>
    </row>
    <row r="13" spans="2:12" x14ac:dyDescent="0.25">
      <c r="B13" s="31">
        <f>'[5]working file for the base'!$F$1008</f>
        <v>66551.66235230201</v>
      </c>
      <c r="L13" s="4"/>
    </row>
    <row r="14" spans="2:12" x14ac:dyDescent="0.25">
      <c r="B14" s="2" t="s">
        <v>538</v>
      </c>
      <c r="L14" s="4"/>
    </row>
    <row r="15" spans="2:12" x14ac:dyDescent="0.25">
      <c r="B15" t="s">
        <v>923</v>
      </c>
      <c r="L15" s="4"/>
    </row>
    <row r="16" spans="2:12" x14ac:dyDescent="0.25">
      <c r="B16" s="18"/>
      <c r="C16" s="6">
        <v>2024</v>
      </c>
      <c r="D16" s="6">
        <f t="shared" ref="D16:K16" si="2">C16+1</f>
        <v>2025</v>
      </c>
      <c r="E16" s="6">
        <f t="shared" si="2"/>
        <v>2026</v>
      </c>
      <c r="F16" s="6">
        <f t="shared" si="2"/>
        <v>2027</v>
      </c>
      <c r="G16" s="6">
        <f t="shared" si="2"/>
        <v>2028</v>
      </c>
      <c r="H16" s="6">
        <f t="shared" si="2"/>
        <v>2029</v>
      </c>
      <c r="I16" s="19">
        <f t="shared" si="2"/>
        <v>2030</v>
      </c>
      <c r="J16" s="19">
        <f t="shared" si="2"/>
        <v>2031</v>
      </c>
      <c r="K16" s="19">
        <f t="shared" si="2"/>
        <v>2032</v>
      </c>
      <c r="L16" s="58"/>
    </row>
    <row r="17" spans="2:13" x14ac:dyDescent="0.25">
      <c r="B17" s="20" t="s">
        <v>539</v>
      </c>
      <c r="C17" s="24">
        <v>3.97</v>
      </c>
      <c r="D17" s="24">
        <v>3.97</v>
      </c>
      <c r="E17" s="24">
        <v>3.97</v>
      </c>
      <c r="F17" s="24">
        <v>3.97</v>
      </c>
      <c r="G17" s="24">
        <v>3.97</v>
      </c>
      <c r="H17" s="24">
        <v>3.97</v>
      </c>
      <c r="I17" s="24">
        <v>3.97</v>
      </c>
      <c r="J17" s="59">
        <v>3.98</v>
      </c>
      <c r="K17" s="59">
        <v>3.99</v>
      </c>
      <c r="L17" s="58"/>
    </row>
    <row r="18" spans="2:13" x14ac:dyDescent="0.25">
      <c r="L18" s="1"/>
    </row>
    <row r="19" spans="2:13" x14ac:dyDescent="0.25">
      <c r="B19" s="2" t="s">
        <v>540</v>
      </c>
      <c r="L19" s="1"/>
    </row>
    <row r="20" spans="2:13" x14ac:dyDescent="0.25">
      <c r="B20" t="s">
        <v>924</v>
      </c>
      <c r="L20" s="1"/>
      <c r="M20" s="1"/>
    </row>
    <row r="21" spans="2:13" x14ac:dyDescent="0.25">
      <c r="B21" s="18"/>
      <c r="C21" s="6">
        <v>2024</v>
      </c>
      <c r="D21" s="6">
        <f t="shared" ref="D21:K21" si="3">C21+1</f>
        <v>2025</v>
      </c>
      <c r="E21" s="6">
        <f t="shared" si="3"/>
        <v>2026</v>
      </c>
      <c r="F21" s="6">
        <f t="shared" si="3"/>
        <v>2027</v>
      </c>
      <c r="G21" s="6">
        <f t="shared" si="3"/>
        <v>2028</v>
      </c>
      <c r="H21" s="6">
        <f t="shared" si="3"/>
        <v>2029</v>
      </c>
      <c r="I21" s="19">
        <f t="shared" si="3"/>
        <v>2030</v>
      </c>
      <c r="J21" s="19">
        <f t="shared" si="3"/>
        <v>2031</v>
      </c>
      <c r="K21" s="19">
        <f t="shared" si="3"/>
        <v>2032</v>
      </c>
      <c r="L21" s="1"/>
      <c r="M21" s="1"/>
    </row>
    <row r="22" spans="2:13" x14ac:dyDescent="0.25">
      <c r="B22" s="20" t="s">
        <v>542</v>
      </c>
      <c r="C22" s="380">
        <v>1.672647</v>
      </c>
      <c r="D22" s="380">
        <v>1.775393</v>
      </c>
      <c r="E22" s="380">
        <v>1.878952</v>
      </c>
      <c r="F22" s="380">
        <v>1.7631239999999999</v>
      </c>
      <c r="G22" s="380">
        <v>1.840516</v>
      </c>
      <c r="H22" s="380">
        <v>1.8776630000000001</v>
      </c>
      <c r="I22" s="380">
        <v>1.890088</v>
      </c>
      <c r="J22" s="380">
        <v>1.8512519999999999</v>
      </c>
      <c r="K22" s="408">
        <v>1.8233839999999999</v>
      </c>
      <c r="L22" s="1"/>
      <c r="M22" s="1"/>
    </row>
    <row r="23" spans="2:13" x14ac:dyDescent="0.25">
      <c r="L23" s="1"/>
      <c r="M23" s="1"/>
    </row>
    <row r="24" spans="2:13" x14ac:dyDescent="0.25">
      <c r="B24" s="2" t="s">
        <v>892</v>
      </c>
      <c r="L24" s="1"/>
      <c r="M24" s="1"/>
    </row>
    <row r="25" spans="2:13" x14ac:dyDescent="0.25">
      <c r="B25" t="s">
        <v>925</v>
      </c>
      <c r="M25" s="1"/>
    </row>
    <row r="26" spans="2:13" x14ac:dyDescent="0.25">
      <c r="B26" s="18"/>
      <c r="C26" s="6">
        <v>2024</v>
      </c>
      <c r="D26" s="6">
        <f t="shared" ref="D26:K26" si="4">C26+1</f>
        <v>2025</v>
      </c>
      <c r="E26" s="6">
        <f t="shared" si="4"/>
        <v>2026</v>
      </c>
      <c r="F26" s="6">
        <f t="shared" si="4"/>
        <v>2027</v>
      </c>
      <c r="G26" s="6">
        <f t="shared" si="4"/>
        <v>2028</v>
      </c>
      <c r="H26" s="6">
        <f t="shared" si="4"/>
        <v>2029</v>
      </c>
      <c r="I26" s="19">
        <f t="shared" si="4"/>
        <v>2030</v>
      </c>
      <c r="J26" s="19">
        <f t="shared" si="4"/>
        <v>2031</v>
      </c>
      <c r="K26" s="19">
        <f t="shared" si="4"/>
        <v>2032</v>
      </c>
      <c r="M26" s="1"/>
    </row>
    <row r="27" spans="2:13" x14ac:dyDescent="0.25">
      <c r="B27" s="20" t="s">
        <v>543</v>
      </c>
      <c r="C27" s="380">
        <v>1.0018544899999999</v>
      </c>
      <c r="D27" s="380">
        <v>1.04560415</v>
      </c>
      <c r="E27" s="380">
        <v>1.0611442200000001</v>
      </c>
      <c r="F27" s="380">
        <v>1.0940376300000001</v>
      </c>
      <c r="G27" s="380">
        <v>1.02365156</v>
      </c>
      <c r="H27" s="380">
        <v>1.00248246</v>
      </c>
      <c r="I27" s="380">
        <v>0.97883412999999997</v>
      </c>
      <c r="J27" s="380">
        <v>1.0027930300000001</v>
      </c>
      <c r="K27" s="408">
        <v>1.02160111</v>
      </c>
    </row>
    <row r="33" spans="5:5" x14ac:dyDescent="0.25">
      <c r="E33" t="s">
        <v>891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EA9A-9915-4589-8C7D-19DFED23CD54}">
  <dimension ref="A2:AF72"/>
  <sheetViews>
    <sheetView zoomScale="80" zoomScaleNormal="80" workbookViewId="0">
      <pane xSplit="1" ySplit="6" topLeftCell="B46" activePane="bottomRight" state="frozen"/>
      <selection pane="topRight" activeCell="B1" sqref="B1"/>
      <selection pane="bottomLeft" activeCell="A7" sqref="A7"/>
      <selection pane="bottomRight" activeCell="J70" sqref="J70"/>
    </sheetView>
  </sheetViews>
  <sheetFormatPr defaultRowHeight="15" x14ac:dyDescent="0.25"/>
  <cols>
    <col min="1" max="1" width="27.85546875" customWidth="1"/>
    <col min="2" max="10" width="10.42578125" bestFit="1" customWidth="1"/>
    <col min="11" max="11" width="9.140625" customWidth="1"/>
    <col min="12" max="20" width="12" bestFit="1" customWidth="1"/>
    <col min="21" max="21" width="10.85546875" customWidth="1"/>
  </cols>
  <sheetData>
    <row r="2" spans="1:20" ht="18.75" x14ac:dyDescent="0.3">
      <c r="A2" s="3" t="s">
        <v>497</v>
      </c>
    </row>
    <row r="4" spans="1:20" x14ac:dyDescent="0.25">
      <c r="A4" s="2" t="s">
        <v>498</v>
      </c>
      <c r="B4" s="4">
        <f>B5-B41</f>
        <v>-62638.511999999871</v>
      </c>
      <c r="C4" s="4">
        <f t="shared" ref="C4:J4" si="0">C5-C41</f>
        <v>-68983.544999999867</v>
      </c>
      <c r="D4" s="4">
        <f t="shared" si="0"/>
        <v>-75879.852999999828</v>
      </c>
      <c r="E4" s="4">
        <f t="shared" si="0"/>
        <v>-80807.491212348221</v>
      </c>
      <c r="F4" s="4">
        <f t="shared" si="0"/>
        <v>-105468.90009844856</v>
      </c>
      <c r="G4" s="4">
        <f t="shared" si="0"/>
        <v>-140266.86827579484</v>
      </c>
      <c r="H4" s="4">
        <f t="shared" si="0"/>
        <v>-152457.3558932275</v>
      </c>
      <c r="I4" s="4">
        <f t="shared" si="0"/>
        <v>-155679.09907846106</v>
      </c>
      <c r="J4" s="4">
        <f t="shared" si="0"/>
        <v>-158156.71237283322</v>
      </c>
    </row>
    <row r="5" spans="1:20" x14ac:dyDescent="0.25">
      <c r="A5" s="25" t="s">
        <v>698</v>
      </c>
      <c r="B5">
        <v>225385.859</v>
      </c>
      <c r="C5">
        <v>247591.446</v>
      </c>
      <c r="D5">
        <v>268217.43900000001</v>
      </c>
      <c r="E5">
        <v>294455.09199999995</v>
      </c>
      <c r="F5">
        <v>314027.75399999996</v>
      </c>
      <c r="G5">
        <v>334117.68599999987</v>
      </c>
      <c r="H5">
        <v>352408.27299999987</v>
      </c>
      <c r="I5">
        <v>375740.04200000002</v>
      </c>
      <c r="J5">
        <v>397482.50399999978</v>
      </c>
    </row>
    <row r="6" spans="1:20" x14ac:dyDescent="0.25">
      <c r="A6" s="18"/>
      <c r="B6" s="6">
        <v>2024</v>
      </c>
      <c r="C6" s="6">
        <f t="shared" ref="C6:J6" si="1">B6+1</f>
        <v>2025</v>
      </c>
      <c r="D6" s="6">
        <f>C6+1</f>
        <v>2026</v>
      </c>
      <c r="E6" s="6">
        <f t="shared" si="1"/>
        <v>2027</v>
      </c>
      <c r="F6" s="6">
        <f t="shared" si="1"/>
        <v>2028</v>
      </c>
      <c r="G6" s="6">
        <f t="shared" si="1"/>
        <v>2029</v>
      </c>
      <c r="H6" s="19">
        <f t="shared" si="1"/>
        <v>2030</v>
      </c>
      <c r="I6" s="19">
        <f t="shared" si="1"/>
        <v>2031</v>
      </c>
      <c r="J6" s="19">
        <f t="shared" si="1"/>
        <v>2032</v>
      </c>
      <c r="L6" s="6">
        <v>2024</v>
      </c>
      <c r="M6" s="6">
        <f t="shared" ref="M6" si="2">L6+1</f>
        <v>2025</v>
      </c>
      <c r="N6" s="6">
        <f>M6+1</f>
        <v>2026</v>
      </c>
      <c r="O6" s="6">
        <f t="shared" ref="O6" si="3">N6+1</f>
        <v>2027</v>
      </c>
      <c r="P6" s="6">
        <f t="shared" ref="P6" si="4">O6+1</f>
        <v>2028</v>
      </c>
      <c r="Q6" s="6">
        <f t="shared" ref="Q6" si="5">P6+1</f>
        <v>2029</v>
      </c>
      <c r="R6" s="19">
        <f t="shared" ref="R6" si="6">Q6+1</f>
        <v>2030</v>
      </c>
      <c r="S6" s="19">
        <f t="shared" ref="S6" si="7">R6+1</f>
        <v>2031</v>
      </c>
      <c r="T6" s="19">
        <f t="shared" ref="T6" si="8">S6+1</f>
        <v>2032</v>
      </c>
    </row>
    <row r="7" spans="1:20" x14ac:dyDescent="0.25">
      <c r="A7" s="12" t="s">
        <v>499</v>
      </c>
      <c r="B7" s="86">
        <f>GDP!N7</f>
        <v>35915.753245129155</v>
      </c>
      <c r="C7" s="86">
        <f>GDP!O7</f>
        <v>38771.31917098321</v>
      </c>
      <c r="D7" s="86">
        <f>GDP!P7</f>
        <v>44884.82568122416</v>
      </c>
      <c r="E7" s="86">
        <f>GDP!Q7</f>
        <v>51040.391372110782</v>
      </c>
      <c r="F7" s="86">
        <f>GDP!R7</f>
        <v>64274.183447008843</v>
      </c>
      <c r="G7" s="86">
        <f>GDP!S7</f>
        <v>67157.097127318979</v>
      </c>
      <c r="H7" s="86">
        <f>GDP!T7</f>
        <v>69302.968335518279</v>
      </c>
      <c r="I7" s="86">
        <f>GDP!U7</f>
        <v>87150.445916019307</v>
      </c>
      <c r="J7" s="86">
        <f>GDP!V7</f>
        <v>87774.052382678812</v>
      </c>
      <c r="L7" s="35">
        <f>B7/B$20*100</f>
        <v>23.157335403287433</v>
      </c>
      <c r="M7" s="35">
        <f>C7/C$20*100</f>
        <v>22.406109021791355</v>
      </c>
      <c r="N7" s="35">
        <f t="shared" ref="N7:T7" si="9">D7/D$20*100</f>
        <v>22.705273980611473</v>
      </c>
      <c r="O7" s="35">
        <f t="shared" si="9"/>
        <v>22.889324613573041</v>
      </c>
      <c r="P7" s="35">
        <f t="shared" si="9"/>
        <v>25.501431831556832</v>
      </c>
      <c r="Q7" s="35">
        <f t="shared" si="9"/>
        <v>23.212781359818024</v>
      </c>
      <c r="R7" s="35">
        <f t="shared" si="9"/>
        <v>21.321287175238194</v>
      </c>
      <c r="S7" s="35">
        <f t="shared" si="9"/>
        <v>23.660913791541375</v>
      </c>
      <c r="T7" s="35">
        <f t="shared" si="9"/>
        <v>21.202981073208708</v>
      </c>
    </row>
    <row r="8" spans="1:20" x14ac:dyDescent="0.25">
      <c r="A8" s="41" t="s">
        <v>716</v>
      </c>
      <c r="B8" s="95">
        <f>B9+B10+B11</f>
        <v>32666.614523809792</v>
      </c>
      <c r="C8" s="95">
        <f t="shared" ref="C8:J8" si="10">C9+C10+C11</f>
        <v>36764.970610193202</v>
      </c>
      <c r="D8" s="95">
        <f t="shared" si="10"/>
        <v>45302.801135611669</v>
      </c>
      <c r="E8" s="95">
        <f t="shared" si="10"/>
        <v>51435.26927261184</v>
      </c>
      <c r="F8" s="95">
        <f t="shared" si="10"/>
        <v>59554.868813808294</v>
      </c>
      <c r="G8" s="95">
        <f t="shared" si="10"/>
        <v>70610.730672929436</v>
      </c>
      <c r="H8" s="95">
        <f t="shared" si="10"/>
        <v>86152.797083554891</v>
      </c>
      <c r="I8" s="95">
        <f t="shared" si="10"/>
        <v>96405.530861582345</v>
      </c>
      <c r="J8" s="95">
        <f t="shared" si="10"/>
        <v>126812.60864336637</v>
      </c>
      <c r="L8" s="95">
        <f>L9+L10+L11</f>
        <v>21.062394093610038</v>
      </c>
      <c r="M8" s="95">
        <f t="shared" ref="M8:T8" si="11">M9+M10+M11</f>
        <v>21.24663171872297</v>
      </c>
      <c r="N8" s="95">
        <f t="shared" si="11"/>
        <v>22.91670951734363</v>
      </c>
      <c r="O8" s="95">
        <f t="shared" si="11"/>
        <v>23.066409628094181</v>
      </c>
      <c r="P8" s="95">
        <f t="shared" si="11"/>
        <v>23.628996057877103</v>
      </c>
      <c r="Q8" s="95">
        <f t="shared" si="11"/>
        <v>24.406526232965266</v>
      </c>
      <c r="R8" s="95">
        <f t="shared" si="11"/>
        <v>26.505192658927974</v>
      </c>
      <c r="S8" s="95">
        <f t="shared" si="11"/>
        <v>26.173623448143459</v>
      </c>
      <c r="T8" s="95">
        <f t="shared" si="11"/>
        <v>30.633259692589107</v>
      </c>
    </row>
    <row r="9" spans="1:20" x14ac:dyDescent="0.25">
      <c r="A9" s="12" t="s">
        <v>500</v>
      </c>
      <c r="B9" s="86">
        <f>GDP!N8</f>
        <v>6456.5766147479699</v>
      </c>
      <c r="C9" s="86">
        <f>GDP!O8</f>
        <v>7267.4055813578652</v>
      </c>
      <c r="D9" s="86">
        <f>GDP!P8</f>
        <v>10332.600158532001</v>
      </c>
      <c r="E9" s="86">
        <f>GDP!Q8</f>
        <v>15639.194367323415</v>
      </c>
      <c r="F9" s="86">
        <f>GDP!R8</f>
        <v>16012.494864829026</v>
      </c>
      <c r="G9" s="86">
        <f>GDP!S8</f>
        <v>20529.957677977141</v>
      </c>
      <c r="H9" s="86">
        <f>GDP!T8</f>
        <v>26660.053050417231</v>
      </c>
      <c r="I9" s="86">
        <f>GDP!U8</f>
        <v>28033.366575770109</v>
      </c>
      <c r="J9" s="86">
        <f>GDP!V8</f>
        <v>38997.934654348435</v>
      </c>
      <c r="L9" s="35">
        <f t="shared" ref="L9:L19" si="12">B9/B$20*100</f>
        <v>4.1629952518124673</v>
      </c>
      <c r="M9" s="35">
        <f t="shared" ref="M9:M19" si="13">C9/C$20*100</f>
        <v>4.1998643647736884</v>
      </c>
      <c r="N9" s="35">
        <f t="shared" ref="N9:N19" si="14">D9/D$20*100</f>
        <v>5.2268113771402351</v>
      </c>
      <c r="O9" s="35">
        <f t="shared" ref="O9:O19" si="15">E9/E$20*100</f>
        <v>7.0134767180494055</v>
      </c>
      <c r="P9" s="35">
        <f t="shared" ref="P9:P19" si="16">F9/F$20*100</f>
        <v>6.3531191584137403</v>
      </c>
      <c r="Q9" s="35">
        <f t="shared" ref="Q9:Q19" si="17">G9/G$20*100</f>
        <v>7.0961586978919744</v>
      </c>
      <c r="R9" s="35">
        <f t="shared" ref="R9:R19" si="18">H9/H$20*100</f>
        <v>8.2020534018556308</v>
      </c>
      <c r="S9" s="35">
        <f t="shared" ref="S9:S19" si="19">I9/I$20*100</f>
        <v>7.6109199771065352</v>
      </c>
      <c r="T9" s="35">
        <f t="shared" ref="T9:T19" si="20">J9/J$20*100</f>
        <v>9.4204659341164643</v>
      </c>
    </row>
    <row r="10" spans="1:20" x14ac:dyDescent="0.25">
      <c r="A10" s="12" t="s">
        <v>501</v>
      </c>
      <c r="B10" s="86">
        <f>GDP!N9</f>
        <v>20620.313210104505</v>
      </c>
      <c r="C10" s="86">
        <f>GDP!O9</f>
        <v>23208.038028701667</v>
      </c>
      <c r="D10" s="86">
        <f>GDP!P9</f>
        <v>27329.804349502112</v>
      </c>
      <c r="E10" s="86">
        <f>GDP!Q9</f>
        <v>27092.557400062862</v>
      </c>
      <c r="F10" s="86">
        <f>GDP!R9</f>
        <v>33007.049984082558</v>
      </c>
      <c r="G10" s="86">
        <f>GDP!S9</f>
        <v>37119.087759819275</v>
      </c>
      <c r="H10" s="86">
        <f>GDP!T9</f>
        <v>45964.244344040912</v>
      </c>
      <c r="I10" s="86">
        <f>GDP!U9</f>
        <v>53049.581715165536</v>
      </c>
      <c r="J10" s="86">
        <f>GDP!V9</f>
        <v>68102.227529031137</v>
      </c>
      <c r="L10" s="35">
        <f t="shared" si="12"/>
        <v>13.295322135335919</v>
      </c>
      <c r="M10" s="35">
        <f t="shared" si="13"/>
        <v>13.412023149373342</v>
      </c>
      <c r="N10" s="35">
        <f t="shared" si="14"/>
        <v>13.824955008158307</v>
      </c>
      <c r="O10" s="35">
        <f t="shared" si="15"/>
        <v>12.149795961022894</v>
      </c>
      <c r="P10" s="35">
        <f t="shared" si="16"/>
        <v>13.095880647380548</v>
      </c>
      <c r="Q10" s="35">
        <f t="shared" si="17"/>
        <v>12.830174401538791</v>
      </c>
      <c r="R10" s="35">
        <f t="shared" si="18"/>
        <v>14.141051631548201</v>
      </c>
      <c r="S10" s="35">
        <f t="shared" si="19"/>
        <v>14.402698304600875</v>
      </c>
      <c r="T10" s="35">
        <f t="shared" si="20"/>
        <v>16.450992088709246</v>
      </c>
    </row>
    <row r="11" spans="1:20" x14ac:dyDescent="0.25">
      <c r="A11" s="12" t="s">
        <v>502</v>
      </c>
      <c r="B11" s="86">
        <f>GDP!N10</f>
        <v>5589.7246989573177</v>
      </c>
      <c r="C11" s="86">
        <f>GDP!O10</f>
        <v>6289.5270001336685</v>
      </c>
      <c r="D11" s="86">
        <f>GDP!P10</f>
        <v>7640.3966275775547</v>
      </c>
      <c r="E11" s="86">
        <f>GDP!Q10</f>
        <v>8703.5175052255618</v>
      </c>
      <c r="F11" s="86">
        <f>GDP!R10</f>
        <v>10535.32396489671</v>
      </c>
      <c r="G11" s="86">
        <f>GDP!S10</f>
        <v>12961.685235133016</v>
      </c>
      <c r="H11" s="86">
        <f>GDP!T10</f>
        <v>13528.499689096747</v>
      </c>
      <c r="I11" s="86">
        <f>GDP!U10</f>
        <v>15322.582570646693</v>
      </c>
      <c r="J11" s="86">
        <f>GDP!V10</f>
        <v>19712.446459986786</v>
      </c>
      <c r="L11" s="35">
        <f t="shared" si="12"/>
        <v>3.6040767064616523</v>
      </c>
      <c r="M11" s="35">
        <f t="shared" si="13"/>
        <v>3.6347442045759411</v>
      </c>
      <c r="N11" s="35">
        <f t="shared" si="14"/>
        <v>3.864943132045088</v>
      </c>
      <c r="O11" s="35">
        <f t="shared" si="15"/>
        <v>3.9031369490218828</v>
      </c>
      <c r="P11" s="35">
        <f t="shared" si="16"/>
        <v>4.1799962520828178</v>
      </c>
      <c r="Q11" s="35">
        <f t="shared" si="17"/>
        <v>4.4801931335345033</v>
      </c>
      <c r="R11" s="35">
        <f t="shared" si="18"/>
        <v>4.1620876255241459</v>
      </c>
      <c r="S11" s="35">
        <f t="shared" si="19"/>
        <v>4.1600051664360498</v>
      </c>
      <c r="T11" s="35">
        <f t="shared" si="20"/>
        <v>4.761801669763396</v>
      </c>
    </row>
    <row r="12" spans="1:20" x14ac:dyDescent="0.25">
      <c r="A12" s="12" t="s">
        <v>503</v>
      </c>
      <c r="B12" s="86">
        <f>GDP!N11</f>
        <v>17873.272982555973</v>
      </c>
      <c r="C12" s="86">
        <f>GDP!O11</f>
        <v>20116.857026815396</v>
      </c>
      <c r="D12" s="86">
        <f>GDP!P11</f>
        <v>24902.383261513063</v>
      </c>
      <c r="E12" s="86">
        <f>GDP!Q11</f>
        <v>27462.81579829011</v>
      </c>
      <c r="F12" s="86">
        <f>GDP!R11</f>
        <v>29230.19254840845</v>
      </c>
      <c r="G12" s="86">
        <f>GDP!S11</f>
        <v>35086.560390164894</v>
      </c>
      <c r="H12" s="86">
        <f>GDP!T11</f>
        <v>38920.759875133634</v>
      </c>
      <c r="I12" s="86">
        <f>GDP!U11</f>
        <v>43544.137978310122</v>
      </c>
      <c r="J12" s="86">
        <f>GDP!V11</f>
        <v>47937.117665234102</v>
      </c>
      <c r="L12" s="35">
        <f t="shared" si="12"/>
        <v>11.524117965358178</v>
      </c>
      <c r="M12" s="35">
        <f t="shared" si="13"/>
        <v>11.625616598982099</v>
      </c>
      <c r="N12" s="35">
        <f t="shared" si="14"/>
        <v>12.597028642563426</v>
      </c>
      <c r="O12" s="35">
        <f t="shared" si="15"/>
        <v>12.315840233805565</v>
      </c>
      <c r="P12" s="35">
        <f t="shared" si="16"/>
        <v>11.597374291204755</v>
      </c>
      <c r="Q12" s="35">
        <f t="shared" si="17"/>
        <v>12.127633412457826</v>
      </c>
      <c r="R12" s="35">
        <f t="shared" si="18"/>
        <v>11.974100364051976</v>
      </c>
      <c r="S12" s="35">
        <f t="shared" si="19"/>
        <v>11.822017477966778</v>
      </c>
      <c r="T12" s="35">
        <f t="shared" si="20"/>
        <v>11.579843598069012</v>
      </c>
    </row>
    <row r="13" spans="1:20" x14ac:dyDescent="0.25">
      <c r="A13" s="12" t="s">
        <v>504</v>
      </c>
      <c r="B13" s="86">
        <f>GDP!N12</f>
        <v>8765.5536110774065</v>
      </c>
      <c r="C13" s="86">
        <f>GDP!O12</f>
        <v>9868.050251851304</v>
      </c>
      <c r="D13" s="86">
        <f>GDP!P12</f>
        <v>11619.869144307808</v>
      </c>
      <c r="E13" s="86">
        <f>GDP!Q12</f>
        <v>13048.294790480548</v>
      </c>
      <c r="F13" s="86">
        <f>GDP!R12</f>
        <v>12873.923264902807</v>
      </c>
      <c r="G13" s="86">
        <f>GDP!S12</f>
        <v>16838.973198083262</v>
      </c>
      <c r="H13" s="86">
        <f>GDP!T12</f>
        <v>19384.192993227014</v>
      </c>
      <c r="I13" s="86">
        <f>GDP!U12</f>
        <v>20733.76423000927</v>
      </c>
      <c r="J13" s="86">
        <f>GDP!V12</f>
        <v>22913.833099932213</v>
      </c>
      <c r="L13" s="35">
        <f t="shared" si="12"/>
        <v>5.6517501827626466</v>
      </c>
      <c r="M13" s="35">
        <f t="shared" si="13"/>
        <v>5.7027878984569753</v>
      </c>
      <c r="N13" s="35">
        <f t="shared" si="14"/>
        <v>5.8779845646304087</v>
      </c>
      <c r="O13" s="35">
        <f t="shared" si="15"/>
        <v>5.8515745487817545</v>
      </c>
      <c r="P13" s="35">
        <f t="shared" si="16"/>
        <v>5.107859158028571</v>
      </c>
      <c r="Q13" s="35">
        <f t="shared" si="17"/>
        <v>5.8203737191007292</v>
      </c>
      <c r="R13" s="35">
        <f t="shared" si="18"/>
        <v>5.963611016889387</v>
      </c>
      <c r="S13" s="35">
        <f t="shared" si="19"/>
        <v>5.6291141469675381</v>
      </c>
      <c r="T13" s="35">
        <f t="shared" si="20"/>
        <v>5.5351388746909569</v>
      </c>
    </row>
    <row r="14" spans="1:20" x14ac:dyDescent="0.25">
      <c r="A14" s="12" t="s">
        <v>505</v>
      </c>
      <c r="B14" s="86">
        <f>GDP!N13</f>
        <v>20962.62110950764</v>
      </c>
      <c r="C14" s="86">
        <f>GDP!O13</f>
        <v>23576.396381790095</v>
      </c>
      <c r="D14" s="86">
        <f>GDP!P13</f>
        <v>24355.060087519603</v>
      </c>
      <c r="E14" s="86">
        <f>GDP!Q13</f>
        <v>27976.161976334985</v>
      </c>
      <c r="F14" s="86">
        <f>GDP!R13</f>
        <v>31383.817546703453</v>
      </c>
      <c r="G14" s="86">
        <f>GDP!S13</f>
        <v>37043.389250634529</v>
      </c>
      <c r="H14" s="86">
        <f>GDP!T13</f>
        <v>43686.671427836001</v>
      </c>
      <c r="I14" s="86">
        <f>GDP!U13</f>
        <v>47704.087062545412</v>
      </c>
      <c r="J14" s="86">
        <f>GDP!V13</f>
        <v>50808.324960602498</v>
      </c>
      <c r="L14" s="35">
        <f t="shared" si="12"/>
        <v>13.516031381876592</v>
      </c>
      <c r="M14" s="35">
        <f t="shared" si="13"/>
        <v>13.624898996645618</v>
      </c>
      <c r="N14" s="35">
        <f t="shared" si="14"/>
        <v>12.320161740824345</v>
      </c>
      <c r="O14" s="35">
        <f t="shared" si="15"/>
        <v>12.546052953428767</v>
      </c>
      <c r="P14" s="35">
        <f t="shared" si="16"/>
        <v>12.451846773613436</v>
      </c>
      <c r="Q14" s="35">
        <f t="shared" si="17"/>
        <v>12.804009289910478</v>
      </c>
      <c r="R14" s="35">
        <f t="shared" si="18"/>
        <v>13.440348799111776</v>
      </c>
      <c r="S14" s="35">
        <f t="shared" si="19"/>
        <v>12.951423020586041</v>
      </c>
      <c r="T14" s="35">
        <f t="shared" si="20"/>
        <v>12.273421623560386</v>
      </c>
    </row>
    <row r="15" spans="1:20" x14ac:dyDescent="0.25">
      <c r="A15" s="12" t="s">
        <v>506</v>
      </c>
      <c r="B15" s="86">
        <f>GDP!N14</f>
        <v>6623.7309218605797</v>
      </c>
      <c r="C15" s="86">
        <f>GDP!O14</f>
        <v>7770.4881058526389</v>
      </c>
      <c r="D15" s="86">
        <f>GDP!P14</f>
        <v>8108.5730840015949</v>
      </c>
      <c r="E15" s="86">
        <f>GDP!Q14</f>
        <v>9509.3650471320616</v>
      </c>
      <c r="F15" s="86">
        <f>GDP!R14</f>
        <v>9136.9545016171087</v>
      </c>
      <c r="G15" s="86">
        <f>GDP!S14</f>
        <v>14238.893573613916</v>
      </c>
      <c r="H15" s="86">
        <f>GDP!T14</f>
        <v>14451.427389129132</v>
      </c>
      <c r="I15" s="86">
        <f>GDP!U14</f>
        <v>17091.025455980835</v>
      </c>
      <c r="J15" s="86">
        <f>GDP!V14</f>
        <v>18457.9894701628</v>
      </c>
      <c r="L15" s="35">
        <f t="shared" si="12"/>
        <v>4.2707710327488106</v>
      </c>
      <c r="M15" s="35">
        <f t="shared" si="13"/>
        <v>4.4905978794389325</v>
      </c>
      <c r="N15" s="35">
        <f t="shared" si="14"/>
        <v>4.1017731643120134</v>
      </c>
      <c r="O15" s="35">
        <f t="shared" si="15"/>
        <v>4.2645234015918092</v>
      </c>
      <c r="P15" s="35">
        <f t="shared" si="16"/>
        <v>3.6251790357341127</v>
      </c>
      <c r="Q15" s="35">
        <f t="shared" si="17"/>
        <v>4.9216588784860242</v>
      </c>
      <c r="R15" s="35">
        <f t="shared" si="18"/>
        <v>4.4460293816565084</v>
      </c>
      <c r="S15" s="35">
        <f t="shared" si="19"/>
        <v>4.6401286381561704</v>
      </c>
      <c r="T15" s="35">
        <f t="shared" si="20"/>
        <v>4.4587710235716385</v>
      </c>
    </row>
    <row r="16" spans="1:20" x14ac:dyDescent="0.25">
      <c r="A16" s="12" t="s">
        <v>507</v>
      </c>
      <c r="B16" s="86">
        <f>GDP!N15</f>
        <v>16011.241116300191</v>
      </c>
      <c r="C16" s="86">
        <f>GDP!O15</f>
        <v>18004.172906197175</v>
      </c>
      <c r="D16" s="86">
        <f>GDP!P15</f>
        <v>18731.12106428494</v>
      </c>
      <c r="E16" s="86">
        <f>GDP!Q15</f>
        <v>20337.837699754098</v>
      </c>
      <c r="F16" s="86">
        <f>GDP!R15</f>
        <v>22581.196143649217</v>
      </c>
      <c r="G16" s="86">
        <f>GDP!S15</f>
        <v>23058.588255095096</v>
      </c>
      <c r="H16" s="86">
        <f>GDP!T15</f>
        <v>26175.339077938235</v>
      </c>
      <c r="I16" s="86">
        <f>GDP!U15</f>
        <v>27225.513483142466</v>
      </c>
      <c r="J16" s="86">
        <f>GDP!V15</f>
        <v>28926.56486521809</v>
      </c>
      <c r="L16" s="35">
        <f t="shared" si="12"/>
        <v>10.323539039330996</v>
      </c>
      <c r="M16" s="35">
        <f t="shared" si="13"/>
        <v>10.404687526994094</v>
      </c>
      <c r="N16" s="35">
        <f t="shared" si="14"/>
        <v>9.4752564875504959</v>
      </c>
      <c r="O16" s="35">
        <f t="shared" si="15"/>
        <v>9.1206073569060013</v>
      </c>
      <c r="P16" s="35">
        <f t="shared" si="16"/>
        <v>8.9593177734735292</v>
      </c>
      <c r="Q16" s="35">
        <f t="shared" si="17"/>
        <v>7.9701772489783984</v>
      </c>
      <c r="R16" s="35">
        <f t="shared" si="18"/>
        <v>8.0529295467987829</v>
      </c>
      <c r="S16" s="35">
        <f t="shared" si="19"/>
        <v>7.3915918694877627</v>
      </c>
      <c r="T16" s="35">
        <f t="shared" si="20"/>
        <v>6.9875936076889671</v>
      </c>
    </row>
    <row r="17" spans="1:32" x14ac:dyDescent="0.25">
      <c r="A17" s="12" t="s">
        <v>508</v>
      </c>
      <c r="B17" s="86">
        <f>GDP!N16</f>
        <v>2440.0501427887984</v>
      </c>
      <c r="C17" s="86">
        <f>GDP!O16</f>
        <v>2745.5101099088843</v>
      </c>
      <c r="D17" s="86">
        <f>GDP!P16</f>
        <v>3383.1918114159553</v>
      </c>
      <c r="E17" s="86">
        <f>GDP!Q16</f>
        <v>4152.7313737361719</v>
      </c>
      <c r="F17" s="86">
        <f>GDP!R16</f>
        <v>3965.3701014194744</v>
      </c>
      <c r="G17" s="86">
        <f>GDP!S16</f>
        <v>5200.0496349615914</v>
      </c>
      <c r="H17" s="86">
        <f>GDP!T16</f>
        <v>5935.6612459882344</v>
      </c>
      <c r="I17" s="86">
        <f>GDP!U16</f>
        <v>6047.1322650221036</v>
      </c>
      <c r="J17" s="86">
        <f>GDP!V16</f>
        <v>6575.5013611317127</v>
      </c>
      <c r="L17" s="35">
        <f t="shared" si="12"/>
        <v>1.5732667270472109</v>
      </c>
      <c r="M17" s="35">
        <f t="shared" si="13"/>
        <v>1.5866418826700146</v>
      </c>
      <c r="N17" s="35">
        <f t="shared" si="14"/>
        <v>1.7114090528660253</v>
      </c>
      <c r="O17" s="35">
        <f t="shared" si="15"/>
        <v>1.8623136283072237</v>
      </c>
      <c r="P17" s="35">
        <f t="shared" si="16"/>
        <v>1.5733006614018417</v>
      </c>
      <c r="Q17" s="35">
        <f t="shared" si="17"/>
        <v>1.7973917932712735</v>
      </c>
      <c r="R17" s="35">
        <f t="shared" si="18"/>
        <v>1.8261257928801649</v>
      </c>
      <c r="S17" s="35">
        <f t="shared" si="19"/>
        <v>1.6417664155914131</v>
      </c>
      <c r="T17" s="35">
        <f t="shared" si="20"/>
        <v>1.5883991580915862</v>
      </c>
    </row>
    <row r="18" spans="1:32" x14ac:dyDescent="0.25">
      <c r="A18" s="22" t="s">
        <v>509</v>
      </c>
      <c r="B18" s="51">
        <f>SUM(B9:B17)+B7</f>
        <v>141258.83765302954</v>
      </c>
      <c r="C18" s="51">
        <f t="shared" ref="C18:J18" si="21">SUM(C9:C17)+C7</f>
        <v>157617.76456359189</v>
      </c>
      <c r="D18" s="51">
        <f t="shared" si="21"/>
        <v>181287.82526987878</v>
      </c>
      <c r="E18" s="51">
        <f t="shared" si="21"/>
        <v>204962.86733045059</v>
      </c>
      <c r="F18" s="51">
        <f t="shared" si="21"/>
        <v>233000.50636751766</v>
      </c>
      <c r="G18" s="51">
        <f t="shared" si="21"/>
        <v>269234.28210280172</v>
      </c>
      <c r="H18" s="51">
        <f t="shared" si="21"/>
        <v>304009.81742832542</v>
      </c>
      <c r="I18" s="51">
        <f t="shared" si="21"/>
        <v>345901.63725261181</v>
      </c>
      <c r="J18" s="51">
        <f t="shared" si="21"/>
        <v>390205.99244832655</v>
      </c>
      <c r="L18" s="136">
        <f t="shared" si="12"/>
        <v>91.079205826021905</v>
      </c>
      <c r="M18" s="136">
        <f t="shared" si="13"/>
        <v>91.087971523702052</v>
      </c>
      <c r="N18" s="136">
        <f t="shared" si="14"/>
        <v>91.705597150701806</v>
      </c>
      <c r="O18" s="136">
        <f t="shared" si="15"/>
        <v>91.916646364488344</v>
      </c>
      <c r="P18" s="136">
        <f t="shared" si="16"/>
        <v>92.445305582890185</v>
      </c>
      <c r="Q18" s="136">
        <f t="shared" si="17"/>
        <v>93.060551934988041</v>
      </c>
      <c r="R18" s="136">
        <f t="shared" si="18"/>
        <v>93.529624735554762</v>
      </c>
      <c r="S18" s="136">
        <f t="shared" si="19"/>
        <v>93.910578808440519</v>
      </c>
      <c r="T18" s="136">
        <f t="shared" si="20"/>
        <v>94.259408651470352</v>
      </c>
    </row>
    <row r="19" spans="1:32" x14ac:dyDescent="0.25">
      <c r="A19" s="18" t="s">
        <v>291</v>
      </c>
      <c r="B19" s="96">
        <f>'3_In &amp; SA'!C68</f>
        <v>13835.661</v>
      </c>
      <c r="C19" s="96">
        <f>'3_In &amp; SA'!D68</f>
        <v>15421.289799999999</v>
      </c>
      <c r="D19" s="96">
        <f>'3_In &amp; SA'!E68</f>
        <v>16396.755500000003</v>
      </c>
      <c r="E19" s="96">
        <f>'3_In &amp; SA'!F68</f>
        <v>18024.888899999998</v>
      </c>
      <c r="F19" s="96">
        <f>'3_In &amp; SA'!G68</f>
        <v>19040.962800000001</v>
      </c>
      <c r="G19" s="96">
        <f>'3_In &amp; SA'!H68</f>
        <v>20076.576799999999</v>
      </c>
      <c r="H19" s="96">
        <f>'3_In &amp; SA'!I68</f>
        <v>21031.385600000001</v>
      </c>
      <c r="I19" s="96">
        <f>'3_In &amp; SA'!J68</f>
        <v>22429.217100000002</v>
      </c>
      <c r="J19" s="97">
        <f>'3_In &amp; SA'!K68</f>
        <v>23764.345399999998</v>
      </c>
      <c r="L19" s="35">
        <f t="shared" si="12"/>
        <v>8.9207941739781003</v>
      </c>
      <c r="M19" s="35">
        <f t="shared" si="13"/>
        <v>8.9120284762979498</v>
      </c>
      <c r="N19" s="35">
        <f t="shared" si="14"/>
        <v>8.2944028492981872</v>
      </c>
      <c r="O19" s="35">
        <f t="shared" si="15"/>
        <v>8.0833536355116564</v>
      </c>
      <c r="P19" s="35">
        <f t="shared" si="16"/>
        <v>7.5546944171098103</v>
      </c>
      <c r="Q19" s="35">
        <f t="shared" si="17"/>
        <v>6.9394480650119759</v>
      </c>
      <c r="R19" s="35">
        <f t="shared" si="18"/>
        <v>6.4703752644452415</v>
      </c>
      <c r="S19" s="35">
        <f t="shared" si="19"/>
        <v>6.0894211915594729</v>
      </c>
      <c r="T19" s="35">
        <f t="shared" si="20"/>
        <v>5.7405913485296507</v>
      </c>
    </row>
    <row r="20" spans="1:32" ht="18.75" x14ac:dyDescent="0.3">
      <c r="A20" s="98" t="s">
        <v>724</v>
      </c>
      <c r="B20" s="99">
        <f t="shared" ref="B20:C20" si="22">B18+B19</f>
        <v>155094.49865302953</v>
      </c>
      <c r="C20" s="99">
        <f t="shared" si="22"/>
        <v>173039.05436359189</v>
      </c>
      <c r="D20" s="99">
        <f>D18+D19</f>
        <v>197684.58076987878</v>
      </c>
      <c r="E20" s="99">
        <f t="shared" ref="E20:J20" si="23">E18+E19</f>
        <v>222987.75623045058</v>
      </c>
      <c r="F20" s="99">
        <f>F18+F19</f>
        <v>252041.46916751767</v>
      </c>
      <c r="G20" s="99">
        <f t="shared" si="23"/>
        <v>289310.8589028017</v>
      </c>
      <c r="H20" s="99">
        <f t="shared" si="23"/>
        <v>325041.2030283254</v>
      </c>
      <c r="I20" s="99">
        <f t="shared" si="23"/>
        <v>368330.85435261182</v>
      </c>
      <c r="J20" s="100">
        <f t="shared" si="23"/>
        <v>413970.33784832654</v>
      </c>
      <c r="L20" s="99">
        <f t="shared" ref="L20:T20" si="24">L18+L19</f>
        <v>100</v>
      </c>
      <c r="M20" s="99">
        <f t="shared" si="24"/>
        <v>100</v>
      </c>
      <c r="N20" s="99">
        <f t="shared" si="24"/>
        <v>100</v>
      </c>
      <c r="O20" s="99">
        <f t="shared" si="24"/>
        <v>100</v>
      </c>
      <c r="P20" s="99">
        <f t="shared" si="24"/>
        <v>100</v>
      </c>
      <c r="Q20" s="99">
        <f t="shared" si="24"/>
        <v>100.00000000000001</v>
      </c>
      <c r="R20" s="99">
        <f t="shared" si="24"/>
        <v>100</v>
      </c>
      <c r="S20" s="99">
        <f t="shared" si="24"/>
        <v>99.999999999999986</v>
      </c>
      <c r="T20" s="99">
        <f t="shared" si="24"/>
        <v>100</v>
      </c>
    </row>
    <row r="21" spans="1:32" ht="30" x14ac:dyDescent="0.25">
      <c r="A21" s="262" t="s">
        <v>827</v>
      </c>
      <c r="D21" s="4">
        <f>D20-C20</f>
        <v>24645.526406286896</v>
      </c>
      <c r="E21" s="4">
        <f>E20-D20</f>
        <v>25303.175460571802</v>
      </c>
      <c r="F21" s="4">
        <f t="shared" ref="F21:J21" si="25">F20-E20</f>
        <v>29053.712937067088</v>
      </c>
      <c r="G21" s="4">
        <f t="shared" si="25"/>
        <v>37269.389735284029</v>
      </c>
      <c r="H21" s="4">
        <f t="shared" si="25"/>
        <v>35730.344125523698</v>
      </c>
      <c r="I21" s="4">
        <f t="shared" si="25"/>
        <v>43289.651324286417</v>
      </c>
      <c r="J21" s="4">
        <f t="shared" si="25"/>
        <v>45639.483495714725</v>
      </c>
    </row>
    <row r="22" spans="1:32" x14ac:dyDescent="0.25">
      <c r="C22" s="4"/>
      <c r="D22" s="4"/>
      <c r="E22" s="4"/>
      <c r="F22" s="4"/>
      <c r="G22" s="4"/>
      <c r="H22" s="4"/>
      <c r="I22" s="4"/>
      <c r="J22" s="4"/>
    </row>
    <row r="23" spans="1:32" x14ac:dyDescent="0.25">
      <c r="A23" s="63" t="s">
        <v>721</v>
      </c>
      <c r="C23" s="4"/>
      <c r="D23" s="132">
        <f>GDP!P35</f>
        <v>104.12160776545542</v>
      </c>
      <c r="E23" s="132">
        <f>GDP!Q35</f>
        <v>104.07121513480601</v>
      </c>
      <c r="F23" s="132">
        <f>GDP!R35</f>
        <v>103.96429553886924</v>
      </c>
      <c r="G23" s="132">
        <f>GDP!S35</f>
        <v>105.06575320666383</v>
      </c>
      <c r="H23" s="132">
        <f>GDP!T35</f>
        <v>103.85382375573234</v>
      </c>
      <c r="I23" s="132">
        <f>GDP!AN35</f>
        <v>104.10114621650719</v>
      </c>
      <c r="J23" s="132">
        <f>GDP!AQ35</f>
        <v>103.96034017752895</v>
      </c>
    </row>
    <row r="24" spans="1:32" x14ac:dyDescent="0.25">
      <c r="A24" s="63" t="s">
        <v>722</v>
      </c>
      <c r="C24" s="4"/>
      <c r="D24" s="132">
        <f>GDP!P36</f>
        <v>108.51599957200115</v>
      </c>
      <c r="E24" s="132">
        <f>GDP!Q36</f>
        <v>108.37388918991087</v>
      </c>
      <c r="F24" s="132">
        <f>GDP!R36</f>
        <v>108.62520475951297</v>
      </c>
      <c r="G24" s="132">
        <f>GDP!S36</f>
        <v>108.76495168739831</v>
      </c>
      <c r="H24" s="132">
        <f>GDP!T36</f>
        <v>107.88215008830171</v>
      </c>
      <c r="I24" s="132">
        <f>GDP!AN36</f>
        <v>108.53791833540478</v>
      </c>
      <c r="J24" s="132">
        <f>GDP!AQ36</f>
        <v>108.10939364078631</v>
      </c>
    </row>
    <row r="25" spans="1:32" x14ac:dyDescent="0.25">
      <c r="A25" s="2" t="s">
        <v>230</v>
      </c>
      <c r="B25" s="67"/>
      <c r="C25" s="67"/>
      <c r="D25" s="67"/>
      <c r="E25" s="67"/>
      <c r="F25" s="67"/>
      <c r="G25" s="67"/>
      <c r="H25" s="67"/>
      <c r="I25" s="67"/>
      <c r="J25" s="67"/>
      <c r="L25" t="s">
        <v>827</v>
      </c>
    </row>
    <row r="26" spans="1:32" x14ac:dyDescent="0.25">
      <c r="A26" s="25" t="s">
        <v>668</v>
      </c>
      <c r="B26" s="4"/>
      <c r="C26" s="4"/>
      <c r="D26" s="4"/>
      <c r="E26" s="4"/>
      <c r="F26" s="4"/>
      <c r="G26" s="4"/>
      <c r="H26" s="4"/>
      <c r="I26" s="4"/>
      <c r="J26" s="4"/>
    </row>
    <row r="27" spans="1:32" x14ac:dyDescent="0.25">
      <c r="A27" s="18"/>
      <c r="B27" s="6">
        <v>2024</v>
      </c>
      <c r="C27" s="6">
        <f t="shared" ref="C27:J27" si="26">B27+1</f>
        <v>2025</v>
      </c>
      <c r="D27" s="6">
        <f>C27+1</f>
        <v>2026</v>
      </c>
      <c r="E27" s="6">
        <f t="shared" si="26"/>
        <v>2027</v>
      </c>
      <c r="F27" s="6">
        <f t="shared" si="26"/>
        <v>2028</v>
      </c>
      <c r="G27" s="6">
        <f t="shared" si="26"/>
        <v>2029</v>
      </c>
      <c r="H27" s="19">
        <f t="shared" si="26"/>
        <v>2030</v>
      </c>
      <c r="I27" s="27">
        <f t="shared" si="26"/>
        <v>2031</v>
      </c>
      <c r="J27" s="27">
        <f t="shared" si="26"/>
        <v>2032</v>
      </c>
      <c r="L27" s="215">
        <v>2025</v>
      </c>
      <c r="M27" s="215">
        <v>2026</v>
      </c>
      <c r="N27" s="215">
        <v>2027</v>
      </c>
      <c r="O27" s="215">
        <v>2028</v>
      </c>
      <c r="P27" s="215">
        <v>2029</v>
      </c>
      <c r="Q27" s="215">
        <v>2030</v>
      </c>
      <c r="W27" s="18"/>
      <c r="X27" s="6"/>
      <c r="Y27" s="6"/>
      <c r="Z27" s="6"/>
      <c r="AA27" s="6"/>
      <c r="AB27" s="6"/>
      <c r="AC27" s="6"/>
      <c r="AD27" s="19"/>
      <c r="AE27" s="27"/>
      <c r="AF27" s="27"/>
    </row>
    <row r="28" spans="1:32" x14ac:dyDescent="0.25">
      <c r="A28" s="12" t="s">
        <v>231</v>
      </c>
      <c r="B28" s="76">
        <f>'2_Production_2'!C21</f>
        <v>79304.264727356232</v>
      </c>
      <c r="C28" s="76">
        <f>'2_Production_2'!D21</f>
        <v>84653.535307823593</v>
      </c>
      <c r="D28" s="76">
        <f>'2_Production_2'!E21</f>
        <v>95155.449822395924</v>
      </c>
      <c r="E28" s="76">
        <f>'2_Production_2'!F21</f>
        <v>104590.96592645653</v>
      </c>
      <c r="F28" s="76">
        <f>'2_Production_2'!G21</f>
        <v>114715.95317271228</v>
      </c>
      <c r="G28" s="76">
        <f>'2_Production_2'!H21</f>
        <v>125434.6797080495</v>
      </c>
      <c r="H28" s="76">
        <f>'2_Production_2'!I21</f>
        <v>136949.66739357862</v>
      </c>
      <c r="I28" s="76">
        <f>'2_Production_2'!J21</f>
        <v>148095.66964185712</v>
      </c>
      <c r="J28" s="76">
        <f>'2_Production_2'!K21</f>
        <v>159589.18615032511</v>
      </c>
      <c r="L28" s="33">
        <f>E28-D28</f>
        <v>9435.5161040606035</v>
      </c>
      <c r="M28" s="33">
        <f t="shared" ref="L28:Q30" si="27">F28-E28</f>
        <v>10124.987246255754</v>
      </c>
      <c r="N28" s="33">
        <f t="shared" si="27"/>
        <v>10718.72653533722</v>
      </c>
      <c r="O28" s="33">
        <f t="shared" si="27"/>
        <v>11514.987685529122</v>
      </c>
      <c r="P28" s="33">
        <f t="shared" si="27"/>
        <v>11146.002248278499</v>
      </c>
      <c r="Q28" s="33">
        <f t="shared" si="27"/>
        <v>11493.51650846799</v>
      </c>
      <c r="W28" s="12"/>
      <c r="X28" s="76"/>
      <c r="Y28" s="76"/>
      <c r="Z28" s="76"/>
      <c r="AA28" s="76"/>
      <c r="AB28" s="76"/>
      <c r="AC28" s="76"/>
      <c r="AD28" s="77"/>
      <c r="AE28" s="78"/>
      <c r="AF28" s="78"/>
    </row>
    <row r="29" spans="1:32" x14ac:dyDescent="0.25">
      <c r="A29" s="41" t="s">
        <v>716</v>
      </c>
      <c r="B29" s="67">
        <f>B31+B32+B33</f>
        <v>82558.514317880763</v>
      </c>
      <c r="C29" s="67">
        <f>C31+C32+C33</f>
        <v>91735.727632177033</v>
      </c>
      <c r="D29" s="67">
        <f t="shared" ref="D29:E29" si="28">D31+D32+D33</f>
        <v>99935.216621873406</v>
      </c>
      <c r="E29" s="67">
        <f t="shared" si="28"/>
        <v>104885.60973515622</v>
      </c>
      <c r="F29" s="67">
        <f>F31+F32+F33</f>
        <v>131605.53347201648</v>
      </c>
      <c r="G29" s="67">
        <f t="shared" ref="G29:J29" si="29">G31+G32+G33</f>
        <v>164803.16089586611</v>
      </c>
      <c r="H29" s="67">
        <f t="shared" si="29"/>
        <v>167868.3449500881</v>
      </c>
      <c r="I29" s="67">
        <f t="shared" si="29"/>
        <v>171881.64341150748</v>
      </c>
      <c r="J29" s="67">
        <f t="shared" si="29"/>
        <v>172763.32641509699</v>
      </c>
      <c r="L29" s="33">
        <f t="shared" si="27"/>
        <v>4950.3931132828147</v>
      </c>
      <c r="M29" s="33">
        <f t="shared" si="27"/>
        <v>26719.923736860263</v>
      </c>
      <c r="N29" s="33">
        <f t="shared" si="27"/>
        <v>33197.627423849626</v>
      </c>
      <c r="O29" s="33">
        <f t="shared" si="27"/>
        <v>3065.184054221987</v>
      </c>
      <c r="P29" s="33">
        <f t="shared" si="27"/>
        <v>4013.2984614193847</v>
      </c>
      <c r="Q29" s="33">
        <f t="shared" si="27"/>
        <v>881.68300358951092</v>
      </c>
      <c r="W29" s="41"/>
      <c r="X29" s="67"/>
      <c r="Y29" s="67"/>
      <c r="Z29" s="67"/>
      <c r="AA29" s="67"/>
      <c r="AB29" s="67"/>
      <c r="AC29" s="67"/>
      <c r="AD29" s="67"/>
      <c r="AE29" s="67"/>
      <c r="AF29" s="67"/>
    </row>
    <row r="30" spans="1:32" x14ac:dyDescent="0.25">
      <c r="A30" s="227" t="s">
        <v>812</v>
      </c>
      <c r="B30" s="226">
        <v>53818.999999999993</v>
      </c>
      <c r="C30" s="226">
        <v>66726.100000000006</v>
      </c>
      <c r="D30" s="226">
        <v>83491.032625000007</v>
      </c>
      <c r="E30" s="226">
        <v>104885.60973515626</v>
      </c>
      <c r="F30" s="226">
        <v>131605.53347201648</v>
      </c>
      <c r="G30" s="226">
        <v>164803.16089586608</v>
      </c>
      <c r="H30" s="226">
        <v>167868.3449500881</v>
      </c>
      <c r="I30" s="226">
        <v>171881.64341150748</v>
      </c>
      <c r="J30" s="226">
        <v>172763.32641509699</v>
      </c>
      <c r="L30" s="33">
        <f t="shared" si="27"/>
        <v>21394.577110156257</v>
      </c>
      <c r="M30" s="33">
        <f t="shared" si="27"/>
        <v>26719.923736860219</v>
      </c>
      <c r="N30" s="33">
        <f t="shared" si="27"/>
        <v>33197.627423849597</v>
      </c>
      <c r="O30" s="33">
        <f t="shared" si="27"/>
        <v>3065.1840542220161</v>
      </c>
      <c r="P30" s="33">
        <f t="shared" si="27"/>
        <v>4013.2984614193847</v>
      </c>
      <c r="Q30" s="33">
        <f t="shared" si="27"/>
        <v>881.68300358951092</v>
      </c>
      <c r="W30" s="227"/>
      <c r="X30" s="226"/>
      <c r="Y30" s="226"/>
      <c r="Z30" s="226"/>
      <c r="AA30" s="226"/>
      <c r="AB30" s="226"/>
      <c r="AC30" s="226"/>
      <c r="AD30" s="226"/>
      <c r="AE30" s="226"/>
      <c r="AF30" s="226"/>
    </row>
    <row r="31" spans="1:32" x14ac:dyDescent="0.25">
      <c r="A31" s="12" t="s">
        <v>233</v>
      </c>
      <c r="B31" s="76">
        <f>'2_Production_2'!C23</f>
        <v>13541.152411486481</v>
      </c>
      <c r="C31" s="76">
        <f>'2_Production_2'!D23</f>
        <v>15046.38836720055</v>
      </c>
      <c r="D31" s="76">
        <f>'2_Production_2'!E23</f>
        <v>26754.531741408598</v>
      </c>
      <c r="E31" s="76">
        <f>'2_Production_2'!F23</f>
        <v>29788.941652044599</v>
      </c>
      <c r="F31" s="76">
        <f>'2_Production_2'!G23</f>
        <v>40744.261742567498</v>
      </c>
      <c r="G31" s="76">
        <f>'2_Production_2'!H23</f>
        <v>48047.334517555704</v>
      </c>
      <c r="H31" s="76">
        <f>'2_Production_2'!I23</f>
        <v>49097.703591928599</v>
      </c>
      <c r="I31" s="76">
        <f>'2_Production_2'!J23</f>
        <v>50969.757410491104</v>
      </c>
      <c r="J31" s="76">
        <f>'2_Production_2'!K23</f>
        <v>50646.668382270698</v>
      </c>
      <c r="L31" s="32"/>
      <c r="M31" s="32"/>
      <c r="N31" s="32"/>
      <c r="O31" s="32"/>
      <c r="P31" s="32"/>
      <c r="Q31" s="32"/>
      <c r="W31" s="12"/>
      <c r="X31" s="255"/>
      <c r="Y31" s="255"/>
      <c r="Z31" s="255"/>
      <c r="AA31" s="255"/>
      <c r="AB31" s="255"/>
      <c r="AC31" s="76"/>
      <c r="AD31" s="77"/>
      <c r="AE31" s="78"/>
      <c r="AF31" s="78"/>
    </row>
    <row r="32" spans="1:32" x14ac:dyDescent="0.25">
      <c r="A32" s="12" t="s">
        <v>234</v>
      </c>
      <c r="B32" s="76">
        <f>'2_Production_2'!C24</f>
        <v>58669.419129507041</v>
      </c>
      <c r="C32" s="76">
        <f>'2_Production_2'!D24</f>
        <v>65191.118058150765</v>
      </c>
      <c r="D32" s="76">
        <f>'2_Production_2'!E24</f>
        <v>60065.504064839799</v>
      </c>
      <c r="E32" s="76">
        <f>'2_Production_2'!F24</f>
        <v>60339.771492344902</v>
      </c>
      <c r="F32" s="76">
        <f>'2_Production_2'!G24</f>
        <v>73035.004445359795</v>
      </c>
      <c r="G32" s="76">
        <f>'2_Production_2'!H24</f>
        <v>95177.148102100706</v>
      </c>
      <c r="H32" s="76">
        <f>'2_Production_2'!I24</f>
        <v>96446.384445458607</v>
      </c>
      <c r="I32" s="76">
        <f>'2_Production_2'!J24</f>
        <v>97338.682046175294</v>
      </c>
      <c r="J32" s="76">
        <f>'2_Production_2'!K24</f>
        <v>97988.816588533999</v>
      </c>
      <c r="L32" s="32"/>
      <c r="M32" s="32"/>
      <c r="N32" s="32"/>
      <c r="O32" s="32"/>
      <c r="P32" s="32"/>
      <c r="Q32" s="32"/>
      <c r="W32" s="12"/>
      <c r="X32" s="255"/>
      <c r="Y32" s="255"/>
      <c r="Z32" s="255"/>
      <c r="AA32" s="255"/>
      <c r="AB32" s="255"/>
      <c r="AC32" s="76"/>
      <c r="AD32" s="77"/>
      <c r="AE32" s="78"/>
      <c r="AF32" s="78"/>
    </row>
    <row r="33" spans="1:32" x14ac:dyDescent="0.25">
      <c r="A33" s="12" t="s">
        <v>235</v>
      </c>
      <c r="B33" s="76">
        <f>'2_Production_2'!C25</f>
        <v>10347.942776887236</v>
      </c>
      <c r="C33" s="76">
        <f>'2_Production_2'!D25</f>
        <v>11498.221206825718</v>
      </c>
      <c r="D33" s="76">
        <f>'2_Production_2'!E25</f>
        <v>13115.180815625006</v>
      </c>
      <c r="E33" s="76">
        <f>'2_Production_2'!F25</f>
        <v>14756.896590766721</v>
      </c>
      <c r="F33" s="76">
        <f>'2_Production_2'!G25</f>
        <v>17826.26728408919</v>
      </c>
      <c r="G33" s="76">
        <f>'2_Production_2'!H25</f>
        <v>21578.678276209699</v>
      </c>
      <c r="H33" s="76">
        <f>'2_Production_2'!I25</f>
        <v>22324.256912700901</v>
      </c>
      <c r="I33" s="76">
        <f>'2_Production_2'!J25</f>
        <v>23573.203954841065</v>
      </c>
      <c r="J33" s="76">
        <f>'2_Production_2'!K25</f>
        <v>24127.841444292273</v>
      </c>
      <c r="L33" s="32"/>
      <c r="M33" s="32"/>
      <c r="N33" s="32"/>
      <c r="O33" s="32"/>
      <c r="P33" s="32"/>
      <c r="Q33" s="32"/>
      <c r="W33" s="12"/>
      <c r="X33" s="255"/>
      <c r="Y33" s="255"/>
      <c r="Z33" s="255"/>
      <c r="AA33" s="255"/>
      <c r="AB33" s="255"/>
      <c r="AC33" s="76"/>
      <c r="AD33" s="77"/>
      <c r="AE33" s="78"/>
      <c r="AF33" s="78"/>
    </row>
    <row r="34" spans="1:32" x14ac:dyDescent="0.25">
      <c r="A34" s="109" t="s">
        <v>236</v>
      </c>
      <c r="B34" s="76">
        <f>'2_Production_2'!C26</f>
        <v>34159.194306709374</v>
      </c>
      <c r="C34" s="76">
        <f>'2_Production_2'!D26</f>
        <v>37956.334012859239</v>
      </c>
      <c r="D34" s="76">
        <f>'2_Production_2'!E26</f>
        <v>42970.896127707216</v>
      </c>
      <c r="E34" s="76">
        <f>'2_Production_2'!F26</f>
        <v>47069.925399269516</v>
      </c>
      <c r="F34" s="76">
        <f>'2_Production_2'!G26</f>
        <v>49542.699234590589</v>
      </c>
      <c r="G34" s="76">
        <f>'2_Production_2'!H26</f>
        <v>53161.455136613476</v>
      </c>
      <c r="H34" s="437">
        <f>'2_Production_2'!I26*1.1</f>
        <v>61161.194089495715</v>
      </c>
      <c r="I34" s="437">
        <f>'2_Production_2'!J26*1.1</f>
        <v>65704.460598273159</v>
      </c>
      <c r="J34" s="437">
        <f>'2_Production_2'!K26*1.3</f>
        <v>76936.114771363369</v>
      </c>
      <c r="L34" s="33">
        <f t="shared" ref="L34:Q41" si="30">E34-D34</f>
        <v>4099.0292715623</v>
      </c>
      <c r="M34" s="33">
        <f t="shared" si="30"/>
        <v>2472.7738353210734</v>
      </c>
      <c r="N34" s="33">
        <f t="shared" si="30"/>
        <v>3618.7559020228873</v>
      </c>
      <c r="O34" s="33">
        <f t="shared" si="30"/>
        <v>7999.7389528822387</v>
      </c>
      <c r="P34" s="33">
        <f t="shared" si="30"/>
        <v>4543.266508777444</v>
      </c>
      <c r="Q34" s="33">
        <f t="shared" si="30"/>
        <v>11231.65417309021</v>
      </c>
      <c r="W34" s="109"/>
      <c r="X34" s="229"/>
      <c r="Y34" s="229"/>
      <c r="Z34" s="229"/>
      <c r="AA34" s="229"/>
      <c r="AB34" s="229"/>
      <c r="AC34" s="229"/>
      <c r="AD34" s="230"/>
      <c r="AE34" s="231"/>
      <c r="AF34" s="231"/>
    </row>
    <row r="35" spans="1:32" x14ac:dyDescent="0.25">
      <c r="A35" s="232" t="s">
        <v>814</v>
      </c>
      <c r="B35" s="233">
        <f>B34-B59</f>
        <v>22542.999999999985</v>
      </c>
      <c r="C35" s="233">
        <f t="shared" ref="C35:G35" si="31">C34-C59</f>
        <v>28736.000000000004</v>
      </c>
      <c r="D35" s="233">
        <f>D34-D59</f>
        <v>32767.971999999987</v>
      </c>
      <c r="E35" s="233">
        <f>E34-E59</f>
        <v>38923.92156000001</v>
      </c>
      <c r="F35" s="233">
        <f>F34-F59</f>
        <v>44524.430810400023</v>
      </c>
      <c r="G35" s="233">
        <f t="shared" si="31"/>
        <v>51375.483912360003</v>
      </c>
      <c r="H35" s="233">
        <f>H34-H59</f>
        <v>55564.06176577921</v>
      </c>
      <c r="I35" s="233">
        <f>I34-I59</f>
        <v>63254.948836590629</v>
      </c>
      <c r="J35" s="233">
        <f>J34-J59</f>
        <v>73256.89332081945</v>
      </c>
      <c r="K35" s="33">
        <f>D35-C35</f>
        <v>4031.9719999999834</v>
      </c>
      <c r="L35" s="33">
        <f>E35-D35</f>
        <v>6155.9495600000228</v>
      </c>
      <c r="M35" s="33">
        <f>F35-E35</f>
        <v>5600.5092504000131</v>
      </c>
      <c r="N35" s="33">
        <f>G35-F35</f>
        <v>6851.0531019599803</v>
      </c>
      <c r="O35" s="33">
        <f t="shared" si="30"/>
        <v>4188.5778534192068</v>
      </c>
      <c r="P35" s="33">
        <f t="shared" si="30"/>
        <v>7690.8870708114191</v>
      </c>
      <c r="Q35" s="33">
        <f t="shared" si="30"/>
        <v>10001.944484228821</v>
      </c>
      <c r="W35" s="232"/>
      <c r="X35" s="233"/>
      <c r="Y35" s="233"/>
      <c r="Z35" s="233"/>
      <c r="AA35" s="233"/>
      <c r="AB35" s="233"/>
      <c r="AC35" s="233"/>
      <c r="AD35" s="233"/>
      <c r="AE35" s="233"/>
      <c r="AF35" s="233"/>
    </row>
    <row r="36" spans="1:32" x14ac:dyDescent="0.25">
      <c r="A36" s="12" t="s">
        <v>237</v>
      </c>
      <c r="B36" s="76">
        <f>'2_Production_2'!C27</f>
        <v>19057.625774844215</v>
      </c>
      <c r="C36" s="76">
        <f>'2_Production_2'!D27</f>
        <v>21176.073501826831</v>
      </c>
      <c r="D36" s="76">
        <f>'2_Production_2'!E27</f>
        <v>23239.738288615616</v>
      </c>
      <c r="E36" s="76">
        <f>'2_Production_2'!F27</f>
        <v>24685.35856479796</v>
      </c>
      <c r="F36" s="76">
        <f>'2_Production_2'!G27</f>
        <v>23922.206712844894</v>
      </c>
      <c r="G36" s="76">
        <f>'2_Production_2'!H27</f>
        <v>24763.195879534207</v>
      </c>
      <c r="H36" s="76">
        <f>'2_Production_2'!I27</f>
        <v>27771.050133563058</v>
      </c>
      <c r="I36" s="76">
        <f>'2_Production_2'!J27</f>
        <v>28480.445370891852</v>
      </c>
      <c r="J36" s="76">
        <f>'2_Production_2'!K27</f>
        <v>26957.450705802603</v>
      </c>
      <c r="L36" s="32">
        <f t="shared" si="30"/>
        <v>1445.6202761823442</v>
      </c>
      <c r="M36" s="32">
        <f>F36-E36</f>
        <v>-763.15185195306549</v>
      </c>
      <c r="N36" s="32">
        <f t="shared" si="30"/>
        <v>840.9891666893127</v>
      </c>
      <c r="O36" s="32">
        <f t="shared" si="30"/>
        <v>3007.8542540288508</v>
      </c>
      <c r="P36" s="32">
        <f t="shared" si="30"/>
        <v>709.39523732879388</v>
      </c>
      <c r="Q36" s="32">
        <f t="shared" si="30"/>
        <v>-1522.9946650892489</v>
      </c>
      <c r="W36" s="12"/>
      <c r="X36" s="76"/>
      <c r="Y36" s="76"/>
      <c r="Z36" s="76"/>
      <c r="AA36" s="76"/>
      <c r="AB36" s="76"/>
      <c r="AC36" s="76"/>
      <c r="AD36" s="77"/>
      <c r="AE36" s="78"/>
      <c r="AF36" s="78"/>
    </row>
    <row r="37" spans="1:32" x14ac:dyDescent="0.25">
      <c r="A37" s="12" t="s">
        <v>238</v>
      </c>
      <c r="B37" s="76">
        <f>'2_Production_2'!C28</f>
        <v>33894.282922536164</v>
      </c>
      <c r="C37" s="76">
        <f>'2_Production_2'!D28</f>
        <v>37661.975050782894</v>
      </c>
      <c r="D37" s="76">
        <f>'2_Production_2'!E28</f>
        <v>37276.913083264342</v>
      </c>
      <c r="E37" s="76">
        <f>'2_Production_2'!F28</f>
        <v>42283.057711420617</v>
      </c>
      <c r="F37" s="76">
        <f>'2_Production_2'!G28</f>
        <v>47203.223400329261</v>
      </c>
      <c r="G37" s="76">
        <f>'2_Production_2'!H28</f>
        <v>48741.301645571744</v>
      </c>
      <c r="H37" s="76">
        <f>'2_Production_2'!I28</f>
        <v>52069.930188123959</v>
      </c>
      <c r="I37" s="76">
        <f>'2_Production_2'!J28</f>
        <v>55534.443611810726</v>
      </c>
      <c r="J37" s="76">
        <f>'2_Production_2'!K28</f>
        <v>55226.440174567935</v>
      </c>
      <c r="L37" s="32">
        <f t="shared" si="30"/>
        <v>5006.1446281562748</v>
      </c>
      <c r="M37" s="32">
        <f t="shared" si="30"/>
        <v>4920.1656889086444</v>
      </c>
      <c r="N37" s="32">
        <f t="shared" si="30"/>
        <v>1538.0782452424828</v>
      </c>
      <c r="O37" s="32">
        <f t="shared" si="30"/>
        <v>3328.6285425522146</v>
      </c>
      <c r="P37" s="32">
        <f t="shared" si="30"/>
        <v>3464.5134236867671</v>
      </c>
      <c r="Q37" s="32">
        <f t="shared" si="30"/>
        <v>-308.00343724279082</v>
      </c>
      <c r="W37" s="12"/>
      <c r="X37" s="76"/>
      <c r="Y37" s="76"/>
      <c r="Z37" s="76"/>
      <c r="AA37" s="76"/>
      <c r="AB37" s="76"/>
      <c r="AC37" s="76"/>
      <c r="AD37" s="77"/>
      <c r="AE37" s="78"/>
      <c r="AF37" s="78"/>
    </row>
    <row r="38" spans="1:32" x14ac:dyDescent="0.25">
      <c r="A38" s="12" t="s">
        <v>239</v>
      </c>
      <c r="B38" s="76">
        <f>'2_Production_2'!C29</f>
        <v>15006.718716439011</v>
      </c>
      <c r="C38" s="76">
        <f>'2_Production_2'!D29</f>
        <v>16674.867179941284</v>
      </c>
      <c r="D38" s="76">
        <f>'2_Production_2'!E29</f>
        <v>17400.371424896126</v>
      </c>
      <c r="E38" s="76">
        <f>'2_Production_2'!F29</f>
        <v>20406.362762085966</v>
      </c>
      <c r="F38" s="76">
        <f>'2_Production_2'!G29</f>
        <v>19035.321878368977</v>
      </c>
      <c r="G38" s="76">
        <f>'2_Production_2'!H29</f>
        <v>22601.41837081574</v>
      </c>
      <c r="H38" s="76">
        <f>'2_Production_2'!I29</f>
        <v>21569.294610640496</v>
      </c>
      <c r="I38" s="76">
        <f>'2_Production_2'!J29</f>
        <v>23903.532106266903</v>
      </c>
      <c r="J38" s="76">
        <f>'2_Production_2'!K29</f>
        <v>23971.414896315327</v>
      </c>
      <c r="L38" s="32">
        <f t="shared" si="30"/>
        <v>3005.9913371898401</v>
      </c>
      <c r="M38" s="32">
        <f t="shared" si="30"/>
        <v>-1371.0408837169889</v>
      </c>
      <c r="N38" s="32">
        <f t="shared" si="30"/>
        <v>3566.0964924467626</v>
      </c>
      <c r="O38" s="32">
        <f t="shared" si="30"/>
        <v>-1032.1237601752437</v>
      </c>
      <c r="P38" s="32">
        <f t="shared" si="30"/>
        <v>2334.2374956264066</v>
      </c>
      <c r="Q38" s="32">
        <f t="shared" si="30"/>
        <v>67.882790048424795</v>
      </c>
      <c r="W38" s="12"/>
      <c r="X38" s="76"/>
      <c r="Y38" s="76"/>
      <c r="Z38" s="76"/>
      <c r="AA38" s="76"/>
      <c r="AB38" s="76"/>
      <c r="AC38" s="76"/>
      <c r="AD38" s="77"/>
      <c r="AE38" s="78"/>
      <c r="AF38" s="78"/>
    </row>
    <row r="39" spans="1:32" x14ac:dyDescent="0.25">
      <c r="A39" s="12" t="s">
        <v>240</v>
      </c>
      <c r="B39" s="76">
        <f>'2_Production_2'!C30</f>
        <v>20128.001386708311</v>
      </c>
      <c r="C39" s="76">
        <f>'2_Production_2'!D30</f>
        <v>22365.432181611395</v>
      </c>
      <c r="D39" s="76">
        <f>'2_Production_2'!E30</f>
        <v>22757.07143090494</v>
      </c>
      <c r="E39" s="76">
        <f>'2_Production_2'!F30</f>
        <v>24760.11234654293</v>
      </c>
      <c r="F39" s="76">
        <f>'2_Production_2'!G30</f>
        <v>27371.146840786929</v>
      </c>
      <c r="G39" s="76">
        <f>'2_Production_2'!H30</f>
        <v>27450.700303684636</v>
      </c>
      <c r="H39" s="76">
        <f>'2_Production_2'!I30</f>
        <v>29116.061265782242</v>
      </c>
      <c r="I39" s="76">
        <f>'2_Production_2'!J30</f>
        <v>30250.570536824962</v>
      </c>
      <c r="J39" s="76">
        <f>'2_Production_2'!K30</f>
        <v>32176.379160420565</v>
      </c>
      <c r="L39" s="32">
        <f t="shared" si="30"/>
        <v>2003.0409156379901</v>
      </c>
      <c r="M39" s="32">
        <f t="shared" si="30"/>
        <v>2611.0344942439988</v>
      </c>
      <c r="N39" s="32">
        <f t="shared" si="30"/>
        <v>79.553462897707504</v>
      </c>
      <c r="O39" s="32">
        <f t="shared" si="30"/>
        <v>1665.3609620976058</v>
      </c>
      <c r="P39" s="32">
        <f t="shared" si="30"/>
        <v>1134.5092710427198</v>
      </c>
      <c r="Q39" s="32">
        <f t="shared" si="30"/>
        <v>1925.8086235956034</v>
      </c>
      <c r="W39" s="12"/>
      <c r="X39" s="76"/>
      <c r="Y39" s="76"/>
      <c r="Z39" s="76"/>
      <c r="AA39" s="76"/>
      <c r="AB39" s="76"/>
      <c r="AC39" s="76"/>
      <c r="AD39" s="77"/>
      <c r="AE39" s="78"/>
      <c r="AF39" s="78"/>
    </row>
    <row r="40" spans="1:32" x14ac:dyDescent="0.25">
      <c r="A40" s="20" t="s">
        <v>242</v>
      </c>
      <c r="B40" s="76">
        <f>'2_Production_2'!C31</f>
        <v>3915.7688475258301</v>
      </c>
      <c r="C40" s="76">
        <f>'2_Production_2'!D31</f>
        <v>4351.046132977629</v>
      </c>
      <c r="D40" s="76">
        <f>'2_Production_2'!E31</f>
        <v>5361.6352003422426</v>
      </c>
      <c r="E40" s="76">
        <f>'2_Production_2'!F31</f>
        <v>6581.1907666183388</v>
      </c>
      <c r="F40" s="76">
        <f>'2_Production_2'!G31</f>
        <v>6100.5693867991913</v>
      </c>
      <c r="G40" s="76">
        <f>'2_Production_2'!H31</f>
        <v>7428.6423356594159</v>
      </c>
      <c r="H40" s="76">
        <f>'2_Production_2'!I31</f>
        <v>8360.086261955259</v>
      </c>
      <c r="I40" s="76">
        <f>'2_Production_2'!J31</f>
        <v>7568.3758010289157</v>
      </c>
      <c r="J40" s="76">
        <f>'2_Production_2'!K31</f>
        <v>8018.9040989411133</v>
      </c>
      <c r="L40" s="32">
        <f t="shared" si="30"/>
        <v>1219.5555662760962</v>
      </c>
      <c r="M40" s="32">
        <f t="shared" si="30"/>
        <v>-480.62137981914748</v>
      </c>
      <c r="N40" s="32">
        <f t="shared" si="30"/>
        <v>1328.0729488602246</v>
      </c>
      <c r="O40" s="32">
        <f t="shared" si="30"/>
        <v>931.44392629584308</v>
      </c>
      <c r="P40" s="32">
        <f t="shared" si="30"/>
        <v>-791.71046092634333</v>
      </c>
      <c r="Q40" s="32">
        <f t="shared" si="30"/>
        <v>450.52829791219756</v>
      </c>
      <c r="W40" s="20"/>
      <c r="X40" s="79"/>
      <c r="Y40" s="79"/>
      <c r="Z40" s="79"/>
      <c r="AA40" s="79"/>
      <c r="AB40" s="79"/>
      <c r="AC40" s="79"/>
      <c r="AD40" s="80"/>
      <c r="AE40" s="81"/>
      <c r="AF40" s="81"/>
    </row>
    <row r="41" spans="1:32" ht="18.75" x14ac:dyDescent="0.3">
      <c r="A41" s="101" t="s">
        <v>714</v>
      </c>
      <c r="B41" s="102">
        <f t="shared" ref="B41:J41" si="32">B28+B31+B32+B33+B34+B36+B37+B38+B39+B40</f>
        <v>288024.37099999987</v>
      </c>
      <c r="C41" s="102">
        <f t="shared" si="32"/>
        <v>316574.99099999986</v>
      </c>
      <c r="D41" s="102">
        <f t="shared" si="32"/>
        <v>344097.29199999984</v>
      </c>
      <c r="E41" s="102">
        <f t="shared" si="32"/>
        <v>375262.58321234817</v>
      </c>
      <c r="F41" s="102">
        <f t="shared" si="32"/>
        <v>419496.65409844852</v>
      </c>
      <c r="G41" s="102">
        <f>G28+G31+G32+G33+G34+G36+G37+G38+G39+G40</f>
        <v>474384.55427579471</v>
      </c>
      <c r="H41" s="102">
        <f>H28+H31+H32+H33+H34+H36+H37+H38+H39+H40</f>
        <v>504865.62889322737</v>
      </c>
      <c r="I41" s="102">
        <f t="shared" si="32"/>
        <v>531419.14107846108</v>
      </c>
      <c r="J41" s="103">
        <f t="shared" si="32"/>
        <v>555639.21637283301</v>
      </c>
      <c r="L41" s="33">
        <f t="shared" si="30"/>
        <v>31165.291212348326</v>
      </c>
      <c r="M41" s="33">
        <f t="shared" si="30"/>
        <v>44234.070886100351</v>
      </c>
      <c r="N41" s="33">
        <f t="shared" si="30"/>
        <v>54887.900177346193</v>
      </c>
      <c r="O41" s="33">
        <f t="shared" si="30"/>
        <v>30481.074617432663</v>
      </c>
      <c r="P41" s="33">
        <f t="shared" si="30"/>
        <v>26553.512185233703</v>
      </c>
      <c r="Q41" s="33">
        <f t="shared" si="30"/>
        <v>24220.075294371927</v>
      </c>
      <c r="W41" s="101"/>
      <c r="X41" s="102"/>
      <c r="Y41" s="102"/>
      <c r="Z41" s="102"/>
      <c r="AA41" s="102"/>
      <c r="AB41" s="102"/>
      <c r="AC41" s="102"/>
      <c r="AD41" s="102"/>
      <c r="AE41" s="102"/>
      <c r="AF41" s="103"/>
    </row>
    <row r="42" spans="1:32" x14ac:dyDescent="0.25">
      <c r="A42" t="s">
        <v>815</v>
      </c>
      <c r="E42">
        <v>11008.757292327566</v>
      </c>
      <c r="F42">
        <v>11998.307877021265</v>
      </c>
      <c r="G42">
        <v>13128.66854201682</v>
      </c>
      <c r="H42">
        <v>13787.88252862893</v>
      </c>
    </row>
    <row r="43" spans="1:32" x14ac:dyDescent="0.25">
      <c r="C43" s="223">
        <v>242142.1</v>
      </c>
      <c r="D43" s="223">
        <v>274368.5</v>
      </c>
      <c r="L43" s="263">
        <f>D43-C43</f>
        <v>32226.399999999994</v>
      </c>
      <c r="W43" s="41"/>
      <c r="X43" s="67"/>
      <c r="Y43" s="67"/>
      <c r="Z43" s="67"/>
      <c r="AA43" s="67"/>
      <c r="AB43" s="67"/>
      <c r="AC43" s="237"/>
      <c r="AD43" s="237"/>
      <c r="AE43" s="237"/>
      <c r="AF43" s="237"/>
    </row>
    <row r="44" spans="1:32" x14ac:dyDescent="0.25">
      <c r="A44" s="235" t="s">
        <v>815</v>
      </c>
      <c r="B44" s="236">
        <f t="shared" ref="B44:C44" si="33">B53*B35/100</f>
        <v>9830.4999999999945</v>
      </c>
      <c r="C44" s="236">
        <f t="shared" si="33"/>
        <v>13280.5</v>
      </c>
      <c r="D44" s="236">
        <f>D53*D35/100</f>
        <v>14210.134999999995</v>
      </c>
      <c r="E44" s="236">
        <f>E53*E35/100</f>
        <v>15631.148500000003</v>
      </c>
      <c r="F44" s="236">
        <f>F53*F35/100</f>
        <v>16881.640380000008</v>
      </c>
      <c r="G44" s="236">
        <f t="shared" ref="G44" si="34">G53*G35/100</f>
        <v>18063.355206600005</v>
      </c>
      <c r="H44" s="236">
        <f>H53*H35/100</f>
        <v>18785.889414864007</v>
      </c>
      <c r="I44" s="236">
        <f>I53*I35/100</f>
        <v>19725.183885607203</v>
      </c>
      <c r="J44" s="236">
        <f>J53*J35/100</f>
        <v>21697.702274167925</v>
      </c>
      <c r="L44" s="32">
        <f>E44-D44</f>
        <v>1421.0135000000082</v>
      </c>
      <c r="M44" s="32">
        <f>F44-E44</f>
        <v>1250.491880000005</v>
      </c>
      <c r="N44" s="32">
        <f>G44-F44</f>
        <v>1181.7148265999967</v>
      </c>
      <c r="O44" s="32">
        <f>H44-G44</f>
        <v>722.53420826400179</v>
      </c>
      <c r="P44" s="32">
        <f>I44-H44</f>
        <v>939.29447074319614</v>
      </c>
      <c r="Q44" s="32">
        <f t="shared" ref="Q44" si="35">J44-I44</f>
        <v>1972.5183885607221</v>
      </c>
      <c r="W44" s="227"/>
      <c r="X44" s="226"/>
      <c r="Y44" s="226"/>
      <c r="Z44" s="226"/>
      <c r="AA44" s="226"/>
      <c r="AB44" s="226"/>
      <c r="AC44" s="226"/>
      <c r="AD44" s="226"/>
      <c r="AE44" s="226"/>
      <c r="AF44" s="226"/>
    </row>
    <row r="45" spans="1:32" x14ac:dyDescent="0.25">
      <c r="A45" s="489" t="s">
        <v>805</v>
      </c>
      <c r="B45" s="228">
        <f>B47+B49+B50+B51</f>
        <v>22543</v>
      </c>
      <c r="C45" s="228">
        <f t="shared" ref="C45:J45" si="36">C47+C49+C50+C51</f>
        <v>28736</v>
      </c>
      <c r="D45" s="228">
        <f>D47+D49+D50+D51</f>
        <v>32767.971999999998</v>
      </c>
      <c r="E45" s="228">
        <f t="shared" si="36"/>
        <v>38923.921560000003</v>
      </c>
      <c r="F45" s="228">
        <f t="shared" si="36"/>
        <v>44524.430810400008</v>
      </c>
      <c r="G45" s="228">
        <f t="shared" si="36"/>
        <v>51375.483912360003</v>
      </c>
      <c r="H45" s="228">
        <f t="shared" si="36"/>
        <v>55564.061765779203</v>
      </c>
      <c r="I45" s="228">
        <f t="shared" si="36"/>
        <v>63254.948836590629</v>
      </c>
      <c r="J45" s="228">
        <f t="shared" si="36"/>
        <v>73256.89332081945</v>
      </c>
      <c r="W45" s="12"/>
      <c r="X45" s="76"/>
      <c r="Y45" s="76"/>
      <c r="Z45" s="76"/>
      <c r="AA45" s="76"/>
      <c r="AB45" s="76"/>
      <c r="AC45" s="76"/>
      <c r="AD45" s="76"/>
      <c r="AE45" s="76"/>
      <c r="AF45" s="76"/>
    </row>
    <row r="46" spans="1:32" x14ac:dyDescent="0.25">
      <c r="A46" s="489"/>
      <c r="B46" s="70">
        <v>22543</v>
      </c>
      <c r="C46" s="70">
        <v>28736</v>
      </c>
      <c r="D46" s="70">
        <v>32767.971999999998</v>
      </c>
      <c r="E46" s="70">
        <v>38923.921560000003</v>
      </c>
      <c r="F46" s="70">
        <v>44524.430810400008</v>
      </c>
      <c r="G46" s="70">
        <v>51375.483912360003</v>
      </c>
      <c r="H46" s="70">
        <v>55564.061765779203</v>
      </c>
      <c r="I46" s="70">
        <v>63254.948836590629</v>
      </c>
      <c r="J46" s="70">
        <v>73256.89332081945</v>
      </c>
      <c r="W46" s="12"/>
      <c r="X46" s="76"/>
      <c r="Y46" s="76"/>
      <c r="Z46" s="76"/>
      <c r="AA46" s="76"/>
      <c r="AB46" s="76"/>
      <c r="AC46" s="76"/>
      <c r="AD46" s="76"/>
      <c r="AE46" s="76"/>
      <c r="AF46" s="76"/>
    </row>
    <row r="47" spans="1:32" x14ac:dyDescent="0.25">
      <c r="A47" t="s">
        <v>806</v>
      </c>
      <c r="B47" s="70">
        <v>9830.5</v>
      </c>
      <c r="C47" s="70">
        <v>13280.5</v>
      </c>
      <c r="D47" s="70">
        <v>14210.135</v>
      </c>
      <c r="E47" s="70">
        <v>15631.148500000001</v>
      </c>
      <c r="F47" s="70">
        <v>16881.640380000001</v>
      </c>
      <c r="G47" s="70">
        <v>18063.355206600001</v>
      </c>
      <c r="H47" s="70">
        <v>18785.889414864003</v>
      </c>
      <c r="I47" s="70">
        <v>19725.183885607203</v>
      </c>
      <c r="J47" s="70">
        <v>21697.702274167925</v>
      </c>
      <c r="W47" s="12"/>
      <c r="X47" s="76"/>
      <c r="Y47" s="76"/>
      <c r="Z47" s="76"/>
      <c r="AA47" s="76"/>
      <c r="AB47" s="76"/>
      <c r="AC47" s="76"/>
      <c r="AD47" s="76"/>
      <c r="AE47" s="76"/>
      <c r="AF47" s="76"/>
    </row>
    <row r="48" spans="1:32" x14ac:dyDescent="0.25">
      <c r="A48" t="s">
        <v>807</v>
      </c>
    </row>
    <row r="49" spans="1:11" x14ac:dyDescent="0.25">
      <c r="A49" t="s">
        <v>808</v>
      </c>
      <c r="B49">
        <v>8295</v>
      </c>
      <c r="C49">
        <v>11306.3</v>
      </c>
      <c r="D49">
        <v>13906.749</v>
      </c>
      <c r="E49">
        <v>18078.773700000002</v>
      </c>
      <c r="F49">
        <v>21694.528440000002</v>
      </c>
      <c r="G49">
        <v>26467.324696800002</v>
      </c>
      <c r="H49">
        <v>29114.057166480005</v>
      </c>
      <c r="I49">
        <v>34936.868599776004</v>
      </c>
      <c r="J49">
        <v>41924.242319731202</v>
      </c>
    </row>
    <row r="50" spans="1:11" x14ac:dyDescent="0.25">
      <c r="A50" t="s">
        <v>809</v>
      </c>
      <c r="B50">
        <v>98.8</v>
      </c>
      <c r="C50">
        <v>49.8</v>
      </c>
      <c r="D50">
        <v>59.759999999999991</v>
      </c>
      <c r="E50">
        <v>71.711999999999989</v>
      </c>
      <c r="F50">
        <v>86.054399999999987</v>
      </c>
      <c r="G50">
        <v>103.26527999999998</v>
      </c>
      <c r="H50">
        <v>113.59180799999999</v>
      </c>
      <c r="I50">
        <v>136.31016959999997</v>
      </c>
      <c r="J50">
        <v>163.57220351999996</v>
      </c>
    </row>
    <row r="51" spans="1:11" x14ac:dyDescent="0.25">
      <c r="A51" t="s">
        <v>810</v>
      </c>
      <c r="B51">
        <v>4318.7</v>
      </c>
      <c r="C51">
        <v>4099.3999999999996</v>
      </c>
      <c r="D51">
        <v>4591.3280000000004</v>
      </c>
      <c r="E51">
        <v>5142.2873600000012</v>
      </c>
      <c r="F51">
        <v>5862.2075904000012</v>
      </c>
      <c r="G51">
        <v>6741.5387289600012</v>
      </c>
      <c r="H51">
        <v>7550.5233764352024</v>
      </c>
      <c r="I51">
        <v>8456.5861816074266</v>
      </c>
      <c r="J51">
        <v>9471.3765234003185</v>
      </c>
    </row>
    <row r="52" spans="1:11" x14ac:dyDescent="0.25">
      <c r="A52" t="s">
        <v>805</v>
      </c>
      <c r="D52">
        <f>D46/D34*100</f>
        <v>76.256198852859228</v>
      </c>
      <c r="E52">
        <f t="shared" ref="E52:J52" si="37">E46/E34*100</f>
        <v>82.693824623321092</v>
      </c>
      <c r="F52">
        <f t="shared" si="37"/>
        <v>89.870821530275364</v>
      </c>
      <c r="G52">
        <f t="shared" si="37"/>
        <v>96.640477165901657</v>
      </c>
      <c r="H52">
        <f t="shared" si="37"/>
        <v>90.848556168595465</v>
      </c>
      <c r="I52">
        <f t="shared" si="37"/>
        <v>96.271924707427075</v>
      </c>
      <c r="J52">
        <f t="shared" si="37"/>
        <v>95.217822655228005</v>
      </c>
      <c r="K52">
        <f>100-J52</f>
        <v>4.7821773447719949</v>
      </c>
    </row>
    <row r="53" spans="1:11" x14ac:dyDescent="0.25">
      <c r="A53" t="s">
        <v>806</v>
      </c>
      <c r="B53" s="35">
        <f t="shared" ref="B53:D57" si="38">B47/B$46*100</f>
        <v>43.607771813866833</v>
      </c>
      <c r="C53" s="35">
        <f t="shared" si="38"/>
        <v>46.215548440979951</v>
      </c>
      <c r="D53" s="35">
        <f>D47/D$46*100</f>
        <v>43.365927558775994</v>
      </c>
      <c r="E53" s="35">
        <f>E47/E$46*100</f>
        <v>40.158205734499482</v>
      </c>
      <c r="F53" s="35">
        <f t="shared" ref="F53:J53" si="39">F47/F$46*100</f>
        <v>37.915454667770376</v>
      </c>
      <c r="G53" s="35">
        <f t="shared" si="39"/>
        <v>35.159484312427644</v>
      </c>
      <c r="H53" s="35">
        <f t="shared" si="39"/>
        <v>33.809424325479853</v>
      </c>
      <c r="I53" s="35">
        <f t="shared" si="39"/>
        <v>31.183621595464668</v>
      </c>
      <c r="J53" s="35">
        <f t="shared" si="39"/>
        <v>29.618649236387267</v>
      </c>
      <c r="K53">
        <v>4.7821773447719904</v>
      </c>
    </row>
    <row r="54" spans="1:11" x14ac:dyDescent="0.25">
      <c r="A54" t="s">
        <v>807</v>
      </c>
      <c r="B54" s="35">
        <f t="shared" si="38"/>
        <v>0</v>
      </c>
      <c r="C54" s="35">
        <f t="shared" si="38"/>
        <v>0</v>
      </c>
      <c r="D54" s="35">
        <f>D48/D$46*100</f>
        <v>0</v>
      </c>
      <c r="E54" s="35">
        <f t="shared" ref="E54:J54" si="40">E48/E$46*100</f>
        <v>0</v>
      </c>
      <c r="F54" s="35">
        <f t="shared" si="40"/>
        <v>0</v>
      </c>
      <c r="G54" s="35">
        <f t="shared" si="40"/>
        <v>0</v>
      </c>
      <c r="H54" s="35">
        <f t="shared" si="40"/>
        <v>0</v>
      </c>
      <c r="I54" s="35">
        <f t="shared" si="40"/>
        <v>0</v>
      </c>
      <c r="J54" s="35">
        <f t="shared" si="40"/>
        <v>0</v>
      </c>
    </row>
    <row r="55" spans="1:11" x14ac:dyDescent="0.25">
      <c r="A55" t="s">
        <v>808</v>
      </c>
      <c r="B55" s="35">
        <f t="shared" si="38"/>
        <v>36.796344763341168</v>
      </c>
      <c r="C55" s="35">
        <f t="shared" si="38"/>
        <v>39.345420378619153</v>
      </c>
      <c r="D55" s="35">
        <f>D49/D$46*100</f>
        <v>42.440066171931548</v>
      </c>
      <c r="E55" s="35">
        <f t="shared" ref="E55:J55" si="41">E49/E$46*100</f>
        <v>46.446434417282802</v>
      </c>
      <c r="F55" s="35">
        <f t="shared" si="41"/>
        <v>48.724998939082667</v>
      </c>
      <c r="G55" s="35">
        <f t="shared" si="41"/>
        <v>51.517421698547636</v>
      </c>
      <c r="H55" s="35">
        <f t="shared" si="41"/>
        <v>52.39728025860552</v>
      </c>
      <c r="I55" s="35">
        <f t="shared" si="41"/>
        <v>55.231834413509681</v>
      </c>
      <c r="J55" s="35">
        <f t="shared" si="41"/>
        <v>57.229074861432082</v>
      </c>
    </row>
    <row r="56" spans="1:11" x14ac:dyDescent="0.25">
      <c r="A56" t="s">
        <v>809</v>
      </c>
      <c r="B56" s="35">
        <f t="shared" si="38"/>
        <v>0.43827352171405759</v>
      </c>
      <c r="C56" s="35">
        <f t="shared" si="38"/>
        <v>0.17330178173719377</v>
      </c>
      <c r="D56" s="35">
        <f t="shared" si="38"/>
        <v>0.18237320271147692</v>
      </c>
      <c r="E56" s="35">
        <f t="shared" ref="E56:J56" si="42">E50/E$46*100</f>
        <v>0.18423631824829931</v>
      </c>
      <c r="F56" s="35">
        <f t="shared" si="42"/>
        <v>0.19327456507293386</v>
      </c>
      <c r="G56" s="35">
        <f t="shared" si="42"/>
        <v>0.20100108482901555</v>
      </c>
      <c r="H56" s="35">
        <f t="shared" si="42"/>
        <v>0.20443395315271734</v>
      </c>
      <c r="I56" s="35">
        <f t="shared" si="42"/>
        <v>0.21549328883679314</v>
      </c>
      <c r="J56" s="35">
        <f t="shared" si="42"/>
        <v>0.22328574978419552</v>
      </c>
    </row>
    <row r="57" spans="1:11" x14ac:dyDescent="0.25">
      <c r="A57" t="s">
        <v>810</v>
      </c>
      <c r="B57" s="35">
        <f t="shared" si="38"/>
        <v>19.15760990107794</v>
      </c>
      <c r="C57" s="35">
        <f t="shared" si="38"/>
        <v>14.265729398663696</v>
      </c>
      <c r="D57" s="35">
        <f t="shared" si="38"/>
        <v>14.011633066580991</v>
      </c>
      <c r="E57" s="35">
        <f t="shared" ref="E57:J57" si="43">E51/E$46*100</f>
        <v>13.21112352996942</v>
      </c>
      <c r="F57" s="35">
        <f t="shared" si="43"/>
        <v>13.166271828074011</v>
      </c>
      <c r="G57" s="35">
        <f t="shared" si="43"/>
        <v>13.122092904195712</v>
      </c>
      <c r="H57" s="35">
        <f t="shared" si="43"/>
        <v>13.588861462761923</v>
      </c>
      <c r="I57" s="35">
        <f t="shared" si="43"/>
        <v>13.369050702188865</v>
      </c>
      <c r="J57" s="35">
        <f t="shared" si="43"/>
        <v>12.92899015239645</v>
      </c>
    </row>
    <row r="58" spans="1:11" x14ac:dyDescent="0.25">
      <c r="E58" s="223">
        <v>45.5</v>
      </c>
      <c r="F58" s="223">
        <v>45.7</v>
      </c>
      <c r="G58" s="223">
        <v>43.5</v>
      </c>
      <c r="H58" s="223">
        <v>43.2</v>
      </c>
      <c r="I58" s="133">
        <v>43.5</v>
      </c>
      <c r="J58" s="133">
        <v>42.7</v>
      </c>
    </row>
    <row r="59" spans="1:11" x14ac:dyDescent="0.25">
      <c r="A59" s="232" t="s">
        <v>814</v>
      </c>
      <c r="B59" s="234">
        <f>34.0060547166588*B34/100</f>
        <v>11616.194306709389</v>
      </c>
      <c r="C59" s="234">
        <f>24.2919508763293*C34/100</f>
        <v>9220.3340128592354</v>
      </c>
      <c r="D59" s="234">
        <f>23.7438011471408*D34/100</f>
        <v>10202.924127707227</v>
      </c>
      <c r="E59" s="234">
        <f>17.3061753766789*E34/100</f>
        <v>8146.0038392695087</v>
      </c>
      <c r="F59" s="234">
        <f>10.1291784697246*F34/100</f>
        <v>5018.2684241905636</v>
      </c>
      <c r="G59" s="234">
        <f>3.35952283409834*G34/100</f>
        <v>1785.9712242534745</v>
      </c>
      <c r="H59" s="234">
        <f>9.15144383140453*H34/100</f>
        <v>5597.1323237165079</v>
      </c>
      <c r="I59" s="234">
        <f>3.72807529257292*I34/100</f>
        <v>2449.5117616825314</v>
      </c>
      <c r="J59" s="234">
        <f>4.78217734477199*J34/100</f>
        <v>3679.221450543916</v>
      </c>
    </row>
    <row r="60" spans="1:11" x14ac:dyDescent="0.25">
      <c r="B60">
        <f>B45/B34*100</f>
        <v>65.993945283341233</v>
      </c>
      <c r="C60">
        <f t="shared" ref="C60:J60" si="44">C45/C34*100</f>
        <v>75.708049123670691</v>
      </c>
      <c r="D60">
        <f t="shared" si="44"/>
        <v>76.256198852859228</v>
      </c>
      <c r="E60">
        <f>E45/E34*100</f>
        <v>82.693824623321092</v>
      </c>
      <c r="F60">
        <f t="shared" si="44"/>
        <v>89.870821530275364</v>
      </c>
      <c r="G60">
        <f t="shared" si="44"/>
        <v>96.640477165901657</v>
      </c>
      <c r="H60">
        <f t="shared" si="44"/>
        <v>90.848556168595465</v>
      </c>
      <c r="I60">
        <f t="shared" si="44"/>
        <v>96.271924707427075</v>
      </c>
      <c r="J60">
        <f t="shared" si="44"/>
        <v>95.217822655228005</v>
      </c>
    </row>
    <row r="61" spans="1:11" x14ac:dyDescent="0.25">
      <c r="C61">
        <f>C35/B35*100</f>
        <v>127.47194250987013</v>
      </c>
      <c r="D61">
        <f t="shared" ref="D61:J61" si="45">D35/C35*100</f>
        <v>114.03108296213802</v>
      </c>
      <c r="E61">
        <f>E35/D35*100</f>
        <v>118.78648321598915</v>
      </c>
      <c r="F61">
        <f t="shared" si="45"/>
        <v>114.38834790006194</v>
      </c>
      <c r="G61">
        <f t="shared" si="45"/>
        <v>115.38717728056776</v>
      </c>
      <c r="H61">
        <f t="shared" si="45"/>
        <v>108.15287279933827</v>
      </c>
      <c r="I61">
        <f t="shared" si="45"/>
        <v>113.84147743415707</v>
      </c>
      <c r="J61">
        <f t="shared" si="45"/>
        <v>115.81211378427845</v>
      </c>
    </row>
    <row r="62" spans="1:11" x14ac:dyDescent="0.25">
      <c r="A62" s="232" t="s">
        <v>814</v>
      </c>
      <c r="C62" s="261">
        <f>C35-B35</f>
        <v>6193.0000000000182</v>
      </c>
      <c r="D62" s="261">
        <f t="shared" ref="D62" si="46">D35-C35</f>
        <v>4031.9719999999834</v>
      </c>
      <c r="E62" s="261">
        <f t="shared" ref="E62:J62" si="47">E35-D35</f>
        <v>6155.9495600000228</v>
      </c>
      <c r="F62" s="261">
        <f t="shared" si="47"/>
        <v>5600.5092504000131</v>
      </c>
      <c r="G62" s="261">
        <f t="shared" si="47"/>
        <v>6851.0531019599803</v>
      </c>
      <c r="H62" s="261">
        <f t="shared" si="47"/>
        <v>4188.5778534192068</v>
      </c>
      <c r="I62" s="261">
        <f t="shared" si="47"/>
        <v>7690.8870708114191</v>
      </c>
      <c r="J62" s="261">
        <f t="shared" si="47"/>
        <v>10001.944484228821</v>
      </c>
    </row>
    <row r="63" spans="1:11" x14ac:dyDescent="0.25">
      <c r="C63" s="260">
        <f>C34-B34</f>
        <v>3797.1397061498647</v>
      </c>
      <c r="D63" s="260">
        <f t="shared" ref="D63:I63" si="48">D34-C34</f>
        <v>5014.5621148479768</v>
      </c>
      <c r="E63" s="260">
        <f t="shared" si="48"/>
        <v>4099.0292715623</v>
      </c>
      <c r="F63" s="260">
        <f>F34-E34</f>
        <v>2472.7738353210734</v>
      </c>
      <c r="G63" s="260">
        <f>G34-F34</f>
        <v>3618.7559020228873</v>
      </c>
      <c r="H63" s="260">
        <f>H34-G34</f>
        <v>7999.7389528822387</v>
      </c>
      <c r="I63" s="260">
        <f t="shared" si="48"/>
        <v>4543.266508777444</v>
      </c>
      <c r="J63" s="260">
        <f>J34-I34</f>
        <v>11231.65417309021</v>
      </c>
    </row>
    <row r="65" spans="1:10" x14ac:dyDescent="0.25">
      <c r="B65" s="67">
        <f>B29-B66</f>
        <v>28739.510466008927</v>
      </c>
      <c r="C65" s="67">
        <f>C29-C66</f>
        <v>25009.627043604778</v>
      </c>
      <c r="D65" s="67">
        <f>D29-D66</f>
        <v>20232.933924872807</v>
      </c>
      <c r="E65" s="67">
        <f t="shared" ref="E65:J65" si="49">E29-E66</f>
        <v>16389.184140313111</v>
      </c>
      <c r="F65" s="67">
        <f t="shared" si="49"/>
        <v>12538.822485973156</v>
      </c>
      <c r="G65" s="67">
        <f>G29-G66</f>
        <v>12669.5561198754</v>
      </c>
      <c r="H65" s="67">
        <f t="shared" si="49"/>
        <v>8763.4158666089061</v>
      </c>
      <c r="I65" s="67">
        <f t="shared" si="49"/>
        <v>5423.690881521441</v>
      </c>
      <c r="J65" s="67">
        <f t="shared" si="49"/>
        <v>1123.9290963260573</v>
      </c>
    </row>
    <row r="66" spans="1:10" x14ac:dyDescent="0.25">
      <c r="A66" s="227" t="s">
        <v>812</v>
      </c>
      <c r="B66">
        <f>65.18892*B29/100</f>
        <v>53819.003851871836</v>
      </c>
      <c r="C66">
        <f>72.73731*C29/100</f>
        <v>66726.100588572255</v>
      </c>
      <c r="D66">
        <f>79.75395*D29/100</f>
        <v>79702.282697000599</v>
      </c>
      <c r="E66">
        <f>84.37423*E29/100</f>
        <v>88496.425594843109</v>
      </c>
      <c r="F66">
        <f>90.47242*F29/100</f>
        <v>119066.71098604333</v>
      </c>
      <c r="G66">
        <f>92.31231*G29/100</f>
        <v>152133.60477599071</v>
      </c>
      <c r="H66">
        <f>94.77959*H29/100</f>
        <v>159104.92908347919</v>
      </c>
      <c r="I66">
        <f>96.84452*I29/100</f>
        <v>166457.95252998604</v>
      </c>
      <c r="J66">
        <f>99.34944*J29/100</f>
        <v>171639.39731877093</v>
      </c>
    </row>
    <row r="67" spans="1:10" x14ac:dyDescent="0.25">
      <c r="C67" s="4">
        <f>C30-B30</f>
        <v>12907.100000000013</v>
      </c>
      <c r="D67" s="4">
        <f t="shared" ref="D67:J67" si="50">D30-C30</f>
        <v>16764.932625000001</v>
      </c>
      <c r="E67" s="4">
        <f t="shared" si="50"/>
        <v>21394.577110156257</v>
      </c>
      <c r="F67" s="4">
        <f t="shared" si="50"/>
        <v>26719.923736860219</v>
      </c>
      <c r="G67" s="4">
        <f>G30-F30</f>
        <v>33197.627423849597</v>
      </c>
      <c r="H67" s="4">
        <f t="shared" si="50"/>
        <v>3065.1840542220161</v>
      </c>
      <c r="I67" s="4">
        <f t="shared" si="50"/>
        <v>4013.2984614193847</v>
      </c>
      <c r="J67" s="4">
        <f t="shared" si="50"/>
        <v>881.68300358951092</v>
      </c>
    </row>
    <row r="68" spans="1:10" x14ac:dyDescent="0.25">
      <c r="A68" s="266" t="s">
        <v>716</v>
      </c>
      <c r="B68" s="41">
        <f t="shared" ref="B68:D68" si="51">B69+B70+B71+B72</f>
        <v>53818.999999999993</v>
      </c>
      <c r="C68" s="41">
        <f t="shared" si="51"/>
        <v>66726.099999999991</v>
      </c>
      <c r="D68" s="41">
        <f t="shared" si="51"/>
        <v>83491.032625000007</v>
      </c>
      <c r="E68" s="41">
        <f>E69+E70+E71+E72</f>
        <v>104885.60973515622</v>
      </c>
      <c r="F68" s="41">
        <f t="shared" ref="F68" si="52">F69+F70+F71+F72</f>
        <v>131605.53347201648</v>
      </c>
      <c r="G68" s="41">
        <f t="shared" ref="G68" si="53">G69+G70+G71+G72</f>
        <v>164803.16089586611</v>
      </c>
      <c r="H68" s="41">
        <f t="shared" ref="H68:I68" si="54">H69+H70+H71+H72</f>
        <v>167868.3449500881</v>
      </c>
      <c r="I68" s="41">
        <f t="shared" si="54"/>
        <v>171881.64341150748</v>
      </c>
      <c r="J68" s="41">
        <f t="shared" ref="J68" si="55">J69+J70+J71+J72</f>
        <v>172763.32641509699</v>
      </c>
    </row>
    <row r="69" spans="1:10" x14ac:dyDescent="0.25">
      <c r="A69" s="266" t="s">
        <v>500</v>
      </c>
      <c r="B69">
        <v>13363.1</v>
      </c>
      <c r="C69">
        <v>15046.38836720055</v>
      </c>
      <c r="D69">
        <v>26754.531741408598</v>
      </c>
      <c r="E69">
        <v>29788.941652044599</v>
      </c>
      <c r="F69">
        <v>40744.261742567498</v>
      </c>
      <c r="G69">
        <v>48047.334517555704</v>
      </c>
      <c r="H69">
        <v>49097.703591928599</v>
      </c>
      <c r="I69">
        <v>50969.757410491104</v>
      </c>
      <c r="J69">
        <v>50646.668382270698</v>
      </c>
    </row>
    <row r="70" spans="1:10" x14ac:dyDescent="0.25">
      <c r="A70" s="266" t="s">
        <v>501</v>
      </c>
      <c r="B70">
        <v>30275.599999999999</v>
      </c>
      <c r="C70">
        <v>40181.490425973738</v>
      </c>
      <c r="D70">
        <v>43621.320067966401</v>
      </c>
      <c r="E70">
        <v>60339.771492344902</v>
      </c>
      <c r="F70">
        <v>73035.004445359795</v>
      </c>
      <c r="G70">
        <v>95177.148102100706</v>
      </c>
      <c r="H70">
        <v>96446.384445458607</v>
      </c>
      <c r="I70">
        <v>97338.682046175294</v>
      </c>
      <c r="J70">
        <v>97988.816588533999</v>
      </c>
    </row>
    <row r="71" spans="1:10" x14ac:dyDescent="0.25">
      <c r="A71" s="266" t="s">
        <v>833</v>
      </c>
      <c r="B71">
        <v>9872.2000000000007</v>
      </c>
      <c r="C71">
        <v>11151.33429851708</v>
      </c>
      <c r="D71">
        <v>12719.512264532928</v>
      </c>
      <c r="E71">
        <v>14343.703486225253</v>
      </c>
      <c r="F71">
        <v>17398.436869271049</v>
      </c>
      <c r="G71">
        <v>21086.543980834205</v>
      </c>
      <c r="H71">
        <v>21815.118572303745</v>
      </c>
      <c r="I71">
        <v>23035.581493930255</v>
      </c>
      <c r="J71">
        <v>23577.569639127563</v>
      </c>
    </row>
    <row r="72" spans="1:10" x14ac:dyDescent="0.25">
      <c r="A72" s="266" t="s">
        <v>834</v>
      </c>
      <c r="B72">
        <v>308.10000000000002</v>
      </c>
      <c r="C72">
        <v>346.88690830863794</v>
      </c>
      <c r="D72">
        <v>395.66855109207643</v>
      </c>
      <c r="E72">
        <v>413.19310454146779</v>
      </c>
      <c r="F72">
        <v>427.83041481814161</v>
      </c>
      <c r="G72">
        <v>492.13429537549723</v>
      </c>
      <c r="H72">
        <v>509.13834039715891</v>
      </c>
      <c r="I72">
        <v>537.62246091081454</v>
      </c>
      <c r="J72">
        <v>550.27180516471333</v>
      </c>
    </row>
  </sheetData>
  <mergeCells count="1">
    <mergeCell ref="A45:A46"/>
  </mergeCells>
  <pageMargins left="0" right="0" top="0" bottom="0" header="0.31496062992125984" footer="0.31496062992125984"/>
  <pageSetup paperSize="9" scale="70" orientation="landscape" horizontalDpi="300" verticalDpi="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A354-1398-463D-9A2E-43C2BB7FCB99}">
  <dimension ref="A1:M32"/>
  <sheetViews>
    <sheetView workbookViewId="0">
      <pane xSplit="2" ySplit="3" topLeftCell="C7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RowHeight="18" x14ac:dyDescent="0.25"/>
  <cols>
    <col min="1" max="1" width="33.85546875" style="141" customWidth="1"/>
    <col min="2" max="2" width="12.140625" style="141" customWidth="1"/>
    <col min="3" max="3" width="11.85546875" style="141" customWidth="1"/>
    <col min="4" max="4" width="11" style="141" customWidth="1"/>
    <col min="5" max="5" width="12.42578125" style="141" customWidth="1"/>
    <col min="6" max="6" width="11" style="141" customWidth="1"/>
    <col min="7" max="7" width="11.85546875" style="141" customWidth="1"/>
    <col min="8" max="8" width="11.140625" style="141" customWidth="1"/>
    <col min="9" max="9" width="12.140625" style="141" customWidth="1"/>
    <col min="10" max="10" width="11.140625" style="141" customWidth="1"/>
    <col min="11" max="11" width="12.140625" style="141" customWidth="1"/>
    <col min="12" max="12" width="11.5703125" style="141" customWidth="1"/>
    <col min="13" max="13" width="14.7109375" style="141" customWidth="1"/>
    <col min="14" max="242" width="9.140625" style="141"/>
    <col min="243" max="243" width="36.140625" style="141" customWidth="1"/>
    <col min="244" max="244" width="12.85546875" style="141" customWidth="1"/>
    <col min="245" max="245" width="12.140625" style="141" customWidth="1"/>
    <col min="246" max="246" width="12.5703125" style="141" customWidth="1"/>
    <col min="247" max="247" width="11.7109375" style="141" customWidth="1"/>
    <col min="248" max="248" width="12.140625" style="141" customWidth="1"/>
    <col min="249" max="249" width="11.140625" style="141" customWidth="1"/>
    <col min="250" max="250" width="12.42578125" style="141" customWidth="1"/>
    <col min="251" max="251" width="11.28515625" style="141" customWidth="1"/>
    <col min="252" max="252" width="12.140625" style="141" customWidth="1"/>
    <col min="253" max="253" width="11" style="141" customWidth="1"/>
    <col min="254" max="254" width="12.140625" style="141" customWidth="1"/>
    <col min="255" max="498" width="9.140625" style="141"/>
    <col min="499" max="499" width="36.140625" style="141" customWidth="1"/>
    <col min="500" max="500" width="12.85546875" style="141" customWidth="1"/>
    <col min="501" max="501" width="12.140625" style="141" customWidth="1"/>
    <col min="502" max="502" width="12.5703125" style="141" customWidth="1"/>
    <col min="503" max="503" width="11.7109375" style="141" customWidth="1"/>
    <col min="504" max="504" width="12.140625" style="141" customWidth="1"/>
    <col min="505" max="505" width="11.140625" style="141" customWidth="1"/>
    <col min="506" max="506" width="12.42578125" style="141" customWidth="1"/>
    <col min="507" max="507" width="11.28515625" style="141" customWidth="1"/>
    <col min="508" max="508" width="12.140625" style="141" customWidth="1"/>
    <col min="509" max="509" width="11" style="141" customWidth="1"/>
    <col min="510" max="510" width="12.140625" style="141" customWidth="1"/>
    <col min="511" max="754" width="9.140625" style="141"/>
    <col min="755" max="755" width="36.140625" style="141" customWidth="1"/>
    <col min="756" max="756" width="12.85546875" style="141" customWidth="1"/>
    <col min="757" max="757" width="12.140625" style="141" customWidth="1"/>
    <col min="758" max="758" width="12.5703125" style="141" customWidth="1"/>
    <col min="759" max="759" width="11.7109375" style="141" customWidth="1"/>
    <col min="760" max="760" width="12.140625" style="141" customWidth="1"/>
    <col min="761" max="761" width="11.140625" style="141" customWidth="1"/>
    <col min="762" max="762" width="12.42578125" style="141" customWidth="1"/>
    <col min="763" max="763" width="11.28515625" style="141" customWidth="1"/>
    <col min="764" max="764" width="12.140625" style="141" customWidth="1"/>
    <col min="765" max="765" width="11" style="141" customWidth="1"/>
    <col min="766" max="766" width="12.140625" style="141" customWidth="1"/>
    <col min="767" max="1010" width="9.140625" style="141"/>
    <col min="1011" max="1011" width="36.140625" style="141" customWidth="1"/>
    <col min="1012" max="1012" width="12.85546875" style="141" customWidth="1"/>
    <col min="1013" max="1013" width="12.140625" style="141" customWidth="1"/>
    <col min="1014" max="1014" width="12.5703125" style="141" customWidth="1"/>
    <col min="1015" max="1015" width="11.7109375" style="141" customWidth="1"/>
    <col min="1016" max="1016" width="12.140625" style="141" customWidth="1"/>
    <col min="1017" max="1017" width="11.140625" style="141" customWidth="1"/>
    <col min="1018" max="1018" width="12.42578125" style="141" customWidth="1"/>
    <col min="1019" max="1019" width="11.28515625" style="141" customWidth="1"/>
    <col min="1020" max="1020" width="12.140625" style="141" customWidth="1"/>
    <col min="1021" max="1021" width="11" style="141" customWidth="1"/>
    <col min="1022" max="1022" width="12.140625" style="141" customWidth="1"/>
    <col min="1023" max="1266" width="9.140625" style="141"/>
    <col min="1267" max="1267" width="36.140625" style="141" customWidth="1"/>
    <col min="1268" max="1268" width="12.85546875" style="141" customWidth="1"/>
    <col min="1269" max="1269" width="12.140625" style="141" customWidth="1"/>
    <col min="1270" max="1270" width="12.5703125" style="141" customWidth="1"/>
    <col min="1271" max="1271" width="11.7109375" style="141" customWidth="1"/>
    <col min="1272" max="1272" width="12.140625" style="141" customWidth="1"/>
    <col min="1273" max="1273" width="11.140625" style="141" customWidth="1"/>
    <col min="1274" max="1274" width="12.42578125" style="141" customWidth="1"/>
    <col min="1275" max="1275" width="11.28515625" style="141" customWidth="1"/>
    <col min="1276" max="1276" width="12.140625" style="141" customWidth="1"/>
    <col min="1277" max="1277" width="11" style="141" customWidth="1"/>
    <col min="1278" max="1278" width="12.140625" style="141" customWidth="1"/>
    <col min="1279" max="1522" width="9.140625" style="141"/>
    <col min="1523" max="1523" width="36.140625" style="141" customWidth="1"/>
    <col min="1524" max="1524" width="12.85546875" style="141" customWidth="1"/>
    <col min="1525" max="1525" width="12.140625" style="141" customWidth="1"/>
    <col min="1526" max="1526" width="12.5703125" style="141" customWidth="1"/>
    <col min="1527" max="1527" width="11.7109375" style="141" customWidth="1"/>
    <col min="1528" max="1528" width="12.140625" style="141" customWidth="1"/>
    <col min="1529" max="1529" width="11.140625" style="141" customWidth="1"/>
    <col min="1530" max="1530" width="12.42578125" style="141" customWidth="1"/>
    <col min="1531" max="1531" width="11.28515625" style="141" customWidth="1"/>
    <col min="1532" max="1532" width="12.140625" style="141" customWidth="1"/>
    <col min="1533" max="1533" width="11" style="141" customWidth="1"/>
    <col min="1534" max="1534" width="12.140625" style="141" customWidth="1"/>
    <col min="1535" max="1778" width="9.140625" style="141"/>
    <col min="1779" max="1779" width="36.140625" style="141" customWidth="1"/>
    <col min="1780" max="1780" width="12.85546875" style="141" customWidth="1"/>
    <col min="1781" max="1781" width="12.140625" style="141" customWidth="1"/>
    <col min="1782" max="1782" width="12.5703125" style="141" customWidth="1"/>
    <col min="1783" max="1783" width="11.7109375" style="141" customWidth="1"/>
    <col min="1784" max="1784" width="12.140625" style="141" customWidth="1"/>
    <col min="1785" max="1785" width="11.140625" style="141" customWidth="1"/>
    <col min="1786" max="1786" width="12.42578125" style="141" customWidth="1"/>
    <col min="1787" max="1787" width="11.28515625" style="141" customWidth="1"/>
    <col min="1788" max="1788" width="12.140625" style="141" customWidth="1"/>
    <col min="1789" max="1789" width="11" style="141" customWidth="1"/>
    <col min="1790" max="1790" width="12.140625" style="141" customWidth="1"/>
    <col min="1791" max="2034" width="9.140625" style="141"/>
    <col min="2035" max="2035" width="36.140625" style="141" customWidth="1"/>
    <col min="2036" max="2036" width="12.85546875" style="141" customWidth="1"/>
    <col min="2037" max="2037" width="12.140625" style="141" customWidth="1"/>
    <col min="2038" max="2038" width="12.5703125" style="141" customWidth="1"/>
    <col min="2039" max="2039" width="11.7109375" style="141" customWidth="1"/>
    <col min="2040" max="2040" width="12.140625" style="141" customWidth="1"/>
    <col min="2041" max="2041" width="11.140625" style="141" customWidth="1"/>
    <col min="2042" max="2042" width="12.42578125" style="141" customWidth="1"/>
    <col min="2043" max="2043" width="11.28515625" style="141" customWidth="1"/>
    <col min="2044" max="2044" width="12.140625" style="141" customWidth="1"/>
    <col min="2045" max="2045" width="11" style="141" customWidth="1"/>
    <col min="2046" max="2046" width="12.140625" style="141" customWidth="1"/>
    <col min="2047" max="2290" width="9.140625" style="141"/>
    <col min="2291" max="2291" width="36.140625" style="141" customWidth="1"/>
    <col min="2292" max="2292" width="12.85546875" style="141" customWidth="1"/>
    <col min="2293" max="2293" width="12.140625" style="141" customWidth="1"/>
    <col min="2294" max="2294" width="12.5703125" style="141" customWidth="1"/>
    <col min="2295" max="2295" width="11.7109375" style="141" customWidth="1"/>
    <col min="2296" max="2296" width="12.140625" style="141" customWidth="1"/>
    <col min="2297" max="2297" width="11.140625" style="141" customWidth="1"/>
    <col min="2298" max="2298" width="12.42578125" style="141" customWidth="1"/>
    <col min="2299" max="2299" width="11.28515625" style="141" customWidth="1"/>
    <col min="2300" max="2300" width="12.140625" style="141" customWidth="1"/>
    <col min="2301" max="2301" width="11" style="141" customWidth="1"/>
    <col min="2302" max="2302" width="12.140625" style="141" customWidth="1"/>
    <col min="2303" max="2546" width="9.140625" style="141"/>
    <col min="2547" max="2547" width="36.140625" style="141" customWidth="1"/>
    <col min="2548" max="2548" width="12.85546875" style="141" customWidth="1"/>
    <col min="2549" max="2549" width="12.140625" style="141" customWidth="1"/>
    <col min="2550" max="2550" width="12.5703125" style="141" customWidth="1"/>
    <col min="2551" max="2551" width="11.7109375" style="141" customWidth="1"/>
    <col min="2552" max="2552" width="12.140625" style="141" customWidth="1"/>
    <col min="2553" max="2553" width="11.140625" style="141" customWidth="1"/>
    <col min="2554" max="2554" width="12.42578125" style="141" customWidth="1"/>
    <col min="2555" max="2555" width="11.28515625" style="141" customWidth="1"/>
    <col min="2556" max="2556" width="12.140625" style="141" customWidth="1"/>
    <col min="2557" max="2557" width="11" style="141" customWidth="1"/>
    <col min="2558" max="2558" width="12.140625" style="141" customWidth="1"/>
    <col min="2559" max="2802" width="9.140625" style="141"/>
    <col min="2803" max="2803" width="36.140625" style="141" customWidth="1"/>
    <col min="2804" max="2804" width="12.85546875" style="141" customWidth="1"/>
    <col min="2805" max="2805" width="12.140625" style="141" customWidth="1"/>
    <col min="2806" max="2806" width="12.5703125" style="141" customWidth="1"/>
    <col min="2807" max="2807" width="11.7109375" style="141" customWidth="1"/>
    <col min="2808" max="2808" width="12.140625" style="141" customWidth="1"/>
    <col min="2809" max="2809" width="11.140625" style="141" customWidth="1"/>
    <col min="2810" max="2810" width="12.42578125" style="141" customWidth="1"/>
    <col min="2811" max="2811" width="11.28515625" style="141" customWidth="1"/>
    <col min="2812" max="2812" width="12.140625" style="141" customWidth="1"/>
    <col min="2813" max="2813" width="11" style="141" customWidth="1"/>
    <col min="2814" max="2814" width="12.140625" style="141" customWidth="1"/>
    <col min="2815" max="3058" width="9.140625" style="141"/>
    <col min="3059" max="3059" width="36.140625" style="141" customWidth="1"/>
    <col min="3060" max="3060" width="12.85546875" style="141" customWidth="1"/>
    <col min="3061" max="3061" width="12.140625" style="141" customWidth="1"/>
    <col min="3062" max="3062" width="12.5703125" style="141" customWidth="1"/>
    <col min="3063" max="3063" width="11.7109375" style="141" customWidth="1"/>
    <col min="3064" max="3064" width="12.140625" style="141" customWidth="1"/>
    <col min="3065" max="3065" width="11.140625" style="141" customWidth="1"/>
    <col min="3066" max="3066" width="12.42578125" style="141" customWidth="1"/>
    <col min="3067" max="3067" width="11.28515625" style="141" customWidth="1"/>
    <col min="3068" max="3068" width="12.140625" style="141" customWidth="1"/>
    <col min="3069" max="3069" width="11" style="141" customWidth="1"/>
    <col min="3070" max="3070" width="12.140625" style="141" customWidth="1"/>
    <col min="3071" max="3314" width="9.140625" style="141"/>
    <col min="3315" max="3315" width="36.140625" style="141" customWidth="1"/>
    <col min="3316" max="3316" width="12.85546875" style="141" customWidth="1"/>
    <col min="3317" max="3317" width="12.140625" style="141" customWidth="1"/>
    <col min="3318" max="3318" width="12.5703125" style="141" customWidth="1"/>
    <col min="3319" max="3319" width="11.7109375" style="141" customWidth="1"/>
    <col min="3320" max="3320" width="12.140625" style="141" customWidth="1"/>
    <col min="3321" max="3321" width="11.140625" style="141" customWidth="1"/>
    <col min="3322" max="3322" width="12.42578125" style="141" customWidth="1"/>
    <col min="3323" max="3323" width="11.28515625" style="141" customWidth="1"/>
    <col min="3324" max="3324" width="12.140625" style="141" customWidth="1"/>
    <col min="3325" max="3325" width="11" style="141" customWidth="1"/>
    <col min="3326" max="3326" width="12.140625" style="141" customWidth="1"/>
    <col min="3327" max="3570" width="9.140625" style="141"/>
    <col min="3571" max="3571" width="36.140625" style="141" customWidth="1"/>
    <col min="3572" max="3572" width="12.85546875" style="141" customWidth="1"/>
    <col min="3573" max="3573" width="12.140625" style="141" customWidth="1"/>
    <col min="3574" max="3574" width="12.5703125" style="141" customWidth="1"/>
    <col min="3575" max="3575" width="11.7109375" style="141" customWidth="1"/>
    <col min="3576" max="3576" width="12.140625" style="141" customWidth="1"/>
    <col min="3577" max="3577" width="11.140625" style="141" customWidth="1"/>
    <col min="3578" max="3578" width="12.42578125" style="141" customWidth="1"/>
    <col min="3579" max="3579" width="11.28515625" style="141" customWidth="1"/>
    <col min="3580" max="3580" width="12.140625" style="141" customWidth="1"/>
    <col min="3581" max="3581" width="11" style="141" customWidth="1"/>
    <col min="3582" max="3582" width="12.140625" style="141" customWidth="1"/>
    <col min="3583" max="3826" width="9.140625" style="141"/>
    <col min="3827" max="3827" width="36.140625" style="141" customWidth="1"/>
    <col min="3828" max="3828" width="12.85546875" style="141" customWidth="1"/>
    <col min="3829" max="3829" width="12.140625" style="141" customWidth="1"/>
    <col min="3830" max="3830" width="12.5703125" style="141" customWidth="1"/>
    <col min="3831" max="3831" width="11.7109375" style="141" customWidth="1"/>
    <col min="3832" max="3832" width="12.140625" style="141" customWidth="1"/>
    <col min="3833" max="3833" width="11.140625" style="141" customWidth="1"/>
    <col min="3834" max="3834" width="12.42578125" style="141" customWidth="1"/>
    <col min="3835" max="3835" width="11.28515625" style="141" customWidth="1"/>
    <col min="3836" max="3836" width="12.140625" style="141" customWidth="1"/>
    <col min="3837" max="3837" width="11" style="141" customWidth="1"/>
    <col min="3838" max="3838" width="12.140625" style="141" customWidth="1"/>
    <col min="3839" max="4082" width="9.140625" style="141"/>
    <col min="4083" max="4083" width="36.140625" style="141" customWidth="1"/>
    <col min="4084" max="4084" width="12.85546875" style="141" customWidth="1"/>
    <col min="4085" max="4085" width="12.140625" style="141" customWidth="1"/>
    <col min="4086" max="4086" width="12.5703125" style="141" customWidth="1"/>
    <col min="4087" max="4087" width="11.7109375" style="141" customWidth="1"/>
    <col min="4088" max="4088" width="12.140625" style="141" customWidth="1"/>
    <col min="4089" max="4089" width="11.140625" style="141" customWidth="1"/>
    <col min="4090" max="4090" width="12.42578125" style="141" customWidth="1"/>
    <col min="4091" max="4091" width="11.28515625" style="141" customWidth="1"/>
    <col min="4092" max="4092" width="12.140625" style="141" customWidth="1"/>
    <col min="4093" max="4093" width="11" style="141" customWidth="1"/>
    <col min="4094" max="4094" width="12.140625" style="141" customWidth="1"/>
    <col min="4095" max="4338" width="9.140625" style="141"/>
    <col min="4339" max="4339" width="36.140625" style="141" customWidth="1"/>
    <col min="4340" max="4340" width="12.85546875" style="141" customWidth="1"/>
    <col min="4341" max="4341" width="12.140625" style="141" customWidth="1"/>
    <col min="4342" max="4342" width="12.5703125" style="141" customWidth="1"/>
    <col min="4343" max="4343" width="11.7109375" style="141" customWidth="1"/>
    <col min="4344" max="4344" width="12.140625" style="141" customWidth="1"/>
    <col min="4345" max="4345" width="11.140625" style="141" customWidth="1"/>
    <col min="4346" max="4346" width="12.42578125" style="141" customWidth="1"/>
    <col min="4347" max="4347" width="11.28515625" style="141" customWidth="1"/>
    <col min="4348" max="4348" width="12.140625" style="141" customWidth="1"/>
    <col min="4349" max="4349" width="11" style="141" customWidth="1"/>
    <col min="4350" max="4350" width="12.140625" style="141" customWidth="1"/>
    <col min="4351" max="4594" width="9.140625" style="141"/>
    <col min="4595" max="4595" width="36.140625" style="141" customWidth="1"/>
    <col min="4596" max="4596" width="12.85546875" style="141" customWidth="1"/>
    <col min="4597" max="4597" width="12.140625" style="141" customWidth="1"/>
    <col min="4598" max="4598" width="12.5703125" style="141" customWidth="1"/>
    <col min="4599" max="4599" width="11.7109375" style="141" customWidth="1"/>
    <col min="4600" max="4600" width="12.140625" style="141" customWidth="1"/>
    <col min="4601" max="4601" width="11.140625" style="141" customWidth="1"/>
    <col min="4602" max="4602" width="12.42578125" style="141" customWidth="1"/>
    <col min="4603" max="4603" width="11.28515625" style="141" customWidth="1"/>
    <col min="4604" max="4604" width="12.140625" style="141" customWidth="1"/>
    <col min="4605" max="4605" width="11" style="141" customWidth="1"/>
    <col min="4606" max="4606" width="12.140625" style="141" customWidth="1"/>
    <col min="4607" max="4850" width="9.140625" style="141"/>
    <col min="4851" max="4851" width="36.140625" style="141" customWidth="1"/>
    <col min="4852" max="4852" width="12.85546875" style="141" customWidth="1"/>
    <col min="4853" max="4853" width="12.140625" style="141" customWidth="1"/>
    <col min="4854" max="4854" width="12.5703125" style="141" customWidth="1"/>
    <col min="4855" max="4855" width="11.7109375" style="141" customWidth="1"/>
    <col min="4856" max="4856" width="12.140625" style="141" customWidth="1"/>
    <col min="4857" max="4857" width="11.140625" style="141" customWidth="1"/>
    <col min="4858" max="4858" width="12.42578125" style="141" customWidth="1"/>
    <col min="4859" max="4859" width="11.28515625" style="141" customWidth="1"/>
    <col min="4860" max="4860" width="12.140625" style="141" customWidth="1"/>
    <col min="4861" max="4861" width="11" style="141" customWidth="1"/>
    <col min="4862" max="4862" width="12.140625" style="141" customWidth="1"/>
    <col min="4863" max="5106" width="9.140625" style="141"/>
    <col min="5107" max="5107" width="36.140625" style="141" customWidth="1"/>
    <col min="5108" max="5108" width="12.85546875" style="141" customWidth="1"/>
    <col min="5109" max="5109" width="12.140625" style="141" customWidth="1"/>
    <col min="5110" max="5110" width="12.5703125" style="141" customWidth="1"/>
    <col min="5111" max="5111" width="11.7109375" style="141" customWidth="1"/>
    <col min="5112" max="5112" width="12.140625" style="141" customWidth="1"/>
    <col min="5113" max="5113" width="11.140625" style="141" customWidth="1"/>
    <col min="5114" max="5114" width="12.42578125" style="141" customWidth="1"/>
    <col min="5115" max="5115" width="11.28515625" style="141" customWidth="1"/>
    <col min="5116" max="5116" width="12.140625" style="141" customWidth="1"/>
    <col min="5117" max="5117" width="11" style="141" customWidth="1"/>
    <col min="5118" max="5118" width="12.140625" style="141" customWidth="1"/>
    <col min="5119" max="5362" width="9.140625" style="141"/>
    <col min="5363" max="5363" width="36.140625" style="141" customWidth="1"/>
    <col min="5364" max="5364" width="12.85546875" style="141" customWidth="1"/>
    <col min="5365" max="5365" width="12.140625" style="141" customWidth="1"/>
    <col min="5366" max="5366" width="12.5703125" style="141" customWidth="1"/>
    <col min="5367" max="5367" width="11.7109375" style="141" customWidth="1"/>
    <col min="5368" max="5368" width="12.140625" style="141" customWidth="1"/>
    <col min="5369" max="5369" width="11.140625" style="141" customWidth="1"/>
    <col min="5370" max="5370" width="12.42578125" style="141" customWidth="1"/>
    <col min="5371" max="5371" width="11.28515625" style="141" customWidth="1"/>
    <col min="5372" max="5372" width="12.140625" style="141" customWidth="1"/>
    <col min="5373" max="5373" width="11" style="141" customWidth="1"/>
    <col min="5374" max="5374" width="12.140625" style="141" customWidth="1"/>
    <col min="5375" max="5618" width="9.140625" style="141"/>
    <col min="5619" max="5619" width="36.140625" style="141" customWidth="1"/>
    <col min="5620" max="5620" width="12.85546875" style="141" customWidth="1"/>
    <col min="5621" max="5621" width="12.140625" style="141" customWidth="1"/>
    <col min="5622" max="5622" width="12.5703125" style="141" customWidth="1"/>
    <col min="5623" max="5623" width="11.7109375" style="141" customWidth="1"/>
    <col min="5624" max="5624" width="12.140625" style="141" customWidth="1"/>
    <col min="5625" max="5625" width="11.140625" style="141" customWidth="1"/>
    <col min="5626" max="5626" width="12.42578125" style="141" customWidth="1"/>
    <col min="5627" max="5627" width="11.28515625" style="141" customWidth="1"/>
    <col min="5628" max="5628" width="12.140625" style="141" customWidth="1"/>
    <col min="5629" max="5629" width="11" style="141" customWidth="1"/>
    <col min="5630" max="5630" width="12.140625" style="141" customWidth="1"/>
    <col min="5631" max="5874" width="9.140625" style="141"/>
    <col min="5875" max="5875" width="36.140625" style="141" customWidth="1"/>
    <col min="5876" max="5876" width="12.85546875" style="141" customWidth="1"/>
    <col min="5877" max="5877" width="12.140625" style="141" customWidth="1"/>
    <col min="5878" max="5878" width="12.5703125" style="141" customWidth="1"/>
    <col min="5879" max="5879" width="11.7109375" style="141" customWidth="1"/>
    <col min="5880" max="5880" width="12.140625" style="141" customWidth="1"/>
    <col min="5881" max="5881" width="11.140625" style="141" customWidth="1"/>
    <col min="5882" max="5882" width="12.42578125" style="141" customWidth="1"/>
    <col min="5883" max="5883" width="11.28515625" style="141" customWidth="1"/>
    <col min="5884" max="5884" width="12.140625" style="141" customWidth="1"/>
    <col min="5885" max="5885" width="11" style="141" customWidth="1"/>
    <col min="5886" max="5886" width="12.140625" style="141" customWidth="1"/>
    <col min="5887" max="6130" width="9.140625" style="141"/>
    <col min="6131" max="6131" width="36.140625" style="141" customWidth="1"/>
    <col min="6132" max="6132" width="12.85546875" style="141" customWidth="1"/>
    <col min="6133" max="6133" width="12.140625" style="141" customWidth="1"/>
    <col min="6134" max="6134" width="12.5703125" style="141" customWidth="1"/>
    <col min="6135" max="6135" width="11.7109375" style="141" customWidth="1"/>
    <col min="6136" max="6136" width="12.140625" style="141" customWidth="1"/>
    <col min="6137" max="6137" width="11.140625" style="141" customWidth="1"/>
    <col min="6138" max="6138" width="12.42578125" style="141" customWidth="1"/>
    <col min="6139" max="6139" width="11.28515625" style="141" customWidth="1"/>
    <col min="6140" max="6140" width="12.140625" style="141" customWidth="1"/>
    <col min="6141" max="6141" width="11" style="141" customWidth="1"/>
    <col min="6142" max="6142" width="12.140625" style="141" customWidth="1"/>
    <col min="6143" max="6386" width="9.140625" style="141"/>
    <col min="6387" max="6387" width="36.140625" style="141" customWidth="1"/>
    <col min="6388" max="6388" width="12.85546875" style="141" customWidth="1"/>
    <col min="6389" max="6389" width="12.140625" style="141" customWidth="1"/>
    <col min="6390" max="6390" width="12.5703125" style="141" customWidth="1"/>
    <col min="6391" max="6391" width="11.7109375" style="141" customWidth="1"/>
    <col min="6392" max="6392" width="12.140625" style="141" customWidth="1"/>
    <col min="6393" max="6393" width="11.140625" style="141" customWidth="1"/>
    <col min="6394" max="6394" width="12.42578125" style="141" customWidth="1"/>
    <col min="6395" max="6395" width="11.28515625" style="141" customWidth="1"/>
    <col min="6396" max="6396" width="12.140625" style="141" customWidth="1"/>
    <col min="6397" max="6397" width="11" style="141" customWidth="1"/>
    <col min="6398" max="6398" width="12.140625" style="141" customWidth="1"/>
    <col min="6399" max="6642" width="9.140625" style="141"/>
    <col min="6643" max="6643" width="36.140625" style="141" customWidth="1"/>
    <col min="6644" max="6644" width="12.85546875" style="141" customWidth="1"/>
    <col min="6645" max="6645" width="12.140625" style="141" customWidth="1"/>
    <col min="6646" max="6646" width="12.5703125" style="141" customWidth="1"/>
    <col min="6647" max="6647" width="11.7109375" style="141" customWidth="1"/>
    <col min="6648" max="6648" width="12.140625" style="141" customWidth="1"/>
    <col min="6649" max="6649" width="11.140625" style="141" customWidth="1"/>
    <col min="6650" max="6650" width="12.42578125" style="141" customWidth="1"/>
    <col min="6651" max="6651" width="11.28515625" style="141" customWidth="1"/>
    <col min="6652" max="6652" width="12.140625" style="141" customWidth="1"/>
    <col min="6653" max="6653" width="11" style="141" customWidth="1"/>
    <col min="6654" max="6654" width="12.140625" style="141" customWidth="1"/>
    <col min="6655" max="6898" width="9.140625" style="141"/>
    <col min="6899" max="6899" width="36.140625" style="141" customWidth="1"/>
    <col min="6900" max="6900" width="12.85546875" style="141" customWidth="1"/>
    <col min="6901" max="6901" width="12.140625" style="141" customWidth="1"/>
    <col min="6902" max="6902" width="12.5703125" style="141" customWidth="1"/>
    <col min="6903" max="6903" width="11.7109375" style="141" customWidth="1"/>
    <col min="6904" max="6904" width="12.140625" style="141" customWidth="1"/>
    <col min="6905" max="6905" width="11.140625" style="141" customWidth="1"/>
    <col min="6906" max="6906" width="12.42578125" style="141" customWidth="1"/>
    <col min="6907" max="6907" width="11.28515625" style="141" customWidth="1"/>
    <col min="6908" max="6908" width="12.140625" style="141" customWidth="1"/>
    <col min="6909" max="6909" width="11" style="141" customWidth="1"/>
    <col min="6910" max="6910" width="12.140625" style="141" customWidth="1"/>
    <col min="6911" max="7154" width="9.140625" style="141"/>
    <col min="7155" max="7155" width="36.140625" style="141" customWidth="1"/>
    <col min="7156" max="7156" width="12.85546875" style="141" customWidth="1"/>
    <col min="7157" max="7157" width="12.140625" style="141" customWidth="1"/>
    <col min="7158" max="7158" width="12.5703125" style="141" customWidth="1"/>
    <col min="7159" max="7159" width="11.7109375" style="141" customWidth="1"/>
    <col min="7160" max="7160" width="12.140625" style="141" customWidth="1"/>
    <col min="7161" max="7161" width="11.140625" style="141" customWidth="1"/>
    <col min="7162" max="7162" width="12.42578125" style="141" customWidth="1"/>
    <col min="7163" max="7163" width="11.28515625" style="141" customWidth="1"/>
    <col min="7164" max="7164" width="12.140625" style="141" customWidth="1"/>
    <col min="7165" max="7165" width="11" style="141" customWidth="1"/>
    <col min="7166" max="7166" width="12.140625" style="141" customWidth="1"/>
    <col min="7167" max="7410" width="9.140625" style="141"/>
    <col min="7411" max="7411" width="36.140625" style="141" customWidth="1"/>
    <col min="7412" max="7412" width="12.85546875" style="141" customWidth="1"/>
    <col min="7413" max="7413" width="12.140625" style="141" customWidth="1"/>
    <col min="7414" max="7414" width="12.5703125" style="141" customWidth="1"/>
    <col min="7415" max="7415" width="11.7109375" style="141" customWidth="1"/>
    <col min="7416" max="7416" width="12.140625" style="141" customWidth="1"/>
    <col min="7417" max="7417" width="11.140625" style="141" customWidth="1"/>
    <col min="7418" max="7418" width="12.42578125" style="141" customWidth="1"/>
    <col min="7419" max="7419" width="11.28515625" style="141" customWidth="1"/>
    <col min="7420" max="7420" width="12.140625" style="141" customWidth="1"/>
    <col min="7421" max="7421" width="11" style="141" customWidth="1"/>
    <col min="7422" max="7422" width="12.140625" style="141" customWidth="1"/>
    <col min="7423" max="7666" width="9.140625" style="141"/>
    <col min="7667" max="7667" width="36.140625" style="141" customWidth="1"/>
    <col min="7668" max="7668" width="12.85546875" style="141" customWidth="1"/>
    <col min="7669" max="7669" width="12.140625" style="141" customWidth="1"/>
    <col min="7670" max="7670" width="12.5703125" style="141" customWidth="1"/>
    <col min="7671" max="7671" width="11.7109375" style="141" customWidth="1"/>
    <col min="7672" max="7672" width="12.140625" style="141" customWidth="1"/>
    <col min="7673" max="7673" width="11.140625" style="141" customWidth="1"/>
    <col min="7674" max="7674" width="12.42578125" style="141" customWidth="1"/>
    <col min="7675" max="7675" width="11.28515625" style="141" customWidth="1"/>
    <col min="7676" max="7676" width="12.140625" style="141" customWidth="1"/>
    <col min="7677" max="7677" width="11" style="141" customWidth="1"/>
    <col min="7678" max="7678" width="12.140625" style="141" customWidth="1"/>
    <col min="7679" max="7922" width="9.140625" style="141"/>
    <col min="7923" max="7923" width="36.140625" style="141" customWidth="1"/>
    <col min="7924" max="7924" width="12.85546875" style="141" customWidth="1"/>
    <col min="7925" max="7925" width="12.140625" style="141" customWidth="1"/>
    <col min="7926" max="7926" width="12.5703125" style="141" customWidth="1"/>
    <col min="7927" max="7927" width="11.7109375" style="141" customWidth="1"/>
    <col min="7928" max="7928" width="12.140625" style="141" customWidth="1"/>
    <col min="7929" max="7929" width="11.140625" style="141" customWidth="1"/>
    <col min="7930" max="7930" width="12.42578125" style="141" customWidth="1"/>
    <col min="7931" max="7931" width="11.28515625" style="141" customWidth="1"/>
    <col min="7932" max="7932" width="12.140625" style="141" customWidth="1"/>
    <col min="7933" max="7933" width="11" style="141" customWidth="1"/>
    <col min="7934" max="7934" width="12.140625" style="141" customWidth="1"/>
    <col min="7935" max="8178" width="9.140625" style="141"/>
    <col min="8179" max="8179" width="36.140625" style="141" customWidth="1"/>
    <col min="8180" max="8180" width="12.85546875" style="141" customWidth="1"/>
    <col min="8181" max="8181" width="12.140625" style="141" customWidth="1"/>
    <col min="8182" max="8182" width="12.5703125" style="141" customWidth="1"/>
    <col min="8183" max="8183" width="11.7109375" style="141" customWidth="1"/>
    <col min="8184" max="8184" width="12.140625" style="141" customWidth="1"/>
    <col min="8185" max="8185" width="11.140625" style="141" customWidth="1"/>
    <col min="8186" max="8186" width="12.42578125" style="141" customWidth="1"/>
    <col min="8187" max="8187" width="11.28515625" style="141" customWidth="1"/>
    <col min="8188" max="8188" width="12.140625" style="141" customWidth="1"/>
    <col min="8189" max="8189" width="11" style="141" customWidth="1"/>
    <col min="8190" max="8190" width="12.140625" style="141" customWidth="1"/>
    <col min="8191" max="8434" width="9.140625" style="141"/>
    <col min="8435" max="8435" width="36.140625" style="141" customWidth="1"/>
    <col min="8436" max="8436" width="12.85546875" style="141" customWidth="1"/>
    <col min="8437" max="8437" width="12.140625" style="141" customWidth="1"/>
    <col min="8438" max="8438" width="12.5703125" style="141" customWidth="1"/>
    <col min="8439" max="8439" width="11.7109375" style="141" customWidth="1"/>
    <col min="8440" max="8440" width="12.140625" style="141" customWidth="1"/>
    <col min="8441" max="8441" width="11.140625" style="141" customWidth="1"/>
    <col min="8442" max="8442" width="12.42578125" style="141" customWidth="1"/>
    <col min="8443" max="8443" width="11.28515625" style="141" customWidth="1"/>
    <col min="8444" max="8444" width="12.140625" style="141" customWidth="1"/>
    <col min="8445" max="8445" width="11" style="141" customWidth="1"/>
    <col min="8446" max="8446" width="12.140625" style="141" customWidth="1"/>
    <col min="8447" max="8690" width="9.140625" style="141"/>
    <col min="8691" max="8691" width="36.140625" style="141" customWidth="1"/>
    <col min="8692" max="8692" width="12.85546875" style="141" customWidth="1"/>
    <col min="8693" max="8693" width="12.140625" style="141" customWidth="1"/>
    <col min="8694" max="8694" width="12.5703125" style="141" customWidth="1"/>
    <col min="8695" max="8695" width="11.7109375" style="141" customWidth="1"/>
    <col min="8696" max="8696" width="12.140625" style="141" customWidth="1"/>
    <col min="8697" max="8697" width="11.140625" style="141" customWidth="1"/>
    <col min="8698" max="8698" width="12.42578125" style="141" customWidth="1"/>
    <col min="8699" max="8699" width="11.28515625" style="141" customWidth="1"/>
    <col min="8700" max="8700" width="12.140625" style="141" customWidth="1"/>
    <col min="8701" max="8701" width="11" style="141" customWidth="1"/>
    <col min="8702" max="8702" width="12.140625" style="141" customWidth="1"/>
    <col min="8703" max="8946" width="9.140625" style="141"/>
    <col min="8947" max="8947" width="36.140625" style="141" customWidth="1"/>
    <col min="8948" max="8948" width="12.85546875" style="141" customWidth="1"/>
    <col min="8949" max="8949" width="12.140625" style="141" customWidth="1"/>
    <col min="8950" max="8950" width="12.5703125" style="141" customWidth="1"/>
    <col min="8951" max="8951" width="11.7109375" style="141" customWidth="1"/>
    <col min="8952" max="8952" width="12.140625" style="141" customWidth="1"/>
    <col min="8953" max="8953" width="11.140625" style="141" customWidth="1"/>
    <col min="8954" max="8954" width="12.42578125" style="141" customWidth="1"/>
    <col min="8955" max="8955" width="11.28515625" style="141" customWidth="1"/>
    <col min="8956" max="8956" width="12.140625" style="141" customWidth="1"/>
    <col min="8957" max="8957" width="11" style="141" customWidth="1"/>
    <col min="8958" max="8958" width="12.140625" style="141" customWidth="1"/>
    <col min="8959" max="9202" width="9.140625" style="141"/>
    <col min="9203" max="9203" width="36.140625" style="141" customWidth="1"/>
    <col min="9204" max="9204" width="12.85546875" style="141" customWidth="1"/>
    <col min="9205" max="9205" width="12.140625" style="141" customWidth="1"/>
    <col min="9206" max="9206" width="12.5703125" style="141" customWidth="1"/>
    <col min="9207" max="9207" width="11.7109375" style="141" customWidth="1"/>
    <col min="9208" max="9208" width="12.140625" style="141" customWidth="1"/>
    <col min="9209" max="9209" width="11.140625" style="141" customWidth="1"/>
    <col min="9210" max="9210" width="12.42578125" style="141" customWidth="1"/>
    <col min="9211" max="9211" width="11.28515625" style="141" customWidth="1"/>
    <col min="9212" max="9212" width="12.140625" style="141" customWidth="1"/>
    <col min="9213" max="9213" width="11" style="141" customWidth="1"/>
    <col min="9214" max="9214" width="12.140625" style="141" customWidth="1"/>
    <col min="9215" max="9458" width="9.140625" style="141"/>
    <col min="9459" max="9459" width="36.140625" style="141" customWidth="1"/>
    <col min="9460" max="9460" width="12.85546875" style="141" customWidth="1"/>
    <col min="9461" max="9461" width="12.140625" style="141" customWidth="1"/>
    <col min="9462" max="9462" width="12.5703125" style="141" customWidth="1"/>
    <col min="9463" max="9463" width="11.7109375" style="141" customWidth="1"/>
    <col min="9464" max="9464" width="12.140625" style="141" customWidth="1"/>
    <col min="9465" max="9465" width="11.140625" style="141" customWidth="1"/>
    <col min="9466" max="9466" width="12.42578125" style="141" customWidth="1"/>
    <col min="9467" max="9467" width="11.28515625" style="141" customWidth="1"/>
    <col min="9468" max="9468" width="12.140625" style="141" customWidth="1"/>
    <col min="9469" max="9469" width="11" style="141" customWidth="1"/>
    <col min="9470" max="9470" width="12.140625" style="141" customWidth="1"/>
    <col min="9471" max="9714" width="9.140625" style="141"/>
    <col min="9715" max="9715" width="36.140625" style="141" customWidth="1"/>
    <col min="9716" max="9716" width="12.85546875" style="141" customWidth="1"/>
    <col min="9717" max="9717" width="12.140625" style="141" customWidth="1"/>
    <col min="9718" max="9718" width="12.5703125" style="141" customWidth="1"/>
    <col min="9719" max="9719" width="11.7109375" style="141" customWidth="1"/>
    <col min="9720" max="9720" width="12.140625" style="141" customWidth="1"/>
    <col min="9721" max="9721" width="11.140625" style="141" customWidth="1"/>
    <col min="9722" max="9722" width="12.42578125" style="141" customWidth="1"/>
    <col min="9723" max="9723" width="11.28515625" style="141" customWidth="1"/>
    <col min="9724" max="9724" width="12.140625" style="141" customWidth="1"/>
    <col min="9725" max="9725" width="11" style="141" customWidth="1"/>
    <col min="9726" max="9726" width="12.140625" style="141" customWidth="1"/>
    <col min="9727" max="9970" width="9.140625" style="141"/>
    <col min="9971" max="9971" width="36.140625" style="141" customWidth="1"/>
    <col min="9972" max="9972" width="12.85546875" style="141" customWidth="1"/>
    <col min="9973" max="9973" width="12.140625" style="141" customWidth="1"/>
    <col min="9974" max="9974" width="12.5703125" style="141" customWidth="1"/>
    <col min="9975" max="9975" width="11.7109375" style="141" customWidth="1"/>
    <col min="9976" max="9976" width="12.140625" style="141" customWidth="1"/>
    <col min="9977" max="9977" width="11.140625" style="141" customWidth="1"/>
    <col min="9978" max="9978" width="12.42578125" style="141" customWidth="1"/>
    <col min="9979" max="9979" width="11.28515625" style="141" customWidth="1"/>
    <col min="9980" max="9980" width="12.140625" style="141" customWidth="1"/>
    <col min="9981" max="9981" width="11" style="141" customWidth="1"/>
    <col min="9982" max="9982" width="12.140625" style="141" customWidth="1"/>
    <col min="9983" max="10226" width="9.140625" style="141"/>
    <col min="10227" max="10227" width="36.140625" style="141" customWidth="1"/>
    <col min="10228" max="10228" width="12.85546875" style="141" customWidth="1"/>
    <col min="10229" max="10229" width="12.140625" style="141" customWidth="1"/>
    <col min="10230" max="10230" width="12.5703125" style="141" customWidth="1"/>
    <col min="10231" max="10231" width="11.7109375" style="141" customWidth="1"/>
    <col min="10232" max="10232" width="12.140625" style="141" customWidth="1"/>
    <col min="10233" max="10233" width="11.140625" style="141" customWidth="1"/>
    <col min="10234" max="10234" width="12.42578125" style="141" customWidth="1"/>
    <col min="10235" max="10235" width="11.28515625" style="141" customWidth="1"/>
    <col min="10236" max="10236" width="12.140625" style="141" customWidth="1"/>
    <col min="10237" max="10237" width="11" style="141" customWidth="1"/>
    <col min="10238" max="10238" width="12.140625" style="141" customWidth="1"/>
    <col min="10239" max="10482" width="9.140625" style="141"/>
    <col min="10483" max="10483" width="36.140625" style="141" customWidth="1"/>
    <col min="10484" max="10484" width="12.85546875" style="141" customWidth="1"/>
    <col min="10485" max="10485" width="12.140625" style="141" customWidth="1"/>
    <col min="10486" max="10486" width="12.5703125" style="141" customWidth="1"/>
    <col min="10487" max="10487" width="11.7109375" style="141" customWidth="1"/>
    <col min="10488" max="10488" width="12.140625" style="141" customWidth="1"/>
    <col min="10489" max="10489" width="11.140625" style="141" customWidth="1"/>
    <col min="10490" max="10490" width="12.42578125" style="141" customWidth="1"/>
    <col min="10491" max="10491" width="11.28515625" style="141" customWidth="1"/>
    <col min="10492" max="10492" width="12.140625" style="141" customWidth="1"/>
    <col min="10493" max="10493" width="11" style="141" customWidth="1"/>
    <col min="10494" max="10494" width="12.140625" style="141" customWidth="1"/>
    <col min="10495" max="10738" width="9.140625" style="141"/>
    <col min="10739" max="10739" width="36.140625" style="141" customWidth="1"/>
    <col min="10740" max="10740" width="12.85546875" style="141" customWidth="1"/>
    <col min="10741" max="10741" width="12.140625" style="141" customWidth="1"/>
    <col min="10742" max="10742" width="12.5703125" style="141" customWidth="1"/>
    <col min="10743" max="10743" width="11.7109375" style="141" customWidth="1"/>
    <col min="10744" max="10744" width="12.140625" style="141" customWidth="1"/>
    <col min="10745" max="10745" width="11.140625" style="141" customWidth="1"/>
    <col min="10746" max="10746" width="12.42578125" style="141" customWidth="1"/>
    <col min="10747" max="10747" width="11.28515625" style="141" customWidth="1"/>
    <col min="10748" max="10748" width="12.140625" style="141" customWidth="1"/>
    <col min="10749" max="10749" width="11" style="141" customWidth="1"/>
    <col min="10750" max="10750" width="12.140625" style="141" customWidth="1"/>
    <col min="10751" max="10994" width="9.140625" style="141"/>
    <col min="10995" max="10995" width="36.140625" style="141" customWidth="1"/>
    <col min="10996" max="10996" width="12.85546875" style="141" customWidth="1"/>
    <col min="10997" max="10997" width="12.140625" style="141" customWidth="1"/>
    <col min="10998" max="10998" width="12.5703125" style="141" customWidth="1"/>
    <col min="10999" max="10999" width="11.7109375" style="141" customWidth="1"/>
    <col min="11000" max="11000" width="12.140625" style="141" customWidth="1"/>
    <col min="11001" max="11001" width="11.140625" style="141" customWidth="1"/>
    <col min="11002" max="11002" width="12.42578125" style="141" customWidth="1"/>
    <col min="11003" max="11003" width="11.28515625" style="141" customWidth="1"/>
    <col min="11004" max="11004" width="12.140625" style="141" customWidth="1"/>
    <col min="11005" max="11005" width="11" style="141" customWidth="1"/>
    <col min="11006" max="11006" width="12.140625" style="141" customWidth="1"/>
    <col min="11007" max="11250" width="9.140625" style="141"/>
    <col min="11251" max="11251" width="36.140625" style="141" customWidth="1"/>
    <col min="11252" max="11252" width="12.85546875" style="141" customWidth="1"/>
    <col min="11253" max="11253" width="12.140625" style="141" customWidth="1"/>
    <col min="11254" max="11254" width="12.5703125" style="141" customWidth="1"/>
    <col min="11255" max="11255" width="11.7109375" style="141" customWidth="1"/>
    <col min="11256" max="11256" width="12.140625" style="141" customWidth="1"/>
    <col min="11257" max="11257" width="11.140625" style="141" customWidth="1"/>
    <col min="11258" max="11258" width="12.42578125" style="141" customWidth="1"/>
    <col min="11259" max="11259" width="11.28515625" style="141" customWidth="1"/>
    <col min="11260" max="11260" width="12.140625" style="141" customWidth="1"/>
    <col min="11261" max="11261" width="11" style="141" customWidth="1"/>
    <col min="11262" max="11262" width="12.140625" style="141" customWidth="1"/>
    <col min="11263" max="11506" width="9.140625" style="141"/>
    <col min="11507" max="11507" width="36.140625" style="141" customWidth="1"/>
    <col min="11508" max="11508" width="12.85546875" style="141" customWidth="1"/>
    <col min="11509" max="11509" width="12.140625" style="141" customWidth="1"/>
    <col min="11510" max="11510" width="12.5703125" style="141" customWidth="1"/>
    <col min="11511" max="11511" width="11.7109375" style="141" customWidth="1"/>
    <col min="11512" max="11512" width="12.140625" style="141" customWidth="1"/>
    <col min="11513" max="11513" width="11.140625" style="141" customWidth="1"/>
    <col min="11514" max="11514" width="12.42578125" style="141" customWidth="1"/>
    <col min="11515" max="11515" width="11.28515625" style="141" customWidth="1"/>
    <col min="11516" max="11516" width="12.140625" style="141" customWidth="1"/>
    <col min="11517" max="11517" width="11" style="141" customWidth="1"/>
    <col min="11518" max="11518" width="12.140625" style="141" customWidth="1"/>
    <col min="11519" max="11762" width="9.140625" style="141"/>
    <col min="11763" max="11763" width="36.140625" style="141" customWidth="1"/>
    <col min="11764" max="11764" width="12.85546875" style="141" customWidth="1"/>
    <col min="11765" max="11765" width="12.140625" style="141" customWidth="1"/>
    <col min="11766" max="11766" width="12.5703125" style="141" customWidth="1"/>
    <col min="11767" max="11767" width="11.7109375" style="141" customWidth="1"/>
    <col min="11768" max="11768" width="12.140625" style="141" customWidth="1"/>
    <col min="11769" max="11769" width="11.140625" style="141" customWidth="1"/>
    <col min="11770" max="11770" width="12.42578125" style="141" customWidth="1"/>
    <col min="11771" max="11771" width="11.28515625" style="141" customWidth="1"/>
    <col min="11772" max="11772" width="12.140625" style="141" customWidth="1"/>
    <col min="11773" max="11773" width="11" style="141" customWidth="1"/>
    <col min="11774" max="11774" width="12.140625" style="141" customWidth="1"/>
    <col min="11775" max="12018" width="9.140625" style="141"/>
    <col min="12019" max="12019" width="36.140625" style="141" customWidth="1"/>
    <col min="12020" max="12020" width="12.85546875" style="141" customWidth="1"/>
    <col min="12021" max="12021" width="12.140625" style="141" customWidth="1"/>
    <col min="12022" max="12022" width="12.5703125" style="141" customWidth="1"/>
    <col min="12023" max="12023" width="11.7109375" style="141" customWidth="1"/>
    <col min="12024" max="12024" width="12.140625" style="141" customWidth="1"/>
    <col min="12025" max="12025" width="11.140625" style="141" customWidth="1"/>
    <col min="12026" max="12026" width="12.42578125" style="141" customWidth="1"/>
    <col min="12027" max="12027" width="11.28515625" style="141" customWidth="1"/>
    <col min="12028" max="12028" width="12.140625" style="141" customWidth="1"/>
    <col min="12029" max="12029" width="11" style="141" customWidth="1"/>
    <col min="12030" max="12030" width="12.140625" style="141" customWidth="1"/>
    <col min="12031" max="12274" width="9.140625" style="141"/>
    <col min="12275" max="12275" width="36.140625" style="141" customWidth="1"/>
    <col min="12276" max="12276" width="12.85546875" style="141" customWidth="1"/>
    <col min="12277" max="12277" width="12.140625" style="141" customWidth="1"/>
    <col min="12278" max="12278" width="12.5703125" style="141" customWidth="1"/>
    <col min="12279" max="12279" width="11.7109375" style="141" customWidth="1"/>
    <col min="12280" max="12280" width="12.140625" style="141" customWidth="1"/>
    <col min="12281" max="12281" width="11.140625" style="141" customWidth="1"/>
    <col min="12282" max="12282" width="12.42578125" style="141" customWidth="1"/>
    <col min="12283" max="12283" width="11.28515625" style="141" customWidth="1"/>
    <col min="12284" max="12284" width="12.140625" style="141" customWidth="1"/>
    <col min="12285" max="12285" width="11" style="141" customWidth="1"/>
    <col min="12286" max="12286" width="12.140625" style="141" customWidth="1"/>
    <col min="12287" max="12530" width="9.140625" style="141"/>
    <col min="12531" max="12531" width="36.140625" style="141" customWidth="1"/>
    <col min="12532" max="12532" width="12.85546875" style="141" customWidth="1"/>
    <col min="12533" max="12533" width="12.140625" style="141" customWidth="1"/>
    <col min="12534" max="12534" width="12.5703125" style="141" customWidth="1"/>
    <col min="12535" max="12535" width="11.7109375" style="141" customWidth="1"/>
    <col min="12536" max="12536" width="12.140625" style="141" customWidth="1"/>
    <col min="12537" max="12537" width="11.140625" style="141" customWidth="1"/>
    <col min="12538" max="12538" width="12.42578125" style="141" customWidth="1"/>
    <col min="12539" max="12539" width="11.28515625" style="141" customWidth="1"/>
    <col min="12540" max="12540" width="12.140625" style="141" customWidth="1"/>
    <col min="12541" max="12541" width="11" style="141" customWidth="1"/>
    <col min="12542" max="12542" width="12.140625" style="141" customWidth="1"/>
    <col min="12543" max="12786" width="9.140625" style="141"/>
    <col min="12787" max="12787" width="36.140625" style="141" customWidth="1"/>
    <col min="12788" max="12788" width="12.85546875" style="141" customWidth="1"/>
    <col min="12789" max="12789" width="12.140625" style="141" customWidth="1"/>
    <col min="12790" max="12790" width="12.5703125" style="141" customWidth="1"/>
    <col min="12791" max="12791" width="11.7109375" style="141" customWidth="1"/>
    <col min="12792" max="12792" width="12.140625" style="141" customWidth="1"/>
    <col min="12793" max="12793" width="11.140625" style="141" customWidth="1"/>
    <col min="12794" max="12794" width="12.42578125" style="141" customWidth="1"/>
    <col min="12795" max="12795" width="11.28515625" style="141" customWidth="1"/>
    <col min="12796" max="12796" width="12.140625" style="141" customWidth="1"/>
    <col min="12797" max="12797" width="11" style="141" customWidth="1"/>
    <col min="12798" max="12798" width="12.140625" style="141" customWidth="1"/>
    <col min="12799" max="13042" width="9.140625" style="141"/>
    <col min="13043" max="13043" width="36.140625" style="141" customWidth="1"/>
    <col min="13044" max="13044" width="12.85546875" style="141" customWidth="1"/>
    <col min="13045" max="13045" width="12.140625" style="141" customWidth="1"/>
    <col min="13046" max="13046" width="12.5703125" style="141" customWidth="1"/>
    <col min="13047" max="13047" width="11.7109375" style="141" customWidth="1"/>
    <col min="13048" max="13048" width="12.140625" style="141" customWidth="1"/>
    <col min="13049" max="13049" width="11.140625" style="141" customWidth="1"/>
    <col min="13050" max="13050" width="12.42578125" style="141" customWidth="1"/>
    <col min="13051" max="13051" width="11.28515625" style="141" customWidth="1"/>
    <col min="13052" max="13052" width="12.140625" style="141" customWidth="1"/>
    <col min="13053" max="13053" width="11" style="141" customWidth="1"/>
    <col min="13054" max="13054" width="12.140625" style="141" customWidth="1"/>
    <col min="13055" max="13298" width="9.140625" style="141"/>
    <col min="13299" max="13299" width="36.140625" style="141" customWidth="1"/>
    <col min="13300" max="13300" width="12.85546875" style="141" customWidth="1"/>
    <col min="13301" max="13301" width="12.140625" style="141" customWidth="1"/>
    <col min="13302" max="13302" width="12.5703125" style="141" customWidth="1"/>
    <col min="13303" max="13303" width="11.7109375" style="141" customWidth="1"/>
    <col min="13304" max="13304" width="12.140625" style="141" customWidth="1"/>
    <col min="13305" max="13305" width="11.140625" style="141" customWidth="1"/>
    <col min="13306" max="13306" width="12.42578125" style="141" customWidth="1"/>
    <col min="13307" max="13307" width="11.28515625" style="141" customWidth="1"/>
    <col min="13308" max="13308" width="12.140625" style="141" customWidth="1"/>
    <col min="13309" max="13309" width="11" style="141" customWidth="1"/>
    <col min="13310" max="13310" width="12.140625" style="141" customWidth="1"/>
    <col min="13311" max="13554" width="9.140625" style="141"/>
    <col min="13555" max="13555" width="36.140625" style="141" customWidth="1"/>
    <col min="13556" max="13556" width="12.85546875" style="141" customWidth="1"/>
    <col min="13557" max="13557" width="12.140625" style="141" customWidth="1"/>
    <col min="13558" max="13558" width="12.5703125" style="141" customWidth="1"/>
    <col min="13559" max="13559" width="11.7109375" style="141" customWidth="1"/>
    <col min="13560" max="13560" width="12.140625" style="141" customWidth="1"/>
    <col min="13561" max="13561" width="11.140625" style="141" customWidth="1"/>
    <col min="13562" max="13562" width="12.42578125" style="141" customWidth="1"/>
    <col min="13563" max="13563" width="11.28515625" style="141" customWidth="1"/>
    <col min="13564" max="13564" width="12.140625" style="141" customWidth="1"/>
    <col min="13565" max="13565" width="11" style="141" customWidth="1"/>
    <col min="13566" max="13566" width="12.140625" style="141" customWidth="1"/>
    <col min="13567" max="13810" width="9.140625" style="141"/>
    <col min="13811" max="13811" width="36.140625" style="141" customWidth="1"/>
    <col min="13812" max="13812" width="12.85546875" style="141" customWidth="1"/>
    <col min="13813" max="13813" width="12.140625" style="141" customWidth="1"/>
    <col min="13814" max="13814" width="12.5703125" style="141" customWidth="1"/>
    <col min="13815" max="13815" width="11.7109375" style="141" customWidth="1"/>
    <col min="13816" max="13816" width="12.140625" style="141" customWidth="1"/>
    <col min="13817" max="13817" width="11.140625" style="141" customWidth="1"/>
    <col min="13818" max="13818" width="12.42578125" style="141" customWidth="1"/>
    <col min="13819" max="13819" width="11.28515625" style="141" customWidth="1"/>
    <col min="13820" max="13820" width="12.140625" style="141" customWidth="1"/>
    <col min="13821" max="13821" width="11" style="141" customWidth="1"/>
    <col min="13822" max="13822" width="12.140625" style="141" customWidth="1"/>
    <col min="13823" max="14066" width="9.140625" style="141"/>
    <col min="14067" max="14067" width="36.140625" style="141" customWidth="1"/>
    <col min="14068" max="14068" width="12.85546875" style="141" customWidth="1"/>
    <col min="14069" max="14069" width="12.140625" style="141" customWidth="1"/>
    <col min="14070" max="14070" width="12.5703125" style="141" customWidth="1"/>
    <col min="14071" max="14071" width="11.7109375" style="141" customWidth="1"/>
    <col min="14072" max="14072" width="12.140625" style="141" customWidth="1"/>
    <col min="14073" max="14073" width="11.140625" style="141" customWidth="1"/>
    <col min="14074" max="14074" width="12.42578125" style="141" customWidth="1"/>
    <col min="14075" max="14075" width="11.28515625" style="141" customWidth="1"/>
    <col min="14076" max="14076" width="12.140625" style="141" customWidth="1"/>
    <col min="14077" max="14077" width="11" style="141" customWidth="1"/>
    <col min="14078" max="14078" width="12.140625" style="141" customWidth="1"/>
    <col min="14079" max="14322" width="9.140625" style="141"/>
    <col min="14323" max="14323" width="36.140625" style="141" customWidth="1"/>
    <col min="14324" max="14324" width="12.85546875" style="141" customWidth="1"/>
    <col min="14325" max="14325" width="12.140625" style="141" customWidth="1"/>
    <col min="14326" max="14326" width="12.5703125" style="141" customWidth="1"/>
    <col min="14327" max="14327" width="11.7109375" style="141" customWidth="1"/>
    <col min="14328" max="14328" width="12.140625" style="141" customWidth="1"/>
    <col min="14329" max="14329" width="11.140625" style="141" customWidth="1"/>
    <col min="14330" max="14330" width="12.42578125" style="141" customWidth="1"/>
    <col min="14331" max="14331" width="11.28515625" style="141" customWidth="1"/>
    <col min="14332" max="14332" width="12.140625" style="141" customWidth="1"/>
    <col min="14333" max="14333" width="11" style="141" customWidth="1"/>
    <col min="14334" max="14334" width="12.140625" style="141" customWidth="1"/>
    <col min="14335" max="14578" width="9.140625" style="141"/>
    <col min="14579" max="14579" width="36.140625" style="141" customWidth="1"/>
    <col min="14580" max="14580" width="12.85546875" style="141" customWidth="1"/>
    <col min="14581" max="14581" width="12.140625" style="141" customWidth="1"/>
    <col min="14582" max="14582" width="12.5703125" style="141" customWidth="1"/>
    <col min="14583" max="14583" width="11.7109375" style="141" customWidth="1"/>
    <col min="14584" max="14584" width="12.140625" style="141" customWidth="1"/>
    <col min="14585" max="14585" width="11.140625" style="141" customWidth="1"/>
    <col min="14586" max="14586" width="12.42578125" style="141" customWidth="1"/>
    <col min="14587" max="14587" width="11.28515625" style="141" customWidth="1"/>
    <col min="14588" max="14588" width="12.140625" style="141" customWidth="1"/>
    <col min="14589" max="14589" width="11" style="141" customWidth="1"/>
    <col min="14590" max="14590" width="12.140625" style="141" customWidth="1"/>
    <col min="14591" max="14834" width="9.140625" style="141"/>
    <col min="14835" max="14835" width="36.140625" style="141" customWidth="1"/>
    <col min="14836" max="14836" width="12.85546875" style="141" customWidth="1"/>
    <col min="14837" max="14837" width="12.140625" style="141" customWidth="1"/>
    <col min="14838" max="14838" width="12.5703125" style="141" customWidth="1"/>
    <col min="14839" max="14839" width="11.7109375" style="141" customWidth="1"/>
    <col min="14840" max="14840" width="12.140625" style="141" customWidth="1"/>
    <col min="14841" max="14841" width="11.140625" style="141" customWidth="1"/>
    <col min="14842" max="14842" width="12.42578125" style="141" customWidth="1"/>
    <col min="14843" max="14843" width="11.28515625" style="141" customWidth="1"/>
    <col min="14844" max="14844" width="12.140625" style="141" customWidth="1"/>
    <col min="14845" max="14845" width="11" style="141" customWidth="1"/>
    <col min="14846" max="14846" width="12.140625" style="141" customWidth="1"/>
    <col min="14847" max="15090" width="9.140625" style="141"/>
    <col min="15091" max="15091" width="36.140625" style="141" customWidth="1"/>
    <col min="15092" max="15092" width="12.85546875" style="141" customWidth="1"/>
    <col min="15093" max="15093" width="12.140625" style="141" customWidth="1"/>
    <col min="15094" max="15094" width="12.5703125" style="141" customWidth="1"/>
    <col min="15095" max="15095" width="11.7109375" style="141" customWidth="1"/>
    <col min="15096" max="15096" width="12.140625" style="141" customWidth="1"/>
    <col min="15097" max="15097" width="11.140625" style="141" customWidth="1"/>
    <col min="15098" max="15098" width="12.42578125" style="141" customWidth="1"/>
    <col min="15099" max="15099" width="11.28515625" style="141" customWidth="1"/>
    <col min="15100" max="15100" width="12.140625" style="141" customWidth="1"/>
    <col min="15101" max="15101" width="11" style="141" customWidth="1"/>
    <col min="15102" max="15102" width="12.140625" style="141" customWidth="1"/>
    <col min="15103" max="15346" width="9.140625" style="141"/>
    <col min="15347" max="15347" width="36.140625" style="141" customWidth="1"/>
    <col min="15348" max="15348" width="12.85546875" style="141" customWidth="1"/>
    <col min="15349" max="15349" width="12.140625" style="141" customWidth="1"/>
    <col min="15350" max="15350" width="12.5703125" style="141" customWidth="1"/>
    <col min="15351" max="15351" width="11.7109375" style="141" customWidth="1"/>
    <col min="15352" max="15352" width="12.140625" style="141" customWidth="1"/>
    <col min="15353" max="15353" width="11.140625" style="141" customWidth="1"/>
    <col min="15354" max="15354" width="12.42578125" style="141" customWidth="1"/>
    <col min="15355" max="15355" width="11.28515625" style="141" customWidth="1"/>
    <col min="15356" max="15356" width="12.140625" style="141" customWidth="1"/>
    <col min="15357" max="15357" width="11" style="141" customWidth="1"/>
    <col min="15358" max="15358" width="12.140625" style="141" customWidth="1"/>
    <col min="15359" max="15602" width="9.140625" style="141"/>
    <col min="15603" max="15603" width="36.140625" style="141" customWidth="1"/>
    <col min="15604" max="15604" width="12.85546875" style="141" customWidth="1"/>
    <col min="15605" max="15605" width="12.140625" style="141" customWidth="1"/>
    <col min="15606" max="15606" width="12.5703125" style="141" customWidth="1"/>
    <col min="15607" max="15607" width="11.7109375" style="141" customWidth="1"/>
    <col min="15608" max="15608" width="12.140625" style="141" customWidth="1"/>
    <col min="15609" max="15609" width="11.140625" style="141" customWidth="1"/>
    <col min="15610" max="15610" width="12.42578125" style="141" customWidth="1"/>
    <col min="15611" max="15611" width="11.28515625" style="141" customWidth="1"/>
    <col min="15612" max="15612" width="12.140625" style="141" customWidth="1"/>
    <col min="15613" max="15613" width="11" style="141" customWidth="1"/>
    <col min="15614" max="15614" width="12.140625" style="141" customWidth="1"/>
    <col min="15615" max="15858" width="9.140625" style="141"/>
    <col min="15859" max="15859" width="36.140625" style="141" customWidth="1"/>
    <col min="15860" max="15860" width="12.85546875" style="141" customWidth="1"/>
    <col min="15861" max="15861" width="12.140625" style="141" customWidth="1"/>
    <col min="15862" max="15862" width="12.5703125" style="141" customWidth="1"/>
    <col min="15863" max="15863" width="11.7109375" style="141" customWidth="1"/>
    <col min="15864" max="15864" width="12.140625" style="141" customWidth="1"/>
    <col min="15865" max="15865" width="11.140625" style="141" customWidth="1"/>
    <col min="15866" max="15866" width="12.42578125" style="141" customWidth="1"/>
    <col min="15867" max="15867" width="11.28515625" style="141" customWidth="1"/>
    <col min="15868" max="15868" width="12.140625" style="141" customWidth="1"/>
    <col min="15869" max="15869" width="11" style="141" customWidth="1"/>
    <col min="15870" max="15870" width="12.140625" style="141" customWidth="1"/>
    <col min="15871" max="16114" width="9.140625" style="141"/>
    <col min="16115" max="16115" width="36.140625" style="141" customWidth="1"/>
    <col min="16116" max="16116" width="12.85546875" style="141" customWidth="1"/>
    <col min="16117" max="16117" width="12.140625" style="141" customWidth="1"/>
    <col min="16118" max="16118" width="12.5703125" style="141" customWidth="1"/>
    <col min="16119" max="16119" width="11.7109375" style="141" customWidth="1"/>
    <col min="16120" max="16120" width="12.140625" style="141" customWidth="1"/>
    <col min="16121" max="16121" width="11.140625" style="141" customWidth="1"/>
    <col min="16122" max="16122" width="12.42578125" style="141" customWidth="1"/>
    <col min="16123" max="16123" width="11.28515625" style="141" customWidth="1"/>
    <col min="16124" max="16124" width="12.140625" style="141" customWidth="1"/>
    <col min="16125" max="16125" width="11" style="141" customWidth="1"/>
    <col min="16126" max="16126" width="12.140625" style="141" customWidth="1"/>
    <col min="16127" max="16384" width="9.140625" style="141"/>
  </cols>
  <sheetData>
    <row r="1" spans="1:13" ht="38.25" customHeight="1" x14ac:dyDescent="0.25">
      <c r="A1" s="455" t="s">
        <v>828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</row>
    <row r="2" spans="1:13" x14ac:dyDescent="0.25">
      <c r="A2" s="456" t="s">
        <v>745</v>
      </c>
      <c r="B2" s="457" t="s">
        <v>746</v>
      </c>
      <c r="C2" s="453" t="s">
        <v>749</v>
      </c>
      <c r="D2" s="454"/>
      <c r="E2" s="453" t="s">
        <v>750</v>
      </c>
      <c r="F2" s="454"/>
      <c r="G2" s="453" t="s">
        <v>751</v>
      </c>
      <c r="H2" s="454"/>
      <c r="I2" s="453" t="s">
        <v>752</v>
      </c>
      <c r="J2" s="454"/>
      <c r="K2" s="453" t="s">
        <v>753</v>
      </c>
      <c r="L2" s="454"/>
      <c r="M2" s="141">
        <v>2024</v>
      </c>
    </row>
    <row r="3" spans="1:13" ht="47.25" x14ac:dyDescent="0.25">
      <c r="A3" s="456"/>
      <c r="B3" s="456"/>
      <c r="C3" s="142" t="s">
        <v>754</v>
      </c>
      <c r="D3" s="142" t="s">
        <v>757</v>
      </c>
      <c r="E3" s="142" t="s">
        <v>758</v>
      </c>
      <c r="F3" s="142" t="s">
        <v>759</v>
      </c>
      <c r="G3" s="142" t="s">
        <v>760</v>
      </c>
      <c r="H3" s="142" t="s">
        <v>761</v>
      </c>
      <c r="I3" s="142" t="s">
        <v>760</v>
      </c>
      <c r="J3" s="142" t="s">
        <v>762</v>
      </c>
      <c r="K3" s="142" t="s">
        <v>760</v>
      </c>
      <c r="L3" s="142" t="s">
        <v>763</v>
      </c>
    </row>
    <row r="4" spans="1:13" ht="54" x14ac:dyDescent="0.25">
      <c r="A4" s="143" t="s">
        <v>764</v>
      </c>
      <c r="B4" s="144" t="s">
        <v>765</v>
      </c>
      <c r="C4" s="205">
        <v>10382.1</v>
      </c>
      <c r="D4" s="205">
        <v>101.95121472199855</v>
      </c>
      <c r="E4" s="205">
        <f>'Итог-Модел CGE'!I4</f>
        <v>10614.691000000001</v>
      </c>
      <c r="F4" s="205">
        <f>+E4/C4*100</f>
        <v>102.24030783752806</v>
      </c>
      <c r="G4" s="205">
        <f>+E4*H4/100</f>
        <v>10837.599511</v>
      </c>
      <c r="H4" s="148">
        <v>102.1</v>
      </c>
      <c r="I4" s="205">
        <f>+G4*J4/100</f>
        <v>11076.026700242001</v>
      </c>
      <c r="J4" s="148">
        <v>102.2</v>
      </c>
      <c r="K4" s="205">
        <f>+I4*L4/100</f>
        <v>11330.775314347567</v>
      </c>
      <c r="L4" s="148">
        <v>102.3</v>
      </c>
      <c r="M4" s="141">
        <v>10382.1</v>
      </c>
    </row>
    <row r="5" spans="1:13" ht="36" x14ac:dyDescent="0.25">
      <c r="A5" s="143" t="s">
        <v>766</v>
      </c>
      <c r="B5" s="144" t="s">
        <v>767</v>
      </c>
      <c r="C5" s="148">
        <v>153402.20000000001</v>
      </c>
      <c r="D5" s="148">
        <v>108.4</v>
      </c>
      <c r="E5" s="205">
        <f>GDP!Q19</f>
        <v>225457.16600975062</v>
      </c>
      <c r="F5" s="148">
        <f>GDP!Q36</f>
        <v>108.37388918991087</v>
      </c>
      <c r="G5" s="205">
        <f>GDP!R19</f>
        <v>254611.99914551765</v>
      </c>
      <c r="H5" s="148">
        <f>GDP!R36</f>
        <v>108.62520475951297</v>
      </c>
      <c r="I5" s="205">
        <f>GDP!S19</f>
        <v>290957.13820040174</v>
      </c>
      <c r="J5" s="148">
        <f>GDP!S36</f>
        <v>108.76495168739831</v>
      </c>
      <c r="K5" s="205">
        <f>GDP!T19</f>
        <v>325987.61538032541</v>
      </c>
      <c r="L5" s="148">
        <f>GDP!T36</f>
        <v>107.88215008830171</v>
      </c>
      <c r="M5" s="141">
        <v>153402.20000000001</v>
      </c>
    </row>
    <row r="6" spans="1:13" ht="18.75" customHeight="1" x14ac:dyDescent="0.25">
      <c r="A6" s="149" t="s">
        <v>768</v>
      </c>
      <c r="B6" s="144" t="s">
        <v>769</v>
      </c>
      <c r="C6" s="254"/>
      <c r="D6" s="254">
        <v>108.2</v>
      </c>
      <c r="E6" s="254"/>
      <c r="F6" s="254">
        <f>GDP!Q35</f>
        <v>104.07121513480601</v>
      </c>
      <c r="G6" s="254"/>
      <c r="H6" s="259">
        <f>GDP!R35</f>
        <v>103.96429553886924</v>
      </c>
      <c r="I6" s="254"/>
      <c r="J6" s="254">
        <f>GDP!S35</f>
        <v>105.06575320666383</v>
      </c>
      <c r="K6" s="254"/>
      <c r="L6" s="254">
        <f>GDP!T35</f>
        <v>103.85382375573234</v>
      </c>
    </row>
    <row r="7" spans="1:13" x14ac:dyDescent="0.25">
      <c r="A7" s="149" t="s">
        <v>770</v>
      </c>
      <c r="B7" s="144" t="s">
        <v>769</v>
      </c>
      <c r="C7" s="148"/>
      <c r="D7" s="148">
        <v>103.6</v>
      </c>
      <c r="E7" s="148"/>
      <c r="F7" s="148">
        <f>'6_Closures'!F20</f>
        <v>104.0021921</v>
      </c>
      <c r="G7" s="148"/>
      <c r="H7" s="148">
        <f>'6_Closures'!G20</f>
        <v>103.839181</v>
      </c>
      <c r="I7" s="148"/>
      <c r="J7" s="148">
        <f>'6_Closures'!H20</f>
        <v>103.94068900000001</v>
      </c>
      <c r="K7" s="148"/>
      <c r="L7" s="148">
        <f>'6_Closures'!I20</f>
        <v>104.053101</v>
      </c>
    </row>
    <row r="8" spans="1:13" x14ac:dyDescent="0.25">
      <c r="A8" s="149" t="s">
        <v>771</v>
      </c>
      <c r="B8" s="144" t="s">
        <v>772</v>
      </c>
      <c r="C8" s="148">
        <v>14775.642692711495</v>
      </c>
      <c r="D8" s="148">
        <f>'Итог-Модел CGE'!H8</f>
        <v>114.89621232753817</v>
      </c>
      <c r="E8" s="205">
        <f>+E5/E4*1000</f>
        <v>21240.106378014265</v>
      </c>
      <c r="F8" s="148">
        <f>+E8/C8*100</f>
        <v>143.75081219642345</v>
      </c>
      <c r="G8" s="205">
        <f>+G5/G4*1000</f>
        <v>23493.394352420044</v>
      </c>
      <c r="H8" s="148">
        <f>+G8/E8*100</f>
        <v>110.60864731232311</v>
      </c>
      <c r="I8" s="205">
        <f>+I5/I4*1000</f>
        <v>26269.089636091667</v>
      </c>
      <c r="J8" s="148">
        <f>+I8/G8*100</f>
        <v>111.81479032801278</v>
      </c>
      <c r="K8" s="205">
        <f>+K5/K4*1000</f>
        <v>28770.106752319443</v>
      </c>
      <c r="L8" s="148">
        <f>+K8/I8*100</f>
        <v>109.52076052453516</v>
      </c>
      <c r="M8" s="145">
        <f>+M5/M4*1000</f>
        <v>14775.642692711495</v>
      </c>
    </row>
    <row r="9" spans="1:13" ht="36" x14ac:dyDescent="0.25">
      <c r="A9" s="151" t="s">
        <v>773</v>
      </c>
      <c r="B9" s="152" t="s">
        <v>767</v>
      </c>
      <c r="C9" s="154">
        <f>'Итог-Модел CGE'!G9</f>
        <v>53818.999999999993</v>
      </c>
      <c r="D9" s="154">
        <f>'Итог-Модел CGE'!H9</f>
        <v>120</v>
      </c>
      <c r="E9" s="154">
        <f>'Итог-Модел CGE'!I9</f>
        <v>66726.100000000006</v>
      </c>
      <c r="F9" s="154">
        <f>'Итог-Модел CGE'!J9</f>
        <v>122.1</v>
      </c>
      <c r="G9" s="154">
        <f>'Итог-Модел CGE'!K9</f>
        <v>83491.032625000007</v>
      </c>
      <c r="H9" s="155">
        <f>'Итог-Модел CGE'!L9</f>
        <v>125.00000000000001</v>
      </c>
      <c r="I9" s="154">
        <f>'Итог-Модел CGE'!M9</f>
        <v>104885.60973515626</v>
      </c>
      <c r="J9" s="155">
        <f>'Итог-Модел CGE'!N9</f>
        <v>124.99999999999999</v>
      </c>
      <c r="K9" s="154">
        <f>'Итог-Модел CGE'!O9</f>
        <v>131605.53347201648</v>
      </c>
      <c r="L9" s="155">
        <f>'Итог-Модел CGE'!P9</f>
        <v>125.09999999999998</v>
      </c>
    </row>
    <row r="10" spans="1:13" ht="36" x14ac:dyDescent="0.25">
      <c r="A10" s="151" t="s">
        <v>774</v>
      </c>
      <c r="B10" s="152" t="s">
        <v>767</v>
      </c>
      <c r="C10" s="155">
        <f>'Итог-Модел CGE'!G10</f>
        <v>73976.600000000006</v>
      </c>
      <c r="D10" s="155">
        <f>'Итог-Модел CGE'!H10</f>
        <v>110.6</v>
      </c>
      <c r="E10" s="154">
        <f>'Итог-Модел CGE'!I10</f>
        <v>84653.8</v>
      </c>
      <c r="F10" s="155">
        <f>'Итог-Модел CGE'!J10</f>
        <v>109.5</v>
      </c>
      <c r="G10" s="154">
        <f>'Итог-Модел CGE'!K10</f>
        <v>95155.449822395924</v>
      </c>
      <c r="H10" s="155">
        <f>'Итог-Модел CGE'!L10</f>
        <v>108.92031018370741</v>
      </c>
      <c r="I10" s="154">
        <f>'Итог-Модел CGE'!M10</f>
        <v>104590.96592645653</v>
      </c>
      <c r="J10" s="155">
        <f>'Итог-Модел CGE'!N10</f>
        <v>108.61254614131397</v>
      </c>
      <c r="K10" s="154">
        <f>'Итог-Модел CGE'!O10</f>
        <v>114715.95317271228</v>
      </c>
      <c r="L10" s="155">
        <f>'Итог-Модел CGE'!P10</f>
        <v>108.27300711668305</v>
      </c>
    </row>
    <row r="11" spans="1:13" ht="72" x14ac:dyDescent="0.25">
      <c r="A11" s="151" t="s">
        <v>775</v>
      </c>
      <c r="B11" s="152" t="s">
        <v>767</v>
      </c>
      <c r="C11" s="154">
        <f>'Итог-Модел CGE'!G11</f>
        <v>22543</v>
      </c>
      <c r="D11" s="155">
        <f>'Итог-Модел CGE'!H11</f>
        <v>108.4</v>
      </c>
      <c r="E11" s="154">
        <f>'Итог-Модел CGE'!I11</f>
        <v>28736</v>
      </c>
      <c r="F11" s="155">
        <f>'Итог-Модел CGE'!J11</f>
        <v>123</v>
      </c>
      <c r="G11" s="154">
        <f>'Итог-Модел CGE'!K11</f>
        <v>32767.971999999987</v>
      </c>
      <c r="H11" s="155">
        <f>'Итог-Модел CGE'!L11</f>
        <v>114.03108296213804</v>
      </c>
      <c r="I11" s="154">
        <f>'Итог-Модел CGE'!M11</f>
        <v>38923.92156000001</v>
      </c>
      <c r="J11" s="155">
        <f>'Итог-Модел CGE'!N11</f>
        <v>118.78648321598915</v>
      </c>
      <c r="K11" s="154">
        <f>'Итог-Модел CGE'!O11</f>
        <v>44524.430810400023</v>
      </c>
      <c r="L11" s="155">
        <f>'Итог-Модел CGE'!P11</f>
        <v>114.38834790006194</v>
      </c>
    </row>
    <row r="12" spans="1:13" ht="36" x14ac:dyDescent="0.25">
      <c r="A12" s="151" t="s">
        <v>776</v>
      </c>
      <c r="B12" s="152" t="s">
        <v>767</v>
      </c>
      <c r="C12" s="155">
        <f>'Итог-Модел CGE'!G12</f>
        <v>9830.5</v>
      </c>
      <c r="D12" s="155">
        <f>'Итог-Модел CGE'!H12</f>
        <v>118.5</v>
      </c>
      <c r="E12" s="154">
        <f>'Итог-Модел CGE'!I12</f>
        <v>13280.5</v>
      </c>
      <c r="F12" s="155">
        <f>'Итог-Модел CGE'!J12</f>
        <v>130.4</v>
      </c>
      <c r="G12" s="154">
        <f>'Итог-Модел CGE'!K12</f>
        <v>14210.134999999995</v>
      </c>
      <c r="H12" s="155">
        <f>'Итог-Модел CGE'!L12</f>
        <v>106.99999999999996</v>
      </c>
      <c r="I12" s="154">
        <f>'Итог-Модел CGE'!M12</f>
        <v>15631.148500000003</v>
      </c>
      <c r="J12" s="155">
        <f>'Итог-Модел CGE'!N12</f>
        <v>110.00000000000006</v>
      </c>
      <c r="K12" s="154">
        <f>'Итог-Модел CGE'!O12</f>
        <v>16881.640380000008</v>
      </c>
      <c r="L12" s="155">
        <f>'Итог-Модел CGE'!P12</f>
        <v>108.00000000000003</v>
      </c>
    </row>
    <row r="13" spans="1:13" ht="36" x14ac:dyDescent="0.25">
      <c r="A13" s="151" t="s">
        <v>777</v>
      </c>
      <c r="B13" s="152" t="s">
        <v>778</v>
      </c>
      <c r="C13" s="155">
        <f>'Итог-Модел CGE'!G13</f>
        <v>5126.6000000000004</v>
      </c>
      <c r="D13" s="155">
        <f>'Итог-Модел CGE'!H13</f>
        <v>190.57992565055764</v>
      </c>
      <c r="E13" s="154">
        <f>'Итог-Модел CGE'!I13</f>
        <v>6925.3</v>
      </c>
      <c r="F13" s="154">
        <f>'Итог-Модел CGE'!J13</f>
        <v>135.08563180275425</v>
      </c>
      <c r="G13" s="154">
        <f>'Итог-Модел CGE'!K13</f>
        <v>7624.7552999999998</v>
      </c>
      <c r="H13" s="154">
        <f>'Итог-Модел CGE'!L13</f>
        <v>110.1</v>
      </c>
      <c r="I13" s="154">
        <f>'Итог-Модел CGE'!M13</f>
        <v>8562.6002018999989</v>
      </c>
      <c r="J13" s="155">
        <f>'Итог-Модел CGE'!N13</f>
        <v>112.29999999999998</v>
      </c>
      <c r="K13" s="154">
        <f>'Итог-Модел CGE'!O13</f>
        <v>9598.6748263298996</v>
      </c>
      <c r="L13" s="154">
        <f>'Итог-Модел CGE'!P13</f>
        <v>112.1</v>
      </c>
    </row>
    <row r="14" spans="1:13" ht="36" x14ac:dyDescent="0.25">
      <c r="A14" s="151" t="s">
        <v>779</v>
      </c>
      <c r="B14" s="152" t="s">
        <v>767</v>
      </c>
      <c r="C14" s="155">
        <f>'Итог-Модел CGE'!G14</f>
        <v>65783.8</v>
      </c>
      <c r="D14" s="155">
        <f>'Итог-Модел CGE'!H14</f>
        <v>113.6</v>
      </c>
      <c r="E14" s="154">
        <f>'Итог-Модел CGE'!I14</f>
        <v>77307.100000000006</v>
      </c>
      <c r="F14" s="155">
        <f>'Итог-Модел CGE'!J14</f>
        <v>113.9</v>
      </c>
      <c r="G14" s="154">
        <f>'Итог-Модел CGE'!K14</f>
        <v>89946.541177669904</v>
      </c>
      <c r="H14" s="155">
        <f>'Итог-Модел CGE'!L14</f>
        <v>114.15335710871818</v>
      </c>
      <c r="I14" s="154">
        <f>'Итог-Модел CGE'!M14</f>
        <v>105319.77392904399</v>
      </c>
      <c r="J14" s="154">
        <f>'Итог-Модел CGE'!N14</f>
        <v>114.48579696091133</v>
      </c>
      <c r="K14" s="154">
        <f>'Итог-Модел CGE'!O14</f>
        <v>120054.47057104275</v>
      </c>
      <c r="L14" s="155">
        <f>'Итог-Модел CGE'!P14</f>
        <v>113.55900111382716</v>
      </c>
    </row>
    <row r="15" spans="1:13" s="162" customFormat="1" ht="36" x14ac:dyDescent="0.25">
      <c r="A15" s="161" t="s">
        <v>780</v>
      </c>
      <c r="B15" s="152" t="s">
        <v>767</v>
      </c>
      <c r="C15" s="154">
        <f>'Итог-Модел CGE'!G15</f>
        <v>55663</v>
      </c>
      <c r="D15" s="155">
        <f>'Итог-Модел CGE'!H15</f>
        <v>113.5</v>
      </c>
      <c r="E15" s="154">
        <f>'Итог-Модел CGE'!I15</f>
        <v>65705.600000000006</v>
      </c>
      <c r="F15" s="155">
        <f>'Итог-Модел CGE'!J15</f>
        <v>114.4</v>
      </c>
      <c r="G15" s="154">
        <f>'Итог-Модел CGE'!K15</f>
        <v>78696.140877782163</v>
      </c>
      <c r="H15" s="155">
        <f>'Итог-Модел CGE'!L15</f>
        <v>114.04140394834157</v>
      </c>
      <c r="I15" s="154">
        <f>'Итог-Модел CGE'!M15</f>
        <v>91582.412112212172</v>
      </c>
      <c r="J15" s="155">
        <f>'Итог-Модел CGE'!N15</f>
        <v>114.23170325789494</v>
      </c>
      <c r="K15" s="154">
        <f>'Итог-Модел CGE'!O15</f>
        <v>104395.19180090674</v>
      </c>
      <c r="L15" s="155">
        <f>'Итог-Модел CGE'!P15</f>
        <v>113.33319262525691</v>
      </c>
    </row>
    <row r="16" spans="1:13" s="162" customFormat="1" ht="54" x14ac:dyDescent="0.25">
      <c r="A16" s="151" t="s">
        <v>781</v>
      </c>
      <c r="B16" s="152" t="s">
        <v>767</v>
      </c>
      <c r="C16" s="155">
        <f>'Итог-Модел CGE'!G16</f>
        <v>25722.9</v>
      </c>
      <c r="D16" s="154">
        <f>'Итог-Модел CGE'!H16</f>
        <v>113</v>
      </c>
      <c r="E16" s="154">
        <f>'Итог-Модел CGE'!I16</f>
        <v>30470.2</v>
      </c>
      <c r="F16" s="155">
        <f>'Итог-Модел CGE'!J16</f>
        <v>113.2</v>
      </c>
      <c r="G16" s="154">
        <f>'Итог-Модел CGE'!K16</f>
        <v>35439.755165198461</v>
      </c>
      <c r="H16" s="155">
        <f>'Итог-Модел CGE'!L16</f>
        <v>114.9303940053814</v>
      </c>
      <c r="I16" s="154">
        <f>'Итог-Модел CGE'!M16</f>
        <v>41254.484715362232</v>
      </c>
      <c r="J16" s="155">
        <f>'Итог-Модел CGE'!N16</f>
        <v>113.901530110427</v>
      </c>
      <c r="K16" s="154">
        <f>'Итог-Модел CGE'!O16</f>
        <v>47612.182093920492</v>
      </c>
      <c r="L16" s="155">
        <f>'Итог-Модел CGE'!P16</f>
        <v>113.70534406322643</v>
      </c>
    </row>
    <row r="17" spans="1:12" ht="36" x14ac:dyDescent="0.25">
      <c r="A17" s="161" t="s">
        <v>782</v>
      </c>
      <c r="B17" s="152" t="s">
        <v>767</v>
      </c>
      <c r="C17" s="155">
        <f>'Итог-Модел CGE'!G17</f>
        <v>19094.900000000001</v>
      </c>
      <c r="D17" s="154">
        <f>'Итог-Модел CGE'!H17</f>
        <v>109</v>
      </c>
      <c r="E17" s="154">
        <f>'Итог-Модел CGE'!I17</f>
        <v>22148.5</v>
      </c>
      <c r="F17" s="155">
        <f>'Итог-Модел CGE'!J17</f>
        <v>110.9</v>
      </c>
      <c r="G17" s="154">
        <f>'Итог-Модел CGE'!K17</f>
        <v>25868.434427152159</v>
      </c>
      <c r="H17" s="155">
        <f>'Итог-Модел CGE'!L17</f>
        <v>111.2337368956606</v>
      </c>
      <c r="I17" s="154">
        <f>'Итог-Модел CGE'!M17</f>
        <v>29679.485406735421</v>
      </c>
      <c r="J17" s="155">
        <f>'Итог-Модел CGE'!N17</f>
        <v>111.39071618971383</v>
      </c>
      <c r="K17" s="154">
        <f>'Итог-Модел CGE'!O17</f>
        <v>33529.70569994401</v>
      </c>
      <c r="L17" s="155">
        <f>'Итог-Модел CGE'!P17</f>
        <v>111.85412402147747</v>
      </c>
    </row>
    <row r="18" spans="1:12" x14ac:dyDescent="0.25">
      <c r="A18" s="151" t="s">
        <v>783</v>
      </c>
      <c r="B18" s="458" t="s">
        <v>778</v>
      </c>
      <c r="C18" s="154">
        <v>8955</v>
      </c>
      <c r="D18" s="155">
        <v>107.51719914994776</v>
      </c>
      <c r="E18" s="154">
        <f>+E19+E20</f>
        <v>11200.599971220476</v>
      </c>
      <c r="F18" s="155">
        <f>+E18/C18*100</f>
        <v>125.07649325762675</v>
      </c>
      <c r="G18" s="154">
        <f>+G19+G20</f>
        <v>11336.583686236969</v>
      </c>
      <c r="H18" s="155">
        <f>+G18/E18*100</f>
        <v>101.21407527602003</v>
      </c>
      <c r="I18" s="154">
        <f>+I19+I20</f>
        <v>11664.551983752193</v>
      </c>
      <c r="J18" s="155">
        <f>+I18/G18*100</f>
        <v>102.89300821651757</v>
      </c>
      <c r="K18" s="154">
        <f>+K19+K20</f>
        <v>11979.380979436051</v>
      </c>
      <c r="L18" s="155">
        <f>+K18/I18*100</f>
        <v>102.69902346976025</v>
      </c>
    </row>
    <row r="19" spans="1:12" x14ac:dyDescent="0.25">
      <c r="A19" s="151" t="s">
        <v>784</v>
      </c>
      <c r="B19" s="459"/>
      <c r="C19" s="155">
        <v>1947.4</v>
      </c>
      <c r="D19" s="155">
        <v>79.524665142110422</v>
      </c>
      <c r="E19" s="154">
        <f>'5_IntTrade'!F74</f>
        <v>2840.4586402822806</v>
      </c>
      <c r="F19" s="155">
        <f>+E19/C19*100</f>
        <v>145.85902435464109</v>
      </c>
      <c r="G19" s="154">
        <f>'5_IntTrade'!G74</f>
        <v>2973.4668221584402</v>
      </c>
      <c r="H19" s="154">
        <f>+G19/E19*100</f>
        <v>104.68263047346964</v>
      </c>
      <c r="I19" s="154">
        <f>'5_IntTrade'!H74</f>
        <v>3140.639557806061</v>
      </c>
      <c r="J19" s="155">
        <f>+I19/G19*100</f>
        <v>105.6221490148079</v>
      </c>
      <c r="K19" s="154">
        <f>'5_IntTrade'!I74</f>
        <v>3298.475280108471</v>
      </c>
      <c r="L19" s="155">
        <f>+K19/I19*100</f>
        <v>105.02559174325208</v>
      </c>
    </row>
    <row r="20" spans="1:12" x14ac:dyDescent="0.25">
      <c r="A20" s="151" t="s">
        <v>785</v>
      </c>
      <c r="B20" s="460"/>
      <c r="C20" s="155">
        <v>7007.6</v>
      </c>
      <c r="D20" s="155">
        <v>119.17484396523868</v>
      </c>
      <c r="E20" s="154">
        <f>'5_IntTrade'!F75</f>
        <v>8360.1413309381951</v>
      </c>
      <c r="F20" s="155">
        <f>+E20/C20*100</f>
        <v>119.30106357295213</v>
      </c>
      <c r="G20" s="154">
        <f>'5_IntTrade'!G75</f>
        <v>8363.116864078529</v>
      </c>
      <c r="H20" s="155">
        <f>+G20/E20*100</f>
        <v>100.03559189997569</v>
      </c>
      <c r="I20" s="154">
        <f>'5_IntTrade'!H75</f>
        <v>8523.9124259461314</v>
      </c>
      <c r="J20" s="155">
        <f>+I20/G20*100</f>
        <v>101.92267505621327</v>
      </c>
      <c r="K20" s="154">
        <f>'5_IntTrade'!I75</f>
        <v>8680.9056993275808</v>
      </c>
      <c r="L20" s="155">
        <f>+K20/I20*100</f>
        <v>101.84179829093006</v>
      </c>
    </row>
    <row r="21" spans="1:12" ht="32.25" thickBot="1" x14ac:dyDescent="0.3">
      <c r="A21" s="200" t="s">
        <v>830</v>
      </c>
      <c r="B21" s="152" t="s">
        <v>829</v>
      </c>
      <c r="C21" s="175" t="s">
        <v>801</v>
      </c>
      <c r="D21" s="175" t="s">
        <v>801</v>
      </c>
      <c r="E21" s="175" t="s">
        <v>801</v>
      </c>
      <c r="F21" s="175" t="s">
        <v>801</v>
      </c>
      <c r="G21" s="175" t="s">
        <v>801</v>
      </c>
      <c r="H21" s="175" t="s">
        <v>801</v>
      </c>
      <c r="I21" s="175" t="s">
        <v>801</v>
      </c>
      <c r="J21" s="175" t="s">
        <v>801</v>
      </c>
      <c r="K21" s="175" t="s">
        <v>801</v>
      </c>
      <c r="L21" s="175" t="s">
        <v>801</v>
      </c>
    </row>
    <row r="22" spans="1:12" x14ac:dyDescent="0.25">
      <c r="A22" s="461" t="s">
        <v>831</v>
      </c>
      <c r="B22" s="461"/>
      <c r="C22" s="461"/>
      <c r="D22" s="461"/>
      <c r="E22" s="461"/>
      <c r="F22" s="461"/>
    </row>
    <row r="24" spans="1:12" x14ac:dyDescent="0.25">
      <c r="C24" s="164">
        <f t="shared" ref="C24:J24" si="0">+E8-C8</f>
        <v>6464.4636853027696</v>
      </c>
      <c r="D24" s="164">
        <f t="shared" si="0"/>
        <v>28.854599868885288</v>
      </c>
      <c r="E24" s="164">
        <f t="shared" si="0"/>
        <v>2253.2879744057791</v>
      </c>
      <c r="F24" s="164">
        <f t="shared" si="0"/>
        <v>-33.142164884100339</v>
      </c>
      <c r="G24" s="164">
        <f t="shared" si="0"/>
        <v>2775.6952836716227</v>
      </c>
      <c r="H24" s="164">
        <f t="shared" si="0"/>
        <v>1.206143015689662</v>
      </c>
      <c r="I24" s="164">
        <f t="shared" si="0"/>
        <v>2501.0171162277766</v>
      </c>
      <c r="J24" s="164">
        <f t="shared" si="0"/>
        <v>-2.2940298034776134</v>
      </c>
    </row>
    <row r="25" spans="1:12" x14ac:dyDescent="0.25">
      <c r="E25" s="141">
        <f>3119*109.8</f>
        <v>342466.2</v>
      </c>
    </row>
    <row r="26" spans="1:12" x14ac:dyDescent="0.25">
      <c r="C26" s="141">
        <f>+C19/C18*100</f>
        <v>21.746510329424904</v>
      </c>
      <c r="E26" s="141">
        <f>+E19/E18*100</f>
        <v>25.359879359862269</v>
      </c>
      <c r="G26" s="141">
        <f>+G19/G18*100</f>
        <v>26.228949606470408</v>
      </c>
      <c r="I26" s="141">
        <f>+I19/I18*100</f>
        <v>26.924647960596566</v>
      </c>
    </row>
    <row r="27" spans="1:12" x14ac:dyDescent="0.25">
      <c r="C27" s="141">
        <f>+C20/C18*100</f>
        <v>78.253489670575107</v>
      </c>
      <c r="E27" s="141">
        <f>+E20/E18*100</f>
        <v>74.640120640137724</v>
      </c>
      <c r="G27" s="141">
        <f>+G20/G18*100</f>
        <v>73.771050393529592</v>
      </c>
      <c r="I27" s="141">
        <f>+I20/I18*100</f>
        <v>73.075352039403427</v>
      </c>
    </row>
    <row r="29" spans="1:12" x14ac:dyDescent="0.25">
      <c r="C29" s="164">
        <f t="shared" ref="C29:L29" si="1">C30+C31</f>
        <v>9794.1059999999998</v>
      </c>
      <c r="D29" s="164" t="e">
        <f t="shared" si="1"/>
        <v>#REF!</v>
      </c>
      <c r="E29" s="164">
        <f t="shared" si="1"/>
        <v>10921.976012330777</v>
      </c>
      <c r="F29" s="164">
        <f t="shared" si="1"/>
        <v>224.1666786512256</v>
      </c>
      <c r="G29" s="164">
        <f t="shared" si="1"/>
        <v>14417.24216468052</v>
      </c>
      <c r="H29" s="164">
        <f t="shared" si="1"/>
        <v>248.86814139657997</v>
      </c>
      <c r="I29" s="164">
        <f t="shared" si="1"/>
        <v>15493.691836477481</v>
      </c>
      <c r="J29" s="164">
        <f t="shared" si="1"/>
        <v>217.29188438836925</v>
      </c>
      <c r="K29" s="164">
        <f t="shared" si="1"/>
        <v>16559.333554819761</v>
      </c>
      <c r="L29" s="164">
        <f t="shared" si="1"/>
        <v>214.68302032713402</v>
      </c>
    </row>
    <row r="30" spans="1:12" ht="36" x14ac:dyDescent="0.25">
      <c r="A30" s="151" t="s">
        <v>786</v>
      </c>
      <c r="C30" s="165">
        <f>[2]BoP!M14</f>
        <v>2108.4050000000002</v>
      </c>
      <c r="D30" s="160" t="e">
        <f>+C30/#REF!*100</f>
        <v>#REF!</v>
      </c>
      <c r="E30" s="165">
        <f>[2]BoP!N14</f>
        <v>2384.1837440574668</v>
      </c>
      <c r="F30" s="160">
        <f>+E30/C30*100</f>
        <v>113.07997012231836</v>
      </c>
      <c r="G30" s="165">
        <f>[2]BoP!O14</f>
        <v>2646.4816573039252</v>
      </c>
      <c r="H30" s="160">
        <f>+G30/E30*100</f>
        <v>111.00158131269164</v>
      </c>
      <c r="I30" s="165">
        <f>[2]BoP!P14</f>
        <v>2924.619604967002</v>
      </c>
      <c r="J30" s="160">
        <f>+I30/G30*100</f>
        <v>110.50972512488248</v>
      </c>
      <c r="K30" s="165">
        <f>[2]BoP!Q14</f>
        <v>3161.1126165783112</v>
      </c>
      <c r="L30" s="160">
        <f>+K30/I30*100</f>
        <v>108.08628278391019</v>
      </c>
    </row>
    <row r="31" spans="1:12" ht="36" x14ac:dyDescent="0.25">
      <c r="A31" s="151" t="s">
        <v>787</v>
      </c>
      <c r="C31" s="165">
        <f>[2]BoP!M15</f>
        <v>7685.701</v>
      </c>
      <c r="D31" s="160" t="e">
        <f>+C31/#REF!*100</f>
        <v>#REF!</v>
      </c>
      <c r="E31" s="165">
        <f>[2]BoP!N15</f>
        <v>8537.7922682733097</v>
      </c>
      <c r="F31" s="160">
        <f>+E31/C31*100</f>
        <v>111.08670852890725</v>
      </c>
      <c r="G31" s="165">
        <f>[2]BoP!O15</f>
        <v>11770.760507376595</v>
      </c>
      <c r="H31" s="160">
        <f>+G31/E31*100</f>
        <v>137.86656008388834</v>
      </c>
      <c r="I31" s="165">
        <f>[2]BoP!P15</f>
        <v>12569.072231510479</v>
      </c>
      <c r="J31" s="160">
        <f>+I31/G31*100</f>
        <v>106.78215926348678</v>
      </c>
      <c r="K31" s="165">
        <f>[2]BoP!Q15</f>
        <v>13398.220938241451</v>
      </c>
      <c r="L31" s="160">
        <f>+K31/I31*100</f>
        <v>106.59673754322382</v>
      </c>
    </row>
    <row r="32" spans="1:12" ht="36.75" thickBot="1" x14ac:dyDescent="0.3">
      <c r="A32" s="200" t="s">
        <v>803</v>
      </c>
      <c r="C32" s="141">
        <v>10.7986</v>
      </c>
      <c r="D32" s="160" t="e">
        <f>+C32/#REF!*100</f>
        <v>#REF!</v>
      </c>
      <c r="E32" s="202">
        <f>'1_Prices'!F90</f>
        <v>9.4140239999999995</v>
      </c>
      <c r="F32" s="160">
        <f>+E32/C32*100</f>
        <v>87.178189765339937</v>
      </c>
      <c r="G32" s="141">
        <f>'1_Prices'!G90</f>
        <v>9.6920520000000003</v>
      </c>
      <c r="H32" s="160">
        <f>+G32/E32*100</f>
        <v>102.95333855108082</v>
      </c>
      <c r="I32" s="202">
        <f>'1_Prices'!H90</f>
        <v>9.8826689999999999</v>
      </c>
      <c r="J32" s="160">
        <f>+I32/G32*100</f>
        <v>101.96673521768145</v>
      </c>
      <c r="K32" s="141">
        <f>'1_Prices'!I90</f>
        <v>10.01421</v>
      </c>
      <c r="L32" s="160">
        <f>+K32/I32*100</f>
        <v>101.33102707375912</v>
      </c>
    </row>
  </sheetData>
  <mergeCells count="10">
    <mergeCell ref="A22:F22"/>
    <mergeCell ref="B18:B20"/>
    <mergeCell ref="A1:L1"/>
    <mergeCell ref="I2:J2"/>
    <mergeCell ref="K2:L2"/>
    <mergeCell ref="A2:A3"/>
    <mergeCell ref="B2:B3"/>
    <mergeCell ref="C2:D2"/>
    <mergeCell ref="E2:F2"/>
    <mergeCell ref="G2:H2"/>
  </mergeCells>
  <pageMargins left="0.9055118110236221" right="0.31496062992125984" top="0.19685039370078741" bottom="0.19685039370078741" header="0.31496062992125984" footer="0.31496062992125984"/>
  <pageSetup paperSize="9" scale="78" orientation="landscape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063E-2FE7-467A-ABD2-343A503A9CBF}">
  <dimension ref="A1:M29"/>
  <sheetViews>
    <sheetView workbookViewId="0">
      <selection sqref="A1:L19"/>
    </sheetView>
  </sheetViews>
  <sheetFormatPr defaultRowHeight="18" x14ac:dyDescent="0.25"/>
  <cols>
    <col min="1" max="1" width="33.85546875" style="141" customWidth="1"/>
    <col min="2" max="2" width="12.140625" style="141" customWidth="1"/>
    <col min="3" max="3" width="11.85546875" style="141" customWidth="1"/>
    <col min="4" max="4" width="11" style="141" customWidth="1"/>
    <col min="5" max="5" width="12.42578125" style="141" customWidth="1"/>
    <col min="6" max="6" width="11" style="141" customWidth="1"/>
    <col min="7" max="7" width="11.85546875" style="141" customWidth="1"/>
    <col min="8" max="8" width="11.140625" style="141" customWidth="1"/>
    <col min="9" max="9" width="12.140625" style="141" customWidth="1"/>
    <col min="10" max="10" width="11.140625" style="141" customWidth="1"/>
    <col min="11" max="11" width="12.140625" style="141" customWidth="1"/>
    <col min="12" max="12" width="11.5703125" style="141" customWidth="1"/>
    <col min="13" max="13" width="14.7109375" style="141" customWidth="1"/>
    <col min="14" max="242" width="9.140625" style="141"/>
    <col min="243" max="243" width="36.140625" style="141" customWidth="1"/>
    <col min="244" max="244" width="12.85546875" style="141" customWidth="1"/>
    <col min="245" max="245" width="12.140625" style="141" customWidth="1"/>
    <col min="246" max="246" width="12.5703125" style="141" customWidth="1"/>
    <col min="247" max="247" width="11.7109375" style="141" customWidth="1"/>
    <col min="248" max="248" width="12.140625" style="141" customWidth="1"/>
    <col min="249" max="249" width="11.140625" style="141" customWidth="1"/>
    <col min="250" max="250" width="12.42578125" style="141" customWidth="1"/>
    <col min="251" max="251" width="11.28515625" style="141" customWidth="1"/>
    <col min="252" max="252" width="12.140625" style="141" customWidth="1"/>
    <col min="253" max="253" width="11" style="141" customWidth="1"/>
    <col min="254" max="254" width="12.140625" style="141" customWidth="1"/>
    <col min="255" max="498" width="9.140625" style="141"/>
    <col min="499" max="499" width="36.140625" style="141" customWidth="1"/>
    <col min="500" max="500" width="12.85546875" style="141" customWidth="1"/>
    <col min="501" max="501" width="12.140625" style="141" customWidth="1"/>
    <col min="502" max="502" width="12.5703125" style="141" customWidth="1"/>
    <col min="503" max="503" width="11.7109375" style="141" customWidth="1"/>
    <col min="504" max="504" width="12.140625" style="141" customWidth="1"/>
    <col min="505" max="505" width="11.140625" style="141" customWidth="1"/>
    <col min="506" max="506" width="12.42578125" style="141" customWidth="1"/>
    <col min="507" max="507" width="11.28515625" style="141" customWidth="1"/>
    <col min="508" max="508" width="12.140625" style="141" customWidth="1"/>
    <col min="509" max="509" width="11" style="141" customWidth="1"/>
    <col min="510" max="510" width="12.140625" style="141" customWidth="1"/>
    <col min="511" max="754" width="9.140625" style="141"/>
    <col min="755" max="755" width="36.140625" style="141" customWidth="1"/>
    <col min="756" max="756" width="12.85546875" style="141" customWidth="1"/>
    <col min="757" max="757" width="12.140625" style="141" customWidth="1"/>
    <col min="758" max="758" width="12.5703125" style="141" customWidth="1"/>
    <col min="759" max="759" width="11.7109375" style="141" customWidth="1"/>
    <col min="760" max="760" width="12.140625" style="141" customWidth="1"/>
    <col min="761" max="761" width="11.140625" style="141" customWidth="1"/>
    <col min="762" max="762" width="12.42578125" style="141" customWidth="1"/>
    <col min="763" max="763" width="11.28515625" style="141" customWidth="1"/>
    <col min="764" max="764" width="12.140625" style="141" customWidth="1"/>
    <col min="765" max="765" width="11" style="141" customWidth="1"/>
    <col min="766" max="766" width="12.140625" style="141" customWidth="1"/>
    <col min="767" max="1010" width="9.140625" style="141"/>
    <col min="1011" max="1011" width="36.140625" style="141" customWidth="1"/>
    <col min="1012" max="1012" width="12.85546875" style="141" customWidth="1"/>
    <col min="1013" max="1013" width="12.140625" style="141" customWidth="1"/>
    <col min="1014" max="1014" width="12.5703125" style="141" customWidth="1"/>
    <col min="1015" max="1015" width="11.7109375" style="141" customWidth="1"/>
    <col min="1016" max="1016" width="12.140625" style="141" customWidth="1"/>
    <col min="1017" max="1017" width="11.140625" style="141" customWidth="1"/>
    <col min="1018" max="1018" width="12.42578125" style="141" customWidth="1"/>
    <col min="1019" max="1019" width="11.28515625" style="141" customWidth="1"/>
    <col min="1020" max="1020" width="12.140625" style="141" customWidth="1"/>
    <col min="1021" max="1021" width="11" style="141" customWidth="1"/>
    <col min="1022" max="1022" width="12.140625" style="141" customWidth="1"/>
    <col min="1023" max="1266" width="9.140625" style="141"/>
    <col min="1267" max="1267" width="36.140625" style="141" customWidth="1"/>
    <col min="1268" max="1268" width="12.85546875" style="141" customWidth="1"/>
    <col min="1269" max="1269" width="12.140625" style="141" customWidth="1"/>
    <col min="1270" max="1270" width="12.5703125" style="141" customWidth="1"/>
    <col min="1271" max="1271" width="11.7109375" style="141" customWidth="1"/>
    <col min="1272" max="1272" width="12.140625" style="141" customWidth="1"/>
    <col min="1273" max="1273" width="11.140625" style="141" customWidth="1"/>
    <col min="1274" max="1274" width="12.42578125" style="141" customWidth="1"/>
    <col min="1275" max="1275" width="11.28515625" style="141" customWidth="1"/>
    <col min="1276" max="1276" width="12.140625" style="141" customWidth="1"/>
    <col min="1277" max="1277" width="11" style="141" customWidth="1"/>
    <col min="1278" max="1278" width="12.140625" style="141" customWidth="1"/>
    <col min="1279" max="1522" width="9.140625" style="141"/>
    <col min="1523" max="1523" width="36.140625" style="141" customWidth="1"/>
    <col min="1524" max="1524" width="12.85546875" style="141" customWidth="1"/>
    <col min="1525" max="1525" width="12.140625" style="141" customWidth="1"/>
    <col min="1526" max="1526" width="12.5703125" style="141" customWidth="1"/>
    <col min="1527" max="1527" width="11.7109375" style="141" customWidth="1"/>
    <col min="1528" max="1528" width="12.140625" style="141" customWidth="1"/>
    <col min="1529" max="1529" width="11.140625" style="141" customWidth="1"/>
    <col min="1530" max="1530" width="12.42578125" style="141" customWidth="1"/>
    <col min="1531" max="1531" width="11.28515625" style="141" customWidth="1"/>
    <col min="1532" max="1532" width="12.140625" style="141" customWidth="1"/>
    <col min="1533" max="1533" width="11" style="141" customWidth="1"/>
    <col min="1534" max="1534" width="12.140625" style="141" customWidth="1"/>
    <col min="1535" max="1778" width="9.140625" style="141"/>
    <col min="1779" max="1779" width="36.140625" style="141" customWidth="1"/>
    <col min="1780" max="1780" width="12.85546875" style="141" customWidth="1"/>
    <col min="1781" max="1781" width="12.140625" style="141" customWidth="1"/>
    <col min="1782" max="1782" width="12.5703125" style="141" customWidth="1"/>
    <col min="1783" max="1783" width="11.7109375" style="141" customWidth="1"/>
    <col min="1784" max="1784" width="12.140625" style="141" customWidth="1"/>
    <col min="1785" max="1785" width="11.140625" style="141" customWidth="1"/>
    <col min="1786" max="1786" width="12.42578125" style="141" customWidth="1"/>
    <col min="1787" max="1787" width="11.28515625" style="141" customWidth="1"/>
    <col min="1788" max="1788" width="12.140625" style="141" customWidth="1"/>
    <col min="1789" max="1789" width="11" style="141" customWidth="1"/>
    <col min="1790" max="1790" width="12.140625" style="141" customWidth="1"/>
    <col min="1791" max="2034" width="9.140625" style="141"/>
    <col min="2035" max="2035" width="36.140625" style="141" customWidth="1"/>
    <col min="2036" max="2036" width="12.85546875" style="141" customWidth="1"/>
    <col min="2037" max="2037" width="12.140625" style="141" customWidth="1"/>
    <col min="2038" max="2038" width="12.5703125" style="141" customWidth="1"/>
    <col min="2039" max="2039" width="11.7109375" style="141" customWidth="1"/>
    <col min="2040" max="2040" width="12.140625" style="141" customWidth="1"/>
    <col min="2041" max="2041" width="11.140625" style="141" customWidth="1"/>
    <col min="2042" max="2042" width="12.42578125" style="141" customWidth="1"/>
    <col min="2043" max="2043" width="11.28515625" style="141" customWidth="1"/>
    <col min="2044" max="2044" width="12.140625" style="141" customWidth="1"/>
    <col min="2045" max="2045" width="11" style="141" customWidth="1"/>
    <col min="2046" max="2046" width="12.140625" style="141" customWidth="1"/>
    <col min="2047" max="2290" width="9.140625" style="141"/>
    <col min="2291" max="2291" width="36.140625" style="141" customWidth="1"/>
    <col min="2292" max="2292" width="12.85546875" style="141" customWidth="1"/>
    <col min="2293" max="2293" width="12.140625" style="141" customWidth="1"/>
    <col min="2294" max="2294" width="12.5703125" style="141" customWidth="1"/>
    <col min="2295" max="2295" width="11.7109375" style="141" customWidth="1"/>
    <col min="2296" max="2296" width="12.140625" style="141" customWidth="1"/>
    <col min="2297" max="2297" width="11.140625" style="141" customWidth="1"/>
    <col min="2298" max="2298" width="12.42578125" style="141" customWidth="1"/>
    <col min="2299" max="2299" width="11.28515625" style="141" customWidth="1"/>
    <col min="2300" max="2300" width="12.140625" style="141" customWidth="1"/>
    <col min="2301" max="2301" width="11" style="141" customWidth="1"/>
    <col min="2302" max="2302" width="12.140625" style="141" customWidth="1"/>
    <col min="2303" max="2546" width="9.140625" style="141"/>
    <col min="2547" max="2547" width="36.140625" style="141" customWidth="1"/>
    <col min="2548" max="2548" width="12.85546875" style="141" customWidth="1"/>
    <col min="2549" max="2549" width="12.140625" style="141" customWidth="1"/>
    <col min="2550" max="2550" width="12.5703125" style="141" customWidth="1"/>
    <col min="2551" max="2551" width="11.7109375" style="141" customWidth="1"/>
    <col min="2552" max="2552" width="12.140625" style="141" customWidth="1"/>
    <col min="2553" max="2553" width="11.140625" style="141" customWidth="1"/>
    <col min="2554" max="2554" width="12.42578125" style="141" customWidth="1"/>
    <col min="2555" max="2555" width="11.28515625" style="141" customWidth="1"/>
    <col min="2556" max="2556" width="12.140625" style="141" customWidth="1"/>
    <col min="2557" max="2557" width="11" style="141" customWidth="1"/>
    <col min="2558" max="2558" width="12.140625" style="141" customWidth="1"/>
    <col min="2559" max="2802" width="9.140625" style="141"/>
    <col min="2803" max="2803" width="36.140625" style="141" customWidth="1"/>
    <col min="2804" max="2804" width="12.85546875" style="141" customWidth="1"/>
    <col min="2805" max="2805" width="12.140625" style="141" customWidth="1"/>
    <col min="2806" max="2806" width="12.5703125" style="141" customWidth="1"/>
    <col min="2807" max="2807" width="11.7109375" style="141" customWidth="1"/>
    <col min="2808" max="2808" width="12.140625" style="141" customWidth="1"/>
    <col min="2809" max="2809" width="11.140625" style="141" customWidth="1"/>
    <col min="2810" max="2810" width="12.42578125" style="141" customWidth="1"/>
    <col min="2811" max="2811" width="11.28515625" style="141" customWidth="1"/>
    <col min="2812" max="2812" width="12.140625" style="141" customWidth="1"/>
    <col min="2813" max="2813" width="11" style="141" customWidth="1"/>
    <col min="2814" max="2814" width="12.140625" style="141" customWidth="1"/>
    <col min="2815" max="3058" width="9.140625" style="141"/>
    <col min="3059" max="3059" width="36.140625" style="141" customWidth="1"/>
    <col min="3060" max="3060" width="12.85546875" style="141" customWidth="1"/>
    <col min="3061" max="3061" width="12.140625" style="141" customWidth="1"/>
    <col min="3062" max="3062" width="12.5703125" style="141" customWidth="1"/>
    <col min="3063" max="3063" width="11.7109375" style="141" customWidth="1"/>
    <col min="3064" max="3064" width="12.140625" style="141" customWidth="1"/>
    <col min="3065" max="3065" width="11.140625" style="141" customWidth="1"/>
    <col min="3066" max="3066" width="12.42578125" style="141" customWidth="1"/>
    <col min="3067" max="3067" width="11.28515625" style="141" customWidth="1"/>
    <col min="3068" max="3068" width="12.140625" style="141" customWidth="1"/>
    <col min="3069" max="3069" width="11" style="141" customWidth="1"/>
    <col min="3070" max="3070" width="12.140625" style="141" customWidth="1"/>
    <col min="3071" max="3314" width="9.140625" style="141"/>
    <col min="3315" max="3315" width="36.140625" style="141" customWidth="1"/>
    <col min="3316" max="3316" width="12.85546875" style="141" customWidth="1"/>
    <col min="3317" max="3317" width="12.140625" style="141" customWidth="1"/>
    <col min="3318" max="3318" width="12.5703125" style="141" customWidth="1"/>
    <col min="3319" max="3319" width="11.7109375" style="141" customWidth="1"/>
    <col min="3320" max="3320" width="12.140625" style="141" customWidth="1"/>
    <col min="3321" max="3321" width="11.140625" style="141" customWidth="1"/>
    <col min="3322" max="3322" width="12.42578125" style="141" customWidth="1"/>
    <col min="3323" max="3323" width="11.28515625" style="141" customWidth="1"/>
    <col min="3324" max="3324" width="12.140625" style="141" customWidth="1"/>
    <col min="3325" max="3325" width="11" style="141" customWidth="1"/>
    <col min="3326" max="3326" width="12.140625" style="141" customWidth="1"/>
    <col min="3327" max="3570" width="9.140625" style="141"/>
    <col min="3571" max="3571" width="36.140625" style="141" customWidth="1"/>
    <col min="3572" max="3572" width="12.85546875" style="141" customWidth="1"/>
    <col min="3573" max="3573" width="12.140625" style="141" customWidth="1"/>
    <col min="3574" max="3574" width="12.5703125" style="141" customWidth="1"/>
    <col min="3575" max="3575" width="11.7109375" style="141" customWidth="1"/>
    <col min="3576" max="3576" width="12.140625" style="141" customWidth="1"/>
    <col min="3577" max="3577" width="11.140625" style="141" customWidth="1"/>
    <col min="3578" max="3578" width="12.42578125" style="141" customWidth="1"/>
    <col min="3579" max="3579" width="11.28515625" style="141" customWidth="1"/>
    <col min="3580" max="3580" width="12.140625" style="141" customWidth="1"/>
    <col min="3581" max="3581" width="11" style="141" customWidth="1"/>
    <col min="3582" max="3582" width="12.140625" style="141" customWidth="1"/>
    <col min="3583" max="3826" width="9.140625" style="141"/>
    <col min="3827" max="3827" width="36.140625" style="141" customWidth="1"/>
    <col min="3828" max="3828" width="12.85546875" style="141" customWidth="1"/>
    <col min="3829" max="3829" width="12.140625" style="141" customWidth="1"/>
    <col min="3830" max="3830" width="12.5703125" style="141" customWidth="1"/>
    <col min="3831" max="3831" width="11.7109375" style="141" customWidth="1"/>
    <col min="3832" max="3832" width="12.140625" style="141" customWidth="1"/>
    <col min="3833" max="3833" width="11.140625" style="141" customWidth="1"/>
    <col min="3834" max="3834" width="12.42578125" style="141" customWidth="1"/>
    <col min="3835" max="3835" width="11.28515625" style="141" customWidth="1"/>
    <col min="3836" max="3836" width="12.140625" style="141" customWidth="1"/>
    <col min="3837" max="3837" width="11" style="141" customWidth="1"/>
    <col min="3838" max="3838" width="12.140625" style="141" customWidth="1"/>
    <col min="3839" max="4082" width="9.140625" style="141"/>
    <col min="4083" max="4083" width="36.140625" style="141" customWidth="1"/>
    <col min="4084" max="4084" width="12.85546875" style="141" customWidth="1"/>
    <col min="4085" max="4085" width="12.140625" style="141" customWidth="1"/>
    <col min="4086" max="4086" width="12.5703125" style="141" customWidth="1"/>
    <col min="4087" max="4087" width="11.7109375" style="141" customWidth="1"/>
    <col min="4088" max="4088" width="12.140625" style="141" customWidth="1"/>
    <col min="4089" max="4089" width="11.140625" style="141" customWidth="1"/>
    <col min="4090" max="4090" width="12.42578125" style="141" customWidth="1"/>
    <col min="4091" max="4091" width="11.28515625" style="141" customWidth="1"/>
    <col min="4092" max="4092" width="12.140625" style="141" customWidth="1"/>
    <col min="4093" max="4093" width="11" style="141" customWidth="1"/>
    <col min="4094" max="4094" width="12.140625" style="141" customWidth="1"/>
    <col min="4095" max="4338" width="9.140625" style="141"/>
    <col min="4339" max="4339" width="36.140625" style="141" customWidth="1"/>
    <col min="4340" max="4340" width="12.85546875" style="141" customWidth="1"/>
    <col min="4341" max="4341" width="12.140625" style="141" customWidth="1"/>
    <col min="4342" max="4342" width="12.5703125" style="141" customWidth="1"/>
    <col min="4343" max="4343" width="11.7109375" style="141" customWidth="1"/>
    <col min="4344" max="4344" width="12.140625" style="141" customWidth="1"/>
    <col min="4345" max="4345" width="11.140625" style="141" customWidth="1"/>
    <col min="4346" max="4346" width="12.42578125" style="141" customWidth="1"/>
    <col min="4347" max="4347" width="11.28515625" style="141" customWidth="1"/>
    <col min="4348" max="4348" width="12.140625" style="141" customWidth="1"/>
    <col min="4349" max="4349" width="11" style="141" customWidth="1"/>
    <col min="4350" max="4350" width="12.140625" style="141" customWidth="1"/>
    <col min="4351" max="4594" width="9.140625" style="141"/>
    <col min="4595" max="4595" width="36.140625" style="141" customWidth="1"/>
    <col min="4596" max="4596" width="12.85546875" style="141" customWidth="1"/>
    <col min="4597" max="4597" width="12.140625" style="141" customWidth="1"/>
    <col min="4598" max="4598" width="12.5703125" style="141" customWidth="1"/>
    <col min="4599" max="4599" width="11.7109375" style="141" customWidth="1"/>
    <col min="4600" max="4600" width="12.140625" style="141" customWidth="1"/>
    <col min="4601" max="4601" width="11.140625" style="141" customWidth="1"/>
    <col min="4602" max="4602" width="12.42578125" style="141" customWidth="1"/>
    <col min="4603" max="4603" width="11.28515625" style="141" customWidth="1"/>
    <col min="4604" max="4604" width="12.140625" style="141" customWidth="1"/>
    <col min="4605" max="4605" width="11" style="141" customWidth="1"/>
    <col min="4606" max="4606" width="12.140625" style="141" customWidth="1"/>
    <col min="4607" max="4850" width="9.140625" style="141"/>
    <col min="4851" max="4851" width="36.140625" style="141" customWidth="1"/>
    <col min="4852" max="4852" width="12.85546875" style="141" customWidth="1"/>
    <col min="4853" max="4853" width="12.140625" style="141" customWidth="1"/>
    <col min="4854" max="4854" width="12.5703125" style="141" customWidth="1"/>
    <col min="4855" max="4855" width="11.7109375" style="141" customWidth="1"/>
    <col min="4856" max="4856" width="12.140625" style="141" customWidth="1"/>
    <col min="4857" max="4857" width="11.140625" style="141" customWidth="1"/>
    <col min="4858" max="4858" width="12.42578125" style="141" customWidth="1"/>
    <col min="4859" max="4859" width="11.28515625" style="141" customWidth="1"/>
    <col min="4860" max="4860" width="12.140625" style="141" customWidth="1"/>
    <col min="4861" max="4861" width="11" style="141" customWidth="1"/>
    <col min="4862" max="4862" width="12.140625" style="141" customWidth="1"/>
    <col min="4863" max="5106" width="9.140625" style="141"/>
    <col min="5107" max="5107" width="36.140625" style="141" customWidth="1"/>
    <col min="5108" max="5108" width="12.85546875" style="141" customWidth="1"/>
    <col min="5109" max="5109" width="12.140625" style="141" customWidth="1"/>
    <col min="5110" max="5110" width="12.5703125" style="141" customWidth="1"/>
    <col min="5111" max="5111" width="11.7109375" style="141" customWidth="1"/>
    <col min="5112" max="5112" width="12.140625" style="141" customWidth="1"/>
    <col min="5113" max="5113" width="11.140625" style="141" customWidth="1"/>
    <col min="5114" max="5114" width="12.42578125" style="141" customWidth="1"/>
    <col min="5115" max="5115" width="11.28515625" style="141" customWidth="1"/>
    <col min="5116" max="5116" width="12.140625" style="141" customWidth="1"/>
    <col min="5117" max="5117" width="11" style="141" customWidth="1"/>
    <col min="5118" max="5118" width="12.140625" style="141" customWidth="1"/>
    <col min="5119" max="5362" width="9.140625" style="141"/>
    <col min="5363" max="5363" width="36.140625" style="141" customWidth="1"/>
    <col min="5364" max="5364" width="12.85546875" style="141" customWidth="1"/>
    <col min="5365" max="5365" width="12.140625" style="141" customWidth="1"/>
    <col min="5366" max="5366" width="12.5703125" style="141" customWidth="1"/>
    <col min="5367" max="5367" width="11.7109375" style="141" customWidth="1"/>
    <col min="5368" max="5368" width="12.140625" style="141" customWidth="1"/>
    <col min="5369" max="5369" width="11.140625" style="141" customWidth="1"/>
    <col min="5370" max="5370" width="12.42578125" style="141" customWidth="1"/>
    <col min="5371" max="5371" width="11.28515625" style="141" customWidth="1"/>
    <col min="5372" max="5372" width="12.140625" style="141" customWidth="1"/>
    <col min="5373" max="5373" width="11" style="141" customWidth="1"/>
    <col min="5374" max="5374" width="12.140625" style="141" customWidth="1"/>
    <col min="5375" max="5618" width="9.140625" style="141"/>
    <col min="5619" max="5619" width="36.140625" style="141" customWidth="1"/>
    <col min="5620" max="5620" width="12.85546875" style="141" customWidth="1"/>
    <col min="5621" max="5621" width="12.140625" style="141" customWidth="1"/>
    <col min="5622" max="5622" width="12.5703125" style="141" customWidth="1"/>
    <col min="5623" max="5623" width="11.7109375" style="141" customWidth="1"/>
    <col min="5624" max="5624" width="12.140625" style="141" customWidth="1"/>
    <col min="5625" max="5625" width="11.140625" style="141" customWidth="1"/>
    <col min="5626" max="5626" width="12.42578125" style="141" customWidth="1"/>
    <col min="5627" max="5627" width="11.28515625" style="141" customWidth="1"/>
    <col min="5628" max="5628" width="12.140625" style="141" customWidth="1"/>
    <col min="5629" max="5629" width="11" style="141" customWidth="1"/>
    <col min="5630" max="5630" width="12.140625" style="141" customWidth="1"/>
    <col min="5631" max="5874" width="9.140625" style="141"/>
    <col min="5875" max="5875" width="36.140625" style="141" customWidth="1"/>
    <col min="5876" max="5876" width="12.85546875" style="141" customWidth="1"/>
    <col min="5877" max="5877" width="12.140625" style="141" customWidth="1"/>
    <col min="5878" max="5878" width="12.5703125" style="141" customWidth="1"/>
    <col min="5879" max="5879" width="11.7109375" style="141" customWidth="1"/>
    <col min="5880" max="5880" width="12.140625" style="141" customWidth="1"/>
    <col min="5881" max="5881" width="11.140625" style="141" customWidth="1"/>
    <col min="5882" max="5882" width="12.42578125" style="141" customWidth="1"/>
    <col min="5883" max="5883" width="11.28515625" style="141" customWidth="1"/>
    <col min="5884" max="5884" width="12.140625" style="141" customWidth="1"/>
    <col min="5885" max="5885" width="11" style="141" customWidth="1"/>
    <col min="5886" max="5886" width="12.140625" style="141" customWidth="1"/>
    <col min="5887" max="6130" width="9.140625" style="141"/>
    <col min="6131" max="6131" width="36.140625" style="141" customWidth="1"/>
    <col min="6132" max="6132" width="12.85546875" style="141" customWidth="1"/>
    <col min="6133" max="6133" width="12.140625" style="141" customWidth="1"/>
    <col min="6134" max="6134" width="12.5703125" style="141" customWidth="1"/>
    <col min="6135" max="6135" width="11.7109375" style="141" customWidth="1"/>
    <col min="6136" max="6136" width="12.140625" style="141" customWidth="1"/>
    <col min="6137" max="6137" width="11.140625" style="141" customWidth="1"/>
    <col min="6138" max="6138" width="12.42578125" style="141" customWidth="1"/>
    <col min="6139" max="6139" width="11.28515625" style="141" customWidth="1"/>
    <col min="6140" max="6140" width="12.140625" style="141" customWidth="1"/>
    <col min="6141" max="6141" width="11" style="141" customWidth="1"/>
    <col min="6142" max="6142" width="12.140625" style="141" customWidth="1"/>
    <col min="6143" max="6386" width="9.140625" style="141"/>
    <col min="6387" max="6387" width="36.140625" style="141" customWidth="1"/>
    <col min="6388" max="6388" width="12.85546875" style="141" customWidth="1"/>
    <col min="6389" max="6389" width="12.140625" style="141" customWidth="1"/>
    <col min="6390" max="6390" width="12.5703125" style="141" customWidth="1"/>
    <col min="6391" max="6391" width="11.7109375" style="141" customWidth="1"/>
    <col min="6392" max="6392" width="12.140625" style="141" customWidth="1"/>
    <col min="6393" max="6393" width="11.140625" style="141" customWidth="1"/>
    <col min="6394" max="6394" width="12.42578125" style="141" customWidth="1"/>
    <col min="6395" max="6395" width="11.28515625" style="141" customWidth="1"/>
    <col min="6396" max="6396" width="12.140625" style="141" customWidth="1"/>
    <col min="6397" max="6397" width="11" style="141" customWidth="1"/>
    <col min="6398" max="6398" width="12.140625" style="141" customWidth="1"/>
    <col min="6399" max="6642" width="9.140625" style="141"/>
    <col min="6643" max="6643" width="36.140625" style="141" customWidth="1"/>
    <col min="6644" max="6644" width="12.85546875" style="141" customWidth="1"/>
    <col min="6645" max="6645" width="12.140625" style="141" customWidth="1"/>
    <col min="6646" max="6646" width="12.5703125" style="141" customWidth="1"/>
    <col min="6647" max="6647" width="11.7109375" style="141" customWidth="1"/>
    <col min="6648" max="6648" width="12.140625" style="141" customWidth="1"/>
    <col min="6649" max="6649" width="11.140625" style="141" customWidth="1"/>
    <col min="6650" max="6650" width="12.42578125" style="141" customWidth="1"/>
    <col min="6651" max="6651" width="11.28515625" style="141" customWidth="1"/>
    <col min="6652" max="6652" width="12.140625" style="141" customWidth="1"/>
    <col min="6653" max="6653" width="11" style="141" customWidth="1"/>
    <col min="6654" max="6654" width="12.140625" style="141" customWidth="1"/>
    <col min="6655" max="6898" width="9.140625" style="141"/>
    <col min="6899" max="6899" width="36.140625" style="141" customWidth="1"/>
    <col min="6900" max="6900" width="12.85546875" style="141" customWidth="1"/>
    <col min="6901" max="6901" width="12.140625" style="141" customWidth="1"/>
    <col min="6902" max="6902" width="12.5703125" style="141" customWidth="1"/>
    <col min="6903" max="6903" width="11.7109375" style="141" customWidth="1"/>
    <col min="6904" max="6904" width="12.140625" style="141" customWidth="1"/>
    <col min="6905" max="6905" width="11.140625" style="141" customWidth="1"/>
    <col min="6906" max="6906" width="12.42578125" style="141" customWidth="1"/>
    <col min="6907" max="6907" width="11.28515625" style="141" customWidth="1"/>
    <col min="6908" max="6908" width="12.140625" style="141" customWidth="1"/>
    <col min="6909" max="6909" width="11" style="141" customWidth="1"/>
    <col min="6910" max="6910" width="12.140625" style="141" customWidth="1"/>
    <col min="6911" max="7154" width="9.140625" style="141"/>
    <col min="7155" max="7155" width="36.140625" style="141" customWidth="1"/>
    <col min="7156" max="7156" width="12.85546875" style="141" customWidth="1"/>
    <col min="7157" max="7157" width="12.140625" style="141" customWidth="1"/>
    <col min="7158" max="7158" width="12.5703125" style="141" customWidth="1"/>
    <col min="7159" max="7159" width="11.7109375" style="141" customWidth="1"/>
    <col min="7160" max="7160" width="12.140625" style="141" customWidth="1"/>
    <col min="7161" max="7161" width="11.140625" style="141" customWidth="1"/>
    <col min="7162" max="7162" width="12.42578125" style="141" customWidth="1"/>
    <col min="7163" max="7163" width="11.28515625" style="141" customWidth="1"/>
    <col min="7164" max="7164" width="12.140625" style="141" customWidth="1"/>
    <col min="7165" max="7165" width="11" style="141" customWidth="1"/>
    <col min="7166" max="7166" width="12.140625" style="141" customWidth="1"/>
    <col min="7167" max="7410" width="9.140625" style="141"/>
    <col min="7411" max="7411" width="36.140625" style="141" customWidth="1"/>
    <col min="7412" max="7412" width="12.85546875" style="141" customWidth="1"/>
    <col min="7413" max="7413" width="12.140625" style="141" customWidth="1"/>
    <col min="7414" max="7414" width="12.5703125" style="141" customWidth="1"/>
    <col min="7415" max="7415" width="11.7109375" style="141" customWidth="1"/>
    <col min="7416" max="7416" width="12.140625" style="141" customWidth="1"/>
    <col min="7417" max="7417" width="11.140625" style="141" customWidth="1"/>
    <col min="7418" max="7418" width="12.42578125" style="141" customWidth="1"/>
    <col min="7419" max="7419" width="11.28515625" style="141" customWidth="1"/>
    <col min="7420" max="7420" width="12.140625" style="141" customWidth="1"/>
    <col min="7421" max="7421" width="11" style="141" customWidth="1"/>
    <col min="7422" max="7422" width="12.140625" style="141" customWidth="1"/>
    <col min="7423" max="7666" width="9.140625" style="141"/>
    <col min="7667" max="7667" width="36.140625" style="141" customWidth="1"/>
    <col min="7668" max="7668" width="12.85546875" style="141" customWidth="1"/>
    <col min="7669" max="7669" width="12.140625" style="141" customWidth="1"/>
    <col min="7670" max="7670" width="12.5703125" style="141" customWidth="1"/>
    <col min="7671" max="7671" width="11.7109375" style="141" customWidth="1"/>
    <col min="7672" max="7672" width="12.140625" style="141" customWidth="1"/>
    <col min="7673" max="7673" width="11.140625" style="141" customWidth="1"/>
    <col min="7674" max="7674" width="12.42578125" style="141" customWidth="1"/>
    <col min="7675" max="7675" width="11.28515625" style="141" customWidth="1"/>
    <col min="7676" max="7676" width="12.140625" style="141" customWidth="1"/>
    <col min="7677" max="7677" width="11" style="141" customWidth="1"/>
    <col min="7678" max="7678" width="12.140625" style="141" customWidth="1"/>
    <col min="7679" max="7922" width="9.140625" style="141"/>
    <col min="7923" max="7923" width="36.140625" style="141" customWidth="1"/>
    <col min="7924" max="7924" width="12.85546875" style="141" customWidth="1"/>
    <col min="7925" max="7925" width="12.140625" style="141" customWidth="1"/>
    <col min="7926" max="7926" width="12.5703125" style="141" customWidth="1"/>
    <col min="7927" max="7927" width="11.7109375" style="141" customWidth="1"/>
    <col min="7928" max="7928" width="12.140625" style="141" customWidth="1"/>
    <col min="7929" max="7929" width="11.140625" style="141" customWidth="1"/>
    <col min="7930" max="7930" width="12.42578125" style="141" customWidth="1"/>
    <col min="7931" max="7931" width="11.28515625" style="141" customWidth="1"/>
    <col min="7932" max="7932" width="12.140625" style="141" customWidth="1"/>
    <col min="7933" max="7933" width="11" style="141" customWidth="1"/>
    <col min="7934" max="7934" width="12.140625" style="141" customWidth="1"/>
    <col min="7935" max="8178" width="9.140625" style="141"/>
    <col min="8179" max="8179" width="36.140625" style="141" customWidth="1"/>
    <col min="8180" max="8180" width="12.85546875" style="141" customWidth="1"/>
    <col min="8181" max="8181" width="12.140625" style="141" customWidth="1"/>
    <col min="8182" max="8182" width="12.5703125" style="141" customWidth="1"/>
    <col min="8183" max="8183" width="11.7109375" style="141" customWidth="1"/>
    <col min="8184" max="8184" width="12.140625" style="141" customWidth="1"/>
    <col min="8185" max="8185" width="11.140625" style="141" customWidth="1"/>
    <col min="8186" max="8186" width="12.42578125" style="141" customWidth="1"/>
    <col min="8187" max="8187" width="11.28515625" style="141" customWidth="1"/>
    <col min="8188" max="8188" width="12.140625" style="141" customWidth="1"/>
    <col min="8189" max="8189" width="11" style="141" customWidth="1"/>
    <col min="8190" max="8190" width="12.140625" style="141" customWidth="1"/>
    <col min="8191" max="8434" width="9.140625" style="141"/>
    <col min="8435" max="8435" width="36.140625" style="141" customWidth="1"/>
    <col min="8436" max="8436" width="12.85546875" style="141" customWidth="1"/>
    <col min="8437" max="8437" width="12.140625" style="141" customWidth="1"/>
    <col min="8438" max="8438" width="12.5703125" style="141" customWidth="1"/>
    <col min="8439" max="8439" width="11.7109375" style="141" customWidth="1"/>
    <col min="8440" max="8440" width="12.140625" style="141" customWidth="1"/>
    <col min="8441" max="8441" width="11.140625" style="141" customWidth="1"/>
    <col min="8442" max="8442" width="12.42578125" style="141" customWidth="1"/>
    <col min="8443" max="8443" width="11.28515625" style="141" customWidth="1"/>
    <col min="8444" max="8444" width="12.140625" style="141" customWidth="1"/>
    <col min="8445" max="8445" width="11" style="141" customWidth="1"/>
    <col min="8446" max="8446" width="12.140625" style="141" customWidth="1"/>
    <col min="8447" max="8690" width="9.140625" style="141"/>
    <col min="8691" max="8691" width="36.140625" style="141" customWidth="1"/>
    <col min="8692" max="8692" width="12.85546875" style="141" customWidth="1"/>
    <col min="8693" max="8693" width="12.140625" style="141" customWidth="1"/>
    <col min="8694" max="8694" width="12.5703125" style="141" customWidth="1"/>
    <col min="8695" max="8695" width="11.7109375" style="141" customWidth="1"/>
    <col min="8696" max="8696" width="12.140625" style="141" customWidth="1"/>
    <col min="8697" max="8697" width="11.140625" style="141" customWidth="1"/>
    <col min="8698" max="8698" width="12.42578125" style="141" customWidth="1"/>
    <col min="8699" max="8699" width="11.28515625" style="141" customWidth="1"/>
    <col min="8700" max="8700" width="12.140625" style="141" customWidth="1"/>
    <col min="8701" max="8701" width="11" style="141" customWidth="1"/>
    <col min="8702" max="8702" width="12.140625" style="141" customWidth="1"/>
    <col min="8703" max="8946" width="9.140625" style="141"/>
    <col min="8947" max="8947" width="36.140625" style="141" customWidth="1"/>
    <col min="8948" max="8948" width="12.85546875" style="141" customWidth="1"/>
    <col min="8949" max="8949" width="12.140625" style="141" customWidth="1"/>
    <col min="8950" max="8950" width="12.5703125" style="141" customWidth="1"/>
    <col min="8951" max="8951" width="11.7109375" style="141" customWidth="1"/>
    <col min="8952" max="8952" width="12.140625" style="141" customWidth="1"/>
    <col min="8953" max="8953" width="11.140625" style="141" customWidth="1"/>
    <col min="8954" max="8954" width="12.42578125" style="141" customWidth="1"/>
    <col min="8955" max="8955" width="11.28515625" style="141" customWidth="1"/>
    <col min="8956" max="8956" width="12.140625" style="141" customWidth="1"/>
    <col min="8957" max="8957" width="11" style="141" customWidth="1"/>
    <col min="8958" max="8958" width="12.140625" style="141" customWidth="1"/>
    <col min="8959" max="9202" width="9.140625" style="141"/>
    <col min="9203" max="9203" width="36.140625" style="141" customWidth="1"/>
    <col min="9204" max="9204" width="12.85546875" style="141" customWidth="1"/>
    <col min="9205" max="9205" width="12.140625" style="141" customWidth="1"/>
    <col min="9206" max="9206" width="12.5703125" style="141" customWidth="1"/>
    <col min="9207" max="9207" width="11.7109375" style="141" customWidth="1"/>
    <col min="9208" max="9208" width="12.140625" style="141" customWidth="1"/>
    <col min="9209" max="9209" width="11.140625" style="141" customWidth="1"/>
    <col min="9210" max="9210" width="12.42578125" style="141" customWidth="1"/>
    <col min="9211" max="9211" width="11.28515625" style="141" customWidth="1"/>
    <col min="9212" max="9212" width="12.140625" style="141" customWidth="1"/>
    <col min="9213" max="9213" width="11" style="141" customWidth="1"/>
    <col min="9214" max="9214" width="12.140625" style="141" customWidth="1"/>
    <col min="9215" max="9458" width="9.140625" style="141"/>
    <col min="9459" max="9459" width="36.140625" style="141" customWidth="1"/>
    <col min="9460" max="9460" width="12.85546875" style="141" customWidth="1"/>
    <col min="9461" max="9461" width="12.140625" style="141" customWidth="1"/>
    <col min="9462" max="9462" width="12.5703125" style="141" customWidth="1"/>
    <col min="9463" max="9463" width="11.7109375" style="141" customWidth="1"/>
    <col min="9464" max="9464" width="12.140625" style="141" customWidth="1"/>
    <col min="9465" max="9465" width="11.140625" style="141" customWidth="1"/>
    <col min="9466" max="9466" width="12.42578125" style="141" customWidth="1"/>
    <col min="9467" max="9467" width="11.28515625" style="141" customWidth="1"/>
    <col min="9468" max="9468" width="12.140625" style="141" customWidth="1"/>
    <col min="9469" max="9469" width="11" style="141" customWidth="1"/>
    <col min="9470" max="9470" width="12.140625" style="141" customWidth="1"/>
    <col min="9471" max="9714" width="9.140625" style="141"/>
    <col min="9715" max="9715" width="36.140625" style="141" customWidth="1"/>
    <col min="9716" max="9716" width="12.85546875" style="141" customWidth="1"/>
    <col min="9717" max="9717" width="12.140625" style="141" customWidth="1"/>
    <col min="9718" max="9718" width="12.5703125" style="141" customWidth="1"/>
    <col min="9719" max="9719" width="11.7109375" style="141" customWidth="1"/>
    <col min="9720" max="9720" width="12.140625" style="141" customWidth="1"/>
    <col min="9721" max="9721" width="11.140625" style="141" customWidth="1"/>
    <col min="9722" max="9722" width="12.42578125" style="141" customWidth="1"/>
    <col min="9723" max="9723" width="11.28515625" style="141" customWidth="1"/>
    <col min="9724" max="9724" width="12.140625" style="141" customWidth="1"/>
    <col min="9725" max="9725" width="11" style="141" customWidth="1"/>
    <col min="9726" max="9726" width="12.140625" style="141" customWidth="1"/>
    <col min="9727" max="9970" width="9.140625" style="141"/>
    <col min="9971" max="9971" width="36.140625" style="141" customWidth="1"/>
    <col min="9972" max="9972" width="12.85546875" style="141" customWidth="1"/>
    <col min="9973" max="9973" width="12.140625" style="141" customWidth="1"/>
    <col min="9974" max="9974" width="12.5703125" style="141" customWidth="1"/>
    <col min="9975" max="9975" width="11.7109375" style="141" customWidth="1"/>
    <col min="9976" max="9976" width="12.140625" style="141" customWidth="1"/>
    <col min="9977" max="9977" width="11.140625" style="141" customWidth="1"/>
    <col min="9978" max="9978" width="12.42578125" style="141" customWidth="1"/>
    <col min="9979" max="9979" width="11.28515625" style="141" customWidth="1"/>
    <col min="9980" max="9980" width="12.140625" style="141" customWidth="1"/>
    <col min="9981" max="9981" width="11" style="141" customWidth="1"/>
    <col min="9982" max="9982" width="12.140625" style="141" customWidth="1"/>
    <col min="9983" max="10226" width="9.140625" style="141"/>
    <col min="10227" max="10227" width="36.140625" style="141" customWidth="1"/>
    <col min="10228" max="10228" width="12.85546875" style="141" customWidth="1"/>
    <col min="10229" max="10229" width="12.140625" style="141" customWidth="1"/>
    <col min="10230" max="10230" width="12.5703125" style="141" customWidth="1"/>
    <col min="10231" max="10231" width="11.7109375" style="141" customWidth="1"/>
    <col min="10232" max="10232" width="12.140625" style="141" customWidth="1"/>
    <col min="10233" max="10233" width="11.140625" style="141" customWidth="1"/>
    <col min="10234" max="10234" width="12.42578125" style="141" customWidth="1"/>
    <col min="10235" max="10235" width="11.28515625" style="141" customWidth="1"/>
    <col min="10236" max="10236" width="12.140625" style="141" customWidth="1"/>
    <col min="10237" max="10237" width="11" style="141" customWidth="1"/>
    <col min="10238" max="10238" width="12.140625" style="141" customWidth="1"/>
    <col min="10239" max="10482" width="9.140625" style="141"/>
    <col min="10483" max="10483" width="36.140625" style="141" customWidth="1"/>
    <col min="10484" max="10484" width="12.85546875" style="141" customWidth="1"/>
    <col min="10485" max="10485" width="12.140625" style="141" customWidth="1"/>
    <col min="10486" max="10486" width="12.5703125" style="141" customWidth="1"/>
    <col min="10487" max="10487" width="11.7109375" style="141" customWidth="1"/>
    <col min="10488" max="10488" width="12.140625" style="141" customWidth="1"/>
    <col min="10489" max="10489" width="11.140625" style="141" customWidth="1"/>
    <col min="10490" max="10490" width="12.42578125" style="141" customWidth="1"/>
    <col min="10491" max="10491" width="11.28515625" style="141" customWidth="1"/>
    <col min="10492" max="10492" width="12.140625" style="141" customWidth="1"/>
    <col min="10493" max="10493" width="11" style="141" customWidth="1"/>
    <col min="10494" max="10494" width="12.140625" style="141" customWidth="1"/>
    <col min="10495" max="10738" width="9.140625" style="141"/>
    <col min="10739" max="10739" width="36.140625" style="141" customWidth="1"/>
    <col min="10740" max="10740" width="12.85546875" style="141" customWidth="1"/>
    <col min="10741" max="10741" width="12.140625" style="141" customWidth="1"/>
    <col min="10742" max="10742" width="12.5703125" style="141" customWidth="1"/>
    <col min="10743" max="10743" width="11.7109375" style="141" customWidth="1"/>
    <col min="10744" max="10744" width="12.140625" style="141" customWidth="1"/>
    <col min="10745" max="10745" width="11.140625" style="141" customWidth="1"/>
    <col min="10746" max="10746" width="12.42578125" style="141" customWidth="1"/>
    <col min="10747" max="10747" width="11.28515625" style="141" customWidth="1"/>
    <col min="10748" max="10748" width="12.140625" style="141" customWidth="1"/>
    <col min="10749" max="10749" width="11" style="141" customWidth="1"/>
    <col min="10750" max="10750" width="12.140625" style="141" customWidth="1"/>
    <col min="10751" max="10994" width="9.140625" style="141"/>
    <col min="10995" max="10995" width="36.140625" style="141" customWidth="1"/>
    <col min="10996" max="10996" width="12.85546875" style="141" customWidth="1"/>
    <col min="10997" max="10997" width="12.140625" style="141" customWidth="1"/>
    <col min="10998" max="10998" width="12.5703125" style="141" customWidth="1"/>
    <col min="10999" max="10999" width="11.7109375" style="141" customWidth="1"/>
    <col min="11000" max="11000" width="12.140625" style="141" customWidth="1"/>
    <col min="11001" max="11001" width="11.140625" style="141" customWidth="1"/>
    <col min="11002" max="11002" width="12.42578125" style="141" customWidth="1"/>
    <col min="11003" max="11003" width="11.28515625" style="141" customWidth="1"/>
    <col min="11004" max="11004" width="12.140625" style="141" customWidth="1"/>
    <col min="11005" max="11005" width="11" style="141" customWidth="1"/>
    <col min="11006" max="11006" width="12.140625" style="141" customWidth="1"/>
    <col min="11007" max="11250" width="9.140625" style="141"/>
    <col min="11251" max="11251" width="36.140625" style="141" customWidth="1"/>
    <col min="11252" max="11252" width="12.85546875" style="141" customWidth="1"/>
    <col min="11253" max="11253" width="12.140625" style="141" customWidth="1"/>
    <col min="11254" max="11254" width="12.5703125" style="141" customWidth="1"/>
    <col min="11255" max="11255" width="11.7109375" style="141" customWidth="1"/>
    <col min="11256" max="11256" width="12.140625" style="141" customWidth="1"/>
    <col min="11257" max="11257" width="11.140625" style="141" customWidth="1"/>
    <col min="11258" max="11258" width="12.42578125" style="141" customWidth="1"/>
    <col min="11259" max="11259" width="11.28515625" style="141" customWidth="1"/>
    <col min="11260" max="11260" width="12.140625" style="141" customWidth="1"/>
    <col min="11261" max="11261" width="11" style="141" customWidth="1"/>
    <col min="11262" max="11262" width="12.140625" style="141" customWidth="1"/>
    <col min="11263" max="11506" width="9.140625" style="141"/>
    <col min="11507" max="11507" width="36.140625" style="141" customWidth="1"/>
    <col min="11508" max="11508" width="12.85546875" style="141" customWidth="1"/>
    <col min="11509" max="11509" width="12.140625" style="141" customWidth="1"/>
    <col min="11510" max="11510" width="12.5703125" style="141" customWidth="1"/>
    <col min="11511" max="11511" width="11.7109375" style="141" customWidth="1"/>
    <col min="11512" max="11512" width="12.140625" style="141" customWidth="1"/>
    <col min="11513" max="11513" width="11.140625" style="141" customWidth="1"/>
    <col min="11514" max="11514" width="12.42578125" style="141" customWidth="1"/>
    <col min="11515" max="11515" width="11.28515625" style="141" customWidth="1"/>
    <col min="11516" max="11516" width="12.140625" style="141" customWidth="1"/>
    <col min="11517" max="11517" width="11" style="141" customWidth="1"/>
    <col min="11518" max="11518" width="12.140625" style="141" customWidth="1"/>
    <col min="11519" max="11762" width="9.140625" style="141"/>
    <col min="11763" max="11763" width="36.140625" style="141" customWidth="1"/>
    <col min="11764" max="11764" width="12.85546875" style="141" customWidth="1"/>
    <col min="11765" max="11765" width="12.140625" style="141" customWidth="1"/>
    <col min="11766" max="11766" width="12.5703125" style="141" customWidth="1"/>
    <col min="11767" max="11767" width="11.7109375" style="141" customWidth="1"/>
    <col min="11768" max="11768" width="12.140625" style="141" customWidth="1"/>
    <col min="11769" max="11769" width="11.140625" style="141" customWidth="1"/>
    <col min="11770" max="11770" width="12.42578125" style="141" customWidth="1"/>
    <col min="11771" max="11771" width="11.28515625" style="141" customWidth="1"/>
    <col min="11772" max="11772" width="12.140625" style="141" customWidth="1"/>
    <col min="11773" max="11773" width="11" style="141" customWidth="1"/>
    <col min="11774" max="11774" width="12.140625" style="141" customWidth="1"/>
    <col min="11775" max="12018" width="9.140625" style="141"/>
    <col min="12019" max="12019" width="36.140625" style="141" customWidth="1"/>
    <col min="12020" max="12020" width="12.85546875" style="141" customWidth="1"/>
    <col min="12021" max="12021" width="12.140625" style="141" customWidth="1"/>
    <col min="12022" max="12022" width="12.5703125" style="141" customWidth="1"/>
    <col min="12023" max="12023" width="11.7109375" style="141" customWidth="1"/>
    <col min="12024" max="12024" width="12.140625" style="141" customWidth="1"/>
    <col min="12025" max="12025" width="11.140625" style="141" customWidth="1"/>
    <col min="12026" max="12026" width="12.42578125" style="141" customWidth="1"/>
    <col min="12027" max="12027" width="11.28515625" style="141" customWidth="1"/>
    <col min="12028" max="12028" width="12.140625" style="141" customWidth="1"/>
    <col min="12029" max="12029" width="11" style="141" customWidth="1"/>
    <col min="12030" max="12030" width="12.140625" style="141" customWidth="1"/>
    <col min="12031" max="12274" width="9.140625" style="141"/>
    <col min="12275" max="12275" width="36.140625" style="141" customWidth="1"/>
    <col min="12276" max="12276" width="12.85546875" style="141" customWidth="1"/>
    <col min="12277" max="12277" width="12.140625" style="141" customWidth="1"/>
    <col min="12278" max="12278" width="12.5703125" style="141" customWidth="1"/>
    <col min="12279" max="12279" width="11.7109375" style="141" customWidth="1"/>
    <col min="12280" max="12280" width="12.140625" style="141" customWidth="1"/>
    <col min="12281" max="12281" width="11.140625" style="141" customWidth="1"/>
    <col min="12282" max="12282" width="12.42578125" style="141" customWidth="1"/>
    <col min="12283" max="12283" width="11.28515625" style="141" customWidth="1"/>
    <col min="12284" max="12284" width="12.140625" style="141" customWidth="1"/>
    <col min="12285" max="12285" width="11" style="141" customWidth="1"/>
    <col min="12286" max="12286" width="12.140625" style="141" customWidth="1"/>
    <col min="12287" max="12530" width="9.140625" style="141"/>
    <col min="12531" max="12531" width="36.140625" style="141" customWidth="1"/>
    <col min="12532" max="12532" width="12.85546875" style="141" customWidth="1"/>
    <col min="12533" max="12533" width="12.140625" style="141" customWidth="1"/>
    <col min="12534" max="12534" width="12.5703125" style="141" customWidth="1"/>
    <col min="12535" max="12535" width="11.7109375" style="141" customWidth="1"/>
    <col min="12536" max="12536" width="12.140625" style="141" customWidth="1"/>
    <col min="12537" max="12537" width="11.140625" style="141" customWidth="1"/>
    <col min="12538" max="12538" width="12.42578125" style="141" customWidth="1"/>
    <col min="12539" max="12539" width="11.28515625" style="141" customWidth="1"/>
    <col min="12540" max="12540" width="12.140625" style="141" customWidth="1"/>
    <col min="12541" max="12541" width="11" style="141" customWidth="1"/>
    <col min="12542" max="12542" width="12.140625" style="141" customWidth="1"/>
    <col min="12543" max="12786" width="9.140625" style="141"/>
    <col min="12787" max="12787" width="36.140625" style="141" customWidth="1"/>
    <col min="12788" max="12788" width="12.85546875" style="141" customWidth="1"/>
    <col min="12789" max="12789" width="12.140625" style="141" customWidth="1"/>
    <col min="12790" max="12790" width="12.5703125" style="141" customWidth="1"/>
    <col min="12791" max="12791" width="11.7109375" style="141" customWidth="1"/>
    <col min="12792" max="12792" width="12.140625" style="141" customWidth="1"/>
    <col min="12793" max="12793" width="11.140625" style="141" customWidth="1"/>
    <col min="12794" max="12794" width="12.42578125" style="141" customWidth="1"/>
    <col min="12795" max="12795" width="11.28515625" style="141" customWidth="1"/>
    <col min="12796" max="12796" width="12.140625" style="141" customWidth="1"/>
    <col min="12797" max="12797" width="11" style="141" customWidth="1"/>
    <col min="12798" max="12798" width="12.140625" style="141" customWidth="1"/>
    <col min="12799" max="13042" width="9.140625" style="141"/>
    <col min="13043" max="13043" width="36.140625" style="141" customWidth="1"/>
    <col min="13044" max="13044" width="12.85546875" style="141" customWidth="1"/>
    <col min="13045" max="13045" width="12.140625" style="141" customWidth="1"/>
    <col min="13046" max="13046" width="12.5703125" style="141" customWidth="1"/>
    <col min="13047" max="13047" width="11.7109375" style="141" customWidth="1"/>
    <col min="13048" max="13048" width="12.140625" style="141" customWidth="1"/>
    <col min="13049" max="13049" width="11.140625" style="141" customWidth="1"/>
    <col min="13050" max="13050" width="12.42578125" style="141" customWidth="1"/>
    <col min="13051" max="13051" width="11.28515625" style="141" customWidth="1"/>
    <col min="13052" max="13052" width="12.140625" style="141" customWidth="1"/>
    <col min="13053" max="13053" width="11" style="141" customWidth="1"/>
    <col min="13054" max="13054" width="12.140625" style="141" customWidth="1"/>
    <col min="13055" max="13298" width="9.140625" style="141"/>
    <col min="13299" max="13299" width="36.140625" style="141" customWidth="1"/>
    <col min="13300" max="13300" width="12.85546875" style="141" customWidth="1"/>
    <col min="13301" max="13301" width="12.140625" style="141" customWidth="1"/>
    <col min="13302" max="13302" width="12.5703125" style="141" customWidth="1"/>
    <col min="13303" max="13303" width="11.7109375" style="141" customWidth="1"/>
    <col min="13304" max="13304" width="12.140625" style="141" customWidth="1"/>
    <col min="13305" max="13305" width="11.140625" style="141" customWidth="1"/>
    <col min="13306" max="13306" width="12.42578125" style="141" customWidth="1"/>
    <col min="13307" max="13307" width="11.28515625" style="141" customWidth="1"/>
    <col min="13308" max="13308" width="12.140625" style="141" customWidth="1"/>
    <col min="13309" max="13309" width="11" style="141" customWidth="1"/>
    <col min="13310" max="13310" width="12.140625" style="141" customWidth="1"/>
    <col min="13311" max="13554" width="9.140625" style="141"/>
    <col min="13555" max="13555" width="36.140625" style="141" customWidth="1"/>
    <col min="13556" max="13556" width="12.85546875" style="141" customWidth="1"/>
    <col min="13557" max="13557" width="12.140625" style="141" customWidth="1"/>
    <col min="13558" max="13558" width="12.5703125" style="141" customWidth="1"/>
    <col min="13559" max="13559" width="11.7109375" style="141" customWidth="1"/>
    <col min="13560" max="13560" width="12.140625" style="141" customWidth="1"/>
    <col min="13561" max="13561" width="11.140625" style="141" customWidth="1"/>
    <col min="13562" max="13562" width="12.42578125" style="141" customWidth="1"/>
    <col min="13563" max="13563" width="11.28515625" style="141" customWidth="1"/>
    <col min="13564" max="13564" width="12.140625" style="141" customWidth="1"/>
    <col min="13565" max="13565" width="11" style="141" customWidth="1"/>
    <col min="13566" max="13566" width="12.140625" style="141" customWidth="1"/>
    <col min="13567" max="13810" width="9.140625" style="141"/>
    <col min="13811" max="13811" width="36.140625" style="141" customWidth="1"/>
    <col min="13812" max="13812" width="12.85546875" style="141" customWidth="1"/>
    <col min="13813" max="13813" width="12.140625" style="141" customWidth="1"/>
    <col min="13814" max="13814" width="12.5703125" style="141" customWidth="1"/>
    <col min="13815" max="13815" width="11.7109375" style="141" customWidth="1"/>
    <col min="13816" max="13816" width="12.140625" style="141" customWidth="1"/>
    <col min="13817" max="13817" width="11.140625" style="141" customWidth="1"/>
    <col min="13818" max="13818" width="12.42578125" style="141" customWidth="1"/>
    <col min="13819" max="13819" width="11.28515625" style="141" customWidth="1"/>
    <col min="13820" max="13820" width="12.140625" style="141" customWidth="1"/>
    <col min="13821" max="13821" width="11" style="141" customWidth="1"/>
    <col min="13822" max="13822" width="12.140625" style="141" customWidth="1"/>
    <col min="13823" max="14066" width="9.140625" style="141"/>
    <col min="14067" max="14067" width="36.140625" style="141" customWidth="1"/>
    <col min="14068" max="14068" width="12.85546875" style="141" customWidth="1"/>
    <col min="14069" max="14069" width="12.140625" style="141" customWidth="1"/>
    <col min="14070" max="14070" width="12.5703125" style="141" customWidth="1"/>
    <col min="14071" max="14071" width="11.7109375" style="141" customWidth="1"/>
    <col min="14072" max="14072" width="12.140625" style="141" customWidth="1"/>
    <col min="14073" max="14073" width="11.140625" style="141" customWidth="1"/>
    <col min="14074" max="14074" width="12.42578125" style="141" customWidth="1"/>
    <col min="14075" max="14075" width="11.28515625" style="141" customWidth="1"/>
    <col min="14076" max="14076" width="12.140625" style="141" customWidth="1"/>
    <col min="14077" max="14077" width="11" style="141" customWidth="1"/>
    <col min="14078" max="14078" width="12.140625" style="141" customWidth="1"/>
    <col min="14079" max="14322" width="9.140625" style="141"/>
    <col min="14323" max="14323" width="36.140625" style="141" customWidth="1"/>
    <col min="14324" max="14324" width="12.85546875" style="141" customWidth="1"/>
    <col min="14325" max="14325" width="12.140625" style="141" customWidth="1"/>
    <col min="14326" max="14326" width="12.5703125" style="141" customWidth="1"/>
    <col min="14327" max="14327" width="11.7109375" style="141" customWidth="1"/>
    <col min="14328" max="14328" width="12.140625" style="141" customWidth="1"/>
    <col min="14329" max="14329" width="11.140625" style="141" customWidth="1"/>
    <col min="14330" max="14330" width="12.42578125" style="141" customWidth="1"/>
    <col min="14331" max="14331" width="11.28515625" style="141" customWidth="1"/>
    <col min="14332" max="14332" width="12.140625" style="141" customWidth="1"/>
    <col min="14333" max="14333" width="11" style="141" customWidth="1"/>
    <col min="14334" max="14334" width="12.140625" style="141" customWidth="1"/>
    <col min="14335" max="14578" width="9.140625" style="141"/>
    <col min="14579" max="14579" width="36.140625" style="141" customWidth="1"/>
    <col min="14580" max="14580" width="12.85546875" style="141" customWidth="1"/>
    <col min="14581" max="14581" width="12.140625" style="141" customWidth="1"/>
    <col min="14582" max="14582" width="12.5703125" style="141" customWidth="1"/>
    <col min="14583" max="14583" width="11.7109375" style="141" customWidth="1"/>
    <col min="14584" max="14584" width="12.140625" style="141" customWidth="1"/>
    <col min="14585" max="14585" width="11.140625" style="141" customWidth="1"/>
    <col min="14586" max="14586" width="12.42578125" style="141" customWidth="1"/>
    <col min="14587" max="14587" width="11.28515625" style="141" customWidth="1"/>
    <col min="14588" max="14588" width="12.140625" style="141" customWidth="1"/>
    <col min="14589" max="14589" width="11" style="141" customWidth="1"/>
    <col min="14590" max="14590" width="12.140625" style="141" customWidth="1"/>
    <col min="14591" max="14834" width="9.140625" style="141"/>
    <col min="14835" max="14835" width="36.140625" style="141" customWidth="1"/>
    <col min="14836" max="14836" width="12.85546875" style="141" customWidth="1"/>
    <col min="14837" max="14837" width="12.140625" style="141" customWidth="1"/>
    <col min="14838" max="14838" width="12.5703125" style="141" customWidth="1"/>
    <col min="14839" max="14839" width="11.7109375" style="141" customWidth="1"/>
    <col min="14840" max="14840" width="12.140625" style="141" customWidth="1"/>
    <col min="14841" max="14841" width="11.140625" style="141" customWidth="1"/>
    <col min="14842" max="14842" width="12.42578125" style="141" customWidth="1"/>
    <col min="14843" max="14843" width="11.28515625" style="141" customWidth="1"/>
    <col min="14844" max="14844" width="12.140625" style="141" customWidth="1"/>
    <col min="14845" max="14845" width="11" style="141" customWidth="1"/>
    <col min="14846" max="14846" width="12.140625" style="141" customWidth="1"/>
    <col min="14847" max="15090" width="9.140625" style="141"/>
    <col min="15091" max="15091" width="36.140625" style="141" customWidth="1"/>
    <col min="15092" max="15092" width="12.85546875" style="141" customWidth="1"/>
    <col min="15093" max="15093" width="12.140625" style="141" customWidth="1"/>
    <col min="15094" max="15094" width="12.5703125" style="141" customWidth="1"/>
    <col min="15095" max="15095" width="11.7109375" style="141" customWidth="1"/>
    <col min="15096" max="15096" width="12.140625" style="141" customWidth="1"/>
    <col min="15097" max="15097" width="11.140625" style="141" customWidth="1"/>
    <col min="15098" max="15098" width="12.42578125" style="141" customWidth="1"/>
    <col min="15099" max="15099" width="11.28515625" style="141" customWidth="1"/>
    <col min="15100" max="15100" width="12.140625" style="141" customWidth="1"/>
    <col min="15101" max="15101" width="11" style="141" customWidth="1"/>
    <col min="15102" max="15102" width="12.140625" style="141" customWidth="1"/>
    <col min="15103" max="15346" width="9.140625" style="141"/>
    <col min="15347" max="15347" width="36.140625" style="141" customWidth="1"/>
    <col min="15348" max="15348" width="12.85546875" style="141" customWidth="1"/>
    <col min="15349" max="15349" width="12.140625" style="141" customWidth="1"/>
    <col min="15350" max="15350" width="12.5703125" style="141" customWidth="1"/>
    <col min="15351" max="15351" width="11.7109375" style="141" customWidth="1"/>
    <col min="15352" max="15352" width="12.140625" style="141" customWidth="1"/>
    <col min="15353" max="15353" width="11.140625" style="141" customWidth="1"/>
    <col min="15354" max="15354" width="12.42578125" style="141" customWidth="1"/>
    <col min="15355" max="15355" width="11.28515625" style="141" customWidth="1"/>
    <col min="15356" max="15356" width="12.140625" style="141" customWidth="1"/>
    <col min="15357" max="15357" width="11" style="141" customWidth="1"/>
    <col min="15358" max="15358" width="12.140625" style="141" customWidth="1"/>
    <col min="15359" max="15602" width="9.140625" style="141"/>
    <col min="15603" max="15603" width="36.140625" style="141" customWidth="1"/>
    <col min="15604" max="15604" width="12.85546875" style="141" customWidth="1"/>
    <col min="15605" max="15605" width="12.140625" style="141" customWidth="1"/>
    <col min="15606" max="15606" width="12.5703125" style="141" customWidth="1"/>
    <col min="15607" max="15607" width="11.7109375" style="141" customWidth="1"/>
    <col min="15608" max="15608" width="12.140625" style="141" customWidth="1"/>
    <col min="15609" max="15609" width="11.140625" style="141" customWidth="1"/>
    <col min="15610" max="15610" width="12.42578125" style="141" customWidth="1"/>
    <col min="15611" max="15611" width="11.28515625" style="141" customWidth="1"/>
    <col min="15612" max="15612" width="12.140625" style="141" customWidth="1"/>
    <col min="15613" max="15613" width="11" style="141" customWidth="1"/>
    <col min="15614" max="15614" width="12.140625" style="141" customWidth="1"/>
    <col min="15615" max="15858" width="9.140625" style="141"/>
    <col min="15859" max="15859" width="36.140625" style="141" customWidth="1"/>
    <col min="15860" max="15860" width="12.85546875" style="141" customWidth="1"/>
    <col min="15861" max="15861" width="12.140625" style="141" customWidth="1"/>
    <col min="15862" max="15862" width="12.5703125" style="141" customWidth="1"/>
    <col min="15863" max="15863" width="11.7109375" style="141" customWidth="1"/>
    <col min="15864" max="15864" width="12.140625" style="141" customWidth="1"/>
    <col min="15865" max="15865" width="11.140625" style="141" customWidth="1"/>
    <col min="15866" max="15866" width="12.42578125" style="141" customWidth="1"/>
    <col min="15867" max="15867" width="11.28515625" style="141" customWidth="1"/>
    <col min="15868" max="15868" width="12.140625" style="141" customWidth="1"/>
    <col min="15869" max="15869" width="11" style="141" customWidth="1"/>
    <col min="15870" max="15870" width="12.140625" style="141" customWidth="1"/>
    <col min="15871" max="16114" width="9.140625" style="141"/>
    <col min="16115" max="16115" width="36.140625" style="141" customWidth="1"/>
    <col min="16116" max="16116" width="12.85546875" style="141" customWidth="1"/>
    <col min="16117" max="16117" width="12.140625" style="141" customWidth="1"/>
    <col min="16118" max="16118" width="12.5703125" style="141" customWidth="1"/>
    <col min="16119" max="16119" width="11.7109375" style="141" customWidth="1"/>
    <col min="16120" max="16120" width="12.140625" style="141" customWidth="1"/>
    <col min="16121" max="16121" width="11.140625" style="141" customWidth="1"/>
    <col min="16122" max="16122" width="12.42578125" style="141" customWidth="1"/>
    <col min="16123" max="16123" width="11.28515625" style="141" customWidth="1"/>
    <col min="16124" max="16124" width="12.140625" style="141" customWidth="1"/>
    <col min="16125" max="16125" width="11" style="141" customWidth="1"/>
    <col min="16126" max="16126" width="12.140625" style="141" customWidth="1"/>
    <col min="16127" max="16384" width="9.140625" style="141"/>
  </cols>
  <sheetData>
    <row r="1" spans="1:13" ht="38.25" customHeight="1" x14ac:dyDescent="0.25">
      <c r="A1" s="455" t="s">
        <v>828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</row>
    <row r="2" spans="1:13" x14ac:dyDescent="0.25">
      <c r="A2" s="456" t="s">
        <v>745</v>
      </c>
      <c r="B2" s="457" t="s">
        <v>746</v>
      </c>
      <c r="C2" s="453" t="s">
        <v>749</v>
      </c>
      <c r="D2" s="454"/>
      <c r="E2" s="453" t="s">
        <v>750</v>
      </c>
      <c r="F2" s="454"/>
      <c r="G2" s="453" t="s">
        <v>751</v>
      </c>
      <c r="H2" s="454"/>
      <c r="I2" s="453" t="s">
        <v>752</v>
      </c>
      <c r="J2" s="454"/>
      <c r="K2" s="453" t="s">
        <v>753</v>
      </c>
      <c r="L2" s="454"/>
      <c r="M2" s="141">
        <v>2024</v>
      </c>
    </row>
    <row r="3" spans="1:13" ht="47.25" x14ac:dyDescent="0.25">
      <c r="A3" s="456"/>
      <c r="B3" s="456"/>
      <c r="C3" s="142" t="s">
        <v>754</v>
      </c>
      <c r="D3" s="142" t="s">
        <v>757</v>
      </c>
      <c r="E3" s="142" t="s">
        <v>758</v>
      </c>
      <c r="F3" s="142" t="s">
        <v>759</v>
      </c>
      <c r="G3" s="142" t="s">
        <v>760</v>
      </c>
      <c r="H3" s="142" t="s">
        <v>761</v>
      </c>
      <c r="I3" s="142" t="s">
        <v>760</v>
      </c>
      <c r="J3" s="142" t="s">
        <v>762</v>
      </c>
      <c r="K3" s="142" t="s">
        <v>760</v>
      </c>
      <c r="L3" s="142" t="s">
        <v>763</v>
      </c>
    </row>
    <row r="4" spans="1:13" ht="54" x14ac:dyDescent="0.25">
      <c r="A4" s="143" t="s">
        <v>764</v>
      </c>
      <c r="B4" s="144" t="s">
        <v>765</v>
      </c>
      <c r="C4" s="205">
        <v>10382.1</v>
      </c>
      <c r="D4" s="205">
        <v>101.95121472199855</v>
      </c>
      <c r="E4" s="205">
        <f>'Итог-Модел CGE'!I4</f>
        <v>10614.691000000001</v>
      </c>
      <c r="F4" s="205">
        <f>+E4/C4*100</f>
        <v>102.24030783752806</v>
      </c>
      <c r="G4" s="205">
        <f>+E4*H4/100</f>
        <v>10837.599511</v>
      </c>
      <c r="H4" s="148">
        <v>102.1</v>
      </c>
      <c r="I4" s="205">
        <f>+G4*J4/100</f>
        <v>11076.026700242001</v>
      </c>
      <c r="J4" s="148">
        <v>102.2</v>
      </c>
      <c r="K4" s="205">
        <f>+I4*L4/100</f>
        <v>11330.775314347567</v>
      </c>
      <c r="L4" s="148">
        <v>102.3</v>
      </c>
      <c r="M4" s="141">
        <v>10382.1</v>
      </c>
    </row>
    <row r="5" spans="1:13" ht="36" x14ac:dyDescent="0.25">
      <c r="A5" s="143" t="s">
        <v>766</v>
      </c>
      <c r="B5" s="144" t="s">
        <v>767</v>
      </c>
      <c r="C5" s="148">
        <v>153402.20000000001</v>
      </c>
      <c r="D5" s="148">
        <v>108.4</v>
      </c>
      <c r="E5" s="205">
        <f>GDP!Q19</f>
        <v>225457.16600975062</v>
      </c>
      <c r="F5" s="148">
        <f>GDP!Q36</f>
        <v>108.37388918991087</v>
      </c>
      <c r="G5" s="205">
        <f>GDP!R19</f>
        <v>254611.99914551765</v>
      </c>
      <c r="H5" s="148">
        <f>GDP!R36</f>
        <v>108.62520475951297</v>
      </c>
      <c r="I5" s="205">
        <f>GDP!S19</f>
        <v>290957.13820040174</v>
      </c>
      <c r="J5" s="148">
        <f>GDP!S36</f>
        <v>108.76495168739831</v>
      </c>
      <c r="K5" s="205">
        <f>GDP!T19</f>
        <v>325987.61538032541</v>
      </c>
      <c r="L5" s="148">
        <f>GDP!T36</f>
        <v>107.88215008830171</v>
      </c>
      <c r="M5" s="141">
        <v>153402.20000000001</v>
      </c>
    </row>
    <row r="6" spans="1:13" ht="18.75" customHeight="1" x14ac:dyDescent="0.25">
      <c r="A6" s="149" t="s">
        <v>768</v>
      </c>
      <c r="B6" s="144" t="s">
        <v>769</v>
      </c>
      <c r="C6" s="254"/>
      <c r="D6" s="254">
        <v>108.2</v>
      </c>
      <c r="E6" s="254"/>
      <c r="F6" s="254">
        <f>GDP!Q35</f>
        <v>104.07121513480601</v>
      </c>
      <c r="G6" s="254"/>
      <c r="H6" s="259">
        <f>GDP!R35</f>
        <v>103.96429553886924</v>
      </c>
      <c r="I6" s="254"/>
      <c r="J6" s="254">
        <f>GDP!S35</f>
        <v>105.06575320666383</v>
      </c>
      <c r="K6" s="254"/>
      <c r="L6" s="254">
        <f>GDP!T35</f>
        <v>103.85382375573234</v>
      </c>
    </row>
    <row r="7" spans="1:13" x14ac:dyDescent="0.25">
      <c r="A7" s="149" t="s">
        <v>771</v>
      </c>
      <c r="B7" s="144" t="s">
        <v>772</v>
      </c>
      <c r="C7" s="148">
        <v>14775.642692711495</v>
      </c>
      <c r="D7" s="148">
        <f>'Итог-Модел CGE'!H8</f>
        <v>114.89621232753817</v>
      </c>
      <c r="E7" s="205">
        <f>+E5/E4*1000</f>
        <v>21240.106378014265</v>
      </c>
      <c r="F7" s="148">
        <f>+E7/C7*100</f>
        <v>143.75081219642345</v>
      </c>
      <c r="G7" s="205">
        <f>+G5/G4*1000</f>
        <v>23493.394352420044</v>
      </c>
      <c r="H7" s="148">
        <f>+G7/E7*100</f>
        <v>110.60864731232311</v>
      </c>
      <c r="I7" s="205">
        <f>+I5/I4*1000</f>
        <v>26269.089636091667</v>
      </c>
      <c r="J7" s="148">
        <f>+I7/G7*100</f>
        <v>111.81479032801278</v>
      </c>
      <c r="K7" s="205">
        <f>+K5/K4*1000</f>
        <v>28770.106752319443</v>
      </c>
      <c r="L7" s="148">
        <f>+K7/I7*100</f>
        <v>109.52076052453516</v>
      </c>
      <c r="M7" s="145">
        <f>+M5/M4*1000</f>
        <v>14775.642692711495</v>
      </c>
    </row>
    <row r="8" spans="1:13" ht="36" x14ac:dyDescent="0.25">
      <c r="A8" s="151" t="s">
        <v>773</v>
      </c>
      <c r="B8" s="152" t="s">
        <v>767</v>
      </c>
      <c r="C8" s="154">
        <f>'Итог-Модел CGE'!G9</f>
        <v>53818.999999999993</v>
      </c>
      <c r="D8" s="154">
        <f>'Итог-Модел CGE'!H9</f>
        <v>120</v>
      </c>
      <c r="E8" s="154">
        <f>'Итог-Модел CGE'!I9</f>
        <v>66726.100000000006</v>
      </c>
      <c r="F8" s="154">
        <f>'Итог-Модел CGE'!J9</f>
        <v>122.1</v>
      </c>
      <c r="G8" s="154">
        <f>'Итог-Модел CGE'!K9</f>
        <v>83491.032625000007</v>
      </c>
      <c r="H8" s="155">
        <f>'Итог-Модел CGE'!L9</f>
        <v>125.00000000000001</v>
      </c>
      <c r="I8" s="154">
        <f>'Итог-Модел CGE'!M9</f>
        <v>104885.60973515626</v>
      </c>
      <c r="J8" s="155">
        <f>'Итог-Модел CGE'!N9</f>
        <v>124.99999999999999</v>
      </c>
      <c r="K8" s="154">
        <f>'Итог-Модел CGE'!O9</f>
        <v>131605.53347201648</v>
      </c>
      <c r="L8" s="155">
        <f>'Итог-Модел CGE'!P9</f>
        <v>125.09999999999998</v>
      </c>
    </row>
    <row r="9" spans="1:13" ht="36" x14ac:dyDescent="0.25">
      <c r="A9" s="151" t="s">
        <v>774</v>
      </c>
      <c r="B9" s="152" t="s">
        <v>767</v>
      </c>
      <c r="C9" s="155">
        <f>'Итог-Модел CGE'!G10</f>
        <v>73976.600000000006</v>
      </c>
      <c r="D9" s="155">
        <f>'Итог-Модел CGE'!H10</f>
        <v>110.6</v>
      </c>
      <c r="E9" s="154">
        <f>'Итог-Модел CGE'!I10</f>
        <v>84653.8</v>
      </c>
      <c r="F9" s="155">
        <f>'Итог-Модел CGE'!J10</f>
        <v>109.5</v>
      </c>
      <c r="G9" s="154">
        <f>'Итог-Модел CGE'!K10</f>
        <v>95155.449822395924</v>
      </c>
      <c r="H9" s="155">
        <f>'Итог-Модел CGE'!L10</f>
        <v>108.92031018370741</v>
      </c>
      <c r="I9" s="154">
        <f>'Итог-Модел CGE'!M10</f>
        <v>104590.96592645653</v>
      </c>
      <c r="J9" s="155">
        <f>'Итог-Модел CGE'!N10</f>
        <v>108.61254614131397</v>
      </c>
      <c r="K9" s="154">
        <f>'Итог-Модел CGE'!O10</f>
        <v>114715.95317271228</v>
      </c>
      <c r="L9" s="155">
        <f>'Итог-Модел CGE'!P10</f>
        <v>108.27300711668305</v>
      </c>
    </row>
    <row r="10" spans="1:13" ht="72" x14ac:dyDescent="0.25">
      <c r="A10" s="151" t="s">
        <v>775</v>
      </c>
      <c r="B10" s="152" t="s">
        <v>767</v>
      </c>
      <c r="C10" s="154">
        <f>'Итог-Модел CGE'!G11</f>
        <v>22543</v>
      </c>
      <c r="D10" s="155">
        <f>'Итог-Модел CGE'!H11</f>
        <v>108.4</v>
      </c>
      <c r="E10" s="154">
        <f>'Итог-Модел CGE'!I11</f>
        <v>28736</v>
      </c>
      <c r="F10" s="155">
        <f>'Итог-Модел CGE'!J11</f>
        <v>123</v>
      </c>
      <c r="G10" s="154">
        <f>'Итог-Модел CGE'!K11</f>
        <v>32767.971999999987</v>
      </c>
      <c r="H10" s="155">
        <f>'Итог-Модел CGE'!L11</f>
        <v>114.03108296213804</v>
      </c>
      <c r="I10" s="154">
        <f>'Итог-Модел CGE'!M11</f>
        <v>38923.92156000001</v>
      </c>
      <c r="J10" s="155">
        <f>'Итог-Модел CGE'!N11</f>
        <v>118.78648321598915</v>
      </c>
      <c r="K10" s="154">
        <f>'Итог-Модел CGE'!O11</f>
        <v>44524.430810400023</v>
      </c>
      <c r="L10" s="155">
        <f>'Итог-Модел CGE'!P11</f>
        <v>114.38834790006194</v>
      </c>
    </row>
    <row r="11" spans="1:13" ht="36" x14ac:dyDescent="0.25">
      <c r="A11" s="151" t="s">
        <v>776</v>
      </c>
      <c r="B11" s="152" t="s">
        <v>767</v>
      </c>
      <c r="C11" s="155">
        <f>'Итог-Модел CGE'!G12</f>
        <v>9830.5</v>
      </c>
      <c r="D11" s="155">
        <f>'Итог-Модел CGE'!H12</f>
        <v>118.5</v>
      </c>
      <c r="E11" s="154">
        <f>'Итог-Модел CGE'!I12</f>
        <v>13280.5</v>
      </c>
      <c r="F11" s="155">
        <f>'Итог-Модел CGE'!J12</f>
        <v>130.4</v>
      </c>
      <c r="G11" s="154">
        <f>'Итог-Модел CGE'!K12</f>
        <v>14210.134999999995</v>
      </c>
      <c r="H11" s="155">
        <f>'Итог-Модел CGE'!L12</f>
        <v>106.99999999999996</v>
      </c>
      <c r="I11" s="154">
        <f>'Итог-Модел CGE'!M12</f>
        <v>15631.148500000003</v>
      </c>
      <c r="J11" s="155">
        <f>'Итог-Модел CGE'!N12</f>
        <v>110.00000000000006</v>
      </c>
      <c r="K11" s="154">
        <f>'Итог-Модел CGE'!O12</f>
        <v>16881.640380000008</v>
      </c>
      <c r="L11" s="155">
        <f>'Итог-Модел CGE'!P12</f>
        <v>108.00000000000003</v>
      </c>
    </row>
    <row r="12" spans="1:13" ht="36" x14ac:dyDescent="0.25">
      <c r="A12" s="151" t="s">
        <v>777</v>
      </c>
      <c r="B12" s="152" t="s">
        <v>778</v>
      </c>
      <c r="C12" s="155">
        <f>'Итог-Модел CGE'!G13</f>
        <v>5126.6000000000004</v>
      </c>
      <c r="D12" s="155">
        <f>'Итог-Модел CGE'!H13</f>
        <v>190.57992565055764</v>
      </c>
      <c r="E12" s="154">
        <f>'Итог-Модел CGE'!I13</f>
        <v>6925.3</v>
      </c>
      <c r="F12" s="154">
        <f>'Итог-Модел CGE'!J13</f>
        <v>135.08563180275425</v>
      </c>
      <c r="G12" s="154">
        <f>'Итог-Модел CGE'!K13</f>
        <v>7624.7552999999998</v>
      </c>
      <c r="H12" s="154">
        <f>'Итог-Модел CGE'!L13</f>
        <v>110.1</v>
      </c>
      <c r="I12" s="154">
        <f>'Итог-Модел CGE'!M13</f>
        <v>8562.6002018999989</v>
      </c>
      <c r="J12" s="155">
        <f>'Итог-Модел CGE'!N13</f>
        <v>112.29999999999998</v>
      </c>
      <c r="K12" s="154">
        <f>'Итог-Модел CGE'!O13</f>
        <v>9598.6748263298996</v>
      </c>
      <c r="L12" s="154">
        <f>'Итог-Модел CGE'!P13</f>
        <v>112.1</v>
      </c>
    </row>
    <row r="13" spans="1:13" ht="36" x14ac:dyDescent="0.25">
      <c r="A13" s="151" t="s">
        <v>779</v>
      </c>
      <c r="B13" s="152" t="s">
        <v>767</v>
      </c>
      <c r="C13" s="155">
        <f>'Итог-Модел CGE'!G14</f>
        <v>65783.8</v>
      </c>
      <c r="D13" s="155">
        <f>'Итог-Модел CGE'!H14</f>
        <v>113.6</v>
      </c>
      <c r="E13" s="154">
        <f>'Итог-Модел CGE'!I14</f>
        <v>77307.100000000006</v>
      </c>
      <c r="F13" s="155">
        <f>'Итог-Модел CGE'!J14</f>
        <v>113.9</v>
      </c>
      <c r="G13" s="154">
        <f>'Итог-Модел CGE'!K14</f>
        <v>89946.541177669904</v>
      </c>
      <c r="H13" s="155">
        <f>'Итог-Модел CGE'!L14</f>
        <v>114.15335710871818</v>
      </c>
      <c r="I13" s="154">
        <f>'Итог-Модел CGE'!M14</f>
        <v>105319.77392904399</v>
      </c>
      <c r="J13" s="154">
        <f>'Итог-Модел CGE'!N14</f>
        <v>114.48579696091133</v>
      </c>
      <c r="K13" s="154">
        <f>'Итог-Модел CGE'!O14</f>
        <v>120054.47057104275</v>
      </c>
      <c r="L13" s="155">
        <f>'Итог-Модел CGE'!P14</f>
        <v>113.55900111382716</v>
      </c>
    </row>
    <row r="14" spans="1:13" s="162" customFormat="1" ht="36" x14ac:dyDescent="0.25">
      <c r="A14" s="161" t="s">
        <v>780</v>
      </c>
      <c r="B14" s="152" t="s">
        <v>767</v>
      </c>
      <c r="C14" s="154">
        <f>'Итог-Модел CGE'!G15</f>
        <v>55663</v>
      </c>
      <c r="D14" s="155">
        <f>'Итог-Модел CGE'!H15</f>
        <v>113.5</v>
      </c>
      <c r="E14" s="154">
        <f>'Итог-Модел CGE'!I15</f>
        <v>65705.600000000006</v>
      </c>
      <c r="F14" s="155">
        <f>'Итог-Модел CGE'!J15</f>
        <v>114.4</v>
      </c>
      <c r="G14" s="154">
        <f>'Итог-Модел CGE'!K15</f>
        <v>78696.140877782163</v>
      </c>
      <c r="H14" s="155">
        <f>'Итог-Модел CGE'!L15</f>
        <v>114.04140394834157</v>
      </c>
      <c r="I14" s="154">
        <f>'Итог-Модел CGE'!M15</f>
        <v>91582.412112212172</v>
      </c>
      <c r="J14" s="155">
        <f>'Итог-Модел CGE'!N15</f>
        <v>114.23170325789494</v>
      </c>
      <c r="K14" s="154">
        <f>'Итог-Модел CGE'!O15</f>
        <v>104395.19180090674</v>
      </c>
      <c r="L14" s="155">
        <f>'Итог-Модел CGE'!P15</f>
        <v>113.33319262525691</v>
      </c>
    </row>
    <row r="15" spans="1:13" s="162" customFormat="1" ht="54" x14ac:dyDescent="0.25">
      <c r="A15" s="151" t="s">
        <v>781</v>
      </c>
      <c r="B15" s="152" t="s">
        <v>767</v>
      </c>
      <c r="C15" s="155">
        <f>'Итог-Модел CGE'!G16</f>
        <v>25722.9</v>
      </c>
      <c r="D15" s="154">
        <f>'Итог-Модел CGE'!H16</f>
        <v>113</v>
      </c>
      <c r="E15" s="154">
        <f>'Итог-Модел CGE'!I16</f>
        <v>30470.2</v>
      </c>
      <c r="F15" s="155">
        <f>'Итог-Модел CGE'!J16</f>
        <v>113.2</v>
      </c>
      <c r="G15" s="154">
        <f>'Итог-Модел CGE'!K16</f>
        <v>35439.755165198461</v>
      </c>
      <c r="H15" s="155">
        <f>'Итог-Модел CGE'!L16</f>
        <v>114.9303940053814</v>
      </c>
      <c r="I15" s="154">
        <f>'Итог-Модел CGE'!M16</f>
        <v>41254.484715362232</v>
      </c>
      <c r="J15" s="155">
        <f>'Итог-Модел CGE'!N16</f>
        <v>113.901530110427</v>
      </c>
      <c r="K15" s="154">
        <f>'Итог-Модел CGE'!O16</f>
        <v>47612.182093920492</v>
      </c>
      <c r="L15" s="155">
        <f>'Итог-Модел CGE'!P16</f>
        <v>113.70534406322643</v>
      </c>
    </row>
    <row r="16" spans="1:13" ht="36" x14ac:dyDescent="0.25">
      <c r="A16" s="161" t="s">
        <v>782</v>
      </c>
      <c r="B16" s="152" t="s">
        <v>767</v>
      </c>
      <c r="C16" s="155">
        <f>'Итог-Модел CGE'!G17</f>
        <v>19094.900000000001</v>
      </c>
      <c r="D16" s="154">
        <f>'Итог-Модел CGE'!H17</f>
        <v>109</v>
      </c>
      <c r="E16" s="154">
        <f>'Итог-Модел CGE'!I17</f>
        <v>22148.5</v>
      </c>
      <c r="F16" s="155">
        <f>'Итог-Модел CGE'!J17</f>
        <v>110.9</v>
      </c>
      <c r="G16" s="154">
        <f>'Итог-Модел CGE'!K17</f>
        <v>25868.434427152159</v>
      </c>
      <c r="H16" s="155">
        <f>'Итог-Модел CGE'!L17</f>
        <v>111.2337368956606</v>
      </c>
      <c r="I16" s="154">
        <f>'Итог-Модел CGE'!M17</f>
        <v>29679.485406735421</v>
      </c>
      <c r="J16" s="155">
        <f>'Итог-Модел CGE'!N17</f>
        <v>111.39071618971383</v>
      </c>
      <c r="K16" s="154">
        <f>'Итог-Модел CGE'!O17</f>
        <v>33529.70569994401</v>
      </c>
      <c r="L16" s="155">
        <f>'Итог-Модел CGE'!P17</f>
        <v>111.85412402147747</v>
      </c>
    </row>
    <row r="17" spans="1:12" x14ac:dyDescent="0.25">
      <c r="A17" s="151" t="s">
        <v>783</v>
      </c>
      <c r="B17" s="458" t="s">
        <v>778</v>
      </c>
      <c r="C17" s="154">
        <v>8955</v>
      </c>
      <c r="D17" s="155">
        <v>107.51719914994776</v>
      </c>
      <c r="E17" s="154">
        <f>+E18+E19</f>
        <v>11200.599971220476</v>
      </c>
      <c r="F17" s="155">
        <f>+E17/C17*100</f>
        <v>125.07649325762675</v>
      </c>
      <c r="G17" s="154">
        <f>+G18+G19</f>
        <v>11336.583686236969</v>
      </c>
      <c r="H17" s="155">
        <f>+G17/E17*100</f>
        <v>101.21407527602003</v>
      </c>
      <c r="I17" s="154">
        <f>+I18+I19</f>
        <v>11664.551983752193</v>
      </c>
      <c r="J17" s="155">
        <f>+I17/G17*100</f>
        <v>102.89300821651757</v>
      </c>
      <c r="K17" s="154">
        <f>+K18+K19</f>
        <v>11979.380979436051</v>
      </c>
      <c r="L17" s="155">
        <f>+K17/I17*100</f>
        <v>102.69902346976025</v>
      </c>
    </row>
    <row r="18" spans="1:12" x14ac:dyDescent="0.25">
      <c r="A18" s="151" t="s">
        <v>784</v>
      </c>
      <c r="B18" s="459"/>
      <c r="C18" s="155">
        <v>1947.4</v>
      </c>
      <c r="D18" s="155">
        <v>79.524665142110422</v>
      </c>
      <c r="E18" s="154">
        <f>'5_IntTrade'!F74</f>
        <v>2840.4586402822806</v>
      </c>
      <c r="F18" s="155">
        <f>+E18/C18*100</f>
        <v>145.85902435464109</v>
      </c>
      <c r="G18" s="154">
        <f>'5_IntTrade'!G74</f>
        <v>2973.4668221584402</v>
      </c>
      <c r="H18" s="154">
        <f>+G18/E18*100</f>
        <v>104.68263047346964</v>
      </c>
      <c r="I18" s="154">
        <f>'5_IntTrade'!H74</f>
        <v>3140.639557806061</v>
      </c>
      <c r="J18" s="155">
        <f>+I18/G18*100</f>
        <v>105.6221490148079</v>
      </c>
      <c r="K18" s="154">
        <f>'5_IntTrade'!I74</f>
        <v>3298.475280108471</v>
      </c>
      <c r="L18" s="155">
        <f>+K18/I18*100</f>
        <v>105.02559174325208</v>
      </c>
    </row>
    <row r="19" spans="1:12" x14ac:dyDescent="0.25">
      <c r="A19" s="151" t="s">
        <v>785</v>
      </c>
      <c r="B19" s="460"/>
      <c r="C19" s="155">
        <v>7007.6</v>
      </c>
      <c r="D19" s="155">
        <v>119.17484396523868</v>
      </c>
      <c r="E19" s="154">
        <f>'5_IntTrade'!F75</f>
        <v>8360.1413309381951</v>
      </c>
      <c r="F19" s="155">
        <f>+E19/C19*100</f>
        <v>119.30106357295213</v>
      </c>
      <c r="G19" s="154">
        <f>'5_IntTrade'!G75</f>
        <v>8363.116864078529</v>
      </c>
      <c r="H19" s="155">
        <f>+G19/E19*100</f>
        <v>100.03559189997569</v>
      </c>
      <c r="I19" s="154">
        <f>'5_IntTrade'!H75</f>
        <v>8523.9124259461314</v>
      </c>
      <c r="J19" s="155">
        <f>+I19/G19*100</f>
        <v>101.92267505621327</v>
      </c>
      <c r="K19" s="154">
        <f>'5_IntTrade'!I75</f>
        <v>8680.9056993275808</v>
      </c>
      <c r="L19" s="155">
        <f>+K19/I19*100</f>
        <v>101.84179829093006</v>
      </c>
    </row>
    <row r="21" spans="1:12" x14ac:dyDescent="0.25">
      <c r="C21" s="164">
        <f t="shared" ref="C21:J21" si="0">+E7-C7</f>
        <v>6464.4636853027696</v>
      </c>
      <c r="D21" s="164">
        <f t="shared" si="0"/>
        <v>28.854599868885288</v>
      </c>
      <c r="E21" s="164">
        <f t="shared" si="0"/>
        <v>2253.2879744057791</v>
      </c>
      <c r="F21" s="164">
        <f t="shared" si="0"/>
        <v>-33.142164884100339</v>
      </c>
      <c r="G21" s="164">
        <f t="shared" si="0"/>
        <v>2775.6952836716227</v>
      </c>
      <c r="H21" s="164">
        <f t="shared" si="0"/>
        <v>1.206143015689662</v>
      </c>
      <c r="I21" s="164">
        <f t="shared" si="0"/>
        <v>2501.0171162277766</v>
      </c>
      <c r="J21" s="164">
        <f t="shared" si="0"/>
        <v>-2.2940298034776134</v>
      </c>
    </row>
    <row r="22" spans="1:12" x14ac:dyDescent="0.25">
      <c r="E22" s="141">
        <f>3119*109.8</f>
        <v>342466.2</v>
      </c>
    </row>
    <row r="23" spans="1:12" x14ac:dyDescent="0.25">
      <c r="C23" s="141">
        <f>+C18/C17*100</f>
        <v>21.746510329424904</v>
      </c>
      <c r="E23" s="141">
        <f>+E18/E17*100</f>
        <v>25.359879359862269</v>
      </c>
      <c r="G23" s="141">
        <f>+G18/G17*100</f>
        <v>26.228949606470408</v>
      </c>
      <c r="I23" s="141">
        <f>+I18/I17*100</f>
        <v>26.924647960596566</v>
      </c>
    </row>
    <row r="24" spans="1:12" x14ac:dyDescent="0.25">
      <c r="C24" s="141">
        <f>+C19/C17*100</f>
        <v>78.253489670575107</v>
      </c>
      <c r="E24" s="141">
        <f>+E19/E17*100</f>
        <v>74.640120640137724</v>
      </c>
      <c r="G24" s="141">
        <f>+G19/G17*100</f>
        <v>73.771050393529592</v>
      </c>
      <c r="I24" s="141">
        <f>+I19/I17*100</f>
        <v>73.075352039403427</v>
      </c>
    </row>
    <row r="26" spans="1:12" x14ac:dyDescent="0.25">
      <c r="C26" s="164">
        <f t="shared" ref="C26:L26" si="1">C27+C28</f>
        <v>9794.1059999999998</v>
      </c>
      <c r="D26" s="164" t="e">
        <f t="shared" si="1"/>
        <v>#REF!</v>
      </c>
      <c r="E26" s="164">
        <f t="shared" si="1"/>
        <v>10921.976012330777</v>
      </c>
      <c r="F26" s="164">
        <f t="shared" si="1"/>
        <v>224.1666786512256</v>
      </c>
      <c r="G26" s="164">
        <f t="shared" si="1"/>
        <v>14417.24216468052</v>
      </c>
      <c r="H26" s="164">
        <f t="shared" si="1"/>
        <v>248.86814139657997</v>
      </c>
      <c r="I26" s="164">
        <f t="shared" si="1"/>
        <v>15493.691836477481</v>
      </c>
      <c r="J26" s="164">
        <f t="shared" si="1"/>
        <v>217.29188438836925</v>
      </c>
      <c r="K26" s="164">
        <f t="shared" si="1"/>
        <v>16559.333554819761</v>
      </c>
      <c r="L26" s="164">
        <f t="shared" si="1"/>
        <v>214.68302032713402</v>
      </c>
    </row>
    <row r="27" spans="1:12" ht="36" x14ac:dyDescent="0.25">
      <c r="A27" s="151" t="s">
        <v>786</v>
      </c>
      <c r="C27" s="165">
        <f>[2]BoP!M14</f>
        <v>2108.4050000000002</v>
      </c>
      <c r="D27" s="160" t="e">
        <f>+C27/#REF!*100</f>
        <v>#REF!</v>
      </c>
      <c r="E27" s="165">
        <f>[2]BoP!N14</f>
        <v>2384.1837440574668</v>
      </c>
      <c r="F27" s="160">
        <f>+E27/C27*100</f>
        <v>113.07997012231836</v>
      </c>
      <c r="G27" s="165">
        <f>[2]BoP!O14</f>
        <v>2646.4816573039252</v>
      </c>
      <c r="H27" s="160">
        <f>+G27/E27*100</f>
        <v>111.00158131269164</v>
      </c>
      <c r="I27" s="165">
        <f>[2]BoP!P14</f>
        <v>2924.619604967002</v>
      </c>
      <c r="J27" s="160">
        <f>+I27/G27*100</f>
        <v>110.50972512488248</v>
      </c>
      <c r="K27" s="165">
        <f>[2]BoP!Q14</f>
        <v>3161.1126165783112</v>
      </c>
      <c r="L27" s="160">
        <f>+K27/I27*100</f>
        <v>108.08628278391019</v>
      </c>
    </row>
    <row r="28" spans="1:12" ht="36" x14ac:dyDescent="0.25">
      <c r="A28" s="151" t="s">
        <v>787</v>
      </c>
      <c r="C28" s="165">
        <f>[2]BoP!M15</f>
        <v>7685.701</v>
      </c>
      <c r="D28" s="160" t="e">
        <f>+C28/#REF!*100</f>
        <v>#REF!</v>
      </c>
      <c r="E28" s="165">
        <f>[2]BoP!N15</f>
        <v>8537.7922682733097</v>
      </c>
      <c r="F28" s="160">
        <f>+E28/C28*100</f>
        <v>111.08670852890725</v>
      </c>
      <c r="G28" s="165">
        <f>[2]BoP!O15</f>
        <v>11770.760507376595</v>
      </c>
      <c r="H28" s="160">
        <f>+G28/E28*100</f>
        <v>137.86656008388834</v>
      </c>
      <c r="I28" s="165">
        <f>[2]BoP!P15</f>
        <v>12569.072231510479</v>
      </c>
      <c r="J28" s="160">
        <f>+I28/G28*100</f>
        <v>106.78215926348678</v>
      </c>
      <c r="K28" s="165">
        <f>[2]BoP!Q15</f>
        <v>13398.220938241451</v>
      </c>
      <c r="L28" s="160">
        <f>+K28/I28*100</f>
        <v>106.59673754322382</v>
      </c>
    </row>
    <row r="29" spans="1:12" ht="36.75" thickBot="1" x14ac:dyDescent="0.3">
      <c r="A29" s="200" t="s">
        <v>803</v>
      </c>
      <c r="C29" s="141">
        <v>10.7986</v>
      </c>
      <c r="D29" s="160" t="e">
        <f>+C29/#REF!*100</f>
        <v>#REF!</v>
      </c>
      <c r="E29" s="202">
        <f>'1_Prices'!F90</f>
        <v>9.4140239999999995</v>
      </c>
      <c r="F29" s="160">
        <f>+E29/C29*100</f>
        <v>87.178189765339937</v>
      </c>
      <c r="G29" s="141">
        <f>'1_Prices'!G90</f>
        <v>9.6920520000000003</v>
      </c>
      <c r="H29" s="160">
        <f>+G29/E29*100</f>
        <v>102.95333855108082</v>
      </c>
      <c r="I29" s="202">
        <f>'1_Prices'!H90</f>
        <v>9.8826689999999999</v>
      </c>
      <c r="J29" s="160">
        <f>+I29/G29*100</f>
        <v>101.96673521768145</v>
      </c>
      <c r="K29" s="141">
        <f>'1_Prices'!I90</f>
        <v>10.01421</v>
      </c>
      <c r="L29" s="160">
        <f>+K29/I29*100</f>
        <v>101.33102707375912</v>
      </c>
    </row>
  </sheetData>
  <mergeCells count="9">
    <mergeCell ref="B17:B19"/>
    <mergeCell ref="A1:L1"/>
    <mergeCell ref="A2:A3"/>
    <mergeCell ref="B2:B3"/>
    <mergeCell ref="C2:D2"/>
    <mergeCell ref="E2:F2"/>
    <mergeCell ref="G2:H2"/>
    <mergeCell ref="I2:J2"/>
    <mergeCell ref="K2:L2"/>
  </mergeCells>
  <pageMargins left="0.51181102362204722" right="0.31496062992125984" top="0.15748031496062992" bottom="0.15748031496062992" header="0.31496062992125984" footer="0.31496062992125984"/>
  <pageSetup paperSize="9" scale="85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Итог-Модел CGE</vt:lpstr>
      <vt:lpstr>посл.вар.</vt:lpstr>
      <vt:lpstr>2025-2029</vt:lpstr>
      <vt:lpstr>1_Prices</vt:lpstr>
      <vt:lpstr>2_Production_1</vt:lpstr>
      <vt:lpstr>2_Production_2</vt:lpstr>
      <vt:lpstr>3_In &amp; SA</vt:lpstr>
      <vt:lpstr>4_Demand</vt:lpstr>
      <vt:lpstr>5_IntTrade</vt:lpstr>
      <vt:lpstr>6_Closures</vt:lpstr>
      <vt:lpstr>7_Dynamics</vt:lpstr>
      <vt:lpstr>GDP</vt:lpstr>
      <vt:lpstr>Monetary</vt:lpstr>
      <vt:lpstr>GDP-total</vt:lpstr>
      <vt:lpstr>Лист3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Dovčiak</dc:creator>
  <cp:lastModifiedBy>марказ</cp:lastModifiedBy>
  <cp:lastPrinted>2026-04-27T13:17:13Z</cp:lastPrinted>
  <dcterms:created xsi:type="dcterms:W3CDTF">2022-08-12T10:12:34Z</dcterms:created>
  <dcterms:modified xsi:type="dcterms:W3CDTF">2026-04-29T09:29:11Z</dcterms:modified>
</cp:coreProperties>
</file>